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namedSheetViews/namedSheetView1.xml" ContentType="application/vnd.ms-excel.namedsheetview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olo.Rodeghiero\Projects\eurostar-portfolio\"/>
    </mc:Choice>
  </mc:AlternateContent>
  <xr:revisionPtr revIDLastSave="0" documentId="8_{8A152C96-D952-4ED5-B593-72842CF09554}" xr6:coauthVersionLast="47" xr6:coauthVersionMax="47" xr10:uidLastSave="{00000000-0000-0000-0000-000000000000}"/>
  <bookViews>
    <workbookView xWindow="-30" yWindow="-16320" windowWidth="29040" windowHeight="15720" tabRatio="756" firstSheet="2" activeTab="2" xr2:uid="{C28C0ED4-42A9-4C7B-BF3F-66AF57B2F1B2}"/>
  </bookViews>
  <sheets>
    <sheet name="Instructions" sheetId="12" state="hidden" r:id="rId1"/>
    <sheet name="Checklist" sheetId="8" state="hidden" r:id="rId2"/>
    <sheet name="Input" sheetId="1" r:id="rId3"/>
    <sheet name="Project Map Benefits - Effort" sheetId="4" state="hidden" r:id="rId4"/>
    <sheet name="System List" sheetId="3" state="hidden" r:id="rId5"/>
    <sheet name="Value vs Cost" sheetId="21" r:id="rId6"/>
    <sheet name="Pillars" sheetId="14" r:id="rId7"/>
    <sheet name="DEPT" sheetId="20" r:id="rId8"/>
    <sheet name="Heat Map Workload" sheetId="7" r:id="rId9"/>
    <sheet name="Heat Map Change" sheetId="6" r:id="rId10"/>
    <sheet name="IS Priority vs E value" sheetId="13" state="hidden" r:id="rId11"/>
    <sheet name="Metrix" sheetId="15" state="hidden" r:id="rId12"/>
  </sheets>
  <definedNames>
    <definedName name="_________________imp123" hidden="1">{#N/A,#N/A,TRUE,"AB_Vertrag";#N/A,#N/A,TRUE,"AB_BWL"}</definedName>
    <definedName name="_________________imp14" hidden="1">{#N/A,#N/A,TRUE,"AB_Vertrag";#N/A,#N/A,TRUE,"AB_BWL"}</definedName>
    <definedName name="_________________imp15" hidden="1">{#N/A,#N/A,TRUE,"AB_Vertrag";#N/A,#N/A,TRUE,"AB_BWL"}</definedName>
    <definedName name="_________________imp21" hidden="1">{#N/A,#N/A,TRUE,"AB_Vertrag";#N/A,#N/A,TRUE,"AB_BWL"}</definedName>
    <definedName name="_________________imp5" hidden="1">{#N/A,#N/A,TRUE,"AB_Vertrag";#N/A,#N/A,TRUE,"AB_BWL"}</definedName>
    <definedName name="_________________imp6" hidden="1">{#N/A,#N/A,TRUE,"AB_Vertrag";#N/A,#N/A,TRUE,"AB_BWL"}</definedName>
    <definedName name="_________________imp7" hidden="1">{#N/A,#N/A,TRUE,"AB_Vertrag";#N/A,#N/A,TRUE,"AB_BWL"}</definedName>
    <definedName name="_________________imp8" hidden="1">{#N/A,#N/A,TRUE,"AB_Vertrag";#N/A,#N/A,TRUE,"AB_BWL"}</definedName>
    <definedName name="_________________NEU1" hidden="1">{#N/A,#N/A,TRUE,"AB_Vertrag";#N/A,#N/A,TRUE,"AB_BWL"}</definedName>
    <definedName name="________________112" hidden="1">{#N/A,#N/A,TRUE,"AB_Vertrag";#N/A,#N/A,TRUE,"AB_BWL"}</definedName>
    <definedName name="____imp123" hidden="1">{#N/A,#N/A,TRUE,"AB_Vertrag";#N/A,#N/A,TRUE,"AB_BWL"}</definedName>
    <definedName name="____imp14" hidden="1">{#N/A,#N/A,TRUE,"AB_Vertrag";#N/A,#N/A,TRUE,"AB_BWL"}</definedName>
    <definedName name="____imp15" hidden="1">{#N/A,#N/A,TRUE,"AB_Vertrag";#N/A,#N/A,TRUE,"AB_BWL"}</definedName>
    <definedName name="____imp21" hidden="1">{#N/A,#N/A,TRUE,"AB_Vertrag";#N/A,#N/A,TRUE,"AB_BWL"}</definedName>
    <definedName name="____imp5" hidden="1">{#N/A,#N/A,TRUE,"AB_Vertrag";#N/A,#N/A,TRUE,"AB_BWL"}</definedName>
    <definedName name="____imp6" hidden="1">{#N/A,#N/A,TRUE,"AB_Vertrag";#N/A,#N/A,TRUE,"AB_BWL"}</definedName>
    <definedName name="____imp7" hidden="1">{#N/A,#N/A,TRUE,"AB_Vertrag";#N/A,#N/A,TRUE,"AB_BWL"}</definedName>
    <definedName name="____imp8" hidden="1">{#N/A,#N/A,TRUE,"AB_Vertrag";#N/A,#N/A,TRUE,"AB_BWL"}</definedName>
    <definedName name="____NEU1" hidden="1">{#N/A,#N/A,TRUE,"AB_Vertrag";#N/A,#N/A,TRUE,"AB_BWL"}</definedName>
    <definedName name="___imp123" hidden="1">{#N/A,#N/A,TRUE,"AB_Vertrag";#N/A,#N/A,TRUE,"AB_BWL"}</definedName>
    <definedName name="___imp14" hidden="1">{#N/A,#N/A,TRUE,"AB_Vertrag";#N/A,#N/A,TRUE,"AB_BWL"}</definedName>
    <definedName name="___imp15" hidden="1">{#N/A,#N/A,TRUE,"AB_Vertrag";#N/A,#N/A,TRUE,"AB_BWL"}</definedName>
    <definedName name="___imp21" hidden="1">{#N/A,#N/A,TRUE,"AB_Vertrag";#N/A,#N/A,TRUE,"AB_BWL"}</definedName>
    <definedName name="___imp5" hidden="1">{#N/A,#N/A,TRUE,"AB_Vertrag";#N/A,#N/A,TRUE,"AB_BWL"}</definedName>
    <definedName name="___imp6" hidden="1">{#N/A,#N/A,TRUE,"AB_Vertrag";#N/A,#N/A,TRUE,"AB_BWL"}</definedName>
    <definedName name="___imp7" hidden="1">{#N/A,#N/A,TRUE,"AB_Vertrag";#N/A,#N/A,TRUE,"AB_BWL"}</definedName>
    <definedName name="___imp8" hidden="1">{#N/A,#N/A,TRUE,"AB_Vertrag";#N/A,#N/A,TRUE,"AB_BWL"}</definedName>
    <definedName name="___NEU1" hidden="1">{#N/A,#N/A,TRUE,"AB_Vertrag";#N/A,#N/A,TRUE,"AB_BWL"}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mp123" hidden="1">{#N/A,#N/A,TRUE,"AB_Vertrag";#N/A,#N/A,TRUE,"AB_BWL"}</definedName>
    <definedName name="__imp14" hidden="1">{#N/A,#N/A,TRUE,"AB_Vertrag";#N/A,#N/A,TRUE,"AB_BWL"}</definedName>
    <definedName name="__imp15" hidden="1">{#N/A,#N/A,TRUE,"AB_Vertrag";#N/A,#N/A,TRUE,"AB_BWL"}</definedName>
    <definedName name="__imp21" hidden="1">{#N/A,#N/A,TRUE,"AB_Vertrag";#N/A,#N/A,TRUE,"AB_BWL"}</definedName>
    <definedName name="__imp5" hidden="1">{#N/A,#N/A,TRUE,"AB_Vertrag";#N/A,#N/A,TRUE,"AB_BWL"}</definedName>
    <definedName name="__imp6" hidden="1">{#N/A,#N/A,TRUE,"AB_Vertrag";#N/A,#N/A,TRUE,"AB_BWL"}</definedName>
    <definedName name="__imp7" hidden="1">{#N/A,#N/A,TRUE,"AB_Vertrag";#N/A,#N/A,TRUE,"AB_BWL"}</definedName>
    <definedName name="__imp8" hidden="1">{#N/A,#N/A,TRUE,"AB_Vertrag";#N/A,#N/A,TRUE,"AB_BWL"}</definedName>
    <definedName name="__NEU1" hidden="1">{#N/A,#N/A,TRUE,"AB_Vertrag";#N/A,#N/A,TRUE,"AB_BWL"}</definedName>
    <definedName name="_20EURRATE">#REF!</definedName>
    <definedName name="_Fill" hidden="1">#REF!</definedName>
    <definedName name="_xlnm._FilterDatabase" localSheetId="2" hidden="1">Input!$G$247:$G$247</definedName>
    <definedName name="_xlnm._FilterDatabase" hidden="1">#REF!</definedName>
    <definedName name="_imp123" hidden="1">{#N/A,#N/A,TRUE,"AB_Vertrag";#N/A,#N/A,TRUE,"AB_BWL"}</definedName>
    <definedName name="_imp14" hidden="1">{#N/A,#N/A,TRUE,"AB_Vertrag";#N/A,#N/A,TRUE,"AB_BWL"}</definedName>
    <definedName name="_imp15" hidden="1">{#N/A,#N/A,TRUE,"AB_Vertrag";#N/A,#N/A,TRUE,"AB_BWL"}</definedName>
    <definedName name="_imp21" hidden="1">{#N/A,#N/A,TRUE,"AB_Vertrag";#N/A,#N/A,TRUE,"AB_BWL"}</definedName>
    <definedName name="_imp5" hidden="1">{#N/A,#N/A,TRUE,"AB_Vertrag";#N/A,#N/A,TRUE,"AB_BWL"}</definedName>
    <definedName name="_imp6" hidden="1">{#N/A,#N/A,TRUE,"AB_Vertrag";#N/A,#N/A,TRUE,"AB_BWL"}</definedName>
    <definedName name="_imp7" hidden="1">{#N/A,#N/A,TRUE,"AB_Vertrag";#N/A,#N/A,TRUE,"AB_BWL"}</definedName>
    <definedName name="_imp8" hidden="1">{#N/A,#N/A,TRUE,"AB_Vertrag";#N/A,#N/A,TRUE,"AB_BWL"}</definedName>
    <definedName name="_Key1" hidden="1">#REF!</definedName>
    <definedName name="_Key2" hidden="1">#REF!</definedName>
    <definedName name="_NEU1" hidden="1">{#N/A,#N/A,TRUE,"AB_Vertrag";#N/A,#N/A,TRUE,"AB_BWL"}</definedName>
    <definedName name="_Order1" hidden="1">0</definedName>
    <definedName name="_Order2" hidden="1">0</definedName>
    <definedName name="_Sort" hidden="1">#REF!</definedName>
    <definedName name="_xlchart.v1.0" hidden="1">Metrix!$A$52</definedName>
    <definedName name="_xlchart.v1.1" hidden="1">Metrix!$B$51:$J$51</definedName>
    <definedName name="_xlchart.v1.2" hidden="1">Metrix!$B$52:$J$52</definedName>
    <definedName name="_xlchart.v1.3" hidden="1">Metrix!$A$20</definedName>
    <definedName name="_xlchart.v1.4" hidden="1">Metrix!$B$19:$I$19</definedName>
    <definedName name="_xlchart.v1.5" hidden="1">Metrix!$B$20:$I$20</definedName>
    <definedName name="aasiopfsdq" hidden="1">{"Détails",#N/A,FALSE,"CL1";"Détails",#N/A,FALSE,"CL2"}</definedName>
    <definedName name="Account_codes">#REF!</definedName>
    <definedName name="alt" hidden="1">{#N/A,#N/A,TRUE,"AB_Vertrag";#N/A,#N/A,TRUE,"AB_BWL"}</definedName>
    <definedName name="archCost">#REF!</definedName>
    <definedName name="AshfordLeaseAssetCfProfile">#REF!</definedName>
    <definedName name="AshfordLeaseCurrentAssetCfProfile">#REF!</definedName>
    <definedName name="AshfordLeaseLongTermCreditorCfProfile">#REF!</definedName>
    <definedName name="AshfordLeaseNonCurrentAssetCfProfile">#REF!</definedName>
    <definedName name="AshfordLeaseShortTermCreditorCfProfile">#REF!</definedName>
    <definedName name="AuditFailsStructural">#REF!</definedName>
    <definedName name="azerty" hidden="1">{"Détails",#N/A,FALSE,"CL1";"Détails",#N/A,FALSE,"CL2"}</definedName>
    <definedName name="Bud_Exch_Rate">#REF!</definedName>
    <definedName name="Bud_exch_rateUSD">#REF!</definedName>
    <definedName name="BudExRate">1.37</definedName>
    <definedName name="budExRateUSD">1.5</definedName>
    <definedName name="budRate">#REF!</definedName>
    <definedName name="BusinessDevelopment_Integration">'System List'!$AT$5:$AT$10</definedName>
    <definedName name="capexMonths">#REF!</definedName>
    <definedName name="CashManagementActionsEUR">#REF!</definedName>
    <definedName name="CashManagementActionsGBP">#REF!</definedName>
    <definedName name="CashManagementActionsUSD">#REF!</definedName>
    <definedName name="cere" hidden="1">{#N/A,#N/A,TRUE,"AB_Vertrag";#N/A,#N/A,TRUE,"AB_BWL"}</definedName>
    <definedName name="CERE1" hidden="1">{#N/A,#N/A,TRUE,"AB_Vertrag";#N/A,#N/A,TRUE,"AB_BWL"}</definedName>
    <definedName name="CERE2" hidden="1">{#N/A,#N/A,TRUE,"AB_Vertrag";#N/A,#N/A,TRUE,"AB_BWL"}</definedName>
    <definedName name="ceren" hidden="1">{#N/A,#N/A,TRUE,"AB_Vertrag";#N/A,#N/A,TRUE,"AB_BWL"}</definedName>
    <definedName name="CEREN1" hidden="1">{#N/A,#N/A,TRUE,"AB_Vertrag";#N/A,#N/A,TRUE,"AB_BWL"}</definedName>
    <definedName name="CEREN123" hidden="1">{#N/A,#N/A,TRUE,"AB_Vertrag";#N/A,#N/A,TRUE,"AB_BWL"}</definedName>
    <definedName name="CHANGE_Impact_Score">'System List'!$S$4:$T$115</definedName>
    <definedName name="Commercial">'System List'!$AD$5:$AD$12</definedName>
    <definedName name="Communication_DI">'System List'!$AX$5:$AX$7</definedName>
    <definedName name="CostSalesTicketVariableAllEURPctIn">#REF!</definedName>
    <definedName name="CostSalesTicketVariableAllGBPPctIn">#REF!</definedName>
    <definedName name="CostSalesTicketVariableAllUSDPctIn">#REF!</definedName>
    <definedName name="CostSalesTicketVariableEILEURPctIn">#REF!</definedName>
    <definedName name="CostSalesTicketVariableEILGBPPctIn">#REF!</definedName>
    <definedName name="CostSalesTicketVariableEILUSDPctIn">#REF!</definedName>
    <definedName name="CostSalesTicketVariableOtherEURPctIn">#REF!</definedName>
    <definedName name="CostSalesTicketVariableOtherGBPPctIn">#REF!</definedName>
    <definedName name="CostSalesTicketVariableOtherUSDPctIn">#REF!</definedName>
    <definedName name="CostTrainLeasesProfileEUR">#REF!</definedName>
    <definedName name="CostTrainLeasesProfileGBP">#REF!</definedName>
    <definedName name="Counterparties">#REF!</definedName>
    <definedName name="cyrus" hidden="1">{"Détails",#N/A,FALSE,"CL1";"Détails",#N/A,FALSE,"CL2"}</definedName>
    <definedName name="dataCharERR">"ERR"</definedName>
    <definedName name="dataCharOK">"ok"</definedName>
    <definedName name="dataCharWARN">"WARN"</definedName>
    <definedName name="DateActualsEnd">#REF!</definedName>
    <definedName name="Days360">#REF!</definedName>
    <definedName name="Days365">#REF!</definedName>
    <definedName name="DaysInYear">365</definedName>
    <definedName name="DaysPaymentsOutstanding">#REF!</definedName>
    <definedName name="DaysSalesOutstanding">#REF!</definedName>
    <definedName name="dbaCost">#REF!</definedName>
    <definedName name="dc5YPend">#REF!</definedName>
    <definedName name="dc5YPstart">#REF!</definedName>
    <definedName name="dcActualsMonth">#REF!</definedName>
    <definedName name="dcActualsYear">#REF!</definedName>
    <definedName name="dcAMSe320min">#REF!</definedName>
    <definedName name="dcBalSheetTol">0.2</definedName>
    <definedName name="dcBEAMAlabourIndexApr14">#REF!</definedName>
    <definedName name="dcBEAMAmaterialsIndexApr14">#REF!</definedName>
    <definedName name="dcBEprepayEC4T">#REF!</definedName>
    <definedName name="dcBEprepayTAC">#REF!</definedName>
    <definedName name="dcBStol">#REF!</definedName>
    <definedName name="dcBudgetMode">#REF!</definedName>
    <definedName name="dcCashAdjustSwitch">#REF!</definedName>
    <definedName name="dcCurrentYear">#REF!</definedName>
    <definedName name="dcCurrentYearText">#REF!</definedName>
    <definedName name="dcDateFirstOptionUnit">#REF!</definedName>
    <definedName name="dcDaysInYr">364</definedName>
    <definedName name="dcDepnFactor">#REF!</definedName>
    <definedName name="dcE300fleet">#REF!</definedName>
    <definedName name="dcEndDate">#REF!</definedName>
    <definedName name="dcERR">#REF!</definedName>
    <definedName name="dcETprepayReleasePeriod">#REF!</definedName>
    <definedName name="dcETprepayReleaseStart">#REF!</definedName>
    <definedName name="dcEURk">#REF!</definedName>
    <definedName name="dcfinalYear">#REF!</definedName>
    <definedName name="dcFirst5YPyear">#REF!</definedName>
    <definedName name="dcFirstMonth">#REF!</definedName>
    <definedName name="dcGBPk">#REF!</definedName>
    <definedName name="dcGBPm">#REF!</definedName>
    <definedName name="dcHistoryText">#REF!</definedName>
    <definedName name="dcHS1prepay">#REF!</definedName>
    <definedName name="dcLongTermText">#REF!</definedName>
    <definedName name="dcMillion">1000000</definedName>
    <definedName name="dcMthsInQtr">3</definedName>
    <definedName name="dcMthsInSA">6</definedName>
    <definedName name="dcMthsInYr">12</definedName>
    <definedName name="dcNA">#REF!</definedName>
    <definedName name="dcOK">#REF!</definedName>
    <definedName name="dcOpexAdjustSwitch">#REF!</definedName>
    <definedName name="dcOptionOrderSize">#REF!</definedName>
    <definedName name="dcPlanText">#REF!</definedName>
    <definedName name="dcR1basepcm">#REF!</definedName>
    <definedName name="dcR1basevalue">#REF!</definedName>
    <definedName name="dcR1maxExams">#REF!</definedName>
    <definedName name="dcR1periodicity">#REF!</definedName>
    <definedName name="dcR2basepcm">#REF!</definedName>
    <definedName name="dcR2basevalue">#REF!</definedName>
    <definedName name="dcR2maxExams">#REF!</definedName>
    <definedName name="dcR2periodicity">#REF!</definedName>
    <definedName name="dcRevFcastFinalYear">#REF!</definedName>
    <definedName name="dcRexamsAdjustSwitch">#REF!</definedName>
    <definedName name="dcRFFprepayA">#REF!</definedName>
    <definedName name="dcRFFprepayM">#REF!</definedName>
    <definedName name="dcThousand">1000</definedName>
    <definedName name="dcTMSTlastYear">#REF!</definedName>
    <definedName name="dcTol">#REF!</definedName>
    <definedName name="dcTolDelta">0.01</definedName>
    <definedName name="dcToThousands">#REF!</definedName>
    <definedName name="dcUseLOW">#REF!</definedName>
    <definedName name="dcUseMID">#REF!</definedName>
    <definedName name="dcVelDebtPaidOffYear">#REF!</definedName>
    <definedName name="dcVelocityOrderSize">#REF!</definedName>
    <definedName name="dcVeryLargeNumber">1000000000</definedName>
    <definedName name="dcVolk">#REF!</definedName>
    <definedName name="dcVolm">#REF!</definedName>
    <definedName name="dcWarn">#REF!</definedName>
    <definedName name="Department" localSheetId="1">Checklist!#REF!</definedName>
    <definedName name="Department">'System List'!$AB$5:$AB$12</definedName>
    <definedName name="devCost">#REF!</definedName>
    <definedName name="dfNetIncomeFactor">#REF!</definedName>
    <definedName name="dfsqklqsdpvdsqiopg" hidden="1">{#N/A,#N/A,FALSE,"ANNEXES CLIM"}</definedName>
    <definedName name="dfTVAsales">#REF!</definedName>
    <definedName name="dirR1dates">#REF!</definedName>
    <definedName name="dirR1values">#REF!</definedName>
    <definedName name="dirR2dates">#REF!</definedName>
    <definedName name="dirR2values">#REF!</definedName>
    <definedName name="DividendOverride">#REF!</definedName>
    <definedName name="dl">"_"</definedName>
    <definedName name="dlBelowEBIT">#REF!</definedName>
    <definedName name="dlCapexEUR">#REF!</definedName>
    <definedName name="dlCapexGBP">#REF!</definedName>
    <definedName name="dlCommCS">#REF!</definedName>
    <definedName name="dlCoS">#REF!</definedName>
    <definedName name="dlDivOptions">#REF!</definedName>
    <definedName name="dlInfrastructure">#REF!</definedName>
    <definedName name="dlOpsDelivery">#REF!</definedName>
    <definedName name="dlRevenue">#REF!</definedName>
    <definedName name="dlSandP">#REF!</definedName>
    <definedName name="DPO">#REF!</definedName>
    <definedName name="dSemisInYr">2</definedName>
    <definedName name="dTol">0.001</definedName>
    <definedName name="Duration">'System List'!$J$4:$K$10</definedName>
    <definedName name="E320DebtDrawdownProfileEUR">#REF!</definedName>
    <definedName name="E320DebtDrawdownProfileGBP">#REF!</definedName>
    <definedName name="E320DebtFeesPaidProfileEUR">#REF!</definedName>
    <definedName name="E320DebtFeesPaidProfileGBP">#REF!</definedName>
    <definedName name="E320DebtInterestEffectiveProfileEUR">#REF!</definedName>
    <definedName name="E320DebtInterestEffectiveProfileGBP">#REF!</definedName>
    <definedName name="E320DebtInterestPaidProfileEUR">#REF!</definedName>
    <definedName name="E320DebtInterestPaidProfileGBP">#REF!</definedName>
    <definedName name="E320DebtRepaymentBalloonProfileEUR">#REF!</definedName>
    <definedName name="E320DebtRepaymentBalloonProfileGBP">#REF!</definedName>
    <definedName name="E320DebtRepaymentProfileEUR">#REF!</definedName>
    <definedName name="E320DebtRepaymentProfileGBP">#REF!</definedName>
    <definedName name="erqwwq" hidden="1">{#N/A,#N/A,TRUE,"AB_Vertrag";#N/A,#N/A,TRUE,"AB_BWL"}</definedName>
    <definedName name="erzr" hidden="1">{#N/A,#N/A,FALSE,"ANNEXES CLIM"}</definedName>
    <definedName name="essai" hidden="1">{#N/A,#N/A,FALSE,"ANNEXES CLIM"}</definedName>
    <definedName name="fdasfed" hidden="1">{#N/A,#N/A,TRUE,"AB_Vertrag";#N/A,#N/A,TRUE,"AB_BWL"}</definedName>
    <definedName name="ff" hidden="1">#REF!</definedName>
    <definedName name="Finance">'System List'!$AN$5:$AN$11</definedName>
    <definedName name="FinanceLeaseInterestProfile">#REF!</definedName>
    <definedName name="fiveYP_inflation">#REF!</definedName>
    <definedName name="fiveYP_wageInflation">#REF!</definedName>
    <definedName name="FixedAssetBrandCfIn">#REF!</definedName>
    <definedName name="FixedAssete300IntPartsDepreciationGBPIn">#REF!</definedName>
    <definedName name="FixedAssete300IntPartsIncreaseCashEURIn">#REF!</definedName>
    <definedName name="FixedAssete300IntPartsIncreaseCashGBPIn">#REF!</definedName>
    <definedName name="FixedAssete300LocalRepairablesDepreciationGBPIn">#REF!</definedName>
    <definedName name="FixedAssete300LocalRepairablesIncreaseCashEURIn">#REF!</definedName>
    <definedName name="FixedAssete300LocalRepairablesIncreaseCashGBPIn">#REF!</definedName>
    <definedName name="FixedAssete320RepairablesDepreciationGBPIn">#REF!</definedName>
    <definedName name="FixedAssete320RepairablesIncreaseCashEURIn">#REF!</definedName>
    <definedName name="FixedAssete320RepairablesIncreaseCashGBPIn">#REF!</definedName>
    <definedName name="FixedAssetFixturesDepreciationGBPIn">#REF!</definedName>
    <definedName name="FixedAssetFixturesIncreaseCashEURIn">#REF!</definedName>
    <definedName name="FixedAssetFixturesIncreaseCashGBPIn">#REF!</definedName>
    <definedName name="FixedAssetITEquipmentDepreciationGBPIn">#REF!</definedName>
    <definedName name="FixedAssetITEquipmentIncreaseCashEURIn">#REF!</definedName>
    <definedName name="FixedAssetITEquipmentIncreaseCashGBPIn">#REF!</definedName>
    <definedName name="FixedAssetLeaseholdBuildingsDepreciationGBPIn">#REF!</definedName>
    <definedName name="FixedAssetLeaseholdBuildingsIncreaseCashEURIn">#REF!</definedName>
    <definedName name="FixedAssetLeaseholdBuildingsIncreaseCashGBPIn">#REF!</definedName>
    <definedName name="FixedAssetPandMDepreciationGBPIn">#REF!</definedName>
    <definedName name="FixedAssetPandMIncreaseCashEURIn">#REF!</definedName>
    <definedName name="FixedAssetPandMIncreaseCashGBPIn">#REF!</definedName>
    <definedName name="FixedAssetSoftwareDepreciationGBPIn">#REF!</definedName>
    <definedName name="FixedAssetSoftwareDynamicIncreaseCashEURIn">#REF!</definedName>
    <definedName name="FixedAssetSoftwareDynamicIncreaseCashGBPIn">#REF!</definedName>
    <definedName name="FixedAssetSoftwareOtherIncreaseCashEURIn">#REF!</definedName>
    <definedName name="FixedAssetSoftwareOtherIncreaseCashGBPIn">#REF!</definedName>
    <definedName name="FixedAssetSoftwareSqillsIncreaseCashEURIn">#REF!</definedName>
    <definedName name="FixedAssetSoftwareSqillsIncreaseCashGBPIn">#REF!</definedName>
    <definedName name="forecast_check">#REF!</definedName>
    <definedName name="forecast_type">#REF!</definedName>
    <definedName name="Forecast_versions">#REF!</definedName>
    <definedName name="forecastVersion">#REF!</definedName>
    <definedName name="FR_sal_increase">#REF!</definedName>
    <definedName name="FtePensionOtherIn">#REF!</definedName>
    <definedName name="FtePensionUKIn">#REF!</definedName>
    <definedName name="FXHedgeBalanceCfGBPIn">#REF!</definedName>
    <definedName name="gdsqjipgqsdjiopgqsd" hidden="1">{#N/A,#N/A,FALSE,"TITCAISVIO";#N/A,#N/A,FALSE,"SOMMCAIS";#N/A,#N/A,FALSE,"PREVCAIS";#N/A,#N/A,FALSE,"RESCAIS";"Expertise CA1",#N/A,FALSE,"CA1";#N/A,#N/A,FALSE,"ANXECAIS";#N/A,#N/A,FALSE,"COMPCAIS"}</definedName>
    <definedName name="GenSec_Legal_Sustainability">'System List'!$AV$5:$AV$10</definedName>
    <definedName name="gfqsuiopgsqjiopqsg" hidden="1">{"Détails",#N/A,FALSE,"CL1";"Détails",#N/A,FALSE,"CL2"}</definedName>
    <definedName name="gherhhhqersdbhq" hidden="1">{"Détails",#N/A,FALSE,"CL1";"Détails",#N/A,FALSE,"CL2"}</definedName>
    <definedName name="gqsrgsqgrqsgh" hidden="1">{"Détails",#N/A,FALSE,"CL1";"Détails",#N/A,FALSE,"CL2"}</definedName>
    <definedName name="h" hidden="1">{"Couverture",#N/A,FALSE,"garde";#N/A,#N/A,FALSE,"En tête";"Caisse",#N/A,FALSE,"Caisse";"Clim",#N/A,FALSE,"clim";"Electriq",#N/A,FALSE,"electrique";"Electron",#N/A,FALSE,"Electronique";"Frein",#N/A,FALSE,"Frein";"Mécan",#N/A,FALSE,"Mecanique"}</definedName>
    <definedName name="hdrshdsbfxc" hidden="1">{#N/A,#N/A,FALSE,"ANNEXES CLIM"}</definedName>
    <definedName name="HeadOfficeStaffNumberOther">#REF!</definedName>
    <definedName name="HeadOfficeStaffNumberUK">#REF!</definedName>
    <definedName name="HedgeFairValueCfEURIn">#REF!</definedName>
    <definedName name="HedgeFairValueCfGBPIn">#REF!</definedName>
    <definedName name="HoursInDayIn">24</definedName>
    <definedName name="hrejkgkerj" hidden="1">{#N/A,#N/A,FALSE,"TITCAISVIO";#N/A,#N/A,FALSE,"SOMMCAIS";#N/A,#N/A,FALSE,"PREVCAIS";#N/A,#N/A,FALSE,"RESCAIS";"Expertise CA1",#N/A,FALSE,"CA1";#N/A,#N/A,FALSE,"ANXECAIS";#N/A,#N/A,FALSE,"COMPCAIS"}</definedName>
    <definedName name="hteshsdfhsdf" hidden="1">{"Détails",#N/A,FALSE,"CL1";"Détails",#N/A,FALSE,"CL2"}</definedName>
    <definedName name="Hundred">100</definedName>
    <definedName name="imp.334" hidden="1">{#N/A,#N/A,TRUE,"Basisdaten";#N/A,#N/A,TRUE,"Betriebsrestaurant";#N/A,#N/A,TRUE,"Zwischenverpflegung";#N/A,#N/A,TRUE,"Automaten";#N/A,#N/A,TRUE,"Etagenservice";#N/A,#N/A,TRUE,"Gästebereich";#N/A,#N/A,TRUE,"Kst_1";#N/A,#N/A,TRUE,"Sonderveranstaltungen";#N/A,#N/A,TRUE,"Kst_2";#N/A,#N/A,TRUE,"Kst_3";#N/A,#N/A,TRUE,"Kst_4";#N/A,#N/A,TRUE,"Kst_5";#N/A,#N/A,TRUE,"Namen"}</definedName>
    <definedName name="imp.34" hidden="1">{#N/A,#N/A,TRUE,"AB_Vertrag";#N/A,#N/A,TRUE,"AB_BWL"}</definedName>
    <definedName name="imp_yy" hidden="1">{#N/A,#N/A,TRUE,"AB_Vertrag";#N/A,#N/A,TRUE,"AB_BWL"}</definedName>
    <definedName name="IRSwapCurrentBalanceCfEURIn">#REF!</definedName>
    <definedName name="IRSwapCurrentBalanceCfGBPIn">#REF!</definedName>
    <definedName name="LeverageDebtInterestRateIn">#REF!</definedName>
    <definedName name="LeverageDebtRepaymentIn">#REF!</definedName>
    <definedName name="LeverageDividendTargetIn">#REF!</definedName>
    <definedName name="LeverageLimitNCAIn">#REF!</definedName>
    <definedName name="llmjkmjklm" hidden="1">{"Détails",#N/A,FALSE,"CL1";"Détails",#N/A,FALSE,"CL2"}</definedName>
    <definedName name="LoadFactorThresholdHighIn">#REF!</definedName>
    <definedName name="LoadFactorThresholdLowIn">#REF!</definedName>
    <definedName name="LoadFactorThresholdVHighIn">#REF!</definedName>
    <definedName name="LoadFactorThresholdVLowIn">#REF!</definedName>
    <definedName name="luInflators">#REF!</definedName>
    <definedName name="luVolumes">#REF!</definedName>
    <definedName name="MarketingStaffNumberOther">#REF!</definedName>
    <definedName name="MarketingStaffNumberUK">#REF!</definedName>
    <definedName name="MasterCheck">#REF!</definedName>
    <definedName name="MessageNA">"n/a"</definedName>
    <definedName name="Million">1000000</definedName>
    <definedName name="monthList">#REF!</definedName>
    <definedName name="Months">#REF!</definedName>
    <definedName name="MonthsInYear">12</definedName>
    <definedName name="neu" hidden="1">{#N/A,#N/A,TRUE,"AB_Vertrag";#N/A,#N/A,TRUE,"AB_BWL"}</definedName>
    <definedName name="nEuro2PoundNew">1.37</definedName>
    <definedName name="nEuro2PoundNew145">1.45</definedName>
    <definedName name="nEuro2PoundOld">1.15</definedName>
    <definedName name="NewSeniorBaseRateEUR">#REF!</definedName>
    <definedName name="NewSeniorBaseRateGBP">#REF!</definedName>
    <definedName name="NewSeniorDrawdownProfileEUR">#REF!</definedName>
    <definedName name="NewSeniorDrawdownProfileGBP">#REF!</definedName>
    <definedName name="NewSeniorFeeProfileEUR">#REF!</definedName>
    <definedName name="NewSeniorFeeProfileGBP">#REF!</definedName>
    <definedName name="NewSeniorMarginEUR">#REF!</definedName>
    <definedName name="NewSeniorMarginGBP">#REF!</definedName>
    <definedName name="NewSeniorRepaymentProfileEUR">#REF!</definedName>
    <definedName name="NewSeniorRepaymentProfileGBP">#REF!</definedName>
    <definedName name="nHedge2016">1.375</definedName>
    <definedName name="nHedge2017">1.359</definedName>
    <definedName name="nHedge2018">1.343</definedName>
    <definedName name="o" hidden="1">{#N/A,#N/A,TRUE,"AB_Vertrag";#N/A,#N/A,TRUE,"AB_BWL"}</definedName>
    <definedName name="Operations">'System List'!$AL$5:$AL$7</definedName>
    <definedName name="ORCLoadFactorLonBru">#REF!</definedName>
    <definedName name="ORCOperatingDaysLonBru">#REF!</definedName>
    <definedName name="ORCPaxPctLonBru">#REF!</definedName>
    <definedName name="ORCSeatsPerTrainLonBru">#REF!</definedName>
    <definedName name="ORCTrainsPerDayLonBru">#REF!</definedName>
    <definedName name="organe" hidden="1">{#N/A,#N/A,FALSE,"ANNEXES CLIM"}</definedName>
    <definedName name="OtherInterestAndChargesGBPIn">#REF!</definedName>
    <definedName name="overall_tot">#REF!</definedName>
    <definedName name="PctBrusselsPaxOnAmsterdamTrainIn">#REF!</definedName>
    <definedName name="PctNoShowsEURIn">#REF!</definedName>
    <definedName name="PctNoShowsGBPIn">#REF!</definedName>
    <definedName name="PctNoShowsUSDIn">#REF!</definedName>
    <definedName name="PctSalesTicketEILEURIn">#REF!</definedName>
    <definedName name="PctSalesTicketEILGBPIn">#REF!</definedName>
    <definedName name="PctSalesTicketEILUSDIn">#REF!</definedName>
    <definedName name="PctSalesTicketNonEILEURIn">#REF!</definedName>
    <definedName name="PctSalesTicketNonEILGBPIn">#REF!</definedName>
    <definedName name="PctSalesTicketNonEILUSDIn">#REF!</definedName>
    <definedName name="PctSalesVolumesInYearCEIn">#REF!</definedName>
    <definedName name="PctSalesVolumesInYearNAIn">#REF!</definedName>
    <definedName name="PctSalesVolumesInYearRoWIn">#REF!</definedName>
    <definedName name="PctSalesVolumesInYearUKIn">#REF!</definedName>
    <definedName name="People_HR">'System List'!$AR$5:$AR$10</definedName>
    <definedName name="PeopleStaffNumberOther">#REF!</definedName>
    <definedName name="PeopleStaffNumberUK">#REF!</definedName>
    <definedName name="Pierre" hidden="1">{"Détails",#N/A,FALSE,"CL1";"Détails",#N/A,FALSE,"CL2"}</definedName>
    <definedName name="PopCache_GL_INTERFACE_REFERENCE7" hidden="1">#REF!</definedName>
    <definedName name="PrepaymentOpLeaseProfile">#REF!</definedName>
    <definedName name="projCost">#REF!</definedName>
    <definedName name="Project_codes">#REF!</definedName>
    <definedName name="reeer" hidden="1">{#N/A,#N/A,TRUE,"AB_Vertrag";#N/A,#N/A,TRUE,"AB_BWL"}</definedName>
    <definedName name="Refi">#REF!</definedName>
    <definedName name="Refi_paste">#REF!</definedName>
    <definedName name="Resource___Impact_Estiamtion_Score">#REF!</definedName>
    <definedName name="Resource_Score">'System List'!$P$4:$Q$115</definedName>
    <definedName name="RollingStock">'System List'!$AJ$5:$AJ$11</definedName>
    <definedName name="rounding">0.000001</definedName>
    <definedName name="Safety">'System List'!$AH$5:$AH$6</definedName>
    <definedName name="ScenarioNumber">#REF!</definedName>
    <definedName name="ScoreLMH">'System List'!$F$5:$F$7</definedName>
    <definedName name="Stations">'System List'!$AF$5:$AF$12</definedName>
    <definedName name="StationStaffNumberOther">#REF!</definedName>
    <definedName name="StationStaffNumberUk">#REF!</definedName>
    <definedName name="SwitchORC">#REF!</definedName>
    <definedName name="Tax">#REF!</definedName>
    <definedName name="TaxPctPaidCurrentYearIn">#REF!</definedName>
    <definedName name="tazerty" hidden="1">{"Détails",#N/A,FALSE,"CL1";"Détails",#N/A,FALSE,"CL2"}</definedName>
    <definedName name="Technology_IS_IT">'System List'!$AP$5:$AP$12</definedName>
    <definedName name="test" hidden="1">{"Détails",#N/A,FALSE,"CL1";"Détails",#N/A,FALSE,"CL2"}</definedName>
    <definedName name="testCost">#REF!</definedName>
    <definedName name="Thousand">1000</definedName>
    <definedName name="TIT" hidden="1">{#N/A,#N/A,FALSE,"ANNEXES CLIM"}</definedName>
    <definedName name="TITETROVP" hidden="1">{"Détails",#N/A,FALSE,"CL1";"Détails",#N/A,FALSE,"CL2"}</definedName>
    <definedName name="tjnrsjnrsttjns" hidden="1">{#N/A,#N/A,FALSE,"ANNEXES CLIM"}</definedName>
    <definedName name="Tol">#REF!</definedName>
    <definedName name="Tolerance">0.0001</definedName>
    <definedName name="TrainFinanceLeaseCashPaymentProfile">#REF!</definedName>
    <definedName name="TrainOpLeaseCashPaymentProfile">#REF!</definedName>
    <definedName name="TrainPlannedServicesIn">#REF!</definedName>
    <definedName name="TrainServiceStaffNumberOther">#REF!</definedName>
    <definedName name="TrainServiceStaffNumberUK">#REF!</definedName>
    <definedName name="TrainSetse300In">#REF!</definedName>
    <definedName name="TrainSetse320In">#REF!</definedName>
    <definedName name="TrainSetse320NGIn">#REF!</definedName>
    <definedName name="TrainSetsOtherIn">#REF!</definedName>
    <definedName name="tt" hidden="1">{#N/A,#N/A,TRUE,"AB_Vertrag";#N/A,#N/A,TRUE,"AB_BWL"}</definedName>
    <definedName name="tyuiop" hidden="1">{#N/A,#N/A,FALSE,"ANNEXES CLIM"}</definedName>
    <definedName name="UK_sal_increase">#REF!</definedName>
    <definedName name="UKRollingStockStaffNumberOther">#REF!</definedName>
    <definedName name="UKRollingStockStaffNumberUK">#REF!</definedName>
    <definedName name="unixCost">#REF!</definedName>
    <definedName name="VAT">#REF!</definedName>
    <definedName name="wrn.Analyse." hidden="1">{#N/A,#N/A,TRUE,"AB_Vertrag";#N/A,#N/A,TRUE,"AB_BWL"}</definedName>
    <definedName name="wrn.Budgetplanung._.97_98." hidden="1">{#N/A,#N/A,TRUE,"Basisdaten";#N/A,#N/A,TRUE,"Betriebsrestaurant";#N/A,#N/A,TRUE,"Zwischenverpflegung";#N/A,#N/A,TRUE,"Automaten";#N/A,#N/A,TRUE,"Etagenservice";#N/A,#N/A,TRUE,"Gästebereich";#N/A,#N/A,TRUE,"Kst_1";#N/A,#N/A,TRUE,"Sonderveranstaltungen";#N/A,#N/A,TRUE,"Kst_2";#N/A,#N/A,TRUE,"Kst_3";#N/A,#N/A,TRUE,"Kst_4";#N/A,#N/A,TRUE,"Kst_5";#N/A,#N/A,TRUE,"Namen"}</definedName>
    <definedName name="wrn.Doc._.complet." hidden="1">{#N/A,#N/A,FALSE,"Titre";#N/A,#N/A,FALSE,"Sommaire";#N/A,#N/A,FALSE,"Caisse";#N/A,#N/A,FALSE,"Climatisation";#N/A,#N/A,FALSE,"Electrique";#N/A,#N/A,FALSE,"Electronique";#N/A,#N/A,FALSE,"Frein";#N/A,#N/A,FALSE,"Mécanique"}</definedName>
    <definedName name="wrn.Document._.complet." hidden="1">{#N/A,#N/A,FALSE,"Généralités";#N/A,#N/A,FALSE,"Caisse";#N/A,#N/A,FALSE,"Climatisation";#N/A,#N/A,FALSE,"Electrique";#N/A,#N/A,FALSE,"Electronique";#N/A,#N/A,FALSE,"Frein";#N/A,#N/A,FALSE,"Mécanique"}</definedName>
    <definedName name="wrn.Impression._.complete._.du._.document." hidden="1">{#N/A,#N/A,FALSE,"Titre + rectif";#N/A,#N/A,FALSE,"Sommaire";#N/A,#N/A,FALSE,"Généralités";#N/A,#N/A,FALSE,"Caisse";#N/A,#N/A,FALSE,"Climatisation";#N/A,#N/A,FALSE,"Electrique";#N/A,#N/A,FALSE,"Electronique";#N/A,#N/A,FALSE,"Frein";#N/A,#N/A,FALSE,"Annexe Frein";#N/A,#N/A,FALSE,"Mécanique"}</definedName>
    <definedName name="wrn.SYNT." hidden="1">{#N/A,#N/A,FALSE,"Synt Caisse";#N/A,#N/A,FALSE,"Synt Clim";#N/A,#N/A,FALSE,"Synt Electric";#N/A,#N/A,FALSE,"Synt Electron";#N/A,#N/A,FALSE,"Synt Frein";#N/A,#N/A,FALSE,"Synt Mécanique"}</definedName>
    <definedName name="wrn.TITRE." hidden="1">{#N/A,#N/A,FALSE,"TITRE CAISSE ";#N/A,#N/A,FALSE,"TITRE CLIM";#N/A,#N/A,FALSE,"TITRE ELECTR";#N/A,#N/A,FALSE,"TITRE TRONIC";#N/A,#N/A,FALSE,"TITRE FREIN";#N/A,#N/A,FALSE,"TITRE MECA"}</definedName>
    <definedName name="YieldGrowthBruAms">#REF!</definedName>
    <definedName name="YieldGrowthLonAms">#REF!</definedName>
    <definedName name="YieldGrowthLonBru">#REF!</definedName>
    <definedName name="YieldGrowthLonNew">#REF!</definedName>
    <definedName name="YieldGrowthLonOth">#REF!</definedName>
    <definedName name="YieldGrowthLonPar">#REF!</definedName>
    <definedName name="yy" hidden="1">{#N/A,#N/A,TRUE,"AB_Vertrag";#N/A,#N/A,TRUE,"AB_BWL"}</definedName>
  </definedName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 s="1"/>
  <c r="T5" i="1" a="1"/>
  <c r="T5" i="1" s="1"/>
  <c r="AD5" i="1"/>
  <c r="AE5" i="1" a="1"/>
  <c r="AE5" i="1" s="1"/>
  <c r="AR5" i="1" a="1"/>
  <c r="AR5" i="1" s="1"/>
  <c r="T12" i="1" a="1"/>
  <c r="T12" i="1" s="1"/>
  <c r="T13" i="1" a="1"/>
  <c r="T13" i="1" s="1"/>
  <c r="T20" i="1" a="1"/>
  <c r="T20" i="1" s="1"/>
  <c r="T25" i="1" a="1"/>
  <c r="T25" i="1" s="1"/>
  <c r="AD25" i="1"/>
  <c r="AE25" i="1" a="1"/>
  <c r="AE25" i="1" s="1"/>
  <c r="AR25" i="1" a="1"/>
  <c r="AR25" i="1" s="1"/>
  <c r="T70" i="1" a="1"/>
  <c r="T70" i="1" s="1"/>
  <c r="AD70" i="1"/>
  <c r="AE70" i="1" a="1"/>
  <c r="AE70" i="1" s="1"/>
  <c r="AR70" i="1" a="1"/>
  <c r="AR70" i="1" s="1"/>
  <c r="T76" i="1" a="1"/>
  <c r="T76" i="1" s="1"/>
  <c r="AD76" i="1"/>
  <c r="AE76" i="1" a="1"/>
  <c r="AE76" i="1" s="1"/>
  <c r="AR76" i="1" a="1"/>
  <c r="AR76" i="1" s="1"/>
  <c r="T53" i="1" a="1"/>
  <c r="T53" i="1" s="1"/>
  <c r="AD53" i="1"/>
  <c r="AE53" i="1" a="1"/>
  <c r="AE53" i="1" s="1"/>
  <c r="AR53" i="1" a="1"/>
  <c r="AR53" i="1" s="1"/>
  <c r="T67" i="1" a="1"/>
  <c r="T67" i="1" s="1"/>
  <c r="AD67" i="1"/>
  <c r="AE67" i="1" a="1"/>
  <c r="AE67" i="1" s="1"/>
  <c r="AR67" i="1" a="1"/>
  <c r="AR67" i="1" s="1"/>
  <c r="T10" i="1" a="1"/>
  <c r="T10" i="1" s="1"/>
  <c r="T101" i="1" a="1"/>
  <c r="T101" i="1" s="1"/>
  <c r="T99" i="1" a="1"/>
  <c r="T99" i="1" s="1"/>
  <c r="T6" i="1" a="1"/>
  <c r="T6" i="1" s="1"/>
  <c r="T19" i="1" a="1"/>
  <c r="T19" i="1" s="1"/>
  <c r="T9" i="1" a="1"/>
  <c r="T9" i="1" s="1"/>
  <c r="T110" i="1" a="1"/>
  <c r="T110" i="1" s="1"/>
  <c r="T8" i="1" a="1"/>
  <c r="T8" i="1" s="1"/>
  <c r="T7" i="1" a="1"/>
  <c r="T7" i="1" s="1"/>
  <c r="T4" i="1" a="1"/>
  <c r="T4" i="1" s="1"/>
  <c r="T109" i="1" a="1"/>
  <c r="T109" i="1" s="1"/>
  <c r="T51" i="1" a="1"/>
  <c r="T51" i="1" s="1"/>
  <c r="T26" i="1" a="1"/>
  <c r="T26" i="1" s="1"/>
  <c r="T96" i="1" a="1"/>
  <c r="T96" i="1" s="1"/>
  <c r="AD99" i="1"/>
  <c r="AE99" i="1" a="1"/>
  <c r="AE99" i="1" s="1"/>
  <c r="AR99" i="1" a="1"/>
  <c r="AR99" i="1" s="1"/>
  <c r="BH107" i="1"/>
  <c r="BI107" i="1"/>
  <c r="BJ107" i="1"/>
  <c r="BK107" i="1"/>
  <c r="BL107" i="1"/>
  <c r="BM107" i="1"/>
  <c r="BN107" i="1"/>
  <c r="BO107" i="1"/>
  <c r="BP107" i="1"/>
  <c r="BQ107" i="1"/>
  <c r="BR107" i="1"/>
  <c r="BT107" i="1"/>
  <c r="BU107" i="1"/>
  <c r="BV107" i="1"/>
  <c r="BW107" i="1"/>
  <c r="BX107" i="1"/>
  <c r="BY107" i="1"/>
  <c r="BZ107" i="1"/>
  <c r="CA107" i="1"/>
  <c r="T95" i="1" a="1"/>
  <c r="T95" i="1" s="1"/>
  <c r="T94" i="1" a="1"/>
  <c r="T94" i="1" s="1"/>
  <c r="T11" i="1" a="1"/>
  <c r="T11" i="1" s="1"/>
  <c r="AT5" i="1" l="1"/>
  <c r="AS5" i="1"/>
  <c r="AU5" i="1" s="1"/>
  <c r="T28" i="1" a="1"/>
  <c r="T28" i="1" s="1"/>
  <c r="T82" i="1" a="1"/>
  <c r="T82" i="1" s="1"/>
  <c r="T98" i="1" a="1"/>
  <c r="T98" i="1" s="1"/>
  <c r="AD98" i="1"/>
  <c r="AE98" i="1" a="1"/>
  <c r="AE98" i="1" s="1"/>
  <c r="AR98" i="1" a="1"/>
  <c r="AR98" i="1" s="1"/>
  <c r="T107" i="1" a="1"/>
  <c r="T107" i="1" s="1"/>
  <c r="AD107" i="1"/>
  <c r="AE107" i="1" a="1"/>
  <c r="AE107" i="1" s="1"/>
  <c r="AR107" i="1" a="1"/>
  <c r="AR107" i="1" s="1"/>
  <c r="AR49" i="1" a="1"/>
  <c r="AR49" i="1" s="1"/>
  <c r="AE49" i="1" a="1"/>
  <c r="AE49" i="1" s="1"/>
  <c r="AD49" i="1"/>
  <c r="T49" i="1" a="1"/>
  <c r="T49" i="1" s="1"/>
  <c r="T78" i="1" a="1"/>
  <c r="T78" i="1" s="1"/>
  <c r="BC97" i="1" l="1"/>
  <c r="BC31" i="1"/>
  <c r="BC55" i="1"/>
  <c r="BC37" i="1"/>
  <c r="BC41" i="1"/>
  <c r="T42" i="1" a="1"/>
  <c r="T42" i="1" s="1"/>
  <c r="AD42" i="1"/>
  <c r="AE42" i="1" a="1"/>
  <c r="AE42" i="1" s="1"/>
  <c r="AR42" i="1" a="1"/>
  <c r="AR42" i="1" s="1"/>
  <c r="T73" i="1" a="1"/>
  <c r="T73" i="1" s="1"/>
  <c r="AD73" i="1"/>
  <c r="AE73" i="1" a="1"/>
  <c r="AE73" i="1" s="1"/>
  <c r="AR73" i="1" a="1"/>
  <c r="AR73" i="1" s="1"/>
  <c r="BC44" i="1"/>
  <c r="AV81" i="1"/>
  <c r="AV30" i="1"/>
  <c r="AV47" i="1"/>
  <c r="AV17" i="1"/>
  <c r="AV66" i="1"/>
  <c r="AV38" i="1"/>
  <c r="AV22" i="1"/>
  <c r="AV18" i="1"/>
  <c r="AV23" i="1"/>
  <c r="AV91" i="1"/>
  <c r="AV21" i="1"/>
  <c r="AV77" i="1"/>
  <c r="AV14" i="1"/>
  <c r="AV71" i="1"/>
  <c r="AV35" i="1"/>
  <c r="AV27" i="1"/>
  <c r="AV93" i="1"/>
  <c r="AV33" i="1"/>
  <c r="AV48" i="1"/>
  <c r="AV87" i="1"/>
  <c r="AV60" i="1"/>
  <c r="AV39" i="1"/>
  <c r="AV40" i="1"/>
  <c r="AV72" i="1"/>
  <c r="AV43" i="1"/>
  <c r="AV56" i="1"/>
  <c r="AV45" i="1"/>
  <c r="AV36" i="1"/>
  <c r="AV41" i="1"/>
  <c r="AV37" i="1"/>
  <c r="AV63" i="1"/>
  <c r="AV50" i="1"/>
  <c r="AV52" i="1"/>
  <c r="AV54" i="1"/>
  <c r="AV15" i="1"/>
  <c r="AV55" i="1"/>
  <c r="AV92" i="1"/>
  <c r="AV61" i="1"/>
  <c r="AV58" i="1"/>
  <c r="AV62" i="1"/>
  <c r="AV59" i="1"/>
  <c r="AV74" i="1"/>
  <c r="AV65" i="1"/>
  <c r="AV69" i="1"/>
  <c r="AV90" i="1"/>
  <c r="AV57" i="1"/>
  <c r="AV24" i="1"/>
  <c r="AV31" i="1"/>
  <c r="AV75" i="1"/>
  <c r="AV79" i="1"/>
  <c r="AV46" i="1"/>
  <c r="AV80" i="1"/>
  <c r="AV44" i="1"/>
  <c r="AV84" i="1"/>
  <c r="AV68" i="1"/>
  <c r="AV32" i="1"/>
  <c r="AV83" i="1"/>
  <c r="AV85" i="1"/>
  <c r="AV89" i="1"/>
  <c r="AV29" i="1"/>
  <c r="AV88" i="1"/>
  <c r="AV64" i="1"/>
  <c r="AV102" i="1"/>
  <c r="AV97" i="1"/>
  <c r="AV100" i="1"/>
  <c r="AV16" i="1"/>
  <c r="AV103" i="1"/>
  <c r="AV104" i="1"/>
  <c r="AV105" i="1"/>
  <c r="AV106" i="1"/>
  <c r="AV108" i="1"/>
  <c r="AV86" i="1"/>
  <c r="AV34" i="1"/>
  <c r="AV78" i="1"/>
  <c r="AV12" i="1"/>
  <c r="AV13" i="1"/>
  <c r="AV20" i="1"/>
  <c r="AV82" i="1"/>
  <c r="AV28" i="1"/>
  <c r="AV11" i="1"/>
  <c r="AV94" i="1"/>
  <c r="AV95" i="1"/>
  <c r="AV96" i="1"/>
  <c r="AV26" i="1"/>
  <c r="AV51" i="1"/>
  <c r="AV7" i="1"/>
  <c r="AV3" i="1"/>
  <c r="BC100" i="1"/>
  <c r="BC91" i="1"/>
  <c r="B41" i="15"/>
  <c r="F41" i="15"/>
  <c r="E41" i="15"/>
  <c r="D41" i="15"/>
  <c r="C41" i="15"/>
  <c r="T97" i="1" a="1"/>
  <c r="T97" i="1" s="1"/>
  <c r="T55" i="1" a="1"/>
  <c r="T55" i="1" s="1"/>
  <c r="T32" i="1" a="1"/>
  <c r="T32" i="1" s="1"/>
  <c r="T108" i="1" a="1"/>
  <c r="T108" i="1" s="1"/>
  <c r="BC63" i="1"/>
  <c r="BC89" i="1"/>
  <c r="CD2" i="1" a="1"/>
  <c r="CC2" i="1"/>
  <c r="CC107" i="1" s="1" a="1"/>
  <c r="CC107" i="1" s="1"/>
  <c r="AR89" i="1" a="1"/>
  <c r="AR89" i="1" s="1"/>
  <c r="AE89" i="1" a="1"/>
  <c r="AE89" i="1" s="1"/>
  <c r="T89" i="1" a="1"/>
  <c r="T89" i="1" s="1"/>
  <c r="GB2" i="1"/>
  <c r="GB95" i="1" s="1"/>
  <c r="GC2" i="1"/>
  <c r="GC135" i="1" s="1"/>
  <c r="GD2" i="1"/>
  <c r="GD35" i="1" s="1"/>
  <c r="GF2" i="1"/>
  <c r="GF196" i="1" s="1"/>
  <c r="GG2" i="1"/>
  <c r="GG168" i="1" s="1"/>
  <c r="GH2" i="1"/>
  <c r="GH174" i="1" s="1"/>
  <c r="GI2" i="1"/>
  <c r="GI55" i="1" s="1"/>
  <c r="GJ2" i="1"/>
  <c r="GJ188" i="1" s="1"/>
  <c r="BH2" i="1"/>
  <c r="GB1" i="1" s="1"/>
  <c r="GC1" i="1" s="1"/>
  <c r="GD1" i="1" s="1"/>
  <c r="GE1" i="1" s="1"/>
  <c r="BH85" i="1"/>
  <c r="GL2" i="1"/>
  <c r="GL5" i="1" s="1"/>
  <c r="GM2" i="1"/>
  <c r="GM10" i="1" s="1"/>
  <c r="GN2" i="1"/>
  <c r="GN109" i="1" s="1"/>
  <c r="GP2" i="1"/>
  <c r="GP107" i="1" s="1"/>
  <c r="GQ2" i="1"/>
  <c r="GR2" i="1"/>
  <c r="GR107" i="1" s="1"/>
  <c r="GS2" i="1"/>
  <c r="GT2" i="1"/>
  <c r="GV2" i="1"/>
  <c r="GV60" i="1" s="1"/>
  <c r="GW2" i="1"/>
  <c r="GX2" i="1"/>
  <c r="GX94" i="1" s="1"/>
  <c r="GZ2" i="1"/>
  <c r="GZ107" i="1" s="1"/>
  <c r="HA2" i="1"/>
  <c r="HA177" i="1" s="1"/>
  <c r="HB2" i="1"/>
  <c r="HB185" i="1" s="1"/>
  <c r="HC2" i="1"/>
  <c r="HC145" i="1" s="1"/>
  <c r="HD2" i="1"/>
  <c r="HD169" i="1" s="1"/>
  <c r="HF2" i="1"/>
  <c r="HF197" i="1" s="1"/>
  <c r="HG2" i="1"/>
  <c r="HG62" i="1" s="1"/>
  <c r="HH2" i="1"/>
  <c r="HJ2" i="1"/>
  <c r="HJ202" i="1" s="1"/>
  <c r="HK2" i="1"/>
  <c r="HK113" i="1" s="1"/>
  <c r="HL2" i="1"/>
  <c r="HL143" i="1" s="1"/>
  <c r="HM2" i="1"/>
  <c r="HM37" i="1" s="1"/>
  <c r="HN2" i="1"/>
  <c r="HP2" i="1"/>
  <c r="HQ2" i="1"/>
  <c r="HR2" i="1"/>
  <c r="HR156" i="1" s="1"/>
  <c r="HT2" i="1"/>
  <c r="HT107" i="1" s="1"/>
  <c r="HU2" i="1"/>
  <c r="HV2" i="1"/>
  <c r="HV107" i="1" s="1"/>
  <c r="HW2" i="1"/>
  <c r="HW55" i="1" s="1"/>
  <c r="HX2" i="1"/>
  <c r="HX107" i="1" s="1"/>
  <c r="HZ2" i="1"/>
  <c r="IA2" i="1"/>
  <c r="IA13" i="1" s="1"/>
  <c r="IB2" i="1"/>
  <c r="IB11" i="1" s="1"/>
  <c r="ID2" i="1"/>
  <c r="ID147" i="1" s="1"/>
  <c r="IE2" i="1"/>
  <c r="IE143" i="1" s="1"/>
  <c r="IF2" i="1"/>
  <c r="IF159" i="1" s="1"/>
  <c r="IG2" i="1"/>
  <c r="IG175" i="1" s="1"/>
  <c r="IH2" i="1"/>
  <c r="IH54" i="1" s="1"/>
  <c r="IJ2" i="1"/>
  <c r="IJ136" i="1" s="1"/>
  <c r="IK2" i="1"/>
  <c r="IK4" i="1" s="1"/>
  <c r="IL2" i="1"/>
  <c r="IL70" i="1" s="1"/>
  <c r="IN2" i="1"/>
  <c r="IN186" i="1" s="1"/>
  <c r="IO2" i="1"/>
  <c r="IO173" i="1" s="1"/>
  <c r="IP2" i="1"/>
  <c r="IP165" i="1" s="1"/>
  <c r="IQ2" i="1"/>
  <c r="IR2" i="1"/>
  <c r="IT2" i="1"/>
  <c r="IU2" i="1"/>
  <c r="IU38" i="1" s="1"/>
  <c r="IV2" i="1"/>
  <c r="IV8" i="1" s="1"/>
  <c r="IX2" i="1"/>
  <c r="IX107" i="1" s="1"/>
  <c r="IY2" i="1"/>
  <c r="IY184" i="1" s="1"/>
  <c r="IZ2" i="1"/>
  <c r="JA2" i="1"/>
  <c r="JB2" i="1"/>
  <c r="JB13" i="1" s="1"/>
  <c r="JD2" i="1"/>
  <c r="JD80" i="1" s="1"/>
  <c r="JE2" i="1"/>
  <c r="JE30" i="1" s="1"/>
  <c r="JF2" i="1"/>
  <c r="JH2" i="1"/>
  <c r="JI2" i="1"/>
  <c r="JI138" i="1" s="1"/>
  <c r="JJ2" i="1"/>
  <c r="JJ83" i="1" s="1"/>
  <c r="JK2" i="1"/>
  <c r="JK164" i="1" s="1"/>
  <c r="JL2" i="1"/>
  <c r="JL144" i="1" s="1"/>
  <c r="BP2" i="1"/>
  <c r="JD1" i="1" s="1"/>
  <c r="JE1" i="1" s="1"/>
  <c r="JF1" i="1" s="1"/>
  <c r="JG1" i="1" s="1"/>
  <c r="BI2" i="1"/>
  <c r="GL1" i="1" s="1"/>
  <c r="GM1" i="1" s="1"/>
  <c r="GN1" i="1" s="1"/>
  <c r="GO1" i="1" s="1"/>
  <c r="BJ2" i="1"/>
  <c r="GV1" i="1" s="1"/>
  <c r="GW1" i="1" s="1"/>
  <c r="GX1" i="1" s="1"/>
  <c r="GY1" i="1" s="1"/>
  <c r="BK2" i="1"/>
  <c r="HF1" i="1" s="1"/>
  <c r="HG1" i="1" s="1"/>
  <c r="HH1" i="1" s="1"/>
  <c r="HI1" i="1" s="1"/>
  <c r="BL2" i="1"/>
  <c r="HP1" i="1" s="1"/>
  <c r="HQ1" i="1" s="1"/>
  <c r="HR1" i="1" s="1"/>
  <c r="HS1" i="1" s="1"/>
  <c r="HT1" i="1" s="1"/>
  <c r="HT72" i="1" s="1"/>
  <c r="BM2" i="1"/>
  <c r="HZ1" i="1" s="1"/>
  <c r="IA1" i="1" s="1"/>
  <c r="IB1" i="1" s="1"/>
  <c r="BN2" i="1"/>
  <c r="BO2" i="1"/>
  <c r="IT1" i="1" s="1"/>
  <c r="IU1" i="1" s="1"/>
  <c r="IV1" i="1" s="1"/>
  <c r="BQ2" i="1"/>
  <c r="JN1" i="1" s="1"/>
  <c r="JO1" i="1" s="1"/>
  <c r="JP1" i="1" s="1"/>
  <c r="BR2" i="1"/>
  <c r="JX1" i="1" s="1"/>
  <c r="JY1" i="1" s="1"/>
  <c r="JZ1" i="1" s="1"/>
  <c r="BI85" i="1"/>
  <c r="BJ85" i="1"/>
  <c r="BK85" i="1"/>
  <c r="BL85" i="1"/>
  <c r="BM85" i="1"/>
  <c r="BN85" i="1"/>
  <c r="BO85" i="1"/>
  <c r="BP85" i="1"/>
  <c r="BQ85" i="1"/>
  <c r="BR85" i="1"/>
  <c r="JN2" i="1"/>
  <c r="JO2" i="1"/>
  <c r="JO30" i="1" s="1"/>
  <c r="JP2" i="1"/>
  <c r="JR2" i="1"/>
  <c r="JS2" i="1"/>
  <c r="JS187" i="1" s="1"/>
  <c r="JT2" i="1"/>
  <c r="JU2" i="1"/>
  <c r="JU127" i="1" s="1"/>
  <c r="JV2" i="1"/>
  <c r="JX2" i="1"/>
  <c r="JY2" i="1"/>
  <c r="JY107" i="1" s="1"/>
  <c r="JZ2" i="1"/>
  <c r="KB2" i="1"/>
  <c r="KB107" i="1" s="1"/>
  <c r="KC2" i="1"/>
  <c r="KC141" i="1" s="1"/>
  <c r="KD2" i="1"/>
  <c r="KE2" i="1"/>
  <c r="KE98" i="1" s="1"/>
  <c r="KF2" i="1"/>
  <c r="KF200" i="1" s="1"/>
  <c r="CN2" i="1"/>
  <c r="CN166" i="1" s="1"/>
  <c r="CO2" i="1"/>
  <c r="CO158" i="1" s="1"/>
  <c r="CP2" i="1"/>
  <c r="CP17" i="1" s="1"/>
  <c r="CQ2" i="1"/>
  <c r="CQ170" i="1" s="1"/>
  <c r="CR2" i="1"/>
  <c r="CR6" i="1" s="1"/>
  <c r="CS2" i="1"/>
  <c r="CS113" i="1" s="1"/>
  <c r="CT2" i="1"/>
  <c r="CT45" i="1" s="1"/>
  <c r="CU2" i="1"/>
  <c r="CU20" i="1" s="1"/>
  <c r="CV2" i="1"/>
  <c r="BT86" i="1"/>
  <c r="BU86" i="1"/>
  <c r="BV86" i="1"/>
  <c r="BW86" i="1"/>
  <c r="BX86" i="1"/>
  <c r="BY86" i="1"/>
  <c r="BZ86" i="1"/>
  <c r="CA86" i="1"/>
  <c r="BH86" i="1"/>
  <c r="BI86" i="1"/>
  <c r="BJ86" i="1"/>
  <c r="BK86" i="1"/>
  <c r="BL86" i="1"/>
  <c r="BM86" i="1"/>
  <c r="BN86" i="1"/>
  <c r="BO86" i="1"/>
  <c r="BP86" i="1"/>
  <c r="BQ86" i="1"/>
  <c r="BR86" i="1"/>
  <c r="AD89" i="1"/>
  <c r="F40" i="3"/>
  <c r="F41" i="3"/>
  <c r="F42" i="3"/>
  <c r="CA85" i="1"/>
  <c r="BZ85" i="1"/>
  <c r="BY85" i="1"/>
  <c r="BX85" i="1"/>
  <c r="BW85" i="1"/>
  <c r="BV85" i="1"/>
  <c r="BU85" i="1"/>
  <c r="BT85" i="1"/>
  <c r="AR100" i="1" a="1"/>
  <c r="AR100" i="1" s="1"/>
  <c r="AE100" i="1" a="1"/>
  <c r="AE100" i="1" s="1"/>
  <c r="AD100" i="1"/>
  <c r="T100" i="1" a="1"/>
  <c r="T100" i="1" s="1"/>
  <c r="BC77" i="1"/>
  <c r="AR18" i="1" a="1"/>
  <c r="AR18" i="1" s="1"/>
  <c r="AE18" i="1" a="1"/>
  <c r="AE18" i="1" s="1"/>
  <c r="T18" i="1" a="1"/>
  <c r="T18" i="1" s="1"/>
  <c r="BT13" i="1"/>
  <c r="BU13" i="1"/>
  <c r="BV13" i="1"/>
  <c r="BW13" i="1"/>
  <c r="BX13" i="1"/>
  <c r="BY13" i="1"/>
  <c r="BZ13" i="1"/>
  <c r="CA13" i="1"/>
  <c r="BH13" i="1"/>
  <c r="BI13" i="1"/>
  <c r="BJ13" i="1"/>
  <c r="BK13" i="1"/>
  <c r="BL13" i="1"/>
  <c r="BM13" i="1"/>
  <c r="BN13" i="1"/>
  <c r="BO13" i="1"/>
  <c r="BP13" i="1"/>
  <c r="BQ13" i="1"/>
  <c r="BR13" i="1"/>
  <c r="BC18" i="1"/>
  <c r="AD18" i="1"/>
  <c r="F43" i="3"/>
  <c r="F44" i="3"/>
  <c r="F45" i="3"/>
  <c r="F46" i="3"/>
  <c r="H42" i="3"/>
  <c r="H43" i="3"/>
  <c r="H44" i="3"/>
  <c r="H45" i="3"/>
  <c r="H46" i="3"/>
  <c r="H47" i="3"/>
  <c r="H48" i="3"/>
  <c r="F47" i="3"/>
  <c r="H49" i="3"/>
  <c r="F48" i="3"/>
  <c r="H50" i="3"/>
  <c r="F49" i="3"/>
  <c r="H51" i="3"/>
  <c r="F50" i="3"/>
  <c r="H52" i="3"/>
  <c r="F51" i="3"/>
  <c r="H53" i="3"/>
  <c r="F52" i="3"/>
  <c r="H54" i="3"/>
  <c r="F53" i="3"/>
  <c r="H55" i="3"/>
  <c r="F54" i="3"/>
  <c r="H56" i="3"/>
  <c r="F55" i="3"/>
  <c r="H57" i="3"/>
  <c r="F56" i="3"/>
  <c r="H58" i="3"/>
  <c r="F57" i="3"/>
  <c r="H59" i="3"/>
  <c r="F58" i="3"/>
  <c r="H60" i="3"/>
  <c r="F59" i="3"/>
  <c r="H61" i="3"/>
  <c r="F60" i="3"/>
  <c r="H62" i="3"/>
  <c r="F61" i="3"/>
  <c r="H63" i="3"/>
  <c r="F62" i="3"/>
  <c r="H64" i="3"/>
  <c r="F63" i="3"/>
  <c r="H65" i="3"/>
  <c r="F64" i="3"/>
  <c r="H66" i="3"/>
  <c r="F65" i="3"/>
  <c r="H67" i="3"/>
  <c r="F66" i="3"/>
  <c r="H68" i="3"/>
  <c r="F67" i="3"/>
  <c r="H69" i="3"/>
  <c r="F68" i="3"/>
  <c r="H70" i="3"/>
  <c r="F69" i="3"/>
  <c r="H71" i="3"/>
  <c r="F70" i="3"/>
  <c r="H72" i="3"/>
  <c r="F71" i="3"/>
  <c r="H73" i="3"/>
  <c r="F72" i="3"/>
  <c r="H74" i="3"/>
  <c r="F73" i="3"/>
  <c r="H75" i="3"/>
  <c r="F74" i="3"/>
  <c r="H76" i="3"/>
  <c r="F75" i="3"/>
  <c r="H77" i="3"/>
  <c r="F76" i="3"/>
  <c r="H78" i="3"/>
  <c r="F77" i="3"/>
  <c r="H79" i="3"/>
  <c r="F78" i="3"/>
  <c r="H80" i="3"/>
  <c r="F79" i="3"/>
  <c r="H81" i="3"/>
  <c r="F80" i="3"/>
  <c r="H82" i="3"/>
  <c r="F81" i="3"/>
  <c r="H83" i="3"/>
  <c r="F82" i="3"/>
  <c r="H84" i="3"/>
  <c r="F83" i="3"/>
  <c r="H85" i="3"/>
  <c r="BA3" i="1"/>
  <c r="BC3" i="1" s="1"/>
  <c r="BA30" i="1"/>
  <c r="BC30" i="1" s="1"/>
  <c r="AZ88" i="1"/>
  <c r="BC88" i="1" s="1"/>
  <c r="BA22" i="1"/>
  <c r="BC29" i="1"/>
  <c r="BC80" i="1"/>
  <c r="AR59" i="1" a="1"/>
  <c r="AR59" i="1" s="1"/>
  <c r="AE59" i="1" a="1"/>
  <c r="AE59" i="1" s="1"/>
  <c r="T59" i="1" a="1"/>
  <c r="T59" i="1" s="1"/>
  <c r="BT46" i="1"/>
  <c r="BU46" i="1"/>
  <c r="BV46" i="1"/>
  <c r="BW46" i="1"/>
  <c r="BX46" i="1"/>
  <c r="BY46" i="1"/>
  <c r="BZ46" i="1"/>
  <c r="CA46" i="1"/>
  <c r="BH46" i="1"/>
  <c r="BI46" i="1"/>
  <c r="BJ46" i="1"/>
  <c r="BK46" i="1"/>
  <c r="BL46" i="1"/>
  <c r="BM46" i="1"/>
  <c r="BN46" i="1"/>
  <c r="BO46" i="1"/>
  <c r="BP46" i="1"/>
  <c r="BQ46" i="1"/>
  <c r="BR46" i="1"/>
  <c r="AD59" i="1"/>
  <c r="AR83" i="1" a="1"/>
  <c r="AR83" i="1" s="1"/>
  <c r="AE83" i="1" a="1"/>
  <c r="AE83" i="1" s="1"/>
  <c r="T83" i="1" a="1"/>
  <c r="T83" i="1" s="1"/>
  <c r="BC83" i="1"/>
  <c r="AD83" i="1"/>
  <c r="AR77" i="1" a="1"/>
  <c r="AR77" i="1" s="1"/>
  <c r="AE77" i="1" a="1"/>
  <c r="AE77" i="1" s="1"/>
  <c r="T77" i="1" a="1"/>
  <c r="T77" i="1" s="1"/>
  <c r="BT47" i="1"/>
  <c r="BU47" i="1"/>
  <c r="BV47" i="1"/>
  <c r="BW47" i="1"/>
  <c r="BX47" i="1"/>
  <c r="BY47" i="1"/>
  <c r="BZ47" i="1"/>
  <c r="CA47" i="1"/>
  <c r="BH47" i="1"/>
  <c r="BI47" i="1"/>
  <c r="BJ47" i="1"/>
  <c r="BK47" i="1"/>
  <c r="BL47" i="1"/>
  <c r="BM47" i="1"/>
  <c r="BN47" i="1"/>
  <c r="BO47" i="1"/>
  <c r="BP47" i="1"/>
  <c r="BQ47" i="1"/>
  <c r="BR47" i="1"/>
  <c r="AD77" i="1"/>
  <c r="AR57" i="1" a="1"/>
  <c r="AR57" i="1" s="1"/>
  <c r="AE57" i="1" a="1"/>
  <c r="AE57" i="1" s="1"/>
  <c r="T57" i="1" a="1"/>
  <c r="T57" i="1" s="1"/>
  <c r="AD57" i="1"/>
  <c r="AR63" i="1" a="1"/>
  <c r="AR63" i="1" s="1"/>
  <c r="AE63" i="1" a="1"/>
  <c r="AE63" i="1" s="1"/>
  <c r="T63" i="1" a="1"/>
  <c r="T63" i="1" s="1"/>
  <c r="BT36" i="1"/>
  <c r="BU36" i="1"/>
  <c r="BV36" i="1"/>
  <c r="BW36" i="1"/>
  <c r="BX36" i="1"/>
  <c r="BY36" i="1"/>
  <c r="BZ36" i="1"/>
  <c r="CA36" i="1"/>
  <c r="BH36" i="1"/>
  <c r="BI36" i="1"/>
  <c r="BJ36" i="1"/>
  <c r="BK36" i="1"/>
  <c r="BL36" i="1"/>
  <c r="BM36" i="1"/>
  <c r="BN36" i="1"/>
  <c r="BO36" i="1"/>
  <c r="BP36" i="1"/>
  <c r="BQ36" i="1"/>
  <c r="BR36" i="1"/>
  <c r="AD63" i="1"/>
  <c r="AZ22" i="1"/>
  <c r="T3" i="1" a="1"/>
  <c r="T3" i="1" s="1"/>
  <c r="AD3" i="1"/>
  <c r="AE3" i="1" a="1"/>
  <c r="AE3" i="1" s="1"/>
  <c r="AR3" i="1" a="1"/>
  <c r="AR3" i="1" s="1"/>
  <c r="AZ24" i="1"/>
  <c r="BA24" i="1"/>
  <c r="H52" i="15"/>
  <c r="E20" i="15"/>
  <c r="G52" i="15"/>
  <c r="F52" i="15"/>
  <c r="C20" i="15"/>
  <c r="I20" i="15"/>
  <c r="G20" i="15"/>
  <c r="I52" i="15"/>
  <c r="E52" i="15"/>
  <c r="B20" i="15"/>
  <c r="D52" i="15"/>
  <c r="B52" i="15"/>
  <c r="D20" i="15"/>
  <c r="B43" i="15"/>
  <c r="C52" i="15"/>
  <c r="H20" i="15"/>
  <c r="J52" i="15"/>
  <c r="F20" i="15"/>
  <c r="BA15" i="1"/>
  <c r="AZ15" i="1"/>
  <c r="C43" i="15"/>
  <c r="T33" i="1" a="1"/>
  <c r="T33" i="1" s="1"/>
  <c r="AD33" i="1"/>
  <c r="AE33" i="1" a="1"/>
  <c r="AE33" i="1" s="1"/>
  <c r="AR33" i="1" a="1"/>
  <c r="AR33" i="1" s="1"/>
  <c r="AD93" i="1"/>
  <c r="AD39" i="1"/>
  <c r="AD21" i="1"/>
  <c r="AD47" i="1"/>
  <c r="AD81" i="1"/>
  <c r="AD36" i="1"/>
  <c r="AD32" i="1"/>
  <c r="AD85" i="1"/>
  <c r="AD75" i="1"/>
  <c r="AD64" i="1"/>
  <c r="AD56" i="1"/>
  <c r="AD61" i="1"/>
  <c r="AD60" i="1"/>
  <c r="AD46" i="1"/>
  <c r="AD91" i="1"/>
  <c r="AD43" i="1"/>
  <c r="AD74" i="1"/>
  <c r="AD17" i="1"/>
  <c r="AD69" i="1"/>
  <c r="AD80" i="1"/>
  <c r="AD37" i="1"/>
  <c r="AD62" i="1"/>
  <c r="AD108" i="1"/>
  <c r="AD41" i="1"/>
  <c r="AD55" i="1"/>
  <c r="AD66" i="1"/>
  <c r="AD54" i="1"/>
  <c r="AD104" i="1"/>
  <c r="AD22" i="1"/>
  <c r="AD58" i="1"/>
  <c r="AD92" i="1"/>
  <c r="AD48" i="1"/>
  <c r="AD45" i="1"/>
  <c r="AD38" i="1"/>
  <c r="AD72" i="1"/>
  <c r="AD52" i="1"/>
  <c r="AD105" i="1"/>
  <c r="AD24" i="1"/>
  <c r="AD35" i="1"/>
  <c r="AD34" i="1"/>
  <c r="AD86" i="1"/>
  <c r="AD27" i="1"/>
  <c r="AD23" i="1"/>
  <c r="AD68" i="1"/>
  <c r="AD79" i="1"/>
  <c r="AD71" i="1"/>
  <c r="AD40" i="1"/>
  <c r="AD29" i="1"/>
  <c r="AD30" i="1"/>
  <c r="AD84" i="1"/>
  <c r="AD15" i="1"/>
  <c r="AD50" i="1"/>
  <c r="AD31" i="1"/>
  <c r="AD90" i="1"/>
  <c r="AD44" i="1"/>
  <c r="AD65" i="1"/>
  <c r="AD14" i="1"/>
  <c r="AD16" i="1"/>
  <c r="AD87" i="1"/>
  <c r="AD97" i="1"/>
  <c r="AD102" i="1"/>
  <c r="AD106" i="1"/>
  <c r="AD88" i="1"/>
  <c r="AD103" i="1"/>
  <c r="AD78" i="1"/>
  <c r="AD12" i="1"/>
  <c r="AD13" i="1"/>
  <c r="AD20" i="1"/>
  <c r="AD82" i="1"/>
  <c r="AD28" i="1"/>
  <c r="AD11" i="1"/>
  <c r="AD94" i="1"/>
  <c r="AD95" i="1"/>
  <c r="AD96" i="1"/>
  <c r="AD26" i="1"/>
  <c r="AD51" i="1"/>
  <c r="AD7" i="1"/>
  <c r="AD8" i="1"/>
  <c r="AD110" i="1"/>
  <c r="AD109" i="1"/>
  <c r="AD9" i="1"/>
  <c r="AD19" i="1"/>
  <c r="AD6" i="1"/>
  <c r="AD101" i="1"/>
  <c r="AD10" i="1"/>
  <c r="AD4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R39" i="1" a="1"/>
  <c r="AR39" i="1" s="1"/>
  <c r="AR21" i="1" a="1"/>
  <c r="AR21" i="1" s="1"/>
  <c r="AR47" i="1" a="1"/>
  <c r="AR47" i="1" s="1"/>
  <c r="AR81" i="1" a="1"/>
  <c r="AR81" i="1" s="1"/>
  <c r="AR36" i="1" a="1"/>
  <c r="AR36" i="1" s="1"/>
  <c r="AR32" i="1" a="1"/>
  <c r="AR32" i="1" s="1"/>
  <c r="AR85" i="1" a="1"/>
  <c r="AR85" i="1" s="1"/>
  <c r="AR75" i="1" a="1"/>
  <c r="AR75" i="1" s="1"/>
  <c r="AR64" i="1" a="1"/>
  <c r="AR64" i="1" s="1"/>
  <c r="AR56" i="1" a="1"/>
  <c r="AR56" i="1" s="1"/>
  <c r="AR61" i="1" a="1"/>
  <c r="AR61" i="1" s="1"/>
  <c r="AR60" i="1" a="1"/>
  <c r="AR60" i="1" s="1"/>
  <c r="AR46" i="1" a="1"/>
  <c r="AR46" i="1" s="1"/>
  <c r="AR91" i="1" a="1"/>
  <c r="AR91" i="1" s="1"/>
  <c r="AR43" i="1" a="1"/>
  <c r="AR43" i="1" s="1"/>
  <c r="AR74" i="1" a="1"/>
  <c r="AR74" i="1" s="1"/>
  <c r="AR17" i="1" a="1"/>
  <c r="AR17" i="1" s="1"/>
  <c r="AR69" i="1" a="1"/>
  <c r="AR69" i="1" s="1"/>
  <c r="AR80" i="1" a="1"/>
  <c r="AR80" i="1" s="1"/>
  <c r="AR37" i="1" a="1"/>
  <c r="AR37" i="1" s="1"/>
  <c r="AR62" i="1" a="1"/>
  <c r="AR62" i="1" s="1"/>
  <c r="AR108" i="1" a="1"/>
  <c r="AR108" i="1" s="1"/>
  <c r="AR41" i="1" a="1"/>
  <c r="AR41" i="1" s="1"/>
  <c r="AR55" i="1" a="1"/>
  <c r="AR55" i="1" s="1"/>
  <c r="AR66" i="1" a="1"/>
  <c r="AR66" i="1" s="1"/>
  <c r="AR54" i="1" a="1"/>
  <c r="AR54" i="1" s="1"/>
  <c r="AR104" i="1" a="1"/>
  <c r="AR104" i="1" s="1"/>
  <c r="AR22" i="1" a="1"/>
  <c r="AR22" i="1" s="1"/>
  <c r="AR58" i="1" a="1"/>
  <c r="AR58" i="1" s="1"/>
  <c r="AR92" i="1" a="1"/>
  <c r="AR92" i="1" s="1"/>
  <c r="AR48" i="1" a="1"/>
  <c r="AR48" i="1" s="1"/>
  <c r="AR45" i="1" a="1"/>
  <c r="AR45" i="1" s="1"/>
  <c r="AR38" i="1" a="1"/>
  <c r="AR38" i="1" s="1"/>
  <c r="AR72" i="1" a="1"/>
  <c r="AR72" i="1" s="1"/>
  <c r="AR52" i="1" a="1"/>
  <c r="AR52" i="1" s="1"/>
  <c r="AR105" i="1" a="1"/>
  <c r="AR105" i="1" s="1"/>
  <c r="AR24" i="1" a="1"/>
  <c r="AR24" i="1" s="1"/>
  <c r="AR35" i="1" a="1"/>
  <c r="AR35" i="1" s="1"/>
  <c r="AR34" i="1" a="1"/>
  <c r="AR34" i="1" s="1"/>
  <c r="AR86" i="1" a="1"/>
  <c r="AR86" i="1" s="1"/>
  <c r="AR27" i="1" a="1"/>
  <c r="AR27" i="1" s="1"/>
  <c r="AR23" i="1" a="1"/>
  <c r="AR23" i="1" s="1"/>
  <c r="AR68" i="1" a="1"/>
  <c r="AR68" i="1" s="1"/>
  <c r="AR79" i="1" a="1"/>
  <c r="AR79" i="1" s="1"/>
  <c r="AR71" i="1" a="1"/>
  <c r="AR71" i="1" s="1"/>
  <c r="AR40" i="1" a="1"/>
  <c r="AR40" i="1" s="1"/>
  <c r="AR29" i="1" a="1"/>
  <c r="AR29" i="1" s="1"/>
  <c r="AR30" i="1" a="1"/>
  <c r="AR30" i="1" s="1"/>
  <c r="AR84" i="1" a="1"/>
  <c r="AR84" i="1" s="1"/>
  <c r="AR15" i="1" a="1"/>
  <c r="AR15" i="1" s="1"/>
  <c r="AR50" i="1" a="1"/>
  <c r="AR50" i="1" s="1"/>
  <c r="AR31" i="1" a="1"/>
  <c r="AR31" i="1" s="1"/>
  <c r="AR90" i="1" a="1"/>
  <c r="AR90" i="1" s="1"/>
  <c r="AR44" i="1" a="1"/>
  <c r="AR44" i="1" s="1"/>
  <c r="AR65" i="1" a="1"/>
  <c r="AR65" i="1" s="1"/>
  <c r="AR14" i="1" a="1"/>
  <c r="AR14" i="1" s="1"/>
  <c r="AR16" i="1" a="1"/>
  <c r="AR16" i="1" s="1"/>
  <c r="AR87" i="1" a="1"/>
  <c r="AR87" i="1" s="1"/>
  <c r="AR97" i="1" a="1"/>
  <c r="AR97" i="1" s="1"/>
  <c r="AR102" i="1" a="1"/>
  <c r="AR102" i="1" s="1"/>
  <c r="AR106" i="1" a="1"/>
  <c r="AR106" i="1" s="1"/>
  <c r="AR88" i="1" a="1"/>
  <c r="AR88" i="1" s="1"/>
  <c r="AR103" i="1" a="1"/>
  <c r="AR103" i="1" s="1"/>
  <c r="AR78" i="1" a="1"/>
  <c r="AR78" i="1" s="1"/>
  <c r="AR12" i="1" a="1"/>
  <c r="AR12" i="1" s="1"/>
  <c r="AR13" i="1" a="1"/>
  <c r="AR13" i="1" s="1"/>
  <c r="AR20" i="1" a="1"/>
  <c r="AR20" i="1" s="1"/>
  <c r="AR82" i="1" a="1"/>
  <c r="AR82" i="1" s="1"/>
  <c r="AR28" i="1" a="1"/>
  <c r="AR28" i="1" s="1"/>
  <c r="AR11" i="1" a="1"/>
  <c r="AR11" i="1" s="1"/>
  <c r="AR94" i="1" a="1"/>
  <c r="AR94" i="1" s="1"/>
  <c r="AR95" i="1" a="1"/>
  <c r="AR95" i="1" s="1"/>
  <c r="AR96" i="1" a="1"/>
  <c r="AR96" i="1" s="1"/>
  <c r="AR26" i="1" a="1"/>
  <c r="AR26" i="1" s="1"/>
  <c r="AR51" i="1" a="1"/>
  <c r="AR51" i="1" s="1"/>
  <c r="AR7" i="1" a="1"/>
  <c r="AR7" i="1" s="1"/>
  <c r="AR8" i="1" a="1"/>
  <c r="AR8" i="1" s="1"/>
  <c r="AR110" i="1" a="1"/>
  <c r="AR110" i="1" s="1"/>
  <c r="AR109" i="1" a="1"/>
  <c r="AR109" i="1" s="1"/>
  <c r="AR9" i="1" a="1"/>
  <c r="AR9" i="1" s="1"/>
  <c r="AR19" i="1" a="1"/>
  <c r="AR19" i="1" s="1"/>
  <c r="AR6" i="1" a="1"/>
  <c r="AR6" i="1" s="1"/>
  <c r="AR101" i="1" a="1"/>
  <c r="AR101" i="1" s="1"/>
  <c r="AR10" i="1" a="1"/>
  <c r="AR10" i="1" s="1"/>
  <c r="AR4" i="1" a="1"/>
  <c r="AR4" i="1" s="1"/>
  <c r="AR111" i="1" a="1"/>
  <c r="AR111" i="1" s="1"/>
  <c r="AR112" i="1" a="1"/>
  <c r="AR112" i="1" s="1"/>
  <c r="AR113" i="1" a="1"/>
  <c r="AR113" i="1" s="1"/>
  <c r="AR114" i="1" a="1"/>
  <c r="AR114" i="1" s="1"/>
  <c r="AR115" i="1" a="1"/>
  <c r="AR115" i="1" s="1"/>
  <c r="AR116" i="1" a="1"/>
  <c r="AR116" i="1" s="1"/>
  <c r="AR117" i="1" a="1"/>
  <c r="AR117" i="1" s="1"/>
  <c r="AR118" i="1" a="1"/>
  <c r="AR118" i="1" s="1"/>
  <c r="AR119" i="1" a="1"/>
  <c r="AR119" i="1" s="1"/>
  <c r="AR120" i="1" a="1"/>
  <c r="AR120" i="1" s="1"/>
  <c r="AR121" i="1" a="1"/>
  <c r="AR121" i="1" s="1"/>
  <c r="AR122" i="1" a="1"/>
  <c r="AR122" i="1" s="1"/>
  <c r="AR123" i="1" a="1"/>
  <c r="AR123" i="1" s="1"/>
  <c r="AR124" i="1" a="1"/>
  <c r="AR124" i="1" s="1"/>
  <c r="AR125" i="1" a="1"/>
  <c r="AR125" i="1" s="1"/>
  <c r="AR126" i="1" a="1"/>
  <c r="AR126" i="1" s="1"/>
  <c r="AR127" i="1" a="1"/>
  <c r="AR127" i="1" s="1"/>
  <c r="AR128" i="1" a="1"/>
  <c r="AR128" i="1" s="1"/>
  <c r="AR129" i="1" a="1"/>
  <c r="AR129" i="1" s="1"/>
  <c r="AR130" i="1" a="1"/>
  <c r="AR130" i="1" s="1"/>
  <c r="AR131" i="1" a="1"/>
  <c r="AR131" i="1" s="1"/>
  <c r="AR132" i="1" a="1"/>
  <c r="AR132" i="1" s="1"/>
  <c r="AR133" i="1" a="1"/>
  <c r="AR133" i="1" s="1"/>
  <c r="AR134" i="1" a="1"/>
  <c r="AR134" i="1" s="1"/>
  <c r="AR135" i="1" a="1"/>
  <c r="AR135" i="1" s="1"/>
  <c r="AR136" i="1" a="1"/>
  <c r="AR136" i="1" s="1"/>
  <c r="AR137" i="1" a="1"/>
  <c r="AR137" i="1" s="1"/>
  <c r="AR138" i="1" a="1"/>
  <c r="AR138" i="1" s="1"/>
  <c r="AR139" i="1" a="1"/>
  <c r="AR139" i="1" s="1"/>
  <c r="AR140" i="1" a="1"/>
  <c r="AR140" i="1" s="1"/>
  <c r="AR141" i="1" a="1"/>
  <c r="AR141" i="1" s="1"/>
  <c r="AR142" i="1" a="1"/>
  <c r="AR142" i="1" s="1"/>
  <c r="AR143" i="1" a="1"/>
  <c r="AR143" i="1" s="1"/>
  <c r="AR144" i="1" a="1"/>
  <c r="AR144" i="1" s="1"/>
  <c r="AR145" i="1" a="1"/>
  <c r="AR145" i="1" s="1"/>
  <c r="AR146" i="1" a="1"/>
  <c r="AR146" i="1" s="1"/>
  <c r="AR147" i="1" a="1"/>
  <c r="AR147" i="1" s="1"/>
  <c r="AR148" i="1" a="1"/>
  <c r="AR148" i="1" s="1"/>
  <c r="AR149" i="1" a="1"/>
  <c r="AR149" i="1" s="1"/>
  <c r="AR150" i="1" a="1"/>
  <c r="AR150" i="1" s="1"/>
  <c r="AR151" i="1" a="1"/>
  <c r="AR151" i="1" s="1"/>
  <c r="AR152" i="1" a="1"/>
  <c r="AR152" i="1" s="1"/>
  <c r="AR153" i="1" a="1"/>
  <c r="AR153" i="1" s="1"/>
  <c r="AR154" i="1" a="1"/>
  <c r="AR154" i="1" s="1"/>
  <c r="AR155" i="1" a="1"/>
  <c r="AR155" i="1" s="1"/>
  <c r="AR156" i="1" a="1"/>
  <c r="AR156" i="1" s="1"/>
  <c r="AR157" i="1" a="1"/>
  <c r="AR157" i="1" s="1"/>
  <c r="AR158" i="1" a="1"/>
  <c r="AR158" i="1" s="1"/>
  <c r="AR159" i="1" a="1"/>
  <c r="AR159" i="1" s="1"/>
  <c r="AR160" i="1" a="1"/>
  <c r="AR160" i="1" s="1"/>
  <c r="AR161" i="1" a="1"/>
  <c r="AR161" i="1" s="1"/>
  <c r="AR162" i="1" a="1"/>
  <c r="AR162" i="1" s="1"/>
  <c r="AR163" i="1" a="1"/>
  <c r="AR163" i="1" s="1"/>
  <c r="AR164" i="1" a="1"/>
  <c r="AR164" i="1" s="1"/>
  <c r="AR165" i="1" a="1"/>
  <c r="AR165" i="1" s="1"/>
  <c r="AR166" i="1" a="1"/>
  <c r="AR166" i="1" s="1"/>
  <c r="AR167" i="1" a="1"/>
  <c r="AR167" i="1" s="1"/>
  <c r="AR168" i="1" a="1"/>
  <c r="AR168" i="1" s="1"/>
  <c r="AR169" i="1" a="1"/>
  <c r="AR169" i="1" s="1"/>
  <c r="AR170" i="1" a="1"/>
  <c r="AR170" i="1" s="1"/>
  <c r="AR171" i="1" a="1"/>
  <c r="AR171" i="1" s="1"/>
  <c r="AR172" i="1" a="1"/>
  <c r="AR172" i="1" s="1"/>
  <c r="AR173" i="1" a="1"/>
  <c r="AR173" i="1" s="1"/>
  <c r="AR174" i="1" a="1"/>
  <c r="AR174" i="1" s="1"/>
  <c r="AR175" i="1" a="1"/>
  <c r="AR175" i="1" s="1"/>
  <c r="AR176" i="1" a="1"/>
  <c r="AR176" i="1" s="1"/>
  <c r="AR177" i="1" a="1"/>
  <c r="AR177" i="1" s="1"/>
  <c r="AR178" i="1" a="1"/>
  <c r="AR178" i="1" s="1"/>
  <c r="AR179" i="1" a="1"/>
  <c r="AR179" i="1" s="1"/>
  <c r="AR180" i="1" a="1"/>
  <c r="AR180" i="1" s="1"/>
  <c r="AR181" i="1" a="1"/>
  <c r="AR181" i="1" s="1"/>
  <c r="AR182" i="1" a="1"/>
  <c r="AR182" i="1" s="1"/>
  <c r="AR183" i="1" a="1"/>
  <c r="AR183" i="1" s="1"/>
  <c r="AR184" i="1" a="1"/>
  <c r="AR184" i="1" s="1"/>
  <c r="AR185" i="1" a="1"/>
  <c r="AR185" i="1" s="1"/>
  <c r="AR186" i="1" a="1"/>
  <c r="AR186" i="1" s="1"/>
  <c r="AR187" i="1" a="1"/>
  <c r="AR187" i="1" s="1"/>
  <c r="AR188" i="1" a="1"/>
  <c r="AR188" i="1" s="1"/>
  <c r="AR189" i="1" a="1"/>
  <c r="AR189" i="1" s="1"/>
  <c r="AR190" i="1" a="1"/>
  <c r="AR190" i="1" s="1"/>
  <c r="AR191" i="1" a="1"/>
  <c r="AR191" i="1" s="1"/>
  <c r="AR192" i="1" a="1"/>
  <c r="AR192" i="1" s="1"/>
  <c r="AR193" i="1" a="1"/>
  <c r="AR193" i="1" s="1"/>
  <c r="AR194" i="1" a="1"/>
  <c r="AR194" i="1" s="1"/>
  <c r="AR195" i="1" a="1"/>
  <c r="AR195" i="1" s="1"/>
  <c r="AR196" i="1" a="1"/>
  <c r="AR196" i="1" s="1"/>
  <c r="AR197" i="1" a="1"/>
  <c r="AR197" i="1" s="1"/>
  <c r="AR198" i="1" a="1"/>
  <c r="AR198" i="1" s="1"/>
  <c r="AR199" i="1" a="1"/>
  <c r="AR199" i="1" s="1"/>
  <c r="AR200" i="1" a="1"/>
  <c r="AR200" i="1" s="1"/>
  <c r="AR201" i="1" a="1"/>
  <c r="AR201" i="1" s="1"/>
  <c r="AR202" i="1" a="1"/>
  <c r="AR202" i="1" s="1"/>
  <c r="AR203" i="1" a="1"/>
  <c r="AR203" i="1" s="1"/>
  <c r="AR204" i="1" a="1"/>
  <c r="AR204" i="1" s="1"/>
  <c r="AR205" i="1" a="1"/>
  <c r="AR205" i="1" s="1"/>
  <c r="AR93" i="1" a="1"/>
  <c r="AR93" i="1" s="1"/>
  <c r="AE39" i="1" a="1"/>
  <c r="AE39" i="1" s="1"/>
  <c r="AE21" i="1" a="1"/>
  <c r="AE21" i="1" s="1"/>
  <c r="AE47" i="1" a="1"/>
  <c r="AE47" i="1" s="1"/>
  <c r="AE81" i="1" a="1"/>
  <c r="AE81" i="1" s="1"/>
  <c r="AE36" i="1" a="1"/>
  <c r="AE36" i="1" s="1"/>
  <c r="AE32" i="1" a="1"/>
  <c r="AE32" i="1" s="1"/>
  <c r="AE85" i="1" a="1"/>
  <c r="AE85" i="1" s="1"/>
  <c r="AE75" i="1" a="1"/>
  <c r="AE75" i="1" s="1"/>
  <c r="AE64" i="1" a="1"/>
  <c r="AE64" i="1" s="1"/>
  <c r="AE56" i="1" a="1"/>
  <c r="AE56" i="1" s="1"/>
  <c r="AE61" i="1" a="1"/>
  <c r="AE61" i="1" s="1"/>
  <c r="AE60" i="1" a="1"/>
  <c r="AE60" i="1" s="1"/>
  <c r="AE46" i="1" a="1"/>
  <c r="AE46" i="1" s="1"/>
  <c r="AE91" i="1" a="1"/>
  <c r="AE91" i="1" s="1"/>
  <c r="AE43" i="1" a="1"/>
  <c r="AE43" i="1" s="1"/>
  <c r="AE74" i="1" a="1"/>
  <c r="AE74" i="1" s="1"/>
  <c r="AE17" i="1" a="1"/>
  <c r="AE17" i="1" s="1"/>
  <c r="AE69" i="1" a="1"/>
  <c r="AE69" i="1" s="1"/>
  <c r="AE80" i="1" a="1"/>
  <c r="AE80" i="1" s="1"/>
  <c r="AE37" i="1" a="1"/>
  <c r="AE37" i="1" s="1"/>
  <c r="AE62" i="1" a="1"/>
  <c r="AE62" i="1" s="1"/>
  <c r="AE108" i="1" a="1"/>
  <c r="AE108" i="1" s="1"/>
  <c r="AE41" i="1" a="1"/>
  <c r="AE41" i="1" s="1"/>
  <c r="AE55" i="1" a="1"/>
  <c r="AE55" i="1" s="1"/>
  <c r="AE66" i="1" a="1"/>
  <c r="AE66" i="1" s="1"/>
  <c r="AE54" i="1" a="1"/>
  <c r="AE54" i="1" s="1"/>
  <c r="AE104" i="1" a="1"/>
  <c r="AE104" i="1" s="1"/>
  <c r="AE22" i="1" a="1"/>
  <c r="AE22" i="1" s="1"/>
  <c r="AE58" i="1" a="1"/>
  <c r="AE58" i="1" s="1"/>
  <c r="AE92" i="1" a="1"/>
  <c r="AE92" i="1" s="1"/>
  <c r="AE48" i="1" a="1"/>
  <c r="AE48" i="1" s="1"/>
  <c r="AE45" i="1" a="1"/>
  <c r="AE45" i="1" s="1"/>
  <c r="AE38" i="1" a="1"/>
  <c r="AE38" i="1" s="1"/>
  <c r="AE72" i="1" a="1"/>
  <c r="AE72" i="1" s="1"/>
  <c r="AE52" i="1" a="1"/>
  <c r="AE52" i="1" s="1"/>
  <c r="AE105" i="1" a="1"/>
  <c r="AE105" i="1" s="1"/>
  <c r="AE24" i="1" a="1"/>
  <c r="AE24" i="1" s="1"/>
  <c r="AE35" i="1" a="1"/>
  <c r="AE35" i="1" s="1"/>
  <c r="AE34" i="1" a="1"/>
  <c r="AE34" i="1" s="1"/>
  <c r="AE86" i="1" a="1"/>
  <c r="AE86" i="1" s="1"/>
  <c r="AE27" i="1" a="1"/>
  <c r="AE27" i="1" s="1"/>
  <c r="AE23" i="1" a="1"/>
  <c r="AE23" i="1" s="1"/>
  <c r="AE68" i="1" a="1"/>
  <c r="AE68" i="1" s="1"/>
  <c r="AE79" i="1" a="1"/>
  <c r="AE79" i="1" s="1"/>
  <c r="AE71" i="1" a="1"/>
  <c r="AE71" i="1" s="1"/>
  <c r="AE40" i="1" a="1"/>
  <c r="AE40" i="1" s="1"/>
  <c r="AE29" i="1" a="1"/>
  <c r="AE29" i="1" s="1"/>
  <c r="AE30" i="1" a="1"/>
  <c r="AE30" i="1" s="1"/>
  <c r="AE84" i="1" a="1"/>
  <c r="AE84" i="1" s="1"/>
  <c r="AE15" i="1" a="1"/>
  <c r="AE15" i="1" s="1"/>
  <c r="AE50" i="1" a="1"/>
  <c r="AE50" i="1" s="1"/>
  <c r="AE31" i="1" a="1"/>
  <c r="AE31" i="1" s="1"/>
  <c r="AE90" i="1" a="1"/>
  <c r="AE90" i="1" s="1"/>
  <c r="AE44" i="1" a="1"/>
  <c r="AE44" i="1" s="1"/>
  <c r="AE65" i="1" a="1"/>
  <c r="AE65" i="1" s="1"/>
  <c r="AE14" i="1" a="1"/>
  <c r="AE14" i="1" s="1"/>
  <c r="AE16" i="1" a="1"/>
  <c r="AE16" i="1" s="1"/>
  <c r="AE87" i="1" a="1"/>
  <c r="AE87" i="1" s="1"/>
  <c r="AE97" i="1" a="1"/>
  <c r="AE97" i="1" s="1"/>
  <c r="AE102" i="1" a="1"/>
  <c r="AE102" i="1" s="1"/>
  <c r="AE106" i="1" a="1"/>
  <c r="AE106" i="1" s="1"/>
  <c r="AE88" i="1" a="1"/>
  <c r="AE88" i="1" s="1"/>
  <c r="AE103" i="1" a="1"/>
  <c r="AE103" i="1" s="1"/>
  <c r="AE78" i="1" a="1"/>
  <c r="AE78" i="1" s="1"/>
  <c r="AE12" i="1" a="1"/>
  <c r="AE12" i="1" s="1"/>
  <c r="AE13" i="1" a="1"/>
  <c r="AE13" i="1" s="1"/>
  <c r="AE20" i="1" a="1"/>
  <c r="AE20" i="1" s="1"/>
  <c r="AE82" i="1" a="1"/>
  <c r="AE82" i="1" s="1"/>
  <c r="AE28" i="1" a="1"/>
  <c r="AE28" i="1" s="1"/>
  <c r="AE11" i="1" a="1"/>
  <c r="AE11" i="1" s="1"/>
  <c r="AE94" i="1" a="1"/>
  <c r="AE94" i="1" s="1"/>
  <c r="AE95" i="1" a="1"/>
  <c r="AE95" i="1" s="1"/>
  <c r="AE96" i="1" a="1"/>
  <c r="AE96" i="1" s="1"/>
  <c r="AE26" i="1" a="1"/>
  <c r="AE26" i="1" s="1"/>
  <c r="AE51" i="1" a="1"/>
  <c r="AE51" i="1" s="1"/>
  <c r="AE7" i="1" a="1"/>
  <c r="AE7" i="1" s="1"/>
  <c r="AE8" i="1" a="1"/>
  <c r="AE8" i="1" s="1"/>
  <c r="AE110" i="1" a="1"/>
  <c r="AE110" i="1" s="1"/>
  <c r="AE109" i="1" a="1"/>
  <c r="AE109" i="1" s="1"/>
  <c r="AE9" i="1" a="1"/>
  <c r="AE9" i="1" s="1"/>
  <c r="AE19" i="1" a="1"/>
  <c r="AE19" i="1" s="1"/>
  <c r="AE6" i="1" a="1"/>
  <c r="AE6" i="1" s="1"/>
  <c r="AE101" i="1" a="1"/>
  <c r="AE101" i="1" s="1"/>
  <c r="AE10" i="1" a="1"/>
  <c r="AE10" i="1" s="1"/>
  <c r="AE4" i="1" a="1"/>
  <c r="AE4" i="1" s="1"/>
  <c r="AE111" i="1" a="1"/>
  <c r="AE111" i="1" s="1"/>
  <c r="AE112" i="1" a="1"/>
  <c r="AE112" i="1" s="1"/>
  <c r="AE113" i="1" a="1"/>
  <c r="AE113" i="1" s="1"/>
  <c r="AE114" i="1" a="1"/>
  <c r="AE114" i="1" s="1"/>
  <c r="AE115" i="1" a="1"/>
  <c r="AE115" i="1" s="1"/>
  <c r="AE116" i="1" a="1"/>
  <c r="AE116" i="1" s="1"/>
  <c r="AE117" i="1" a="1"/>
  <c r="AE117" i="1" s="1"/>
  <c r="AE118" i="1" a="1"/>
  <c r="AE118" i="1" s="1"/>
  <c r="AE119" i="1" a="1"/>
  <c r="AE119" i="1" s="1"/>
  <c r="AE120" i="1" a="1"/>
  <c r="AE120" i="1" s="1"/>
  <c r="AE121" i="1" a="1"/>
  <c r="AE121" i="1" s="1"/>
  <c r="AE122" i="1" a="1"/>
  <c r="AE122" i="1" s="1"/>
  <c r="AE123" i="1" a="1"/>
  <c r="AE123" i="1" s="1"/>
  <c r="AE124" i="1" a="1"/>
  <c r="AE124" i="1" s="1"/>
  <c r="AE125" i="1" a="1"/>
  <c r="AE125" i="1" s="1"/>
  <c r="AE126" i="1" a="1"/>
  <c r="AE126" i="1" s="1"/>
  <c r="AE127" i="1" a="1"/>
  <c r="AE127" i="1" s="1"/>
  <c r="AE128" i="1" a="1"/>
  <c r="AE128" i="1" s="1"/>
  <c r="AE129" i="1" a="1"/>
  <c r="AE129" i="1" s="1"/>
  <c r="AE130" i="1" a="1"/>
  <c r="AE130" i="1" s="1"/>
  <c r="AE131" i="1" a="1"/>
  <c r="AE131" i="1" s="1"/>
  <c r="AE132" i="1" a="1"/>
  <c r="AE132" i="1" s="1"/>
  <c r="AE133" i="1" a="1"/>
  <c r="AE133" i="1" s="1"/>
  <c r="AE134" i="1" a="1"/>
  <c r="AE134" i="1" s="1"/>
  <c r="AE135" i="1" a="1"/>
  <c r="AE135" i="1" s="1"/>
  <c r="AE136" i="1" a="1"/>
  <c r="AE136" i="1" s="1"/>
  <c r="AE137" i="1" a="1"/>
  <c r="AE137" i="1" s="1"/>
  <c r="AE138" i="1" a="1"/>
  <c r="AE138" i="1" s="1"/>
  <c r="AE139" i="1" a="1"/>
  <c r="AE139" i="1" s="1"/>
  <c r="AE140" i="1" a="1"/>
  <c r="AE140" i="1" s="1"/>
  <c r="AE141" i="1" a="1"/>
  <c r="AE141" i="1" s="1"/>
  <c r="AE142" i="1" a="1"/>
  <c r="AE142" i="1" s="1"/>
  <c r="AE143" i="1" a="1"/>
  <c r="AE143" i="1" s="1"/>
  <c r="AE144" i="1" a="1"/>
  <c r="AE144" i="1" s="1"/>
  <c r="AE145" i="1" a="1"/>
  <c r="AE145" i="1" s="1"/>
  <c r="AE146" i="1" a="1"/>
  <c r="AE146" i="1" s="1"/>
  <c r="AE147" i="1" a="1"/>
  <c r="AE147" i="1" s="1"/>
  <c r="AE148" i="1" a="1"/>
  <c r="AE148" i="1" s="1"/>
  <c r="AE149" i="1" a="1"/>
  <c r="AE149" i="1" s="1"/>
  <c r="AE150" i="1" a="1"/>
  <c r="AE150" i="1" s="1"/>
  <c r="AE151" i="1" a="1"/>
  <c r="AE151" i="1" s="1"/>
  <c r="AE152" i="1" a="1"/>
  <c r="AE152" i="1" s="1"/>
  <c r="AE153" i="1" a="1"/>
  <c r="AE153" i="1" s="1"/>
  <c r="AE154" i="1" a="1"/>
  <c r="AE154" i="1" s="1"/>
  <c r="AE155" i="1" a="1"/>
  <c r="AE155" i="1" s="1"/>
  <c r="AE156" i="1" a="1"/>
  <c r="AE156" i="1" s="1"/>
  <c r="AE157" i="1" a="1"/>
  <c r="AE157" i="1" s="1"/>
  <c r="AE158" i="1" a="1"/>
  <c r="AE158" i="1" s="1"/>
  <c r="AE159" i="1" a="1"/>
  <c r="AE159" i="1" s="1"/>
  <c r="AE160" i="1" a="1"/>
  <c r="AE160" i="1" s="1"/>
  <c r="AE161" i="1" a="1"/>
  <c r="AE161" i="1" s="1"/>
  <c r="AE162" i="1" a="1"/>
  <c r="AE162" i="1" s="1"/>
  <c r="AE163" i="1" a="1"/>
  <c r="AE163" i="1" s="1"/>
  <c r="AE164" i="1" a="1"/>
  <c r="AE164" i="1" s="1"/>
  <c r="AE165" i="1" a="1"/>
  <c r="AE165" i="1" s="1"/>
  <c r="AE166" i="1" a="1"/>
  <c r="AE166" i="1" s="1"/>
  <c r="AE167" i="1" a="1"/>
  <c r="AE167" i="1" s="1"/>
  <c r="AE168" i="1" a="1"/>
  <c r="AE168" i="1" s="1"/>
  <c r="AE169" i="1" a="1"/>
  <c r="AE169" i="1" s="1"/>
  <c r="AE170" i="1" a="1"/>
  <c r="AE170" i="1" s="1"/>
  <c r="AE171" i="1" a="1"/>
  <c r="AE171" i="1" s="1"/>
  <c r="AE172" i="1" a="1"/>
  <c r="AE172" i="1" s="1"/>
  <c r="AE173" i="1" a="1"/>
  <c r="AE173" i="1" s="1"/>
  <c r="AE174" i="1" a="1"/>
  <c r="AE174" i="1" s="1"/>
  <c r="AE175" i="1" a="1"/>
  <c r="AE175" i="1" s="1"/>
  <c r="AE176" i="1" a="1"/>
  <c r="AE176" i="1" s="1"/>
  <c r="AE177" i="1" a="1"/>
  <c r="AE177" i="1" s="1"/>
  <c r="AE178" i="1" a="1"/>
  <c r="AE178" i="1" s="1"/>
  <c r="AE179" i="1" a="1"/>
  <c r="AE179" i="1" s="1"/>
  <c r="AE180" i="1" a="1"/>
  <c r="AE180" i="1" s="1"/>
  <c r="AE181" i="1" a="1"/>
  <c r="AE181" i="1" s="1"/>
  <c r="AE182" i="1" a="1"/>
  <c r="AE182" i="1" s="1"/>
  <c r="AE183" i="1" a="1"/>
  <c r="AE183" i="1" s="1"/>
  <c r="AE184" i="1" a="1"/>
  <c r="AE184" i="1" s="1"/>
  <c r="AE185" i="1" a="1"/>
  <c r="AE185" i="1" s="1"/>
  <c r="AE186" i="1" a="1"/>
  <c r="AE186" i="1" s="1"/>
  <c r="AE187" i="1" a="1"/>
  <c r="AE187" i="1" s="1"/>
  <c r="AE188" i="1" a="1"/>
  <c r="AE188" i="1" s="1"/>
  <c r="AE189" i="1" a="1"/>
  <c r="AE189" i="1" s="1"/>
  <c r="AE190" i="1" a="1"/>
  <c r="AE190" i="1" s="1"/>
  <c r="AE191" i="1" a="1"/>
  <c r="AE191" i="1" s="1"/>
  <c r="AE192" i="1" a="1"/>
  <c r="AE192" i="1" s="1"/>
  <c r="AE193" i="1" a="1"/>
  <c r="AE193" i="1" s="1"/>
  <c r="AE194" i="1" a="1"/>
  <c r="AE194" i="1" s="1"/>
  <c r="AE195" i="1" a="1"/>
  <c r="AE195" i="1" s="1"/>
  <c r="AE196" i="1" a="1"/>
  <c r="AE196" i="1" s="1"/>
  <c r="AE197" i="1" a="1"/>
  <c r="AE197" i="1" s="1"/>
  <c r="AE198" i="1" a="1"/>
  <c r="AE198" i="1" s="1"/>
  <c r="AE199" i="1" a="1"/>
  <c r="AE199" i="1" s="1"/>
  <c r="AE200" i="1" a="1"/>
  <c r="AE200" i="1" s="1"/>
  <c r="AE201" i="1" a="1"/>
  <c r="AE201" i="1" s="1"/>
  <c r="AE202" i="1" a="1"/>
  <c r="AE202" i="1" s="1"/>
  <c r="AE203" i="1" a="1"/>
  <c r="AE203" i="1" s="1"/>
  <c r="AE204" i="1" a="1"/>
  <c r="AE204" i="1" s="1"/>
  <c r="AE205" i="1" a="1"/>
  <c r="AE205" i="1" s="1"/>
  <c r="AE93" i="1" a="1"/>
  <c r="AE93" i="1" s="1"/>
  <c r="B2" i="20" a="1"/>
  <c r="B2" i="20" s="1"/>
  <c r="C2" i="20" a="1"/>
  <c r="C2" i="20" s="1"/>
  <c r="D2" i="20" a="1"/>
  <c r="D2" i="20" s="1"/>
  <c r="E2" i="20" a="1"/>
  <c r="E2" i="20" s="1"/>
  <c r="F2" i="20" a="1"/>
  <c r="F2" i="20" s="1"/>
  <c r="G2" i="20" a="1"/>
  <c r="G2" i="20" s="1"/>
  <c r="H2" i="20" a="1"/>
  <c r="H2" i="20" s="1"/>
  <c r="J2" i="20" a="1"/>
  <c r="J2" i="20" s="1"/>
  <c r="I2" i="20" a="1"/>
  <c r="I2" i="20" s="1"/>
  <c r="K2" i="20" a="1"/>
  <c r="K2" i="20" s="1"/>
  <c r="A2" i="20" a="1"/>
  <c r="A2" i="20" s="1"/>
  <c r="D43" i="15"/>
  <c r="B42" i="15"/>
  <c r="BC103" i="1"/>
  <c r="BC102" i="1"/>
  <c r="BC52" i="1"/>
  <c r="BC50" i="1"/>
  <c r="BC84" i="1"/>
  <c r="BC79" i="1"/>
  <c r="BC47" i="1"/>
  <c r="BC23" i="1"/>
  <c r="BC27" i="1"/>
  <c r="BC86" i="1"/>
  <c r="BC34" i="1"/>
  <c r="BC16" i="1"/>
  <c r="BC92" i="1"/>
  <c r="BC38" i="1"/>
  <c r="BC43" i="1"/>
  <c r="BC54" i="1"/>
  <c r="BC62" i="1"/>
  <c r="BC58" i="1"/>
  <c r="BC46" i="1"/>
  <c r="BC60" i="1"/>
  <c r="BC61" i="1"/>
  <c r="BC56" i="1"/>
  <c r="BC64" i="1"/>
  <c r="BC68" i="1"/>
  <c r="BC85" i="1"/>
  <c r="BC69" i="1"/>
  <c r="BC36" i="1"/>
  <c r="BC75" i="1"/>
  <c r="BC81" i="1"/>
  <c r="BC17" i="1"/>
  <c r="BC21" i="1"/>
  <c r="E43" i="15"/>
  <c r="C42" i="15"/>
  <c r="D42" i="15"/>
  <c r="E42" i="15"/>
  <c r="F42" i="15"/>
  <c r="F43" i="15"/>
  <c r="T21" i="1" a="1"/>
  <c r="T21" i="1" s="1"/>
  <c r="T69" i="1" a="1"/>
  <c r="T69" i="1" s="1"/>
  <c r="T80" i="1" a="1"/>
  <c r="T80" i="1" s="1"/>
  <c r="BT26" i="1"/>
  <c r="BU26" i="1"/>
  <c r="BV26" i="1"/>
  <c r="BW26" i="1"/>
  <c r="BX26" i="1"/>
  <c r="BY26" i="1"/>
  <c r="BZ26" i="1"/>
  <c r="CA26" i="1"/>
  <c r="BH26" i="1"/>
  <c r="BI26" i="1"/>
  <c r="BJ26" i="1"/>
  <c r="BK26" i="1"/>
  <c r="BL26" i="1"/>
  <c r="BM26" i="1"/>
  <c r="BN26" i="1"/>
  <c r="BO26" i="1"/>
  <c r="BP26" i="1"/>
  <c r="BQ26" i="1"/>
  <c r="BR26" i="1"/>
  <c r="T46" i="1" a="1"/>
  <c r="T46" i="1" s="1"/>
  <c r="T29" i="1" a="1"/>
  <c r="T29" i="1" s="1"/>
  <c r="BT25" i="1"/>
  <c r="BU25" i="1"/>
  <c r="BV25" i="1"/>
  <c r="BW25" i="1"/>
  <c r="BX25" i="1"/>
  <c r="BY25" i="1"/>
  <c r="BZ25" i="1"/>
  <c r="CA25" i="1"/>
  <c r="BH25" i="1"/>
  <c r="BI25" i="1"/>
  <c r="BJ25" i="1"/>
  <c r="BK25" i="1"/>
  <c r="BL25" i="1"/>
  <c r="BM25" i="1"/>
  <c r="BN25" i="1"/>
  <c r="BO25" i="1"/>
  <c r="BP25" i="1"/>
  <c r="BQ25" i="1"/>
  <c r="BR25" i="1"/>
  <c r="T72" i="1" a="1"/>
  <c r="T72" i="1" s="1"/>
  <c r="T66" i="1" a="1"/>
  <c r="T66" i="1" s="1"/>
  <c r="T74" i="1" a="1"/>
  <c r="T74" i="1" s="1"/>
  <c r="BT63" i="1"/>
  <c r="BU63" i="1"/>
  <c r="BV63" i="1"/>
  <c r="BW63" i="1"/>
  <c r="BX63" i="1"/>
  <c r="BY63" i="1"/>
  <c r="BZ63" i="1"/>
  <c r="CA63" i="1"/>
  <c r="BH63" i="1"/>
  <c r="BI63" i="1"/>
  <c r="BJ63" i="1"/>
  <c r="BK63" i="1"/>
  <c r="BL63" i="1"/>
  <c r="BM63" i="1"/>
  <c r="BN63" i="1"/>
  <c r="BO63" i="1"/>
  <c r="BP63" i="1"/>
  <c r="BQ63" i="1"/>
  <c r="BR63" i="1"/>
  <c r="T60" i="1" a="1"/>
  <c r="T60" i="1" s="1"/>
  <c r="B3" i="14" a="1"/>
  <c r="B3" i="14" s="1"/>
  <c r="C3" i="14" a="1"/>
  <c r="C3" i="14" s="1"/>
  <c r="D3" i="14" a="1"/>
  <c r="D3" i="14" s="1"/>
  <c r="E3" i="14" a="1"/>
  <c r="E3" i="14" s="1"/>
  <c r="F3" i="14" a="1"/>
  <c r="F3" i="14" s="1"/>
  <c r="G3" i="14" a="1"/>
  <c r="G3" i="14" s="1"/>
  <c r="H3" i="14" a="1"/>
  <c r="H3" i="14" s="1"/>
  <c r="I3" i="14" a="1"/>
  <c r="I3" i="14" s="1"/>
  <c r="A3" i="14" a="1"/>
  <c r="A3" i="14" s="1"/>
  <c r="A17" i="6"/>
  <c r="A16" i="6"/>
  <c r="A15" i="6"/>
  <c r="A14" i="6"/>
  <c r="AB27" i="3"/>
  <c r="A13" i="6" s="1"/>
  <c r="AB26" i="3"/>
  <c r="A12" i="6" s="1"/>
  <c r="AB25" i="3"/>
  <c r="A11" i="6" s="1"/>
  <c r="AB24" i="3"/>
  <c r="A10" i="6" s="1"/>
  <c r="AB23" i="3"/>
  <c r="A9" i="6" s="1"/>
  <c r="AB22" i="3"/>
  <c r="A8" i="6" s="1"/>
  <c r="AB21" i="3"/>
  <c r="A7" i="6" s="1"/>
  <c r="AB20" i="3"/>
  <c r="A6" i="6" s="1"/>
  <c r="AB19" i="3"/>
  <c r="A5" i="6" s="1"/>
  <c r="AB18" i="3"/>
  <c r="A4" i="6" s="1"/>
  <c r="AB17" i="3"/>
  <c r="A3" i="6" s="1"/>
  <c r="KA2" i="1"/>
  <c r="KA190" i="1" s="1"/>
  <c r="JZ13" i="1"/>
  <c r="JV13" i="1"/>
  <c r="JQ2" i="1"/>
  <c r="JQ196" i="1" s="1"/>
  <c r="JP13" i="1"/>
  <c r="JO13" i="1"/>
  <c r="JG2" i="1"/>
  <c r="JG116" i="1" s="1"/>
  <c r="IW2" i="1"/>
  <c r="IU13" i="1"/>
  <c r="BH44" i="1"/>
  <c r="BI44" i="1"/>
  <c r="BJ44" i="1"/>
  <c r="BK44" i="1"/>
  <c r="BL44" i="1"/>
  <c r="BM44" i="1"/>
  <c r="BN44" i="1"/>
  <c r="BO44" i="1"/>
  <c r="BP44" i="1"/>
  <c r="BQ44" i="1"/>
  <c r="BR44" i="1"/>
  <c r="BT44" i="1"/>
  <c r="BU44" i="1"/>
  <c r="BV44" i="1"/>
  <c r="BW44" i="1"/>
  <c r="BX44" i="1"/>
  <c r="BY44" i="1"/>
  <c r="BZ44" i="1"/>
  <c r="CA44" i="1"/>
  <c r="BH45" i="1"/>
  <c r="BI45" i="1"/>
  <c r="BJ45" i="1"/>
  <c r="BK45" i="1"/>
  <c r="BL45" i="1"/>
  <c r="BM45" i="1"/>
  <c r="BN45" i="1"/>
  <c r="BO45" i="1"/>
  <c r="BP45" i="1"/>
  <c r="BQ45" i="1"/>
  <c r="BR45" i="1"/>
  <c r="BT45" i="1"/>
  <c r="BU45" i="1"/>
  <c r="BV45" i="1"/>
  <c r="BW45" i="1"/>
  <c r="BX45" i="1"/>
  <c r="BY45" i="1"/>
  <c r="BZ45" i="1"/>
  <c r="CA45" i="1"/>
  <c r="BH49" i="1"/>
  <c r="BI49" i="1"/>
  <c r="BJ49" i="1"/>
  <c r="BK49" i="1"/>
  <c r="BL49" i="1"/>
  <c r="BM49" i="1"/>
  <c r="BN49" i="1"/>
  <c r="BO49" i="1"/>
  <c r="BP49" i="1"/>
  <c r="BQ49" i="1"/>
  <c r="BR49" i="1"/>
  <c r="BT49" i="1"/>
  <c r="BU49" i="1"/>
  <c r="BV49" i="1"/>
  <c r="BW49" i="1"/>
  <c r="BX49" i="1"/>
  <c r="BY49" i="1"/>
  <c r="BZ49" i="1"/>
  <c r="CA49" i="1"/>
  <c r="BH50" i="1"/>
  <c r="BI50" i="1"/>
  <c r="BJ50" i="1"/>
  <c r="BK50" i="1"/>
  <c r="BL50" i="1"/>
  <c r="BM50" i="1"/>
  <c r="BN50" i="1"/>
  <c r="BO50" i="1"/>
  <c r="BP50" i="1"/>
  <c r="BQ50" i="1"/>
  <c r="BR50" i="1"/>
  <c r="BT50" i="1"/>
  <c r="BU50" i="1"/>
  <c r="BV50" i="1"/>
  <c r="BW50" i="1"/>
  <c r="BX50" i="1"/>
  <c r="BY50" i="1"/>
  <c r="BZ50" i="1"/>
  <c r="CA50" i="1"/>
  <c r="BH51" i="1"/>
  <c r="BI51" i="1"/>
  <c r="BJ51" i="1"/>
  <c r="BK51" i="1"/>
  <c r="BL51" i="1"/>
  <c r="BM51" i="1"/>
  <c r="BN51" i="1"/>
  <c r="BO51" i="1"/>
  <c r="BP51" i="1"/>
  <c r="BQ51" i="1"/>
  <c r="BR51" i="1"/>
  <c r="BT51" i="1"/>
  <c r="BU51" i="1"/>
  <c r="BV51" i="1"/>
  <c r="BW51" i="1"/>
  <c r="BX51" i="1"/>
  <c r="BY51" i="1"/>
  <c r="BZ51" i="1"/>
  <c r="CA51" i="1"/>
  <c r="BH52" i="1"/>
  <c r="BI52" i="1"/>
  <c r="BJ52" i="1"/>
  <c r="BK52" i="1"/>
  <c r="BL52" i="1"/>
  <c r="BM52" i="1"/>
  <c r="BN52" i="1"/>
  <c r="BO52" i="1"/>
  <c r="BP52" i="1"/>
  <c r="BQ52" i="1"/>
  <c r="BR52" i="1"/>
  <c r="BT52" i="1"/>
  <c r="BU52" i="1"/>
  <c r="BV52" i="1"/>
  <c r="BW52" i="1"/>
  <c r="BX52" i="1"/>
  <c r="BY52" i="1"/>
  <c r="BZ52" i="1"/>
  <c r="CA52" i="1"/>
  <c r="BH53" i="1"/>
  <c r="BI53" i="1"/>
  <c r="BJ53" i="1"/>
  <c r="BK53" i="1"/>
  <c r="BL53" i="1"/>
  <c r="BM53" i="1"/>
  <c r="BN53" i="1"/>
  <c r="BO53" i="1"/>
  <c r="BP53" i="1"/>
  <c r="BQ53" i="1"/>
  <c r="BR53" i="1"/>
  <c r="BT53" i="1"/>
  <c r="BU53" i="1"/>
  <c r="BV53" i="1"/>
  <c r="BW53" i="1"/>
  <c r="BX53" i="1"/>
  <c r="BY53" i="1"/>
  <c r="BZ53" i="1"/>
  <c r="CA53" i="1"/>
  <c r="BH54" i="1"/>
  <c r="BI54" i="1"/>
  <c r="BJ54" i="1"/>
  <c r="BK54" i="1"/>
  <c r="BL54" i="1"/>
  <c r="BM54" i="1"/>
  <c r="BN54" i="1"/>
  <c r="BO54" i="1"/>
  <c r="BP54" i="1"/>
  <c r="BQ54" i="1"/>
  <c r="BR54" i="1"/>
  <c r="BT54" i="1"/>
  <c r="BU54" i="1"/>
  <c r="BV54" i="1"/>
  <c r="BW54" i="1"/>
  <c r="BX54" i="1"/>
  <c r="BY54" i="1"/>
  <c r="BZ54" i="1"/>
  <c r="CA54" i="1"/>
  <c r="BH55" i="1"/>
  <c r="BI55" i="1"/>
  <c r="BJ55" i="1"/>
  <c r="BK55" i="1"/>
  <c r="BL55" i="1"/>
  <c r="BM55" i="1"/>
  <c r="BN55" i="1"/>
  <c r="BO55" i="1"/>
  <c r="BP55" i="1"/>
  <c r="BQ55" i="1"/>
  <c r="BR55" i="1"/>
  <c r="BT55" i="1"/>
  <c r="BU55" i="1"/>
  <c r="BV55" i="1"/>
  <c r="BW55" i="1"/>
  <c r="BX55" i="1"/>
  <c r="BY55" i="1"/>
  <c r="BZ55" i="1"/>
  <c r="CA55" i="1"/>
  <c r="BH56" i="1"/>
  <c r="BI56" i="1"/>
  <c r="BJ56" i="1"/>
  <c r="BK56" i="1"/>
  <c r="BL56" i="1"/>
  <c r="BM56" i="1"/>
  <c r="BN56" i="1"/>
  <c r="BO56" i="1"/>
  <c r="BP56" i="1"/>
  <c r="BQ56" i="1"/>
  <c r="BR56" i="1"/>
  <c r="BT56" i="1"/>
  <c r="BU56" i="1"/>
  <c r="BV56" i="1"/>
  <c r="BW56" i="1"/>
  <c r="BX56" i="1"/>
  <c r="BY56" i="1"/>
  <c r="BZ56" i="1"/>
  <c r="CA56" i="1"/>
  <c r="BH58" i="1"/>
  <c r="BI58" i="1"/>
  <c r="BJ58" i="1"/>
  <c r="BK58" i="1"/>
  <c r="BL58" i="1"/>
  <c r="BM58" i="1"/>
  <c r="BN58" i="1"/>
  <c r="BO58" i="1"/>
  <c r="BP58" i="1"/>
  <c r="BQ58" i="1"/>
  <c r="BR58" i="1"/>
  <c r="JZ58" i="1" s="1"/>
  <c r="BT58" i="1"/>
  <c r="BU58" i="1"/>
  <c r="BV58" i="1"/>
  <c r="BW58" i="1"/>
  <c r="BX58" i="1"/>
  <c r="BY58" i="1"/>
  <c r="BZ58" i="1"/>
  <c r="CA58" i="1"/>
  <c r="BH59" i="1"/>
  <c r="BI59" i="1"/>
  <c r="BJ59" i="1"/>
  <c r="BK59" i="1"/>
  <c r="BL59" i="1"/>
  <c r="BM59" i="1"/>
  <c r="BN59" i="1"/>
  <c r="BO59" i="1"/>
  <c r="BP59" i="1"/>
  <c r="BQ59" i="1"/>
  <c r="BR59" i="1"/>
  <c r="JZ59" i="1" s="1"/>
  <c r="BT59" i="1"/>
  <c r="BU59" i="1"/>
  <c r="BV59" i="1"/>
  <c r="BW59" i="1"/>
  <c r="BX59" i="1"/>
  <c r="BY59" i="1"/>
  <c r="BZ59" i="1"/>
  <c r="CA59" i="1"/>
  <c r="BH60" i="1"/>
  <c r="BI60" i="1"/>
  <c r="BJ60" i="1"/>
  <c r="BK60" i="1"/>
  <c r="BL60" i="1"/>
  <c r="BM60" i="1"/>
  <c r="BN60" i="1"/>
  <c r="BO60" i="1"/>
  <c r="BP60" i="1"/>
  <c r="BQ60" i="1"/>
  <c r="BR60" i="1"/>
  <c r="BT60" i="1"/>
  <c r="BU60" i="1"/>
  <c r="BV60" i="1"/>
  <c r="BW60" i="1"/>
  <c r="BX60" i="1"/>
  <c r="BY60" i="1"/>
  <c r="BZ60" i="1"/>
  <c r="CA60" i="1"/>
  <c r="BH61" i="1"/>
  <c r="BI61" i="1"/>
  <c r="BJ61" i="1"/>
  <c r="BK61" i="1"/>
  <c r="BL61" i="1"/>
  <c r="BM61" i="1"/>
  <c r="BN61" i="1"/>
  <c r="BO61" i="1"/>
  <c r="BP61" i="1"/>
  <c r="BQ61" i="1"/>
  <c r="BR61" i="1"/>
  <c r="BT61" i="1"/>
  <c r="BU61" i="1"/>
  <c r="BV61" i="1"/>
  <c r="BW61" i="1"/>
  <c r="BX61" i="1"/>
  <c r="BY61" i="1"/>
  <c r="BZ61" i="1"/>
  <c r="CA61" i="1"/>
  <c r="BH62" i="1"/>
  <c r="BI62" i="1"/>
  <c r="BJ62" i="1"/>
  <c r="BK62" i="1"/>
  <c r="BL62" i="1"/>
  <c r="BM62" i="1"/>
  <c r="BN62" i="1"/>
  <c r="BO62" i="1"/>
  <c r="BP62" i="1"/>
  <c r="BQ62" i="1"/>
  <c r="BR62" i="1"/>
  <c r="BT62" i="1"/>
  <c r="BU62" i="1"/>
  <c r="BV62" i="1"/>
  <c r="BW62" i="1"/>
  <c r="BX62" i="1"/>
  <c r="BY62" i="1"/>
  <c r="BZ62" i="1"/>
  <c r="CA62" i="1"/>
  <c r="BH64" i="1"/>
  <c r="BI64" i="1"/>
  <c r="BJ64" i="1"/>
  <c r="BK64" i="1"/>
  <c r="BL64" i="1"/>
  <c r="BM64" i="1"/>
  <c r="BN64" i="1"/>
  <c r="BO64" i="1"/>
  <c r="BP64" i="1"/>
  <c r="BQ64" i="1"/>
  <c r="BR64" i="1"/>
  <c r="BT64" i="1"/>
  <c r="BU64" i="1"/>
  <c r="BV64" i="1"/>
  <c r="BW64" i="1"/>
  <c r="BX64" i="1"/>
  <c r="BY64" i="1"/>
  <c r="BZ64" i="1"/>
  <c r="CA64" i="1"/>
  <c r="BH65" i="1"/>
  <c r="BI65" i="1"/>
  <c r="BJ65" i="1"/>
  <c r="BK65" i="1"/>
  <c r="BL65" i="1"/>
  <c r="BM65" i="1"/>
  <c r="BN65" i="1"/>
  <c r="BO65" i="1"/>
  <c r="BP65" i="1"/>
  <c r="BQ65" i="1"/>
  <c r="BR65" i="1"/>
  <c r="BT65" i="1"/>
  <c r="BU65" i="1"/>
  <c r="BV65" i="1"/>
  <c r="BW65" i="1"/>
  <c r="BX65" i="1"/>
  <c r="BY65" i="1"/>
  <c r="BZ65" i="1"/>
  <c r="CA65" i="1"/>
  <c r="BH66" i="1"/>
  <c r="BI66" i="1"/>
  <c r="BJ66" i="1"/>
  <c r="BK66" i="1"/>
  <c r="BL66" i="1"/>
  <c r="BM66" i="1"/>
  <c r="BN66" i="1"/>
  <c r="BO66" i="1"/>
  <c r="BP66" i="1"/>
  <c r="BQ66" i="1"/>
  <c r="BR66" i="1"/>
  <c r="BT66" i="1"/>
  <c r="BU66" i="1"/>
  <c r="BV66" i="1"/>
  <c r="BW66" i="1"/>
  <c r="BX66" i="1"/>
  <c r="BY66" i="1"/>
  <c r="BZ66" i="1"/>
  <c r="CA66" i="1"/>
  <c r="BH67" i="1"/>
  <c r="BI67" i="1"/>
  <c r="BJ67" i="1"/>
  <c r="BK67" i="1"/>
  <c r="BL67" i="1"/>
  <c r="BM67" i="1"/>
  <c r="BN67" i="1"/>
  <c r="BO67" i="1"/>
  <c r="BP67" i="1"/>
  <c r="BQ67" i="1"/>
  <c r="BR67" i="1"/>
  <c r="BT67" i="1"/>
  <c r="BU67" i="1"/>
  <c r="BV67" i="1"/>
  <c r="BW67" i="1"/>
  <c r="BX67" i="1"/>
  <c r="BY67" i="1"/>
  <c r="BZ67" i="1"/>
  <c r="CA67" i="1"/>
  <c r="BH68" i="1"/>
  <c r="BI68" i="1"/>
  <c r="BJ68" i="1"/>
  <c r="BK68" i="1"/>
  <c r="BL68" i="1"/>
  <c r="BM68" i="1"/>
  <c r="BN68" i="1"/>
  <c r="BO68" i="1"/>
  <c r="BP68" i="1"/>
  <c r="BQ68" i="1"/>
  <c r="BR68" i="1"/>
  <c r="BT68" i="1"/>
  <c r="BU68" i="1"/>
  <c r="BV68" i="1"/>
  <c r="BW68" i="1"/>
  <c r="BX68" i="1"/>
  <c r="BY68" i="1"/>
  <c r="BZ68" i="1"/>
  <c r="CA68" i="1"/>
  <c r="BH69" i="1"/>
  <c r="BI69" i="1"/>
  <c r="BJ69" i="1"/>
  <c r="BK69" i="1"/>
  <c r="BL69" i="1"/>
  <c r="BM69" i="1"/>
  <c r="BN69" i="1"/>
  <c r="BO69" i="1"/>
  <c r="BP69" i="1"/>
  <c r="BQ69" i="1"/>
  <c r="BR69" i="1"/>
  <c r="BT69" i="1"/>
  <c r="BU69" i="1"/>
  <c r="BV69" i="1"/>
  <c r="BW69" i="1"/>
  <c r="BX69" i="1"/>
  <c r="BY69" i="1"/>
  <c r="BZ69" i="1"/>
  <c r="CA69" i="1"/>
  <c r="BH70" i="1"/>
  <c r="BI70" i="1"/>
  <c r="BJ70" i="1"/>
  <c r="BK70" i="1"/>
  <c r="BL70" i="1"/>
  <c r="BM70" i="1"/>
  <c r="BN70" i="1"/>
  <c r="BO70" i="1"/>
  <c r="BP70" i="1"/>
  <c r="BQ70" i="1"/>
  <c r="BR70" i="1"/>
  <c r="BT70" i="1"/>
  <c r="BU70" i="1"/>
  <c r="BV70" i="1"/>
  <c r="BW70" i="1"/>
  <c r="BX70" i="1"/>
  <c r="BY70" i="1"/>
  <c r="BZ70" i="1"/>
  <c r="CA70" i="1"/>
  <c r="BH71" i="1"/>
  <c r="BI71" i="1"/>
  <c r="BJ71" i="1"/>
  <c r="BK71" i="1"/>
  <c r="BL71" i="1"/>
  <c r="BM71" i="1"/>
  <c r="BN71" i="1"/>
  <c r="BO71" i="1"/>
  <c r="BP71" i="1"/>
  <c r="BQ71" i="1"/>
  <c r="BR71" i="1"/>
  <c r="BT71" i="1"/>
  <c r="BU71" i="1"/>
  <c r="BV71" i="1"/>
  <c r="BW71" i="1"/>
  <c r="BX71" i="1"/>
  <c r="BY71" i="1"/>
  <c r="BZ71" i="1"/>
  <c r="CA71" i="1"/>
  <c r="BH72" i="1"/>
  <c r="BI72" i="1"/>
  <c r="BJ72" i="1"/>
  <c r="BK72" i="1"/>
  <c r="BL72" i="1"/>
  <c r="BM72" i="1"/>
  <c r="BN72" i="1"/>
  <c r="BO72" i="1"/>
  <c r="BP72" i="1"/>
  <c r="BQ72" i="1"/>
  <c r="BR72" i="1"/>
  <c r="BT72" i="1"/>
  <c r="BU72" i="1"/>
  <c r="BV72" i="1"/>
  <c r="BW72" i="1"/>
  <c r="BX72" i="1"/>
  <c r="BY72" i="1"/>
  <c r="BZ72" i="1"/>
  <c r="CA72" i="1"/>
  <c r="BH73" i="1"/>
  <c r="BI73" i="1"/>
  <c r="BJ73" i="1"/>
  <c r="BK73" i="1"/>
  <c r="BL73" i="1"/>
  <c r="BM73" i="1"/>
  <c r="BN73" i="1"/>
  <c r="BO73" i="1"/>
  <c r="BP73" i="1"/>
  <c r="BQ73" i="1"/>
  <c r="BR73" i="1"/>
  <c r="BT73" i="1"/>
  <c r="BU73" i="1"/>
  <c r="BV73" i="1"/>
  <c r="BW73" i="1"/>
  <c r="BX73" i="1"/>
  <c r="BY73" i="1"/>
  <c r="BZ73" i="1"/>
  <c r="CA73" i="1"/>
  <c r="BH75" i="1"/>
  <c r="BI75" i="1"/>
  <c r="BJ75" i="1"/>
  <c r="BK75" i="1"/>
  <c r="BL75" i="1"/>
  <c r="BM75" i="1"/>
  <c r="BN75" i="1"/>
  <c r="BO75" i="1"/>
  <c r="BP75" i="1"/>
  <c r="BQ75" i="1"/>
  <c r="BR75" i="1"/>
  <c r="BT75" i="1"/>
  <c r="BU75" i="1"/>
  <c r="BV75" i="1"/>
  <c r="BW75" i="1"/>
  <c r="BX75" i="1"/>
  <c r="BY75" i="1"/>
  <c r="BZ75" i="1"/>
  <c r="CA75" i="1"/>
  <c r="BH76" i="1"/>
  <c r="BI76" i="1"/>
  <c r="BJ76" i="1"/>
  <c r="BK76" i="1"/>
  <c r="BL76" i="1"/>
  <c r="BM76" i="1"/>
  <c r="BN76" i="1"/>
  <c r="BO76" i="1"/>
  <c r="BP76" i="1"/>
  <c r="BQ76" i="1"/>
  <c r="BR76" i="1"/>
  <c r="BT76" i="1"/>
  <c r="BU76" i="1"/>
  <c r="BV76" i="1"/>
  <c r="BW76" i="1"/>
  <c r="BX76" i="1"/>
  <c r="BY76" i="1"/>
  <c r="BZ76" i="1"/>
  <c r="CA76" i="1"/>
  <c r="BH77" i="1"/>
  <c r="BI77" i="1"/>
  <c r="BJ77" i="1"/>
  <c r="BK77" i="1"/>
  <c r="BL77" i="1"/>
  <c r="BM77" i="1"/>
  <c r="BN77" i="1"/>
  <c r="BO77" i="1"/>
  <c r="BP77" i="1"/>
  <c r="BQ77" i="1"/>
  <c r="BR77" i="1"/>
  <c r="BT77" i="1"/>
  <c r="BU77" i="1"/>
  <c r="BV77" i="1"/>
  <c r="BW77" i="1"/>
  <c r="BX77" i="1"/>
  <c r="BY77" i="1"/>
  <c r="BZ77" i="1"/>
  <c r="CA77" i="1"/>
  <c r="BH78" i="1"/>
  <c r="BI78" i="1"/>
  <c r="BJ78" i="1"/>
  <c r="BK78" i="1"/>
  <c r="BL78" i="1"/>
  <c r="BM78" i="1"/>
  <c r="BN78" i="1"/>
  <c r="BO78" i="1"/>
  <c r="BP78" i="1"/>
  <c r="BQ78" i="1"/>
  <c r="BR78" i="1"/>
  <c r="BT78" i="1"/>
  <c r="BU78" i="1"/>
  <c r="BV78" i="1"/>
  <c r="BW78" i="1"/>
  <c r="BX78" i="1"/>
  <c r="BY78" i="1"/>
  <c r="BZ78" i="1"/>
  <c r="CA78" i="1"/>
  <c r="BH79" i="1"/>
  <c r="BI79" i="1"/>
  <c r="BJ79" i="1"/>
  <c r="BK79" i="1"/>
  <c r="BL79" i="1"/>
  <c r="BM79" i="1"/>
  <c r="BN79" i="1"/>
  <c r="BO79" i="1"/>
  <c r="BP79" i="1"/>
  <c r="BQ79" i="1"/>
  <c r="BR79" i="1"/>
  <c r="BT79" i="1"/>
  <c r="BU79" i="1"/>
  <c r="BV79" i="1"/>
  <c r="BW79" i="1"/>
  <c r="BX79" i="1"/>
  <c r="BY79" i="1"/>
  <c r="BZ79" i="1"/>
  <c r="CA79" i="1"/>
  <c r="BH80" i="1"/>
  <c r="BI80" i="1"/>
  <c r="BJ80" i="1"/>
  <c r="BK80" i="1"/>
  <c r="BL80" i="1"/>
  <c r="BM80" i="1"/>
  <c r="BN80" i="1"/>
  <c r="BO80" i="1"/>
  <c r="BP80" i="1"/>
  <c r="BQ80" i="1"/>
  <c r="BR80" i="1"/>
  <c r="BT80" i="1"/>
  <c r="BU80" i="1"/>
  <c r="BV80" i="1"/>
  <c r="BW80" i="1"/>
  <c r="BX80" i="1"/>
  <c r="BY80" i="1"/>
  <c r="BZ80" i="1"/>
  <c r="CA80" i="1"/>
  <c r="BH81" i="1"/>
  <c r="BI81" i="1"/>
  <c r="BJ81" i="1"/>
  <c r="BK81" i="1"/>
  <c r="BL81" i="1"/>
  <c r="BM81" i="1"/>
  <c r="BN81" i="1"/>
  <c r="BO81" i="1"/>
  <c r="BP81" i="1"/>
  <c r="BQ81" i="1"/>
  <c r="BR81" i="1"/>
  <c r="JZ81" i="1" s="1"/>
  <c r="BT81" i="1"/>
  <c r="BU81" i="1"/>
  <c r="BV81" i="1"/>
  <c r="BW81" i="1"/>
  <c r="BX81" i="1"/>
  <c r="BY81" i="1"/>
  <c r="BZ81" i="1"/>
  <c r="CA81" i="1"/>
  <c r="BH82" i="1"/>
  <c r="BI82" i="1"/>
  <c r="BJ82" i="1"/>
  <c r="BK82" i="1"/>
  <c r="BL82" i="1"/>
  <c r="BM82" i="1"/>
  <c r="BN82" i="1"/>
  <c r="BO82" i="1"/>
  <c r="BP82" i="1"/>
  <c r="BQ82" i="1"/>
  <c r="BR82" i="1"/>
  <c r="BT82" i="1"/>
  <c r="BU82" i="1"/>
  <c r="BV82" i="1"/>
  <c r="BW82" i="1"/>
  <c r="BX82" i="1"/>
  <c r="BY82" i="1"/>
  <c r="BZ82" i="1"/>
  <c r="CA82" i="1"/>
  <c r="BH83" i="1"/>
  <c r="BI83" i="1"/>
  <c r="BJ83" i="1"/>
  <c r="BK83" i="1"/>
  <c r="BL83" i="1"/>
  <c r="BM83" i="1"/>
  <c r="BN83" i="1"/>
  <c r="BO83" i="1"/>
  <c r="BP83" i="1"/>
  <c r="BQ83" i="1"/>
  <c r="BR83" i="1"/>
  <c r="BT83" i="1"/>
  <c r="BU83" i="1"/>
  <c r="BV83" i="1"/>
  <c r="BW83" i="1"/>
  <c r="BX83" i="1"/>
  <c r="BY83" i="1"/>
  <c r="BZ83" i="1"/>
  <c r="CA83" i="1"/>
  <c r="BH88" i="1"/>
  <c r="BI88" i="1"/>
  <c r="BJ88" i="1"/>
  <c r="BK88" i="1"/>
  <c r="BL88" i="1"/>
  <c r="BM88" i="1"/>
  <c r="BN88" i="1"/>
  <c r="BO88" i="1"/>
  <c r="BP88" i="1"/>
  <c r="BQ88" i="1"/>
  <c r="BR88" i="1"/>
  <c r="BT88" i="1"/>
  <c r="BU88" i="1"/>
  <c r="BV88" i="1"/>
  <c r="BW88" i="1"/>
  <c r="BX88" i="1"/>
  <c r="BY88" i="1"/>
  <c r="BZ88" i="1"/>
  <c r="CA88" i="1"/>
  <c r="BH89" i="1"/>
  <c r="BI89" i="1"/>
  <c r="BJ89" i="1"/>
  <c r="BK89" i="1"/>
  <c r="BL89" i="1"/>
  <c r="BM89" i="1"/>
  <c r="BN89" i="1"/>
  <c r="BO89" i="1"/>
  <c r="BP89" i="1"/>
  <c r="BQ89" i="1"/>
  <c r="BR89" i="1"/>
  <c r="BT89" i="1"/>
  <c r="BU89" i="1"/>
  <c r="BV89" i="1"/>
  <c r="BW89" i="1"/>
  <c r="BX89" i="1"/>
  <c r="BY89" i="1"/>
  <c r="BZ89" i="1"/>
  <c r="CA89" i="1"/>
  <c r="BH90" i="1"/>
  <c r="BI90" i="1"/>
  <c r="BJ90" i="1"/>
  <c r="BK90" i="1"/>
  <c r="BL90" i="1"/>
  <c r="BM90" i="1"/>
  <c r="BN90" i="1"/>
  <c r="BO90" i="1"/>
  <c r="BP90" i="1"/>
  <c r="BQ90" i="1"/>
  <c r="BR90" i="1"/>
  <c r="BT90" i="1"/>
  <c r="BU90" i="1"/>
  <c r="BV90" i="1"/>
  <c r="BW90" i="1"/>
  <c r="BX90" i="1"/>
  <c r="BY90" i="1"/>
  <c r="BZ90" i="1"/>
  <c r="CA90" i="1"/>
  <c r="BH91" i="1"/>
  <c r="BI91" i="1"/>
  <c r="BJ91" i="1"/>
  <c r="BK91" i="1"/>
  <c r="BL91" i="1"/>
  <c r="BM91" i="1"/>
  <c r="BN91" i="1"/>
  <c r="BO91" i="1"/>
  <c r="BP91" i="1"/>
  <c r="BQ91" i="1"/>
  <c r="BR91" i="1"/>
  <c r="BT91" i="1"/>
  <c r="BU91" i="1"/>
  <c r="BV91" i="1"/>
  <c r="BW91" i="1"/>
  <c r="BX91" i="1"/>
  <c r="BY91" i="1"/>
  <c r="BZ91" i="1"/>
  <c r="CA91" i="1"/>
  <c r="BH92" i="1"/>
  <c r="BI92" i="1"/>
  <c r="BJ92" i="1"/>
  <c r="BK92" i="1"/>
  <c r="BL92" i="1"/>
  <c r="BM92" i="1"/>
  <c r="BN92" i="1"/>
  <c r="BO92" i="1"/>
  <c r="BP92" i="1"/>
  <c r="BQ92" i="1"/>
  <c r="BR92" i="1"/>
  <c r="BT92" i="1"/>
  <c r="BU92" i="1"/>
  <c r="BV92" i="1"/>
  <c r="BW92" i="1"/>
  <c r="BX92" i="1"/>
  <c r="BY92" i="1"/>
  <c r="BZ92" i="1"/>
  <c r="CA92" i="1"/>
  <c r="BH93" i="1"/>
  <c r="BI93" i="1"/>
  <c r="BJ93" i="1"/>
  <c r="BK93" i="1"/>
  <c r="BL93" i="1"/>
  <c r="BM93" i="1"/>
  <c r="BN93" i="1"/>
  <c r="BO93" i="1"/>
  <c r="BP93" i="1"/>
  <c r="BQ93" i="1"/>
  <c r="BR93" i="1"/>
  <c r="BT93" i="1"/>
  <c r="BU93" i="1"/>
  <c r="BV93" i="1"/>
  <c r="BW93" i="1"/>
  <c r="BX93" i="1"/>
  <c r="BY93" i="1"/>
  <c r="BZ93" i="1"/>
  <c r="CA93" i="1"/>
  <c r="BH94" i="1"/>
  <c r="BI94" i="1"/>
  <c r="BJ94" i="1"/>
  <c r="BK94" i="1"/>
  <c r="BL94" i="1"/>
  <c r="BM94" i="1"/>
  <c r="BN94" i="1"/>
  <c r="BO94" i="1"/>
  <c r="BP94" i="1"/>
  <c r="BQ94" i="1"/>
  <c r="BR94" i="1"/>
  <c r="BT94" i="1"/>
  <c r="BU94" i="1"/>
  <c r="BV94" i="1"/>
  <c r="BW94" i="1"/>
  <c r="BX94" i="1"/>
  <c r="BY94" i="1"/>
  <c r="BZ94" i="1"/>
  <c r="CA94" i="1"/>
  <c r="BH95" i="1"/>
  <c r="BI95" i="1"/>
  <c r="BJ95" i="1"/>
  <c r="BK95" i="1"/>
  <c r="BL95" i="1"/>
  <c r="BM95" i="1"/>
  <c r="BN95" i="1"/>
  <c r="BO95" i="1"/>
  <c r="BP95" i="1"/>
  <c r="BQ95" i="1"/>
  <c r="BR95" i="1"/>
  <c r="BT95" i="1"/>
  <c r="BU95" i="1"/>
  <c r="BV95" i="1"/>
  <c r="BW95" i="1"/>
  <c r="BX95" i="1"/>
  <c r="BY95" i="1"/>
  <c r="BZ95" i="1"/>
  <c r="CA95" i="1"/>
  <c r="BH96" i="1"/>
  <c r="BI96" i="1"/>
  <c r="BJ96" i="1"/>
  <c r="BK96" i="1"/>
  <c r="BL96" i="1"/>
  <c r="BM96" i="1"/>
  <c r="BN96" i="1"/>
  <c r="BO96" i="1"/>
  <c r="BP96" i="1"/>
  <c r="BQ96" i="1"/>
  <c r="BR96" i="1"/>
  <c r="BT96" i="1"/>
  <c r="BU96" i="1"/>
  <c r="BV96" i="1"/>
  <c r="BW96" i="1"/>
  <c r="BX96" i="1"/>
  <c r="BY96" i="1"/>
  <c r="BZ96" i="1"/>
  <c r="CA96" i="1"/>
  <c r="BH97" i="1"/>
  <c r="BI97" i="1"/>
  <c r="BJ97" i="1"/>
  <c r="BK97" i="1"/>
  <c r="BL97" i="1"/>
  <c r="BM97" i="1"/>
  <c r="BN97" i="1"/>
  <c r="BO97" i="1"/>
  <c r="BP97" i="1"/>
  <c r="BQ97" i="1"/>
  <c r="BR97" i="1"/>
  <c r="BT97" i="1"/>
  <c r="BU97" i="1"/>
  <c r="BV97" i="1"/>
  <c r="BW97" i="1"/>
  <c r="BX97" i="1"/>
  <c r="BY97" i="1"/>
  <c r="BZ97" i="1"/>
  <c r="CA97" i="1"/>
  <c r="BH98" i="1"/>
  <c r="BI98" i="1"/>
  <c r="BJ98" i="1"/>
  <c r="BK98" i="1"/>
  <c r="BL98" i="1"/>
  <c r="BM98" i="1"/>
  <c r="BN98" i="1"/>
  <c r="BO98" i="1"/>
  <c r="BP98" i="1"/>
  <c r="BQ98" i="1"/>
  <c r="BR98" i="1"/>
  <c r="BT98" i="1"/>
  <c r="BU98" i="1"/>
  <c r="BV98" i="1"/>
  <c r="BW98" i="1"/>
  <c r="BX98" i="1"/>
  <c r="BY98" i="1"/>
  <c r="BZ98" i="1"/>
  <c r="CA98" i="1"/>
  <c r="BH99" i="1"/>
  <c r="BI99" i="1"/>
  <c r="BJ99" i="1"/>
  <c r="BK99" i="1"/>
  <c r="BL99" i="1"/>
  <c r="BM99" i="1"/>
  <c r="BN99" i="1"/>
  <c r="BO99" i="1"/>
  <c r="BP99" i="1"/>
  <c r="BQ99" i="1"/>
  <c r="BR99" i="1"/>
  <c r="BT99" i="1"/>
  <c r="BU99" i="1"/>
  <c r="BV99" i="1"/>
  <c r="BW99" i="1"/>
  <c r="BX99" i="1"/>
  <c r="BY99" i="1"/>
  <c r="BZ99" i="1"/>
  <c r="CA99" i="1"/>
  <c r="BH100" i="1"/>
  <c r="BI100" i="1"/>
  <c r="BJ100" i="1"/>
  <c r="BK100" i="1"/>
  <c r="BL100" i="1"/>
  <c r="BM100" i="1"/>
  <c r="BN100" i="1"/>
  <c r="BO100" i="1"/>
  <c r="BP100" i="1"/>
  <c r="BQ100" i="1"/>
  <c r="BR100" i="1"/>
  <c r="BT100" i="1"/>
  <c r="BU100" i="1"/>
  <c r="BV100" i="1"/>
  <c r="BW100" i="1"/>
  <c r="BX100" i="1"/>
  <c r="BY100" i="1"/>
  <c r="BZ100" i="1"/>
  <c r="CA100" i="1"/>
  <c r="BH101" i="1"/>
  <c r="BI101" i="1"/>
  <c r="BJ101" i="1"/>
  <c r="BK101" i="1"/>
  <c r="BL101" i="1"/>
  <c r="BM101" i="1"/>
  <c r="BN101" i="1"/>
  <c r="BO101" i="1"/>
  <c r="BP101" i="1"/>
  <c r="BQ101" i="1"/>
  <c r="BR101" i="1"/>
  <c r="BT101" i="1"/>
  <c r="BU101" i="1"/>
  <c r="BV101" i="1"/>
  <c r="BW101" i="1"/>
  <c r="BX101" i="1"/>
  <c r="BY101" i="1"/>
  <c r="BZ101" i="1"/>
  <c r="CA101" i="1"/>
  <c r="BH102" i="1"/>
  <c r="BI102" i="1"/>
  <c r="BJ102" i="1"/>
  <c r="BK102" i="1"/>
  <c r="BL102" i="1"/>
  <c r="BM102" i="1"/>
  <c r="BN102" i="1"/>
  <c r="BO102" i="1"/>
  <c r="BP102" i="1"/>
  <c r="BQ102" i="1"/>
  <c r="BR102" i="1"/>
  <c r="BT102" i="1"/>
  <c r="BU102" i="1"/>
  <c r="BV102" i="1"/>
  <c r="BW102" i="1"/>
  <c r="BX102" i="1"/>
  <c r="BY102" i="1"/>
  <c r="BZ102" i="1"/>
  <c r="CA102" i="1"/>
  <c r="BH103" i="1"/>
  <c r="BI103" i="1"/>
  <c r="BJ103" i="1"/>
  <c r="BK103" i="1"/>
  <c r="BL103" i="1"/>
  <c r="BM103" i="1"/>
  <c r="BN103" i="1"/>
  <c r="BO103" i="1"/>
  <c r="BP103" i="1"/>
  <c r="BQ103" i="1"/>
  <c r="BR103" i="1"/>
  <c r="BT103" i="1"/>
  <c r="BU103" i="1"/>
  <c r="BV103" i="1"/>
  <c r="BW103" i="1"/>
  <c r="BX103" i="1"/>
  <c r="BY103" i="1"/>
  <c r="BZ103" i="1"/>
  <c r="CA103" i="1"/>
  <c r="BH104" i="1"/>
  <c r="BI104" i="1"/>
  <c r="BJ104" i="1"/>
  <c r="BK104" i="1"/>
  <c r="BL104" i="1"/>
  <c r="BM104" i="1"/>
  <c r="BN104" i="1"/>
  <c r="BO104" i="1"/>
  <c r="BP104" i="1"/>
  <c r="BQ104" i="1"/>
  <c r="BR104" i="1"/>
  <c r="BT104" i="1"/>
  <c r="BU104" i="1"/>
  <c r="BV104" i="1"/>
  <c r="BW104" i="1"/>
  <c r="BX104" i="1"/>
  <c r="BY104" i="1"/>
  <c r="BZ104" i="1"/>
  <c r="CA104" i="1"/>
  <c r="BH105" i="1"/>
  <c r="BI105" i="1"/>
  <c r="BJ105" i="1"/>
  <c r="BK105" i="1"/>
  <c r="BL105" i="1"/>
  <c r="BM105" i="1"/>
  <c r="BN105" i="1"/>
  <c r="BO105" i="1"/>
  <c r="JA105" i="1" s="1"/>
  <c r="BP105" i="1"/>
  <c r="BQ105" i="1"/>
  <c r="BR105" i="1"/>
  <c r="BT105" i="1"/>
  <c r="BU105" i="1"/>
  <c r="BV105" i="1"/>
  <c r="BW105" i="1"/>
  <c r="BX105" i="1"/>
  <c r="BY105" i="1"/>
  <c r="BZ105" i="1"/>
  <c r="CA105" i="1"/>
  <c r="BH106" i="1"/>
  <c r="BI106" i="1"/>
  <c r="BJ106" i="1"/>
  <c r="BK106" i="1"/>
  <c r="BL106" i="1"/>
  <c r="BM106" i="1"/>
  <c r="BN106" i="1"/>
  <c r="BO106" i="1"/>
  <c r="BP106" i="1"/>
  <c r="BQ106" i="1"/>
  <c r="BR106" i="1"/>
  <c r="BT106" i="1"/>
  <c r="BU106" i="1"/>
  <c r="BV106" i="1"/>
  <c r="BW106" i="1"/>
  <c r="BX106" i="1"/>
  <c r="BY106" i="1"/>
  <c r="BZ106" i="1"/>
  <c r="CA106" i="1"/>
  <c r="BH108" i="1"/>
  <c r="BI108" i="1"/>
  <c r="BJ108" i="1"/>
  <c r="BK108" i="1"/>
  <c r="BL108" i="1"/>
  <c r="BM108" i="1"/>
  <c r="BN108" i="1"/>
  <c r="BO108" i="1"/>
  <c r="BP108" i="1"/>
  <c r="BQ108" i="1"/>
  <c r="BR108" i="1"/>
  <c r="BT108" i="1"/>
  <c r="AB5" i="3"/>
  <c r="CZ1" i="1" s="1"/>
  <c r="BT2" i="1"/>
  <c r="BU108" i="1"/>
  <c r="BV108" i="1"/>
  <c r="BW108" i="1"/>
  <c r="BX108" i="1"/>
  <c r="BY108" i="1"/>
  <c r="BZ108" i="1"/>
  <c r="CA108" i="1"/>
  <c r="BH109" i="1"/>
  <c r="BI109" i="1"/>
  <c r="BJ109" i="1"/>
  <c r="BK109" i="1"/>
  <c r="BL109" i="1"/>
  <c r="BM109" i="1"/>
  <c r="BN109" i="1"/>
  <c r="BO109" i="1"/>
  <c r="BP109" i="1"/>
  <c r="BQ109" i="1"/>
  <c r="BR109" i="1"/>
  <c r="BT109" i="1"/>
  <c r="BU109" i="1"/>
  <c r="BV109" i="1"/>
  <c r="BW109" i="1"/>
  <c r="BX109" i="1"/>
  <c r="BY109" i="1"/>
  <c r="BZ109" i="1"/>
  <c r="CA109" i="1"/>
  <c r="BH110" i="1"/>
  <c r="BI110" i="1"/>
  <c r="BJ110" i="1"/>
  <c r="BK110" i="1"/>
  <c r="BL110" i="1"/>
  <c r="BM110" i="1"/>
  <c r="BN110" i="1"/>
  <c r="BO110" i="1"/>
  <c r="BP110" i="1"/>
  <c r="BQ110" i="1"/>
  <c r="BR110" i="1"/>
  <c r="BT110" i="1"/>
  <c r="BU110" i="1"/>
  <c r="BV110" i="1"/>
  <c r="BW110" i="1"/>
  <c r="BX110" i="1"/>
  <c r="BY110" i="1"/>
  <c r="BZ110" i="1"/>
  <c r="CA110" i="1"/>
  <c r="BH111" i="1"/>
  <c r="BI111" i="1"/>
  <c r="BJ111" i="1"/>
  <c r="BK111" i="1"/>
  <c r="BL111" i="1"/>
  <c r="BM111" i="1"/>
  <c r="BN111" i="1"/>
  <c r="BO111" i="1"/>
  <c r="BP111" i="1"/>
  <c r="BQ111" i="1"/>
  <c r="BR111" i="1"/>
  <c r="BT111" i="1"/>
  <c r="BU111" i="1"/>
  <c r="BV111" i="1"/>
  <c r="BW111" i="1"/>
  <c r="BX111" i="1"/>
  <c r="BY111" i="1"/>
  <c r="BZ111" i="1"/>
  <c r="CA111" i="1"/>
  <c r="BH112" i="1"/>
  <c r="BI112" i="1"/>
  <c r="BJ112" i="1"/>
  <c r="BK112" i="1"/>
  <c r="BL112" i="1"/>
  <c r="BM112" i="1"/>
  <c r="BN112" i="1"/>
  <c r="BO112" i="1"/>
  <c r="BP112" i="1"/>
  <c r="BQ112" i="1"/>
  <c r="BR112" i="1"/>
  <c r="BT112" i="1"/>
  <c r="BU112" i="1"/>
  <c r="BV112" i="1"/>
  <c r="BW112" i="1"/>
  <c r="BX112" i="1"/>
  <c r="BY112" i="1"/>
  <c r="BZ112" i="1"/>
  <c r="CA112" i="1"/>
  <c r="BH113" i="1"/>
  <c r="BI113" i="1"/>
  <c r="BJ113" i="1"/>
  <c r="BK113" i="1"/>
  <c r="BL113" i="1"/>
  <c r="BM113" i="1"/>
  <c r="BN113" i="1"/>
  <c r="BO113" i="1"/>
  <c r="BP113" i="1"/>
  <c r="BQ113" i="1"/>
  <c r="BR113" i="1"/>
  <c r="BT113" i="1"/>
  <c r="BU113" i="1"/>
  <c r="BV113" i="1"/>
  <c r="BW113" i="1"/>
  <c r="BX113" i="1"/>
  <c r="BY113" i="1"/>
  <c r="BZ113" i="1"/>
  <c r="CA113" i="1"/>
  <c r="BH114" i="1"/>
  <c r="BI114" i="1"/>
  <c r="BJ114" i="1"/>
  <c r="BK114" i="1"/>
  <c r="BL114" i="1"/>
  <c r="BM114" i="1"/>
  <c r="BN114" i="1"/>
  <c r="BO114" i="1"/>
  <c r="BP114" i="1"/>
  <c r="BQ114" i="1"/>
  <c r="BR114" i="1"/>
  <c r="BT114" i="1"/>
  <c r="BU114" i="1"/>
  <c r="BV114" i="1"/>
  <c r="BW114" i="1"/>
  <c r="BX114" i="1"/>
  <c r="BY114" i="1"/>
  <c r="BZ114" i="1"/>
  <c r="CA114" i="1"/>
  <c r="BH115" i="1"/>
  <c r="BI115" i="1"/>
  <c r="BJ115" i="1"/>
  <c r="BK115" i="1"/>
  <c r="BL115" i="1"/>
  <c r="BM115" i="1"/>
  <c r="BN115" i="1"/>
  <c r="BO115" i="1"/>
  <c r="BP115" i="1"/>
  <c r="BQ115" i="1"/>
  <c r="BR115" i="1"/>
  <c r="BT115" i="1"/>
  <c r="BU115" i="1"/>
  <c r="BV115" i="1"/>
  <c r="BW115" i="1"/>
  <c r="BX115" i="1"/>
  <c r="BY115" i="1"/>
  <c r="BZ115" i="1"/>
  <c r="CA115" i="1"/>
  <c r="BH116" i="1"/>
  <c r="BI116" i="1"/>
  <c r="BJ116" i="1"/>
  <c r="BK116" i="1"/>
  <c r="BL116" i="1"/>
  <c r="BM116" i="1"/>
  <c r="BN116" i="1"/>
  <c r="BO116" i="1"/>
  <c r="BP116" i="1"/>
  <c r="BQ116" i="1"/>
  <c r="BR116" i="1"/>
  <c r="BT116" i="1"/>
  <c r="BU116" i="1"/>
  <c r="BV116" i="1"/>
  <c r="BW116" i="1"/>
  <c r="BX116" i="1"/>
  <c r="BY116" i="1"/>
  <c r="BZ116" i="1"/>
  <c r="CA116" i="1"/>
  <c r="BH117" i="1"/>
  <c r="BI117" i="1"/>
  <c r="BJ117" i="1"/>
  <c r="BK117" i="1"/>
  <c r="BL117" i="1"/>
  <c r="BM117" i="1"/>
  <c r="BN117" i="1"/>
  <c r="BO117" i="1"/>
  <c r="BP117" i="1"/>
  <c r="BQ117" i="1"/>
  <c r="BR117" i="1"/>
  <c r="BT117" i="1"/>
  <c r="BU117" i="1"/>
  <c r="BV117" i="1"/>
  <c r="BW117" i="1"/>
  <c r="BX117" i="1"/>
  <c r="BY117" i="1"/>
  <c r="BZ117" i="1"/>
  <c r="CA117" i="1"/>
  <c r="BH118" i="1"/>
  <c r="BI118" i="1"/>
  <c r="BJ118" i="1"/>
  <c r="BK118" i="1"/>
  <c r="BL118" i="1"/>
  <c r="BM118" i="1"/>
  <c r="BN118" i="1"/>
  <c r="BO118" i="1"/>
  <c r="BP118" i="1"/>
  <c r="BQ118" i="1"/>
  <c r="BR118" i="1"/>
  <c r="BT118" i="1"/>
  <c r="BU118" i="1"/>
  <c r="BV118" i="1"/>
  <c r="BW118" i="1"/>
  <c r="BX118" i="1"/>
  <c r="BY118" i="1"/>
  <c r="BZ118" i="1"/>
  <c r="CA118" i="1"/>
  <c r="BH119" i="1"/>
  <c r="BI119" i="1"/>
  <c r="BJ119" i="1"/>
  <c r="BK119" i="1"/>
  <c r="BL119" i="1"/>
  <c r="BM119" i="1"/>
  <c r="BN119" i="1"/>
  <c r="BO119" i="1"/>
  <c r="BP119" i="1"/>
  <c r="BQ119" i="1"/>
  <c r="BR119" i="1"/>
  <c r="BT119" i="1"/>
  <c r="BU119" i="1"/>
  <c r="BV119" i="1"/>
  <c r="BW119" i="1"/>
  <c r="BX119" i="1"/>
  <c r="BY119" i="1"/>
  <c r="BZ119" i="1"/>
  <c r="CA119" i="1"/>
  <c r="BH120" i="1"/>
  <c r="BI120" i="1"/>
  <c r="BJ120" i="1"/>
  <c r="BK120" i="1"/>
  <c r="BL120" i="1"/>
  <c r="BM120" i="1"/>
  <c r="BN120" i="1"/>
  <c r="BO120" i="1"/>
  <c r="BP120" i="1"/>
  <c r="BQ120" i="1"/>
  <c r="BR120" i="1"/>
  <c r="BT120" i="1"/>
  <c r="BU120" i="1"/>
  <c r="BV120" i="1"/>
  <c r="BW120" i="1"/>
  <c r="BX120" i="1"/>
  <c r="BY120" i="1"/>
  <c r="BZ120" i="1"/>
  <c r="CA120" i="1"/>
  <c r="BH121" i="1"/>
  <c r="BI121" i="1"/>
  <c r="BJ121" i="1"/>
  <c r="BK121" i="1"/>
  <c r="BL121" i="1"/>
  <c r="BM121" i="1"/>
  <c r="BN121" i="1"/>
  <c r="BO121" i="1"/>
  <c r="BP121" i="1"/>
  <c r="BQ121" i="1"/>
  <c r="BR121" i="1"/>
  <c r="BT121" i="1"/>
  <c r="BU121" i="1"/>
  <c r="BV121" i="1"/>
  <c r="BW121" i="1"/>
  <c r="BX121" i="1"/>
  <c r="BY121" i="1"/>
  <c r="BZ121" i="1"/>
  <c r="CA121" i="1"/>
  <c r="BH122" i="1"/>
  <c r="BI122" i="1"/>
  <c r="BJ122" i="1"/>
  <c r="BK122" i="1"/>
  <c r="BL122" i="1"/>
  <c r="BM122" i="1"/>
  <c r="BN122" i="1"/>
  <c r="BO122" i="1"/>
  <c r="BP122" i="1"/>
  <c r="BQ122" i="1"/>
  <c r="BR122" i="1"/>
  <c r="BT122" i="1"/>
  <c r="BU122" i="1"/>
  <c r="BV122" i="1"/>
  <c r="BW122" i="1"/>
  <c r="BX122" i="1"/>
  <c r="BY122" i="1"/>
  <c r="BZ122" i="1"/>
  <c r="CA122" i="1"/>
  <c r="BH123" i="1"/>
  <c r="BI123" i="1"/>
  <c r="BJ123" i="1"/>
  <c r="BK123" i="1"/>
  <c r="BL123" i="1"/>
  <c r="BM123" i="1"/>
  <c r="BN123" i="1"/>
  <c r="BO123" i="1"/>
  <c r="BP123" i="1"/>
  <c r="BQ123" i="1"/>
  <c r="BR123" i="1"/>
  <c r="BT123" i="1"/>
  <c r="BU123" i="1"/>
  <c r="BV123" i="1"/>
  <c r="BW123" i="1"/>
  <c r="BX123" i="1"/>
  <c r="BY123" i="1"/>
  <c r="BZ123" i="1"/>
  <c r="CA123" i="1"/>
  <c r="BH124" i="1"/>
  <c r="BI124" i="1"/>
  <c r="BJ124" i="1"/>
  <c r="BK124" i="1"/>
  <c r="BL124" i="1"/>
  <c r="BM124" i="1"/>
  <c r="BN124" i="1"/>
  <c r="BO124" i="1"/>
  <c r="BP124" i="1"/>
  <c r="BQ124" i="1"/>
  <c r="BR124" i="1"/>
  <c r="BT124" i="1"/>
  <c r="BU124" i="1"/>
  <c r="BV124" i="1"/>
  <c r="BW124" i="1"/>
  <c r="BX124" i="1"/>
  <c r="BY124" i="1"/>
  <c r="BZ124" i="1"/>
  <c r="CA124" i="1"/>
  <c r="BH125" i="1"/>
  <c r="BI125" i="1"/>
  <c r="BJ125" i="1"/>
  <c r="BK125" i="1"/>
  <c r="BL125" i="1"/>
  <c r="BM125" i="1"/>
  <c r="BN125" i="1"/>
  <c r="BO125" i="1"/>
  <c r="BP125" i="1"/>
  <c r="BQ125" i="1"/>
  <c r="BR125" i="1"/>
  <c r="BT125" i="1"/>
  <c r="BU125" i="1"/>
  <c r="BV125" i="1"/>
  <c r="BW125" i="1"/>
  <c r="BX125" i="1"/>
  <c r="BY125" i="1"/>
  <c r="BZ125" i="1"/>
  <c r="CA125" i="1"/>
  <c r="BH126" i="1"/>
  <c r="BI126" i="1"/>
  <c r="BJ126" i="1"/>
  <c r="BK126" i="1"/>
  <c r="BL126" i="1"/>
  <c r="BM126" i="1"/>
  <c r="BN126" i="1"/>
  <c r="BO126" i="1"/>
  <c r="BP126" i="1"/>
  <c r="BQ126" i="1"/>
  <c r="BR126" i="1"/>
  <c r="BT126" i="1"/>
  <c r="BU126" i="1"/>
  <c r="BV126" i="1"/>
  <c r="BW126" i="1"/>
  <c r="BX126" i="1"/>
  <c r="BY126" i="1"/>
  <c r="BZ126" i="1"/>
  <c r="CA126" i="1"/>
  <c r="BH127" i="1"/>
  <c r="BI127" i="1"/>
  <c r="BJ127" i="1"/>
  <c r="BK127" i="1"/>
  <c r="BL127" i="1"/>
  <c r="BM127" i="1"/>
  <c r="BN127" i="1"/>
  <c r="BO127" i="1"/>
  <c r="BP127" i="1"/>
  <c r="BQ127" i="1"/>
  <c r="BR127" i="1"/>
  <c r="BT127" i="1"/>
  <c r="BU127" i="1"/>
  <c r="BV127" i="1"/>
  <c r="BW127" i="1"/>
  <c r="BX127" i="1"/>
  <c r="BY127" i="1"/>
  <c r="BZ127" i="1"/>
  <c r="CA127" i="1"/>
  <c r="BH128" i="1"/>
  <c r="BI128" i="1"/>
  <c r="BJ128" i="1"/>
  <c r="BK128" i="1"/>
  <c r="BL128" i="1"/>
  <c r="BM128" i="1"/>
  <c r="BN128" i="1"/>
  <c r="BO128" i="1"/>
  <c r="BP128" i="1"/>
  <c r="BQ128" i="1"/>
  <c r="BR128" i="1"/>
  <c r="BT128" i="1"/>
  <c r="BU128" i="1"/>
  <c r="BV128" i="1"/>
  <c r="BW128" i="1"/>
  <c r="BX128" i="1"/>
  <c r="BY128" i="1"/>
  <c r="BZ128" i="1"/>
  <c r="CA128" i="1"/>
  <c r="BH129" i="1"/>
  <c r="BI129" i="1"/>
  <c r="BJ129" i="1"/>
  <c r="BK129" i="1"/>
  <c r="BL129" i="1"/>
  <c r="BM129" i="1"/>
  <c r="BN129" i="1"/>
  <c r="BO129" i="1"/>
  <c r="BP129" i="1"/>
  <c r="BQ129" i="1"/>
  <c r="BR129" i="1"/>
  <c r="BT129" i="1"/>
  <c r="BU129" i="1"/>
  <c r="BV129" i="1"/>
  <c r="BW129" i="1"/>
  <c r="BX129" i="1"/>
  <c r="BY129" i="1"/>
  <c r="BZ129" i="1"/>
  <c r="CA129" i="1"/>
  <c r="BH130" i="1"/>
  <c r="BI130" i="1"/>
  <c r="BJ130" i="1"/>
  <c r="BK130" i="1"/>
  <c r="BL130" i="1"/>
  <c r="BM130" i="1"/>
  <c r="BN130" i="1"/>
  <c r="BO130" i="1"/>
  <c r="BP130" i="1"/>
  <c r="BQ130" i="1"/>
  <c r="BR130" i="1"/>
  <c r="BT130" i="1"/>
  <c r="BU130" i="1"/>
  <c r="BV130" i="1"/>
  <c r="BW130" i="1"/>
  <c r="BX130" i="1"/>
  <c r="BY130" i="1"/>
  <c r="BZ130" i="1"/>
  <c r="CA130" i="1"/>
  <c r="BH131" i="1"/>
  <c r="BI131" i="1"/>
  <c r="BJ131" i="1"/>
  <c r="BK131" i="1"/>
  <c r="BL131" i="1"/>
  <c r="BM131" i="1"/>
  <c r="BN131" i="1"/>
  <c r="BO131" i="1"/>
  <c r="BP131" i="1"/>
  <c r="BQ131" i="1"/>
  <c r="BR131" i="1"/>
  <c r="BT131" i="1"/>
  <c r="BU131" i="1"/>
  <c r="BV131" i="1"/>
  <c r="BW131" i="1"/>
  <c r="BX131" i="1"/>
  <c r="BY131" i="1"/>
  <c r="BZ131" i="1"/>
  <c r="CA131" i="1"/>
  <c r="BH132" i="1"/>
  <c r="BI132" i="1"/>
  <c r="BJ132" i="1"/>
  <c r="BK132" i="1"/>
  <c r="BL132" i="1"/>
  <c r="BM132" i="1"/>
  <c r="BN132" i="1"/>
  <c r="BO132" i="1"/>
  <c r="BP132" i="1"/>
  <c r="BQ132" i="1"/>
  <c r="BR132" i="1"/>
  <c r="BT132" i="1"/>
  <c r="BU132" i="1"/>
  <c r="BV132" i="1"/>
  <c r="BW132" i="1"/>
  <c r="BX132" i="1"/>
  <c r="BY132" i="1"/>
  <c r="BZ132" i="1"/>
  <c r="CA132" i="1"/>
  <c r="BH133" i="1"/>
  <c r="BI133" i="1"/>
  <c r="BJ133" i="1"/>
  <c r="BK133" i="1"/>
  <c r="BL133" i="1"/>
  <c r="BM133" i="1"/>
  <c r="BN133" i="1"/>
  <c r="BO133" i="1"/>
  <c r="BP133" i="1"/>
  <c r="BQ133" i="1"/>
  <c r="BR133" i="1"/>
  <c r="BT133" i="1"/>
  <c r="BU133" i="1"/>
  <c r="BV133" i="1"/>
  <c r="BW133" i="1"/>
  <c r="BX133" i="1"/>
  <c r="BY133" i="1"/>
  <c r="BZ133" i="1"/>
  <c r="CA133" i="1"/>
  <c r="BH134" i="1"/>
  <c r="BI134" i="1"/>
  <c r="BJ134" i="1"/>
  <c r="BK134" i="1"/>
  <c r="BL134" i="1"/>
  <c r="BM134" i="1"/>
  <c r="BN134" i="1"/>
  <c r="BO134" i="1"/>
  <c r="BP134" i="1"/>
  <c r="BQ134" i="1"/>
  <c r="BR134" i="1"/>
  <c r="BT134" i="1"/>
  <c r="BU134" i="1"/>
  <c r="BV134" i="1"/>
  <c r="BW134" i="1"/>
  <c r="BX134" i="1"/>
  <c r="BY134" i="1"/>
  <c r="BZ134" i="1"/>
  <c r="CA134" i="1"/>
  <c r="BH135" i="1"/>
  <c r="BI135" i="1"/>
  <c r="BJ135" i="1"/>
  <c r="BK135" i="1"/>
  <c r="BL135" i="1"/>
  <c r="BM135" i="1"/>
  <c r="BN135" i="1"/>
  <c r="BO135" i="1"/>
  <c r="BP135" i="1"/>
  <c r="BQ135" i="1"/>
  <c r="BR135" i="1"/>
  <c r="BT135" i="1"/>
  <c r="BU135" i="1"/>
  <c r="BV135" i="1"/>
  <c r="BW135" i="1"/>
  <c r="BX135" i="1"/>
  <c r="BY135" i="1"/>
  <c r="BZ135" i="1"/>
  <c r="CA135" i="1"/>
  <c r="BH136" i="1"/>
  <c r="BI136" i="1"/>
  <c r="BJ136" i="1"/>
  <c r="BK136" i="1"/>
  <c r="BL136" i="1"/>
  <c r="BM136" i="1"/>
  <c r="BN136" i="1"/>
  <c r="BO136" i="1"/>
  <c r="BP136" i="1"/>
  <c r="BQ136" i="1"/>
  <c r="BR136" i="1"/>
  <c r="BT136" i="1"/>
  <c r="BU136" i="1"/>
  <c r="BV136" i="1"/>
  <c r="BW136" i="1"/>
  <c r="BX136" i="1"/>
  <c r="BY136" i="1"/>
  <c r="BZ136" i="1"/>
  <c r="CA136" i="1"/>
  <c r="BH137" i="1"/>
  <c r="BI137" i="1"/>
  <c r="BJ137" i="1"/>
  <c r="BK137" i="1"/>
  <c r="BL137" i="1"/>
  <c r="BM137" i="1"/>
  <c r="BN137" i="1"/>
  <c r="BO137" i="1"/>
  <c r="BP137" i="1"/>
  <c r="BQ137" i="1"/>
  <c r="BR137" i="1"/>
  <c r="BT137" i="1"/>
  <c r="BU137" i="1"/>
  <c r="BV137" i="1"/>
  <c r="BW137" i="1"/>
  <c r="BX137" i="1"/>
  <c r="BY137" i="1"/>
  <c r="BZ137" i="1"/>
  <c r="CA137" i="1"/>
  <c r="BH138" i="1"/>
  <c r="BI138" i="1"/>
  <c r="BJ138" i="1"/>
  <c r="BK138" i="1"/>
  <c r="BL138" i="1"/>
  <c r="BM138" i="1"/>
  <c r="BN138" i="1"/>
  <c r="BO138" i="1"/>
  <c r="BP138" i="1"/>
  <c r="BQ138" i="1"/>
  <c r="BR138" i="1"/>
  <c r="BT138" i="1"/>
  <c r="BU138" i="1"/>
  <c r="BV138" i="1"/>
  <c r="BW138" i="1"/>
  <c r="BX138" i="1"/>
  <c r="BY138" i="1"/>
  <c r="BZ138" i="1"/>
  <c r="CA138" i="1"/>
  <c r="BH139" i="1"/>
  <c r="BI139" i="1"/>
  <c r="BJ139" i="1"/>
  <c r="BK139" i="1"/>
  <c r="BL139" i="1"/>
  <c r="BM139" i="1"/>
  <c r="BN139" i="1"/>
  <c r="BO139" i="1"/>
  <c r="BP139" i="1"/>
  <c r="BQ139" i="1"/>
  <c r="BR139" i="1"/>
  <c r="BT139" i="1"/>
  <c r="BU139" i="1"/>
  <c r="BV139" i="1"/>
  <c r="BW139" i="1"/>
  <c r="BX139" i="1"/>
  <c r="BY139" i="1"/>
  <c r="BZ139" i="1"/>
  <c r="CA139" i="1"/>
  <c r="BH140" i="1"/>
  <c r="BI140" i="1"/>
  <c r="BJ140" i="1"/>
  <c r="BK140" i="1"/>
  <c r="BL140" i="1"/>
  <c r="BM140" i="1"/>
  <c r="BN140" i="1"/>
  <c r="BO140" i="1"/>
  <c r="BP140" i="1"/>
  <c r="BQ140" i="1"/>
  <c r="BR140" i="1"/>
  <c r="BT140" i="1"/>
  <c r="BU140" i="1"/>
  <c r="BV140" i="1"/>
  <c r="BW140" i="1"/>
  <c r="BX140" i="1"/>
  <c r="BY140" i="1"/>
  <c r="BZ140" i="1"/>
  <c r="CA140" i="1"/>
  <c r="T64" i="1" a="1"/>
  <c r="T64" i="1" s="1"/>
  <c r="T71" i="1" a="1"/>
  <c r="T71" i="1" s="1"/>
  <c r="T65" i="1" a="1"/>
  <c r="T65" i="1" s="1"/>
  <c r="T41" i="1" a="1"/>
  <c r="T41" i="1" s="1"/>
  <c r="T36" i="1" a="1"/>
  <c r="T36" i="1" s="1"/>
  <c r="T91" i="1" a="1"/>
  <c r="T91" i="1" s="1"/>
  <c r="T40" i="1" a="1"/>
  <c r="T40" i="1" s="1"/>
  <c r="T45" i="1" a="1"/>
  <c r="T45" i="1" s="1"/>
  <c r="T47" i="1" a="1"/>
  <c r="T47" i="1" s="1"/>
  <c r="T15" i="1" a="1"/>
  <c r="T15" i="1" s="1"/>
  <c r="T43" i="1" a="1"/>
  <c r="T43" i="1" s="1"/>
  <c r="T93" i="1" a="1"/>
  <c r="T93" i="1" s="1"/>
  <c r="T92" i="1" a="1"/>
  <c r="T92" i="1" s="1"/>
  <c r="T16" i="1" a="1"/>
  <c r="T16" i="1" s="1"/>
  <c r="T34" i="1" a="1"/>
  <c r="T34" i="1" s="1"/>
  <c r="T86" i="1" a="1"/>
  <c r="T86" i="1" s="1"/>
  <c r="T27" i="1" a="1"/>
  <c r="T27" i="1" s="1"/>
  <c r="T79" i="1" a="1"/>
  <c r="T79" i="1" s="1"/>
  <c r="T84" i="1" a="1"/>
  <c r="T84" i="1" s="1"/>
  <c r="T31" i="1" a="1"/>
  <c r="T31" i="1" s="1"/>
  <c r="T50" i="1" a="1"/>
  <c r="T50" i="1" s="1"/>
  <c r="T106" i="1" a="1"/>
  <c r="T106" i="1" s="1"/>
  <c r="T44" i="1" a="1"/>
  <c r="T44" i="1" s="1"/>
  <c r="T105" i="1" a="1"/>
  <c r="T105" i="1" s="1"/>
  <c r="T87" i="1" a="1"/>
  <c r="T87" i="1" s="1"/>
  <c r="T81" i="1" a="1"/>
  <c r="T81" i="1" s="1"/>
  <c r="T35" i="1" a="1"/>
  <c r="T35" i="1" s="1"/>
  <c r="T102" i="1" a="1"/>
  <c r="T102" i="1" s="1"/>
  <c r="T104" i="1" a="1"/>
  <c r="T104" i="1" s="1"/>
  <c r="T88" i="1" a="1"/>
  <c r="T88" i="1" s="1"/>
  <c r="T103" i="1" a="1"/>
  <c r="T103" i="1" s="1"/>
  <c r="BH141" i="1"/>
  <c r="BI141" i="1"/>
  <c r="BJ141" i="1"/>
  <c r="BK141" i="1"/>
  <c r="BL141" i="1"/>
  <c r="BM141" i="1"/>
  <c r="BN141" i="1"/>
  <c r="BO141" i="1"/>
  <c r="BP141" i="1"/>
  <c r="BQ141" i="1"/>
  <c r="BR141" i="1"/>
  <c r="BT141" i="1"/>
  <c r="BU141" i="1"/>
  <c r="BV141" i="1"/>
  <c r="BW141" i="1"/>
  <c r="BX141" i="1"/>
  <c r="BY141" i="1"/>
  <c r="BZ141" i="1"/>
  <c r="CA141" i="1"/>
  <c r="BH142" i="1"/>
  <c r="BI142" i="1"/>
  <c r="BJ142" i="1"/>
  <c r="BK142" i="1"/>
  <c r="BL142" i="1"/>
  <c r="BM142" i="1"/>
  <c r="BN142" i="1"/>
  <c r="BO142" i="1"/>
  <c r="BP142" i="1"/>
  <c r="BQ142" i="1"/>
  <c r="BR142" i="1"/>
  <c r="BT142" i="1"/>
  <c r="BU142" i="1"/>
  <c r="BV142" i="1"/>
  <c r="BW142" i="1"/>
  <c r="BX142" i="1"/>
  <c r="BY142" i="1"/>
  <c r="BZ142" i="1"/>
  <c r="CA142" i="1"/>
  <c r="BH143" i="1"/>
  <c r="BI143" i="1"/>
  <c r="BJ143" i="1"/>
  <c r="BK143" i="1"/>
  <c r="BL143" i="1"/>
  <c r="BM143" i="1"/>
  <c r="BN143" i="1"/>
  <c r="BO143" i="1"/>
  <c r="BP143" i="1"/>
  <c r="BQ143" i="1"/>
  <c r="BR143" i="1"/>
  <c r="BT143" i="1"/>
  <c r="BU143" i="1"/>
  <c r="BV143" i="1"/>
  <c r="BW143" i="1"/>
  <c r="BX143" i="1"/>
  <c r="BY143" i="1"/>
  <c r="BZ143" i="1"/>
  <c r="CA143" i="1"/>
  <c r="BH144" i="1"/>
  <c r="BI144" i="1"/>
  <c r="BJ144" i="1"/>
  <c r="BK144" i="1"/>
  <c r="BL144" i="1"/>
  <c r="BM144" i="1"/>
  <c r="BN144" i="1"/>
  <c r="BO144" i="1"/>
  <c r="BP144" i="1"/>
  <c r="BQ144" i="1"/>
  <c r="BR144" i="1"/>
  <c r="BT144" i="1"/>
  <c r="BU144" i="1"/>
  <c r="BV144" i="1"/>
  <c r="BW144" i="1"/>
  <c r="BX144" i="1"/>
  <c r="BY144" i="1"/>
  <c r="BZ144" i="1"/>
  <c r="CA144" i="1"/>
  <c r="BH145" i="1"/>
  <c r="BI145" i="1"/>
  <c r="BJ145" i="1"/>
  <c r="BK145" i="1"/>
  <c r="BL145" i="1"/>
  <c r="BM145" i="1"/>
  <c r="BN145" i="1"/>
  <c r="BO145" i="1"/>
  <c r="BP145" i="1"/>
  <c r="BQ145" i="1"/>
  <c r="BR145" i="1"/>
  <c r="BT145" i="1"/>
  <c r="BU145" i="1"/>
  <c r="BV145" i="1"/>
  <c r="BW145" i="1"/>
  <c r="BX145" i="1"/>
  <c r="BY145" i="1"/>
  <c r="BZ145" i="1"/>
  <c r="CA145" i="1"/>
  <c r="BH146" i="1"/>
  <c r="BI146" i="1"/>
  <c r="BJ146" i="1"/>
  <c r="BK146" i="1"/>
  <c r="BL146" i="1"/>
  <c r="BM146" i="1"/>
  <c r="BN146" i="1"/>
  <c r="BO146" i="1"/>
  <c r="BP146" i="1"/>
  <c r="BQ146" i="1"/>
  <c r="BR146" i="1"/>
  <c r="BT146" i="1"/>
  <c r="BU146" i="1"/>
  <c r="BV146" i="1"/>
  <c r="BW146" i="1"/>
  <c r="BX146" i="1"/>
  <c r="BY146" i="1"/>
  <c r="BZ146" i="1"/>
  <c r="CA146" i="1"/>
  <c r="BH147" i="1"/>
  <c r="BI147" i="1"/>
  <c r="BJ147" i="1"/>
  <c r="BK147" i="1"/>
  <c r="BL147" i="1"/>
  <c r="BM147" i="1"/>
  <c r="BN147" i="1"/>
  <c r="BO147" i="1"/>
  <c r="BP147" i="1"/>
  <c r="BQ147" i="1"/>
  <c r="BR147" i="1"/>
  <c r="BT147" i="1"/>
  <c r="BU147" i="1"/>
  <c r="BV147" i="1"/>
  <c r="BW147" i="1"/>
  <c r="BX147" i="1"/>
  <c r="BY147" i="1"/>
  <c r="BZ147" i="1"/>
  <c r="CA147" i="1"/>
  <c r="BH148" i="1"/>
  <c r="BI148" i="1"/>
  <c r="BJ148" i="1"/>
  <c r="BK148" i="1"/>
  <c r="BL148" i="1"/>
  <c r="BM148" i="1"/>
  <c r="BN148" i="1"/>
  <c r="BO148" i="1"/>
  <c r="BP148" i="1"/>
  <c r="BQ148" i="1"/>
  <c r="BR148" i="1"/>
  <c r="BT148" i="1"/>
  <c r="BU148" i="1"/>
  <c r="BV148" i="1"/>
  <c r="BW148" i="1"/>
  <c r="BX148" i="1"/>
  <c r="BY148" i="1"/>
  <c r="BZ148" i="1"/>
  <c r="CA148" i="1"/>
  <c r="BH149" i="1"/>
  <c r="BI149" i="1"/>
  <c r="BJ149" i="1"/>
  <c r="BK149" i="1"/>
  <c r="BL149" i="1"/>
  <c r="BM149" i="1"/>
  <c r="BN149" i="1"/>
  <c r="BO149" i="1"/>
  <c r="BP149" i="1"/>
  <c r="BQ149" i="1"/>
  <c r="BR149" i="1"/>
  <c r="BT149" i="1"/>
  <c r="BU149" i="1"/>
  <c r="BV149" i="1"/>
  <c r="BW149" i="1"/>
  <c r="BX149" i="1"/>
  <c r="BY149" i="1"/>
  <c r="BZ149" i="1"/>
  <c r="CA149" i="1"/>
  <c r="BH150" i="1"/>
  <c r="BI150" i="1"/>
  <c r="BJ150" i="1"/>
  <c r="BK150" i="1"/>
  <c r="BL150" i="1"/>
  <c r="BM150" i="1"/>
  <c r="BN150" i="1"/>
  <c r="BO150" i="1"/>
  <c r="BP150" i="1"/>
  <c r="BQ150" i="1"/>
  <c r="BR150" i="1"/>
  <c r="BT150" i="1"/>
  <c r="BU150" i="1"/>
  <c r="BV150" i="1"/>
  <c r="BW150" i="1"/>
  <c r="BX150" i="1"/>
  <c r="BY150" i="1"/>
  <c r="BZ150" i="1"/>
  <c r="CA150" i="1"/>
  <c r="BH151" i="1"/>
  <c r="BI151" i="1"/>
  <c r="BJ151" i="1"/>
  <c r="BK151" i="1"/>
  <c r="BL151" i="1"/>
  <c r="BM151" i="1"/>
  <c r="BN151" i="1"/>
  <c r="BO151" i="1"/>
  <c r="BP151" i="1"/>
  <c r="BQ151" i="1"/>
  <c r="BR151" i="1"/>
  <c r="BT151" i="1"/>
  <c r="BU151" i="1"/>
  <c r="BV151" i="1"/>
  <c r="BW151" i="1"/>
  <c r="BX151" i="1"/>
  <c r="BY151" i="1"/>
  <c r="BZ151" i="1"/>
  <c r="CA151" i="1"/>
  <c r="BH152" i="1"/>
  <c r="BI152" i="1"/>
  <c r="BJ152" i="1"/>
  <c r="BK152" i="1"/>
  <c r="BL152" i="1"/>
  <c r="BM152" i="1"/>
  <c r="BN152" i="1"/>
  <c r="BO152" i="1"/>
  <c r="BP152" i="1"/>
  <c r="BQ152" i="1"/>
  <c r="BR152" i="1"/>
  <c r="BT152" i="1"/>
  <c r="BU152" i="1"/>
  <c r="BV152" i="1"/>
  <c r="BW152" i="1"/>
  <c r="BX152" i="1"/>
  <c r="BY152" i="1"/>
  <c r="BZ152" i="1"/>
  <c r="CA152" i="1"/>
  <c r="BH153" i="1"/>
  <c r="BI153" i="1"/>
  <c r="BJ153" i="1"/>
  <c r="BK153" i="1"/>
  <c r="BL153" i="1"/>
  <c r="BM153" i="1"/>
  <c r="BN153" i="1"/>
  <c r="BO153" i="1"/>
  <c r="BP153" i="1"/>
  <c r="BQ153" i="1"/>
  <c r="BR153" i="1"/>
  <c r="BT153" i="1"/>
  <c r="BU153" i="1"/>
  <c r="BV153" i="1"/>
  <c r="BW153" i="1"/>
  <c r="BX153" i="1"/>
  <c r="BY153" i="1"/>
  <c r="BZ153" i="1"/>
  <c r="CA153" i="1"/>
  <c r="BH154" i="1"/>
  <c r="BI154" i="1"/>
  <c r="BJ154" i="1"/>
  <c r="BK154" i="1"/>
  <c r="BL154" i="1"/>
  <c r="BM154" i="1"/>
  <c r="BN154" i="1"/>
  <c r="BO154" i="1"/>
  <c r="BP154" i="1"/>
  <c r="BQ154" i="1"/>
  <c r="BR154" i="1"/>
  <c r="BT154" i="1"/>
  <c r="BU154" i="1"/>
  <c r="BV154" i="1"/>
  <c r="BW154" i="1"/>
  <c r="BX154" i="1"/>
  <c r="BY154" i="1"/>
  <c r="BZ154" i="1"/>
  <c r="CA154" i="1"/>
  <c r="BH155" i="1"/>
  <c r="BI155" i="1"/>
  <c r="BJ155" i="1"/>
  <c r="BK155" i="1"/>
  <c r="BL155" i="1"/>
  <c r="BM155" i="1"/>
  <c r="BN155" i="1"/>
  <c r="BO155" i="1"/>
  <c r="BP155" i="1"/>
  <c r="BQ155" i="1"/>
  <c r="BR155" i="1"/>
  <c r="BT155" i="1"/>
  <c r="BU155" i="1"/>
  <c r="BV155" i="1"/>
  <c r="BW155" i="1"/>
  <c r="BX155" i="1"/>
  <c r="BY155" i="1"/>
  <c r="BZ155" i="1"/>
  <c r="CA155" i="1"/>
  <c r="BH156" i="1"/>
  <c r="BI156" i="1"/>
  <c r="BJ156" i="1"/>
  <c r="BK156" i="1"/>
  <c r="BL156" i="1"/>
  <c r="BM156" i="1"/>
  <c r="BN156" i="1"/>
  <c r="BO156" i="1"/>
  <c r="BP156" i="1"/>
  <c r="BQ156" i="1"/>
  <c r="BR156" i="1"/>
  <c r="BT156" i="1"/>
  <c r="BU156" i="1"/>
  <c r="BV156" i="1"/>
  <c r="BW156" i="1"/>
  <c r="BX156" i="1"/>
  <c r="BY156" i="1"/>
  <c r="BZ156" i="1"/>
  <c r="CA156" i="1"/>
  <c r="BH157" i="1"/>
  <c r="BI157" i="1"/>
  <c r="BJ157" i="1"/>
  <c r="BK157" i="1"/>
  <c r="BL157" i="1"/>
  <c r="BM157" i="1"/>
  <c r="BN157" i="1"/>
  <c r="BO157" i="1"/>
  <c r="BP157" i="1"/>
  <c r="BQ157" i="1"/>
  <c r="BR157" i="1"/>
  <c r="BT157" i="1"/>
  <c r="BU157" i="1"/>
  <c r="BV157" i="1"/>
  <c r="BW157" i="1"/>
  <c r="BX157" i="1"/>
  <c r="BY157" i="1"/>
  <c r="BZ157" i="1"/>
  <c r="CA157" i="1"/>
  <c r="BH158" i="1"/>
  <c r="BI158" i="1"/>
  <c r="BJ158" i="1"/>
  <c r="BK158" i="1"/>
  <c r="BL158" i="1"/>
  <c r="BM158" i="1"/>
  <c r="BN158" i="1"/>
  <c r="BO158" i="1"/>
  <c r="BP158" i="1"/>
  <c r="BQ158" i="1"/>
  <c r="BR158" i="1"/>
  <c r="BT158" i="1"/>
  <c r="BU158" i="1"/>
  <c r="BV158" i="1"/>
  <c r="BW158" i="1"/>
  <c r="BX158" i="1"/>
  <c r="BY158" i="1"/>
  <c r="BZ158" i="1"/>
  <c r="CA158" i="1"/>
  <c r="BH159" i="1"/>
  <c r="BI159" i="1"/>
  <c r="BJ159" i="1"/>
  <c r="BK159" i="1"/>
  <c r="BL159" i="1"/>
  <c r="BM159" i="1"/>
  <c r="BN159" i="1"/>
  <c r="BO159" i="1"/>
  <c r="BP159" i="1"/>
  <c r="BQ159" i="1"/>
  <c r="BR159" i="1"/>
  <c r="BT159" i="1"/>
  <c r="BU159" i="1"/>
  <c r="BV159" i="1"/>
  <c r="BW159" i="1"/>
  <c r="BX159" i="1"/>
  <c r="BY159" i="1"/>
  <c r="BZ159" i="1"/>
  <c r="CA159" i="1"/>
  <c r="BH160" i="1"/>
  <c r="BI160" i="1"/>
  <c r="BJ160" i="1"/>
  <c r="BK160" i="1"/>
  <c r="BL160" i="1"/>
  <c r="BM160" i="1"/>
  <c r="BN160" i="1"/>
  <c r="BO160" i="1"/>
  <c r="BP160" i="1"/>
  <c r="BQ160" i="1"/>
  <c r="BR160" i="1"/>
  <c r="BT160" i="1"/>
  <c r="BU160" i="1"/>
  <c r="BV160" i="1"/>
  <c r="BW160" i="1"/>
  <c r="BX160" i="1"/>
  <c r="BY160" i="1"/>
  <c r="BZ160" i="1"/>
  <c r="CA160" i="1"/>
  <c r="BH161" i="1"/>
  <c r="BI161" i="1"/>
  <c r="BJ161" i="1"/>
  <c r="BK161" i="1"/>
  <c r="BL161" i="1"/>
  <c r="BM161" i="1"/>
  <c r="BN161" i="1"/>
  <c r="BO161" i="1"/>
  <c r="BP161" i="1"/>
  <c r="BQ161" i="1"/>
  <c r="BR161" i="1"/>
  <c r="BT161" i="1"/>
  <c r="BU161" i="1"/>
  <c r="BV161" i="1"/>
  <c r="BW161" i="1"/>
  <c r="BX161" i="1"/>
  <c r="BY161" i="1"/>
  <c r="BZ161" i="1"/>
  <c r="CA161" i="1"/>
  <c r="BH162" i="1"/>
  <c r="BI162" i="1"/>
  <c r="BJ162" i="1"/>
  <c r="BK162" i="1"/>
  <c r="BL162" i="1"/>
  <c r="BM162" i="1"/>
  <c r="BN162" i="1"/>
  <c r="BO162" i="1"/>
  <c r="BP162" i="1"/>
  <c r="BQ162" i="1"/>
  <c r="BR162" i="1"/>
  <c r="BT162" i="1"/>
  <c r="BU162" i="1"/>
  <c r="BV162" i="1"/>
  <c r="BW162" i="1"/>
  <c r="BX162" i="1"/>
  <c r="BY162" i="1"/>
  <c r="BZ162" i="1"/>
  <c r="CA162" i="1"/>
  <c r="BH163" i="1"/>
  <c r="BI163" i="1"/>
  <c r="BJ163" i="1"/>
  <c r="BK163" i="1"/>
  <c r="BL163" i="1"/>
  <c r="BM163" i="1"/>
  <c r="BN163" i="1"/>
  <c r="BO163" i="1"/>
  <c r="BP163" i="1"/>
  <c r="BQ163" i="1"/>
  <c r="BR163" i="1"/>
  <c r="BT163" i="1"/>
  <c r="BU163" i="1"/>
  <c r="BV163" i="1"/>
  <c r="BW163" i="1"/>
  <c r="BX163" i="1"/>
  <c r="BY163" i="1"/>
  <c r="BZ163" i="1"/>
  <c r="CA163" i="1"/>
  <c r="BH164" i="1"/>
  <c r="BI164" i="1"/>
  <c r="BJ164" i="1"/>
  <c r="BK164" i="1"/>
  <c r="BL164" i="1"/>
  <c r="BM164" i="1"/>
  <c r="BN164" i="1"/>
  <c r="BO164" i="1"/>
  <c r="BP164" i="1"/>
  <c r="BQ164" i="1"/>
  <c r="BR164" i="1"/>
  <c r="BT164" i="1"/>
  <c r="BU164" i="1"/>
  <c r="BV164" i="1"/>
  <c r="BW164" i="1"/>
  <c r="BX164" i="1"/>
  <c r="BY164" i="1"/>
  <c r="BZ164" i="1"/>
  <c r="CA164" i="1"/>
  <c r="BH165" i="1"/>
  <c r="BI165" i="1"/>
  <c r="BJ165" i="1"/>
  <c r="BK165" i="1"/>
  <c r="BL165" i="1"/>
  <c r="BM165" i="1"/>
  <c r="BN165" i="1"/>
  <c r="BO165" i="1"/>
  <c r="BP165" i="1"/>
  <c r="BQ165" i="1"/>
  <c r="BR165" i="1"/>
  <c r="BT165" i="1"/>
  <c r="BU165" i="1"/>
  <c r="BV165" i="1"/>
  <c r="BW165" i="1"/>
  <c r="BX165" i="1"/>
  <c r="BY165" i="1"/>
  <c r="BZ165" i="1"/>
  <c r="CA165" i="1"/>
  <c r="BH166" i="1"/>
  <c r="BI166" i="1"/>
  <c r="BJ166" i="1"/>
  <c r="BK166" i="1"/>
  <c r="BL166" i="1"/>
  <c r="BM166" i="1"/>
  <c r="BN166" i="1"/>
  <c r="BO166" i="1"/>
  <c r="BP166" i="1"/>
  <c r="BQ166" i="1"/>
  <c r="BR166" i="1"/>
  <c r="BT166" i="1"/>
  <c r="BU166" i="1"/>
  <c r="BV166" i="1"/>
  <c r="BW166" i="1"/>
  <c r="BX166" i="1"/>
  <c r="BY166" i="1"/>
  <c r="BZ166" i="1"/>
  <c r="CA166" i="1"/>
  <c r="BH167" i="1"/>
  <c r="BI167" i="1"/>
  <c r="BJ167" i="1"/>
  <c r="BK167" i="1"/>
  <c r="BL167" i="1"/>
  <c r="BM167" i="1"/>
  <c r="BN167" i="1"/>
  <c r="BO167" i="1"/>
  <c r="BP167" i="1"/>
  <c r="BQ167" i="1"/>
  <c r="BR167" i="1"/>
  <c r="BT167" i="1"/>
  <c r="BU167" i="1"/>
  <c r="BV167" i="1"/>
  <c r="BW167" i="1"/>
  <c r="BX167" i="1"/>
  <c r="BY167" i="1"/>
  <c r="BZ167" i="1"/>
  <c r="CA167" i="1"/>
  <c r="BH168" i="1"/>
  <c r="BI168" i="1"/>
  <c r="BJ168" i="1"/>
  <c r="BK168" i="1"/>
  <c r="BL168" i="1"/>
  <c r="BM168" i="1"/>
  <c r="BN168" i="1"/>
  <c r="BO168" i="1"/>
  <c r="BP168" i="1"/>
  <c r="BQ168" i="1"/>
  <c r="BR168" i="1"/>
  <c r="BT168" i="1"/>
  <c r="BU168" i="1"/>
  <c r="BV168" i="1"/>
  <c r="BW168" i="1"/>
  <c r="BX168" i="1"/>
  <c r="BY168" i="1"/>
  <c r="BZ168" i="1"/>
  <c r="CA168" i="1"/>
  <c r="BH169" i="1"/>
  <c r="BI169" i="1"/>
  <c r="BJ169" i="1"/>
  <c r="BK169" i="1"/>
  <c r="BL169" i="1"/>
  <c r="BM169" i="1"/>
  <c r="BN169" i="1"/>
  <c r="BO169" i="1"/>
  <c r="BP169" i="1"/>
  <c r="BQ169" i="1"/>
  <c r="BR169" i="1"/>
  <c r="BT169" i="1"/>
  <c r="BU169" i="1"/>
  <c r="BV169" i="1"/>
  <c r="BW169" i="1"/>
  <c r="BX169" i="1"/>
  <c r="BY169" i="1"/>
  <c r="BZ169" i="1"/>
  <c r="CA169" i="1"/>
  <c r="BH170" i="1"/>
  <c r="BI170" i="1"/>
  <c r="BJ170" i="1"/>
  <c r="BK170" i="1"/>
  <c r="BL170" i="1"/>
  <c r="BM170" i="1"/>
  <c r="BN170" i="1"/>
  <c r="BO170" i="1"/>
  <c r="BP170" i="1"/>
  <c r="BQ170" i="1"/>
  <c r="BR170" i="1"/>
  <c r="BT170" i="1"/>
  <c r="BU170" i="1"/>
  <c r="BV170" i="1"/>
  <c r="BW170" i="1"/>
  <c r="BX170" i="1"/>
  <c r="BY170" i="1"/>
  <c r="BZ170" i="1"/>
  <c r="CA170" i="1"/>
  <c r="BH171" i="1"/>
  <c r="BI171" i="1"/>
  <c r="BJ171" i="1"/>
  <c r="BK171" i="1"/>
  <c r="BL171" i="1"/>
  <c r="BM171" i="1"/>
  <c r="BN171" i="1"/>
  <c r="BO171" i="1"/>
  <c r="BP171" i="1"/>
  <c r="BQ171" i="1"/>
  <c r="BR171" i="1"/>
  <c r="BT171" i="1"/>
  <c r="BU171" i="1"/>
  <c r="BV171" i="1"/>
  <c r="BW171" i="1"/>
  <c r="BX171" i="1"/>
  <c r="BY171" i="1"/>
  <c r="BZ171" i="1"/>
  <c r="CA171" i="1"/>
  <c r="BH172" i="1"/>
  <c r="BI172" i="1"/>
  <c r="BJ172" i="1"/>
  <c r="BK172" i="1"/>
  <c r="BL172" i="1"/>
  <c r="BM172" i="1"/>
  <c r="BN172" i="1"/>
  <c r="BO172" i="1"/>
  <c r="BP172" i="1"/>
  <c r="BQ172" i="1"/>
  <c r="BR172" i="1"/>
  <c r="BT172" i="1"/>
  <c r="BU172" i="1"/>
  <c r="BV172" i="1"/>
  <c r="BW172" i="1"/>
  <c r="BX172" i="1"/>
  <c r="BY172" i="1"/>
  <c r="BZ172" i="1"/>
  <c r="CA172" i="1"/>
  <c r="BH173" i="1"/>
  <c r="BI173" i="1"/>
  <c r="BJ173" i="1"/>
  <c r="BK173" i="1"/>
  <c r="BL173" i="1"/>
  <c r="BM173" i="1"/>
  <c r="BN173" i="1"/>
  <c r="BO173" i="1"/>
  <c r="BP173" i="1"/>
  <c r="BQ173" i="1"/>
  <c r="BR173" i="1"/>
  <c r="BT173" i="1"/>
  <c r="BU173" i="1"/>
  <c r="BV173" i="1"/>
  <c r="BW173" i="1"/>
  <c r="BX173" i="1"/>
  <c r="BY173" i="1"/>
  <c r="BZ173" i="1"/>
  <c r="CA173" i="1"/>
  <c r="BH174" i="1"/>
  <c r="BI174" i="1"/>
  <c r="BJ174" i="1"/>
  <c r="BK174" i="1"/>
  <c r="BL174" i="1"/>
  <c r="BM174" i="1"/>
  <c r="BN174" i="1"/>
  <c r="BO174" i="1"/>
  <c r="BP174" i="1"/>
  <c r="BQ174" i="1"/>
  <c r="BR174" i="1"/>
  <c r="BT174" i="1"/>
  <c r="BU174" i="1"/>
  <c r="BV174" i="1"/>
  <c r="BW174" i="1"/>
  <c r="BX174" i="1"/>
  <c r="BY174" i="1"/>
  <c r="BZ174" i="1"/>
  <c r="CA174" i="1"/>
  <c r="BH175" i="1"/>
  <c r="BI175" i="1"/>
  <c r="BJ175" i="1"/>
  <c r="BK175" i="1"/>
  <c r="BL175" i="1"/>
  <c r="BM175" i="1"/>
  <c r="BN175" i="1"/>
  <c r="BO175" i="1"/>
  <c r="BP175" i="1"/>
  <c r="BQ175" i="1"/>
  <c r="BR175" i="1"/>
  <c r="BT175" i="1"/>
  <c r="BU175" i="1"/>
  <c r="BV175" i="1"/>
  <c r="BW175" i="1"/>
  <c r="BX175" i="1"/>
  <c r="BY175" i="1"/>
  <c r="BZ175" i="1"/>
  <c r="CA175" i="1"/>
  <c r="BH176" i="1"/>
  <c r="BI176" i="1"/>
  <c r="BJ176" i="1"/>
  <c r="BK176" i="1"/>
  <c r="BL176" i="1"/>
  <c r="BM176" i="1"/>
  <c r="BN176" i="1"/>
  <c r="BO176" i="1"/>
  <c r="BP176" i="1"/>
  <c r="BQ176" i="1"/>
  <c r="BR176" i="1"/>
  <c r="BT176" i="1"/>
  <c r="BU176" i="1"/>
  <c r="BV176" i="1"/>
  <c r="BW176" i="1"/>
  <c r="BX176" i="1"/>
  <c r="BY176" i="1"/>
  <c r="BZ176" i="1"/>
  <c r="CA176" i="1"/>
  <c r="BH177" i="1"/>
  <c r="BI177" i="1"/>
  <c r="BJ177" i="1"/>
  <c r="BK177" i="1"/>
  <c r="BL177" i="1"/>
  <c r="BM177" i="1"/>
  <c r="BN177" i="1"/>
  <c r="BO177" i="1"/>
  <c r="BP177" i="1"/>
  <c r="BQ177" i="1"/>
  <c r="BR177" i="1"/>
  <c r="BT177" i="1"/>
  <c r="BU177" i="1"/>
  <c r="BV177" i="1"/>
  <c r="BW177" i="1"/>
  <c r="BX177" i="1"/>
  <c r="BY177" i="1"/>
  <c r="BZ177" i="1"/>
  <c r="CA177" i="1"/>
  <c r="BH178" i="1"/>
  <c r="BI178" i="1"/>
  <c r="BJ178" i="1"/>
  <c r="BK178" i="1"/>
  <c r="BL178" i="1"/>
  <c r="BM178" i="1"/>
  <c r="BN178" i="1"/>
  <c r="BO178" i="1"/>
  <c r="BP178" i="1"/>
  <c r="BQ178" i="1"/>
  <c r="BR178" i="1"/>
  <c r="BT178" i="1"/>
  <c r="BU178" i="1"/>
  <c r="BV178" i="1"/>
  <c r="BW178" i="1"/>
  <c r="BX178" i="1"/>
  <c r="BY178" i="1"/>
  <c r="BZ178" i="1"/>
  <c r="CA178" i="1"/>
  <c r="BH179" i="1"/>
  <c r="BI179" i="1"/>
  <c r="BJ179" i="1"/>
  <c r="BK179" i="1"/>
  <c r="BL179" i="1"/>
  <c r="BM179" i="1"/>
  <c r="BN179" i="1"/>
  <c r="BO179" i="1"/>
  <c r="BP179" i="1"/>
  <c r="BQ179" i="1"/>
  <c r="BR179" i="1"/>
  <c r="BT179" i="1"/>
  <c r="BU179" i="1"/>
  <c r="BV179" i="1"/>
  <c r="BW179" i="1"/>
  <c r="BX179" i="1"/>
  <c r="BY179" i="1"/>
  <c r="BZ179" i="1"/>
  <c r="CA179" i="1"/>
  <c r="BH180" i="1"/>
  <c r="BI180" i="1"/>
  <c r="BJ180" i="1"/>
  <c r="BK180" i="1"/>
  <c r="BL180" i="1"/>
  <c r="BM180" i="1"/>
  <c r="BN180" i="1"/>
  <c r="BO180" i="1"/>
  <c r="BP180" i="1"/>
  <c r="BQ180" i="1"/>
  <c r="BR180" i="1"/>
  <c r="BT180" i="1"/>
  <c r="BU180" i="1"/>
  <c r="BV180" i="1"/>
  <c r="BW180" i="1"/>
  <c r="BX180" i="1"/>
  <c r="BY180" i="1"/>
  <c r="BZ180" i="1"/>
  <c r="CA180" i="1"/>
  <c r="BH181" i="1"/>
  <c r="BI181" i="1"/>
  <c r="BJ181" i="1"/>
  <c r="BK181" i="1"/>
  <c r="BL181" i="1"/>
  <c r="BM181" i="1"/>
  <c r="BN181" i="1"/>
  <c r="BO181" i="1"/>
  <c r="BP181" i="1"/>
  <c r="BQ181" i="1"/>
  <c r="BR181" i="1"/>
  <c r="BT181" i="1"/>
  <c r="BU181" i="1"/>
  <c r="BV181" i="1"/>
  <c r="BW181" i="1"/>
  <c r="BX181" i="1"/>
  <c r="BY181" i="1"/>
  <c r="BZ181" i="1"/>
  <c r="CA181" i="1"/>
  <c r="BH182" i="1"/>
  <c r="BI182" i="1"/>
  <c r="BJ182" i="1"/>
  <c r="BK182" i="1"/>
  <c r="BL182" i="1"/>
  <c r="BM182" i="1"/>
  <c r="BN182" i="1"/>
  <c r="BO182" i="1"/>
  <c r="BP182" i="1"/>
  <c r="BQ182" i="1"/>
  <c r="BR182" i="1"/>
  <c r="BT182" i="1"/>
  <c r="BU182" i="1"/>
  <c r="BV182" i="1"/>
  <c r="BW182" i="1"/>
  <c r="BX182" i="1"/>
  <c r="BY182" i="1"/>
  <c r="BZ182" i="1"/>
  <c r="CA182" i="1"/>
  <c r="BH183" i="1"/>
  <c r="BI183" i="1"/>
  <c r="BJ183" i="1"/>
  <c r="BK183" i="1"/>
  <c r="BL183" i="1"/>
  <c r="BM183" i="1"/>
  <c r="BN183" i="1"/>
  <c r="BO183" i="1"/>
  <c r="BP183" i="1"/>
  <c r="BQ183" i="1"/>
  <c r="BR183" i="1"/>
  <c r="BT183" i="1"/>
  <c r="BU183" i="1"/>
  <c r="BV183" i="1"/>
  <c r="BW183" i="1"/>
  <c r="BX183" i="1"/>
  <c r="BY183" i="1"/>
  <c r="BZ183" i="1"/>
  <c r="CA183" i="1"/>
  <c r="BH184" i="1"/>
  <c r="BI184" i="1"/>
  <c r="BJ184" i="1"/>
  <c r="BK184" i="1"/>
  <c r="BL184" i="1"/>
  <c r="BM184" i="1"/>
  <c r="BN184" i="1"/>
  <c r="BO184" i="1"/>
  <c r="BP184" i="1"/>
  <c r="BQ184" i="1"/>
  <c r="BR184" i="1"/>
  <c r="BT184" i="1"/>
  <c r="BU184" i="1"/>
  <c r="BV184" i="1"/>
  <c r="BW184" i="1"/>
  <c r="BX184" i="1"/>
  <c r="BY184" i="1"/>
  <c r="BZ184" i="1"/>
  <c r="CA184" i="1"/>
  <c r="BH185" i="1"/>
  <c r="BI185" i="1"/>
  <c r="BJ185" i="1"/>
  <c r="BK185" i="1"/>
  <c r="BL185" i="1"/>
  <c r="BM185" i="1"/>
  <c r="BN185" i="1"/>
  <c r="BO185" i="1"/>
  <c r="BP185" i="1"/>
  <c r="BQ185" i="1"/>
  <c r="BR185" i="1"/>
  <c r="BT185" i="1"/>
  <c r="BU185" i="1"/>
  <c r="BV185" i="1"/>
  <c r="BW185" i="1"/>
  <c r="BX185" i="1"/>
  <c r="BY185" i="1"/>
  <c r="BZ185" i="1"/>
  <c r="CA185" i="1"/>
  <c r="BH186" i="1"/>
  <c r="BI186" i="1"/>
  <c r="BJ186" i="1"/>
  <c r="BK186" i="1"/>
  <c r="BL186" i="1"/>
  <c r="BM186" i="1"/>
  <c r="BN186" i="1"/>
  <c r="BO186" i="1"/>
  <c r="BP186" i="1"/>
  <c r="BQ186" i="1"/>
  <c r="BR186" i="1"/>
  <c r="BT186" i="1"/>
  <c r="BU186" i="1"/>
  <c r="BV186" i="1"/>
  <c r="BW186" i="1"/>
  <c r="BX186" i="1"/>
  <c r="BY186" i="1"/>
  <c r="BZ186" i="1"/>
  <c r="CA186" i="1"/>
  <c r="BH187" i="1"/>
  <c r="BI187" i="1"/>
  <c r="BJ187" i="1"/>
  <c r="BK187" i="1"/>
  <c r="BL187" i="1"/>
  <c r="BM187" i="1"/>
  <c r="BN187" i="1"/>
  <c r="BO187" i="1"/>
  <c r="BP187" i="1"/>
  <c r="BQ187" i="1"/>
  <c r="BR187" i="1"/>
  <c r="BT187" i="1"/>
  <c r="BU187" i="1"/>
  <c r="BV187" i="1"/>
  <c r="BW187" i="1"/>
  <c r="BX187" i="1"/>
  <c r="BY187" i="1"/>
  <c r="BZ187" i="1"/>
  <c r="CA187" i="1"/>
  <c r="BH188" i="1"/>
  <c r="BI188" i="1"/>
  <c r="BJ188" i="1"/>
  <c r="BK188" i="1"/>
  <c r="BL188" i="1"/>
  <c r="BM188" i="1"/>
  <c r="BN188" i="1"/>
  <c r="BO188" i="1"/>
  <c r="BP188" i="1"/>
  <c r="BQ188" i="1"/>
  <c r="BR188" i="1"/>
  <c r="BT188" i="1"/>
  <c r="BU188" i="1"/>
  <c r="BV188" i="1"/>
  <c r="BW188" i="1"/>
  <c r="BX188" i="1"/>
  <c r="BY188" i="1"/>
  <c r="BZ188" i="1"/>
  <c r="CA188" i="1"/>
  <c r="BH189" i="1"/>
  <c r="BI189" i="1"/>
  <c r="BJ189" i="1"/>
  <c r="BK189" i="1"/>
  <c r="BL189" i="1"/>
  <c r="BM189" i="1"/>
  <c r="BN189" i="1"/>
  <c r="BO189" i="1"/>
  <c r="BP189" i="1"/>
  <c r="BQ189" i="1"/>
  <c r="BR189" i="1"/>
  <c r="BT189" i="1"/>
  <c r="BU189" i="1"/>
  <c r="BV189" i="1"/>
  <c r="BW189" i="1"/>
  <c r="BX189" i="1"/>
  <c r="BY189" i="1"/>
  <c r="BZ189" i="1"/>
  <c r="CA189" i="1"/>
  <c r="BH190" i="1"/>
  <c r="BI190" i="1"/>
  <c r="BJ190" i="1"/>
  <c r="BK190" i="1"/>
  <c r="BL190" i="1"/>
  <c r="BM190" i="1"/>
  <c r="BN190" i="1"/>
  <c r="BO190" i="1"/>
  <c r="BP190" i="1"/>
  <c r="BQ190" i="1"/>
  <c r="BR190" i="1"/>
  <c r="BT190" i="1"/>
  <c r="BU190" i="1"/>
  <c r="BV190" i="1"/>
  <c r="BW190" i="1"/>
  <c r="BX190" i="1"/>
  <c r="BY190" i="1"/>
  <c r="BZ190" i="1"/>
  <c r="CA190" i="1"/>
  <c r="BH191" i="1"/>
  <c r="BI191" i="1"/>
  <c r="BJ191" i="1"/>
  <c r="BK191" i="1"/>
  <c r="BL191" i="1"/>
  <c r="BM191" i="1"/>
  <c r="BN191" i="1"/>
  <c r="BO191" i="1"/>
  <c r="BP191" i="1"/>
  <c r="BQ191" i="1"/>
  <c r="BR191" i="1"/>
  <c r="BT191" i="1"/>
  <c r="BU191" i="1"/>
  <c r="BV191" i="1"/>
  <c r="BW191" i="1"/>
  <c r="BX191" i="1"/>
  <c r="BY191" i="1"/>
  <c r="BZ191" i="1"/>
  <c r="CA191" i="1"/>
  <c r="BH192" i="1"/>
  <c r="BI192" i="1"/>
  <c r="BJ192" i="1"/>
  <c r="BK192" i="1"/>
  <c r="BL192" i="1"/>
  <c r="BM192" i="1"/>
  <c r="BN192" i="1"/>
  <c r="BO192" i="1"/>
  <c r="BP192" i="1"/>
  <c r="BQ192" i="1"/>
  <c r="BR192" i="1"/>
  <c r="BT192" i="1"/>
  <c r="BU192" i="1"/>
  <c r="BV192" i="1"/>
  <c r="BW192" i="1"/>
  <c r="BX192" i="1"/>
  <c r="BY192" i="1"/>
  <c r="BZ192" i="1"/>
  <c r="CA192" i="1"/>
  <c r="BH193" i="1"/>
  <c r="BI193" i="1"/>
  <c r="BJ193" i="1"/>
  <c r="BK193" i="1"/>
  <c r="BL193" i="1"/>
  <c r="BM193" i="1"/>
  <c r="BN193" i="1"/>
  <c r="BO193" i="1"/>
  <c r="BP193" i="1"/>
  <c r="BQ193" i="1"/>
  <c r="BR193" i="1"/>
  <c r="BT193" i="1"/>
  <c r="BU193" i="1"/>
  <c r="BV193" i="1"/>
  <c r="BW193" i="1"/>
  <c r="BX193" i="1"/>
  <c r="BY193" i="1"/>
  <c r="BZ193" i="1"/>
  <c r="CA193" i="1"/>
  <c r="BH194" i="1"/>
  <c r="BI194" i="1"/>
  <c r="BJ194" i="1"/>
  <c r="BK194" i="1"/>
  <c r="BL194" i="1"/>
  <c r="BM194" i="1"/>
  <c r="BN194" i="1"/>
  <c r="BO194" i="1"/>
  <c r="BP194" i="1"/>
  <c r="BQ194" i="1"/>
  <c r="BR194" i="1"/>
  <c r="BT194" i="1"/>
  <c r="BU194" i="1"/>
  <c r="BV194" i="1"/>
  <c r="BW194" i="1"/>
  <c r="BX194" i="1"/>
  <c r="BY194" i="1"/>
  <c r="BZ194" i="1"/>
  <c r="CA194" i="1"/>
  <c r="BH195" i="1"/>
  <c r="BI195" i="1"/>
  <c r="BJ195" i="1"/>
  <c r="BK195" i="1"/>
  <c r="BL195" i="1"/>
  <c r="BM195" i="1"/>
  <c r="BN195" i="1"/>
  <c r="BO195" i="1"/>
  <c r="BP195" i="1"/>
  <c r="BQ195" i="1"/>
  <c r="BR195" i="1"/>
  <c r="BT195" i="1"/>
  <c r="BU195" i="1"/>
  <c r="BV195" i="1"/>
  <c r="BW195" i="1"/>
  <c r="BX195" i="1"/>
  <c r="BY195" i="1"/>
  <c r="BZ195" i="1"/>
  <c r="CA195" i="1"/>
  <c r="BH196" i="1"/>
  <c r="BI196" i="1"/>
  <c r="BJ196" i="1"/>
  <c r="BK196" i="1"/>
  <c r="BL196" i="1"/>
  <c r="BM196" i="1"/>
  <c r="BN196" i="1"/>
  <c r="BO196" i="1"/>
  <c r="BP196" i="1"/>
  <c r="BQ196" i="1"/>
  <c r="BR196" i="1"/>
  <c r="BT196" i="1"/>
  <c r="BU196" i="1"/>
  <c r="BV196" i="1"/>
  <c r="BW196" i="1"/>
  <c r="BX196" i="1"/>
  <c r="BY196" i="1"/>
  <c r="BZ196" i="1"/>
  <c r="CA196" i="1"/>
  <c r="BH197" i="1"/>
  <c r="BI197" i="1"/>
  <c r="BJ197" i="1"/>
  <c r="BK197" i="1"/>
  <c r="BL197" i="1"/>
  <c r="BM197" i="1"/>
  <c r="BN197" i="1"/>
  <c r="BO197" i="1"/>
  <c r="BP197" i="1"/>
  <c r="BQ197" i="1"/>
  <c r="BR197" i="1"/>
  <c r="BT197" i="1"/>
  <c r="BU197" i="1"/>
  <c r="BV197" i="1"/>
  <c r="BW197" i="1"/>
  <c r="BX197" i="1"/>
  <c r="BY197" i="1"/>
  <c r="BZ197" i="1"/>
  <c r="CA197" i="1"/>
  <c r="BH198" i="1"/>
  <c r="BI198" i="1"/>
  <c r="BJ198" i="1"/>
  <c r="BK198" i="1"/>
  <c r="BL198" i="1"/>
  <c r="BM198" i="1"/>
  <c r="BN198" i="1"/>
  <c r="BO198" i="1"/>
  <c r="BP198" i="1"/>
  <c r="BQ198" i="1"/>
  <c r="BR198" i="1"/>
  <c r="BT198" i="1"/>
  <c r="BU198" i="1"/>
  <c r="BV198" i="1"/>
  <c r="BW198" i="1"/>
  <c r="BX198" i="1"/>
  <c r="BY198" i="1"/>
  <c r="BZ198" i="1"/>
  <c r="CA198" i="1"/>
  <c r="BH199" i="1"/>
  <c r="BI199" i="1"/>
  <c r="BJ199" i="1"/>
  <c r="BK199" i="1"/>
  <c r="BL199" i="1"/>
  <c r="BM199" i="1"/>
  <c r="BN199" i="1"/>
  <c r="BO199" i="1"/>
  <c r="BP199" i="1"/>
  <c r="BQ199" i="1"/>
  <c r="BR199" i="1"/>
  <c r="BT199" i="1"/>
  <c r="BU199" i="1"/>
  <c r="BV199" i="1"/>
  <c r="BW199" i="1"/>
  <c r="BX199" i="1"/>
  <c r="BY199" i="1"/>
  <c r="BZ199" i="1"/>
  <c r="CA199" i="1"/>
  <c r="BH200" i="1"/>
  <c r="BI200" i="1"/>
  <c r="BJ200" i="1"/>
  <c r="BK200" i="1"/>
  <c r="BL200" i="1"/>
  <c r="BM200" i="1"/>
  <c r="BN200" i="1"/>
  <c r="BO200" i="1"/>
  <c r="BP200" i="1"/>
  <c r="BQ200" i="1"/>
  <c r="BR200" i="1"/>
  <c r="BT200" i="1"/>
  <c r="BU200" i="1"/>
  <c r="BV200" i="1"/>
  <c r="BW200" i="1"/>
  <c r="BX200" i="1"/>
  <c r="BY200" i="1"/>
  <c r="BZ200" i="1"/>
  <c r="CA200" i="1"/>
  <c r="BH201" i="1"/>
  <c r="BI201" i="1"/>
  <c r="BJ201" i="1"/>
  <c r="BK201" i="1"/>
  <c r="BL201" i="1"/>
  <c r="BM201" i="1"/>
  <c r="BN201" i="1"/>
  <c r="BO201" i="1"/>
  <c r="BP201" i="1"/>
  <c r="BQ201" i="1"/>
  <c r="BR201" i="1"/>
  <c r="BT201" i="1"/>
  <c r="BU201" i="1"/>
  <c r="BV201" i="1"/>
  <c r="BW201" i="1"/>
  <c r="BX201" i="1"/>
  <c r="BY201" i="1"/>
  <c r="BZ201" i="1"/>
  <c r="CA201" i="1"/>
  <c r="BH202" i="1"/>
  <c r="BI202" i="1"/>
  <c r="BJ202" i="1"/>
  <c r="BK202" i="1"/>
  <c r="BL202" i="1"/>
  <c r="BM202" i="1"/>
  <c r="BN202" i="1"/>
  <c r="BO202" i="1"/>
  <c r="BP202" i="1"/>
  <c r="BQ202" i="1"/>
  <c r="BR202" i="1"/>
  <c r="BT202" i="1"/>
  <c r="BU202" i="1"/>
  <c r="BV202" i="1"/>
  <c r="BW202" i="1"/>
  <c r="BX202" i="1"/>
  <c r="BY202" i="1"/>
  <c r="BZ202" i="1"/>
  <c r="CA202" i="1"/>
  <c r="BH203" i="1"/>
  <c r="BI203" i="1"/>
  <c r="BJ203" i="1"/>
  <c r="BK203" i="1"/>
  <c r="BL203" i="1"/>
  <c r="BM203" i="1"/>
  <c r="BN203" i="1"/>
  <c r="BO203" i="1"/>
  <c r="BP203" i="1"/>
  <c r="BQ203" i="1"/>
  <c r="BR203" i="1"/>
  <c r="BT203" i="1"/>
  <c r="BU203" i="1"/>
  <c r="BV203" i="1"/>
  <c r="BW203" i="1"/>
  <c r="BX203" i="1"/>
  <c r="BY203" i="1"/>
  <c r="BZ203" i="1"/>
  <c r="CA203" i="1"/>
  <c r="BH204" i="1"/>
  <c r="BI204" i="1"/>
  <c r="BJ204" i="1"/>
  <c r="BK204" i="1"/>
  <c r="BL204" i="1"/>
  <c r="BM204" i="1"/>
  <c r="BN204" i="1"/>
  <c r="BO204" i="1"/>
  <c r="BP204" i="1"/>
  <c r="BQ204" i="1"/>
  <c r="BR204" i="1"/>
  <c r="BT204" i="1"/>
  <c r="BU204" i="1"/>
  <c r="BV204" i="1"/>
  <c r="BW204" i="1"/>
  <c r="BX204" i="1"/>
  <c r="BY204" i="1"/>
  <c r="BZ204" i="1"/>
  <c r="CA204" i="1"/>
  <c r="BH205" i="1"/>
  <c r="BI205" i="1"/>
  <c r="BJ205" i="1"/>
  <c r="BK205" i="1"/>
  <c r="BL205" i="1"/>
  <c r="BM205" i="1"/>
  <c r="BN205" i="1"/>
  <c r="BO205" i="1"/>
  <c r="BP205" i="1"/>
  <c r="BQ205" i="1"/>
  <c r="BR205" i="1"/>
  <c r="BT205" i="1"/>
  <c r="BU205" i="1"/>
  <c r="BV205" i="1"/>
  <c r="BW205" i="1"/>
  <c r="BX205" i="1"/>
  <c r="BY205" i="1"/>
  <c r="BZ205" i="1"/>
  <c r="CA205" i="1"/>
  <c r="BH84" i="1"/>
  <c r="BI84" i="1"/>
  <c r="BJ84" i="1"/>
  <c r="BK84" i="1"/>
  <c r="BL84" i="1"/>
  <c r="BM84" i="1"/>
  <c r="BN84" i="1"/>
  <c r="BO84" i="1"/>
  <c r="BP84" i="1"/>
  <c r="BQ84" i="1"/>
  <c r="BR84" i="1"/>
  <c r="BT84" i="1"/>
  <c r="BU84" i="1"/>
  <c r="BV84" i="1"/>
  <c r="BW84" i="1"/>
  <c r="BX84" i="1"/>
  <c r="BY84" i="1"/>
  <c r="BZ84" i="1"/>
  <c r="CA84" i="1"/>
  <c r="BU2" i="1"/>
  <c r="BV2" i="1"/>
  <c r="BW2" i="1"/>
  <c r="BX2" i="1"/>
  <c r="AB11" i="3"/>
  <c r="A8" i="7" s="1"/>
  <c r="BY2" i="1"/>
  <c r="BZ2" i="1"/>
  <c r="CA2" i="1"/>
  <c r="BQ4" i="1"/>
  <c r="BR4" i="1"/>
  <c r="BR10" i="1"/>
  <c r="BR17" i="1"/>
  <c r="BR23" i="1"/>
  <c r="BR24" i="1"/>
  <c r="BR7" i="1"/>
  <c r="BR11" i="1"/>
  <c r="BR43" i="1"/>
  <c r="JZ43" i="1" s="1"/>
  <c r="BR6" i="1"/>
  <c r="JZ6" i="1" s="1"/>
  <c r="BR12" i="1"/>
  <c r="JZ12" i="1" s="1"/>
  <c r="BR15" i="1"/>
  <c r="BR16" i="1"/>
  <c r="BR3" i="1"/>
  <c r="JZ3" i="1" s="1"/>
  <c r="BR5" i="1"/>
  <c r="BR8" i="1"/>
  <c r="BR20" i="1"/>
  <c r="BR27" i="1"/>
  <c r="BR29" i="1"/>
  <c r="BR30" i="1"/>
  <c r="BR31" i="1"/>
  <c r="BR35" i="1"/>
  <c r="BR37" i="1"/>
  <c r="JZ37" i="1" s="1"/>
  <c r="BR38" i="1"/>
  <c r="BR42" i="1"/>
  <c r="JZ42" i="1" s="1"/>
  <c r="I217" i="1"/>
  <c r="BQ5" i="1"/>
  <c r="BQ6" i="1"/>
  <c r="BQ7" i="1"/>
  <c r="BQ8" i="1"/>
  <c r="BQ10" i="1"/>
  <c r="BQ11" i="1"/>
  <c r="BQ12" i="1"/>
  <c r="JP12" i="1" s="1"/>
  <c r="BQ15" i="1"/>
  <c r="JP15" i="1" s="1"/>
  <c r="BQ16" i="1"/>
  <c r="BQ17" i="1"/>
  <c r="BQ20" i="1"/>
  <c r="BQ23" i="1"/>
  <c r="BQ24" i="1"/>
  <c r="BQ27" i="1"/>
  <c r="BQ29" i="1"/>
  <c r="BQ30" i="1"/>
  <c r="BQ31" i="1"/>
  <c r="BQ35" i="1"/>
  <c r="BQ37" i="1"/>
  <c r="BQ38" i="1"/>
  <c r="BQ42" i="1"/>
  <c r="BQ43" i="1"/>
  <c r="BQ3" i="1"/>
  <c r="I213" i="1"/>
  <c r="IJ1" i="1"/>
  <c r="IK1" i="1" s="1"/>
  <c r="IL1" i="1" s="1"/>
  <c r="IM1" i="1" s="1"/>
  <c r="A10" i="7"/>
  <c r="AB12" i="3"/>
  <c r="FK1" i="1" s="1"/>
  <c r="AB10" i="3"/>
  <c r="EP1" i="1" s="1"/>
  <c r="AB8" i="3"/>
  <c r="EE1" i="1" s="1"/>
  <c r="AB7" i="3"/>
  <c r="DR1" i="1" s="1"/>
  <c r="AB6" i="3"/>
  <c r="DI1" i="1" s="1"/>
  <c r="CA4" i="1"/>
  <c r="BZ4" i="1"/>
  <c r="BY4" i="1"/>
  <c r="BX4" i="1"/>
  <c r="BW4" i="1"/>
  <c r="BV4" i="1"/>
  <c r="BU4" i="1"/>
  <c r="BT4" i="1"/>
  <c r="BP4" i="1"/>
  <c r="BO4" i="1"/>
  <c r="BN4" i="1"/>
  <c r="BM4" i="1"/>
  <c r="BL4" i="1"/>
  <c r="BK4" i="1"/>
  <c r="BJ4" i="1"/>
  <c r="BI4" i="1"/>
  <c r="BH4" i="1"/>
  <c r="IM2" i="1"/>
  <c r="IG13" i="1"/>
  <c r="IC2" i="1"/>
  <c r="IC205" i="1" s="1"/>
  <c r="HW13" i="1"/>
  <c r="HS2" i="1"/>
  <c r="HS7" i="1" s="1"/>
  <c r="HI2" i="1"/>
  <c r="HI124" i="1" s="1"/>
  <c r="GY2" i="1"/>
  <c r="GY138" i="1" s="1"/>
  <c r="GS13" i="1"/>
  <c r="GO2" i="1"/>
  <c r="GO111" i="1" s="1"/>
  <c r="GE2" i="1"/>
  <c r="GE171" i="1" s="1"/>
  <c r="FD2" i="1"/>
  <c r="FC2" i="1"/>
  <c r="FB2" i="1"/>
  <c r="FA2" i="1"/>
  <c r="EZ2" i="1"/>
  <c r="EY2" i="1"/>
  <c r="EX2" i="1"/>
  <c r="EW2" i="1"/>
  <c r="EV2" i="1"/>
  <c r="FX2" i="1"/>
  <c r="FW2" i="1"/>
  <c r="FV2" i="1"/>
  <c r="FU2" i="1"/>
  <c r="FT2" i="1"/>
  <c r="FS2" i="1"/>
  <c r="FR2" i="1"/>
  <c r="FQ2" i="1"/>
  <c r="FP2" i="1"/>
  <c r="FN2" i="1"/>
  <c r="FM2" i="1"/>
  <c r="FL2" i="1"/>
  <c r="FK2" i="1"/>
  <c r="FJ2" i="1"/>
  <c r="FI2" i="1"/>
  <c r="FH2" i="1"/>
  <c r="FG2" i="1"/>
  <c r="FF2" i="1"/>
  <c r="ET2" i="1"/>
  <c r="ES2" i="1"/>
  <c r="ER2" i="1"/>
  <c r="EQ2" i="1"/>
  <c r="EP2" i="1"/>
  <c r="EO2" i="1"/>
  <c r="EN2" i="1"/>
  <c r="EM2" i="1"/>
  <c r="EL2" i="1"/>
  <c r="EJ2" i="1"/>
  <c r="EI2" i="1"/>
  <c r="EH2" i="1"/>
  <c r="EG2" i="1"/>
  <c r="EF2" i="1"/>
  <c r="EE2" i="1"/>
  <c r="ED2" i="1"/>
  <c r="EC2" i="1"/>
  <c r="EB2" i="1"/>
  <c r="DZ2" i="1"/>
  <c r="DY2" i="1"/>
  <c r="DX2" i="1"/>
  <c r="DW2" i="1"/>
  <c r="DV2" i="1"/>
  <c r="DU2" i="1"/>
  <c r="DT2" i="1"/>
  <c r="DS2" i="1"/>
  <c r="DR2" i="1"/>
  <c r="DP2" i="1"/>
  <c r="DO2" i="1"/>
  <c r="DN2" i="1"/>
  <c r="DM2" i="1"/>
  <c r="DL2" i="1"/>
  <c r="DK2" i="1"/>
  <c r="DJ2" i="1"/>
  <c r="DI2" i="1"/>
  <c r="DH2" i="1"/>
  <c r="DF2" i="1"/>
  <c r="DE2" i="1"/>
  <c r="DD2" i="1"/>
  <c r="DC2" i="1"/>
  <c r="DB2" i="1"/>
  <c r="DA2" i="1"/>
  <c r="CZ2" i="1"/>
  <c r="CY2" i="1"/>
  <c r="CX2" i="1"/>
  <c r="CP13" i="1"/>
  <c r="CP46" i="1"/>
  <c r="GS46" i="1"/>
  <c r="GT46" i="1"/>
  <c r="HQ46" i="1"/>
  <c r="HW46" i="1"/>
  <c r="IG46" i="1"/>
  <c r="IU46" i="1"/>
  <c r="JB46" i="1"/>
  <c r="JV46" i="1"/>
  <c r="KF46" i="1"/>
  <c r="GW47" i="1"/>
  <c r="IA47" i="1"/>
  <c r="IU47" i="1"/>
  <c r="JV47" i="1"/>
  <c r="JZ47" i="1"/>
  <c r="JZ36" i="1"/>
  <c r="CP36" i="1"/>
  <c r="GW26" i="1"/>
  <c r="GW36" i="1"/>
  <c r="HQ26" i="1"/>
  <c r="HQ36" i="1"/>
  <c r="IA26" i="1"/>
  <c r="IU26" i="1"/>
  <c r="IU36" i="1"/>
  <c r="JB36" i="1"/>
  <c r="JV36" i="1"/>
  <c r="JX26" i="1"/>
  <c r="KF36" i="1"/>
  <c r="JZ26" i="1"/>
  <c r="IA25" i="1"/>
  <c r="HQ25" i="1"/>
  <c r="IU25" i="1"/>
  <c r="JZ25" i="1"/>
  <c r="GW25" i="1"/>
  <c r="HZ25" i="1"/>
  <c r="GR131" i="1"/>
  <c r="GP139" i="1"/>
  <c r="HQ63" i="1"/>
  <c r="KF63" i="1"/>
  <c r="GS101" i="1"/>
  <c r="HT109" i="1"/>
  <c r="IU63" i="1"/>
  <c r="HV125" i="1"/>
  <c r="JV63" i="1"/>
  <c r="JX63" i="1"/>
  <c r="GW96" i="1"/>
  <c r="GW63" i="1"/>
  <c r="HW97" i="1"/>
  <c r="JY63" i="1"/>
  <c r="BO8" i="1"/>
  <c r="JZ70" i="1"/>
  <c r="IU43" i="1"/>
  <c r="JX73" i="1"/>
  <c r="JY56" i="1"/>
  <c r="JZ75" i="1"/>
  <c r="JV11" i="1"/>
  <c r="KF30" i="1"/>
  <c r="JV62" i="1"/>
  <c r="JV6" i="1"/>
  <c r="JV42" i="1"/>
  <c r="JB79" i="1"/>
  <c r="JZ17" i="1"/>
  <c r="KF53" i="1"/>
  <c r="KF65" i="1"/>
  <c r="KF31" i="1"/>
  <c r="JZ38" i="1"/>
  <c r="IU54" i="1"/>
  <c r="KF55" i="1"/>
  <c r="JZ24" i="1"/>
  <c r="KF38" i="1"/>
  <c r="JY54" i="1"/>
  <c r="IU17" i="1"/>
  <c r="IU65" i="1"/>
  <c r="JB55" i="1"/>
  <c r="JA133" i="1"/>
  <c r="BP27" i="1"/>
  <c r="JA58" i="1"/>
  <c r="IZ205" i="1"/>
  <c r="IZ193" i="1"/>
  <c r="IZ203" i="1"/>
  <c r="IZ181" i="1"/>
  <c r="IZ190" i="1"/>
  <c r="IZ194" i="1"/>
  <c r="IZ173" i="1"/>
  <c r="IZ200" i="1"/>
  <c r="IZ175" i="1"/>
  <c r="IZ166" i="1"/>
  <c r="IZ164" i="1"/>
  <c r="IZ163" i="1"/>
  <c r="IZ162" i="1"/>
  <c r="IZ161" i="1"/>
  <c r="IZ160" i="1"/>
  <c r="IZ159" i="1"/>
  <c r="IZ158" i="1"/>
  <c r="IZ157" i="1"/>
  <c r="IZ156" i="1"/>
  <c r="IZ155" i="1"/>
  <c r="IZ154" i="1"/>
  <c r="IZ153" i="1"/>
  <c r="IZ152" i="1"/>
  <c r="IZ151" i="1"/>
  <c r="IZ150" i="1"/>
  <c r="IZ149" i="1"/>
  <c r="IZ176" i="1"/>
  <c r="IZ168" i="1"/>
  <c r="IZ180" i="1"/>
  <c r="IZ178" i="1"/>
  <c r="IZ174" i="1"/>
  <c r="IZ198" i="1"/>
  <c r="IZ170" i="1"/>
  <c r="IZ182" i="1"/>
  <c r="IZ136" i="1"/>
  <c r="IZ132" i="1"/>
  <c r="IZ128" i="1"/>
  <c r="IZ141" i="1"/>
  <c r="IZ139" i="1"/>
  <c r="IZ184" i="1"/>
  <c r="IZ140" i="1"/>
  <c r="IZ125" i="1"/>
  <c r="IZ121" i="1"/>
  <c r="IZ137" i="1"/>
  <c r="IZ135" i="1"/>
  <c r="IZ126" i="1"/>
  <c r="IZ122" i="1"/>
  <c r="IZ118" i="1"/>
  <c r="IZ114" i="1"/>
  <c r="IZ106" i="1"/>
  <c r="IZ138" i="1"/>
  <c r="IZ134" i="1"/>
  <c r="IZ123" i="1"/>
  <c r="IZ119" i="1"/>
  <c r="IZ115" i="1"/>
  <c r="IZ111" i="1"/>
  <c r="IZ142" i="1"/>
  <c r="IZ133" i="1"/>
  <c r="IZ124" i="1"/>
  <c r="IZ120" i="1"/>
  <c r="IZ144" i="1"/>
  <c r="IZ131" i="1"/>
  <c r="IZ112" i="1"/>
  <c r="IZ100" i="1"/>
  <c r="IZ95" i="1"/>
  <c r="IZ127" i="1"/>
  <c r="IZ96" i="1"/>
  <c r="IU16" i="1"/>
  <c r="JV68" i="1"/>
  <c r="JV54" i="1"/>
  <c r="IU89" i="1"/>
  <c r="IU12" i="1"/>
  <c r="JV37" i="1"/>
  <c r="IU10" i="1"/>
  <c r="IT178" i="1"/>
  <c r="IT189" i="1"/>
  <c r="IT158" i="1"/>
  <c r="IT151" i="1"/>
  <c r="IT147" i="1"/>
  <c r="IT123" i="1"/>
  <c r="IT146" i="1"/>
  <c r="IT111" i="1"/>
  <c r="IT96" i="1"/>
  <c r="IT92" i="1"/>
  <c r="IT93" i="1"/>
  <c r="IT71" i="1"/>
  <c r="IT43" i="1"/>
  <c r="IT49" i="1"/>
  <c r="IT37" i="1"/>
  <c r="IT31" i="1"/>
  <c r="IT5" i="1"/>
  <c r="IU7" i="1"/>
  <c r="IU11" i="1"/>
  <c r="IU205" i="1"/>
  <c r="IU201" i="1"/>
  <c r="IU203" i="1"/>
  <c r="IU199" i="1"/>
  <c r="IU195" i="1"/>
  <c r="IU191" i="1"/>
  <c r="IU187" i="1"/>
  <c r="IU183" i="1"/>
  <c r="IU179" i="1"/>
  <c r="IU197" i="1"/>
  <c r="IU182" i="1"/>
  <c r="IU181" i="1"/>
  <c r="IU171" i="1"/>
  <c r="IU170" i="1"/>
  <c r="IU169" i="1"/>
  <c r="IU168" i="1"/>
  <c r="IU192" i="1"/>
  <c r="IU188" i="1"/>
  <c r="IU184" i="1"/>
  <c r="IU200" i="1"/>
  <c r="IU178" i="1"/>
  <c r="IU204" i="1"/>
  <c r="IU193" i="1"/>
  <c r="IU167" i="1"/>
  <c r="IU165" i="1"/>
  <c r="IU190" i="1"/>
  <c r="IU175" i="1"/>
  <c r="IU166" i="1"/>
  <c r="IU164" i="1"/>
  <c r="IU172" i="1"/>
  <c r="IU156" i="1"/>
  <c r="IU154" i="1"/>
  <c r="IU185" i="1"/>
  <c r="IU162" i="1"/>
  <c r="IU151" i="1"/>
  <c r="IU147" i="1"/>
  <c r="IU180" i="1"/>
  <c r="IU176" i="1"/>
  <c r="IU155" i="1"/>
  <c r="IU84" i="1"/>
  <c r="IU202" i="1"/>
  <c r="IU194" i="1"/>
  <c r="IU189" i="1"/>
  <c r="IU174" i="1"/>
  <c r="IU196" i="1"/>
  <c r="IU159" i="1"/>
  <c r="IU152" i="1"/>
  <c r="IU144" i="1"/>
  <c r="IU140" i="1"/>
  <c r="IU173" i="1"/>
  <c r="IU177" i="1"/>
  <c r="IU186" i="1"/>
  <c r="IU126" i="1"/>
  <c r="IU125" i="1"/>
  <c r="IU124" i="1"/>
  <c r="IU123" i="1"/>
  <c r="IU122" i="1"/>
  <c r="IU121" i="1"/>
  <c r="IU120" i="1"/>
  <c r="IU119" i="1"/>
  <c r="IU118" i="1"/>
  <c r="IU117" i="1"/>
  <c r="IU116" i="1"/>
  <c r="IU115" i="1"/>
  <c r="IU114" i="1"/>
  <c r="IU113" i="1"/>
  <c r="IU112" i="1"/>
  <c r="IU111" i="1"/>
  <c r="IU110" i="1"/>
  <c r="IU109" i="1"/>
  <c r="IU108" i="1"/>
  <c r="IU106" i="1"/>
  <c r="IU105" i="1"/>
  <c r="IU104" i="1"/>
  <c r="IU103" i="1"/>
  <c r="IU102" i="1"/>
  <c r="IU101" i="1"/>
  <c r="IU100" i="1"/>
  <c r="IU99" i="1"/>
  <c r="IU135" i="1"/>
  <c r="IU148" i="1"/>
  <c r="IU146" i="1"/>
  <c r="IU138" i="1"/>
  <c r="IU198" i="1"/>
  <c r="IU160" i="1"/>
  <c r="IU153" i="1"/>
  <c r="IU161" i="1"/>
  <c r="IU158" i="1"/>
  <c r="IU142" i="1"/>
  <c r="IU129" i="1"/>
  <c r="IU127" i="1"/>
  <c r="IU133" i="1"/>
  <c r="IU145" i="1"/>
  <c r="IU143" i="1"/>
  <c r="IU130" i="1"/>
  <c r="IU128" i="1"/>
  <c r="IU163" i="1"/>
  <c r="IU137" i="1"/>
  <c r="IU150" i="1"/>
  <c r="IU139" i="1"/>
  <c r="IU92" i="1"/>
  <c r="IU149" i="1"/>
  <c r="IU134" i="1"/>
  <c r="IU98" i="1"/>
  <c r="IU94" i="1"/>
  <c r="IU90" i="1"/>
  <c r="IU83" i="1"/>
  <c r="IU131" i="1"/>
  <c r="IU96" i="1"/>
  <c r="IU132" i="1"/>
  <c r="IU78" i="1"/>
  <c r="IU75" i="1"/>
  <c r="IU70" i="1"/>
  <c r="IU66" i="1"/>
  <c r="IU60" i="1"/>
  <c r="IU55" i="1"/>
  <c r="IU53" i="1"/>
  <c r="IU51" i="1"/>
  <c r="IU44" i="1"/>
  <c r="IU37" i="1"/>
  <c r="IU29" i="1"/>
  <c r="IU136" i="1"/>
  <c r="IU97" i="1"/>
  <c r="IU93" i="1"/>
  <c r="IU79" i="1"/>
  <c r="IU76" i="1"/>
  <c r="IU71" i="1"/>
  <c r="IU157" i="1"/>
  <c r="IU141" i="1"/>
  <c r="IU77" i="1"/>
  <c r="IU72" i="1"/>
  <c r="IU80" i="1"/>
  <c r="IU35" i="1"/>
  <c r="IU95" i="1"/>
  <c r="IU68" i="1"/>
  <c r="IU58" i="1"/>
  <c r="IU91" i="1"/>
  <c r="IU88" i="1"/>
  <c r="IU82" i="1"/>
  <c r="IU64" i="1"/>
  <c r="IU27" i="1"/>
  <c r="IU20" i="1"/>
  <c r="IU15" i="1"/>
  <c r="IU8" i="1"/>
  <c r="IU67" i="1"/>
  <c r="IU52" i="1"/>
  <c r="IU49" i="1"/>
  <c r="IU42" i="1"/>
  <c r="IU69" i="1"/>
  <c r="IU62" i="1"/>
  <c r="IU61" i="1"/>
  <c r="IU31" i="1"/>
  <c r="IU59" i="1"/>
  <c r="IU56" i="1"/>
  <c r="IU81" i="1"/>
  <c r="IU73" i="1"/>
  <c r="IU50" i="1"/>
  <c r="IU45" i="1"/>
  <c r="IU6" i="1"/>
  <c r="IU5" i="1"/>
  <c r="IU4" i="1"/>
  <c r="IU24" i="1"/>
  <c r="JV205" i="1"/>
  <c r="JV195" i="1"/>
  <c r="JV186" i="1"/>
  <c r="JV184" i="1"/>
  <c r="JV200" i="1"/>
  <c r="JV194" i="1"/>
  <c r="JV191" i="1"/>
  <c r="JV202" i="1"/>
  <c r="JV192" i="1"/>
  <c r="JV183" i="1"/>
  <c r="JV190" i="1"/>
  <c r="JV189" i="1"/>
  <c r="JV179" i="1"/>
  <c r="JV175" i="1"/>
  <c r="JV171" i="1"/>
  <c r="JV201" i="1"/>
  <c r="JV177" i="1"/>
  <c r="JV197" i="1"/>
  <c r="JV185" i="1"/>
  <c r="JV174" i="1"/>
  <c r="JV172" i="1"/>
  <c r="JV169" i="1"/>
  <c r="JV193" i="1"/>
  <c r="JV176" i="1"/>
  <c r="JV198" i="1"/>
  <c r="JV203" i="1"/>
  <c r="JV187" i="1"/>
  <c r="JV170" i="1"/>
  <c r="JV188" i="1"/>
  <c r="JV173" i="1"/>
  <c r="JV150" i="1"/>
  <c r="JV146" i="1"/>
  <c r="JV165" i="1"/>
  <c r="JV160" i="1"/>
  <c r="JV158" i="1"/>
  <c r="JV196" i="1"/>
  <c r="JV168" i="1"/>
  <c r="JV164" i="1"/>
  <c r="JV156" i="1"/>
  <c r="JV154" i="1"/>
  <c r="JV151" i="1"/>
  <c r="JV152" i="1"/>
  <c r="JV148" i="1"/>
  <c r="JV159" i="1"/>
  <c r="JV162" i="1"/>
  <c r="JV149" i="1"/>
  <c r="JV199" i="1"/>
  <c r="JV157" i="1"/>
  <c r="JV139" i="1"/>
  <c r="JV137" i="1"/>
  <c r="JV181" i="1"/>
  <c r="JV180" i="1"/>
  <c r="JV155" i="1"/>
  <c r="JV166" i="1"/>
  <c r="JV142" i="1"/>
  <c r="JV140" i="1"/>
  <c r="JV163" i="1"/>
  <c r="JV153" i="1"/>
  <c r="JV144" i="1"/>
  <c r="JV161" i="1"/>
  <c r="JV136" i="1"/>
  <c r="JV135" i="1"/>
  <c r="JV123" i="1"/>
  <c r="JV119" i="1"/>
  <c r="JV115" i="1"/>
  <c r="JV111" i="1"/>
  <c r="JV103" i="1"/>
  <c r="JV99" i="1"/>
  <c r="JV131" i="1"/>
  <c r="JV182" i="1"/>
  <c r="JV167" i="1"/>
  <c r="JV147" i="1"/>
  <c r="JV129" i="1"/>
  <c r="JV127" i="1"/>
  <c r="JV138" i="1"/>
  <c r="JV134" i="1"/>
  <c r="JV124" i="1"/>
  <c r="JV120" i="1"/>
  <c r="JV116" i="1"/>
  <c r="JV112" i="1"/>
  <c r="JV104" i="1"/>
  <c r="JV141" i="1"/>
  <c r="JV178" i="1"/>
  <c r="JV143" i="1"/>
  <c r="JV133" i="1"/>
  <c r="JV125" i="1"/>
  <c r="JV121" i="1"/>
  <c r="JV117" i="1"/>
  <c r="JV113" i="1"/>
  <c r="JV109" i="1"/>
  <c r="JV105" i="1"/>
  <c r="JV101" i="1"/>
  <c r="JV132" i="1"/>
  <c r="JV126" i="1"/>
  <c r="JV122" i="1"/>
  <c r="JV118" i="1"/>
  <c r="JV114" i="1"/>
  <c r="JV97" i="1"/>
  <c r="JV93" i="1"/>
  <c r="JV89" i="1"/>
  <c r="JV145" i="1"/>
  <c r="JV96" i="1"/>
  <c r="JV92" i="1"/>
  <c r="JV82" i="1"/>
  <c r="JV128" i="1"/>
  <c r="JV110" i="1"/>
  <c r="JV90" i="1"/>
  <c r="JV106" i="1"/>
  <c r="JV94" i="1"/>
  <c r="JV78" i="1"/>
  <c r="JV75" i="1"/>
  <c r="JV70" i="1"/>
  <c r="JV66" i="1"/>
  <c r="JV102" i="1"/>
  <c r="JV95" i="1"/>
  <c r="JV91" i="1"/>
  <c r="JV76" i="1"/>
  <c r="JV71" i="1"/>
  <c r="JV130" i="1"/>
  <c r="JV100" i="1"/>
  <c r="JV77" i="1"/>
  <c r="JV73" i="1"/>
  <c r="JV17" i="1"/>
  <c r="JV12" i="1"/>
  <c r="JV50" i="1"/>
  <c r="JV45" i="1"/>
  <c r="JV72" i="1"/>
  <c r="JV43" i="1"/>
  <c r="JV38" i="1"/>
  <c r="JV79" i="1"/>
  <c r="JV60" i="1"/>
  <c r="JV30" i="1"/>
  <c r="JV65" i="1"/>
  <c r="JV58" i="1"/>
  <c r="JV55" i="1"/>
  <c r="JV69" i="1"/>
  <c r="JV53" i="1"/>
  <c r="JV80" i="1"/>
  <c r="JV52" i="1"/>
  <c r="JV51" i="1"/>
  <c r="JV10" i="1"/>
  <c r="JV49" i="1"/>
  <c r="JV44" i="1"/>
  <c r="JV59" i="1"/>
  <c r="JV56" i="1"/>
  <c r="JV31" i="1"/>
  <c r="JX205" i="1"/>
  <c r="JX201" i="1"/>
  <c r="JX197" i="1"/>
  <c r="JX193" i="1"/>
  <c r="JX189" i="1"/>
  <c r="JX185" i="1"/>
  <c r="JX181" i="1"/>
  <c r="JX174" i="1"/>
  <c r="JX171" i="1"/>
  <c r="JX156" i="1"/>
  <c r="JX163" i="1"/>
  <c r="JX173" i="1"/>
  <c r="JX144" i="1"/>
  <c r="JX170" i="1"/>
  <c r="JX161" i="1"/>
  <c r="JX119" i="1"/>
  <c r="JX129" i="1"/>
  <c r="JX134" i="1"/>
  <c r="JX112" i="1"/>
  <c r="JX155" i="1"/>
  <c r="JX121" i="1"/>
  <c r="JX153" i="1"/>
  <c r="JX132" i="1"/>
  <c r="JX109" i="1"/>
  <c r="JX82" i="1"/>
  <c r="JX118" i="1"/>
  <c r="JX103" i="1"/>
  <c r="JX88" i="1"/>
  <c r="JX75" i="1"/>
  <c r="JX55" i="1"/>
  <c r="JX37" i="1"/>
  <c r="JX106" i="1"/>
  <c r="JX130" i="1"/>
  <c r="JX77" i="1"/>
  <c r="JX80" i="1"/>
  <c r="JX38" i="1"/>
  <c r="JX15" i="1"/>
  <c r="JX27" i="1"/>
  <c r="JX49" i="1"/>
  <c r="JX54" i="1"/>
  <c r="JV16" i="1"/>
  <c r="IT56" i="1"/>
  <c r="JV61" i="1"/>
  <c r="JY12" i="1"/>
  <c r="JZ45" i="1"/>
  <c r="JZ50" i="1"/>
  <c r="JB51" i="1"/>
  <c r="KD58" i="1"/>
  <c r="JZ66" i="1"/>
  <c r="JB100" i="1"/>
  <c r="JB105" i="1"/>
  <c r="IX191" i="1"/>
  <c r="IX205" i="1"/>
  <c r="IX200" i="1"/>
  <c r="IX194" i="1"/>
  <c r="IX169" i="1"/>
  <c r="IX159" i="1"/>
  <c r="IX164" i="1"/>
  <c r="IX141" i="1"/>
  <c r="IX136" i="1"/>
  <c r="IX132" i="1"/>
  <c r="IX128" i="1"/>
  <c r="IX176" i="1"/>
  <c r="IX168" i="1"/>
  <c r="IX165" i="1"/>
  <c r="IX125" i="1"/>
  <c r="IX109" i="1"/>
  <c r="IX126" i="1"/>
  <c r="IX149" i="1"/>
  <c r="IX93" i="1"/>
  <c r="IX102" i="1"/>
  <c r="IX111" i="1"/>
  <c r="JY203" i="1"/>
  <c r="JY199" i="1"/>
  <c r="JY180" i="1"/>
  <c r="JY189" i="1"/>
  <c r="JY176" i="1"/>
  <c r="JY200" i="1"/>
  <c r="JY188" i="1"/>
  <c r="JY186" i="1"/>
  <c r="JY165" i="1"/>
  <c r="JY160" i="1"/>
  <c r="JY144" i="1"/>
  <c r="JY143" i="1"/>
  <c r="JY136" i="1"/>
  <c r="JY135" i="1"/>
  <c r="JY128" i="1"/>
  <c r="JY127" i="1"/>
  <c r="JY169" i="1"/>
  <c r="JY155" i="1"/>
  <c r="JY152" i="1"/>
  <c r="JY147" i="1"/>
  <c r="JY108" i="1"/>
  <c r="JY89" i="1"/>
  <c r="JY114" i="1"/>
  <c r="JY104" i="1"/>
  <c r="JY121" i="1"/>
  <c r="JY88" i="1"/>
  <c r="JY122" i="1"/>
  <c r="JY106" i="1"/>
  <c r="JY100" i="1"/>
  <c r="JY82" i="1"/>
  <c r="BO27" i="1"/>
  <c r="JZ29" i="1"/>
  <c r="JB30" i="1"/>
  <c r="JZ56" i="1"/>
  <c r="JB60" i="1"/>
  <c r="JY67" i="1"/>
  <c r="KF70" i="1"/>
  <c r="JP80" i="1"/>
  <c r="JY92" i="1"/>
  <c r="IY204" i="1"/>
  <c r="IY154" i="1"/>
  <c r="IY183" i="1"/>
  <c r="IY179" i="1"/>
  <c r="IY148" i="1"/>
  <c r="IY150" i="1"/>
  <c r="IY146" i="1"/>
  <c r="IY127" i="1"/>
  <c r="IY142" i="1"/>
  <c r="IY131" i="1"/>
  <c r="IY170" i="1"/>
  <c r="IY119" i="1"/>
  <c r="IY126" i="1"/>
  <c r="JL176" i="1"/>
  <c r="JL205" i="1"/>
  <c r="JL202" i="1"/>
  <c r="JZ204" i="1"/>
  <c r="JZ200" i="1"/>
  <c r="JZ196" i="1"/>
  <c r="JZ192" i="1"/>
  <c r="JZ178" i="1"/>
  <c r="JZ203" i="1"/>
  <c r="JZ199" i="1"/>
  <c r="JZ198" i="1"/>
  <c r="JZ187" i="1"/>
  <c r="JZ185" i="1"/>
  <c r="JZ205" i="1"/>
  <c r="JZ191" i="1"/>
  <c r="JZ195" i="1"/>
  <c r="JZ188" i="1"/>
  <c r="JZ182" i="1"/>
  <c r="JZ172" i="1"/>
  <c r="JZ197" i="1"/>
  <c r="JZ189" i="1"/>
  <c r="JZ176" i="1"/>
  <c r="JZ193" i="1"/>
  <c r="JZ170" i="1"/>
  <c r="JZ190" i="1"/>
  <c r="JZ186" i="1"/>
  <c r="JZ183" i="1"/>
  <c r="JZ171" i="1"/>
  <c r="JZ165" i="1"/>
  <c r="JZ163" i="1"/>
  <c r="JZ181" i="1"/>
  <c r="JZ173" i="1"/>
  <c r="JZ194" i="1"/>
  <c r="JZ166" i="1"/>
  <c r="JZ164" i="1"/>
  <c r="JZ156" i="1"/>
  <c r="JZ154" i="1"/>
  <c r="JZ151" i="1"/>
  <c r="JZ147" i="1"/>
  <c r="JZ152" i="1"/>
  <c r="JZ157" i="1"/>
  <c r="JZ155" i="1"/>
  <c r="JZ149" i="1"/>
  <c r="JZ145" i="1"/>
  <c r="JZ179" i="1"/>
  <c r="JZ168" i="1"/>
  <c r="JZ162" i="1"/>
  <c r="JZ184" i="1"/>
  <c r="JZ167" i="1"/>
  <c r="JZ201" i="1"/>
  <c r="JZ160" i="1"/>
  <c r="JZ180" i="1"/>
  <c r="JZ150" i="1"/>
  <c r="JZ202" i="1"/>
  <c r="JZ169" i="1"/>
  <c r="JZ177" i="1"/>
  <c r="JZ174" i="1"/>
  <c r="JZ158" i="1"/>
  <c r="JZ135" i="1"/>
  <c r="JZ131" i="1"/>
  <c r="JZ127" i="1"/>
  <c r="JZ159" i="1"/>
  <c r="JZ144" i="1"/>
  <c r="JZ142" i="1"/>
  <c r="JZ161" i="1"/>
  <c r="JZ148" i="1"/>
  <c r="JZ136" i="1"/>
  <c r="JZ129" i="1"/>
  <c r="JZ124" i="1"/>
  <c r="JZ120" i="1"/>
  <c r="JZ116" i="1"/>
  <c r="JZ112" i="1"/>
  <c r="JZ108" i="1"/>
  <c r="JZ104" i="1"/>
  <c r="JZ100" i="1"/>
  <c r="JZ146" i="1"/>
  <c r="JZ138" i="1"/>
  <c r="JZ137" i="1"/>
  <c r="JZ134" i="1"/>
  <c r="JZ141" i="1"/>
  <c r="JZ125" i="1"/>
  <c r="JZ121" i="1"/>
  <c r="JZ117" i="1"/>
  <c r="JZ113" i="1"/>
  <c r="JZ109" i="1"/>
  <c r="JZ105" i="1"/>
  <c r="JZ153" i="1"/>
  <c r="JZ139" i="1"/>
  <c r="JZ130" i="1"/>
  <c r="JZ128" i="1"/>
  <c r="JZ122" i="1"/>
  <c r="JZ118" i="1"/>
  <c r="JZ114" i="1"/>
  <c r="JZ110" i="1"/>
  <c r="JZ106" i="1"/>
  <c r="JZ102" i="1"/>
  <c r="JZ98" i="1"/>
  <c r="JZ97" i="1"/>
  <c r="JZ96" i="1"/>
  <c r="JZ95" i="1"/>
  <c r="JZ94" i="1"/>
  <c r="JZ93" i="1"/>
  <c r="JZ92" i="1"/>
  <c r="JZ91" i="1"/>
  <c r="JZ140" i="1"/>
  <c r="JZ123" i="1"/>
  <c r="JZ119" i="1"/>
  <c r="JZ115" i="1"/>
  <c r="JZ132" i="1"/>
  <c r="JZ126" i="1"/>
  <c r="JZ89" i="1"/>
  <c r="JZ83" i="1"/>
  <c r="JZ80" i="1"/>
  <c r="JZ143" i="1"/>
  <c r="JZ133" i="1"/>
  <c r="JZ90" i="1"/>
  <c r="JZ103" i="1"/>
  <c r="JZ175" i="1"/>
  <c r="JZ101" i="1"/>
  <c r="JZ111" i="1"/>
  <c r="JZ88" i="1"/>
  <c r="JZ76" i="1"/>
  <c r="JZ67" i="1"/>
  <c r="JZ99" i="1"/>
  <c r="JZ77" i="1"/>
  <c r="JZ72" i="1"/>
  <c r="JZ68" i="1"/>
  <c r="JZ73" i="1"/>
  <c r="JZ4" i="1"/>
  <c r="BP5" i="1"/>
  <c r="JZ5" i="1"/>
  <c r="JZ11" i="1"/>
  <c r="JZ23" i="1"/>
  <c r="JZ31" i="1"/>
  <c r="JY42" i="1"/>
  <c r="JZ61" i="1"/>
  <c r="KF75" i="1"/>
  <c r="JB65" i="1"/>
  <c r="JA188" i="1"/>
  <c r="JA186" i="1"/>
  <c r="JA199" i="1"/>
  <c r="JA184" i="1"/>
  <c r="JA191" i="1"/>
  <c r="JA180" i="1"/>
  <c r="JA198" i="1"/>
  <c r="JA189" i="1"/>
  <c r="JA173" i="1"/>
  <c r="JA204" i="1"/>
  <c r="JA185" i="1"/>
  <c r="JA177" i="1"/>
  <c r="JA193" i="1"/>
  <c r="JA171" i="1"/>
  <c r="JA178" i="1"/>
  <c r="JA159" i="1"/>
  <c r="JA152" i="1"/>
  <c r="JA148" i="1"/>
  <c r="JA197" i="1"/>
  <c r="JA153" i="1"/>
  <c r="JA149" i="1"/>
  <c r="JA181" i="1"/>
  <c r="JA163" i="1"/>
  <c r="JA160" i="1"/>
  <c r="JA150" i="1"/>
  <c r="JA146" i="1"/>
  <c r="JA187" i="1"/>
  <c r="JA183" i="1"/>
  <c r="JA145" i="1"/>
  <c r="JA168" i="1"/>
  <c r="JA130" i="1"/>
  <c r="JA200" i="1"/>
  <c r="JA132" i="1"/>
  <c r="JA128" i="1"/>
  <c r="JA141" i="1"/>
  <c r="JA137" i="1"/>
  <c r="JA136" i="1"/>
  <c r="JA135" i="1"/>
  <c r="JA126" i="1"/>
  <c r="JA161" i="1"/>
  <c r="JA154" i="1"/>
  <c r="JA158" i="1"/>
  <c r="JA156" i="1"/>
  <c r="JA139" i="1"/>
  <c r="JA134" i="1"/>
  <c r="JA144" i="1"/>
  <c r="JA113" i="1"/>
  <c r="JA98" i="1"/>
  <c r="JA142" i="1"/>
  <c r="JA140" i="1"/>
  <c r="JA104" i="1"/>
  <c r="JA90" i="1"/>
  <c r="JA111" i="1"/>
  <c r="JA127" i="1"/>
  <c r="JA101" i="1"/>
  <c r="JA69" i="1"/>
  <c r="JA115" i="1"/>
  <c r="JA89" i="1"/>
  <c r="JA120" i="1"/>
  <c r="JA103" i="1"/>
  <c r="JA92" i="1"/>
  <c r="KB205" i="1"/>
  <c r="KB202" i="1"/>
  <c r="KB204" i="1"/>
  <c r="KB200" i="1"/>
  <c r="KB196" i="1"/>
  <c r="KB188" i="1"/>
  <c r="KB184" i="1"/>
  <c r="KB180" i="1"/>
  <c r="KB201" i="1"/>
  <c r="KB194" i="1"/>
  <c r="KB189" i="1"/>
  <c r="KB203" i="1"/>
  <c r="KB176" i="1"/>
  <c r="KB193" i="1"/>
  <c r="KB165" i="1"/>
  <c r="KB164" i="1"/>
  <c r="KB163" i="1"/>
  <c r="KB181" i="1"/>
  <c r="KB179" i="1"/>
  <c r="KB173" i="1"/>
  <c r="KB172" i="1"/>
  <c r="KB170" i="1"/>
  <c r="KB182" i="1"/>
  <c r="KB171" i="1"/>
  <c r="KB152" i="1"/>
  <c r="KB169" i="1"/>
  <c r="KB162" i="1"/>
  <c r="KB178" i="1"/>
  <c r="KB157" i="1"/>
  <c r="KB154" i="1"/>
  <c r="KB174" i="1"/>
  <c r="KB141" i="1"/>
  <c r="KB137" i="1"/>
  <c r="KB191" i="1"/>
  <c r="KB159" i="1"/>
  <c r="KB155" i="1"/>
  <c r="KB149" i="1"/>
  <c r="KB156" i="1"/>
  <c r="KB144" i="1"/>
  <c r="KB132" i="1"/>
  <c r="KB168" i="1"/>
  <c r="KB136" i="1"/>
  <c r="KB146" i="1"/>
  <c r="KB197" i="1"/>
  <c r="KB158" i="1"/>
  <c r="KB151" i="1"/>
  <c r="KB134" i="1"/>
  <c r="KB127" i="1"/>
  <c r="KB147" i="1"/>
  <c r="KB138" i="1"/>
  <c r="KB125" i="1"/>
  <c r="KB143" i="1"/>
  <c r="KB133" i="1"/>
  <c r="KB126" i="1"/>
  <c r="KB119" i="1"/>
  <c r="KB109" i="1"/>
  <c r="KB118" i="1"/>
  <c r="KB110" i="1"/>
  <c r="KB145" i="1"/>
  <c r="KB139" i="1"/>
  <c r="KB128" i="1"/>
  <c r="KB114" i="1"/>
  <c r="KB102" i="1"/>
  <c r="KB117" i="1"/>
  <c r="KB111" i="1"/>
  <c r="KB101" i="1"/>
  <c r="KB99" i="1"/>
  <c r="KB129" i="1"/>
  <c r="KB116" i="1"/>
  <c r="KB106" i="1"/>
  <c r="KB135" i="1"/>
  <c r="KB131" i="1"/>
  <c r="KB124" i="1"/>
  <c r="KB120" i="1"/>
  <c r="KB113" i="1"/>
  <c r="KB108" i="1"/>
  <c r="KB122" i="1"/>
  <c r="KB115" i="1"/>
  <c r="KB130" i="1"/>
  <c r="KB112" i="1"/>
  <c r="KB121" i="1"/>
  <c r="KB123" i="1"/>
  <c r="JA3" i="1"/>
  <c r="KB3" i="1"/>
  <c r="KB4" i="1"/>
  <c r="KB6" i="1"/>
  <c r="BP31" i="1"/>
  <c r="JZ49" i="1"/>
  <c r="JZ64" i="1"/>
  <c r="JB71" i="1"/>
  <c r="KF76" i="1"/>
  <c r="KF77" i="1"/>
  <c r="KB93" i="1"/>
  <c r="JB203" i="1"/>
  <c r="JB199" i="1"/>
  <c r="JB205" i="1"/>
  <c r="JB201" i="1"/>
  <c r="JB197" i="1"/>
  <c r="JB193" i="1"/>
  <c r="JB189" i="1"/>
  <c r="JB185" i="1"/>
  <c r="JB181" i="1"/>
  <c r="JB176" i="1"/>
  <c r="JB175" i="1"/>
  <c r="JB195" i="1"/>
  <c r="JB177" i="1"/>
  <c r="JB186" i="1"/>
  <c r="JB168" i="1"/>
  <c r="JB188" i="1"/>
  <c r="JB187" i="1"/>
  <c r="JB202" i="1"/>
  <c r="JB178" i="1"/>
  <c r="JB198" i="1"/>
  <c r="JB184" i="1"/>
  <c r="JB180" i="1"/>
  <c r="JB161" i="1"/>
  <c r="JB157" i="1"/>
  <c r="JB155" i="1"/>
  <c r="JB171" i="1"/>
  <c r="JB166" i="1"/>
  <c r="JB165" i="1"/>
  <c r="JB196" i="1"/>
  <c r="JB167" i="1"/>
  <c r="JB164" i="1"/>
  <c r="JB162" i="1"/>
  <c r="JB160" i="1"/>
  <c r="JB191" i="1"/>
  <c r="JB170" i="1"/>
  <c r="JB154" i="1"/>
  <c r="JB169" i="1"/>
  <c r="JB148" i="1"/>
  <c r="JB147" i="1"/>
  <c r="JB142" i="1"/>
  <c r="JB138" i="1"/>
  <c r="JB133" i="1"/>
  <c r="JB141" i="1"/>
  <c r="JB130" i="1"/>
  <c r="JB159" i="1"/>
  <c r="JB137" i="1"/>
  <c r="JB136" i="1"/>
  <c r="JB135" i="1"/>
  <c r="JB126" i="1"/>
  <c r="JB143" i="1"/>
  <c r="JB145" i="1"/>
  <c r="JB194" i="1"/>
  <c r="JB131" i="1"/>
  <c r="JB129" i="1"/>
  <c r="JB151" i="1"/>
  <c r="JB150" i="1"/>
  <c r="JB127" i="1"/>
  <c r="JB140" i="1"/>
  <c r="JB144" i="1"/>
  <c r="JB109" i="1"/>
  <c r="JB122" i="1"/>
  <c r="JB114" i="1"/>
  <c r="JB110" i="1"/>
  <c r="JB104" i="1"/>
  <c r="JB96" i="1"/>
  <c r="JB125" i="1"/>
  <c r="JB121" i="1"/>
  <c r="JB111" i="1"/>
  <c r="JB103" i="1"/>
  <c r="JB92" i="1"/>
  <c r="JB90" i="1"/>
  <c r="JB134" i="1"/>
  <c r="JB118" i="1"/>
  <c r="JB113" i="1"/>
  <c r="JB94" i="1"/>
  <c r="JB52" i="1"/>
  <c r="BO31" i="1"/>
  <c r="JA31" i="1" s="1"/>
  <c r="JB31" i="1"/>
  <c r="JB97" i="1"/>
  <c r="JB93" i="1"/>
  <c r="JB119" i="1"/>
  <c r="JB101" i="1"/>
  <c r="JB80" i="1"/>
  <c r="JB73" i="1"/>
  <c r="JB69" i="1"/>
  <c r="JB115" i="1"/>
  <c r="JB106" i="1"/>
  <c r="JB102" i="1"/>
  <c r="JB89" i="1"/>
  <c r="JB78" i="1"/>
  <c r="JB75" i="1"/>
  <c r="KC172" i="1"/>
  <c r="KC130" i="1"/>
  <c r="KC135" i="1"/>
  <c r="KC116" i="1"/>
  <c r="BO5" i="1"/>
  <c r="JB6" i="1"/>
  <c r="JZ10" i="1"/>
  <c r="JZ52" i="1"/>
  <c r="JB54" i="1"/>
  <c r="JY55" i="1"/>
  <c r="KF56" i="1"/>
  <c r="KF71" i="1"/>
  <c r="JB76" i="1"/>
  <c r="JD148" i="1"/>
  <c r="JD105" i="1"/>
  <c r="KD203" i="1"/>
  <c r="KD200" i="1"/>
  <c r="KD187" i="1"/>
  <c r="KD185" i="1"/>
  <c r="KD205" i="1"/>
  <c r="KD204" i="1"/>
  <c r="KD173" i="1"/>
  <c r="KD193" i="1"/>
  <c r="KD178" i="1"/>
  <c r="KD171" i="1"/>
  <c r="KD198" i="1"/>
  <c r="KD182" i="1"/>
  <c r="KD170" i="1"/>
  <c r="KD176" i="1"/>
  <c r="KD184" i="1"/>
  <c r="KD168" i="1"/>
  <c r="KD163" i="1"/>
  <c r="KD152" i="1"/>
  <c r="KD148" i="1"/>
  <c r="KD162" i="1"/>
  <c r="KD159" i="1"/>
  <c r="KD157" i="1"/>
  <c r="KD155" i="1"/>
  <c r="KD149" i="1"/>
  <c r="KD194" i="1"/>
  <c r="KD154" i="1"/>
  <c r="KD164" i="1"/>
  <c r="KD166" i="1"/>
  <c r="KD158" i="1"/>
  <c r="KD151" i="1"/>
  <c r="KD161" i="1"/>
  <c r="KD140" i="1"/>
  <c r="KD138" i="1"/>
  <c r="KD136" i="1"/>
  <c r="KD143" i="1"/>
  <c r="KD153" i="1"/>
  <c r="KD141" i="1"/>
  <c r="KD174" i="1"/>
  <c r="KD156" i="1"/>
  <c r="KD125" i="1"/>
  <c r="KD121" i="1"/>
  <c r="KD117" i="1"/>
  <c r="KD114" i="1"/>
  <c r="KD106" i="1"/>
  <c r="KD96" i="1"/>
  <c r="KD95" i="1"/>
  <c r="KD94" i="1"/>
  <c r="KD128" i="1"/>
  <c r="KD126" i="1"/>
  <c r="KD132" i="1"/>
  <c r="KD123" i="1"/>
  <c r="KD119" i="1"/>
  <c r="KD115" i="1"/>
  <c r="KD169" i="1"/>
  <c r="KD144" i="1"/>
  <c r="KD134" i="1"/>
  <c r="KD127" i="1"/>
  <c r="KD109" i="1"/>
  <c r="KD111" i="1"/>
  <c r="KD120" i="1"/>
  <c r="KD113" i="1"/>
  <c r="KD131" i="1"/>
  <c r="KD142" i="1"/>
  <c r="KD135" i="1"/>
  <c r="JD4" i="1"/>
  <c r="JZ78" i="1"/>
  <c r="JY8" i="1"/>
  <c r="JB16" i="1"/>
  <c r="JA37" i="1"/>
  <c r="JB59" i="1"/>
  <c r="JZ60" i="1"/>
  <c r="JB61" i="1"/>
  <c r="KF62" i="1"/>
  <c r="JZ65" i="1"/>
  <c r="KF202" i="1"/>
  <c r="KF198" i="1"/>
  <c r="KF194" i="1"/>
  <c r="KF181" i="1"/>
  <c r="KF179" i="1"/>
  <c r="KF192" i="1"/>
  <c r="KF188" i="1"/>
  <c r="KF186" i="1"/>
  <c r="KF199" i="1"/>
  <c r="KF178" i="1"/>
  <c r="KF173" i="1"/>
  <c r="KF171" i="1"/>
  <c r="KF196" i="1"/>
  <c r="KF191" i="1"/>
  <c r="KF182" i="1"/>
  <c r="KF168" i="1"/>
  <c r="KF183" i="1"/>
  <c r="KF177" i="1"/>
  <c r="KF201" i="1"/>
  <c r="KF195" i="1"/>
  <c r="KF161" i="1"/>
  <c r="KF174" i="1"/>
  <c r="KF159" i="1"/>
  <c r="KF155" i="1"/>
  <c r="KF153" i="1"/>
  <c r="KF157" i="1"/>
  <c r="KF164" i="1"/>
  <c r="KF166" i="1"/>
  <c r="KF158" i="1"/>
  <c r="KF203" i="1"/>
  <c r="KF197" i="1"/>
  <c r="KF189" i="1"/>
  <c r="KF160" i="1"/>
  <c r="KF133" i="1"/>
  <c r="KF129" i="1"/>
  <c r="KF190" i="1"/>
  <c r="KF150" i="1"/>
  <c r="KF163" i="1"/>
  <c r="KF154" i="1"/>
  <c r="KF146" i="1"/>
  <c r="KF165" i="1"/>
  <c r="KF138" i="1"/>
  <c r="KF141" i="1"/>
  <c r="KF130" i="1"/>
  <c r="KF122" i="1"/>
  <c r="KF118" i="1"/>
  <c r="KF114" i="1"/>
  <c r="KF110" i="1"/>
  <c r="KF106" i="1"/>
  <c r="KF102" i="1"/>
  <c r="KF97" i="1"/>
  <c r="KF96" i="1"/>
  <c r="KF95" i="1"/>
  <c r="KF94" i="1"/>
  <c r="KF93" i="1"/>
  <c r="KF92" i="1"/>
  <c r="KF139" i="1"/>
  <c r="KF172" i="1"/>
  <c r="KF132" i="1"/>
  <c r="KF123" i="1"/>
  <c r="KF119" i="1"/>
  <c r="KF115" i="1"/>
  <c r="KF111" i="1"/>
  <c r="KF140" i="1"/>
  <c r="KF135" i="1"/>
  <c r="KF131" i="1"/>
  <c r="KF124" i="1"/>
  <c r="KF120" i="1"/>
  <c r="KF116" i="1"/>
  <c r="KF112" i="1"/>
  <c r="KF104" i="1"/>
  <c r="KF100" i="1"/>
  <c r="KF127" i="1"/>
  <c r="KF105" i="1"/>
  <c r="KF134" i="1"/>
  <c r="KF137" i="1"/>
  <c r="KF147" i="1"/>
  <c r="KF109" i="1"/>
  <c r="KF149" i="1"/>
  <c r="KF103" i="1"/>
  <c r="KF17" i="1"/>
  <c r="KF16" i="1"/>
  <c r="KF12" i="1"/>
  <c r="KF11" i="1"/>
  <c r="KF10" i="1"/>
  <c r="KF144" i="1"/>
  <c r="KF99" i="1"/>
  <c r="KF82" i="1"/>
  <c r="KF79" i="1"/>
  <c r="BP8" i="1"/>
  <c r="JZ30" i="1"/>
  <c r="JZ35" i="1"/>
  <c r="JB37" i="1"/>
  <c r="JY43" i="1"/>
  <c r="JA44" i="1"/>
  <c r="KF44" i="1"/>
  <c r="KF49" i="1"/>
  <c r="JB62" i="1"/>
  <c r="JA67" i="1"/>
  <c r="KF72" i="1"/>
  <c r="JB82" i="1"/>
  <c r="JB99" i="1"/>
  <c r="KD124" i="1"/>
  <c r="GV133" i="1"/>
  <c r="HW119" i="1"/>
  <c r="HV135" i="1"/>
  <c r="HV123" i="1"/>
  <c r="HT116" i="1"/>
  <c r="GZ117" i="1"/>
  <c r="HW135" i="1"/>
  <c r="IA133" i="1"/>
  <c r="HW123" i="1"/>
  <c r="HV119" i="1"/>
  <c r="GP116" i="1"/>
  <c r="GV96" i="1"/>
  <c r="IA136" i="1"/>
  <c r="HU135" i="1"/>
  <c r="HV133" i="1"/>
  <c r="HV131" i="1"/>
  <c r="HV140" i="1"/>
  <c r="IA138" i="1"/>
  <c r="HQ136" i="1"/>
  <c r="HU133" i="1"/>
  <c r="GZ132" i="1"/>
  <c r="HV109" i="1"/>
  <c r="HZ138" i="1"/>
  <c r="HV120" i="1"/>
  <c r="IA118" i="1"/>
  <c r="HV138" i="1"/>
  <c r="HV134" i="1"/>
  <c r="GS131" i="1"/>
  <c r="GZ118" i="1"/>
  <c r="GZ124" i="1"/>
  <c r="IA132" i="1"/>
  <c r="HZ114" i="1"/>
  <c r="GZ136" i="1"/>
  <c r="GR134" i="1"/>
  <c r="IA122" i="1"/>
  <c r="HU114" i="1"/>
  <c r="GZ133" i="1"/>
  <c r="HX132" i="1"/>
  <c r="IA95" i="1"/>
  <c r="GW114" i="1"/>
  <c r="GS127" i="1"/>
  <c r="GP102" i="1"/>
  <c r="GP110" i="1"/>
  <c r="GP101" i="1"/>
  <c r="GP111" i="1"/>
  <c r="GP112" i="1"/>
  <c r="GP122" i="1"/>
  <c r="GP124" i="1"/>
  <c r="GP106" i="1"/>
  <c r="GP114" i="1"/>
  <c r="GP119" i="1"/>
  <c r="GP123" i="1"/>
  <c r="GP125" i="1"/>
  <c r="GP99" i="1"/>
  <c r="GP120" i="1"/>
  <c r="GP127" i="1"/>
  <c r="GP129" i="1"/>
  <c r="GP108" i="1"/>
  <c r="GP113" i="1"/>
  <c r="GP93" i="1"/>
  <c r="GP121" i="1"/>
  <c r="GP117" i="1"/>
  <c r="GP118" i="1"/>
  <c r="GP126" i="1"/>
  <c r="GP132" i="1"/>
  <c r="GP115" i="1"/>
  <c r="GP133" i="1"/>
  <c r="GP135" i="1"/>
  <c r="GP109" i="1"/>
  <c r="GP131" i="1"/>
  <c r="GP134" i="1"/>
  <c r="GP128" i="1"/>
  <c r="GP138" i="1"/>
  <c r="HC134" i="1"/>
  <c r="HQ84" i="1"/>
  <c r="HQ44" i="1"/>
  <c r="HQ49" i="1"/>
  <c r="HQ50" i="1"/>
  <c r="HQ52" i="1"/>
  <c r="HQ59" i="1"/>
  <c r="HQ54" i="1"/>
  <c r="HQ55" i="1"/>
  <c r="HQ56" i="1"/>
  <c r="HQ45" i="1"/>
  <c r="HQ60" i="1"/>
  <c r="HQ51" i="1"/>
  <c r="HQ53" i="1"/>
  <c r="HQ67" i="1"/>
  <c r="HQ68" i="1"/>
  <c r="HQ70" i="1"/>
  <c r="HQ58" i="1"/>
  <c r="HQ64" i="1"/>
  <c r="HQ71" i="1"/>
  <c r="HQ75" i="1"/>
  <c r="HQ61" i="1"/>
  <c r="HQ66" i="1"/>
  <c r="HQ69" i="1"/>
  <c r="HQ65" i="1"/>
  <c r="HQ72" i="1"/>
  <c r="HQ76" i="1"/>
  <c r="HQ73" i="1"/>
  <c r="HQ78" i="1"/>
  <c r="HQ80" i="1"/>
  <c r="HQ81" i="1"/>
  <c r="HQ83" i="1"/>
  <c r="HQ62" i="1"/>
  <c r="HQ77" i="1"/>
  <c r="HQ79" i="1"/>
  <c r="HQ82" i="1"/>
  <c r="HQ90" i="1"/>
  <c r="HQ95" i="1"/>
  <c r="HQ100" i="1"/>
  <c r="HQ89" i="1"/>
  <c r="HQ92" i="1"/>
  <c r="HQ102" i="1"/>
  <c r="HQ105" i="1"/>
  <c r="HQ96" i="1"/>
  <c r="HQ97" i="1"/>
  <c r="HQ103" i="1"/>
  <c r="HQ110" i="1"/>
  <c r="HQ101" i="1"/>
  <c r="HQ98" i="1"/>
  <c r="HQ111" i="1"/>
  <c r="HQ91" i="1"/>
  <c r="HQ94" i="1"/>
  <c r="HQ104" i="1"/>
  <c r="HQ99" i="1"/>
  <c r="HQ122" i="1"/>
  <c r="HQ88" i="1"/>
  <c r="HQ108" i="1"/>
  <c r="HQ93" i="1"/>
  <c r="HQ124" i="1"/>
  <c r="HQ114" i="1"/>
  <c r="HQ119" i="1"/>
  <c r="HQ123" i="1"/>
  <c r="HQ125" i="1"/>
  <c r="HQ120" i="1"/>
  <c r="HQ127" i="1"/>
  <c r="HQ113" i="1"/>
  <c r="HQ121" i="1"/>
  <c r="HQ117" i="1"/>
  <c r="HQ118" i="1"/>
  <c r="HQ132" i="1"/>
  <c r="HQ112" i="1"/>
  <c r="HQ133" i="1"/>
  <c r="HQ135" i="1"/>
  <c r="HQ140" i="1"/>
  <c r="HQ109" i="1"/>
  <c r="HQ128" i="1"/>
  <c r="HQ131" i="1"/>
  <c r="HQ134" i="1"/>
  <c r="HQ116" i="1"/>
  <c r="HQ129" i="1"/>
  <c r="HQ138" i="1"/>
  <c r="HQ139" i="1"/>
  <c r="GS134" i="1"/>
  <c r="HQ130" i="1"/>
  <c r="GR112" i="1"/>
  <c r="IR137" i="1"/>
  <c r="HQ137" i="1"/>
  <c r="GP137" i="1"/>
  <c r="GW44" i="1"/>
  <c r="GW45" i="1"/>
  <c r="GW54" i="1"/>
  <c r="GW51" i="1"/>
  <c r="GW50" i="1"/>
  <c r="GW52" i="1"/>
  <c r="GW53" i="1"/>
  <c r="GW55" i="1"/>
  <c r="GW58" i="1"/>
  <c r="GW61" i="1"/>
  <c r="GW49" i="1"/>
  <c r="GW60" i="1"/>
  <c r="GW62" i="1"/>
  <c r="GW67" i="1"/>
  <c r="GW66" i="1"/>
  <c r="GW68" i="1"/>
  <c r="GW73" i="1"/>
  <c r="GW72" i="1"/>
  <c r="GW64" i="1"/>
  <c r="GW69" i="1"/>
  <c r="GW65" i="1"/>
  <c r="GW71" i="1"/>
  <c r="GW80" i="1"/>
  <c r="GW59" i="1"/>
  <c r="GW75" i="1"/>
  <c r="GW79" i="1"/>
  <c r="GW76" i="1"/>
  <c r="GW82" i="1"/>
  <c r="GW56" i="1"/>
  <c r="GW78" i="1"/>
  <c r="GW77" i="1"/>
  <c r="GW70" i="1"/>
  <c r="GW83" i="1"/>
  <c r="GW91" i="1"/>
  <c r="GW94" i="1"/>
  <c r="GW104" i="1"/>
  <c r="GW93" i="1"/>
  <c r="GW106" i="1"/>
  <c r="GW109" i="1"/>
  <c r="GW99" i="1"/>
  <c r="GW108" i="1"/>
  <c r="GW88" i="1"/>
  <c r="GW90" i="1"/>
  <c r="GW95" i="1"/>
  <c r="GW100" i="1"/>
  <c r="GW101" i="1"/>
  <c r="GW105" i="1"/>
  <c r="GW121" i="1"/>
  <c r="GW110" i="1"/>
  <c r="GW112" i="1"/>
  <c r="GW116" i="1"/>
  <c r="GW128" i="1"/>
  <c r="GW92" i="1"/>
  <c r="GW98" i="1"/>
  <c r="GW126" i="1"/>
  <c r="GW117" i="1"/>
  <c r="GW118" i="1"/>
  <c r="GW115" i="1"/>
  <c r="GW89" i="1"/>
  <c r="GW111" i="1"/>
  <c r="GW122" i="1"/>
  <c r="GW120" i="1"/>
  <c r="GW127" i="1"/>
  <c r="GW129" i="1"/>
  <c r="GW123" i="1"/>
  <c r="GW131" i="1"/>
  <c r="GW134" i="1"/>
  <c r="GW137" i="1"/>
  <c r="GW130" i="1"/>
  <c r="GW139" i="1"/>
  <c r="GW136" i="1"/>
  <c r="GW113" i="1"/>
  <c r="GW138" i="1"/>
  <c r="GW124" i="1"/>
  <c r="GW132" i="1"/>
  <c r="GW125" i="1"/>
  <c r="GW140" i="1"/>
  <c r="GW81" i="1"/>
  <c r="GW119" i="1"/>
  <c r="HW44" i="1"/>
  <c r="HW45" i="1"/>
  <c r="HW50" i="1"/>
  <c r="HW61" i="1"/>
  <c r="HW81" i="1"/>
  <c r="HW104" i="1"/>
  <c r="HW90" i="1"/>
  <c r="HW101" i="1"/>
  <c r="HW121" i="1"/>
  <c r="HW112" i="1"/>
  <c r="HW89" i="1"/>
  <c r="HW116" i="1"/>
  <c r="HW128" i="1"/>
  <c r="HW102" i="1"/>
  <c r="HW126" i="1"/>
  <c r="HW110" i="1"/>
  <c r="HW117" i="1"/>
  <c r="HW118" i="1"/>
  <c r="HW115" i="1"/>
  <c r="HW122" i="1"/>
  <c r="HW131" i="1"/>
  <c r="HW124" i="1"/>
  <c r="HW130" i="1"/>
  <c r="HW139" i="1"/>
  <c r="HW111" i="1"/>
  <c r="HW136" i="1"/>
  <c r="HW138" i="1"/>
  <c r="HW92" i="1"/>
  <c r="HW114" i="1"/>
  <c r="HW125" i="1"/>
  <c r="HW132" i="1"/>
  <c r="HW103" i="1"/>
  <c r="HW140" i="1"/>
  <c r="GS140" i="1"/>
  <c r="HT131" i="1"/>
  <c r="HQ126" i="1"/>
  <c r="GS120" i="1"/>
  <c r="GW102" i="1"/>
  <c r="GQ111" i="1"/>
  <c r="GQ112" i="1"/>
  <c r="GQ115" i="1"/>
  <c r="GQ122" i="1"/>
  <c r="GQ124" i="1"/>
  <c r="GQ114" i="1"/>
  <c r="GQ119" i="1"/>
  <c r="GQ123" i="1"/>
  <c r="GQ125" i="1"/>
  <c r="GQ120" i="1"/>
  <c r="GQ127" i="1"/>
  <c r="GQ113" i="1"/>
  <c r="GQ126" i="1"/>
  <c r="GQ132" i="1"/>
  <c r="GQ121" i="1"/>
  <c r="GQ133" i="1"/>
  <c r="GQ135" i="1"/>
  <c r="GQ140" i="1"/>
  <c r="GQ116" i="1"/>
  <c r="GQ118" i="1"/>
  <c r="GQ129" i="1"/>
  <c r="GQ128" i="1"/>
  <c r="GQ138" i="1"/>
  <c r="GR55" i="1"/>
  <c r="GR58" i="1"/>
  <c r="GR95" i="1"/>
  <c r="GR100" i="1"/>
  <c r="GR96" i="1"/>
  <c r="GR106" i="1"/>
  <c r="GR109" i="1"/>
  <c r="GR117" i="1"/>
  <c r="GR118" i="1"/>
  <c r="GR115" i="1"/>
  <c r="GR122" i="1"/>
  <c r="GR94" i="1"/>
  <c r="GR111" i="1"/>
  <c r="GR124" i="1"/>
  <c r="GR114" i="1"/>
  <c r="GR119" i="1"/>
  <c r="GR123" i="1"/>
  <c r="GR125" i="1"/>
  <c r="GR120" i="1"/>
  <c r="GR127" i="1"/>
  <c r="GR129" i="1"/>
  <c r="GR116" i="1"/>
  <c r="GR128" i="1"/>
  <c r="GR138" i="1"/>
  <c r="GR113" i="1"/>
  <c r="GR126" i="1"/>
  <c r="GR121" i="1"/>
  <c r="GR132" i="1"/>
  <c r="GR133" i="1"/>
  <c r="GR135" i="1"/>
  <c r="GR130" i="1"/>
  <c r="GR139" i="1"/>
  <c r="GR136" i="1"/>
  <c r="GS204" i="1"/>
  <c r="GS50" i="1"/>
  <c r="GS56" i="1"/>
  <c r="GS58" i="1"/>
  <c r="GS44" i="1"/>
  <c r="GS55" i="1"/>
  <c r="GS61" i="1"/>
  <c r="GS67" i="1"/>
  <c r="GS45" i="1"/>
  <c r="GS69" i="1"/>
  <c r="GS81" i="1"/>
  <c r="GS90" i="1"/>
  <c r="GS89" i="1"/>
  <c r="GS92" i="1"/>
  <c r="GS102" i="1"/>
  <c r="GS105" i="1"/>
  <c r="GS97" i="1"/>
  <c r="GS103" i="1"/>
  <c r="GS110" i="1"/>
  <c r="GS112" i="1"/>
  <c r="GS126" i="1"/>
  <c r="GS98" i="1"/>
  <c r="GS117" i="1"/>
  <c r="GS118" i="1"/>
  <c r="GS115" i="1"/>
  <c r="GS122" i="1"/>
  <c r="GS111" i="1"/>
  <c r="GS124" i="1"/>
  <c r="GS104" i="1"/>
  <c r="GS114" i="1"/>
  <c r="GS119" i="1"/>
  <c r="GS123" i="1"/>
  <c r="GS125" i="1"/>
  <c r="GS128" i="1"/>
  <c r="GS136" i="1"/>
  <c r="GS138" i="1"/>
  <c r="GS132" i="1"/>
  <c r="GS113" i="1"/>
  <c r="GS91" i="1"/>
  <c r="GS121" i="1"/>
  <c r="GS135" i="1"/>
  <c r="GS133" i="1"/>
  <c r="GS137" i="1"/>
  <c r="GS116" i="1"/>
  <c r="GS129" i="1"/>
  <c r="GS130" i="1"/>
  <c r="GS139" i="1"/>
  <c r="HT134" i="1"/>
  <c r="GQ131" i="1"/>
  <c r="GR140" i="1"/>
  <c r="GQ130" i="1"/>
  <c r="GQ117" i="1"/>
  <c r="GW103" i="1"/>
  <c r="CP65" i="1"/>
  <c r="CP83" i="1"/>
  <c r="IR56" i="1"/>
  <c r="IR61" i="1"/>
  <c r="IR62" i="1"/>
  <c r="IR52" i="1"/>
  <c r="IR50" i="1"/>
  <c r="IR55" i="1"/>
  <c r="IR68" i="1"/>
  <c r="IR58" i="1"/>
  <c r="IR65" i="1"/>
  <c r="IR79" i="1"/>
  <c r="IR73" i="1"/>
  <c r="IR72" i="1"/>
  <c r="IR69" i="1"/>
  <c r="IR80" i="1"/>
  <c r="IR82" i="1"/>
  <c r="IR100" i="1"/>
  <c r="IR92" i="1"/>
  <c r="IR102" i="1"/>
  <c r="IR105" i="1"/>
  <c r="IR97" i="1"/>
  <c r="IR101" i="1"/>
  <c r="IR111" i="1"/>
  <c r="IR110" i="1"/>
  <c r="IR114" i="1"/>
  <c r="IR119" i="1"/>
  <c r="IR123" i="1"/>
  <c r="IR94" i="1"/>
  <c r="IR126" i="1"/>
  <c r="IR117" i="1"/>
  <c r="IR133" i="1"/>
  <c r="IR118" i="1"/>
  <c r="IR93" i="1"/>
  <c r="IR135" i="1"/>
  <c r="IR112" i="1"/>
  <c r="IR109" i="1"/>
  <c r="IR138" i="1"/>
  <c r="GW133" i="1"/>
  <c r="GP130" i="1"/>
  <c r="HT99" i="1"/>
  <c r="HT108" i="1"/>
  <c r="HT102" i="1"/>
  <c r="HT110" i="1"/>
  <c r="HT126" i="1"/>
  <c r="HT106" i="1"/>
  <c r="HT117" i="1"/>
  <c r="HT118" i="1"/>
  <c r="HT115" i="1"/>
  <c r="HT122" i="1"/>
  <c r="HT93" i="1"/>
  <c r="HT101" i="1"/>
  <c r="HT124" i="1"/>
  <c r="HT111" i="1"/>
  <c r="HT114" i="1"/>
  <c r="HT119" i="1"/>
  <c r="HT123" i="1"/>
  <c r="HT125" i="1"/>
  <c r="HT112" i="1"/>
  <c r="HT121" i="1"/>
  <c r="HT129" i="1"/>
  <c r="HT136" i="1"/>
  <c r="HT138" i="1"/>
  <c r="HT127" i="1"/>
  <c r="HT132" i="1"/>
  <c r="HT120" i="1"/>
  <c r="HT135" i="1"/>
  <c r="HT133" i="1"/>
  <c r="HT113" i="1"/>
  <c r="HT137" i="1"/>
  <c r="HT130" i="1"/>
  <c r="ID136" i="1"/>
  <c r="GP136" i="1"/>
  <c r="GW135" i="1"/>
  <c r="HQ115" i="1"/>
  <c r="IR106" i="1"/>
  <c r="GR137" i="1"/>
  <c r="HT139" i="1"/>
  <c r="IR134" i="1"/>
  <c r="HT128" i="1"/>
  <c r="GZ102" i="1"/>
  <c r="CN108" i="1"/>
  <c r="CN110" i="1"/>
  <c r="GB51" i="1"/>
  <c r="GB72" i="1"/>
  <c r="GB80" i="1"/>
  <c r="GB75" i="1"/>
  <c r="GB91" i="1"/>
  <c r="GB104" i="1"/>
  <c r="GB108" i="1"/>
  <c r="GB93" i="1"/>
  <c r="HX135" i="1"/>
  <c r="GT134" i="1"/>
  <c r="HZ133" i="1"/>
  <c r="HU131" i="1"/>
  <c r="GT131" i="1"/>
  <c r="HZ122" i="1"/>
  <c r="HZ115" i="1"/>
  <c r="HX105" i="1"/>
  <c r="GZ139" i="1"/>
  <c r="HX138" i="1"/>
  <c r="CN137" i="1"/>
  <c r="HZ136" i="1"/>
  <c r="HV132" i="1"/>
  <c r="GV132" i="1"/>
  <c r="IA130" i="1"/>
  <c r="GZ130" i="1"/>
  <c r="HV127" i="1"/>
  <c r="GV124" i="1"/>
  <c r="GV121" i="1"/>
  <c r="HU120" i="1"/>
  <c r="IA117" i="1"/>
  <c r="IA90" i="1"/>
  <c r="GT44" i="1"/>
  <c r="GT54" i="1"/>
  <c r="GT51" i="1"/>
  <c r="GT50" i="1"/>
  <c r="GT52" i="1"/>
  <c r="GT53" i="1"/>
  <c r="GT49" i="1"/>
  <c r="GT58" i="1"/>
  <c r="GT45" i="1"/>
  <c r="GT61" i="1"/>
  <c r="GT55" i="1"/>
  <c r="GT59" i="1"/>
  <c r="GT68" i="1"/>
  <c r="GT62" i="1"/>
  <c r="GT66" i="1"/>
  <c r="GT56" i="1"/>
  <c r="GT60" i="1"/>
  <c r="GT72" i="1"/>
  <c r="GT69" i="1"/>
  <c r="GT65" i="1"/>
  <c r="GT75" i="1"/>
  <c r="GT76" i="1"/>
  <c r="GT77" i="1"/>
  <c r="GT71" i="1"/>
  <c r="GT79" i="1"/>
  <c r="GT70" i="1"/>
  <c r="GT82" i="1"/>
  <c r="GT78" i="1"/>
  <c r="GT73" i="1"/>
  <c r="GT80" i="1"/>
  <c r="GT93" i="1"/>
  <c r="GT106" i="1"/>
  <c r="GT109" i="1"/>
  <c r="GT99" i="1"/>
  <c r="GT90" i="1"/>
  <c r="GT95" i="1"/>
  <c r="GT100" i="1"/>
  <c r="GT89" i="1"/>
  <c r="GT92" i="1"/>
  <c r="GT102" i="1"/>
  <c r="GT105" i="1"/>
  <c r="GT91" i="1"/>
  <c r="GT94" i="1"/>
  <c r="GT104" i="1"/>
  <c r="GT110" i="1"/>
  <c r="GT116" i="1"/>
  <c r="GT128" i="1"/>
  <c r="GT112" i="1"/>
  <c r="GT126" i="1"/>
  <c r="GT117" i="1"/>
  <c r="GT118" i="1"/>
  <c r="GT115" i="1"/>
  <c r="GT122" i="1"/>
  <c r="GT111" i="1"/>
  <c r="GT96" i="1"/>
  <c r="GT124" i="1"/>
  <c r="GT121" i="1"/>
  <c r="HU196" i="1"/>
  <c r="HU116" i="1"/>
  <c r="HU128" i="1"/>
  <c r="HU126" i="1"/>
  <c r="HU117" i="1"/>
  <c r="HU118" i="1"/>
  <c r="HU115" i="1"/>
  <c r="HU122" i="1"/>
  <c r="HU124" i="1"/>
  <c r="HU121" i="1"/>
  <c r="GV49" i="1"/>
  <c r="GV54" i="1"/>
  <c r="GV51" i="1"/>
  <c r="GV50" i="1"/>
  <c r="GV52" i="1"/>
  <c r="GV53" i="1"/>
  <c r="GV55" i="1"/>
  <c r="GV56" i="1"/>
  <c r="GV62" i="1"/>
  <c r="GV58" i="1"/>
  <c r="GV64" i="1"/>
  <c r="GV61" i="1"/>
  <c r="GV67" i="1"/>
  <c r="GV66" i="1"/>
  <c r="GV73" i="1"/>
  <c r="GV75" i="1"/>
  <c r="GV79" i="1"/>
  <c r="GV70" i="1"/>
  <c r="GV71" i="1"/>
  <c r="GV76" i="1"/>
  <c r="GV82" i="1"/>
  <c r="GV78" i="1"/>
  <c r="GV80" i="1"/>
  <c r="GV83" i="1"/>
  <c r="GV81" i="1"/>
  <c r="GV93" i="1"/>
  <c r="GV106" i="1"/>
  <c r="GV99" i="1"/>
  <c r="GV108" i="1"/>
  <c r="GV88" i="1"/>
  <c r="GV90" i="1"/>
  <c r="GV111" i="1"/>
  <c r="GV116" i="1"/>
  <c r="GV128" i="1"/>
  <c r="GV92" i="1"/>
  <c r="GV126" i="1"/>
  <c r="GV117" i="1"/>
  <c r="GV118" i="1"/>
  <c r="GV115" i="1"/>
  <c r="GV94" i="1"/>
  <c r="GV122" i="1"/>
  <c r="GV102" i="1"/>
  <c r="GV91" i="1"/>
  <c r="GV97" i="1"/>
  <c r="GV101" i="1"/>
  <c r="GV103" i="1"/>
  <c r="GV113" i="1"/>
  <c r="HV55" i="1"/>
  <c r="HV58" i="1"/>
  <c r="HV106" i="1"/>
  <c r="HV95" i="1"/>
  <c r="HV100" i="1"/>
  <c r="HV111" i="1"/>
  <c r="HV112" i="1"/>
  <c r="HV94" i="1"/>
  <c r="HV116" i="1"/>
  <c r="HV128" i="1"/>
  <c r="HV126" i="1"/>
  <c r="HV96" i="1"/>
  <c r="HV117" i="1"/>
  <c r="HV118" i="1"/>
  <c r="HV115" i="1"/>
  <c r="HV122" i="1"/>
  <c r="HV113" i="1"/>
  <c r="IJ65" i="1"/>
  <c r="IJ79" i="1"/>
  <c r="HZ139" i="1"/>
  <c r="HX136" i="1"/>
  <c r="HU132" i="1"/>
  <c r="GT132" i="1"/>
  <c r="HZ130" i="1"/>
  <c r="HU127" i="1"/>
  <c r="HU125" i="1"/>
  <c r="IA124" i="1"/>
  <c r="HB122" i="1"/>
  <c r="GB116" i="1"/>
  <c r="HV114" i="1"/>
  <c r="HU112" i="1"/>
  <c r="HX111" i="1"/>
  <c r="HZ90" i="1"/>
  <c r="IA134" i="1"/>
  <c r="GZ134" i="1"/>
  <c r="GZ122" i="1"/>
  <c r="GZ115" i="1"/>
  <c r="GZ131" i="1"/>
  <c r="GJ123" i="1"/>
  <c r="HX205" i="1"/>
  <c r="HX49" i="1"/>
  <c r="HX45" i="1"/>
  <c r="HX44" i="1"/>
  <c r="HX54" i="1"/>
  <c r="HX51" i="1"/>
  <c r="HX50" i="1"/>
  <c r="HX52" i="1"/>
  <c r="HX58" i="1"/>
  <c r="HX59" i="1"/>
  <c r="HX62" i="1"/>
  <c r="HX55" i="1"/>
  <c r="HX56" i="1"/>
  <c r="HX61" i="1"/>
  <c r="HX53" i="1"/>
  <c r="HX60" i="1"/>
  <c r="HX69" i="1"/>
  <c r="HX66" i="1"/>
  <c r="HX72" i="1"/>
  <c r="HX73" i="1"/>
  <c r="HX68" i="1"/>
  <c r="HX65" i="1"/>
  <c r="HX80" i="1"/>
  <c r="HX70" i="1"/>
  <c r="HX77" i="1"/>
  <c r="HX75" i="1"/>
  <c r="HX76" i="1"/>
  <c r="HX79" i="1"/>
  <c r="HX82" i="1"/>
  <c r="HX78" i="1"/>
  <c r="HX71" i="1"/>
  <c r="HX91" i="1"/>
  <c r="HX94" i="1"/>
  <c r="HX104" i="1"/>
  <c r="HX93" i="1"/>
  <c r="HX106" i="1"/>
  <c r="HX109" i="1"/>
  <c r="HX99" i="1"/>
  <c r="HX96" i="1"/>
  <c r="HX97" i="1"/>
  <c r="HX103" i="1"/>
  <c r="HX110" i="1"/>
  <c r="HX92" i="1"/>
  <c r="HX113" i="1"/>
  <c r="HX121" i="1"/>
  <c r="HX112" i="1"/>
  <c r="HX89" i="1"/>
  <c r="HX116" i="1"/>
  <c r="HX128" i="1"/>
  <c r="HX102" i="1"/>
  <c r="HX126" i="1"/>
  <c r="HX95" i="1"/>
  <c r="HX117" i="1"/>
  <c r="HX118" i="1"/>
  <c r="HX90" i="1"/>
  <c r="HX115" i="1"/>
  <c r="HX114" i="1"/>
  <c r="HX119" i="1"/>
  <c r="HX123" i="1"/>
  <c r="HX125" i="1"/>
  <c r="HU138" i="1"/>
  <c r="GT138" i="1"/>
  <c r="HX137" i="1"/>
  <c r="HV136" i="1"/>
  <c r="HZ134" i="1"/>
  <c r="HV129" i="1"/>
  <c r="HU111" i="1"/>
  <c r="HZ45" i="1"/>
  <c r="HZ49" i="1"/>
  <c r="HZ44" i="1"/>
  <c r="HZ54" i="1"/>
  <c r="HZ51" i="1"/>
  <c r="HZ50" i="1"/>
  <c r="HZ58" i="1"/>
  <c r="HZ61" i="1"/>
  <c r="HZ55" i="1"/>
  <c r="HZ56" i="1"/>
  <c r="HZ53" i="1"/>
  <c r="HZ62" i="1"/>
  <c r="HZ59" i="1"/>
  <c r="HZ67" i="1"/>
  <c r="HZ60" i="1"/>
  <c r="HZ66" i="1"/>
  <c r="HZ72" i="1"/>
  <c r="HZ73" i="1"/>
  <c r="HZ68" i="1"/>
  <c r="HZ64" i="1"/>
  <c r="HZ78" i="1"/>
  <c r="HZ80" i="1"/>
  <c r="HZ70" i="1"/>
  <c r="HZ77" i="1"/>
  <c r="HZ65" i="1"/>
  <c r="HZ75" i="1"/>
  <c r="HZ82" i="1"/>
  <c r="HZ71" i="1"/>
  <c r="HZ79" i="1"/>
  <c r="HZ81" i="1"/>
  <c r="HZ69" i="1"/>
  <c r="HZ83" i="1"/>
  <c r="HZ76" i="1"/>
  <c r="HZ101" i="1"/>
  <c r="HZ98" i="1"/>
  <c r="HZ91" i="1"/>
  <c r="HZ94" i="1"/>
  <c r="HZ104" i="1"/>
  <c r="HZ93" i="1"/>
  <c r="HZ106" i="1"/>
  <c r="HZ109" i="1"/>
  <c r="HZ88" i="1"/>
  <c r="HZ99" i="1"/>
  <c r="HZ92" i="1"/>
  <c r="HZ102" i="1"/>
  <c r="HZ105" i="1"/>
  <c r="HZ100" i="1"/>
  <c r="HZ120" i="1"/>
  <c r="HZ127" i="1"/>
  <c r="HZ129" i="1"/>
  <c r="HZ113" i="1"/>
  <c r="HZ108" i="1"/>
  <c r="HZ121" i="1"/>
  <c r="HZ112" i="1"/>
  <c r="HZ89" i="1"/>
  <c r="HZ116" i="1"/>
  <c r="HZ128" i="1"/>
  <c r="HZ96" i="1"/>
  <c r="HZ110" i="1"/>
  <c r="HZ126" i="1"/>
  <c r="HZ95" i="1"/>
  <c r="HZ117" i="1"/>
  <c r="HZ118" i="1"/>
  <c r="HZ111" i="1"/>
  <c r="HZ124" i="1"/>
  <c r="HV139" i="1"/>
  <c r="GV139" i="1"/>
  <c r="GT136" i="1"/>
  <c r="HX134" i="1"/>
  <c r="HX131" i="1"/>
  <c r="HV130" i="1"/>
  <c r="GV130" i="1"/>
  <c r="HU129" i="1"/>
  <c r="GV129" i="1"/>
  <c r="HV124" i="1"/>
  <c r="HV121" i="1"/>
  <c r="GZ204" i="1"/>
  <c r="GZ101" i="1"/>
  <c r="GZ111" i="1"/>
  <c r="GZ114" i="1"/>
  <c r="GZ125" i="1"/>
  <c r="GZ120" i="1"/>
  <c r="GZ127" i="1"/>
  <c r="GZ113" i="1"/>
  <c r="GZ121" i="1"/>
  <c r="GZ110" i="1"/>
  <c r="GZ112" i="1"/>
  <c r="GZ116" i="1"/>
  <c r="GZ128" i="1"/>
  <c r="GZ126" i="1"/>
  <c r="IA202" i="1"/>
  <c r="IA45" i="1"/>
  <c r="IA44" i="1"/>
  <c r="IA54" i="1"/>
  <c r="IA49" i="1"/>
  <c r="IA62" i="1"/>
  <c r="IA51" i="1"/>
  <c r="IA61" i="1"/>
  <c r="IA69" i="1"/>
  <c r="IA67" i="1"/>
  <c r="IA72" i="1"/>
  <c r="IA73" i="1"/>
  <c r="IA60" i="1"/>
  <c r="IA68" i="1"/>
  <c r="IA52" i="1"/>
  <c r="IA64" i="1"/>
  <c r="IA78" i="1"/>
  <c r="IA80" i="1"/>
  <c r="IA70" i="1"/>
  <c r="IA77" i="1"/>
  <c r="IA65" i="1"/>
  <c r="IA81" i="1"/>
  <c r="IA96" i="1"/>
  <c r="IA97" i="1"/>
  <c r="IA103" i="1"/>
  <c r="IA101" i="1"/>
  <c r="IA98" i="1"/>
  <c r="IA111" i="1"/>
  <c r="IA91" i="1"/>
  <c r="IA94" i="1"/>
  <c r="IA104" i="1"/>
  <c r="IA93" i="1"/>
  <c r="IA106" i="1"/>
  <c r="IA109" i="1"/>
  <c r="IA88" i="1"/>
  <c r="IA99" i="1"/>
  <c r="IA89" i="1"/>
  <c r="IA92" i="1"/>
  <c r="IA127" i="1"/>
  <c r="IA113" i="1"/>
  <c r="IA108" i="1"/>
  <c r="IA121" i="1"/>
  <c r="IA112" i="1"/>
  <c r="IA79" i="1"/>
  <c r="IA102" i="1"/>
  <c r="IA116" i="1"/>
  <c r="IA128" i="1"/>
  <c r="IA110" i="1"/>
  <c r="IA126" i="1"/>
  <c r="IA105" i="1"/>
  <c r="HZ140" i="1"/>
  <c r="GT139" i="1"/>
  <c r="HV137" i="1"/>
  <c r="HU130" i="1"/>
  <c r="GT130" i="1"/>
  <c r="GT129" i="1"/>
  <c r="GZ108" i="1"/>
  <c r="GV77" i="1"/>
  <c r="HZ205" i="1"/>
  <c r="HZ84" i="1"/>
  <c r="IA84" i="1"/>
  <c r="GP203" i="1"/>
  <c r="GR204" i="1"/>
  <c r="GR205" i="1"/>
  <c r="GR203" i="1"/>
  <c r="GT198" i="1"/>
  <c r="GW6" i="1"/>
  <c r="GW143" i="1"/>
  <c r="GW142" i="1"/>
  <c r="GW147" i="1"/>
  <c r="GW148" i="1"/>
  <c r="GW144" i="1"/>
  <c r="GW155" i="1"/>
  <c r="GW158" i="1"/>
  <c r="GW141" i="1"/>
  <c r="GW145" i="1"/>
  <c r="GW146" i="1"/>
  <c r="GW152" i="1"/>
  <c r="GW150" i="1"/>
  <c r="GW154" i="1"/>
  <c r="GW151" i="1"/>
  <c r="GW149" i="1"/>
  <c r="GW157" i="1"/>
  <c r="GW163" i="1"/>
  <c r="GW153" i="1"/>
  <c r="GW161" i="1"/>
  <c r="GW156" i="1"/>
  <c r="GW160" i="1"/>
  <c r="GW167" i="1"/>
  <c r="GW170" i="1"/>
  <c r="GW172" i="1"/>
  <c r="GW176" i="1"/>
  <c r="GW159" i="1"/>
  <c r="GW165" i="1"/>
  <c r="GW173" i="1"/>
  <c r="GW166" i="1"/>
  <c r="GW162" i="1"/>
  <c r="GW164" i="1"/>
  <c r="GW169" i="1"/>
  <c r="GW174" i="1"/>
  <c r="GW168" i="1"/>
  <c r="GW171" i="1"/>
  <c r="GW175" i="1"/>
  <c r="GW178" i="1"/>
  <c r="GW181" i="1"/>
  <c r="GW180" i="1"/>
  <c r="GW177" i="1"/>
  <c r="GW179" i="1"/>
  <c r="GW190" i="1"/>
  <c r="GW193" i="1"/>
  <c r="GW187" i="1"/>
  <c r="GW183" i="1"/>
  <c r="GW185" i="1"/>
  <c r="GW186" i="1"/>
  <c r="GW184" i="1"/>
  <c r="GW182" i="1"/>
  <c r="GW202" i="1"/>
  <c r="GW84" i="1"/>
  <c r="GW191" i="1"/>
  <c r="GW192" i="1"/>
  <c r="GW201" i="1"/>
  <c r="GW189" i="1"/>
  <c r="GW194" i="1"/>
  <c r="GW195" i="1"/>
  <c r="GW203" i="1"/>
  <c r="GW200" i="1"/>
  <c r="GW196" i="1"/>
  <c r="GW198" i="1"/>
  <c r="GW199" i="1"/>
  <c r="GW188" i="1"/>
  <c r="GW205" i="1"/>
  <c r="GW204" i="1"/>
  <c r="GT203" i="1"/>
  <c r="GW197" i="1"/>
  <c r="HW141" i="1"/>
  <c r="HW146" i="1"/>
  <c r="HW144" i="1"/>
  <c r="HW145" i="1"/>
  <c r="HW148" i="1"/>
  <c r="HW155" i="1"/>
  <c r="HW149" i="1"/>
  <c r="HW152" i="1"/>
  <c r="HW154" i="1"/>
  <c r="HW157" i="1"/>
  <c r="HW153" i="1"/>
  <c r="HW150" i="1"/>
  <c r="HW164" i="1"/>
  <c r="HW156" i="1"/>
  <c r="HW162" i="1"/>
  <c r="HW163" i="1"/>
  <c r="HW161" i="1"/>
  <c r="HW171" i="1"/>
  <c r="HW167" i="1"/>
  <c r="HW168" i="1"/>
  <c r="HW159" i="1"/>
  <c r="HW169" i="1"/>
  <c r="HW175" i="1"/>
  <c r="HW179" i="1"/>
  <c r="HW173" i="1"/>
  <c r="HW170" i="1"/>
  <c r="HW174" i="1"/>
  <c r="HW178" i="1"/>
  <c r="HW181" i="1"/>
  <c r="HW180" i="1"/>
  <c r="HW177" i="1"/>
  <c r="HW187" i="1"/>
  <c r="HW202" i="1"/>
  <c r="HW193" i="1"/>
  <c r="HW194" i="1"/>
  <c r="HW190" i="1"/>
  <c r="HW191" i="1"/>
  <c r="HW188" i="1"/>
  <c r="HW195" i="1"/>
  <c r="HW196" i="1"/>
  <c r="HW184" i="1"/>
  <c r="HW200" i="1"/>
  <c r="HW197" i="1"/>
  <c r="HW198" i="1"/>
  <c r="HW199" i="1"/>
  <c r="HW203" i="1"/>
  <c r="HW205" i="1"/>
  <c r="HW201" i="1"/>
  <c r="GT144" i="1"/>
  <c r="GT141" i="1"/>
  <c r="GT143" i="1"/>
  <c r="GT142" i="1"/>
  <c r="GT146" i="1"/>
  <c r="GT147" i="1"/>
  <c r="GT145" i="1"/>
  <c r="GT151" i="1"/>
  <c r="GT160" i="1"/>
  <c r="GT148" i="1"/>
  <c r="GT163" i="1"/>
  <c r="GT149" i="1"/>
  <c r="GT152" i="1"/>
  <c r="GT158" i="1"/>
  <c r="GT150" i="1"/>
  <c r="GT153" i="1"/>
  <c r="GT154" i="1"/>
  <c r="GT157" i="1"/>
  <c r="GT164" i="1"/>
  <c r="GT155" i="1"/>
  <c r="GT165" i="1"/>
  <c r="GT169" i="1"/>
  <c r="GT156" i="1"/>
  <c r="GT159" i="1"/>
  <c r="GT161" i="1"/>
  <c r="GT166" i="1"/>
  <c r="GT162" i="1"/>
  <c r="GT173" i="1"/>
  <c r="GT179" i="1"/>
  <c r="GT185" i="1"/>
  <c r="GT168" i="1"/>
  <c r="GT167" i="1"/>
  <c r="GT170" i="1"/>
  <c r="GT177" i="1"/>
  <c r="GT180" i="1"/>
  <c r="GT182" i="1"/>
  <c r="GT171" i="1"/>
  <c r="GT174" i="1"/>
  <c r="GT172" i="1"/>
  <c r="GT175" i="1"/>
  <c r="GT187" i="1"/>
  <c r="GT195" i="1"/>
  <c r="GT181" i="1"/>
  <c r="GT183" i="1"/>
  <c r="GT184" i="1"/>
  <c r="GT186" i="1"/>
  <c r="GT191" i="1"/>
  <c r="GT190" i="1"/>
  <c r="GT178" i="1"/>
  <c r="GT192" i="1"/>
  <c r="GT176" i="1"/>
  <c r="GT189" i="1"/>
  <c r="GT193" i="1"/>
  <c r="GT188" i="1"/>
  <c r="GT194" i="1"/>
  <c r="GT200" i="1"/>
  <c r="GT196" i="1"/>
  <c r="GT197" i="1"/>
  <c r="GT205" i="1"/>
  <c r="GT199" i="1"/>
  <c r="GT201" i="1"/>
  <c r="GT202" i="1"/>
  <c r="HU146" i="1"/>
  <c r="HU142" i="1"/>
  <c r="HU160" i="1"/>
  <c r="HU147" i="1"/>
  <c r="HU150" i="1"/>
  <c r="HU149" i="1"/>
  <c r="HU163" i="1"/>
  <c r="HU148" i="1"/>
  <c r="HU153" i="1"/>
  <c r="HU156" i="1"/>
  <c r="HU161" i="1"/>
  <c r="HU145" i="1"/>
  <c r="HU154" i="1"/>
  <c r="HU158" i="1"/>
  <c r="HU159" i="1"/>
  <c r="HU165" i="1"/>
  <c r="HU169" i="1"/>
  <c r="HU164" i="1"/>
  <c r="HU172" i="1"/>
  <c r="HU167" i="1"/>
  <c r="HU168" i="1"/>
  <c r="HU166" i="1"/>
  <c r="HU162" i="1"/>
  <c r="HU170" i="1"/>
  <c r="HU181" i="1"/>
  <c r="HU173" i="1"/>
  <c r="HU175" i="1"/>
  <c r="HU176" i="1"/>
  <c r="HU174" i="1"/>
  <c r="HU178" i="1"/>
  <c r="HU184" i="1"/>
  <c r="HU180" i="1"/>
  <c r="HU182" i="1"/>
  <c r="HU186" i="1"/>
  <c r="HU179" i="1"/>
  <c r="HU177" i="1"/>
  <c r="HU183" i="1"/>
  <c r="HU189" i="1"/>
  <c r="HU192" i="1"/>
  <c r="HU193" i="1"/>
  <c r="HU194" i="1"/>
  <c r="HU195" i="1"/>
  <c r="HU200" i="1"/>
  <c r="HU197" i="1"/>
  <c r="HU198" i="1"/>
  <c r="HU199" i="1"/>
  <c r="HU202" i="1"/>
  <c r="HU201" i="1"/>
  <c r="HU191" i="1"/>
  <c r="HU204" i="1"/>
  <c r="CV149" i="1"/>
  <c r="CV144" i="1"/>
  <c r="GV143" i="1"/>
  <c r="GV142" i="1"/>
  <c r="GV145" i="1"/>
  <c r="GV146" i="1"/>
  <c r="GV141" i="1"/>
  <c r="GV149" i="1"/>
  <c r="GV147" i="1"/>
  <c r="GV155" i="1"/>
  <c r="GV144" i="1"/>
  <c r="GV151" i="1"/>
  <c r="GV154" i="1"/>
  <c r="GV156" i="1"/>
  <c r="GV158" i="1"/>
  <c r="GV161" i="1"/>
  <c r="GV157" i="1"/>
  <c r="GV163" i="1"/>
  <c r="GV165" i="1"/>
  <c r="GV180" i="1"/>
  <c r="GV166" i="1"/>
  <c r="GV162" i="1"/>
  <c r="GV164" i="1"/>
  <c r="GV171" i="1"/>
  <c r="GV168" i="1"/>
  <c r="GV169" i="1"/>
  <c r="GV178" i="1"/>
  <c r="GV174" i="1"/>
  <c r="GV190" i="1"/>
  <c r="GV194" i="1"/>
  <c r="GV173" i="1"/>
  <c r="GV177" i="1"/>
  <c r="GV179" i="1"/>
  <c r="GV181" i="1"/>
  <c r="GV199" i="1"/>
  <c r="GV187" i="1"/>
  <c r="GV175" i="1"/>
  <c r="GV185" i="1"/>
  <c r="GV184" i="1"/>
  <c r="GV188" i="1"/>
  <c r="GV191" i="1"/>
  <c r="GV192" i="1"/>
  <c r="GV176" i="1"/>
  <c r="GV200" i="1"/>
  <c r="HV143" i="1"/>
  <c r="HV144" i="1"/>
  <c r="HV149" i="1"/>
  <c r="HV146" i="1"/>
  <c r="HV148" i="1"/>
  <c r="HV155" i="1"/>
  <c r="HV142" i="1"/>
  <c r="HV141" i="1"/>
  <c r="HV156" i="1"/>
  <c r="HV151" i="1"/>
  <c r="HV150" i="1"/>
  <c r="HV152" i="1"/>
  <c r="HV154" i="1"/>
  <c r="HV153" i="1"/>
  <c r="HV163" i="1"/>
  <c r="HV164" i="1"/>
  <c r="HV159" i="1"/>
  <c r="HV158" i="1"/>
  <c r="HV160" i="1"/>
  <c r="HV162" i="1"/>
  <c r="HV169" i="1"/>
  <c r="HV161" i="1"/>
  <c r="HV175" i="1"/>
  <c r="HV178" i="1"/>
  <c r="HV180" i="1"/>
  <c r="HV167" i="1"/>
  <c r="HV168" i="1"/>
  <c r="HV166" i="1"/>
  <c r="HV157" i="1"/>
  <c r="HV171" i="1"/>
  <c r="HV170" i="1"/>
  <c r="HV186" i="1"/>
  <c r="HV190" i="1"/>
  <c r="HV194" i="1"/>
  <c r="HV176" i="1"/>
  <c r="HV174" i="1"/>
  <c r="HV181" i="1"/>
  <c r="HV184" i="1"/>
  <c r="HV173" i="1"/>
  <c r="HV185" i="1"/>
  <c r="HV182" i="1"/>
  <c r="HV177" i="1"/>
  <c r="HV193" i="1"/>
  <c r="HV187" i="1"/>
  <c r="HV200" i="1"/>
  <c r="HV198" i="1"/>
  <c r="HV205" i="1"/>
  <c r="HV204" i="1"/>
  <c r="GP205" i="1"/>
  <c r="GV197" i="1"/>
  <c r="HQ196" i="1"/>
  <c r="GJ176" i="1"/>
  <c r="HX143" i="1"/>
  <c r="HX142" i="1"/>
  <c r="HX141" i="1"/>
  <c r="HX144" i="1"/>
  <c r="HX147" i="1"/>
  <c r="HX146" i="1"/>
  <c r="HX149" i="1"/>
  <c r="HX159" i="1"/>
  <c r="HX148" i="1"/>
  <c r="HX145" i="1"/>
  <c r="HX154" i="1"/>
  <c r="HX162" i="1"/>
  <c r="HX152" i="1"/>
  <c r="HX157" i="1"/>
  <c r="HX150" i="1"/>
  <c r="HX151" i="1"/>
  <c r="HX153" i="1"/>
  <c r="HX168" i="1"/>
  <c r="HX156" i="1"/>
  <c r="HX160" i="1"/>
  <c r="HX161" i="1"/>
  <c r="HX155" i="1"/>
  <c r="HX158" i="1"/>
  <c r="HX165" i="1"/>
  <c r="HX170" i="1"/>
  <c r="HX164" i="1"/>
  <c r="HX167" i="1"/>
  <c r="HX163" i="1"/>
  <c r="HX174" i="1"/>
  <c r="HX182" i="1"/>
  <c r="HX184" i="1"/>
  <c r="HX171" i="1"/>
  <c r="HX172" i="1"/>
  <c r="HX169" i="1"/>
  <c r="HX173" i="1"/>
  <c r="HX175" i="1"/>
  <c r="HX183" i="1"/>
  <c r="HX166" i="1"/>
  <c r="HX179" i="1"/>
  <c r="HX176" i="1"/>
  <c r="HX178" i="1"/>
  <c r="HX181" i="1"/>
  <c r="HX187" i="1"/>
  <c r="HX185" i="1"/>
  <c r="HX186" i="1"/>
  <c r="HX177" i="1"/>
  <c r="HX180" i="1"/>
  <c r="HX188" i="1"/>
  <c r="HX191" i="1"/>
  <c r="HX189" i="1"/>
  <c r="HX192" i="1"/>
  <c r="HX193" i="1"/>
  <c r="HX194" i="1"/>
  <c r="HX201" i="1"/>
  <c r="HX195" i="1"/>
  <c r="HX196" i="1"/>
  <c r="HX190" i="1"/>
  <c r="HX200" i="1"/>
  <c r="HX197" i="1"/>
  <c r="HX198" i="1"/>
  <c r="HX199" i="1"/>
  <c r="HX202" i="1"/>
  <c r="HT204" i="1"/>
  <c r="HT201" i="1"/>
  <c r="HL153" i="1"/>
  <c r="HL151" i="1"/>
  <c r="HZ142" i="1"/>
  <c r="HZ141" i="1"/>
  <c r="HZ146" i="1"/>
  <c r="HZ148" i="1"/>
  <c r="HZ152" i="1"/>
  <c r="HZ145" i="1"/>
  <c r="HZ154" i="1"/>
  <c r="HZ158" i="1"/>
  <c r="HZ144" i="1"/>
  <c r="HZ155" i="1"/>
  <c r="HZ149" i="1"/>
  <c r="HZ143" i="1"/>
  <c r="HZ151" i="1"/>
  <c r="HZ147" i="1"/>
  <c r="HZ159" i="1"/>
  <c r="HZ150" i="1"/>
  <c r="HZ156" i="1"/>
  <c r="HZ153" i="1"/>
  <c r="HZ167" i="1"/>
  <c r="HZ170" i="1"/>
  <c r="HZ162" i="1"/>
  <c r="HZ160" i="1"/>
  <c r="HZ161" i="1"/>
  <c r="HZ165" i="1"/>
  <c r="HZ173" i="1"/>
  <c r="HZ179" i="1"/>
  <c r="HZ164" i="1"/>
  <c r="HZ157" i="1"/>
  <c r="HZ166" i="1"/>
  <c r="HZ169" i="1"/>
  <c r="HZ168" i="1"/>
  <c r="HZ163" i="1"/>
  <c r="HZ174" i="1"/>
  <c r="HZ171" i="1"/>
  <c r="HZ177" i="1"/>
  <c r="HZ189" i="1"/>
  <c r="HZ193" i="1"/>
  <c r="HZ172" i="1"/>
  <c r="HZ175" i="1"/>
  <c r="HZ176" i="1"/>
  <c r="HZ178" i="1"/>
  <c r="HZ181" i="1"/>
  <c r="HZ184" i="1"/>
  <c r="HZ190" i="1"/>
  <c r="HZ198" i="1"/>
  <c r="HZ187" i="1"/>
  <c r="HZ182" i="1"/>
  <c r="HZ185" i="1"/>
  <c r="HZ186" i="1"/>
  <c r="HZ188" i="1"/>
  <c r="HZ191" i="1"/>
  <c r="HZ183" i="1"/>
  <c r="HZ180" i="1"/>
  <c r="HZ192" i="1"/>
  <c r="HZ194" i="1"/>
  <c r="HZ195" i="1"/>
  <c r="HZ201" i="1"/>
  <c r="HZ196" i="1"/>
  <c r="HZ203" i="1"/>
  <c r="HZ200" i="1"/>
  <c r="HZ197" i="1"/>
  <c r="HZ199" i="1"/>
  <c r="HB205" i="1"/>
  <c r="IR203" i="1"/>
  <c r="IA144" i="1"/>
  <c r="IA146" i="1"/>
  <c r="IA148" i="1"/>
  <c r="IA150" i="1"/>
  <c r="IA153" i="1"/>
  <c r="IA158" i="1"/>
  <c r="IA149" i="1"/>
  <c r="IA151" i="1"/>
  <c r="IA160" i="1"/>
  <c r="IA152" i="1"/>
  <c r="IA154" i="1"/>
  <c r="IA155" i="1"/>
  <c r="IA157" i="1"/>
  <c r="IA156" i="1"/>
  <c r="IA159" i="1"/>
  <c r="IA175" i="1"/>
  <c r="IA164" i="1"/>
  <c r="IA173" i="1"/>
  <c r="IA178" i="1"/>
  <c r="IA170" i="1"/>
  <c r="IA169" i="1"/>
  <c r="IA168" i="1"/>
  <c r="IA167" i="1"/>
  <c r="IA176" i="1"/>
  <c r="IA182" i="1"/>
  <c r="IA177" i="1"/>
  <c r="IA172" i="1"/>
  <c r="IA179" i="1"/>
  <c r="IA174" i="1"/>
  <c r="IA180" i="1"/>
  <c r="IA183" i="1"/>
  <c r="IA188" i="1"/>
  <c r="IA186" i="1"/>
  <c r="IA205" i="1"/>
  <c r="IA191" i="1"/>
  <c r="IA189" i="1"/>
  <c r="IA181" i="1"/>
  <c r="IA192" i="1"/>
  <c r="IA194" i="1"/>
  <c r="IA195" i="1"/>
  <c r="IA196" i="1"/>
  <c r="IA197" i="1"/>
  <c r="IA198" i="1"/>
  <c r="IA199" i="1"/>
  <c r="IA200" i="1"/>
  <c r="HX203" i="1"/>
  <c r="HZ202" i="1"/>
  <c r="CN161" i="1"/>
  <c r="GZ141" i="1"/>
  <c r="GZ145" i="1"/>
  <c r="GZ146" i="1"/>
  <c r="GZ147" i="1"/>
  <c r="GZ151" i="1"/>
  <c r="GZ157" i="1"/>
  <c r="GZ155" i="1"/>
  <c r="GZ156" i="1"/>
  <c r="GZ159" i="1"/>
  <c r="GZ152" i="1"/>
  <c r="GZ154" i="1"/>
  <c r="GZ158" i="1"/>
  <c r="GZ162" i="1"/>
  <c r="GZ164" i="1"/>
  <c r="GZ165" i="1"/>
  <c r="GZ163" i="1"/>
  <c r="GZ172" i="1"/>
  <c r="GZ181" i="1"/>
  <c r="GZ178" i="1"/>
  <c r="GZ182" i="1"/>
  <c r="GZ174" i="1"/>
  <c r="GZ176" i="1"/>
  <c r="GZ201" i="1"/>
  <c r="GZ205" i="1"/>
  <c r="GZ179" i="1"/>
  <c r="GZ184" i="1"/>
  <c r="GZ191" i="1"/>
  <c r="GZ188" i="1"/>
  <c r="GZ189" i="1"/>
  <c r="GZ197" i="1"/>
  <c r="GZ193" i="1"/>
  <c r="GZ194" i="1"/>
  <c r="CO187" i="1"/>
  <c r="CO175" i="1"/>
  <c r="CO191" i="1"/>
  <c r="CO189" i="1"/>
  <c r="HA142" i="1"/>
  <c r="HA145" i="1"/>
  <c r="HA146" i="1"/>
  <c r="HA156" i="1"/>
  <c r="HA168" i="1"/>
  <c r="HA179" i="1"/>
  <c r="HA176" i="1"/>
  <c r="HA175" i="1"/>
  <c r="HQ205" i="1"/>
  <c r="HV203" i="1"/>
  <c r="CP141" i="1"/>
  <c r="CP188" i="1"/>
  <c r="CP196" i="1"/>
  <c r="CP190" i="1"/>
  <c r="GB148" i="1"/>
  <c r="GB155" i="1"/>
  <c r="GB149" i="1"/>
  <c r="GB152" i="1"/>
  <c r="GB160" i="1"/>
  <c r="GB194" i="1"/>
  <c r="GB187" i="1"/>
  <c r="GB198" i="1"/>
  <c r="GB201" i="1"/>
  <c r="IR199" i="1"/>
  <c r="CQ171" i="1"/>
  <c r="CQ167" i="1"/>
  <c r="CQ202" i="1"/>
  <c r="GC191" i="1"/>
  <c r="GC193" i="1"/>
  <c r="GP141" i="1"/>
  <c r="GP144" i="1"/>
  <c r="GP146" i="1"/>
  <c r="GP147" i="1"/>
  <c r="GP143" i="1"/>
  <c r="GP145" i="1"/>
  <c r="GP149" i="1"/>
  <c r="GP151" i="1"/>
  <c r="GP152" i="1"/>
  <c r="GP154" i="1"/>
  <c r="GP156" i="1"/>
  <c r="GP158" i="1"/>
  <c r="GP164" i="1"/>
  <c r="GP162" i="1"/>
  <c r="GP159" i="1"/>
  <c r="GP157" i="1"/>
  <c r="GP174" i="1"/>
  <c r="GP178" i="1"/>
  <c r="GP163" i="1"/>
  <c r="GP165" i="1"/>
  <c r="GP155" i="1"/>
  <c r="GP168" i="1"/>
  <c r="GP169" i="1"/>
  <c r="GP171" i="1"/>
  <c r="GP170" i="1"/>
  <c r="GP173" i="1"/>
  <c r="GP172" i="1"/>
  <c r="GP179" i="1"/>
  <c r="GP176" i="1"/>
  <c r="GP181" i="1"/>
  <c r="GP189" i="1"/>
  <c r="GP184" i="1"/>
  <c r="GP180" i="1"/>
  <c r="GP182" i="1"/>
  <c r="GP200" i="1"/>
  <c r="GP204" i="1"/>
  <c r="GP193" i="1"/>
  <c r="GP194" i="1"/>
  <c r="GP188" i="1"/>
  <c r="GP191" i="1"/>
  <c r="GP196" i="1"/>
  <c r="GP202" i="1"/>
  <c r="GP197" i="1"/>
  <c r="GP201" i="1"/>
  <c r="HC160" i="1"/>
  <c r="HC163" i="1"/>
  <c r="HC168" i="1"/>
  <c r="HC174" i="1"/>
  <c r="HC192" i="1"/>
  <c r="HC193" i="1"/>
  <c r="HC196" i="1"/>
  <c r="HC200" i="1"/>
  <c r="HC204" i="1"/>
  <c r="HC189" i="1"/>
  <c r="CQ205" i="1"/>
  <c r="GV204" i="1"/>
  <c r="GZ203" i="1"/>
  <c r="GD188" i="1"/>
  <c r="GQ142" i="1"/>
  <c r="GQ148" i="1"/>
  <c r="GQ145" i="1"/>
  <c r="GQ146" i="1"/>
  <c r="GQ149" i="1"/>
  <c r="GQ147" i="1"/>
  <c r="GQ150" i="1"/>
  <c r="GQ153" i="1"/>
  <c r="GQ154" i="1"/>
  <c r="GQ156" i="1"/>
  <c r="GQ166" i="1"/>
  <c r="GQ170" i="1"/>
  <c r="GQ160" i="1"/>
  <c r="GQ158" i="1"/>
  <c r="GQ159" i="1"/>
  <c r="GQ161" i="1"/>
  <c r="GQ162" i="1"/>
  <c r="GQ164" i="1"/>
  <c r="GQ167" i="1"/>
  <c r="GQ165" i="1"/>
  <c r="GQ168" i="1"/>
  <c r="GQ163" i="1"/>
  <c r="GQ175" i="1"/>
  <c r="GQ181" i="1"/>
  <c r="GQ172" i="1"/>
  <c r="GQ169" i="1"/>
  <c r="GQ173" i="1"/>
  <c r="GQ174" i="1"/>
  <c r="GQ177" i="1"/>
  <c r="GQ179" i="1"/>
  <c r="GQ176" i="1"/>
  <c r="GQ192" i="1"/>
  <c r="GQ183" i="1"/>
  <c r="GQ186" i="1"/>
  <c r="GQ184" i="1"/>
  <c r="GQ180" i="1"/>
  <c r="GQ178" i="1"/>
  <c r="GQ182" i="1"/>
  <c r="GQ199" i="1"/>
  <c r="GQ193" i="1"/>
  <c r="GQ189" i="1"/>
  <c r="GQ194" i="1"/>
  <c r="GQ200" i="1"/>
  <c r="GQ195" i="1"/>
  <c r="GQ196" i="1"/>
  <c r="GQ202" i="1"/>
  <c r="GQ197" i="1"/>
  <c r="GQ198" i="1"/>
  <c r="GQ191" i="1"/>
  <c r="GQ204" i="1"/>
  <c r="IE173" i="1"/>
  <c r="IE204" i="1"/>
  <c r="IE192" i="1"/>
  <c r="IE197" i="1"/>
  <c r="IR141" i="1"/>
  <c r="IR142" i="1"/>
  <c r="IR144" i="1"/>
  <c r="IR146" i="1"/>
  <c r="IR143" i="1"/>
  <c r="IR152" i="1"/>
  <c r="IR156" i="1"/>
  <c r="IR145" i="1"/>
  <c r="IR147" i="1"/>
  <c r="IR148" i="1"/>
  <c r="IR153" i="1"/>
  <c r="IR151" i="1"/>
  <c r="IR154" i="1"/>
  <c r="IR149" i="1"/>
  <c r="IR150" i="1"/>
  <c r="IR155" i="1"/>
  <c r="IR166" i="1"/>
  <c r="IR170" i="1"/>
  <c r="IR159" i="1"/>
  <c r="IR157" i="1"/>
  <c r="IR158" i="1"/>
  <c r="IR162" i="1"/>
  <c r="IR164" i="1"/>
  <c r="IR165" i="1"/>
  <c r="IR161" i="1"/>
  <c r="IR169" i="1"/>
  <c r="IR163" i="1"/>
  <c r="IR160" i="1"/>
  <c r="IR168" i="1"/>
  <c r="IR180" i="1"/>
  <c r="IR167" i="1"/>
  <c r="IR171" i="1"/>
  <c r="IR174" i="1"/>
  <c r="IR173" i="1"/>
  <c r="IR172" i="1"/>
  <c r="IR176" i="1"/>
  <c r="IR177" i="1"/>
  <c r="IR175" i="1"/>
  <c r="IR179" i="1"/>
  <c r="IR183" i="1"/>
  <c r="IR178" i="1"/>
  <c r="IR191" i="1"/>
  <c r="IR182" i="1"/>
  <c r="IR184" i="1"/>
  <c r="IR181" i="1"/>
  <c r="IR185" i="1"/>
  <c r="IR186" i="1"/>
  <c r="IR190" i="1"/>
  <c r="IR189" i="1"/>
  <c r="IR192" i="1"/>
  <c r="IR193" i="1"/>
  <c r="IR202" i="1"/>
  <c r="IR194" i="1"/>
  <c r="IR188" i="1"/>
  <c r="IR201" i="1"/>
  <c r="IR196" i="1"/>
  <c r="IR187" i="1"/>
  <c r="IR200" i="1"/>
  <c r="IR197" i="1"/>
  <c r="IR198" i="1"/>
  <c r="IR195" i="1"/>
  <c r="GV205" i="1"/>
  <c r="CP203" i="1"/>
  <c r="GS201" i="1"/>
  <c r="GS199" i="1"/>
  <c r="HQ141" i="1"/>
  <c r="HQ142" i="1"/>
  <c r="HQ144" i="1"/>
  <c r="HQ146" i="1"/>
  <c r="HQ143" i="1"/>
  <c r="HQ147" i="1"/>
  <c r="HQ145" i="1"/>
  <c r="HQ148" i="1"/>
  <c r="HQ149" i="1"/>
  <c r="HQ157" i="1"/>
  <c r="HQ158" i="1"/>
  <c r="HQ153" i="1"/>
  <c r="HQ155" i="1"/>
  <c r="HQ163" i="1"/>
  <c r="HQ150" i="1"/>
  <c r="HQ154" i="1"/>
  <c r="HQ152" i="1"/>
  <c r="HQ151" i="1"/>
  <c r="HQ159" i="1"/>
  <c r="HQ156" i="1"/>
  <c r="HQ160" i="1"/>
  <c r="HQ174" i="1"/>
  <c r="HQ178" i="1"/>
  <c r="HQ161" i="1"/>
  <c r="HQ177" i="1"/>
  <c r="HQ164" i="1"/>
  <c r="HQ166" i="1"/>
  <c r="HQ165" i="1"/>
  <c r="HQ169" i="1"/>
  <c r="HQ168" i="1"/>
  <c r="HQ162" i="1"/>
  <c r="HQ167" i="1"/>
  <c r="HQ171" i="1"/>
  <c r="HQ172" i="1"/>
  <c r="HQ179" i="1"/>
  <c r="HQ180" i="1"/>
  <c r="HQ184" i="1"/>
  <c r="HQ181" i="1"/>
  <c r="HQ182" i="1"/>
  <c r="HQ183" i="1"/>
  <c r="HQ173" i="1"/>
  <c r="HQ175" i="1"/>
  <c r="HQ176" i="1"/>
  <c r="HQ188" i="1"/>
  <c r="HQ187" i="1"/>
  <c r="HQ194" i="1"/>
  <c r="HQ200" i="1"/>
  <c r="HQ204" i="1"/>
  <c r="HQ186" i="1"/>
  <c r="HQ170" i="1"/>
  <c r="HQ195" i="1"/>
  <c r="HQ190" i="1"/>
  <c r="HQ185" i="1"/>
  <c r="HQ191" i="1"/>
  <c r="HQ189" i="1"/>
  <c r="HQ192" i="1"/>
  <c r="HQ193" i="1"/>
  <c r="HQ197" i="1"/>
  <c r="HQ198" i="1"/>
  <c r="HQ202" i="1"/>
  <c r="HQ199" i="1"/>
  <c r="HQ201" i="1"/>
  <c r="HQ203" i="1"/>
  <c r="GC205" i="1"/>
  <c r="IA204" i="1"/>
  <c r="GS144" i="1"/>
  <c r="GS141" i="1"/>
  <c r="GS143" i="1"/>
  <c r="GS145" i="1"/>
  <c r="GS148" i="1"/>
  <c r="GS142" i="1"/>
  <c r="GS149" i="1"/>
  <c r="GS151" i="1"/>
  <c r="GS147" i="1"/>
  <c r="GS146" i="1"/>
  <c r="GS154" i="1"/>
  <c r="GS150" i="1"/>
  <c r="GS164" i="1"/>
  <c r="GS152" i="1"/>
  <c r="GS153" i="1"/>
  <c r="GS155" i="1"/>
  <c r="GS156" i="1"/>
  <c r="GS160" i="1"/>
  <c r="GS158" i="1"/>
  <c r="GS159" i="1"/>
  <c r="GS173" i="1"/>
  <c r="GS177" i="1"/>
  <c r="GS161" i="1"/>
  <c r="GS157" i="1"/>
  <c r="GS163" i="1"/>
  <c r="GS165" i="1"/>
  <c r="GS162" i="1"/>
  <c r="GS166" i="1"/>
  <c r="GS170" i="1"/>
  <c r="GS175" i="1"/>
  <c r="GS178" i="1"/>
  <c r="GS167" i="1"/>
  <c r="GS174" i="1"/>
  <c r="GS168" i="1"/>
  <c r="GS171" i="1"/>
  <c r="GS179" i="1"/>
  <c r="GS184" i="1"/>
  <c r="GS176" i="1"/>
  <c r="GS169" i="1"/>
  <c r="GS172" i="1"/>
  <c r="GS181" i="1"/>
  <c r="GS183" i="1"/>
  <c r="GS185" i="1"/>
  <c r="GS189" i="1"/>
  <c r="GS186" i="1"/>
  <c r="GS180" i="1"/>
  <c r="GS191" i="1"/>
  <c r="GS197" i="1"/>
  <c r="GS203" i="1"/>
  <c r="GS190" i="1"/>
  <c r="GS192" i="1"/>
  <c r="GS193" i="1"/>
  <c r="GS188" i="1"/>
  <c r="GS194" i="1"/>
  <c r="GS187" i="1"/>
  <c r="GS182" i="1"/>
  <c r="GS200" i="1"/>
  <c r="GS195" i="1"/>
  <c r="GS196" i="1"/>
  <c r="GS205" i="1"/>
  <c r="GS198" i="1"/>
  <c r="GS202" i="1"/>
  <c r="HT144" i="1"/>
  <c r="HT141" i="1"/>
  <c r="HT143" i="1"/>
  <c r="HT145" i="1"/>
  <c r="HT147" i="1"/>
  <c r="HT157" i="1"/>
  <c r="HT151" i="1"/>
  <c r="HT146" i="1"/>
  <c r="HT164" i="1"/>
  <c r="HT152" i="1"/>
  <c r="HT149" i="1"/>
  <c r="HT156" i="1"/>
  <c r="HT154" i="1"/>
  <c r="HT155" i="1"/>
  <c r="HT162" i="1"/>
  <c r="HT158" i="1"/>
  <c r="HT173" i="1"/>
  <c r="HT159" i="1"/>
  <c r="HT163" i="1"/>
  <c r="HT176" i="1"/>
  <c r="HT169" i="1"/>
  <c r="HT168" i="1"/>
  <c r="HT165" i="1"/>
  <c r="HT172" i="1"/>
  <c r="HT171" i="1"/>
  <c r="HT174" i="1"/>
  <c r="HT178" i="1"/>
  <c r="HT181" i="1"/>
  <c r="HT180" i="1"/>
  <c r="HT179" i="1"/>
  <c r="HT170" i="1"/>
  <c r="HT184" i="1"/>
  <c r="HT182" i="1"/>
  <c r="HT189" i="1"/>
  <c r="HT203" i="1"/>
  <c r="HT193" i="1"/>
  <c r="HT194" i="1"/>
  <c r="HT188" i="1"/>
  <c r="HT200" i="1"/>
  <c r="HT197" i="1"/>
  <c r="HT202" i="1"/>
  <c r="HT191" i="1"/>
  <c r="HT196" i="1"/>
  <c r="HT205" i="1"/>
  <c r="GV84" i="1"/>
  <c r="IR205" i="1"/>
  <c r="HZ204" i="1"/>
  <c r="GV203" i="1"/>
  <c r="CN203" i="1"/>
  <c r="GZ202" i="1"/>
  <c r="GQ201" i="1"/>
  <c r="GR198" i="1"/>
  <c r="GE143" i="1"/>
  <c r="GE146" i="1"/>
  <c r="GE165" i="1"/>
  <c r="GE159" i="1"/>
  <c r="GE187" i="1"/>
  <c r="GR141" i="1"/>
  <c r="GR143" i="1"/>
  <c r="GR142" i="1"/>
  <c r="GR150" i="1"/>
  <c r="GR144" i="1"/>
  <c r="GR156" i="1"/>
  <c r="GR146" i="1"/>
  <c r="GR148" i="1"/>
  <c r="GR149" i="1"/>
  <c r="GR161" i="1"/>
  <c r="GR152" i="1"/>
  <c r="GR153" i="1"/>
  <c r="GR155" i="1"/>
  <c r="GR154" i="1"/>
  <c r="GR151" i="1"/>
  <c r="GR157" i="1"/>
  <c r="GR158" i="1"/>
  <c r="GR164" i="1"/>
  <c r="GR169" i="1"/>
  <c r="GR159" i="1"/>
  <c r="GR162" i="1"/>
  <c r="GR160" i="1"/>
  <c r="GR171" i="1"/>
  <c r="GR181" i="1"/>
  <c r="GR167" i="1"/>
  <c r="GR168" i="1"/>
  <c r="GR163" i="1"/>
  <c r="GR166" i="1"/>
  <c r="GR170" i="1"/>
  <c r="GR173" i="1"/>
  <c r="GR176" i="1"/>
  <c r="GR187" i="1"/>
  <c r="GR177" i="1"/>
  <c r="GR174" i="1"/>
  <c r="GR184" i="1"/>
  <c r="GR178" i="1"/>
  <c r="GR180" i="1"/>
  <c r="GR175" i="1"/>
  <c r="GR185" i="1"/>
  <c r="GR186" i="1"/>
  <c r="GR190" i="1"/>
  <c r="GR193" i="1"/>
  <c r="GR194" i="1"/>
  <c r="GR182" i="1"/>
  <c r="GR200" i="1"/>
  <c r="A14" i="7"/>
  <c r="A16" i="7"/>
  <c r="A15" i="7"/>
  <c r="A17" i="7"/>
  <c r="HQ4" i="1"/>
  <c r="GP4" i="1"/>
  <c r="HT4" i="1"/>
  <c r="GC4" i="1"/>
  <c r="HZ6" i="1"/>
  <c r="HZ4" i="1"/>
  <c r="GV4" i="1"/>
  <c r="IA4" i="1"/>
  <c r="GW4" i="1"/>
  <c r="GZ4" i="1"/>
  <c r="ID4" i="1"/>
  <c r="GV8" i="1"/>
  <c r="GV38" i="1"/>
  <c r="GT17" i="1"/>
  <c r="GT42" i="1"/>
  <c r="BH27" i="1"/>
  <c r="GB17" i="1"/>
  <c r="GB29" i="1"/>
  <c r="BJ27" i="1"/>
  <c r="IA42" i="1"/>
  <c r="GV20" i="1"/>
  <c r="HZ42" i="1"/>
  <c r="GS3" i="1"/>
  <c r="GW38" i="1"/>
  <c r="GC35" i="1"/>
  <c r="GW12" i="1"/>
  <c r="HZ11" i="1"/>
  <c r="CP43" i="1"/>
  <c r="CP23" i="1"/>
  <c r="GW29" i="1"/>
  <c r="HQ6" i="1"/>
  <c r="HX38" i="1"/>
  <c r="HQ7" i="1"/>
  <c r="HQ42" i="1"/>
  <c r="HZ43" i="1"/>
  <c r="IA38" i="1"/>
  <c r="IA17" i="1"/>
  <c r="IA24" i="1"/>
  <c r="IA35" i="1"/>
  <c r="IA29" i="1"/>
  <c r="IA7" i="1"/>
  <c r="IA37" i="1"/>
  <c r="IA10" i="1"/>
  <c r="IA43" i="1"/>
  <c r="IA27" i="1"/>
  <c r="IA20" i="1"/>
  <c r="IA31" i="1"/>
  <c r="GT43" i="1"/>
  <c r="GT38" i="1"/>
  <c r="BI27" i="1"/>
  <c r="GT12" i="1"/>
  <c r="BH8" i="1"/>
  <c r="GT11" i="1"/>
  <c r="GV31" i="1"/>
  <c r="GV29" i="1"/>
  <c r="GV24" i="1"/>
  <c r="GV17" i="1"/>
  <c r="GV12" i="1"/>
  <c r="GV10" i="1"/>
  <c r="GV7" i="1"/>
  <c r="GV6" i="1"/>
  <c r="GV3" i="1"/>
  <c r="GV37" i="1"/>
  <c r="GV23" i="1"/>
  <c r="GV11" i="1"/>
  <c r="BK8" i="1"/>
  <c r="GT37" i="1"/>
  <c r="BJ8" i="1"/>
  <c r="HX43" i="1"/>
  <c r="GW37" i="1"/>
  <c r="GW42" i="1"/>
  <c r="GW20" i="1"/>
  <c r="GW31" i="1"/>
  <c r="GW11" i="1"/>
  <c r="GW17" i="1"/>
  <c r="GW27" i="1"/>
  <c r="GW7" i="1"/>
  <c r="GW10" i="1"/>
  <c r="BK27" i="1"/>
  <c r="GV16" i="1"/>
  <c r="GV43" i="1"/>
  <c r="HX11" i="1"/>
  <c r="HZ24" i="1"/>
  <c r="BN8" i="1"/>
  <c r="BM8" i="1"/>
  <c r="GW16" i="1"/>
  <c r="GW24" i="1"/>
  <c r="GW43" i="1"/>
  <c r="HX12" i="1"/>
  <c r="BL27" i="1"/>
  <c r="HX37" i="1"/>
  <c r="HX16" i="1"/>
  <c r="HX42" i="1"/>
  <c r="HX17" i="1"/>
  <c r="GS20" i="1"/>
  <c r="HQ27" i="1"/>
  <c r="HQ20" i="1"/>
  <c r="HQ16" i="1"/>
  <c r="HQ11" i="1"/>
  <c r="HQ43" i="1"/>
  <c r="HQ38" i="1"/>
  <c r="HQ35" i="1"/>
  <c r="HQ29" i="1"/>
  <c r="HQ17" i="1"/>
  <c r="HQ31" i="1"/>
  <c r="HQ10" i="1"/>
  <c r="HQ37" i="1"/>
  <c r="HQ24" i="1"/>
  <c r="BM27" i="1"/>
  <c r="BI8" i="1"/>
  <c r="GV35" i="1"/>
  <c r="HQ12" i="1"/>
  <c r="IA12" i="1"/>
  <c r="HC3" i="1"/>
  <c r="CP16" i="1"/>
  <c r="GT16" i="1"/>
  <c r="GW35" i="1"/>
  <c r="HZ12" i="1"/>
  <c r="GC24" i="1"/>
  <c r="HZ17" i="1"/>
  <c r="HZ29" i="1"/>
  <c r="HZ23" i="1"/>
  <c r="HZ20" i="1"/>
  <c r="HZ15" i="1"/>
  <c r="HZ3" i="1"/>
  <c r="HZ8" i="1"/>
  <c r="HZ30" i="1"/>
  <c r="HZ10" i="1"/>
  <c r="HZ38" i="1"/>
  <c r="HZ5" i="1"/>
  <c r="HZ37" i="1"/>
  <c r="HZ27" i="1"/>
  <c r="HZ35" i="1"/>
  <c r="HZ7" i="1"/>
  <c r="HZ31" i="1"/>
  <c r="HZ16" i="1"/>
  <c r="BN27" i="1"/>
  <c r="IR16" i="1"/>
  <c r="IR11" i="1"/>
  <c r="IR12" i="1"/>
  <c r="IR37" i="1"/>
  <c r="IR42" i="1"/>
  <c r="IR17" i="1"/>
  <c r="IR43" i="1"/>
  <c r="IR38" i="1"/>
  <c r="GB24" i="1"/>
  <c r="HW31" i="1"/>
  <c r="BL8" i="1"/>
  <c r="CN43" i="1"/>
  <c r="CN35" i="1"/>
  <c r="CP31" i="1"/>
  <c r="CR29" i="1"/>
  <c r="CV24" i="1"/>
  <c r="CO15" i="1"/>
  <c r="CN12" i="1"/>
  <c r="CN3" i="1"/>
  <c r="CN11" i="1"/>
  <c r="IW56" i="1"/>
  <c r="IX190" i="1"/>
  <c r="IX177" i="1"/>
  <c r="IX166" i="1"/>
  <c r="IX150" i="1"/>
  <c r="IX187" i="1"/>
  <c r="IX148" i="1"/>
  <c r="IX175" i="1"/>
  <c r="IX167" i="1"/>
  <c r="IX142" i="1"/>
  <c r="IX161" i="1"/>
  <c r="IX153" i="1"/>
  <c r="IX140" i="1"/>
  <c r="IX160" i="1"/>
  <c r="KB177" i="1"/>
  <c r="KB175" i="1"/>
  <c r="KB148" i="1"/>
  <c r="KB161" i="1"/>
  <c r="KB190" i="1"/>
  <c r="KB166" i="1"/>
  <c r="KB167" i="1"/>
  <c r="KB142" i="1"/>
  <c r="KB150" i="1"/>
  <c r="KB153" i="1"/>
  <c r="KB160" i="1"/>
  <c r="KB187" i="1"/>
  <c r="KB140" i="1"/>
  <c r="GZ160" i="1"/>
  <c r="GZ161" i="1"/>
  <c r="GZ148" i="1"/>
  <c r="GZ153" i="1"/>
  <c r="GZ175" i="1"/>
  <c r="GZ167" i="1"/>
  <c r="GZ150" i="1"/>
  <c r="GZ166" i="1"/>
  <c r="GZ177" i="1"/>
  <c r="GZ140" i="1"/>
  <c r="GZ142" i="1"/>
  <c r="GZ190" i="1"/>
  <c r="GZ187" i="1"/>
  <c r="GP142" i="1"/>
  <c r="GP190" i="1"/>
  <c r="GP140" i="1"/>
  <c r="GP167" i="1"/>
  <c r="GP177" i="1"/>
  <c r="GP150" i="1"/>
  <c r="GP166" i="1"/>
  <c r="GP153" i="1"/>
  <c r="GP187" i="1"/>
  <c r="GP161" i="1"/>
  <c r="GP148" i="1"/>
  <c r="GP160" i="1"/>
  <c r="GP175" i="1"/>
  <c r="HT153" i="1"/>
  <c r="HT160" i="1"/>
  <c r="HT167" i="1"/>
  <c r="HT190" i="1"/>
  <c r="HT175" i="1"/>
  <c r="HT161" i="1"/>
  <c r="HT150" i="1"/>
  <c r="HT142" i="1"/>
  <c r="HT166" i="1"/>
  <c r="HT140" i="1"/>
  <c r="HT148" i="1"/>
  <c r="HT177" i="1"/>
  <c r="HT187" i="1"/>
  <c r="IX198" i="1"/>
  <c r="IX183" i="1"/>
  <c r="IX185" i="1"/>
  <c r="IX195" i="1"/>
  <c r="IX199" i="1"/>
  <c r="IX192" i="1"/>
  <c r="IX186" i="1"/>
  <c r="KB183" i="1"/>
  <c r="KB199" i="1"/>
  <c r="KB186" i="1"/>
  <c r="KB198" i="1"/>
  <c r="KB195" i="1"/>
  <c r="KB192" i="1"/>
  <c r="KB185" i="1"/>
  <c r="IN192" i="1"/>
  <c r="GZ192" i="1"/>
  <c r="GZ183" i="1"/>
  <c r="GZ185" i="1"/>
  <c r="GZ199" i="1"/>
  <c r="GZ186" i="1"/>
  <c r="ID198" i="1"/>
  <c r="GP183" i="1"/>
  <c r="GP192" i="1"/>
  <c r="GP185" i="1"/>
  <c r="GP186" i="1"/>
  <c r="GP198" i="1"/>
  <c r="GP195" i="1"/>
  <c r="GP199" i="1"/>
  <c r="HT185" i="1"/>
  <c r="HT186" i="1"/>
  <c r="HT198" i="1"/>
  <c r="HT183" i="1"/>
  <c r="HT195" i="1"/>
  <c r="HT199" i="1"/>
  <c r="HT192" i="1"/>
  <c r="I16" i="7"/>
  <c r="I17" i="7"/>
  <c r="G14" i="7"/>
  <c r="H16" i="7"/>
  <c r="G15" i="7"/>
  <c r="H17" i="7"/>
  <c r="G16" i="7"/>
  <c r="B14" i="7"/>
  <c r="F14" i="7"/>
  <c r="C14" i="7"/>
  <c r="D14" i="7"/>
  <c r="G17" i="7"/>
  <c r="B15" i="7"/>
  <c r="F15" i="7"/>
  <c r="C15" i="7"/>
  <c r="D15" i="7"/>
  <c r="E14" i="7"/>
  <c r="B16" i="7"/>
  <c r="F17" i="7"/>
  <c r="C16" i="7"/>
  <c r="D16" i="7"/>
  <c r="E15" i="7"/>
  <c r="B17" i="7"/>
  <c r="F16" i="7"/>
  <c r="H15" i="7"/>
  <c r="I14" i="7"/>
  <c r="C17" i="7"/>
  <c r="D17" i="7"/>
  <c r="E16" i="7"/>
  <c r="H14" i="7"/>
  <c r="I15" i="7"/>
  <c r="E17" i="7"/>
  <c r="A13" i="7"/>
  <c r="A12" i="7"/>
  <c r="A11" i="7"/>
  <c r="I2" i="7"/>
  <c r="H2" i="7"/>
  <c r="G2" i="7"/>
  <c r="F2" i="7"/>
  <c r="E2" i="7"/>
  <c r="D2" i="7"/>
  <c r="C2" i="7"/>
  <c r="B2" i="7"/>
  <c r="BT5" i="1"/>
  <c r="BU5" i="1"/>
  <c r="BV5" i="1"/>
  <c r="BW5" i="1"/>
  <c r="BX5" i="1"/>
  <c r="BY5" i="1"/>
  <c r="BZ5" i="1"/>
  <c r="CA5" i="1"/>
  <c r="BT6" i="1"/>
  <c r="BU6" i="1"/>
  <c r="BV6" i="1"/>
  <c r="BW6" i="1"/>
  <c r="BX6" i="1"/>
  <c r="BY6" i="1"/>
  <c r="BZ6" i="1"/>
  <c r="CA6" i="1"/>
  <c r="BT7" i="1"/>
  <c r="BU7" i="1"/>
  <c r="BV7" i="1"/>
  <c r="BW7" i="1"/>
  <c r="BX7" i="1"/>
  <c r="BY7" i="1"/>
  <c r="BZ7" i="1"/>
  <c r="CA7" i="1"/>
  <c r="BT8" i="1"/>
  <c r="BU8" i="1"/>
  <c r="BV8" i="1"/>
  <c r="BW8" i="1"/>
  <c r="BX8" i="1"/>
  <c r="BY8" i="1"/>
  <c r="BZ8" i="1"/>
  <c r="CA8" i="1"/>
  <c r="BT10" i="1"/>
  <c r="BU10" i="1"/>
  <c r="BV10" i="1"/>
  <c r="BW10" i="1"/>
  <c r="BX10" i="1"/>
  <c r="BY10" i="1"/>
  <c r="BZ10" i="1"/>
  <c r="CA10" i="1"/>
  <c r="BT11" i="1"/>
  <c r="BU11" i="1"/>
  <c r="BV11" i="1"/>
  <c r="BW11" i="1"/>
  <c r="BX11" i="1"/>
  <c r="BY11" i="1"/>
  <c r="BZ11" i="1"/>
  <c r="CA11" i="1"/>
  <c r="BT12" i="1"/>
  <c r="BU12" i="1"/>
  <c r="BV12" i="1"/>
  <c r="BW12" i="1"/>
  <c r="BX12" i="1"/>
  <c r="BY12" i="1"/>
  <c r="BZ12" i="1"/>
  <c r="CA12" i="1"/>
  <c r="BT15" i="1"/>
  <c r="BU15" i="1"/>
  <c r="BV15" i="1"/>
  <c r="BW15" i="1"/>
  <c r="BX15" i="1"/>
  <c r="BY15" i="1"/>
  <c r="BZ15" i="1"/>
  <c r="CA15" i="1"/>
  <c r="BT16" i="1"/>
  <c r="BU16" i="1"/>
  <c r="BV16" i="1"/>
  <c r="BW16" i="1"/>
  <c r="BX16" i="1"/>
  <c r="BY16" i="1"/>
  <c r="BZ16" i="1"/>
  <c r="CA16" i="1"/>
  <c r="BT17" i="1"/>
  <c r="BU17" i="1"/>
  <c r="BV17" i="1"/>
  <c r="BW17" i="1"/>
  <c r="BX17" i="1"/>
  <c r="BY17" i="1"/>
  <c r="BZ17" i="1"/>
  <c r="CA17" i="1"/>
  <c r="BT20" i="1"/>
  <c r="BU20" i="1"/>
  <c r="BV20" i="1"/>
  <c r="BW20" i="1"/>
  <c r="BX20" i="1"/>
  <c r="BY20" i="1"/>
  <c r="BZ20" i="1"/>
  <c r="CA20" i="1"/>
  <c r="BT23" i="1"/>
  <c r="BU23" i="1"/>
  <c r="BV23" i="1"/>
  <c r="BW23" i="1"/>
  <c r="BX23" i="1"/>
  <c r="BY23" i="1"/>
  <c r="BZ23" i="1"/>
  <c r="CA23" i="1"/>
  <c r="BT24" i="1"/>
  <c r="BU24" i="1"/>
  <c r="BV24" i="1"/>
  <c r="BW24" i="1"/>
  <c r="BX24" i="1"/>
  <c r="BY24" i="1"/>
  <c r="BZ24" i="1"/>
  <c r="CA24" i="1"/>
  <c r="BT27" i="1"/>
  <c r="BU27" i="1"/>
  <c r="BV27" i="1"/>
  <c r="BW27" i="1"/>
  <c r="BX27" i="1"/>
  <c r="BY27" i="1"/>
  <c r="BZ27" i="1"/>
  <c r="CA27" i="1"/>
  <c r="BT29" i="1"/>
  <c r="BU29" i="1"/>
  <c r="BV29" i="1"/>
  <c r="BW29" i="1"/>
  <c r="BX29" i="1"/>
  <c r="BY29" i="1"/>
  <c r="BZ29" i="1"/>
  <c r="CA29" i="1"/>
  <c r="BT30" i="1"/>
  <c r="BU30" i="1"/>
  <c r="BV30" i="1"/>
  <c r="BW30" i="1"/>
  <c r="BX30" i="1"/>
  <c r="BY30" i="1"/>
  <c r="BZ30" i="1"/>
  <c r="CA30" i="1"/>
  <c r="BT31" i="1"/>
  <c r="BU31" i="1"/>
  <c r="BV31" i="1"/>
  <c r="BW31" i="1"/>
  <c r="BX31" i="1"/>
  <c r="BY31" i="1"/>
  <c r="BZ31" i="1"/>
  <c r="CA31" i="1"/>
  <c r="BT35" i="1"/>
  <c r="BU35" i="1"/>
  <c r="BV35" i="1"/>
  <c r="BW35" i="1"/>
  <c r="BX35" i="1"/>
  <c r="BY35" i="1"/>
  <c r="BZ35" i="1"/>
  <c r="CA35" i="1"/>
  <c r="BT37" i="1"/>
  <c r="BU37" i="1"/>
  <c r="BV37" i="1"/>
  <c r="BW37" i="1"/>
  <c r="BX37" i="1"/>
  <c r="BY37" i="1"/>
  <c r="BZ37" i="1"/>
  <c r="CA37" i="1"/>
  <c r="BT38" i="1"/>
  <c r="BU38" i="1"/>
  <c r="BV38" i="1"/>
  <c r="BW38" i="1"/>
  <c r="BX38" i="1"/>
  <c r="BY38" i="1"/>
  <c r="BZ38" i="1"/>
  <c r="CA38" i="1"/>
  <c r="BT42" i="1"/>
  <c r="BU42" i="1"/>
  <c r="BV42" i="1"/>
  <c r="BW42" i="1"/>
  <c r="BX42" i="1"/>
  <c r="BY42" i="1"/>
  <c r="BZ42" i="1"/>
  <c r="CA42" i="1"/>
  <c r="BT43" i="1"/>
  <c r="BU43" i="1"/>
  <c r="BV43" i="1"/>
  <c r="BW43" i="1"/>
  <c r="BX43" i="1"/>
  <c r="BY43" i="1"/>
  <c r="BZ43" i="1"/>
  <c r="CA43" i="1"/>
  <c r="BV3" i="1"/>
  <c r="BW3" i="1"/>
  <c r="BX3" i="1"/>
  <c r="BY3" i="1"/>
  <c r="BZ3" i="1"/>
  <c r="CA3" i="1"/>
  <c r="BU3" i="1"/>
  <c r="BT3" i="1"/>
  <c r="BI3" i="1"/>
  <c r="BJ3" i="1"/>
  <c r="BK3" i="1"/>
  <c r="BK11" i="1"/>
  <c r="BK38" i="1"/>
  <c r="BL3" i="1"/>
  <c r="BM3" i="1"/>
  <c r="BN3" i="1"/>
  <c r="BO3" i="1"/>
  <c r="BO11" i="1"/>
  <c r="BO38" i="1"/>
  <c r="BP3" i="1"/>
  <c r="BI5" i="1"/>
  <c r="BJ5" i="1"/>
  <c r="BK5" i="1"/>
  <c r="BL5" i="1"/>
  <c r="BL20" i="1"/>
  <c r="BL30" i="1"/>
  <c r="BL42" i="1"/>
  <c r="BL43" i="1"/>
  <c r="BM5" i="1"/>
  <c r="BN5" i="1"/>
  <c r="BP20" i="1"/>
  <c r="BP30" i="1"/>
  <c r="BP42" i="1"/>
  <c r="BP43" i="1"/>
  <c r="BI6" i="1"/>
  <c r="BJ6" i="1"/>
  <c r="BK6" i="1"/>
  <c r="BL6" i="1"/>
  <c r="BM6" i="1"/>
  <c r="BN6" i="1"/>
  <c r="BO6" i="1"/>
  <c r="BO12" i="1"/>
  <c r="BO15" i="1"/>
  <c r="BO16" i="1"/>
  <c r="BO29" i="1"/>
  <c r="BO7" i="1"/>
  <c r="BO10" i="1"/>
  <c r="BO17" i="1"/>
  <c r="BO20" i="1"/>
  <c r="BO23" i="1"/>
  <c r="BO24" i="1"/>
  <c r="BO30" i="1"/>
  <c r="IU30" i="1"/>
  <c r="BO35" i="1"/>
  <c r="BO37" i="1"/>
  <c r="BO42" i="1"/>
  <c r="BO43" i="1"/>
  <c r="IX6" i="1"/>
  <c r="BP6" i="1"/>
  <c r="BP23" i="1"/>
  <c r="I218" i="1"/>
  <c r="BP17" i="1"/>
  <c r="BI7" i="1"/>
  <c r="BJ7" i="1"/>
  <c r="BK7" i="1"/>
  <c r="BL7" i="1"/>
  <c r="BM7" i="1"/>
  <c r="BN7" i="1"/>
  <c r="BP7" i="1"/>
  <c r="BM10" i="1"/>
  <c r="BM17" i="1"/>
  <c r="BI10" i="1"/>
  <c r="BJ10" i="1"/>
  <c r="BK10" i="1"/>
  <c r="BL10" i="1"/>
  <c r="BN10" i="1"/>
  <c r="BP10" i="1"/>
  <c r="BI11" i="1"/>
  <c r="BJ11" i="1"/>
  <c r="BL11" i="1"/>
  <c r="BM11" i="1"/>
  <c r="BN11" i="1"/>
  <c r="BP11" i="1"/>
  <c r="BI12" i="1"/>
  <c r="BJ12" i="1"/>
  <c r="BK12" i="1"/>
  <c r="BL12" i="1"/>
  <c r="BM12" i="1"/>
  <c r="BN12" i="1"/>
  <c r="BP12" i="1"/>
  <c r="BI15" i="1"/>
  <c r="BJ15" i="1"/>
  <c r="BK15" i="1"/>
  <c r="BL15" i="1"/>
  <c r="BM15" i="1"/>
  <c r="BN15" i="1"/>
  <c r="BP15" i="1"/>
  <c r="BI16" i="1"/>
  <c r="BJ16" i="1"/>
  <c r="BK16" i="1"/>
  <c r="BL16" i="1"/>
  <c r="BM16" i="1"/>
  <c r="BN16" i="1"/>
  <c r="BP16" i="1"/>
  <c r="BI17" i="1"/>
  <c r="BJ17" i="1"/>
  <c r="BK17" i="1"/>
  <c r="BL17" i="1"/>
  <c r="BN17" i="1"/>
  <c r="BI20" i="1"/>
  <c r="BJ20" i="1"/>
  <c r="BK20" i="1"/>
  <c r="BM20" i="1"/>
  <c r="BN20" i="1"/>
  <c r="BI23" i="1"/>
  <c r="GS23" i="1" s="1"/>
  <c r="BJ23" i="1"/>
  <c r="BK23" i="1"/>
  <c r="BL23" i="1"/>
  <c r="HW23" i="1" s="1"/>
  <c r="BM23" i="1"/>
  <c r="BN23" i="1"/>
  <c r="BI24" i="1"/>
  <c r="BJ24" i="1"/>
  <c r="BK24" i="1"/>
  <c r="BL24" i="1"/>
  <c r="BM24" i="1"/>
  <c r="BN24" i="1"/>
  <c r="BP24" i="1"/>
  <c r="BI29" i="1"/>
  <c r="BJ29" i="1"/>
  <c r="BK29" i="1"/>
  <c r="BL29" i="1"/>
  <c r="BM29" i="1"/>
  <c r="BN29" i="1"/>
  <c r="BP29" i="1"/>
  <c r="BI30" i="1"/>
  <c r="BJ30" i="1"/>
  <c r="GW30" i="1"/>
  <c r="BK30" i="1"/>
  <c r="BM30" i="1"/>
  <c r="IA30" i="1"/>
  <c r="BN30" i="1"/>
  <c r="BI31" i="1"/>
  <c r="GS31" i="1" s="1"/>
  <c r="BJ31" i="1"/>
  <c r="BK31" i="1"/>
  <c r="BL31" i="1"/>
  <c r="BM31" i="1"/>
  <c r="BN31" i="1"/>
  <c r="BI35" i="1"/>
  <c r="BJ35" i="1"/>
  <c r="BK35" i="1"/>
  <c r="BL35" i="1"/>
  <c r="BM35" i="1"/>
  <c r="BN35" i="1"/>
  <c r="BP35" i="1"/>
  <c r="BI37" i="1"/>
  <c r="BJ37" i="1"/>
  <c r="BK37" i="1"/>
  <c r="BL37" i="1"/>
  <c r="BM37" i="1"/>
  <c r="BN37" i="1"/>
  <c r="BP37" i="1"/>
  <c r="BI38" i="1"/>
  <c r="BJ38" i="1"/>
  <c r="BL38" i="1"/>
  <c r="BM38" i="1"/>
  <c r="BN38" i="1"/>
  <c r="BP38" i="1"/>
  <c r="BI42" i="1"/>
  <c r="BJ42" i="1"/>
  <c r="BK42" i="1"/>
  <c r="BM42" i="1"/>
  <c r="BN42" i="1"/>
  <c r="BI43" i="1"/>
  <c r="BJ43" i="1"/>
  <c r="BK43" i="1"/>
  <c r="BM43" i="1"/>
  <c r="BN43" i="1"/>
  <c r="T37" i="1" a="1"/>
  <c r="T37" i="1" s="1"/>
  <c r="T56" i="1" a="1"/>
  <c r="T56" i="1" s="1"/>
  <c r="T61" i="1" a="1"/>
  <c r="T61" i="1" s="1"/>
  <c r="T75" i="1" a="1"/>
  <c r="T75" i="1" s="1"/>
  <c r="T52" i="1" a="1"/>
  <c r="T52" i="1" s="1"/>
  <c r="T68" i="1" a="1"/>
  <c r="T68" i="1" s="1"/>
  <c r="T39" i="1" a="1"/>
  <c r="T39" i="1" s="1"/>
  <c r="T90" i="1" a="1"/>
  <c r="T90" i="1" s="1"/>
  <c r="T24" i="1" a="1"/>
  <c r="T24" i="1" s="1"/>
  <c r="T14" i="1" a="1"/>
  <c r="T14" i="1" s="1"/>
  <c r="T58" i="1" a="1"/>
  <c r="T58" i="1" s="1"/>
  <c r="T48" i="1" a="1"/>
  <c r="T48" i="1" s="1"/>
  <c r="T38" i="1" a="1"/>
  <c r="T38" i="1" s="1"/>
  <c r="T30" i="1" a="1"/>
  <c r="T30" i="1" s="1"/>
  <c r="T62" i="1" a="1"/>
  <c r="T62" i="1" s="1"/>
  <c r="BH5" i="1"/>
  <c r="BH6" i="1"/>
  <c r="BH7" i="1"/>
  <c r="BH10" i="1"/>
  <c r="BH11" i="1"/>
  <c r="BH12" i="1"/>
  <c r="BH15" i="1"/>
  <c r="BH16" i="1"/>
  <c r="BH17" i="1"/>
  <c r="BH20" i="1"/>
  <c r="BH23" i="1"/>
  <c r="BH24" i="1"/>
  <c r="BH29" i="1"/>
  <c r="BH30" i="1"/>
  <c r="BH31" i="1"/>
  <c r="BH35" i="1"/>
  <c r="BH37" i="1"/>
  <c r="BH38" i="1"/>
  <c r="BH42" i="1"/>
  <c r="BH43" i="1"/>
  <c r="BH3" i="1"/>
  <c r="I214" i="1"/>
  <c r="I215" i="1"/>
  <c r="I216" i="1"/>
  <c r="I219" i="1"/>
  <c r="I212" i="1"/>
  <c r="C2" i="6"/>
  <c r="D2" i="6"/>
  <c r="E2" i="6"/>
  <c r="F2" i="6"/>
  <c r="G2" i="6"/>
  <c r="H2" i="6"/>
  <c r="I2" i="6"/>
  <c r="B2" i="6"/>
  <c r="T22" i="1" a="1"/>
  <c r="T22" i="1" s="1"/>
  <c r="T17" i="1" a="1"/>
  <c r="T17" i="1" s="1"/>
  <c r="T23" i="1" a="1"/>
  <c r="T23" i="1" s="1"/>
  <c r="T54" i="1" a="1"/>
  <c r="T54" i="1" s="1"/>
  <c r="T85" i="1" a="1"/>
  <c r="T85" i="1" s="1"/>
  <c r="W12" i="3"/>
  <c r="Z12" i="3"/>
  <c r="KC171" i="1"/>
  <c r="KC137" i="1"/>
  <c r="KC203" i="1"/>
  <c r="KC185" i="1"/>
  <c r="KC144" i="1"/>
  <c r="KC157" i="1"/>
  <c r="KC152" i="1"/>
  <c r="KC134" i="1"/>
  <c r="GQ141" i="1"/>
  <c r="GQ144" i="1"/>
  <c r="GQ143" i="1"/>
  <c r="GQ155" i="1"/>
  <c r="GQ136" i="1"/>
  <c r="GQ151" i="1"/>
  <c r="GQ185" i="1"/>
  <c r="GQ203" i="1"/>
  <c r="GQ134" i="1"/>
  <c r="GQ139" i="1"/>
  <c r="GQ157" i="1"/>
  <c r="GQ152" i="1"/>
  <c r="GQ137" i="1"/>
  <c r="GQ171" i="1"/>
  <c r="HU134" i="1"/>
  <c r="HU203" i="1"/>
  <c r="HU157" i="1"/>
  <c r="HU151" i="1"/>
  <c r="HU136" i="1"/>
  <c r="HU152" i="1"/>
  <c r="HU155" i="1"/>
  <c r="HU139" i="1"/>
  <c r="HU144" i="1"/>
  <c r="HU185" i="1"/>
  <c r="HU141" i="1"/>
  <c r="HU137" i="1"/>
  <c r="HU143" i="1"/>
  <c r="HU171" i="1"/>
  <c r="IY144" i="1"/>
  <c r="IY136" i="1"/>
  <c r="IY151" i="1"/>
  <c r="IY137" i="1"/>
  <c r="IY139" i="1"/>
  <c r="IY203" i="1"/>
  <c r="IY171" i="1"/>
  <c r="IY134" i="1"/>
  <c r="JI136" i="1"/>
  <c r="KC187" i="1"/>
  <c r="KC190" i="1"/>
  <c r="KC188" i="1"/>
  <c r="KC205" i="1"/>
  <c r="GQ187" i="1"/>
  <c r="GQ190" i="1"/>
  <c r="GQ205" i="1"/>
  <c r="GQ188" i="1"/>
  <c r="HU188" i="1"/>
  <c r="HU187" i="1"/>
  <c r="HU190" i="1"/>
  <c r="HU205" i="1"/>
  <c r="IE187" i="1"/>
  <c r="IE190" i="1"/>
  <c r="IE205" i="1"/>
  <c r="IE188" i="1"/>
  <c r="IY188" i="1"/>
  <c r="IY205" i="1"/>
  <c r="IY190" i="1"/>
  <c r="IY187" i="1"/>
  <c r="IR53" i="1"/>
  <c r="JB63" i="1"/>
  <c r="IZ7" i="1"/>
  <c r="GW23" i="1"/>
  <c r="IA23" i="1"/>
  <c r="HQ23" i="1"/>
  <c r="IU23" i="1"/>
  <c r="IU3" i="1"/>
  <c r="GS38" i="1"/>
  <c r="K6" i="1"/>
  <c r="L6" i="1" s="1"/>
  <c r="IX3" i="1"/>
  <c r="CC132" i="1" a="1"/>
  <c r="CC132" i="1" s="1"/>
  <c r="GS37" i="1"/>
  <c r="IA5" i="1"/>
  <c r="HQ5" i="1"/>
  <c r="GW5" i="1"/>
  <c r="HW37" i="1"/>
  <c r="IR31" i="1"/>
  <c r="HX31" i="1"/>
  <c r="IR6" i="1"/>
  <c r="GT31" i="1"/>
  <c r="HX6" i="1"/>
  <c r="GT6" i="1"/>
  <c r="IA3" i="1"/>
  <c r="GW3" i="1"/>
  <c r="GP3" i="1"/>
  <c r="HQ3" i="1"/>
  <c r="HT3" i="1"/>
  <c r="IR30" i="1"/>
  <c r="HX30" i="1"/>
  <c r="GT30" i="1"/>
  <c r="GZ6" i="1"/>
  <c r="GP6" i="1"/>
  <c r="IR10" i="1"/>
  <c r="IA8" i="1"/>
  <c r="HX10" i="1"/>
  <c r="IA15" i="1"/>
  <c r="HQ15" i="1"/>
  <c r="GT10" i="1"/>
  <c r="HQ8" i="1"/>
  <c r="GW15" i="1"/>
  <c r="HT6" i="1"/>
  <c r="GW8" i="1"/>
  <c r="IZ183" i="1"/>
  <c r="IZ189" i="1"/>
  <c r="IZ165" i="1"/>
  <c r="IZ196" i="1"/>
  <c r="IZ195" i="1"/>
  <c r="IZ202" i="1"/>
  <c r="IZ192" i="1"/>
  <c r="IZ147" i="1"/>
  <c r="IZ145" i="1"/>
  <c r="IZ188" i="1"/>
  <c r="IZ172" i="1"/>
  <c r="IZ199" i="1"/>
  <c r="IZ179" i="1"/>
  <c r="HB183" i="1"/>
  <c r="HB192" i="1"/>
  <c r="HB179" i="1"/>
  <c r="HB202" i="1"/>
  <c r="HB147" i="1"/>
  <c r="HB199" i="1"/>
  <c r="HV147" i="1"/>
  <c r="HV145" i="1"/>
  <c r="HV172" i="1"/>
  <c r="HV183" i="1"/>
  <c r="HV179" i="1"/>
  <c r="HV192" i="1"/>
  <c r="HV195" i="1"/>
  <c r="HV199" i="1"/>
  <c r="HV188" i="1"/>
  <c r="HV202" i="1"/>
  <c r="HV165" i="1"/>
  <c r="HV196" i="1"/>
  <c r="HV189" i="1"/>
  <c r="GR192" i="1"/>
  <c r="GR202" i="1"/>
  <c r="GR196" i="1"/>
  <c r="GR165" i="1"/>
  <c r="GR195" i="1"/>
  <c r="GR189" i="1"/>
  <c r="GR199" i="1"/>
  <c r="GR183" i="1"/>
  <c r="GR145" i="1"/>
  <c r="GR179" i="1"/>
  <c r="GR147" i="1"/>
  <c r="GR188" i="1"/>
  <c r="GR172" i="1"/>
  <c r="KD172" i="1"/>
  <c r="KD179" i="1"/>
  <c r="KD192" i="1"/>
  <c r="KD196" i="1"/>
  <c r="KD188" i="1"/>
  <c r="KD195" i="1"/>
  <c r="KD145" i="1"/>
  <c r="KD199" i="1"/>
  <c r="KD189" i="1"/>
  <c r="KD147" i="1"/>
  <c r="KD202" i="1"/>
  <c r="KD183" i="1"/>
  <c r="KD165" i="1"/>
  <c r="GR197" i="1"/>
  <c r="GR201" i="1"/>
  <c r="GR191" i="1"/>
  <c r="KD191" i="1"/>
  <c r="KD197" i="1"/>
  <c r="KD201" i="1"/>
  <c r="IZ201" i="1"/>
  <c r="IZ197" i="1"/>
  <c r="IZ191" i="1"/>
  <c r="HV191" i="1"/>
  <c r="HV197" i="1"/>
  <c r="HV201" i="1"/>
  <c r="IZ71" i="1"/>
  <c r="HB71" i="1"/>
  <c r="HV7" i="1"/>
  <c r="HV71" i="1"/>
  <c r="GR71" i="1"/>
  <c r="KD71" i="1"/>
  <c r="KD7" i="1"/>
  <c r="GR7" i="1"/>
  <c r="GR83" i="1"/>
  <c r="E12" i="7"/>
  <c r="F13" i="7"/>
  <c r="I11" i="7"/>
  <c r="E11" i="7"/>
  <c r="I12" i="7"/>
  <c r="B11" i="7"/>
  <c r="D11" i="7"/>
  <c r="G11" i="7"/>
  <c r="C13" i="7"/>
  <c r="H12" i="7"/>
  <c r="F12" i="7"/>
  <c r="D13" i="7"/>
  <c r="D12" i="7"/>
  <c r="G12" i="7"/>
  <c r="C11" i="7"/>
  <c r="B12" i="7"/>
  <c r="H13" i="7"/>
  <c r="F11" i="7"/>
  <c r="G13" i="7"/>
  <c r="B13" i="7"/>
  <c r="H11" i="7"/>
  <c r="C12" i="7"/>
  <c r="I13" i="7"/>
  <c r="E13" i="7"/>
  <c r="IR204" i="1"/>
  <c r="JV204" i="1"/>
  <c r="JB204" i="1"/>
  <c r="GT204" i="1"/>
  <c r="HX204" i="1"/>
  <c r="JZ7" i="1"/>
  <c r="JZ62" i="1"/>
  <c r="JZ53" i="1"/>
  <c r="JZ63" i="1"/>
  <c r="JZ82" i="1"/>
  <c r="HV83" i="1"/>
  <c r="IZ83" i="1"/>
  <c r="KD83" i="1"/>
  <c r="JZ79" i="1"/>
  <c r="IW140" i="1"/>
  <c r="JZ16" i="1"/>
  <c r="JZ27" i="1"/>
  <c r="JZ8" i="1"/>
  <c r="JZ46" i="1"/>
  <c r="JZ15" i="1"/>
  <c r="JZ71" i="1"/>
  <c r="JZ20" i="1"/>
  <c r="JZ84" i="1"/>
  <c r="GO51" i="1"/>
  <c r="GO53" i="1"/>
  <c r="GE38" i="1"/>
  <c r="GO27" i="1"/>
  <c r="IZ31" i="1"/>
  <c r="IZ53" i="1"/>
  <c r="KD31" i="1"/>
  <c r="JA23" i="1"/>
  <c r="HV31" i="1"/>
  <c r="JB67" i="1"/>
  <c r="KD53" i="1"/>
  <c r="HV53" i="1"/>
  <c r="JB25" i="1"/>
  <c r="JV67" i="1"/>
  <c r="KF67" i="1"/>
  <c r="HX67" i="1"/>
  <c r="JV25" i="1"/>
  <c r="HX25" i="1"/>
  <c r="GR53" i="1"/>
  <c r="GR31" i="1"/>
  <c r="IR67" i="1"/>
  <c r="GJ67" i="1"/>
  <c r="GT67" i="1"/>
  <c r="IR25" i="1"/>
  <c r="GT25" i="1"/>
  <c r="JQ1" i="1"/>
  <c r="IC1" i="1"/>
  <c r="IW1" i="1"/>
  <c r="GO50" i="1"/>
  <c r="KB25" i="1"/>
  <c r="GZ25" i="1"/>
  <c r="GP25" i="1"/>
  <c r="ID25" i="1"/>
  <c r="IX25" i="1"/>
  <c r="HT25" i="1"/>
  <c r="IR3" i="1"/>
  <c r="JA54" i="1"/>
  <c r="GS54" i="1"/>
  <c r="KF3" i="1"/>
  <c r="HX3" i="1"/>
  <c r="JV3" i="1"/>
  <c r="GT3" i="1"/>
  <c r="JB3" i="1"/>
  <c r="JX86" i="1"/>
  <c r="HQ85" i="1"/>
  <c r="JO86" i="1"/>
  <c r="JD86" i="1"/>
  <c r="JZ85" i="1"/>
  <c r="CE2" i="1"/>
  <c r="CE169" i="1" s="1" a="1"/>
  <c r="CE169" i="1" s="1"/>
  <c r="IT85" i="1"/>
  <c r="CH2" i="1"/>
  <c r="CH107" i="1" s="1" a="1"/>
  <c r="CH107" i="1" s="1"/>
  <c r="JY86" i="1"/>
  <c r="GO125" i="1"/>
  <c r="GO193" i="1"/>
  <c r="GO142" i="1"/>
  <c r="GO62" i="1"/>
  <c r="GO196" i="1"/>
  <c r="GO141" i="1"/>
  <c r="GO60" i="1"/>
  <c r="GC85" i="1"/>
  <c r="GO15" i="1"/>
  <c r="GO174" i="1"/>
  <c r="GO113" i="1"/>
  <c r="GO105" i="1"/>
  <c r="GO184" i="1"/>
  <c r="GO154" i="1"/>
  <c r="GO157" i="1"/>
  <c r="GO129" i="1"/>
  <c r="GO176" i="1"/>
  <c r="GO148" i="1"/>
  <c r="GO153" i="1"/>
  <c r="GO127" i="1"/>
  <c r="GO106" i="1"/>
  <c r="GO128" i="1"/>
  <c r="HQ30" i="1"/>
  <c r="FW1" i="1"/>
  <c r="JY30" i="1"/>
  <c r="GO80" i="1"/>
  <c r="FU1" i="1"/>
  <c r="FX1" i="1"/>
  <c r="FR1" i="1"/>
  <c r="FQ1" i="1"/>
  <c r="GO65" i="1"/>
  <c r="GO30" i="1"/>
  <c r="FS1" i="1"/>
  <c r="FT1" i="1"/>
  <c r="FP1" i="1"/>
  <c r="FV1" i="1"/>
  <c r="KA1" i="1"/>
  <c r="JZ44" i="1"/>
  <c r="F6" i="7"/>
  <c r="I6" i="7"/>
  <c r="B8" i="7"/>
  <c r="E6" i="7"/>
  <c r="G6" i="7"/>
  <c r="I3" i="7"/>
  <c r="D6" i="7"/>
  <c r="E7" i="7"/>
  <c r="F9" i="7"/>
  <c r="E8" i="7"/>
  <c r="H9" i="7"/>
  <c r="C6" i="7"/>
  <c r="E5" i="7"/>
  <c r="C3" i="7"/>
  <c r="B4" i="7"/>
  <c r="GE65" i="1"/>
  <c r="D8" i="7"/>
  <c r="H10" i="7"/>
  <c r="H5" i="7"/>
  <c r="H8" i="7"/>
  <c r="C7" i="7"/>
  <c r="C5" i="7"/>
  <c r="I8" i="7"/>
  <c r="D5" i="7"/>
  <c r="F10" i="7"/>
  <c r="F8" i="7"/>
  <c r="B3" i="7"/>
  <c r="C9" i="7"/>
  <c r="C8" i="7"/>
  <c r="C10" i="7"/>
  <c r="I10" i="7"/>
  <c r="G3" i="7"/>
  <c r="F3" i="7"/>
  <c r="G9" i="7"/>
  <c r="D10" i="7"/>
  <c r="E3" i="7"/>
  <c r="I9" i="7"/>
  <c r="G4" i="7"/>
  <c r="G7" i="7"/>
  <c r="D7" i="7"/>
  <c r="B5" i="7"/>
  <c r="F5" i="7"/>
  <c r="B9" i="7"/>
  <c r="B10" i="7"/>
  <c r="E9" i="7"/>
  <c r="D9" i="7"/>
  <c r="I5" i="7"/>
  <c r="G5" i="7"/>
  <c r="B6" i="7"/>
  <c r="H6" i="7"/>
  <c r="G8" i="7"/>
  <c r="E10" i="7"/>
  <c r="F4" i="7"/>
  <c r="D3" i="7"/>
  <c r="H4" i="7"/>
  <c r="E4" i="7"/>
  <c r="H3" i="7"/>
  <c r="F7" i="7"/>
  <c r="I7" i="7"/>
  <c r="D4" i="7"/>
  <c r="C4" i="7"/>
  <c r="B7" i="7"/>
  <c r="I4" i="7"/>
  <c r="G10" i="7"/>
  <c r="GR42" i="1"/>
  <c r="H7" i="7"/>
  <c r="GY132" i="1" l="1"/>
  <c r="IK13" i="1"/>
  <c r="IG168" i="1"/>
  <c r="JK162" i="1"/>
  <c r="HF194" i="1"/>
  <c r="CQ180" i="1"/>
  <c r="CU134" i="1"/>
  <c r="GE29" i="1"/>
  <c r="GO183" i="1"/>
  <c r="GO169" i="1"/>
  <c r="HF193" i="1"/>
  <c r="CQ177" i="1"/>
  <c r="CR24" i="1"/>
  <c r="FT24" i="1" s="1"/>
  <c r="CU136" i="1"/>
  <c r="FW136" i="1" s="1"/>
  <c r="GO192" i="1"/>
  <c r="HG202" i="1"/>
  <c r="GE49" i="1"/>
  <c r="GO205" i="1"/>
  <c r="GO112" i="1"/>
  <c r="HF173" i="1"/>
  <c r="CQ195" i="1"/>
  <c r="EE195" i="1" s="1"/>
  <c r="IK186" i="1"/>
  <c r="HF67" i="1"/>
  <c r="GE80" i="1"/>
  <c r="GO139" i="1"/>
  <c r="GO190" i="1"/>
  <c r="HF162" i="1"/>
  <c r="CQ191" i="1"/>
  <c r="IK173" i="1"/>
  <c r="HG199" i="1"/>
  <c r="GE30" i="1"/>
  <c r="GO102" i="1"/>
  <c r="GO186" i="1"/>
  <c r="GE192" i="1"/>
  <c r="CQ187" i="1"/>
  <c r="EE187" i="1" s="1"/>
  <c r="GJ175" i="1"/>
  <c r="IK152" i="1"/>
  <c r="GO147" i="1"/>
  <c r="GE11" i="1"/>
  <c r="JI134" i="1"/>
  <c r="GE185" i="1"/>
  <c r="CQ175" i="1"/>
  <c r="FS175" i="1" s="1"/>
  <c r="GJ172" i="1"/>
  <c r="HJ125" i="1"/>
  <c r="JI141" i="1"/>
  <c r="GJ184" i="1"/>
  <c r="JI171" i="1"/>
  <c r="GJ171" i="1"/>
  <c r="IJ78" i="1"/>
  <c r="HJ110" i="1"/>
  <c r="GJ179" i="1"/>
  <c r="IJ82" i="1"/>
  <c r="JG30" i="1"/>
  <c r="CP86" i="1"/>
  <c r="GF168" i="1"/>
  <c r="IE189" i="1"/>
  <c r="HC171" i="1"/>
  <c r="GM82" i="1"/>
  <c r="IO139" i="1"/>
  <c r="GY65" i="1"/>
  <c r="GM76" i="1"/>
  <c r="GY147" i="1"/>
  <c r="CP26" i="1"/>
  <c r="CZ26" i="1" s="1"/>
  <c r="HF166" i="1"/>
  <c r="IE159" i="1"/>
  <c r="CP192" i="1"/>
  <c r="FR192" i="1" s="1"/>
  <c r="CP103" i="1"/>
  <c r="HJ137" i="1"/>
  <c r="HC86" i="1"/>
  <c r="JI185" i="1"/>
  <c r="KA151" i="1"/>
  <c r="GY27" i="1"/>
  <c r="JI203" i="1"/>
  <c r="HF156" i="1"/>
  <c r="CP191" i="1"/>
  <c r="CP93" i="1"/>
  <c r="GY184" i="1"/>
  <c r="GM27" i="1"/>
  <c r="KA179" i="1"/>
  <c r="GF6" i="1"/>
  <c r="HF141" i="1"/>
  <c r="CQ192" i="1"/>
  <c r="FS192" i="1" s="1"/>
  <c r="CP195" i="1"/>
  <c r="FR195" i="1" s="1"/>
  <c r="CP88" i="1"/>
  <c r="CZ88" i="1" s="1"/>
  <c r="JL200" i="1"/>
  <c r="HI95" i="1"/>
  <c r="HS36" i="1"/>
  <c r="IO171" i="1"/>
  <c r="HS69" i="1"/>
  <c r="HS71" i="1"/>
  <c r="HS79" i="1"/>
  <c r="JQ180" i="1"/>
  <c r="HS82" i="1"/>
  <c r="IH196" i="1"/>
  <c r="CO144" i="1"/>
  <c r="IH187" i="1"/>
  <c r="GC82" i="1"/>
  <c r="HD30" i="1"/>
  <c r="GC31" i="1"/>
  <c r="CQ20" i="1"/>
  <c r="FS20" i="1" s="1"/>
  <c r="ID197" i="1"/>
  <c r="GC187" i="1"/>
  <c r="HB163" i="1"/>
  <c r="CO142" i="1"/>
  <c r="FQ142" i="1" s="1"/>
  <c r="IH203" i="1"/>
  <c r="CN103" i="1"/>
  <c r="JB10" i="1"/>
  <c r="IY143" i="1"/>
  <c r="KC155" i="1"/>
  <c r="GZ198" i="1"/>
  <c r="ID187" i="1"/>
  <c r="CN15" i="1"/>
  <c r="FP15" i="1" s="1"/>
  <c r="HD38" i="1"/>
  <c r="GB38" i="1"/>
  <c r="GV30" i="1"/>
  <c r="CQ37" i="1"/>
  <c r="IE168" i="1"/>
  <c r="ID196" i="1"/>
  <c r="GC184" i="1"/>
  <c r="HB149" i="1"/>
  <c r="CP144" i="1"/>
  <c r="FR144" i="1" s="1"/>
  <c r="CO145" i="1"/>
  <c r="DI145" i="1" s="1"/>
  <c r="GZ180" i="1"/>
  <c r="GZ149" i="1"/>
  <c r="IA201" i="1"/>
  <c r="IA166" i="1"/>
  <c r="IA147" i="1"/>
  <c r="GV202" i="1"/>
  <c r="GV186" i="1"/>
  <c r="GV152" i="1"/>
  <c r="IH202" i="1"/>
  <c r="HW192" i="1"/>
  <c r="HW165" i="1"/>
  <c r="HW151" i="1"/>
  <c r="IA120" i="1"/>
  <c r="IA83" i="1"/>
  <c r="IA56" i="1"/>
  <c r="GZ123" i="1"/>
  <c r="GZ129" i="1"/>
  <c r="IA129" i="1"/>
  <c r="GV110" i="1"/>
  <c r="GV68" i="1"/>
  <c r="GV45" i="1"/>
  <c r="IA139" i="1"/>
  <c r="CN100" i="1"/>
  <c r="DR100" i="1" s="1"/>
  <c r="HW105" i="1"/>
  <c r="CP72" i="1"/>
  <c r="FR72" i="1" s="1"/>
  <c r="HW137" i="1"/>
  <c r="HW91" i="1"/>
  <c r="GC64" i="1"/>
  <c r="GZ138" i="1"/>
  <c r="KF101" i="1"/>
  <c r="KF126" i="1"/>
  <c r="KF156" i="1"/>
  <c r="KF170" i="1"/>
  <c r="KF175" i="1"/>
  <c r="JB11" i="1"/>
  <c r="KC125" i="1"/>
  <c r="JB42" i="1"/>
  <c r="JB124" i="1"/>
  <c r="JB128" i="1"/>
  <c r="JB156" i="1"/>
  <c r="JB183" i="1"/>
  <c r="JB45" i="1"/>
  <c r="IY169" i="1"/>
  <c r="JB44" i="1"/>
  <c r="JB120" i="1"/>
  <c r="CO36" i="1"/>
  <c r="FQ36" i="1" s="1"/>
  <c r="CS6" i="1"/>
  <c r="FU6" i="1" s="1"/>
  <c r="HM124" i="1"/>
  <c r="GC83" i="1"/>
  <c r="HC54" i="1"/>
  <c r="HS13" i="1"/>
  <c r="IH30" i="1"/>
  <c r="IY185" i="1"/>
  <c r="KC143" i="1"/>
  <c r="GZ195" i="1"/>
  <c r="ID150" i="1"/>
  <c r="CO27" i="1"/>
  <c r="FQ27" i="1" s="1"/>
  <c r="CS163" i="1"/>
  <c r="FK163" i="1" s="1"/>
  <c r="IE165" i="1"/>
  <c r="ID201" i="1"/>
  <c r="GC183" i="1"/>
  <c r="HB152" i="1"/>
  <c r="CP142" i="1"/>
  <c r="CO141" i="1"/>
  <c r="FQ141" i="1" s="1"/>
  <c r="GZ170" i="1"/>
  <c r="GZ144" i="1"/>
  <c r="IA190" i="1"/>
  <c r="IA165" i="1"/>
  <c r="IA145" i="1"/>
  <c r="GV196" i="1"/>
  <c r="GV183" i="1"/>
  <c r="GV160" i="1"/>
  <c r="IH198" i="1"/>
  <c r="HW189" i="1"/>
  <c r="HW158" i="1"/>
  <c r="HW147" i="1"/>
  <c r="CN130" i="1"/>
  <c r="FP130" i="1" s="1"/>
  <c r="IA100" i="1"/>
  <c r="IA71" i="1"/>
  <c r="IA55" i="1"/>
  <c r="GZ119" i="1"/>
  <c r="IA131" i="1"/>
  <c r="GV112" i="1"/>
  <c r="GV59" i="1"/>
  <c r="GV44" i="1"/>
  <c r="CN81" i="1"/>
  <c r="CP70" i="1"/>
  <c r="CZ70" i="1" s="1"/>
  <c r="HW134" i="1"/>
  <c r="HW69" i="1"/>
  <c r="GC70" i="1"/>
  <c r="HW98" i="1"/>
  <c r="IA115" i="1"/>
  <c r="KF6" i="1"/>
  <c r="KF136" i="1"/>
  <c r="KF128" i="1"/>
  <c r="KF152" i="1"/>
  <c r="KF176" i="1"/>
  <c r="KF180" i="1"/>
  <c r="KC179" i="1"/>
  <c r="JB49" i="1"/>
  <c r="JB152" i="1"/>
  <c r="JB132" i="1"/>
  <c r="JB158" i="1"/>
  <c r="JB190" i="1"/>
  <c r="JB50" i="1"/>
  <c r="JB43" i="1"/>
  <c r="IY161" i="1"/>
  <c r="HS84" i="1"/>
  <c r="GF205" i="1"/>
  <c r="HM152" i="1"/>
  <c r="HW54" i="1"/>
  <c r="KF25" i="1"/>
  <c r="JL63" i="1"/>
  <c r="HW38" i="1"/>
  <c r="IY155" i="1"/>
  <c r="KC136" i="1"/>
  <c r="ID161" i="1"/>
  <c r="GF175" i="1"/>
  <c r="HW20" i="1"/>
  <c r="GV5" i="1"/>
  <c r="HF35" i="1"/>
  <c r="IA11" i="1"/>
  <c r="CS146" i="1"/>
  <c r="FU146" i="1" s="1"/>
  <c r="IE177" i="1"/>
  <c r="ID200" i="1"/>
  <c r="GC185" i="1"/>
  <c r="HB148" i="1"/>
  <c r="HM158" i="1"/>
  <c r="GZ171" i="1"/>
  <c r="GZ143" i="1"/>
  <c r="IA185" i="1"/>
  <c r="IA171" i="1"/>
  <c r="IA141" i="1"/>
  <c r="GV201" i="1"/>
  <c r="GV172" i="1"/>
  <c r="GV159" i="1"/>
  <c r="HW183" i="1"/>
  <c r="HW160" i="1"/>
  <c r="HW142" i="1"/>
  <c r="IA125" i="1"/>
  <c r="IA76" i="1"/>
  <c r="IA59" i="1"/>
  <c r="GZ99" i="1"/>
  <c r="GV98" i="1"/>
  <c r="GV65" i="1"/>
  <c r="IH53" i="1"/>
  <c r="GV119" i="1"/>
  <c r="CQ52" i="1"/>
  <c r="CP59" i="1"/>
  <c r="CZ59" i="1" s="1"/>
  <c r="HW113" i="1"/>
  <c r="HW67" i="1"/>
  <c r="CO92" i="1"/>
  <c r="GH129" i="1"/>
  <c r="KF80" i="1"/>
  <c r="KF113" i="1"/>
  <c r="KF167" i="1"/>
  <c r="KF148" i="1"/>
  <c r="KF193" i="1"/>
  <c r="KF184" i="1"/>
  <c r="JB66" i="1"/>
  <c r="KC191" i="1"/>
  <c r="JB58" i="1"/>
  <c r="JB116" i="1"/>
  <c r="JB146" i="1"/>
  <c r="JB179" i="1"/>
  <c r="JB200" i="1"/>
  <c r="IY197" i="1"/>
  <c r="JK123" i="1"/>
  <c r="KF68" i="1"/>
  <c r="KF45" i="1"/>
  <c r="KF47" i="1"/>
  <c r="KA109" i="1"/>
  <c r="GB7" i="1"/>
  <c r="IH45" i="1"/>
  <c r="GV85" i="1"/>
  <c r="JG63" i="1"/>
  <c r="KF204" i="1"/>
  <c r="IY152" i="1"/>
  <c r="HA139" i="1"/>
  <c r="KC139" i="1"/>
  <c r="ID153" i="1"/>
  <c r="GF161" i="1"/>
  <c r="HW3" i="1"/>
  <c r="GV42" i="1"/>
  <c r="GC11" i="1"/>
  <c r="HF23" i="1"/>
  <c r="IE174" i="1"/>
  <c r="ID184" i="1"/>
  <c r="GC177" i="1"/>
  <c r="HB143" i="1"/>
  <c r="HM149" i="1"/>
  <c r="GZ173" i="1"/>
  <c r="CN179" i="1"/>
  <c r="DR179" i="1" s="1"/>
  <c r="IA187" i="1"/>
  <c r="IA161" i="1"/>
  <c r="IA143" i="1"/>
  <c r="GV195" i="1"/>
  <c r="GV170" i="1"/>
  <c r="GV153" i="1"/>
  <c r="GI201" i="1"/>
  <c r="HW186" i="1"/>
  <c r="HW166" i="1"/>
  <c r="HW143" i="1"/>
  <c r="GZ135" i="1"/>
  <c r="IA123" i="1"/>
  <c r="IA66" i="1"/>
  <c r="IA53" i="1"/>
  <c r="GZ109" i="1"/>
  <c r="GV89" i="1"/>
  <c r="GV69" i="1"/>
  <c r="IH52" i="1"/>
  <c r="GV120" i="1"/>
  <c r="HW133" i="1"/>
  <c r="CP66" i="1"/>
  <c r="HW129" i="1"/>
  <c r="HW56" i="1"/>
  <c r="CO45" i="1"/>
  <c r="GV123" i="1"/>
  <c r="KF142" i="1"/>
  <c r="KF117" i="1"/>
  <c r="KF89" i="1"/>
  <c r="KF145" i="1"/>
  <c r="KF205" i="1"/>
  <c r="KF185" i="1"/>
  <c r="KF61" i="1"/>
  <c r="JB95" i="1"/>
  <c r="JB68" i="1"/>
  <c r="JB123" i="1"/>
  <c r="JB182" i="1"/>
  <c r="JB192" i="1"/>
  <c r="JB172" i="1"/>
  <c r="JB17" i="1"/>
  <c r="IY189" i="1"/>
  <c r="JK102" i="1"/>
  <c r="HS80" i="1"/>
  <c r="KA118" i="1"/>
  <c r="HG197" i="1"/>
  <c r="CS29" i="1"/>
  <c r="FU29" i="1" s="1"/>
  <c r="IH201" i="1"/>
  <c r="HS65" i="1"/>
  <c r="HS73" i="1"/>
  <c r="HS49" i="1"/>
  <c r="GC175" i="1"/>
  <c r="CO115" i="1"/>
  <c r="DI115" i="1" s="1"/>
  <c r="HS61" i="1"/>
  <c r="IP195" i="1"/>
  <c r="IY141" i="1"/>
  <c r="HA136" i="1"/>
  <c r="KC151" i="1"/>
  <c r="ID190" i="1"/>
  <c r="GF150" i="1"/>
  <c r="HD11" i="1"/>
  <c r="GV15" i="1"/>
  <c r="IA6" i="1"/>
  <c r="CP42" i="1"/>
  <c r="CZ42" i="1" s="1"/>
  <c r="IF185" i="1"/>
  <c r="GV198" i="1"/>
  <c r="IE162" i="1"/>
  <c r="ID169" i="1"/>
  <c r="GC165" i="1"/>
  <c r="HB157" i="1"/>
  <c r="IO198" i="1"/>
  <c r="GZ200" i="1"/>
  <c r="GZ169" i="1"/>
  <c r="CN197" i="1"/>
  <c r="FP197" i="1" s="1"/>
  <c r="IA184" i="1"/>
  <c r="IA163" i="1"/>
  <c r="IA142" i="1"/>
  <c r="HL171" i="1"/>
  <c r="GV193" i="1"/>
  <c r="GV167" i="1"/>
  <c r="GV148" i="1"/>
  <c r="GI198" i="1"/>
  <c r="HW182" i="1"/>
  <c r="HW176" i="1"/>
  <c r="IA135" i="1"/>
  <c r="IA119" i="1"/>
  <c r="IA82" i="1"/>
  <c r="IA58" i="1"/>
  <c r="GZ106" i="1"/>
  <c r="GV136" i="1"/>
  <c r="HK121" i="1"/>
  <c r="GZ137" i="1"/>
  <c r="GV100" i="1"/>
  <c r="GV72" i="1"/>
  <c r="IH51" i="1"/>
  <c r="CP50" i="1"/>
  <c r="CZ50" i="1" s="1"/>
  <c r="HW127" i="1"/>
  <c r="HW58" i="1"/>
  <c r="GI56" i="1"/>
  <c r="CO44" i="1"/>
  <c r="FQ44" i="1" s="1"/>
  <c r="KF69" i="1"/>
  <c r="KF121" i="1"/>
  <c r="KF90" i="1"/>
  <c r="KF151" i="1"/>
  <c r="KF162" i="1"/>
  <c r="KF187" i="1"/>
  <c r="KF59" i="1"/>
  <c r="JB112" i="1"/>
  <c r="JB72" i="1"/>
  <c r="JB91" i="1"/>
  <c r="JB163" i="1"/>
  <c r="JB149" i="1"/>
  <c r="JB173" i="1"/>
  <c r="JB12" i="1"/>
  <c r="JB38" i="1"/>
  <c r="JL177" i="1"/>
  <c r="IY195" i="1"/>
  <c r="JK114" i="1"/>
  <c r="JB53" i="1"/>
  <c r="KF51" i="1"/>
  <c r="JB47" i="1"/>
  <c r="HS30" i="1"/>
  <c r="KA180" i="1"/>
  <c r="HS29" i="1"/>
  <c r="HG198" i="1"/>
  <c r="HG196" i="1"/>
  <c r="IJ84" i="1"/>
  <c r="IP150" i="1"/>
  <c r="ID193" i="1"/>
  <c r="HB181" i="1"/>
  <c r="ID166" i="1"/>
  <c r="CS150" i="1"/>
  <c r="ID194" i="1"/>
  <c r="HB150" i="1"/>
  <c r="HI193" i="1"/>
  <c r="HJ25" i="1"/>
  <c r="JJ183" i="1"/>
  <c r="GZ3" i="1"/>
  <c r="IY157" i="1"/>
  <c r="ID175" i="1"/>
  <c r="GF190" i="1"/>
  <c r="GV27" i="1"/>
  <c r="IA16" i="1"/>
  <c r="HF30" i="1"/>
  <c r="IF142" i="1"/>
  <c r="HD171" i="1"/>
  <c r="ID171" i="1"/>
  <c r="GC172" i="1"/>
  <c r="HB141" i="1"/>
  <c r="IO172" i="1"/>
  <c r="GZ196" i="1"/>
  <c r="GZ168" i="1"/>
  <c r="CN162" i="1"/>
  <c r="IA193" i="1"/>
  <c r="IA162" i="1"/>
  <c r="IA203" i="1"/>
  <c r="HL150" i="1"/>
  <c r="GV189" i="1"/>
  <c r="GV182" i="1"/>
  <c r="GV150" i="1"/>
  <c r="HW204" i="1"/>
  <c r="HW185" i="1"/>
  <c r="HW172" i="1"/>
  <c r="IK189" i="1"/>
  <c r="GV137" i="1"/>
  <c r="IA114" i="1"/>
  <c r="IA75" i="1"/>
  <c r="IA50" i="1"/>
  <c r="GZ93" i="1"/>
  <c r="IA137" i="1"/>
  <c r="GV95" i="1"/>
  <c r="HW120" i="1"/>
  <c r="KF73" i="1"/>
  <c r="KF125" i="1"/>
  <c r="KF91" i="1"/>
  <c r="KF143" i="1"/>
  <c r="KF169" i="1"/>
  <c r="JB56" i="1"/>
  <c r="JB70" i="1"/>
  <c r="JB77" i="1"/>
  <c r="JB117" i="1"/>
  <c r="JB139" i="1"/>
  <c r="JB153" i="1"/>
  <c r="JB174" i="1"/>
  <c r="JL201" i="1"/>
  <c r="JK117" i="1"/>
  <c r="HG200" i="1"/>
  <c r="HG194" i="1"/>
  <c r="GC173" i="1"/>
  <c r="JJ202" i="1"/>
  <c r="ID177" i="1"/>
  <c r="JJ58" i="1"/>
  <c r="IF141" i="1"/>
  <c r="HD157" i="1"/>
  <c r="GC159" i="1"/>
  <c r="JD6" i="1"/>
  <c r="IQ45" i="1"/>
  <c r="IQ119" i="1"/>
  <c r="IQ139" i="1"/>
  <c r="IQ67" i="1"/>
  <c r="IQ123" i="1"/>
  <c r="IQ58" i="1"/>
  <c r="IQ69" i="1"/>
  <c r="IQ120" i="1"/>
  <c r="IQ81" i="1"/>
  <c r="IQ127" i="1"/>
  <c r="IQ101" i="1"/>
  <c r="IQ134" i="1"/>
  <c r="IQ98" i="1"/>
  <c r="IQ115" i="1"/>
  <c r="IQ111" i="1"/>
  <c r="IQ138" i="1"/>
  <c r="IQ91" i="1"/>
  <c r="IQ104" i="1"/>
  <c r="IQ122" i="1"/>
  <c r="IQ130" i="1"/>
  <c r="IQ56" i="1"/>
  <c r="IQ97" i="1"/>
  <c r="IQ103" i="1"/>
  <c r="IQ110" i="1"/>
  <c r="IQ124" i="1"/>
  <c r="IQ125" i="1"/>
  <c r="IQ126" i="1"/>
  <c r="IQ129" i="1"/>
  <c r="IQ203" i="1"/>
  <c r="IQ140" i="1"/>
  <c r="IQ44" i="1"/>
  <c r="IQ131" i="1"/>
  <c r="IQ50" i="1"/>
  <c r="IQ61" i="1"/>
  <c r="IQ89" i="1"/>
  <c r="IQ137" i="1"/>
  <c r="IQ148" i="1"/>
  <c r="IQ181" i="1"/>
  <c r="IQ188" i="1"/>
  <c r="IQ152" i="1"/>
  <c r="IQ173" i="1"/>
  <c r="IQ194" i="1"/>
  <c r="IQ3" i="1"/>
  <c r="IQ153" i="1"/>
  <c r="IQ177" i="1"/>
  <c r="IQ201" i="1"/>
  <c r="IQ20" i="1"/>
  <c r="IQ55" i="1"/>
  <c r="IQ157" i="1"/>
  <c r="IQ182" i="1"/>
  <c r="IQ196" i="1"/>
  <c r="IQ92" i="1"/>
  <c r="IQ163" i="1"/>
  <c r="IQ176" i="1"/>
  <c r="IQ197" i="1"/>
  <c r="IQ135" i="1"/>
  <c r="IQ160" i="1"/>
  <c r="IQ184" i="1"/>
  <c r="IQ202" i="1"/>
  <c r="IQ150" i="1"/>
  <c r="IQ185" i="1"/>
  <c r="IQ154" i="1"/>
  <c r="IQ187" i="1"/>
  <c r="IQ155" i="1"/>
  <c r="IQ183" i="1"/>
  <c r="IQ37" i="1"/>
  <c r="IQ158" i="1"/>
  <c r="IQ198" i="1"/>
  <c r="IQ205" i="1"/>
  <c r="IQ178" i="1"/>
  <c r="IQ204" i="1"/>
  <c r="IQ146" i="1"/>
  <c r="IQ200" i="1"/>
  <c r="IQ136" i="1"/>
  <c r="IQ145" i="1"/>
  <c r="IQ190" i="1"/>
  <c r="IQ147" i="1"/>
  <c r="IQ195" i="1"/>
  <c r="IQ90" i="1"/>
  <c r="IQ151" i="1"/>
  <c r="IQ143" i="1"/>
  <c r="IQ191" i="1"/>
  <c r="IQ149" i="1"/>
  <c r="IQ189" i="1"/>
  <c r="IQ175" i="1"/>
  <c r="IQ102" i="1"/>
  <c r="IQ174" i="1"/>
  <c r="IQ186" i="1"/>
  <c r="IQ38" i="1"/>
  <c r="IQ114" i="1"/>
  <c r="IQ105" i="1"/>
  <c r="IQ159" i="1"/>
  <c r="IQ192" i="1"/>
  <c r="IQ161" i="1"/>
  <c r="IQ112" i="1"/>
  <c r="IQ156" i="1"/>
  <c r="IQ164" i="1"/>
  <c r="IQ166" i="1"/>
  <c r="IQ162" i="1"/>
  <c r="IQ170" i="1"/>
  <c r="IQ118" i="1"/>
  <c r="IQ171" i="1"/>
  <c r="IQ113" i="1"/>
  <c r="IQ167" i="1"/>
  <c r="IQ117" i="1"/>
  <c r="IQ165" i="1"/>
  <c r="IQ168" i="1"/>
  <c r="IQ121" i="1"/>
  <c r="IQ169" i="1"/>
  <c r="IQ132" i="1"/>
  <c r="HP66" i="1"/>
  <c r="HP88" i="1"/>
  <c r="HP61" i="1"/>
  <c r="HP93" i="1"/>
  <c r="HP131" i="1"/>
  <c r="HP76" i="1"/>
  <c r="HP124" i="1"/>
  <c r="HP77" i="1"/>
  <c r="HP114" i="1"/>
  <c r="HP133" i="1"/>
  <c r="HP70" i="1"/>
  <c r="HP120" i="1"/>
  <c r="HP73" i="1"/>
  <c r="HP129" i="1"/>
  <c r="HP54" i="1"/>
  <c r="HP95" i="1"/>
  <c r="HP99" i="1"/>
  <c r="HP60" i="1"/>
  <c r="HP111" i="1"/>
  <c r="HP45" i="1"/>
  <c r="HP109" i="1"/>
  <c r="HP50" i="1"/>
  <c r="HP112" i="1"/>
  <c r="HP52" i="1"/>
  <c r="HP100" i="1"/>
  <c r="HP128" i="1"/>
  <c r="HP75" i="1"/>
  <c r="HP115" i="1"/>
  <c r="HP80" i="1"/>
  <c r="HP108" i="1"/>
  <c r="HP161" i="1"/>
  <c r="HP191" i="1"/>
  <c r="HP8" i="1"/>
  <c r="HP127" i="1"/>
  <c r="HP134" i="1"/>
  <c r="HP141" i="1"/>
  <c r="HP162" i="1"/>
  <c r="HP197" i="1"/>
  <c r="HP106" i="1"/>
  <c r="HP142" i="1"/>
  <c r="HP163" i="1"/>
  <c r="HP169" i="1"/>
  <c r="HP145" i="1"/>
  <c r="HP164" i="1"/>
  <c r="HP175" i="1"/>
  <c r="HP203" i="1"/>
  <c r="HP53" i="1"/>
  <c r="HP152" i="1"/>
  <c r="HP174" i="1"/>
  <c r="HP186" i="1"/>
  <c r="HP151" i="1"/>
  <c r="HP173" i="1"/>
  <c r="HP189" i="1"/>
  <c r="HP27" i="1"/>
  <c r="HP153" i="1"/>
  <c r="HP171" i="1"/>
  <c r="HP198" i="1"/>
  <c r="HP195" i="1"/>
  <c r="HP37" i="1"/>
  <c r="HP157" i="1"/>
  <c r="HP172" i="1"/>
  <c r="HP194" i="1"/>
  <c r="HP16" i="1"/>
  <c r="HP144" i="1"/>
  <c r="HP178" i="1"/>
  <c r="HP200" i="1"/>
  <c r="HP205" i="1"/>
  <c r="HP156" i="1"/>
  <c r="HP181" i="1"/>
  <c r="HP44" i="1"/>
  <c r="HP118" i="1"/>
  <c r="HP147" i="1"/>
  <c r="HP192" i="1"/>
  <c r="HP49" i="1"/>
  <c r="HP149" i="1"/>
  <c r="HP183" i="1"/>
  <c r="HP150" i="1"/>
  <c r="HP196" i="1"/>
  <c r="HP30" i="1"/>
  <c r="HP6" i="1"/>
  <c r="HP148" i="1"/>
  <c r="HP202" i="1"/>
  <c r="HP11" i="1"/>
  <c r="HP160" i="1"/>
  <c r="HP199" i="1"/>
  <c r="HP7" i="1"/>
  <c r="HP193" i="1"/>
  <c r="HP135" i="1"/>
  <c r="HP158" i="1"/>
  <c r="HP201" i="1"/>
  <c r="HP23" i="1"/>
  <c r="HP59" i="1"/>
  <c r="HP155" i="1"/>
  <c r="HP204" i="1"/>
  <c r="HP5" i="1"/>
  <c r="HP65" i="1"/>
  <c r="HP159" i="1"/>
  <c r="HP38" i="1"/>
  <c r="HP78" i="1"/>
  <c r="HP165" i="1"/>
  <c r="HP15" i="1"/>
  <c r="HP71" i="1"/>
  <c r="HP68" i="1"/>
  <c r="HP154" i="1"/>
  <c r="HP31" i="1"/>
  <c r="HP166" i="1"/>
  <c r="HP187" i="1"/>
  <c r="HP29" i="1"/>
  <c r="HP190" i="1"/>
  <c r="HP42" i="1"/>
  <c r="HP10" i="1"/>
  <c r="HP185" i="1"/>
  <c r="HP20" i="1"/>
  <c r="HP43" i="1"/>
  <c r="HP97" i="1"/>
  <c r="HP89" i="1"/>
  <c r="HP143" i="1"/>
  <c r="HP79" i="1"/>
  <c r="HP82" i="1"/>
  <c r="HP92" i="1"/>
  <c r="HP103" i="1"/>
  <c r="HP184" i="1"/>
  <c r="JT107" i="1"/>
  <c r="JT185" i="1"/>
  <c r="JT139" i="1"/>
  <c r="JT131" i="1"/>
  <c r="JT106" i="1"/>
  <c r="JT169" i="1"/>
  <c r="JT157" i="1"/>
  <c r="JT138" i="1"/>
  <c r="JT95" i="1"/>
  <c r="JT187" i="1"/>
  <c r="JT141" i="1"/>
  <c r="JT130" i="1"/>
  <c r="JT129" i="1"/>
  <c r="JT174" i="1"/>
  <c r="JT134" i="1"/>
  <c r="JT162" i="1"/>
  <c r="JT114" i="1"/>
  <c r="JT168" i="1"/>
  <c r="JT155" i="1"/>
  <c r="JT125" i="1"/>
  <c r="JT116" i="1"/>
  <c r="JT184" i="1"/>
  <c r="JT142" i="1"/>
  <c r="JT118" i="1"/>
  <c r="JT205" i="1"/>
  <c r="JT140" i="1"/>
  <c r="JT128" i="1"/>
  <c r="JT175" i="1"/>
  <c r="JT132" i="1"/>
  <c r="JT117" i="1"/>
  <c r="JT203" i="1"/>
  <c r="JT164" i="1"/>
  <c r="JT96" i="1"/>
  <c r="JT170" i="1"/>
  <c r="JT156" i="1"/>
  <c r="JT122" i="1"/>
  <c r="JT100" i="1"/>
  <c r="JT161" i="1"/>
  <c r="JT149" i="1"/>
  <c r="JT112" i="1"/>
  <c r="JT194" i="1"/>
  <c r="JT144" i="1"/>
  <c r="JT55" i="1"/>
  <c r="JT190" i="1"/>
  <c r="JT153" i="1"/>
  <c r="JT186" i="1"/>
  <c r="JT135" i="1"/>
  <c r="JT182" i="1"/>
  <c r="JT123" i="1"/>
  <c r="JT178" i="1"/>
  <c r="JT158" i="1"/>
  <c r="JT176" i="1"/>
  <c r="JT136" i="1"/>
  <c r="JT166" i="1"/>
  <c r="JT124" i="1"/>
  <c r="JT160" i="1"/>
  <c r="JT121" i="1"/>
  <c r="JT171" i="1"/>
  <c r="JT111" i="1"/>
  <c r="JT163" i="1"/>
  <c r="JT58" i="1"/>
  <c r="JT181" i="1"/>
  <c r="JT148" i="1"/>
  <c r="JT152" i="1"/>
  <c r="JT198" i="1"/>
  <c r="JT177" i="1"/>
  <c r="JT193" i="1"/>
  <c r="JT173" i="1"/>
  <c r="JT150" i="1"/>
  <c r="JT154" i="1"/>
  <c r="JT151" i="1"/>
  <c r="JT180" i="1"/>
  <c r="JT191" i="1"/>
  <c r="JT31" i="1"/>
  <c r="JT137" i="1"/>
  <c r="JT201" i="1"/>
  <c r="JT94" i="1"/>
  <c r="JT115" i="1"/>
  <c r="JT189" i="1"/>
  <c r="JT126" i="1"/>
  <c r="JT53" i="1"/>
  <c r="JT42" i="1"/>
  <c r="JT146" i="1"/>
  <c r="JT7" i="1"/>
  <c r="JT159" i="1"/>
  <c r="JT165" i="1"/>
  <c r="JT143" i="1"/>
  <c r="JT120" i="1"/>
  <c r="JT199" i="1"/>
  <c r="JT197" i="1"/>
  <c r="JT113" i="1"/>
  <c r="JT109" i="1"/>
  <c r="JT133" i="1"/>
  <c r="JT83" i="1"/>
  <c r="JT127" i="1"/>
  <c r="JT119" i="1"/>
  <c r="IP107" i="1"/>
  <c r="IP139" i="1"/>
  <c r="IP132" i="1"/>
  <c r="IP137" i="1"/>
  <c r="IP130" i="1"/>
  <c r="IP117" i="1"/>
  <c r="IP124" i="1"/>
  <c r="IP131" i="1"/>
  <c r="IP114" i="1"/>
  <c r="IP140" i="1"/>
  <c r="IP119" i="1"/>
  <c r="IP133" i="1"/>
  <c r="IP118" i="1"/>
  <c r="IP123" i="1"/>
  <c r="IP125" i="1"/>
  <c r="IP127" i="1"/>
  <c r="IP111" i="1"/>
  <c r="IP112" i="1"/>
  <c r="IP115" i="1"/>
  <c r="IP205" i="1"/>
  <c r="IP138" i="1"/>
  <c r="IP134" i="1"/>
  <c r="IP154" i="1"/>
  <c r="IP185" i="1"/>
  <c r="IP116" i="1"/>
  <c r="IP159" i="1"/>
  <c r="IP187" i="1"/>
  <c r="IP155" i="1"/>
  <c r="IP177" i="1"/>
  <c r="IP158" i="1"/>
  <c r="IP190" i="1"/>
  <c r="IP58" i="1"/>
  <c r="IP156" i="1"/>
  <c r="IP193" i="1"/>
  <c r="IP203" i="1"/>
  <c r="IP160" i="1"/>
  <c r="IP200" i="1"/>
  <c r="IP55" i="1"/>
  <c r="IP162" i="1"/>
  <c r="IP198" i="1"/>
  <c r="IP96" i="1"/>
  <c r="IP161" i="1"/>
  <c r="IP53" i="1"/>
  <c r="IP94" i="1"/>
  <c r="IP166" i="1"/>
  <c r="IP31" i="1"/>
  <c r="IP95" i="1"/>
  <c r="IP176" i="1"/>
  <c r="IP129" i="1"/>
  <c r="IP163" i="1"/>
  <c r="IP113" i="1"/>
  <c r="IP109" i="1"/>
  <c r="IP182" i="1"/>
  <c r="IP172" i="1"/>
  <c r="IP167" i="1"/>
  <c r="IP188" i="1"/>
  <c r="IP135" i="1"/>
  <c r="IP164" i="1"/>
  <c r="IP147" i="1"/>
  <c r="IP7" i="1"/>
  <c r="IP192" i="1"/>
  <c r="IP71" i="1"/>
  <c r="IP169" i="1"/>
  <c r="IP128" i="1"/>
  <c r="IP170" i="1"/>
  <c r="IP196" i="1"/>
  <c r="IP171" i="1"/>
  <c r="IP173" i="1"/>
  <c r="IP202" i="1"/>
  <c r="IP197" i="1"/>
  <c r="IP178" i="1"/>
  <c r="IP179" i="1"/>
  <c r="IP201" i="1"/>
  <c r="IP168" i="1"/>
  <c r="IP184" i="1"/>
  <c r="IP153" i="1"/>
  <c r="IP157" i="1"/>
  <c r="IP141" i="1"/>
  <c r="IP144" i="1"/>
  <c r="IP142" i="1"/>
  <c r="IP204" i="1"/>
  <c r="IP151" i="1"/>
  <c r="IP83" i="1"/>
  <c r="IP126" i="1"/>
  <c r="IP146" i="1"/>
  <c r="HN106" i="1"/>
  <c r="HN90" i="1"/>
  <c r="HN95" i="1"/>
  <c r="HN89" i="1"/>
  <c r="HN119" i="1"/>
  <c r="HN103" i="1"/>
  <c r="HN111" i="1"/>
  <c r="HN123" i="1"/>
  <c r="HN113" i="1"/>
  <c r="HN112" i="1"/>
  <c r="HN116" i="1"/>
  <c r="HN102" i="1"/>
  <c r="HN133" i="1"/>
  <c r="HN117" i="1"/>
  <c r="HN140" i="1"/>
  <c r="HN130" i="1"/>
  <c r="HN161" i="1"/>
  <c r="HN169" i="1"/>
  <c r="HN193" i="1"/>
  <c r="HN159" i="1"/>
  <c r="HN175" i="1"/>
  <c r="HN189" i="1"/>
  <c r="HN45" i="1"/>
  <c r="HN71" i="1"/>
  <c r="HN155" i="1"/>
  <c r="HN187" i="1"/>
  <c r="HN12" i="1"/>
  <c r="HN151" i="1"/>
  <c r="HN184" i="1"/>
  <c r="HN157" i="1"/>
  <c r="HN181" i="1"/>
  <c r="HN154" i="1"/>
  <c r="HN185" i="1"/>
  <c r="HN171" i="1"/>
  <c r="HN198" i="1"/>
  <c r="HN165" i="1"/>
  <c r="HN197" i="1"/>
  <c r="HN170" i="1"/>
  <c r="HN200" i="1"/>
  <c r="HN142" i="1"/>
  <c r="HN172" i="1"/>
  <c r="HN143" i="1"/>
  <c r="HN177" i="1"/>
  <c r="HN141" i="1"/>
  <c r="HN183" i="1"/>
  <c r="HN144" i="1"/>
  <c r="HN173" i="1"/>
  <c r="HN147" i="1"/>
  <c r="HN174" i="1"/>
  <c r="HN190" i="1"/>
  <c r="HN37" i="1"/>
  <c r="HN191" i="1"/>
  <c r="HN16" i="1"/>
  <c r="HN149" i="1"/>
  <c r="HN178" i="1"/>
  <c r="HN43" i="1"/>
  <c r="HN199" i="1"/>
  <c r="HN146" i="1"/>
  <c r="HN188" i="1"/>
  <c r="HN17" i="1"/>
  <c r="HN148" i="1"/>
  <c r="HN194" i="1"/>
  <c r="HN11" i="1"/>
  <c r="HN150" i="1"/>
  <c r="HN145" i="1"/>
  <c r="HN192" i="1"/>
  <c r="HN115" i="1"/>
  <c r="HN176" i="1"/>
  <c r="HN152" i="1"/>
  <c r="HN201" i="1"/>
  <c r="HN42" i="1"/>
  <c r="HN160" i="1"/>
  <c r="HN182" i="1"/>
  <c r="HN6" i="1"/>
  <c r="HN60" i="1"/>
  <c r="HN202" i="1"/>
  <c r="HN76" i="1"/>
  <c r="HN167" i="1"/>
  <c r="HN203" i="1"/>
  <c r="HN10" i="1"/>
  <c r="HN38" i="1"/>
  <c r="HN75" i="1"/>
  <c r="HN3" i="1"/>
  <c r="HN153" i="1"/>
  <c r="GM107" i="1"/>
  <c r="GM132" i="1"/>
  <c r="GM115" i="1"/>
  <c r="GM118" i="1"/>
  <c r="GM138" i="1"/>
  <c r="GM122" i="1"/>
  <c r="GM13" i="1"/>
  <c r="GM117" i="1"/>
  <c r="GM44" i="1"/>
  <c r="GM96" i="1"/>
  <c r="GM120" i="1"/>
  <c r="GM60" i="1"/>
  <c r="GM97" i="1"/>
  <c r="GM127" i="1"/>
  <c r="GM69" i="1"/>
  <c r="GM103" i="1"/>
  <c r="GM113" i="1"/>
  <c r="GM136" i="1"/>
  <c r="GM95" i="1"/>
  <c r="GM71" i="1"/>
  <c r="GM101" i="1"/>
  <c r="GM108" i="1"/>
  <c r="GM124" i="1"/>
  <c r="GM67" i="1"/>
  <c r="GM98" i="1"/>
  <c r="GM121" i="1"/>
  <c r="GM139" i="1"/>
  <c r="GM58" i="1"/>
  <c r="GM75" i="1"/>
  <c r="GM105" i="1"/>
  <c r="GM150" i="1"/>
  <c r="GM169" i="1"/>
  <c r="GM189" i="1"/>
  <c r="GM134" i="1"/>
  <c r="GM52" i="1"/>
  <c r="GM111" i="1"/>
  <c r="GM129" i="1"/>
  <c r="GM59" i="1"/>
  <c r="GM112" i="1"/>
  <c r="GM154" i="1"/>
  <c r="GM166" i="1"/>
  <c r="GM187" i="1"/>
  <c r="GM130" i="1"/>
  <c r="GM131" i="1"/>
  <c r="GM53" i="1"/>
  <c r="GM91" i="1"/>
  <c r="GM148" i="1"/>
  <c r="GM172" i="1"/>
  <c r="GM190" i="1"/>
  <c r="GM110" i="1"/>
  <c r="GM61" i="1"/>
  <c r="GM94" i="1"/>
  <c r="GM140" i="1"/>
  <c r="GM62" i="1"/>
  <c r="GM93" i="1"/>
  <c r="GM73" i="1"/>
  <c r="GM109" i="1"/>
  <c r="GM64" i="1"/>
  <c r="GM175" i="1"/>
  <c r="GM186" i="1"/>
  <c r="GM17" i="1"/>
  <c r="GM81" i="1"/>
  <c r="GM179" i="1"/>
  <c r="GM192" i="1"/>
  <c r="GM6" i="1"/>
  <c r="GM35" i="1"/>
  <c r="GM68" i="1"/>
  <c r="GM155" i="1"/>
  <c r="GM201" i="1"/>
  <c r="GM42" i="1"/>
  <c r="GM79" i="1"/>
  <c r="GM142" i="1"/>
  <c r="GM160" i="1"/>
  <c r="GM205" i="1"/>
  <c r="GM83" i="1"/>
  <c r="GM141" i="1"/>
  <c r="GM168" i="1"/>
  <c r="GM196" i="1"/>
  <c r="GM65" i="1"/>
  <c r="GM116" i="1"/>
  <c r="GM170" i="1"/>
  <c r="GM200" i="1"/>
  <c r="GM70" i="1"/>
  <c r="GM128" i="1"/>
  <c r="GM167" i="1"/>
  <c r="GM84" i="1"/>
  <c r="GM56" i="1"/>
  <c r="GM126" i="1"/>
  <c r="GM143" i="1"/>
  <c r="GM173" i="1"/>
  <c r="GM5" i="1"/>
  <c r="GM66" i="1"/>
  <c r="GM144" i="1"/>
  <c r="GM171" i="1"/>
  <c r="GM78" i="1"/>
  <c r="GM152" i="1"/>
  <c r="GM176" i="1"/>
  <c r="GM77" i="1"/>
  <c r="GM156" i="1"/>
  <c r="GM183" i="1"/>
  <c r="GM80" i="1"/>
  <c r="GM149" i="1"/>
  <c r="GM178" i="1"/>
  <c r="GM89" i="1"/>
  <c r="GM163" i="1"/>
  <c r="GM204" i="1"/>
  <c r="GM114" i="1"/>
  <c r="GM159" i="1"/>
  <c r="GM37" i="1"/>
  <c r="GM119" i="1"/>
  <c r="GM158" i="1"/>
  <c r="GM29" i="1"/>
  <c r="GM3" i="1"/>
  <c r="GM86" i="1"/>
  <c r="GM135" i="1"/>
  <c r="GM164" i="1"/>
  <c r="GM20" i="1"/>
  <c r="GM123" i="1"/>
  <c r="GM157" i="1"/>
  <c r="GM31" i="1"/>
  <c r="GM137" i="1"/>
  <c r="GM125" i="1"/>
  <c r="GM165" i="1"/>
  <c r="GM11" i="1"/>
  <c r="GM92" i="1"/>
  <c r="GM100" i="1"/>
  <c r="GM174" i="1"/>
  <c r="GM181" i="1"/>
  <c r="GM102" i="1"/>
  <c r="GM180" i="1"/>
  <c r="GM203" i="1"/>
  <c r="GM145" i="1"/>
  <c r="GM16" i="1"/>
  <c r="GM72" i="1"/>
  <c r="GM147" i="1"/>
  <c r="GM146" i="1"/>
  <c r="GM51" i="1"/>
  <c r="GM177" i="1"/>
  <c r="GM184" i="1"/>
  <c r="GM45" i="1"/>
  <c r="GM151" i="1"/>
  <c r="GM54" i="1"/>
  <c r="GM162" i="1"/>
  <c r="GM191" i="1"/>
  <c r="GM38" i="1"/>
  <c r="GM24" i="1"/>
  <c r="GM23" i="1"/>
  <c r="GM55" i="1"/>
  <c r="GM153" i="1"/>
  <c r="GM133" i="1"/>
  <c r="GM49" i="1"/>
  <c r="GM161" i="1"/>
  <c r="GM4" i="1"/>
  <c r="GM50" i="1"/>
  <c r="GM43" i="1"/>
  <c r="GM12" i="1"/>
  <c r="GM8" i="1"/>
  <c r="IP145" i="1"/>
  <c r="HN205" i="1"/>
  <c r="HP176" i="1"/>
  <c r="JQ110" i="1"/>
  <c r="JQ68" i="1"/>
  <c r="JQ91" i="1"/>
  <c r="JQ179" i="1"/>
  <c r="JQ199" i="1"/>
  <c r="JQ66" i="1"/>
  <c r="JQ38" i="1"/>
  <c r="JQ50" i="1"/>
  <c r="JQ65" i="1"/>
  <c r="JQ80" i="1"/>
  <c r="JQ27" i="1"/>
  <c r="JQ116" i="1"/>
  <c r="JQ30" i="1"/>
  <c r="JQ49" i="1"/>
  <c r="JQ71" i="1"/>
  <c r="JQ82" i="1"/>
  <c r="JQ6" i="1"/>
  <c r="JQ26" i="1"/>
  <c r="HN30" i="1"/>
  <c r="JS198" i="1"/>
  <c r="JS199" i="1"/>
  <c r="JS202" i="1"/>
  <c r="JS172" i="1"/>
  <c r="JS167" i="1"/>
  <c r="JS153" i="1"/>
  <c r="JS186" i="1"/>
  <c r="JS160" i="1"/>
  <c r="JS138" i="1"/>
  <c r="JS121" i="1"/>
  <c r="JS155" i="1"/>
  <c r="JS190" i="1"/>
  <c r="JS137" i="1"/>
  <c r="JS188" i="1"/>
  <c r="JS171" i="1"/>
  <c r="JS136" i="1"/>
  <c r="JS152" i="1"/>
  <c r="JS157" i="1"/>
  <c r="JS143" i="1"/>
  <c r="JS134" i="1"/>
  <c r="JS205" i="1"/>
  <c r="JS144" i="1"/>
  <c r="JS148" i="1"/>
  <c r="JS170" i="1"/>
  <c r="JS111" i="1"/>
  <c r="JS151" i="1"/>
  <c r="JS124" i="1"/>
  <c r="JS141" i="1"/>
  <c r="IO121" i="1"/>
  <c r="IO112" i="1"/>
  <c r="IO116" i="1"/>
  <c r="IO128" i="1"/>
  <c r="IO122" i="1"/>
  <c r="IO118" i="1"/>
  <c r="IO133" i="1"/>
  <c r="IO135" i="1"/>
  <c r="IO126" i="1"/>
  <c r="IO140" i="1"/>
  <c r="IO129" i="1"/>
  <c r="IO117" i="1"/>
  <c r="IO132" i="1"/>
  <c r="IO138" i="1"/>
  <c r="IO130" i="1"/>
  <c r="IO166" i="1"/>
  <c r="IO160" i="1"/>
  <c r="IO153" i="1"/>
  <c r="IO179" i="1"/>
  <c r="IO158" i="1"/>
  <c r="IO176" i="1"/>
  <c r="IO145" i="1"/>
  <c r="IO164" i="1"/>
  <c r="IO147" i="1"/>
  <c r="IO178" i="1"/>
  <c r="IO154" i="1"/>
  <c r="IO177" i="1"/>
  <c r="IO113" i="1"/>
  <c r="IO181" i="1"/>
  <c r="IO144" i="1"/>
  <c r="IO115" i="1"/>
  <c r="IO182" i="1"/>
  <c r="IO131" i="1"/>
  <c r="IO142" i="1"/>
  <c r="IO193" i="1"/>
  <c r="IO195" i="1"/>
  <c r="IO185" i="1"/>
  <c r="IO148" i="1"/>
  <c r="IO180" i="1"/>
  <c r="IO152" i="1"/>
  <c r="IO149" i="1"/>
  <c r="IO186" i="1"/>
  <c r="IO157" i="1"/>
  <c r="IO161" i="1"/>
  <c r="IO191" i="1"/>
  <c r="IO150" i="1"/>
  <c r="IO189" i="1"/>
  <c r="IO123" i="1"/>
  <c r="IO169" i="1"/>
  <c r="IO188" i="1"/>
  <c r="IO125" i="1"/>
  <c r="IO175" i="1"/>
  <c r="IO187" i="1"/>
  <c r="IO120" i="1"/>
  <c r="IO202" i="1"/>
  <c r="IO174" i="1"/>
  <c r="IO127" i="1"/>
  <c r="IO184" i="1"/>
  <c r="IO192" i="1"/>
  <c r="IO194" i="1"/>
  <c r="IO201" i="1"/>
  <c r="IO196" i="1"/>
  <c r="IO197" i="1"/>
  <c r="IO111" i="1"/>
  <c r="IO124" i="1"/>
  <c r="IO146" i="1"/>
  <c r="IO114" i="1"/>
  <c r="IO156" i="1"/>
  <c r="IO119" i="1"/>
  <c r="IO159" i="1"/>
  <c r="IO155" i="1"/>
  <c r="IO203" i="1"/>
  <c r="IO167" i="1"/>
  <c r="IO143" i="1"/>
  <c r="IO183" i="1"/>
  <c r="IO168" i="1"/>
  <c r="IO162" i="1"/>
  <c r="IO163" i="1"/>
  <c r="IO134" i="1"/>
  <c r="IO170" i="1"/>
  <c r="IO165" i="1"/>
  <c r="IO151" i="1"/>
  <c r="HM133" i="1"/>
  <c r="HM136" i="1"/>
  <c r="HM132" i="1"/>
  <c r="HM46" i="1"/>
  <c r="HM111" i="1"/>
  <c r="HM91" i="1"/>
  <c r="HM110" i="1"/>
  <c r="HM104" i="1"/>
  <c r="HM89" i="1"/>
  <c r="HM139" i="1"/>
  <c r="HM92" i="1"/>
  <c r="HM114" i="1"/>
  <c r="HM130" i="1"/>
  <c r="HM134" i="1"/>
  <c r="HM55" i="1"/>
  <c r="HM112" i="1"/>
  <c r="HM44" i="1"/>
  <c r="HM116" i="1"/>
  <c r="HM58" i="1"/>
  <c r="HM128" i="1"/>
  <c r="HM162" i="1"/>
  <c r="HM174" i="1"/>
  <c r="HM197" i="1"/>
  <c r="HM138" i="1"/>
  <c r="HM50" i="1"/>
  <c r="HM105" i="1"/>
  <c r="HM153" i="1"/>
  <c r="HM180" i="1"/>
  <c r="HM198" i="1"/>
  <c r="HM56" i="1"/>
  <c r="HM126" i="1"/>
  <c r="HM69" i="1"/>
  <c r="HM81" i="1"/>
  <c r="HM97" i="1"/>
  <c r="HM160" i="1"/>
  <c r="HM187" i="1"/>
  <c r="HM115" i="1"/>
  <c r="HM118" i="1"/>
  <c r="HM140" i="1"/>
  <c r="HM103" i="1"/>
  <c r="HM157" i="1"/>
  <c r="HM184" i="1"/>
  <c r="HM101" i="1"/>
  <c r="HM159" i="1"/>
  <c r="HM185" i="1"/>
  <c r="HM98" i="1"/>
  <c r="HM175" i="1"/>
  <c r="HM195" i="1"/>
  <c r="HM123" i="1"/>
  <c r="HM163" i="1"/>
  <c r="HM205" i="1"/>
  <c r="HM122" i="1"/>
  <c r="HM142" i="1"/>
  <c r="HM167" i="1"/>
  <c r="HM194" i="1"/>
  <c r="HM45" i="1"/>
  <c r="HM143" i="1"/>
  <c r="HM168" i="1"/>
  <c r="HM200" i="1"/>
  <c r="HM61" i="1"/>
  <c r="HM141" i="1"/>
  <c r="HM164" i="1"/>
  <c r="HM202" i="1"/>
  <c r="HM67" i="1"/>
  <c r="HM146" i="1"/>
  <c r="HM173" i="1"/>
  <c r="HM3" i="1"/>
  <c r="HM119" i="1"/>
  <c r="HM145" i="1"/>
  <c r="HM172" i="1"/>
  <c r="HM204" i="1"/>
  <c r="HM31" i="1"/>
  <c r="HM102" i="1"/>
  <c r="HM135" i="1"/>
  <c r="HM148" i="1"/>
  <c r="HM177" i="1"/>
  <c r="HM20" i="1"/>
  <c r="HM120" i="1"/>
  <c r="HM151" i="1"/>
  <c r="HM179" i="1"/>
  <c r="HM178" i="1"/>
  <c r="HM181" i="1"/>
  <c r="HM54" i="1"/>
  <c r="HM137" i="1"/>
  <c r="HM171" i="1"/>
  <c r="HM190" i="1"/>
  <c r="HM183" i="1"/>
  <c r="HM131" i="1"/>
  <c r="HM201" i="1"/>
  <c r="HM125" i="1"/>
  <c r="HM191" i="1"/>
  <c r="HM189" i="1"/>
  <c r="HM127" i="1"/>
  <c r="HM144" i="1"/>
  <c r="HM188" i="1"/>
  <c r="HM113" i="1"/>
  <c r="HM147" i="1"/>
  <c r="HM170" i="1"/>
  <c r="HM193" i="1"/>
  <c r="HM182" i="1"/>
  <c r="HM192" i="1"/>
  <c r="HM86" i="1"/>
  <c r="HM129" i="1"/>
  <c r="HM186" i="1"/>
  <c r="HM203" i="1"/>
  <c r="HM150" i="1"/>
  <c r="HM196" i="1"/>
  <c r="HM199" i="1"/>
  <c r="GL112" i="1"/>
  <c r="GL125" i="1"/>
  <c r="GL138" i="1"/>
  <c r="GL51" i="1"/>
  <c r="GL76" i="1"/>
  <c r="GL127" i="1"/>
  <c r="GL134" i="1"/>
  <c r="GL58" i="1"/>
  <c r="GL82" i="1"/>
  <c r="GL129" i="1"/>
  <c r="GL97" i="1"/>
  <c r="GL59" i="1"/>
  <c r="GL71" i="1"/>
  <c r="GL111" i="1"/>
  <c r="GL26" i="1"/>
  <c r="GL53" i="1"/>
  <c r="GL79" i="1"/>
  <c r="GL113" i="1"/>
  <c r="GL135" i="1"/>
  <c r="GL133" i="1"/>
  <c r="GL60" i="1"/>
  <c r="GL75" i="1"/>
  <c r="GL108" i="1"/>
  <c r="GL56" i="1"/>
  <c r="GL100" i="1"/>
  <c r="GL158" i="1"/>
  <c r="GL172" i="1"/>
  <c r="GL191" i="1"/>
  <c r="GL72" i="1"/>
  <c r="GL120" i="1"/>
  <c r="GL140" i="1"/>
  <c r="GL115" i="1"/>
  <c r="GL69" i="1"/>
  <c r="GL121" i="1"/>
  <c r="GL160" i="1"/>
  <c r="GL193" i="1"/>
  <c r="GL197" i="1"/>
  <c r="GL78" i="1"/>
  <c r="GL89" i="1"/>
  <c r="GL150" i="1"/>
  <c r="GL174" i="1"/>
  <c r="GL199" i="1"/>
  <c r="GL77" i="1"/>
  <c r="GL116" i="1"/>
  <c r="GL90" i="1"/>
  <c r="GL156" i="1"/>
  <c r="GL176" i="1"/>
  <c r="GL201" i="1"/>
  <c r="GL84" i="1"/>
  <c r="GL66" i="1"/>
  <c r="GL96" i="1"/>
  <c r="GL45" i="1"/>
  <c r="GL83" i="1"/>
  <c r="GL95" i="1"/>
  <c r="GL94" i="1"/>
  <c r="GL143" i="1"/>
  <c r="GL171" i="1"/>
  <c r="GL196" i="1"/>
  <c r="GL43" i="1"/>
  <c r="GL130" i="1"/>
  <c r="GL104" i="1"/>
  <c r="GL146" i="1"/>
  <c r="GL168" i="1"/>
  <c r="GL192" i="1"/>
  <c r="GL44" i="1"/>
  <c r="GL93" i="1"/>
  <c r="GL144" i="1"/>
  <c r="GL170" i="1"/>
  <c r="GL200" i="1"/>
  <c r="GL12" i="1"/>
  <c r="GL49" i="1"/>
  <c r="GL106" i="1"/>
  <c r="GL145" i="1"/>
  <c r="GL173" i="1"/>
  <c r="GL54" i="1"/>
  <c r="GL99" i="1"/>
  <c r="GL152" i="1"/>
  <c r="GL181" i="1"/>
  <c r="GL91" i="1"/>
  <c r="GL204" i="1"/>
  <c r="GL147" i="1"/>
  <c r="GL184" i="1"/>
  <c r="GL23" i="1"/>
  <c r="GL109" i="1"/>
  <c r="GL155" i="1"/>
  <c r="GL198" i="1"/>
  <c r="GL203" i="1"/>
  <c r="GL20" i="1"/>
  <c r="GL92" i="1"/>
  <c r="GL157" i="1"/>
  <c r="GL190" i="1"/>
  <c r="GL16" i="1"/>
  <c r="GL102" i="1"/>
  <c r="GL151" i="1"/>
  <c r="GL187" i="1"/>
  <c r="GL42" i="1"/>
  <c r="GL105" i="1"/>
  <c r="GL159" i="1"/>
  <c r="GL185" i="1"/>
  <c r="GL24" i="1"/>
  <c r="GL55" i="1"/>
  <c r="GL126" i="1"/>
  <c r="GL153" i="1"/>
  <c r="GL188" i="1"/>
  <c r="GL29" i="1"/>
  <c r="GL52" i="1"/>
  <c r="GL117" i="1"/>
  <c r="GL164" i="1"/>
  <c r="GL195" i="1"/>
  <c r="GL81" i="1"/>
  <c r="GL180" i="1"/>
  <c r="GL31" i="1"/>
  <c r="GL10" i="1"/>
  <c r="GL136" i="1"/>
  <c r="GL88" i="1"/>
  <c r="GL182" i="1"/>
  <c r="GL7" i="1"/>
  <c r="GL17" i="1"/>
  <c r="GL101" i="1"/>
  <c r="GL175" i="1"/>
  <c r="GL35" i="1"/>
  <c r="GL98" i="1"/>
  <c r="GL177" i="1"/>
  <c r="GL128" i="1"/>
  <c r="GL179" i="1"/>
  <c r="GL118" i="1"/>
  <c r="GL194" i="1"/>
  <c r="GL124" i="1"/>
  <c r="GL186" i="1"/>
  <c r="GL4" i="1"/>
  <c r="GL141" i="1"/>
  <c r="GL142" i="1"/>
  <c r="GL3" i="1"/>
  <c r="GL68" i="1"/>
  <c r="GL189" i="1"/>
  <c r="GL64" i="1"/>
  <c r="GL183" i="1"/>
  <c r="GL122" i="1"/>
  <c r="GL65" i="1"/>
  <c r="GL205" i="1"/>
  <c r="GL178" i="1"/>
  <c r="GL67" i="1"/>
  <c r="GL70" i="1"/>
  <c r="GL73" i="1"/>
  <c r="GL139" i="1"/>
  <c r="GL80" i="1"/>
  <c r="GL8" i="1"/>
  <c r="JQ133" i="1"/>
  <c r="HN204" i="1"/>
  <c r="IP199" i="1"/>
  <c r="IO137" i="1"/>
  <c r="GL15" i="1"/>
  <c r="HP179" i="1"/>
  <c r="HN195" i="1"/>
  <c r="HM154" i="1"/>
  <c r="IC120" i="1"/>
  <c r="IC124" i="1"/>
  <c r="IC159" i="1"/>
  <c r="IC182" i="1"/>
  <c r="IC174" i="1"/>
  <c r="IC105" i="1"/>
  <c r="IC173" i="1"/>
  <c r="IC181" i="1"/>
  <c r="IC141" i="1"/>
  <c r="IC146" i="1"/>
  <c r="IC44" i="1"/>
  <c r="IC80" i="1"/>
  <c r="IC144" i="1"/>
  <c r="IC201" i="1"/>
  <c r="IC176" i="1"/>
  <c r="IC196" i="1"/>
  <c r="IC51" i="1"/>
  <c r="JR107" i="1"/>
  <c r="JR201" i="1"/>
  <c r="JR178" i="1"/>
  <c r="JR144" i="1"/>
  <c r="JR136" i="1"/>
  <c r="JR168" i="1"/>
  <c r="JR197" i="1"/>
  <c r="JR132" i="1"/>
  <c r="JR143" i="1"/>
  <c r="JR179" i="1"/>
  <c r="JR151" i="1"/>
  <c r="JR135" i="1"/>
  <c r="JR93" i="1"/>
  <c r="JR191" i="1"/>
  <c r="JR147" i="1"/>
  <c r="JR123" i="1"/>
  <c r="JR109" i="1"/>
  <c r="JR189" i="1"/>
  <c r="JR133" i="1"/>
  <c r="JR119" i="1"/>
  <c r="JR101" i="1"/>
  <c r="JR174" i="1"/>
  <c r="JR126" i="1"/>
  <c r="JR113" i="1"/>
  <c r="JR170" i="1"/>
  <c r="JR122" i="1"/>
  <c r="JR138" i="1"/>
  <c r="JR157" i="1"/>
  <c r="JR118" i="1"/>
  <c r="JR99" i="1"/>
  <c r="JR193" i="1"/>
  <c r="JR114" i="1"/>
  <c r="JR137" i="1"/>
  <c r="JR164" i="1"/>
  <c r="JR110" i="1"/>
  <c r="JR3" i="1"/>
  <c r="JR158" i="1"/>
  <c r="JR106" i="1"/>
  <c r="JR182" i="1"/>
  <c r="JR115" i="1"/>
  <c r="JR172" i="1"/>
  <c r="JR111" i="1"/>
  <c r="JR171" i="1"/>
  <c r="JR163" i="1"/>
  <c r="JR159" i="1"/>
  <c r="JR146" i="1"/>
  <c r="JR155" i="1"/>
  <c r="JR134" i="1"/>
  <c r="JR169" i="1"/>
  <c r="JR127" i="1"/>
  <c r="JR141" i="1"/>
  <c r="JR139" i="1"/>
  <c r="JR162" i="1"/>
  <c r="JR149" i="1"/>
  <c r="JR202" i="1"/>
  <c r="JR130" i="1"/>
  <c r="JR204" i="1"/>
  <c r="JR128" i="1"/>
  <c r="JR184" i="1"/>
  <c r="JR131" i="1"/>
  <c r="JR200" i="1"/>
  <c r="JR177" i="1"/>
  <c r="JR129" i="1"/>
  <c r="JR203" i="1"/>
  <c r="JR175" i="1"/>
  <c r="JR145" i="1"/>
  <c r="JR102" i="1"/>
  <c r="JR112" i="1"/>
  <c r="JR198" i="1"/>
  <c r="JR108" i="1"/>
  <c r="JR192" i="1"/>
  <c r="JR125" i="1"/>
  <c r="JR199" i="1"/>
  <c r="JR121" i="1"/>
  <c r="JR167" i="1"/>
  <c r="JR186" i="1"/>
  <c r="JR117" i="1"/>
  <c r="JR148" i="1"/>
  <c r="JR183" i="1"/>
  <c r="JR187" i="1"/>
  <c r="JR194" i="1"/>
  <c r="JR6" i="1"/>
  <c r="JR185" i="1"/>
  <c r="JR195" i="1"/>
  <c r="JR160" i="1"/>
  <c r="JR166" i="1"/>
  <c r="JR196" i="1"/>
  <c r="JR150" i="1"/>
  <c r="JR181" i="1"/>
  <c r="JR205" i="1"/>
  <c r="JR180" i="1"/>
  <c r="JR173" i="1"/>
  <c r="JR124" i="1"/>
  <c r="JR188" i="1"/>
  <c r="JR161" i="1"/>
  <c r="JR154" i="1"/>
  <c r="JR142" i="1"/>
  <c r="JR156" i="1"/>
  <c r="JR176" i="1"/>
  <c r="JR165" i="1"/>
  <c r="JR152" i="1"/>
  <c r="JR190" i="1"/>
  <c r="JR153" i="1"/>
  <c r="JR120" i="1"/>
  <c r="IQ86" i="1"/>
  <c r="IP183" i="1"/>
  <c r="IO141" i="1"/>
  <c r="JT167" i="1"/>
  <c r="CV46" i="1"/>
  <c r="FX46" i="1" s="1"/>
  <c r="CV128" i="1"/>
  <c r="FX128" i="1" s="1"/>
  <c r="CV130" i="1"/>
  <c r="FX130" i="1" s="1"/>
  <c r="CV98" i="1"/>
  <c r="FX98" i="1" s="1"/>
  <c r="CV62" i="1"/>
  <c r="FX62" i="1" s="1"/>
  <c r="CV96" i="1"/>
  <c r="FX96" i="1" s="1"/>
  <c r="CV110" i="1"/>
  <c r="FX110" i="1" s="1"/>
  <c r="CV168" i="1"/>
  <c r="FX168" i="1" s="1"/>
  <c r="CV187" i="1"/>
  <c r="FX187" i="1" s="1"/>
  <c r="CV66" i="1"/>
  <c r="FX66" i="1" s="1"/>
  <c r="CV101" i="1"/>
  <c r="FX101" i="1" s="1"/>
  <c r="CV88" i="1"/>
  <c r="CV17" i="1"/>
  <c r="FX17" i="1" s="1"/>
  <c r="CV156" i="1"/>
  <c r="CV185" i="1"/>
  <c r="CV69" i="1"/>
  <c r="CV90" i="1"/>
  <c r="FX90" i="1" s="1"/>
  <c r="CV125" i="1"/>
  <c r="CV143" i="1"/>
  <c r="FX143" i="1" s="1"/>
  <c r="CV160" i="1"/>
  <c r="CV186" i="1"/>
  <c r="CV68" i="1"/>
  <c r="FX68" i="1" s="1"/>
  <c r="CV93" i="1"/>
  <c r="FX93" i="1" s="1"/>
  <c r="CV126" i="1"/>
  <c r="CV142" i="1"/>
  <c r="FX142" i="1" s="1"/>
  <c r="CV161" i="1"/>
  <c r="FX161" i="1" s="1"/>
  <c r="CV170" i="1"/>
  <c r="FX170" i="1" s="1"/>
  <c r="CV77" i="1"/>
  <c r="FX77" i="1" s="1"/>
  <c r="CV103" i="1"/>
  <c r="FX103" i="1" s="1"/>
  <c r="CV122" i="1"/>
  <c r="CV114" i="1"/>
  <c r="DP114" i="1" s="1"/>
  <c r="CV141" i="1"/>
  <c r="FX141" i="1" s="1"/>
  <c r="CV171" i="1"/>
  <c r="FX171" i="1" s="1"/>
  <c r="CV188" i="1"/>
  <c r="FX188" i="1" s="1"/>
  <c r="CV60" i="1"/>
  <c r="CV89" i="1"/>
  <c r="FX89" i="1" s="1"/>
  <c r="CV162" i="1"/>
  <c r="CV177" i="1"/>
  <c r="CV64" i="1"/>
  <c r="FX64" i="1" s="1"/>
  <c r="CV92" i="1"/>
  <c r="CV139" i="1"/>
  <c r="FX139" i="1" s="1"/>
  <c r="CV151" i="1"/>
  <c r="CV180" i="1"/>
  <c r="CV67" i="1"/>
  <c r="CV95" i="1"/>
  <c r="CV140" i="1"/>
  <c r="FX140" i="1" s="1"/>
  <c r="CV152" i="1"/>
  <c r="CV179" i="1"/>
  <c r="FX179" i="1" s="1"/>
  <c r="CV61" i="1"/>
  <c r="FX61" i="1" s="1"/>
  <c r="CV105" i="1"/>
  <c r="FX105" i="1" s="1"/>
  <c r="CV153" i="1"/>
  <c r="FX153" i="1" s="1"/>
  <c r="CV176" i="1"/>
  <c r="FX176" i="1" s="1"/>
  <c r="CV65" i="1"/>
  <c r="FX65" i="1" s="1"/>
  <c r="CV99" i="1"/>
  <c r="FX99" i="1" s="1"/>
  <c r="CV157" i="1"/>
  <c r="FX157" i="1" s="1"/>
  <c r="CV189" i="1"/>
  <c r="CV76" i="1"/>
  <c r="FX76" i="1" s="1"/>
  <c r="CV129" i="1"/>
  <c r="FX129" i="1" s="1"/>
  <c r="CV150" i="1"/>
  <c r="CV174" i="1"/>
  <c r="CV120" i="1"/>
  <c r="CV71" i="1"/>
  <c r="CV112" i="1"/>
  <c r="FX112" i="1" s="1"/>
  <c r="CV132" i="1"/>
  <c r="CV94" i="1"/>
  <c r="CV146" i="1"/>
  <c r="FX146" i="1" s="1"/>
  <c r="CV183" i="1"/>
  <c r="FX183" i="1" s="1"/>
  <c r="CV43" i="1"/>
  <c r="CV82" i="1"/>
  <c r="FX82" i="1" s="1"/>
  <c r="CV147" i="1"/>
  <c r="FX147" i="1" s="1"/>
  <c r="CV181" i="1"/>
  <c r="FX181" i="1" s="1"/>
  <c r="CV20" i="1"/>
  <c r="FX20" i="1" s="1"/>
  <c r="CV16" i="1"/>
  <c r="FX16" i="1" s="1"/>
  <c r="CV45" i="1"/>
  <c r="FX45" i="1" s="1"/>
  <c r="CV100" i="1"/>
  <c r="FX100" i="1" s="1"/>
  <c r="CV111" i="1"/>
  <c r="FX111" i="1" s="1"/>
  <c r="CV145" i="1"/>
  <c r="FX145" i="1" s="1"/>
  <c r="CV192" i="1"/>
  <c r="CV50" i="1"/>
  <c r="FX50" i="1" s="1"/>
  <c r="CV109" i="1"/>
  <c r="FX109" i="1" s="1"/>
  <c r="CV104" i="1"/>
  <c r="CV148" i="1"/>
  <c r="CV193" i="1"/>
  <c r="FX193" i="1" s="1"/>
  <c r="CV124" i="1"/>
  <c r="FX124" i="1" s="1"/>
  <c r="CV51" i="1"/>
  <c r="FX51" i="1" s="1"/>
  <c r="CV106" i="1"/>
  <c r="CV159" i="1"/>
  <c r="FX159" i="1" s="1"/>
  <c r="CV196" i="1"/>
  <c r="FX196" i="1" s="1"/>
  <c r="CV117" i="1"/>
  <c r="FX117" i="1" s="1"/>
  <c r="CV155" i="1"/>
  <c r="FX155" i="1" s="1"/>
  <c r="CV190" i="1"/>
  <c r="FX190" i="1" s="1"/>
  <c r="CV138" i="1"/>
  <c r="FX138" i="1" s="1"/>
  <c r="CV127" i="1"/>
  <c r="FX127" i="1" s="1"/>
  <c r="CV158" i="1"/>
  <c r="FX158" i="1" s="1"/>
  <c r="CV200" i="1"/>
  <c r="FX200" i="1" s="1"/>
  <c r="CV8" i="1"/>
  <c r="FX8" i="1" s="1"/>
  <c r="CV118" i="1"/>
  <c r="FX118" i="1" s="1"/>
  <c r="CV154" i="1"/>
  <c r="FX154" i="1" s="1"/>
  <c r="CV84" i="1"/>
  <c r="FX84" i="1" s="1"/>
  <c r="CV49" i="1"/>
  <c r="CV119" i="1"/>
  <c r="FX119" i="1" s="1"/>
  <c r="CV164" i="1"/>
  <c r="FX164" i="1" s="1"/>
  <c r="CV202" i="1"/>
  <c r="CV35" i="1"/>
  <c r="CV54" i="1"/>
  <c r="CV79" i="1"/>
  <c r="FX79" i="1" s="1"/>
  <c r="CV167" i="1"/>
  <c r="FX167" i="1" s="1"/>
  <c r="CV6" i="1"/>
  <c r="CV29" i="1"/>
  <c r="FX29" i="1" s="1"/>
  <c r="CV53" i="1"/>
  <c r="FX53" i="1" s="1"/>
  <c r="CV123" i="1"/>
  <c r="CV169" i="1"/>
  <c r="FX169" i="1" s="1"/>
  <c r="CV4" i="1"/>
  <c r="CV27" i="1"/>
  <c r="FX27" i="1" s="1"/>
  <c r="CV113" i="1"/>
  <c r="FX113" i="1" s="1"/>
  <c r="CV55" i="1"/>
  <c r="FX55" i="1" s="1"/>
  <c r="CV97" i="1"/>
  <c r="FX97" i="1" s="1"/>
  <c r="CV166" i="1"/>
  <c r="FX166" i="1" s="1"/>
  <c r="CV108" i="1"/>
  <c r="FX108" i="1" s="1"/>
  <c r="CV173" i="1"/>
  <c r="FX173" i="1" s="1"/>
  <c r="CV116" i="1"/>
  <c r="FX116" i="1" s="1"/>
  <c r="CV172" i="1"/>
  <c r="FX172" i="1" s="1"/>
  <c r="CV3" i="1"/>
  <c r="FX3" i="1" s="1"/>
  <c r="CV178" i="1"/>
  <c r="FX178" i="1" s="1"/>
  <c r="CV30" i="1"/>
  <c r="CV204" i="1"/>
  <c r="CV135" i="1"/>
  <c r="CV194" i="1"/>
  <c r="FX194" i="1" s="1"/>
  <c r="CV195" i="1"/>
  <c r="FX195" i="1" s="1"/>
  <c r="CV11" i="1"/>
  <c r="CV201" i="1"/>
  <c r="CV12" i="1"/>
  <c r="CV131" i="1"/>
  <c r="CV197" i="1"/>
  <c r="FX197" i="1" s="1"/>
  <c r="CV37" i="1"/>
  <c r="FX37" i="1" s="1"/>
  <c r="CV52" i="1"/>
  <c r="FX52" i="1" s="1"/>
  <c r="CV102" i="1"/>
  <c r="FX102" i="1" s="1"/>
  <c r="CV191" i="1"/>
  <c r="FX191" i="1" s="1"/>
  <c r="CV10" i="1"/>
  <c r="FX10" i="1" s="1"/>
  <c r="CV198" i="1"/>
  <c r="FX198" i="1" s="1"/>
  <c r="CV91" i="1"/>
  <c r="FX91" i="1" s="1"/>
  <c r="CV163" i="1"/>
  <c r="FX163" i="1" s="1"/>
  <c r="CV31" i="1"/>
  <c r="FX31" i="1" s="1"/>
  <c r="CV175" i="1"/>
  <c r="FX175" i="1" s="1"/>
  <c r="CV7" i="1"/>
  <c r="FX7" i="1" s="1"/>
  <c r="CV182" i="1"/>
  <c r="FX182" i="1" s="1"/>
  <c r="CV203" i="1"/>
  <c r="CV23" i="1"/>
  <c r="CV184" i="1"/>
  <c r="FX184" i="1" s="1"/>
  <c r="CV165" i="1"/>
  <c r="FX165" i="1" s="1"/>
  <c r="CV199" i="1"/>
  <c r="FX199" i="1" s="1"/>
  <c r="CV42" i="1"/>
  <c r="CV56" i="1"/>
  <c r="JP45" i="1"/>
  <c r="JP190" i="1"/>
  <c r="JP157" i="1"/>
  <c r="JP156" i="1"/>
  <c r="JP144" i="1"/>
  <c r="JP93" i="1"/>
  <c r="JP92" i="1"/>
  <c r="JP201" i="1"/>
  <c r="JP155" i="1"/>
  <c r="JP189" i="1"/>
  <c r="JP140" i="1"/>
  <c r="JP88" i="1"/>
  <c r="JP78" i="1"/>
  <c r="JP26" i="1"/>
  <c r="JP202" i="1"/>
  <c r="JP205" i="1"/>
  <c r="JP145" i="1"/>
  <c r="JP132" i="1"/>
  <c r="JP133" i="1"/>
  <c r="JP75" i="1"/>
  <c r="JP200" i="1"/>
  <c r="JP161" i="1"/>
  <c r="JP141" i="1"/>
  <c r="JP135" i="1"/>
  <c r="JP116" i="1"/>
  <c r="JP109" i="1"/>
  <c r="JP67" i="1"/>
  <c r="JP187" i="1"/>
  <c r="JP153" i="1"/>
  <c r="JP139" i="1"/>
  <c r="JP123" i="1"/>
  <c r="JP103" i="1"/>
  <c r="JP61" i="1"/>
  <c r="JP70" i="1"/>
  <c r="JP198" i="1"/>
  <c r="JP163" i="1"/>
  <c r="JP114" i="1"/>
  <c r="JP111" i="1"/>
  <c r="JP23" i="1"/>
  <c r="JP188" i="1"/>
  <c r="JP168" i="1"/>
  <c r="JP110" i="1"/>
  <c r="JP95" i="1"/>
  <c r="JP31" i="1"/>
  <c r="JP184" i="1"/>
  <c r="JP176" i="1"/>
  <c r="JP106" i="1"/>
  <c r="JP90" i="1"/>
  <c r="JP3" i="1"/>
  <c r="JP30" i="1"/>
  <c r="JP177" i="1"/>
  <c r="JP165" i="1"/>
  <c r="JP102" i="1"/>
  <c r="JP81" i="1"/>
  <c r="JP4" i="1"/>
  <c r="JP47" i="1"/>
  <c r="JP186" i="1"/>
  <c r="JP194" i="1"/>
  <c r="JP151" i="1"/>
  <c r="JP98" i="1"/>
  <c r="JP36" i="1"/>
  <c r="JP204" i="1"/>
  <c r="JP185" i="1"/>
  <c r="JP119" i="1"/>
  <c r="JP94" i="1"/>
  <c r="JP5" i="1"/>
  <c r="JP24" i="1"/>
  <c r="JP203" i="1"/>
  <c r="JP166" i="1"/>
  <c r="JP115" i="1"/>
  <c r="JP83" i="1"/>
  <c r="JP193" i="1"/>
  <c r="JP150" i="1"/>
  <c r="JP137" i="1"/>
  <c r="JP73" i="1"/>
  <c r="JP183" i="1"/>
  <c r="JP146" i="1"/>
  <c r="JP131" i="1"/>
  <c r="JP134" i="1"/>
  <c r="JP17" i="1"/>
  <c r="JP181" i="1"/>
  <c r="JP191" i="1"/>
  <c r="JP105" i="1"/>
  <c r="JP129" i="1"/>
  <c r="JP38" i="1"/>
  <c r="JP91" i="1"/>
  <c r="JP66" i="1"/>
  <c r="JP175" i="1"/>
  <c r="JP158" i="1"/>
  <c r="JP101" i="1"/>
  <c r="JP96" i="1"/>
  <c r="JP173" i="1"/>
  <c r="JP136" i="1"/>
  <c r="JP138" i="1"/>
  <c r="JP76" i="1"/>
  <c r="JP159" i="1"/>
  <c r="JP97" i="1"/>
  <c r="JP167" i="1"/>
  <c r="JP77" i="1"/>
  <c r="JP10" i="1"/>
  <c r="JP164" i="1"/>
  <c r="JP72" i="1"/>
  <c r="JP174" i="1"/>
  <c r="JP125" i="1"/>
  <c r="JP68" i="1"/>
  <c r="JP172" i="1"/>
  <c r="JP121" i="1"/>
  <c r="JP64" i="1"/>
  <c r="JP50" i="1"/>
  <c r="JP192" i="1"/>
  <c r="JP130" i="1"/>
  <c r="JP89" i="1"/>
  <c r="JP178" i="1"/>
  <c r="JP142" i="1"/>
  <c r="JP152" i="1"/>
  <c r="JP104" i="1"/>
  <c r="JP148" i="1"/>
  <c r="JP170" i="1"/>
  <c r="JP149" i="1"/>
  <c r="JP35" i="1"/>
  <c r="JP196" i="1"/>
  <c r="JP112" i="1"/>
  <c r="JP99" i="1"/>
  <c r="JP120" i="1"/>
  <c r="JP49" i="1"/>
  <c r="JP63" i="1"/>
  <c r="JP71" i="1"/>
  <c r="JP52" i="1"/>
  <c r="JP143" i="1"/>
  <c r="JP20" i="1"/>
  <c r="JP171" i="1"/>
  <c r="JP127" i="1"/>
  <c r="JP84" i="1"/>
  <c r="JP16" i="1"/>
  <c r="JP65" i="1"/>
  <c r="JP56" i="1"/>
  <c r="JP197" i="1"/>
  <c r="JP108" i="1"/>
  <c r="JP180" i="1"/>
  <c r="JP199" i="1"/>
  <c r="JP46" i="1"/>
  <c r="JP179" i="1"/>
  <c r="JP82" i="1"/>
  <c r="JP195" i="1"/>
  <c r="JP160" i="1"/>
  <c r="JP162" i="1"/>
  <c r="JP60" i="1"/>
  <c r="JP169" i="1"/>
  <c r="JP29" i="1"/>
  <c r="JP25" i="1"/>
  <c r="JP117" i="1"/>
  <c r="JP154" i="1"/>
  <c r="JP128" i="1"/>
  <c r="JP44" i="1"/>
  <c r="JP147" i="1"/>
  <c r="JP8" i="1"/>
  <c r="JP55" i="1"/>
  <c r="JP182" i="1"/>
  <c r="JP27" i="1"/>
  <c r="JP85" i="1"/>
  <c r="JP126" i="1"/>
  <c r="HK140" i="1"/>
  <c r="HK111" i="1"/>
  <c r="HK112" i="1"/>
  <c r="HK133" i="1"/>
  <c r="HK116" i="1"/>
  <c r="HK128" i="1"/>
  <c r="HK126" i="1"/>
  <c r="HK120" i="1"/>
  <c r="HK117" i="1"/>
  <c r="HK167" i="1"/>
  <c r="HK180" i="1"/>
  <c r="HK118" i="1"/>
  <c r="HK115" i="1"/>
  <c r="HK165" i="1"/>
  <c r="HK192" i="1"/>
  <c r="HK114" i="1"/>
  <c r="HK161" i="1"/>
  <c r="HK194" i="1"/>
  <c r="HK119" i="1"/>
  <c r="HK173" i="1"/>
  <c r="HK195" i="1"/>
  <c r="HK125" i="1"/>
  <c r="HK142" i="1"/>
  <c r="HK166" i="1"/>
  <c r="HK172" i="1"/>
  <c r="HK177" i="1"/>
  <c r="HK145" i="1"/>
  <c r="HK182" i="1"/>
  <c r="HK204" i="1"/>
  <c r="HK146" i="1"/>
  <c r="HK179" i="1"/>
  <c r="HK148" i="1"/>
  <c r="HK175" i="1"/>
  <c r="HK127" i="1"/>
  <c r="HK184" i="1"/>
  <c r="HK185" i="1"/>
  <c r="HK169" i="1"/>
  <c r="HK176" i="1"/>
  <c r="HK202" i="1"/>
  <c r="HK144" i="1"/>
  <c r="HK205" i="1"/>
  <c r="HK122" i="1"/>
  <c r="HK193" i="1"/>
  <c r="HK157" i="1"/>
  <c r="HK190" i="1"/>
  <c r="HK131" i="1"/>
  <c r="HK183" i="1"/>
  <c r="HK171" i="1"/>
  <c r="HK188" i="1"/>
  <c r="HK186" i="1"/>
  <c r="HK141" i="1"/>
  <c r="HK147" i="1"/>
  <c r="HK174" i="1"/>
  <c r="HK123" i="1"/>
  <c r="HK201" i="1"/>
  <c r="HK129" i="1"/>
  <c r="HK196" i="1"/>
  <c r="HK139" i="1"/>
  <c r="HK135" i="1"/>
  <c r="HK200" i="1"/>
  <c r="HK136" i="1"/>
  <c r="HK143" i="1"/>
  <c r="HK132" i="1"/>
  <c r="HK150" i="1"/>
  <c r="HK199" i="1"/>
  <c r="HK197" i="1"/>
  <c r="HK152" i="1"/>
  <c r="HK198" i="1"/>
  <c r="HK158" i="1"/>
  <c r="HK155" i="1"/>
  <c r="HK149" i="1"/>
  <c r="HK159" i="1"/>
  <c r="HK137" i="1"/>
  <c r="HK153" i="1"/>
  <c r="HK162" i="1"/>
  <c r="HK160" i="1"/>
  <c r="HK163" i="1"/>
  <c r="HK138" i="1"/>
  <c r="HK156" i="1"/>
  <c r="HK164" i="1"/>
  <c r="HK203" i="1"/>
  <c r="HK168" i="1"/>
  <c r="HK154" i="1"/>
  <c r="HK187" i="1"/>
  <c r="HK134" i="1"/>
  <c r="HK170" i="1"/>
  <c r="HK151" i="1"/>
  <c r="HK178" i="1"/>
  <c r="JQ129" i="1"/>
  <c r="HN179" i="1"/>
  <c r="HN92" i="1"/>
  <c r="JR4" i="1"/>
  <c r="JT200" i="1"/>
  <c r="IN107" i="1"/>
  <c r="IN124" i="1"/>
  <c r="IN138" i="1"/>
  <c r="IN117" i="1"/>
  <c r="IN118" i="1"/>
  <c r="IN115" i="1"/>
  <c r="IN111" i="1"/>
  <c r="IN93" i="1"/>
  <c r="IN139" i="1"/>
  <c r="IN106" i="1"/>
  <c r="IN102" i="1"/>
  <c r="IN109" i="1"/>
  <c r="IN130" i="1"/>
  <c r="IN131" i="1"/>
  <c r="IN129" i="1"/>
  <c r="IN99" i="1"/>
  <c r="IN132" i="1"/>
  <c r="IN136" i="1"/>
  <c r="IN164" i="1"/>
  <c r="IN184" i="1"/>
  <c r="IN165" i="1"/>
  <c r="IN196" i="1"/>
  <c r="IN204" i="1"/>
  <c r="IN114" i="1"/>
  <c r="IN113" i="1"/>
  <c r="IN145" i="1"/>
  <c r="IN181" i="1"/>
  <c r="IN161" i="1"/>
  <c r="IN122" i="1"/>
  <c r="IN121" i="1"/>
  <c r="IN146" i="1"/>
  <c r="IN180" i="1"/>
  <c r="IN190" i="1"/>
  <c r="IN112" i="1"/>
  <c r="IN147" i="1"/>
  <c r="IN171" i="1"/>
  <c r="IN142" i="1"/>
  <c r="IN116" i="1"/>
  <c r="IN155" i="1"/>
  <c r="IN179" i="1"/>
  <c r="IN126" i="1"/>
  <c r="IN149" i="1"/>
  <c r="IN201" i="1"/>
  <c r="IN178" i="1"/>
  <c r="IN191" i="1"/>
  <c r="IN205" i="1"/>
  <c r="IN160" i="1"/>
  <c r="IN134" i="1"/>
  <c r="IN143" i="1"/>
  <c r="IN189" i="1"/>
  <c r="IN167" i="1"/>
  <c r="IN3" i="1"/>
  <c r="IN6" i="1"/>
  <c r="IN135" i="1"/>
  <c r="IN141" i="1"/>
  <c r="IN182" i="1"/>
  <c r="IN166" i="1"/>
  <c r="IN159" i="1"/>
  <c r="IN194" i="1"/>
  <c r="IN148" i="1"/>
  <c r="IN198" i="1"/>
  <c r="IN157" i="1"/>
  <c r="IN188" i="1"/>
  <c r="IN137" i="1"/>
  <c r="IN108" i="1"/>
  <c r="IN173" i="1"/>
  <c r="IN163" i="1"/>
  <c r="IN162" i="1"/>
  <c r="IN168" i="1"/>
  <c r="IN133" i="1"/>
  <c r="IN174" i="1"/>
  <c r="IN172" i="1"/>
  <c r="IN169" i="1"/>
  <c r="IN176" i="1"/>
  <c r="IN4" i="1"/>
  <c r="IN175" i="1"/>
  <c r="IN193" i="1"/>
  <c r="IN125" i="1"/>
  <c r="IN110" i="1"/>
  <c r="IN120" i="1"/>
  <c r="IN127" i="1"/>
  <c r="IN25" i="1"/>
  <c r="IN158" i="1"/>
  <c r="IN128" i="1"/>
  <c r="IN144" i="1"/>
  <c r="IN195" i="1"/>
  <c r="IN154" i="1"/>
  <c r="IN185" i="1"/>
  <c r="IN183" i="1"/>
  <c r="IN199" i="1"/>
  <c r="IN151" i="1"/>
  <c r="HL107" i="1"/>
  <c r="HL132" i="1"/>
  <c r="HL100" i="1"/>
  <c r="HL134" i="1"/>
  <c r="HL129" i="1"/>
  <c r="HL96" i="1"/>
  <c r="HL113" i="1"/>
  <c r="HL133" i="1"/>
  <c r="HL131" i="1"/>
  <c r="HL95" i="1"/>
  <c r="HL135" i="1"/>
  <c r="HL138" i="1"/>
  <c r="HL121" i="1"/>
  <c r="HL128" i="1"/>
  <c r="HL140" i="1"/>
  <c r="HL157" i="1"/>
  <c r="HL178" i="1"/>
  <c r="HL126" i="1"/>
  <c r="HL117" i="1"/>
  <c r="HL155" i="1"/>
  <c r="HL187" i="1"/>
  <c r="HL118" i="1"/>
  <c r="HL161" i="1"/>
  <c r="HL175" i="1"/>
  <c r="HL125" i="1"/>
  <c r="HL124" i="1"/>
  <c r="HL160" i="1"/>
  <c r="HL184" i="1"/>
  <c r="HL130" i="1"/>
  <c r="HL203" i="1"/>
  <c r="HL112" i="1"/>
  <c r="HL168" i="1"/>
  <c r="HL116" i="1"/>
  <c r="HL164" i="1"/>
  <c r="HL167" i="1"/>
  <c r="HL174" i="1"/>
  <c r="HL142" i="1"/>
  <c r="HL170" i="1"/>
  <c r="HL149" i="1"/>
  <c r="HL114" i="1"/>
  <c r="HL163" i="1"/>
  <c r="HL123" i="1"/>
  <c r="HL156" i="1"/>
  <c r="HL183" i="1"/>
  <c r="HL159" i="1"/>
  <c r="HL192" i="1"/>
  <c r="HL162" i="1"/>
  <c r="HL189" i="1"/>
  <c r="HL166" i="1"/>
  <c r="HL31" i="1"/>
  <c r="HL122" i="1"/>
  <c r="HL173" i="1"/>
  <c r="HL136" i="1"/>
  <c r="HL181" i="1"/>
  <c r="HL165" i="1"/>
  <c r="HL53" i="1"/>
  <c r="HL180" i="1"/>
  <c r="HL195" i="1"/>
  <c r="HL193" i="1"/>
  <c r="HL145" i="1"/>
  <c r="HL179" i="1"/>
  <c r="HL115" i="1"/>
  <c r="HL177" i="1"/>
  <c r="HL176" i="1"/>
  <c r="HL172" i="1"/>
  <c r="HL198" i="1"/>
  <c r="HL185" i="1"/>
  <c r="HL188" i="1"/>
  <c r="HL186" i="1"/>
  <c r="HL137" i="1"/>
  <c r="HL55" i="1"/>
  <c r="HL182" i="1"/>
  <c r="HL202" i="1"/>
  <c r="HL7" i="1"/>
  <c r="HL83" i="1"/>
  <c r="HL58" i="1"/>
  <c r="HL109" i="1"/>
  <c r="HL144" i="1"/>
  <c r="HL120" i="1"/>
  <c r="HL154" i="1"/>
  <c r="HL94" i="1"/>
  <c r="HL106" i="1"/>
  <c r="HL152" i="1"/>
  <c r="HL196" i="1"/>
  <c r="HL139" i="1"/>
  <c r="HL146" i="1"/>
  <c r="HL141" i="1"/>
  <c r="HL199" i="1"/>
  <c r="HL191" i="1"/>
  <c r="HL148" i="1"/>
  <c r="HL147" i="1"/>
  <c r="HL197" i="1"/>
  <c r="HL201" i="1"/>
  <c r="JQ155" i="1"/>
  <c r="HP84" i="1"/>
  <c r="IQ199" i="1"/>
  <c r="HP170" i="1"/>
  <c r="HN186" i="1"/>
  <c r="HN132" i="1"/>
  <c r="JQ55" i="1"/>
  <c r="IO136" i="1"/>
  <c r="IQ193" i="1"/>
  <c r="HP177" i="1"/>
  <c r="HL158" i="1"/>
  <c r="HP116" i="1"/>
  <c r="IP136" i="1"/>
  <c r="KA82" i="1"/>
  <c r="KA51" i="1"/>
  <c r="KA68" i="1"/>
  <c r="KA105" i="1"/>
  <c r="KA172" i="1"/>
  <c r="KA176" i="1"/>
  <c r="KA192" i="1"/>
  <c r="KA147" i="1"/>
  <c r="KA129" i="1"/>
  <c r="KA50" i="1"/>
  <c r="KA140" i="1"/>
  <c r="KA156" i="1"/>
  <c r="KA170" i="1"/>
  <c r="KA184" i="1"/>
  <c r="KA197" i="1"/>
  <c r="KA175" i="1"/>
  <c r="KA205" i="1"/>
  <c r="KA149" i="1"/>
  <c r="KA99" i="1"/>
  <c r="KA132" i="1"/>
  <c r="KA154" i="1"/>
  <c r="KA186" i="1"/>
  <c r="KA131" i="1"/>
  <c r="KA38" i="1"/>
  <c r="KA115" i="1"/>
  <c r="KA162" i="1"/>
  <c r="KA181" i="1"/>
  <c r="KA86" i="1"/>
  <c r="KA114" i="1"/>
  <c r="KA112" i="1"/>
  <c r="KA189" i="1"/>
  <c r="KA26" i="1"/>
  <c r="KA198" i="1"/>
  <c r="KA146" i="1"/>
  <c r="KA161" i="1"/>
  <c r="KA145" i="1"/>
  <c r="KA155" i="1"/>
  <c r="KA185" i="1"/>
  <c r="KA30" i="1"/>
  <c r="KA174" i="1"/>
  <c r="KA193" i="1"/>
  <c r="KA49" i="1"/>
  <c r="KA65" i="1"/>
  <c r="KA173" i="1"/>
  <c r="KA130" i="1"/>
  <c r="KA113" i="1"/>
  <c r="KA122" i="1"/>
  <c r="KA142" i="1"/>
  <c r="KA29" i="1"/>
  <c r="KA133" i="1"/>
  <c r="JN146" i="1"/>
  <c r="JN114" i="1"/>
  <c r="JN168" i="1"/>
  <c r="JN89" i="1"/>
  <c r="JN193" i="1"/>
  <c r="JN88" i="1"/>
  <c r="JN137" i="1"/>
  <c r="JN93" i="1"/>
  <c r="JN140" i="1"/>
  <c r="JN11" i="1"/>
  <c r="JN47" i="1"/>
  <c r="JN3" i="1"/>
  <c r="JN38" i="1"/>
  <c r="JN84" i="1"/>
  <c r="JN30" i="1"/>
  <c r="JN196" i="1"/>
  <c r="JN101" i="1"/>
  <c r="JN180" i="1"/>
  <c r="JN121" i="1"/>
  <c r="JN203" i="1"/>
  <c r="JN112" i="1"/>
  <c r="JN183" i="1"/>
  <c r="JN91" i="1"/>
  <c r="JN160" i="1"/>
  <c r="JN155" i="1"/>
  <c r="JN151" i="1"/>
  <c r="JN139" i="1"/>
  <c r="JN128" i="1"/>
  <c r="JN111" i="1"/>
  <c r="JN129" i="1"/>
  <c r="JN100" i="1"/>
  <c r="JN81" i="1"/>
  <c r="JN77" i="1"/>
  <c r="JN72" i="1"/>
  <c r="JN68" i="1"/>
  <c r="JN59" i="1"/>
  <c r="JN17" i="1"/>
  <c r="JN201" i="1"/>
  <c r="JN164" i="1"/>
  <c r="JN64" i="1"/>
  <c r="JN45" i="1"/>
  <c r="JN15" i="1"/>
  <c r="JN4" i="1"/>
  <c r="JN6" i="1"/>
  <c r="JN25" i="1"/>
  <c r="JN85" i="1"/>
  <c r="JK13" i="1"/>
  <c r="JK181" i="1"/>
  <c r="JK190" i="1"/>
  <c r="JK128" i="1"/>
  <c r="JK168" i="1"/>
  <c r="JK111" i="1"/>
  <c r="JK180" i="1"/>
  <c r="JK183" i="1"/>
  <c r="JK127" i="1"/>
  <c r="JK124" i="1"/>
  <c r="JK177" i="1"/>
  <c r="JK38" i="1"/>
  <c r="JK198" i="1"/>
  <c r="JK161" i="1"/>
  <c r="JK166" i="1"/>
  <c r="JK120" i="1"/>
  <c r="JK90" i="1"/>
  <c r="JK54" i="1"/>
  <c r="JK191" i="1"/>
  <c r="JK153" i="1"/>
  <c r="JK171" i="1"/>
  <c r="JK116" i="1"/>
  <c r="JK98" i="1"/>
  <c r="JK58" i="1"/>
  <c r="JK187" i="1"/>
  <c r="JK149" i="1"/>
  <c r="JK193" i="1"/>
  <c r="JK112" i="1"/>
  <c r="JK91" i="1"/>
  <c r="JK50" i="1"/>
  <c r="JK182" i="1"/>
  <c r="JK138" i="1"/>
  <c r="JK148" i="1"/>
  <c r="JK92" i="1"/>
  <c r="JK37" i="1"/>
  <c r="JK178" i="1"/>
  <c r="JK137" i="1"/>
  <c r="JK160" i="1"/>
  <c r="JK101" i="1"/>
  <c r="JK195" i="1"/>
  <c r="JK136" i="1"/>
  <c r="JK192" i="1"/>
  <c r="JK67" i="1"/>
  <c r="JK189" i="1"/>
  <c r="JK135" i="1"/>
  <c r="JK167" i="1"/>
  <c r="JK81" i="1"/>
  <c r="JK184" i="1"/>
  <c r="JK134" i="1"/>
  <c r="JK154" i="1"/>
  <c r="JK45" i="1"/>
  <c r="JK173" i="1"/>
  <c r="JK133" i="1"/>
  <c r="JK104" i="1"/>
  <c r="JK44" i="1"/>
  <c r="JK194" i="1"/>
  <c r="JK141" i="1"/>
  <c r="JK113" i="1"/>
  <c r="JK188" i="1"/>
  <c r="JK140" i="1"/>
  <c r="JK105" i="1"/>
  <c r="JK201" i="1"/>
  <c r="JK139" i="1"/>
  <c r="JK126" i="1"/>
  <c r="JK61" i="1"/>
  <c r="JK55" i="1"/>
  <c r="JK186" i="1"/>
  <c r="JK132" i="1"/>
  <c r="JK122" i="1"/>
  <c r="JK46" i="1"/>
  <c r="JK172" i="1"/>
  <c r="JK131" i="1"/>
  <c r="JK118" i="1"/>
  <c r="JK202" i="1"/>
  <c r="JK129" i="1"/>
  <c r="JK110" i="1"/>
  <c r="JK142" i="1"/>
  <c r="JK89" i="1"/>
  <c r="JK130" i="1"/>
  <c r="JK103" i="1"/>
  <c r="JK158" i="1"/>
  <c r="JK204" i="1"/>
  <c r="JK155" i="1"/>
  <c r="JK200" i="1"/>
  <c r="JK163" i="1"/>
  <c r="JK205" i="1"/>
  <c r="JK159" i="1"/>
  <c r="JK179" i="1"/>
  <c r="JK150" i="1"/>
  <c r="JK185" i="1"/>
  <c r="JK146" i="1"/>
  <c r="JK157" i="1"/>
  <c r="JK97" i="1"/>
  <c r="JK156" i="1"/>
  <c r="JK31" i="1"/>
  <c r="JK199" i="1"/>
  <c r="JK121" i="1"/>
  <c r="JK20" i="1"/>
  <c r="JK152" i="1"/>
  <c r="JK3" i="1"/>
  <c r="JK145" i="1"/>
  <c r="JK144" i="1"/>
  <c r="JK143" i="1"/>
  <c r="JK69" i="1"/>
  <c r="JK165" i="1"/>
  <c r="JK203" i="1"/>
  <c r="JK125" i="1"/>
  <c r="JK196" i="1"/>
  <c r="JK170" i="1"/>
  <c r="JK176" i="1"/>
  <c r="JK197" i="1"/>
  <c r="JK174" i="1"/>
  <c r="JK169" i="1"/>
  <c r="JK56" i="1"/>
  <c r="JK151" i="1"/>
  <c r="JK175" i="1"/>
  <c r="JK147" i="1"/>
  <c r="IJ140" i="1"/>
  <c r="IJ59" i="1"/>
  <c r="IJ99" i="1"/>
  <c r="IJ101" i="1"/>
  <c r="IJ141" i="1"/>
  <c r="IJ73" i="1"/>
  <c r="IJ108" i="1"/>
  <c r="IJ103" i="1"/>
  <c r="IJ144" i="1"/>
  <c r="IJ58" i="1"/>
  <c r="IJ90" i="1"/>
  <c r="IJ110" i="1"/>
  <c r="IJ137" i="1"/>
  <c r="IJ104" i="1"/>
  <c r="IJ149" i="1"/>
  <c r="IJ69" i="1"/>
  <c r="IJ95" i="1"/>
  <c r="IJ113" i="1"/>
  <c r="IJ155" i="1"/>
  <c r="IJ70" i="1"/>
  <c r="IJ100" i="1"/>
  <c r="IJ147" i="1"/>
  <c r="IJ60" i="1"/>
  <c r="IJ116" i="1"/>
  <c r="IJ157" i="1"/>
  <c r="IJ178" i="1"/>
  <c r="IJ205" i="1"/>
  <c r="IJ71" i="1"/>
  <c r="IJ128" i="1"/>
  <c r="IJ160" i="1"/>
  <c r="IJ184" i="1"/>
  <c r="IJ67" i="1"/>
  <c r="IJ92" i="1"/>
  <c r="IJ159" i="1"/>
  <c r="IJ177" i="1"/>
  <c r="IJ127" i="1"/>
  <c r="IJ75" i="1"/>
  <c r="IJ126" i="1"/>
  <c r="IJ164" i="1"/>
  <c r="IJ170" i="1"/>
  <c r="IJ76" i="1"/>
  <c r="IJ117" i="1"/>
  <c r="IJ162" i="1"/>
  <c r="IJ195" i="1"/>
  <c r="IJ72" i="1"/>
  <c r="IJ115" i="1"/>
  <c r="IJ165" i="1"/>
  <c r="IJ183" i="1"/>
  <c r="IJ124" i="1"/>
  <c r="IJ44" i="1"/>
  <c r="IJ62" i="1"/>
  <c r="IJ109" i="1"/>
  <c r="IJ49" i="1"/>
  <c r="IJ106" i="1"/>
  <c r="IJ151" i="1"/>
  <c r="IJ199" i="1"/>
  <c r="IJ16" i="1"/>
  <c r="IJ135" i="1"/>
  <c r="IJ54" i="1"/>
  <c r="IJ89" i="1"/>
  <c r="IJ161" i="1"/>
  <c r="IJ179" i="1"/>
  <c r="IJ10" i="1"/>
  <c r="IJ51" i="1"/>
  <c r="IJ98" i="1"/>
  <c r="IJ139" i="1"/>
  <c r="IJ153" i="1"/>
  <c r="IJ187" i="1"/>
  <c r="IJ5" i="1"/>
  <c r="IJ129" i="1"/>
  <c r="IJ50" i="1"/>
  <c r="IJ111" i="1"/>
  <c r="IJ154" i="1"/>
  <c r="IJ192" i="1"/>
  <c r="IJ53" i="1"/>
  <c r="IJ118" i="1"/>
  <c r="IJ158" i="1"/>
  <c r="IJ193" i="1"/>
  <c r="IJ120" i="1"/>
  <c r="IJ81" i="1"/>
  <c r="IJ145" i="1"/>
  <c r="IJ182" i="1"/>
  <c r="IJ12" i="1"/>
  <c r="IJ68" i="1"/>
  <c r="IJ148" i="1"/>
  <c r="IJ175" i="1"/>
  <c r="IJ30" i="1"/>
  <c r="IJ119" i="1"/>
  <c r="IJ83" i="1"/>
  <c r="IJ146" i="1"/>
  <c r="IJ188" i="1"/>
  <c r="IJ37" i="1"/>
  <c r="IJ80" i="1"/>
  <c r="IJ150" i="1"/>
  <c r="IJ189" i="1"/>
  <c r="IJ8" i="1"/>
  <c r="IJ77" i="1"/>
  <c r="IJ152" i="1"/>
  <c r="IJ191" i="1"/>
  <c r="IJ17" i="1"/>
  <c r="IJ88" i="1"/>
  <c r="IJ130" i="1"/>
  <c r="IJ163" i="1"/>
  <c r="IJ197" i="1"/>
  <c r="IJ27" i="1"/>
  <c r="IJ93" i="1"/>
  <c r="IJ167" i="1"/>
  <c r="IJ198" i="1"/>
  <c r="IJ23" i="1"/>
  <c r="IJ20" i="1"/>
  <c r="IJ143" i="1"/>
  <c r="IJ11" i="1"/>
  <c r="IJ132" i="1"/>
  <c r="IJ45" i="1"/>
  <c r="IJ142" i="1"/>
  <c r="IJ6" i="1"/>
  <c r="IJ61" i="1"/>
  <c r="IJ180" i="1"/>
  <c r="IJ52" i="1"/>
  <c r="IJ156" i="1"/>
  <c r="IJ3" i="1"/>
  <c r="IJ55" i="1"/>
  <c r="IJ172" i="1"/>
  <c r="IJ31" i="1"/>
  <c r="IJ15" i="1"/>
  <c r="IJ56" i="1"/>
  <c r="IJ176" i="1"/>
  <c r="IJ42" i="1"/>
  <c r="IJ66" i="1"/>
  <c r="IJ166" i="1"/>
  <c r="IJ64" i="1"/>
  <c r="IJ181" i="1"/>
  <c r="IJ122" i="1"/>
  <c r="IJ186" i="1"/>
  <c r="IJ102" i="1"/>
  <c r="IJ190" i="1"/>
  <c r="IJ7" i="1"/>
  <c r="IJ91" i="1"/>
  <c r="IJ194" i="1"/>
  <c r="IJ35" i="1"/>
  <c r="IJ97" i="1"/>
  <c r="IJ200" i="1"/>
  <c r="IJ203" i="1"/>
  <c r="IJ38" i="1"/>
  <c r="IJ202" i="1"/>
  <c r="IJ24" i="1"/>
  <c r="IJ196" i="1"/>
  <c r="IJ43" i="1"/>
  <c r="IJ201" i="1"/>
  <c r="IJ29" i="1"/>
  <c r="GI135" i="1"/>
  <c r="GI126" i="1"/>
  <c r="GI98" i="1"/>
  <c r="GI117" i="1"/>
  <c r="GI112" i="1"/>
  <c r="GI45" i="1"/>
  <c r="GI118" i="1"/>
  <c r="GI114" i="1"/>
  <c r="GI54" i="1"/>
  <c r="GI115" i="1"/>
  <c r="GI140" i="1"/>
  <c r="GI44" i="1"/>
  <c r="GI122" i="1"/>
  <c r="GI50" i="1"/>
  <c r="GI120" i="1"/>
  <c r="GI69" i="1"/>
  <c r="GI97" i="1"/>
  <c r="GI172" i="1"/>
  <c r="GI187" i="1"/>
  <c r="GI81" i="1"/>
  <c r="GI138" i="1"/>
  <c r="GI143" i="1"/>
  <c r="GI176" i="1"/>
  <c r="GI185" i="1"/>
  <c r="GI91" i="1"/>
  <c r="GI103" i="1"/>
  <c r="GI142" i="1"/>
  <c r="GI159" i="1"/>
  <c r="GI186" i="1"/>
  <c r="GI104" i="1"/>
  <c r="GI125" i="1"/>
  <c r="GI141" i="1"/>
  <c r="GI163" i="1"/>
  <c r="GI202" i="1"/>
  <c r="GI90" i="1"/>
  <c r="GI132" i="1"/>
  <c r="GI145" i="1"/>
  <c r="GI170" i="1"/>
  <c r="GI195" i="1"/>
  <c r="GI121" i="1"/>
  <c r="GI113" i="1"/>
  <c r="GI162" i="1"/>
  <c r="GI175" i="1"/>
  <c r="GI131" i="1"/>
  <c r="GI111" i="1"/>
  <c r="GI156" i="1"/>
  <c r="GI188" i="1"/>
  <c r="GI134" i="1"/>
  <c r="GI151" i="1"/>
  <c r="GI182" i="1"/>
  <c r="GI137" i="1"/>
  <c r="GI119" i="1"/>
  <c r="GI158" i="1"/>
  <c r="GI184" i="1"/>
  <c r="GI92" i="1"/>
  <c r="GI154" i="1"/>
  <c r="GI190" i="1"/>
  <c r="GI130" i="1"/>
  <c r="GI157" i="1"/>
  <c r="GI194" i="1"/>
  <c r="GI136" i="1"/>
  <c r="GI166" i="1"/>
  <c r="GI193" i="1"/>
  <c r="GI101" i="1"/>
  <c r="GI144" i="1"/>
  <c r="GI178" i="1"/>
  <c r="GI89" i="1"/>
  <c r="GI147" i="1"/>
  <c r="GI180" i="1"/>
  <c r="GI31" i="1"/>
  <c r="GI116" i="1"/>
  <c r="GI153" i="1"/>
  <c r="GI191" i="1"/>
  <c r="GI128" i="1"/>
  <c r="GI150" i="1"/>
  <c r="GI183" i="1"/>
  <c r="GI127" i="1"/>
  <c r="GI149" i="1"/>
  <c r="GI199" i="1"/>
  <c r="GI148" i="1"/>
  <c r="GI200" i="1"/>
  <c r="GI152" i="1"/>
  <c r="GI197" i="1"/>
  <c r="GI146" i="1"/>
  <c r="GI203" i="1"/>
  <c r="GI20" i="1"/>
  <c r="GI155" i="1"/>
  <c r="GI205" i="1"/>
  <c r="GI3" i="1"/>
  <c r="GI161" i="1"/>
  <c r="GI204" i="1"/>
  <c r="GI165" i="1"/>
  <c r="GI168" i="1"/>
  <c r="GI160" i="1"/>
  <c r="GI37" i="1"/>
  <c r="GI177" i="1"/>
  <c r="GI173" i="1"/>
  <c r="GI164" i="1"/>
  <c r="GI167" i="1"/>
  <c r="GI169" i="1"/>
  <c r="GI123" i="1"/>
  <c r="GI171" i="1"/>
  <c r="GI179" i="1"/>
  <c r="GI174" i="1"/>
  <c r="GI139" i="1"/>
  <c r="GI110" i="1"/>
  <c r="GI181" i="1"/>
  <c r="GM15" i="1"/>
  <c r="JS203" i="1"/>
  <c r="HJ160" i="1"/>
  <c r="HP12" i="1"/>
  <c r="GM197" i="1"/>
  <c r="GJ145" i="1"/>
  <c r="IH107" i="1"/>
  <c r="IH114" i="1"/>
  <c r="IH56" i="1"/>
  <c r="IH100" i="1"/>
  <c r="IH139" i="1"/>
  <c r="IH169" i="1"/>
  <c r="IH186" i="1"/>
  <c r="IH205" i="1"/>
  <c r="IH119" i="1"/>
  <c r="IH61" i="1"/>
  <c r="IH89" i="1"/>
  <c r="IH151" i="1"/>
  <c r="IH183" i="1"/>
  <c r="IH62" i="1"/>
  <c r="IH92" i="1"/>
  <c r="IH158" i="1"/>
  <c r="IH179" i="1"/>
  <c r="IH65" i="1"/>
  <c r="IH102" i="1"/>
  <c r="IH144" i="1"/>
  <c r="IH156" i="1"/>
  <c r="IH175" i="1"/>
  <c r="IH66" i="1"/>
  <c r="IH105" i="1"/>
  <c r="IH103" i="1"/>
  <c r="IH141" i="1"/>
  <c r="IH159" i="1"/>
  <c r="IH182" i="1"/>
  <c r="IH131" i="1"/>
  <c r="IH75" i="1"/>
  <c r="IH109" i="1"/>
  <c r="IH155" i="1"/>
  <c r="IH194" i="1"/>
  <c r="IH79" i="1"/>
  <c r="IH122" i="1"/>
  <c r="IH132" i="1"/>
  <c r="IH165" i="1"/>
  <c r="IH188" i="1"/>
  <c r="IH82" i="1"/>
  <c r="IH96" i="1"/>
  <c r="IH138" i="1"/>
  <c r="IH166" i="1"/>
  <c r="IH195" i="1"/>
  <c r="IH68" i="1"/>
  <c r="IH124" i="1"/>
  <c r="IH162" i="1"/>
  <c r="IH190" i="1"/>
  <c r="IH44" i="1"/>
  <c r="IH78" i="1"/>
  <c r="IH121" i="1"/>
  <c r="IH168" i="1"/>
  <c r="IH191" i="1"/>
  <c r="IH49" i="1"/>
  <c r="IH106" i="1"/>
  <c r="IH172" i="1"/>
  <c r="IH200" i="1"/>
  <c r="IH134" i="1"/>
  <c r="IH50" i="1"/>
  <c r="IH80" i="1"/>
  <c r="IH70" i="1"/>
  <c r="IH171" i="1"/>
  <c r="IH12" i="1"/>
  <c r="IH71" i="1"/>
  <c r="IH167" i="1"/>
  <c r="IH43" i="1"/>
  <c r="IH76" i="1"/>
  <c r="IH164" i="1"/>
  <c r="IH17" i="1"/>
  <c r="IH77" i="1"/>
  <c r="IH178" i="1"/>
  <c r="IH93" i="1"/>
  <c r="IH101" i="1"/>
  <c r="IH143" i="1"/>
  <c r="IH180" i="1"/>
  <c r="IH69" i="1"/>
  <c r="IH161" i="1"/>
  <c r="IH73" i="1"/>
  <c r="IH185" i="1"/>
  <c r="IH99" i="1"/>
  <c r="IH170" i="1"/>
  <c r="IH90" i="1"/>
  <c r="IH181" i="1"/>
  <c r="IH95" i="1"/>
  <c r="IH177" i="1"/>
  <c r="IH10" i="1"/>
  <c r="IH94" i="1"/>
  <c r="IH176" i="1"/>
  <c r="IH104" i="1"/>
  <c r="IH174" i="1"/>
  <c r="IH126" i="1"/>
  <c r="IH152" i="1"/>
  <c r="IH111" i="1"/>
  <c r="IH154" i="1"/>
  <c r="IH42" i="1"/>
  <c r="IH117" i="1"/>
  <c r="IH173" i="1"/>
  <c r="IH11" i="1"/>
  <c r="IH204" i="1"/>
  <c r="IH193" i="1"/>
  <c r="IH118" i="1"/>
  <c r="IH192" i="1"/>
  <c r="IH16" i="1"/>
  <c r="IH115" i="1"/>
  <c r="IH72" i="1"/>
  <c r="IH184" i="1"/>
  <c r="IH37" i="1"/>
  <c r="IH199" i="1"/>
  <c r="IH197" i="1"/>
  <c r="IH130" i="1"/>
  <c r="IH189" i="1"/>
  <c r="IH31" i="1"/>
  <c r="IH123" i="1"/>
  <c r="IH128" i="1"/>
  <c r="IH145" i="1"/>
  <c r="IH160" i="1"/>
  <c r="IH147" i="1"/>
  <c r="IH142" i="1"/>
  <c r="IH148" i="1"/>
  <c r="IH157" i="1"/>
  <c r="IH150" i="1"/>
  <c r="IH146" i="1"/>
  <c r="IH25" i="1"/>
  <c r="IH38" i="1"/>
  <c r="IH3" i="1"/>
  <c r="CS117" i="1"/>
  <c r="FU117" i="1" s="1"/>
  <c r="CS135" i="1"/>
  <c r="FK135" i="1" s="1"/>
  <c r="CS131" i="1"/>
  <c r="FK131" i="1" s="1"/>
  <c r="CS26" i="1"/>
  <c r="CS138" i="1"/>
  <c r="CS50" i="1"/>
  <c r="FU50" i="1" s="1"/>
  <c r="CS101" i="1"/>
  <c r="FK101" i="1" s="1"/>
  <c r="CS115" i="1"/>
  <c r="FU115" i="1" s="1"/>
  <c r="CS67" i="1"/>
  <c r="FU67" i="1" s="1"/>
  <c r="CS90" i="1"/>
  <c r="FK90" i="1" s="1"/>
  <c r="CS120" i="1"/>
  <c r="FU120" i="1" s="1"/>
  <c r="CS130" i="1"/>
  <c r="FK130" i="1" s="1"/>
  <c r="CS71" i="1"/>
  <c r="FK71" i="1" s="1"/>
  <c r="CS93" i="1"/>
  <c r="FU93" i="1" s="1"/>
  <c r="CS124" i="1"/>
  <c r="FU124" i="1" s="1"/>
  <c r="CS140" i="1"/>
  <c r="FK140" i="1" s="1"/>
  <c r="CS64" i="1"/>
  <c r="FU64" i="1" s="1"/>
  <c r="CS103" i="1"/>
  <c r="FU103" i="1" s="1"/>
  <c r="CS121" i="1"/>
  <c r="FK121" i="1" s="1"/>
  <c r="CS62" i="1"/>
  <c r="CS106" i="1"/>
  <c r="CS128" i="1"/>
  <c r="FK128" i="1" s="1"/>
  <c r="CS189" i="1"/>
  <c r="CS70" i="1"/>
  <c r="FK70" i="1" s="1"/>
  <c r="CS97" i="1"/>
  <c r="FK97" i="1" s="1"/>
  <c r="CS118" i="1"/>
  <c r="CS49" i="1"/>
  <c r="FU49" i="1" s="1"/>
  <c r="CS82" i="1"/>
  <c r="CS114" i="1"/>
  <c r="CS136" i="1"/>
  <c r="FU136" i="1" s="1"/>
  <c r="CS44" i="1"/>
  <c r="FK44" i="1" s="1"/>
  <c r="CS83" i="1"/>
  <c r="FU83" i="1" s="1"/>
  <c r="CS111" i="1"/>
  <c r="FK111" i="1" s="1"/>
  <c r="CS94" i="1"/>
  <c r="FK94" i="1" s="1"/>
  <c r="CS201" i="1"/>
  <c r="FK201" i="1" s="1"/>
  <c r="CS51" i="1"/>
  <c r="FK51" i="1" s="1"/>
  <c r="CS109" i="1"/>
  <c r="FU109" i="1" s="1"/>
  <c r="CS127" i="1"/>
  <c r="FK127" i="1" s="1"/>
  <c r="CS84" i="1"/>
  <c r="FU84" i="1" s="1"/>
  <c r="CS137" i="1"/>
  <c r="FU137" i="1" s="1"/>
  <c r="CS58" i="1"/>
  <c r="FK58" i="1" s="1"/>
  <c r="CS91" i="1"/>
  <c r="CS59" i="1"/>
  <c r="CS96" i="1"/>
  <c r="CS129" i="1"/>
  <c r="FK129" i="1" s="1"/>
  <c r="CS204" i="1"/>
  <c r="FK204" i="1" s="1"/>
  <c r="CS60" i="1"/>
  <c r="FU60" i="1" s="1"/>
  <c r="CS98" i="1"/>
  <c r="CS134" i="1"/>
  <c r="FK134" i="1" s="1"/>
  <c r="CS53" i="1"/>
  <c r="FK53" i="1" s="1"/>
  <c r="CS102" i="1"/>
  <c r="FU102" i="1" s="1"/>
  <c r="CS54" i="1"/>
  <c r="FU54" i="1" s="1"/>
  <c r="CS100" i="1"/>
  <c r="FK100" i="1" s="1"/>
  <c r="CS122" i="1"/>
  <c r="FK122" i="1" s="1"/>
  <c r="CS119" i="1"/>
  <c r="FU119" i="1" s="1"/>
  <c r="CS156" i="1"/>
  <c r="FK156" i="1" s="1"/>
  <c r="CS179" i="1"/>
  <c r="FU179" i="1" s="1"/>
  <c r="CS37" i="1"/>
  <c r="FU37" i="1" s="1"/>
  <c r="CS52" i="1"/>
  <c r="FK52" i="1" s="1"/>
  <c r="CS116" i="1"/>
  <c r="FK116" i="1" s="1"/>
  <c r="CS200" i="1"/>
  <c r="FK200" i="1" s="1"/>
  <c r="CS158" i="1"/>
  <c r="FK158" i="1" s="1"/>
  <c r="CS184" i="1"/>
  <c r="FU184" i="1" s="1"/>
  <c r="CS11" i="1"/>
  <c r="FK11" i="1" s="1"/>
  <c r="CS20" i="1"/>
  <c r="CS139" i="1"/>
  <c r="CS55" i="1"/>
  <c r="CS95" i="1"/>
  <c r="FK95" i="1" s="1"/>
  <c r="CS157" i="1"/>
  <c r="FU157" i="1" s="1"/>
  <c r="CS171" i="1"/>
  <c r="CS5" i="1"/>
  <c r="FK5" i="1" s="1"/>
  <c r="CS56" i="1"/>
  <c r="FU56" i="1" s="1"/>
  <c r="CS123" i="1"/>
  <c r="FK123" i="1" s="1"/>
  <c r="CS68" i="1"/>
  <c r="FU68" i="1" s="1"/>
  <c r="CS105" i="1"/>
  <c r="FK105" i="1" s="1"/>
  <c r="CS75" i="1"/>
  <c r="FU75" i="1" s="1"/>
  <c r="CS155" i="1"/>
  <c r="CS188" i="1"/>
  <c r="FU188" i="1" s="1"/>
  <c r="CS76" i="1"/>
  <c r="FU76" i="1" s="1"/>
  <c r="CS159" i="1"/>
  <c r="FU159" i="1" s="1"/>
  <c r="CS187" i="1"/>
  <c r="FK187" i="1" s="1"/>
  <c r="CS8" i="1"/>
  <c r="FU8" i="1" s="1"/>
  <c r="CS108" i="1"/>
  <c r="FK108" i="1" s="1"/>
  <c r="CS133" i="1"/>
  <c r="FU133" i="1" s="1"/>
  <c r="CS165" i="1"/>
  <c r="FU165" i="1" s="1"/>
  <c r="CS192" i="1"/>
  <c r="CS85" i="1"/>
  <c r="FU85" i="1" s="1"/>
  <c r="CS104" i="1"/>
  <c r="FU104" i="1" s="1"/>
  <c r="CS7" i="1"/>
  <c r="CS162" i="1"/>
  <c r="FK162" i="1" s="1"/>
  <c r="CS193" i="1"/>
  <c r="FK193" i="1" s="1"/>
  <c r="CS15" i="1"/>
  <c r="CS42" i="1"/>
  <c r="FU42" i="1" s="1"/>
  <c r="CS99" i="1"/>
  <c r="FU99" i="1" s="1"/>
  <c r="CS144" i="1"/>
  <c r="FK144" i="1" s="1"/>
  <c r="CS172" i="1"/>
  <c r="CS194" i="1"/>
  <c r="FU194" i="1" s="1"/>
  <c r="CS89" i="1"/>
  <c r="FU89" i="1" s="1"/>
  <c r="CS143" i="1"/>
  <c r="FU143" i="1" s="1"/>
  <c r="CS164" i="1"/>
  <c r="FU164" i="1" s="1"/>
  <c r="CS190" i="1"/>
  <c r="FK190" i="1" s="1"/>
  <c r="CS38" i="1"/>
  <c r="FU38" i="1" s="1"/>
  <c r="CS110" i="1"/>
  <c r="FK110" i="1" s="1"/>
  <c r="CS205" i="1"/>
  <c r="FK205" i="1" s="1"/>
  <c r="CS81" i="1"/>
  <c r="FU81" i="1" s="1"/>
  <c r="CS168" i="1"/>
  <c r="FK168" i="1" s="1"/>
  <c r="CS79" i="1"/>
  <c r="FU79" i="1" s="1"/>
  <c r="CS141" i="1"/>
  <c r="CS170" i="1"/>
  <c r="CS203" i="1"/>
  <c r="CS65" i="1"/>
  <c r="CS145" i="1"/>
  <c r="FU145" i="1" s="1"/>
  <c r="CS173" i="1"/>
  <c r="FK173" i="1" s="1"/>
  <c r="CS43" i="1"/>
  <c r="CS125" i="1"/>
  <c r="FK125" i="1" s="1"/>
  <c r="CS142" i="1"/>
  <c r="FK142" i="1" s="1"/>
  <c r="CS12" i="1"/>
  <c r="FU12" i="1" s="1"/>
  <c r="CS73" i="1"/>
  <c r="FK73" i="1" s="1"/>
  <c r="CS147" i="1"/>
  <c r="FK147" i="1" s="1"/>
  <c r="CS174" i="1"/>
  <c r="FK174" i="1" s="1"/>
  <c r="CS112" i="1"/>
  <c r="FK112" i="1" s="1"/>
  <c r="CS153" i="1"/>
  <c r="FU153" i="1" s="1"/>
  <c r="CS182" i="1"/>
  <c r="FK182" i="1" s="1"/>
  <c r="CS16" i="1"/>
  <c r="FU16" i="1" s="1"/>
  <c r="CS175" i="1"/>
  <c r="FK175" i="1" s="1"/>
  <c r="CS10" i="1"/>
  <c r="FK10" i="1" s="1"/>
  <c r="CS126" i="1"/>
  <c r="FU126" i="1" s="1"/>
  <c r="CS148" i="1"/>
  <c r="FU148" i="1" s="1"/>
  <c r="CS177" i="1"/>
  <c r="FU177" i="1" s="1"/>
  <c r="CS17" i="1"/>
  <c r="CS25" i="1"/>
  <c r="FK25" i="1" s="1"/>
  <c r="CS88" i="1"/>
  <c r="CS160" i="1"/>
  <c r="CS180" i="1"/>
  <c r="FK180" i="1" s="1"/>
  <c r="CS132" i="1"/>
  <c r="FU132" i="1" s="1"/>
  <c r="CS92" i="1"/>
  <c r="CS169" i="1"/>
  <c r="FK169" i="1" s="1"/>
  <c r="CS3" i="1"/>
  <c r="FK3" i="1" s="1"/>
  <c r="CS166" i="1"/>
  <c r="FK166" i="1" s="1"/>
  <c r="CS27" i="1"/>
  <c r="FK27" i="1" s="1"/>
  <c r="CS31" i="1"/>
  <c r="FU31" i="1" s="1"/>
  <c r="CS4" i="1"/>
  <c r="FK4" i="1" s="1"/>
  <c r="CS45" i="1"/>
  <c r="FK45" i="1" s="1"/>
  <c r="CS167" i="1"/>
  <c r="FK167" i="1" s="1"/>
  <c r="CS61" i="1"/>
  <c r="FK61" i="1" s="1"/>
  <c r="CS176" i="1"/>
  <c r="FK176" i="1" s="1"/>
  <c r="CS202" i="1"/>
  <c r="FU202" i="1" s="1"/>
  <c r="CS69" i="1"/>
  <c r="FU69" i="1" s="1"/>
  <c r="CS181" i="1"/>
  <c r="FK181" i="1" s="1"/>
  <c r="CS30" i="1"/>
  <c r="FK30" i="1" s="1"/>
  <c r="CS23" i="1"/>
  <c r="FU23" i="1" s="1"/>
  <c r="CS77" i="1"/>
  <c r="CS185" i="1"/>
  <c r="FK185" i="1" s="1"/>
  <c r="CS80" i="1"/>
  <c r="CS178" i="1"/>
  <c r="CS72" i="1"/>
  <c r="FU72" i="1" s="1"/>
  <c r="CS186" i="1"/>
  <c r="FK186" i="1" s="1"/>
  <c r="CS78" i="1"/>
  <c r="CS183" i="1"/>
  <c r="FK183" i="1" s="1"/>
  <c r="CS66" i="1"/>
  <c r="FU66" i="1" s="1"/>
  <c r="CS195" i="1"/>
  <c r="FK195" i="1" s="1"/>
  <c r="CS199" i="1"/>
  <c r="FU199" i="1" s="1"/>
  <c r="CS35" i="1"/>
  <c r="FK35" i="1" s="1"/>
  <c r="GH83" i="1"/>
  <c r="HG179" i="1"/>
  <c r="IQ172" i="1"/>
  <c r="HP180" i="1"/>
  <c r="IN202" i="1"/>
  <c r="GM195" i="1"/>
  <c r="GL167" i="1"/>
  <c r="IH153" i="1"/>
  <c r="GJ131" i="1"/>
  <c r="IP122" i="1"/>
  <c r="CR56" i="1"/>
  <c r="CR93" i="1"/>
  <c r="CR132" i="1"/>
  <c r="CR62" i="1"/>
  <c r="CR103" i="1"/>
  <c r="EP103" i="1" s="1"/>
  <c r="CR113" i="1"/>
  <c r="FT113" i="1" s="1"/>
  <c r="CR53" i="1"/>
  <c r="CR98" i="1"/>
  <c r="EP98" i="1" s="1"/>
  <c r="CR135" i="1"/>
  <c r="FT135" i="1" s="1"/>
  <c r="CR54" i="1"/>
  <c r="EP54" i="1" s="1"/>
  <c r="CR104" i="1"/>
  <c r="EP104" i="1" s="1"/>
  <c r="CR117" i="1"/>
  <c r="FT117" i="1" s="1"/>
  <c r="CR68" i="1"/>
  <c r="FT68" i="1" s="1"/>
  <c r="CR111" i="1"/>
  <c r="FT111" i="1" s="1"/>
  <c r="CR139" i="1"/>
  <c r="FT139" i="1" s="1"/>
  <c r="CR109" i="1"/>
  <c r="FT109" i="1" s="1"/>
  <c r="CR50" i="1"/>
  <c r="FT50" i="1" s="1"/>
  <c r="CR99" i="1"/>
  <c r="EP99" i="1" s="1"/>
  <c r="CR77" i="1"/>
  <c r="EP77" i="1" s="1"/>
  <c r="CR137" i="1"/>
  <c r="EP137" i="1" s="1"/>
  <c r="CR96" i="1"/>
  <c r="CR101" i="1"/>
  <c r="CR90" i="1"/>
  <c r="CR102" i="1"/>
  <c r="CR205" i="1"/>
  <c r="CR105" i="1"/>
  <c r="CR52" i="1"/>
  <c r="CR110" i="1"/>
  <c r="FT110" i="1" s="1"/>
  <c r="CR124" i="1"/>
  <c r="CR145" i="1"/>
  <c r="FT145" i="1" s="1"/>
  <c r="CR167" i="1"/>
  <c r="EP167" i="1" s="1"/>
  <c r="CR203" i="1"/>
  <c r="EP203" i="1" s="1"/>
  <c r="CR23" i="1"/>
  <c r="EP23" i="1" s="1"/>
  <c r="CR121" i="1"/>
  <c r="FT121" i="1" s="1"/>
  <c r="CR150" i="1"/>
  <c r="FT150" i="1" s="1"/>
  <c r="CR163" i="1"/>
  <c r="FT163" i="1" s="1"/>
  <c r="CR194" i="1"/>
  <c r="FT194" i="1" s="1"/>
  <c r="CR15" i="1"/>
  <c r="EP15" i="1" s="1"/>
  <c r="CR128" i="1"/>
  <c r="FT128" i="1" s="1"/>
  <c r="CR147" i="1"/>
  <c r="EP147" i="1" s="1"/>
  <c r="CR168" i="1"/>
  <c r="EP168" i="1" s="1"/>
  <c r="CR196" i="1"/>
  <c r="EP196" i="1" s="1"/>
  <c r="CR43" i="1"/>
  <c r="EP43" i="1" s="1"/>
  <c r="CR17" i="1"/>
  <c r="EP17" i="1" s="1"/>
  <c r="CR100" i="1"/>
  <c r="EP100" i="1" s="1"/>
  <c r="CR204" i="1"/>
  <c r="FT204" i="1" s="1"/>
  <c r="CR146" i="1"/>
  <c r="CR165" i="1"/>
  <c r="CR188" i="1"/>
  <c r="EP188" i="1" s="1"/>
  <c r="CR44" i="1"/>
  <c r="EP44" i="1" s="1"/>
  <c r="CR129" i="1"/>
  <c r="CR148" i="1"/>
  <c r="EP148" i="1" s="1"/>
  <c r="CR172" i="1"/>
  <c r="EP172" i="1" s="1"/>
  <c r="CR195" i="1"/>
  <c r="FT195" i="1" s="1"/>
  <c r="CR84" i="1"/>
  <c r="EP84" i="1" s="1"/>
  <c r="CR71" i="1"/>
  <c r="EP71" i="1" s="1"/>
  <c r="CR166" i="1"/>
  <c r="FT166" i="1" s="1"/>
  <c r="CR182" i="1"/>
  <c r="EP182" i="1" s="1"/>
  <c r="CR12" i="1"/>
  <c r="FT12" i="1" s="1"/>
  <c r="CR65" i="1"/>
  <c r="EP65" i="1" s="1"/>
  <c r="CR173" i="1"/>
  <c r="FT173" i="1" s="1"/>
  <c r="CR190" i="1"/>
  <c r="FT190" i="1" s="1"/>
  <c r="CR72" i="1"/>
  <c r="FT72" i="1" s="1"/>
  <c r="CR177" i="1"/>
  <c r="FT177" i="1" s="1"/>
  <c r="CR191" i="1"/>
  <c r="EP191" i="1" s="1"/>
  <c r="CR30" i="1"/>
  <c r="EP30" i="1" s="1"/>
  <c r="CR27" i="1"/>
  <c r="EP27" i="1" s="1"/>
  <c r="CR20" i="1"/>
  <c r="FT20" i="1" s="1"/>
  <c r="CR73" i="1"/>
  <c r="CR160" i="1"/>
  <c r="CR189" i="1"/>
  <c r="FT189" i="1" s="1"/>
  <c r="CR80" i="1"/>
  <c r="EP80" i="1" s="1"/>
  <c r="CR162" i="1"/>
  <c r="CR197" i="1"/>
  <c r="EP197" i="1" s="1"/>
  <c r="CR3" i="1"/>
  <c r="EP3" i="1" s="1"/>
  <c r="CR37" i="1"/>
  <c r="EP37" i="1" s="1"/>
  <c r="CR83" i="1"/>
  <c r="EP83" i="1" s="1"/>
  <c r="CR144" i="1"/>
  <c r="EP144" i="1" s="1"/>
  <c r="CR171" i="1"/>
  <c r="EP171" i="1" s="1"/>
  <c r="CR202" i="1"/>
  <c r="FT202" i="1" s="1"/>
  <c r="CR95" i="1"/>
  <c r="EP95" i="1" s="1"/>
  <c r="CR149" i="1"/>
  <c r="FT149" i="1" s="1"/>
  <c r="CR183" i="1"/>
  <c r="FT183" i="1" s="1"/>
  <c r="CR152" i="1"/>
  <c r="FT152" i="1" s="1"/>
  <c r="CR184" i="1"/>
  <c r="EP184" i="1" s="1"/>
  <c r="CR154" i="1"/>
  <c r="FT154" i="1" s="1"/>
  <c r="CR178" i="1"/>
  <c r="EP178" i="1" s="1"/>
  <c r="CR59" i="1"/>
  <c r="FT59" i="1" s="1"/>
  <c r="CR151" i="1"/>
  <c r="CR55" i="1"/>
  <c r="EP55" i="1" s="1"/>
  <c r="CR155" i="1"/>
  <c r="CR193" i="1"/>
  <c r="CR35" i="1"/>
  <c r="FT35" i="1" s="1"/>
  <c r="CR64" i="1"/>
  <c r="FT64" i="1" s="1"/>
  <c r="CR164" i="1"/>
  <c r="CR199" i="1"/>
  <c r="FT199" i="1" s="1"/>
  <c r="CR198" i="1"/>
  <c r="EP198" i="1" s="1"/>
  <c r="CR67" i="1"/>
  <c r="EP67" i="1" s="1"/>
  <c r="CR153" i="1"/>
  <c r="EP153" i="1" s="1"/>
  <c r="CR200" i="1"/>
  <c r="FT200" i="1" s="1"/>
  <c r="CR38" i="1"/>
  <c r="EP38" i="1" s="1"/>
  <c r="CR69" i="1"/>
  <c r="EP69" i="1" s="1"/>
  <c r="CR159" i="1"/>
  <c r="EP159" i="1" s="1"/>
  <c r="CR187" i="1"/>
  <c r="FT187" i="1" s="1"/>
  <c r="CR16" i="1"/>
  <c r="EP16" i="1" s="1"/>
  <c r="CR8" i="1"/>
  <c r="EP8" i="1" s="1"/>
  <c r="CR70" i="1"/>
  <c r="EP70" i="1" s="1"/>
  <c r="CR158" i="1"/>
  <c r="EP158" i="1" s="1"/>
  <c r="CR5" i="1"/>
  <c r="FT5" i="1" s="1"/>
  <c r="CR86" i="1"/>
  <c r="EP86" i="1" s="1"/>
  <c r="CR141" i="1"/>
  <c r="CR42" i="1"/>
  <c r="CR143" i="1"/>
  <c r="CR31" i="1"/>
  <c r="FT31" i="1" s="1"/>
  <c r="CR123" i="1"/>
  <c r="EP123" i="1" s="1"/>
  <c r="CR169" i="1"/>
  <c r="EP169" i="1" s="1"/>
  <c r="CR142" i="1"/>
  <c r="CR157" i="1"/>
  <c r="FT157" i="1" s="1"/>
  <c r="CR4" i="1"/>
  <c r="CR7" i="1"/>
  <c r="EP7" i="1" s="1"/>
  <c r="CR161" i="1"/>
  <c r="FT161" i="1" s="1"/>
  <c r="CR156" i="1"/>
  <c r="EP156" i="1" s="1"/>
  <c r="CR82" i="1"/>
  <c r="FT82" i="1" s="1"/>
  <c r="CR170" i="1"/>
  <c r="FT170" i="1" s="1"/>
  <c r="IH67" i="1"/>
  <c r="IQ144" i="1"/>
  <c r="HP168" i="1"/>
  <c r="CV78" i="1"/>
  <c r="FX78" i="1" s="1"/>
  <c r="JH107" i="1"/>
  <c r="JH191" i="1"/>
  <c r="JH118" i="1"/>
  <c r="JH138" i="1"/>
  <c r="JH4" i="1"/>
  <c r="JH181" i="1"/>
  <c r="JH117" i="1"/>
  <c r="JH137" i="1"/>
  <c r="JH179" i="1"/>
  <c r="JH116" i="1"/>
  <c r="JH145" i="1"/>
  <c r="JH204" i="1"/>
  <c r="JH115" i="1"/>
  <c r="JH143" i="1"/>
  <c r="JH197" i="1"/>
  <c r="JH114" i="1"/>
  <c r="JH131" i="1"/>
  <c r="JH203" i="1"/>
  <c r="JH152" i="1"/>
  <c r="JH158" i="1"/>
  <c r="JH202" i="1"/>
  <c r="JH194" i="1"/>
  <c r="JH157" i="1"/>
  <c r="JH133" i="1"/>
  <c r="JH201" i="1"/>
  <c r="JH126" i="1"/>
  <c r="JH147" i="1"/>
  <c r="JH182" i="1"/>
  <c r="JH125" i="1"/>
  <c r="JH146" i="1"/>
  <c r="JH180" i="1"/>
  <c r="JH124" i="1"/>
  <c r="JH141" i="1"/>
  <c r="JH189" i="1"/>
  <c r="JH123" i="1"/>
  <c r="JH173" i="1"/>
  <c r="JH122" i="1"/>
  <c r="JH165" i="1"/>
  <c r="JH121" i="1"/>
  <c r="JH135" i="1"/>
  <c r="JH120" i="1"/>
  <c r="JH130" i="1"/>
  <c r="JH119" i="1"/>
  <c r="JH188" i="1"/>
  <c r="JH113" i="1"/>
  <c r="JH162" i="1"/>
  <c r="JH200" i="1"/>
  <c r="JH111" i="1"/>
  <c r="JH136" i="1"/>
  <c r="JH108" i="1"/>
  <c r="JH106" i="1"/>
  <c r="JH102" i="1"/>
  <c r="JH205" i="1"/>
  <c r="JH101" i="1"/>
  <c r="JH196" i="1"/>
  <c r="JH99" i="1"/>
  <c r="JH170" i="1"/>
  <c r="JH159" i="1"/>
  <c r="JH168" i="1"/>
  <c r="JH129" i="1"/>
  <c r="JH178" i="1"/>
  <c r="JH164" i="1"/>
  <c r="JH156" i="1"/>
  <c r="JH154" i="1"/>
  <c r="JH193" i="1"/>
  <c r="JH149" i="1"/>
  <c r="JH167" i="1"/>
  <c r="JH186" i="1"/>
  <c r="JH132" i="1"/>
  <c r="JH187" i="1"/>
  <c r="JH185" i="1"/>
  <c r="JH155" i="1"/>
  <c r="JH161" i="1"/>
  <c r="JH183" i="1"/>
  <c r="JH93" i="1"/>
  <c r="JH142" i="1"/>
  <c r="JH198" i="1"/>
  <c r="JH128" i="1"/>
  <c r="JH140" i="1"/>
  <c r="JH175" i="1"/>
  <c r="JH6" i="1"/>
  <c r="JH171" i="1"/>
  <c r="JH169" i="1"/>
  <c r="JH176" i="1"/>
  <c r="JH25" i="1"/>
  <c r="JH174" i="1"/>
  <c r="JH172" i="1"/>
  <c r="JH163" i="1"/>
  <c r="JH3" i="1"/>
  <c r="JH192" i="1"/>
  <c r="JH199" i="1"/>
  <c r="JH195" i="1"/>
  <c r="IG23" i="1"/>
  <c r="HJ192" i="1"/>
  <c r="IK35" i="1"/>
  <c r="IP106" i="1"/>
  <c r="JQ86" i="1"/>
  <c r="HN138" i="1"/>
  <c r="GH197" i="1"/>
  <c r="CS198" i="1"/>
  <c r="FU198" i="1" s="1"/>
  <c r="HG143" i="1"/>
  <c r="CR176" i="1"/>
  <c r="FT176" i="1" s="1"/>
  <c r="HG130" i="1"/>
  <c r="IQ133" i="1"/>
  <c r="JP11" i="1"/>
  <c r="KA159" i="1"/>
  <c r="HJ183" i="1"/>
  <c r="CU29" i="1"/>
  <c r="FW29" i="1" s="1"/>
  <c r="HP24" i="1"/>
  <c r="HG141" i="1"/>
  <c r="CR179" i="1"/>
  <c r="EP179" i="1" s="1"/>
  <c r="IN156" i="1"/>
  <c r="IJ174" i="1"/>
  <c r="KA177" i="1"/>
  <c r="KA171" i="1"/>
  <c r="GH71" i="1"/>
  <c r="JT172" i="1"/>
  <c r="GJ6" i="1"/>
  <c r="JH190" i="1"/>
  <c r="IN187" i="1"/>
  <c r="CV38" i="1"/>
  <c r="IK43" i="1"/>
  <c r="HP17" i="1"/>
  <c r="GL11" i="1"/>
  <c r="GL27" i="1"/>
  <c r="IG183" i="1"/>
  <c r="HG144" i="1"/>
  <c r="HD186" i="1"/>
  <c r="CR180" i="1"/>
  <c r="EP180" i="1" s="1"/>
  <c r="IP180" i="1"/>
  <c r="IN152" i="1"/>
  <c r="GM182" i="1"/>
  <c r="GL162" i="1"/>
  <c r="IJ168" i="1"/>
  <c r="CU162" i="1"/>
  <c r="FW162" i="1" s="1"/>
  <c r="IN119" i="1"/>
  <c r="CV58" i="1"/>
  <c r="FX58" i="1" s="1"/>
  <c r="HP98" i="1"/>
  <c r="CR134" i="1"/>
  <c r="EP134" i="1" s="1"/>
  <c r="HG94" i="1"/>
  <c r="IQ116" i="1"/>
  <c r="GJ120" i="1"/>
  <c r="JQ160" i="1"/>
  <c r="JP100" i="1"/>
  <c r="JH127" i="1"/>
  <c r="JI112" i="1"/>
  <c r="HF88" i="1"/>
  <c r="HF140" i="1"/>
  <c r="HF52" i="1"/>
  <c r="HF92" i="1"/>
  <c r="HF89" i="1"/>
  <c r="HF126" i="1"/>
  <c r="HF44" i="1"/>
  <c r="HF102" i="1"/>
  <c r="HF135" i="1"/>
  <c r="HF50" i="1"/>
  <c r="HF105" i="1"/>
  <c r="HF94" i="1"/>
  <c r="HF53" i="1"/>
  <c r="HF96" i="1"/>
  <c r="HF136" i="1"/>
  <c r="HF54" i="1"/>
  <c r="HF101" i="1"/>
  <c r="HF112" i="1"/>
  <c r="HF55" i="1"/>
  <c r="HF93" i="1"/>
  <c r="HF73" i="1"/>
  <c r="HF204" i="1"/>
  <c r="HF80" i="1"/>
  <c r="HF201" i="1"/>
  <c r="HF108" i="1"/>
  <c r="HF106" i="1"/>
  <c r="HF174" i="1"/>
  <c r="HF109" i="1"/>
  <c r="HF72" i="1"/>
  <c r="HF120" i="1"/>
  <c r="HF127" i="1"/>
  <c r="HF129" i="1"/>
  <c r="HF111" i="1"/>
  <c r="HF202" i="1"/>
  <c r="HF56" i="1"/>
  <c r="HF116" i="1"/>
  <c r="HF59" i="1"/>
  <c r="HF133" i="1"/>
  <c r="HF203" i="1"/>
  <c r="HF75" i="1"/>
  <c r="HF66" i="1"/>
  <c r="HF142" i="1"/>
  <c r="HF163" i="1"/>
  <c r="HF184" i="1"/>
  <c r="HF121" i="1"/>
  <c r="HF91" i="1"/>
  <c r="HF150" i="1"/>
  <c r="HF181" i="1"/>
  <c r="HF186" i="1"/>
  <c r="HF122" i="1"/>
  <c r="HF134" i="1"/>
  <c r="HF146" i="1"/>
  <c r="HF167" i="1"/>
  <c r="HF182" i="1"/>
  <c r="HF98" i="1"/>
  <c r="HF114" i="1"/>
  <c r="HF81" i="1"/>
  <c r="HF152" i="1"/>
  <c r="HF185" i="1"/>
  <c r="HF20" i="1"/>
  <c r="HF76" i="1"/>
  <c r="HF157" i="1"/>
  <c r="HF187" i="1"/>
  <c r="HF6" i="1"/>
  <c r="HF12" i="1"/>
  <c r="HF78" i="1"/>
  <c r="HF149" i="1"/>
  <c r="HF191" i="1"/>
  <c r="HF17" i="1"/>
  <c r="HF124" i="1"/>
  <c r="HF153" i="1"/>
  <c r="HF195" i="1"/>
  <c r="HF42" i="1"/>
  <c r="HF99" i="1"/>
  <c r="HF84" i="1"/>
  <c r="HF147" i="1"/>
  <c r="HF176" i="1"/>
  <c r="HF8" i="1"/>
  <c r="HF155" i="1"/>
  <c r="HF178" i="1"/>
  <c r="HF31" i="1"/>
  <c r="HF145" i="1"/>
  <c r="HF180" i="1"/>
  <c r="HF10" i="1"/>
  <c r="HF7" i="1"/>
  <c r="HF143" i="1"/>
  <c r="HF192" i="1"/>
  <c r="HF27" i="1"/>
  <c r="HF144" i="1"/>
  <c r="HF196" i="1"/>
  <c r="HF200" i="1"/>
  <c r="HF37" i="1"/>
  <c r="HF43" i="1"/>
  <c r="HF154" i="1"/>
  <c r="HF205" i="1"/>
  <c r="HF148" i="1"/>
  <c r="HF177" i="1"/>
  <c r="HF29" i="1"/>
  <c r="HF190" i="1"/>
  <c r="HF151" i="1"/>
  <c r="HF183" i="1"/>
  <c r="HF5" i="1"/>
  <c r="HF199" i="1"/>
  <c r="HF158" i="1"/>
  <c r="HF188" i="1"/>
  <c r="HF24" i="1"/>
  <c r="HF164" i="1"/>
  <c r="HF189" i="1"/>
  <c r="HF60" i="1"/>
  <c r="HF71" i="1"/>
  <c r="HF159" i="1"/>
  <c r="HF16" i="1"/>
  <c r="HF68" i="1"/>
  <c r="HF161" i="1"/>
  <c r="HF179" i="1"/>
  <c r="HF69" i="1"/>
  <c r="HF168" i="1"/>
  <c r="HF77" i="1"/>
  <c r="HF160" i="1"/>
  <c r="HF113" i="1"/>
  <c r="HF169" i="1"/>
  <c r="HF170" i="1"/>
  <c r="HF175" i="1"/>
  <c r="HF172" i="1"/>
  <c r="HF4" i="1"/>
  <c r="HF165" i="1"/>
  <c r="HF171" i="1"/>
  <c r="HJ199" i="1"/>
  <c r="HJ175" i="1"/>
  <c r="HG174" i="1"/>
  <c r="HN163" i="1"/>
  <c r="GF107" i="1"/>
  <c r="GF108" i="1"/>
  <c r="GF132" i="1"/>
  <c r="GF102" i="1"/>
  <c r="GF120" i="1"/>
  <c r="GF110" i="1"/>
  <c r="GF135" i="1"/>
  <c r="GF126" i="1"/>
  <c r="GF129" i="1"/>
  <c r="GF106" i="1"/>
  <c r="GF133" i="1"/>
  <c r="GF101" i="1"/>
  <c r="GF109" i="1"/>
  <c r="GF112" i="1"/>
  <c r="GF124" i="1"/>
  <c r="GF114" i="1"/>
  <c r="GF119" i="1"/>
  <c r="GF130" i="1"/>
  <c r="GF116" i="1"/>
  <c r="GF128" i="1"/>
  <c r="GF99" i="1"/>
  <c r="GF117" i="1"/>
  <c r="GF115" i="1"/>
  <c r="GF93" i="1"/>
  <c r="GF118" i="1"/>
  <c r="GF147" i="1"/>
  <c r="GF182" i="1"/>
  <c r="GF142" i="1"/>
  <c r="GF122" i="1"/>
  <c r="GF151" i="1"/>
  <c r="GF180" i="1"/>
  <c r="GF123" i="1"/>
  <c r="GF202" i="1"/>
  <c r="GF149" i="1"/>
  <c r="GF179" i="1"/>
  <c r="GF125" i="1"/>
  <c r="GF134" i="1"/>
  <c r="GF152" i="1"/>
  <c r="GF176" i="1"/>
  <c r="GF136" i="1"/>
  <c r="GF159" i="1"/>
  <c r="GF188" i="1"/>
  <c r="GF169" i="1"/>
  <c r="GF177" i="1"/>
  <c r="GF195" i="1"/>
  <c r="GF172" i="1"/>
  <c r="GF167" i="1"/>
  <c r="GF185" i="1"/>
  <c r="GF174" i="1"/>
  <c r="GF187" i="1"/>
  <c r="GF199" i="1"/>
  <c r="GF111" i="1"/>
  <c r="GF144" i="1"/>
  <c r="GF184" i="1"/>
  <c r="GF148" i="1"/>
  <c r="GF186" i="1"/>
  <c r="GF121" i="1"/>
  <c r="GF141" i="1"/>
  <c r="GF203" i="1"/>
  <c r="GF4" i="1"/>
  <c r="GF160" i="1"/>
  <c r="GF192" i="1"/>
  <c r="GF127" i="1"/>
  <c r="GF145" i="1"/>
  <c r="GF181" i="1"/>
  <c r="GF166" i="1"/>
  <c r="GF198" i="1"/>
  <c r="GF113" i="1"/>
  <c r="GF163" i="1"/>
  <c r="GF155" i="1"/>
  <c r="GF158" i="1"/>
  <c r="GF138" i="1"/>
  <c r="GF156" i="1"/>
  <c r="GF157" i="1"/>
  <c r="GF154" i="1"/>
  <c r="GF137" i="1"/>
  <c r="GF162" i="1"/>
  <c r="GF139" i="1"/>
  <c r="GF173" i="1"/>
  <c r="GF3" i="1"/>
  <c r="GF153" i="1"/>
  <c r="GF204" i="1"/>
  <c r="GF140" i="1"/>
  <c r="GF183" i="1"/>
  <c r="GF171" i="1"/>
  <c r="GF164" i="1"/>
  <c r="GF25" i="1"/>
  <c r="GF143" i="1"/>
  <c r="GF146" i="1"/>
  <c r="GF131" i="1"/>
  <c r="GF165" i="1"/>
  <c r="HN156" i="1"/>
  <c r="JH153" i="1"/>
  <c r="HN164" i="1"/>
  <c r="JT196" i="1"/>
  <c r="IN123" i="1"/>
  <c r="KA187" i="1"/>
  <c r="KA203" i="1"/>
  <c r="HD25" i="1"/>
  <c r="JT183" i="1"/>
  <c r="IH6" i="1"/>
  <c r="JH166" i="1"/>
  <c r="CV15" i="1"/>
  <c r="IK7" i="1"/>
  <c r="HP35" i="1"/>
  <c r="GL30" i="1"/>
  <c r="HF198" i="1"/>
  <c r="IG176" i="1"/>
  <c r="HG4" i="1"/>
  <c r="GF200" i="1"/>
  <c r="HD189" i="1"/>
  <c r="CR175" i="1"/>
  <c r="EP175" i="1" s="1"/>
  <c r="IP181" i="1"/>
  <c r="HM165" i="1"/>
  <c r="GM188" i="1"/>
  <c r="GL154" i="1"/>
  <c r="IJ169" i="1"/>
  <c r="GH177" i="1"/>
  <c r="CU164" i="1"/>
  <c r="FW164" i="1" s="1"/>
  <c r="IN101" i="1"/>
  <c r="HL111" i="1"/>
  <c r="CV59" i="1"/>
  <c r="FX59" i="1" s="1"/>
  <c r="HP101" i="1"/>
  <c r="CR127" i="1"/>
  <c r="FT127" i="1" s="1"/>
  <c r="HG115" i="1"/>
  <c r="JP118" i="1"/>
  <c r="JH134" i="1"/>
  <c r="IN200" i="1"/>
  <c r="GM198" i="1"/>
  <c r="IH163" i="1"/>
  <c r="JP6" i="1"/>
  <c r="CS196" i="1"/>
  <c r="FK196" i="1" s="1"/>
  <c r="IH149" i="1"/>
  <c r="CS197" i="1"/>
  <c r="FU197" i="1" s="1"/>
  <c r="IQ141" i="1"/>
  <c r="IN203" i="1"/>
  <c r="CV80" i="1"/>
  <c r="FX80" i="1" s="1"/>
  <c r="HP86" i="1"/>
  <c r="CU12" i="1"/>
  <c r="FW12" i="1" s="1"/>
  <c r="IJ171" i="1"/>
  <c r="CV70" i="1"/>
  <c r="FX70" i="1" s="1"/>
  <c r="IG139" i="1"/>
  <c r="JP113" i="1"/>
  <c r="HN25" i="1"/>
  <c r="JH148" i="1"/>
  <c r="CU5" i="1"/>
  <c r="FW5" i="1" s="1"/>
  <c r="HP4" i="1"/>
  <c r="HD193" i="1"/>
  <c r="HN158" i="1"/>
  <c r="CR94" i="1"/>
  <c r="FT94" i="1" s="1"/>
  <c r="IQ128" i="1"/>
  <c r="JQ128" i="1"/>
  <c r="HG30" i="1"/>
  <c r="JH177" i="1"/>
  <c r="CV5" i="1"/>
  <c r="FX5" i="1" s="1"/>
  <c r="IK24" i="1"/>
  <c r="IG178" i="1"/>
  <c r="GF194" i="1"/>
  <c r="HD178" i="1"/>
  <c r="CR185" i="1"/>
  <c r="EP185" i="1" s="1"/>
  <c r="IP174" i="1"/>
  <c r="HM176" i="1"/>
  <c r="GL149" i="1"/>
  <c r="HK189" i="1"/>
  <c r="IJ173" i="1"/>
  <c r="CU160" i="1"/>
  <c r="FW160" i="1" s="1"/>
  <c r="HL127" i="1"/>
  <c r="CV44" i="1"/>
  <c r="FX44" i="1" s="1"/>
  <c r="IH116" i="1"/>
  <c r="HP110" i="1"/>
  <c r="CR133" i="1"/>
  <c r="HG66" i="1"/>
  <c r="GI124" i="1"/>
  <c r="JP122" i="1"/>
  <c r="JH144" i="1"/>
  <c r="GH107" i="1"/>
  <c r="GH135" i="1"/>
  <c r="GH138" i="1"/>
  <c r="GH133" i="1"/>
  <c r="GH131" i="1"/>
  <c r="GH123" i="1"/>
  <c r="GH120" i="1"/>
  <c r="GH58" i="1"/>
  <c r="GH149" i="1"/>
  <c r="GH163" i="1"/>
  <c r="GH106" i="1"/>
  <c r="GH121" i="1"/>
  <c r="GH142" i="1"/>
  <c r="GH164" i="1"/>
  <c r="GH95" i="1"/>
  <c r="GH155" i="1"/>
  <c r="GH168" i="1"/>
  <c r="GH125" i="1"/>
  <c r="GH100" i="1"/>
  <c r="GH146" i="1"/>
  <c r="GH166" i="1"/>
  <c r="GH111" i="1"/>
  <c r="GH148" i="1"/>
  <c r="GH171" i="1"/>
  <c r="GH132" i="1"/>
  <c r="GH151" i="1"/>
  <c r="GH175" i="1"/>
  <c r="GH119" i="1"/>
  <c r="GH130" i="1"/>
  <c r="GH159" i="1"/>
  <c r="GH193" i="1"/>
  <c r="GH150" i="1"/>
  <c r="GH182" i="1"/>
  <c r="GH152" i="1"/>
  <c r="GH187" i="1"/>
  <c r="GH154" i="1"/>
  <c r="GH185" i="1"/>
  <c r="GH112" i="1"/>
  <c r="GH137" i="1"/>
  <c r="GH153" i="1"/>
  <c r="GH184" i="1"/>
  <c r="GH116" i="1"/>
  <c r="GH124" i="1"/>
  <c r="GH128" i="1"/>
  <c r="GH162" i="1"/>
  <c r="GH126" i="1"/>
  <c r="GH160" i="1"/>
  <c r="GH205" i="1"/>
  <c r="GH134" i="1"/>
  <c r="GH96" i="1"/>
  <c r="GH161" i="1"/>
  <c r="GH117" i="1"/>
  <c r="GH169" i="1"/>
  <c r="GH115" i="1"/>
  <c r="GH139" i="1"/>
  <c r="GH180" i="1"/>
  <c r="GH127" i="1"/>
  <c r="GH140" i="1"/>
  <c r="GH143" i="1"/>
  <c r="GH195" i="1"/>
  <c r="GH7" i="1"/>
  <c r="GH144" i="1"/>
  <c r="GH192" i="1"/>
  <c r="GH141" i="1"/>
  <c r="GH188" i="1"/>
  <c r="GH156" i="1"/>
  <c r="GH199" i="1"/>
  <c r="GH157" i="1"/>
  <c r="GH203" i="1"/>
  <c r="GH136" i="1"/>
  <c r="GH200" i="1"/>
  <c r="GH53" i="1"/>
  <c r="GH198" i="1"/>
  <c r="GH165" i="1"/>
  <c r="GH55" i="1"/>
  <c r="GH179" i="1"/>
  <c r="GH118" i="1"/>
  <c r="GH94" i="1"/>
  <c r="GH147" i="1"/>
  <c r="GH122" i="1"/>
  <c r="GH114" i="1"/>
  <c r="GH109" i="1"/>
  <c r="GH113" i="1"/>
  <c r="GH196" i="1"/>
  <c r="GH202" i="1"/>
  <c r="GH31" i="1"/>
  <c r="GH173" i="1"/>
  <c r="GH183" i="1"/>
  <c r="GH172" i="1"/>
  <c r="GH158" i="1"/>
  <c r="GH189" i="1"/>
  <c r="GH167" i="1"/>
  <c r="GH145" i="1"/>
  <c r="GH170" i="1"/>
  <c r="GH181" i="1"/>
  <c r="KA199" i="1"/>
  <c r="JP7" i="1"/>
  <c r="IO190" i="1"/>
  <c r="JS139" i="1"/>
  <c r="KA24" i="1"/>
  <c r="HN166" i="1"/>
  <c r="CV81" i="1"/>
  <c r="FX81" i="1" s="1"/>
  <c r="KA11" i="1"/>
  <c r="HJ201" i="1"/>
  <c r="IQ13" i="1"/>
  <c r="IF134" i="1"/>
  <c r="IF120" i="1"/>
  <c r="IF127" i="1"/>
  <c r="IF129" i="1"/>
  <c r="IF140" i="1"/>
  <c r="IF55" i="1"/>
  <c r="IF128" i="1"/>
  <c r="IF58" i="1"/>
  <c r="IF138" i="1"/>
  <c r="IF115" i="1"/>
  <c r="IF131" i="1"/>
  <c r="IF122" i="1"/>
  <c r="IF94" i="1"/>
  <c r="IF203" i="1"/>
  <c r="IF124" i="1"/>
  <c r="IF114" i="1"/>
  <c r="IF123" i="1"/>
  <c r="IF118" i="1"/>
  <c r="IF119" i="1"/>
  <c r="IF125" i="1"/>
  <c r="IF116" i="1"/>
  <c r="IF113" i="1"/>
  <c r="IF132" i="1"/>
  <c r="IF133" i="1"/>
  <c r="IF121" i="1"/>
  <c r="IF151" i="1"/>
  <c r="IF174" i="1"/>
  <c r="IF135" i="1"/>
  <c r="IF204" i="1"/>
  <c r="IF148" i="1"/>
  <c r="IF178" i="1"/>
  <c r="IF130" i="1"/>
  <c r="IF154" i="1"/>
  <c r="IF186" i="1"/>
  <c r="IF139" i="1"/>
  <c r="IF200" i="1"/>
  <c r="IF136" i="1"/>
  <c r="IF156" i="1"/>
  <c r="IF187" i="1"/>
  <c r="IF198" i="1"/>
  <c r="IF149" i="1"/>
  <c r="IF177" i="1"/>
  <c r="IF152" i="1"/>
  <c r="IF182" i="1"/>
  <c r="IF157" i="1"/>
  <c r="IF175" i="1"/>
  <c r="IF158" i="1"/>
  <c r="IF194" i="1"/>
  <c r="IF146" i="1"/>
  <c r="IF176" i="1"/>
  <c r="IF183" i="1"/>
  <c r="IF191" i="1"/>
  <c r="IF155" i="1"/>
  <c r="IF205" i="1"/>
  <c r="IF181" i="1"/>
  <c r="IF53" i="1"/>
  <c r="IF161" i="1"/>
  <c r="IF201" i="1"/>
  <c r="IF166" i="1"/>
  <c r="IF169" i="1"/>
  <c r="IF164" i="1"/>
  <c r="IF165" i="1"/>
  <c r="IF197" i="1"/>
  <c r="IF170" i="1"/>
  <c r="IF195" i="1"/>
  <c r="IF95" i="1"/>
  <c r="IF167" i="1"/>
  <c r="IF172" i="1"/>
  <c r="IF168" i="1"/>
  <c r="IF7" i="1"/>
  <c r="IF189" i="1"/>
  <c r="IF71" i="1"/>
  <c r="IF188" i="1"/>
  <c r="IF171" i="1"/>
  <c r="IF202" i="1"/>
  <c r="IF100" i="1"/>
  <c r="IF162" i="1"/>
  <c r="IF96" i="1"/>
  <c r="IF163" i="1"/>
  <c r="IF179" i="1"/>
  <c r="IF106" i="1"/>
  <c r="IF180" i="1"/>
  <c r="IF192" i="1"/>
  <c r="IF117" i="1"/>
  <c r="IF145" i="1"/>
  <c r="IF126" i="1"/>
  <c r="IF199" i="1"/>
  <c r="IF137" i="1"/>
  <c r="IF83" i="1"/>
  <c r="IF109" i="1"/>
  <c r="IF173" i="1"/>
  <c r="IF147" i="1"/>
  <c r="IF111" i="1"/>
  <c r="IF184" i="1"/>
  <c r="IF196" i="1"/>
  <c r="IF190" i="1"/>
  <c r="IF193" i="1"/>
  <c r="HF15" i="1"/>
  <c r="CR186" i="1"/>
  <c r="FT186" i="1" s="1"/>
  <c r="IN197" i="1"/>
  <c r="GM193" i="1"/>
  <c r="IQ46" i="1"/>
  <c r="HP146" i="1"/>
  <c r="GM202" i="1"/>
  <c r="IJ185" i="1"/>
  <c r="GJ3" i="1"/>
  <c r="GI38" i="1"/>
  <c r="GM194" i="1"/>
  <c r="GF201" i="1"/>
  <c r="CV137" i="1"/>
  <c r="KA125" i="1"/>
  <c r="KA128" i="1"/>
  <c r="GJ25" i="1"/>
  <c r="JQ53" i="1"/>
  <c r="JP53" i="1"/>
  <c r="JT192" i="1"/>
  <c r="JH160" i="1"/>
  <c r="CU8" i="1"/>
  <c r="FW8" i="1" s="1"/>
  <c r="IK38" i="1"/>
  <c r="GJ37" i="1"/>
  <c r="GL6" i="1"/>
  <c r="IF160" i="1"/>
  <c r="CS154" i="1"/>
  <c r="FU154" i="1" s="1"/>
  <c r="IG186" i="1"/>
  <c r="GF189" i="1"/>
  <c r="HD173" i="1"/>
  <c r="CR181" i="1"/>
  <c r="FT181" i="1" s="1"/>
  <c r="IP175" i="1"/>
  <c r="HM169" i="1"/>
  <c r="GL148" i="1"/>
  <c r="HK191" i="1"/>
  <c r="GH178" i="1"/>
  <c r="CU152" i="1"/>
  <c r="GL50" i="1"/>
  <c r="IH91" i="1"/>
  <c r="CR114" i="1"/>
  <c r="HG64" i="1"/>
  <c r="IK49" i="1"/>
  <c r="GI129" i="1"/>
  <c r="JH109" i="1"/>
  <c r="JS185" i="1"/>
  <c r="HL205" i="1"/>
  <c r="IQ180" i="1"/>
  <c r="GM199" i="1"/>
  <c r="CQ107" i="1"/>
  <c r="FS107" i="1" s="1"/>
  <c r="CQ46" i="1"/>
  <c r="EE46" i="1" s="1"/>
  <c r="CQ26" i="1"/>
  <c r="FS26" i="1" s="1"/>
  <c r="CQ138" i="1"/>
  <c r="EE138" i="1" s="1"/>
  <c r="CQ36" i="1"/>
  <c r="FS36" i="1" s="1"/>
  <c r="CQ63" i="1"/>
  <c r="FS63" i="1" s="1"/>
  <c r="CQ47" i="1"/>
  <c r="CQ69" i="1"/>
  <c r="CQ98" i="1"/>
  <c r="CQ100" i="1"/>
  <c r="FS100" i="1" s="1"/>
  <c r="CQ66" i="1"/>
  <c r="CQ104" i="1"/>
  <c r="FS104" i="1" s="1"/>
  <c r="CQ114" i="1"/>
  <c r="FS114" i="1" s="1"/>
  <c r="CQ65" i="1"/>
  <c r="CQ111" i="1"/>
  <c r="EE111" i="1" s="1"/>
  <c r="CQ122" i="1"/>
  <c r="EE122" i="1" s="1"/>
  <c r="CQ25" i="1"/>
  <c r="EE25" i="1" s="1"/>
  <c r="CQ70" i="1"/>
  <c r="EE70" i="1" s="1"/>
  <c r="CQ102" i="1"/>
  <c r="FS102" i="1" s="1"/>
  <c r="CQ94" i="1"/>
  <c r="EE94" i="1" s="1"/>
  <c r="CQ62" i="1"/>
  <c r="EE62" i="1" s="1"/>
  <c r="CQ99" i="1"/>
  <c r="EE99" i="1" s="1"/>
  <c r="CQ113" i="1"/>
  <c r="FS113" i="1" s="1"/>
  <c r="CQ81" i="1"/>
  <c r="EE81" i="1" s="1"/>
  <c r="CQ204" i="1"/>
  <c r="EE204" i="1" s="1"/>
  <c r="CQ68" i="1"/>
  <c r="FS68" i="1" s="1"/>
  <c r="CQ92" i="1"/>
  <c r="FS92" i="1" s="1"/>
  <c r="CQ116" i="1"/>
  <c r="EE116" i="1" s="1"/>
  <c r="CQ139" i="1"/>
  <c r="EE139" i="1" s="1"/>
  <c r="CQ112" i="1"/>
  <c r="CQ56" i="1"/>
  <c r="CQ89" i="1"/>
  <c r="EE89" i="1" s="1"/>
  <c r="CQ130" i="1"/>
  <c r="EE130" i="1" s="1"/>
  <c r="CQ61" i="1"/>
  <c r="FS61" i="1" s="1"/>
  <c r="CQ95" i="1"/>
  <c r="FS95" i="1" s="1"/>
  <c r="CQ132" i="1"/>
  <c r="CQ50" i="1"/>
  <c r="FS50" i="1" s="1"/>
  <c r="CQ105" i="1"/>
  <c r="EE105" i="1" s="1"/>
  <c r="CQ135" i="1"/>
  <c r="EE135" i="1" s="1"/>
  <c r="CQ67" i="1"/>
  <c r="EE67" i="1" s="1"/>
  <c r="CQ83" i="1"/>
  <c r="CQ133" i="1"/>
  <c r="FS133" i="1" s="1"/>
  <c r="CQ131" i="1"/>
  <c r="EE131" i="1" s="1"/>
  <c r="CQ51" i="1"/>
  <c r="FS51" i="1" s="1"/>
  <c r="CQ64" i="1"/>
  <c r="EE64" i="1" s="1"/>
  <c r="CQ119" i="1"/>
  <c r="EE119" i="1" s="1"/>
  <c r="CQ77" i="1"/>
  <c r="EE77" i="1" s="1"/>
  <c r="CQ110" i="1"/>
  <c r="EE110" i="1" s="1"/>
  <c r="CQ117" i="1"/>
  <c r="FS117" i="1" s="1"/>
  <c r="CQ72" i="1"/>
  <c r="EE72" i="1" s="1"/>
  <c r="CQ126" i="1"/>
  <c r="FS126" i="1" s="1"/>
  <c r="CQ75" i="1"/>
  <c r="EE75" i="1" s="1"/>
  <c r="CQ96" i="1"/>
  <c r="CQ143" i="1"/>
  <c r="CQ169" i="1"/>
  <c r="CQ183" i="1"/>
  <c r="EE183" i="1" s="1"/>
  <c r="CQ80" i="1"/>
  <c r="EE80" i="1" s="1"/>
  <c r="CQ123" i="1"/>
  <c r="CQ144" i="1"/>
  <c r="EE144" i="1" s="1"/>
  <c r="CQ165" i="1"/>
  <c r="FS165" i="1" s="1"/>
  <c r="CQ184" i="1"/>
  <c r="EE184" i="1" s="1"/>
  <c r="CQ76" i="1"/>
  <c r="FS76" i="1" s="1"/>
  <c r="CQ134" i="1"/>
  <c r="FS134" i="1" s="1"/>
  <c r="CQ150" i="1"/>
  <c r="EE150" i="1" s="1"/>
  <c r="CQ168" i="1"/>
  <c r="EE168" i="1" s="1"/>
  <c r="CQ182" i="1"/>
  <c r="FS182" i="1" s="1"/>
  <c r="CQ11" i="1"/>
  <c r="FS11" i="1" s="1"/>
  <c r="CQ78" i="1"/>
  <c r="EE78" i="1" s="1"/>
  <c r="CQ136" i="1"/>
  <c r="EE136" i="1" s="1"/>
  <c r="CQ147" i="1"/>
  <c r="EE147" i="1" s="1"/>
  <c r="CQ164" i="1"/>
  <c r="FS164" i="1" s="1"/>
  <c r="CQ194" i="1"/>
  <c r="FS194" i="1" s="1"/>
  <c r="CQ90" i="1"/>
  <c r="EE90" i="1" s="1"/>
  <c r="CQ153" i="1"/>
  <c r="FS153" i="1" s="1"/>
  <c r="CQ172" i="1"/>
  <c r="FS172" i="1" s="1"/>
  <c r="CQ188" i="1"/>
  <c r="EE188" i="1" s="1"/>
  <c r="CQ103" i="1"/>
  <c r="CQ151" i="1"/>
  <c r="EE151" i="1" s="1"/>
  <c r="CQ189" i="1"/>
  <c r="EE189" i="1" s="1"/>
  <c r="CQ43" i="1"/>
  <c r="CQ42" i="1"/>
  <c r="FS42" i="1" s="1"/>
  <c r="CQ106" i="1"/>
  <c r="FS106" i="1" s="1"/>
  <c r="CQ160" i="1"/>
  <c r="CQ196" i="1"/>
  <c r="FS196" i="1" s="1"/>
  <c r="CQ24" i="1"/>
  <c r="EE24" i="1" s="1"/>
  <c r="CQ108" i="1"/>
  <c r="FS108" i="1" s="1"/>
  <c r="CQ157" i="1"/>
  <c r="FS157" i="1" s="1"/>
  <c r="CQ200" i="1"/>
  <c r="FS200" i="1" s="1"/>
  <c r="CQ12" i="1"/>
  <c r="FS12" i="1" s="1"/>
  <c r="CQ7" i="1"/>
  <c r="EE7" i="1" s="1"/>
  <c r="CQ97" i="1"/>
  <c r="FS97" i="1" s="1"/>
  <c r="CQ152" i="1"/>
  <c r="FS152" i="1" s="1"/>
  <c r="CQ186" i="1"/>
  <c r="EE186" i="1" s="1"/>
  <c r="CQ29" i="1"/>
  <c r="EE29" i="1" s="1"/>
  <c r="CQ109" i="1"/>
  <c r="FS109" i="1" s="1"/>
  <c r="CQ159" i="1"/>
  <c r="EE159" i="1" s="1"/>
  <c r="CQ185" i="1"/>
  <c r="CQ16" i="1"/>
  <c r="CQ115" i="1"/>
  <c r="CQ163" i="1"/>
  <c r="EE163" i="1" s="1"/>
  <c r="CQ203" i="1"/>
  <c r="FS203" i="1" s="1"/>
  <c r="CQ44" i="1"/>
  <c r="CQ120" i="1"/>
  <c r="EE120" i="1" s="1"/>
  <c r="CQ91" i="1"/>
  <c r="EE91" i="1" s="1"/>
  <c r="CQ142" i="1"/>
  <c r="EE142" i="1" s="1"/>
  <c r="CQ173" i="1"/>
  <c r="EE173" i="1" s="1"/>
  <c r="CQ8" i="1"/>
  <c r="FS8" i="1" s="1"/>
  <c r="CQ127" i="1"/>
  <c r="EE127" i="1" s="1"/>
  <c r="CQ145" i="1"/>
  <c r="FS145" i="1" s="1"/>
  <c r="CQ179" i="1"/>
  <c r="EE179" i="1" s="1"/>
  <c r="CQ35" i="1"/>
  <c r="EE35" i="1" s="1"/>
  <c r="CQ55" i="1"/>
  <c r="EE55" i="1" s="1"/>
  <c r="CQ129" i="1"/>
  <c r="EE129" i="1" s="1"/>
  <c r="CQ156" i="1"/>
  <c r="FS156" i="1" s="1"/>
  <c r="CQ176" i="1"/>
  <c r="FS176" i="1" s="1"/>
  <c r="CQ149" i="1"/>
  <c r="FS149" i="1" s="1"/>
  <c r="CQ53" i="1"/>
  <c r="FS53" i="1" s="1"/>
  <c r="CQ154" i="1"/>
  <c r="CQ174" i="1"/>
  <c r="EE174" i="1" s="1"/>
  <c r="CQ6" i="1"/>
  <c r="CQ54" i="1"/>
  <c r="CQ146" i="1"/>
  <c r="EE146" i="1" s="1"/>
  <c r="CQ190" i="1"/>
  <c r="FS190" i="1" s="1"/>
  <c r="CQ60" i="1"/>
  <c r="CQ193" i="1"/>
  <c r="EE193" i="1" s="1"/>
  <c r="CQ45" i="1"/>
  <c r="FS45" i="1" s="1"/>
  <c r="CQ148" i="1"/>
  <c r="CQ197" i="1"/>
  <c r="FS197" i="1" s="1"/>
  <c r="CQ59" i="1"/>
  <c r="FS59" i="1" s="1"/>
  <c r="CQ158" i="1"/>
  <c r="EE158" i="1" s="1"/>
  <c r="CQ49" i="1"/>
  <c r="EE49" i="1" s="1"/>
  <c r="CQ118" i="1"/>
  <c r="FS118" i="1" s="1"/>
  <c r="CQ155" i="1"/>
  <c r="EE155" i="1" s="1"/>
  <c r="CQ198" i="1"/>
  <c r="EE198" i="1" s="1"/>
  <c r="CQ199" i="1"/>
  <c r="EE199" i="1" s="1"/>
  <c r="CQ79" i="1"/>
  <c r="FS79" i="1" s="1"/>
  <c r="CQ178" i="1"/>
  <c r="EE178" i="1" s="1"/>
  <c r="CQ82" i="1"/>
  <c r="EE82" i="1" s="1"/>
  <c r="CQ84" i="1"/>
  <c r="CQ4" i="1"/>
  <c r="EE4" i="1" s="1"/>
  <c r="CQ181" i="1"/>
  <c r="CQ13" i="1"/>
  <c r="CQ93" i="1"/>
  <c r="CQ201" i="1"/>
  <c r="FS201" i="1" s="1"/>
  <c r="CQ125" i="1"/>
  <c r="FS125" i="1" s="1"/>
  <c r="CQ124" i="1"/>
  <c r="CQ121" i="1"/>
  <c r="EE121" i="1" s="1"/>
  <c r="CQ10" i="1"/>
  <c r="EE10" i="1" s="1"/>
  <c r="CQ128" i="1"/>
  <c r="EE128" i="1" s="1"/>
  <c r="CQ161" i="1"/>
  <c r="FS161" i="1" s="1"/>
  <c r="CQ140" i="1"/>
  <c r="FS140" i="1" s="1"/>
  <c r="CQ15" i="1"/>
  <c r="FS15" i="1" s="1"/>
  <c r="CQ166" i="1"/>
  <c r="EE166" i="1" s="1"/>
  <c r="CQ88" i="1"/>
  <c r="EE88" i="1" s="1"/>
  <c r="CQ101" i="1"/>
  <c r="EE101" i="1" s="1"/>
  <c r="CQ141" i="1"/>
  <c r="EE141" i="1" s="1"/>
  <c r="CQ30" i="1"/>
  <c r="EE30" i="1" s="1"/>
  <c r="CQ27" i="1"/>
  <c r="EE27" i="1" s="1"/>
  <c r="CQ162" i="1"/>
  <c r="EE162" i="1" s="1"/>
  <c r="CQ38" i="1"/>
  <c r="EE38" i="1" s="1"/>
  <c r="CQ3" i="1"/>
  <c r="EE3" i="1" s="1"/>
  <c r="CQ31" i="1"/>
  <c r="EE31" i="1" s="1"/>
  <c r="CQ85" i="1"/>
  <c r="EE85" i="1" s="1"/>
  <c r="HJ161" i="1"/>
  <c r="HG171" i="1"/>
  <c r="HN162" i="1"/>
  <c r="CU42" i="1"/>
  <c r="FW42" i="1" s="1"/>
  <c r="IG55" i="1"/>
  <c r="KA195" i="1"/>
  <c r="JT195" i="1"/>
  <c r="IN153" i="1"/>
  <c r="IK11" i="1"/>
  <c r="HJ184" i="1"/>
  <c r="IH136" i="1"/>
  <c r="IP121" i="1"/>
  <c r="IN140" i="1"/>
  <c r="GL37" i="1"/>
  <c r="GM185" i="1"/>
  <c r="JP124" i="1"/>
  <c r="JH139" i="1"/>
  <c r="KA135" i="1"/>
  <c r="KA117" i="1"/>
  <c r="KA66" i="1"/>
  <c r="JT147" i="1"/>
  <c r="KA110" i="1"/>
  <c r="HN67" i="1"/>
  <c r="IF31" i="1"/>
  <c r="JT71" i="1"/>
  <c r="JT202" i="1"/>
  <c r="HD31" i="1"/>
  <c r="JH150" i="1"/>
  <c r="JR140" i="1"/>
  <c r="CR11" i="1"/>
  <c r="EP11" i="1" s="1"/>
  <c r="HF38" i="1"/>
  <c r="IF153" i="1"/>
  <c r="CS161" i="1"/>
  <c r="FU161" i="1" s="1"/>
  <c r="IG189" i="1"/>
  <c r="GF193" i="1"/>
  <c r="HD175" i="1"/>
  <c r="CR174" i="1"/>
  <c r="EP174" i="1" s="1"/>
  <c r="IP152" i="1"/>
  <c r="HM166" i="1"/>
  <c r="IJ204" i="1"/>
  <c r="HL200" i="1"/>
  <c r="HK181" i="1"/>
  <c r="GH176" i="1"/>
  <c r="CU145" i="1"/>
  <c r="IO204" i="1"/>
  <c r="HM90" i="1"/>
  <c r="GM88" i="1"/>
  <c r="GL62" i="1"/>
  <c r="IH59" i="1"/>
  <c r="GJ138" i="1"/>
  <c r="CR125" i="1"/>
  <c r="EP125" i="1" s="1"/>
  <c r="IK45" i="1"/>
  <c r="GI102" i="1"/>
  <c r="JL119" i="1"/>
  <c r="JH110" i="1"/>
  <c r="IO205" i="1"/>
  <c r="KA60" i="1"/>
  <c r="IQ179" i="1"/>
  <c r="HP167" i="1"/>
  <c r="HN168" i="1"/>
  <c r="CV83" i="1"/>
  <c r="FX83" i="1" s="1"/>
  <c r="GJ46" i="1"/>
  <c r="JP79" i="1"/>
  <c r="JJ107" i="1"/>
  <c r="JJ146" i="1"/>
  <c r="JJ114" i="1"/>
  <c r="JJ123" i="1"/>
  <c r="JJ136" i="1"/>
  <c r="JJ126" i="1"/>
  <c r="JJ176" i="1"/>
  <c r="JJ151" i="1"/>
  <c r="JJ149" i="1"/>
  <c r="JJ144" i="1"/>
  <c r="JJ143" i="1"/>
  <c r="JJ174" i="1"/>
  <c r="JJ168" i="1"/>
  <c r="JJ152" i="1"/>
  <c r="JJ113" i="1"/>
  <c r="JJ203" i="1"/>
  <c r="JJ200" i="1"/>
  <c r="JJ195" i="1"/>
  <c r="JJ185" i="1"/>
  <c r="JJ172" i="1"/>
  <c r="JJ184" i="1"/>
  <c r="JJ145" i="1"/>
  <c r="JJ53" i="1"/>
  <c r="JJ169" i="1"/>
  <c r="JJ192" i="1"/>
  <c r="JJ154" i="1"/>
  <c r="JJ31" i="1"/>
  <c r="JJ163" i="1"/>
  <c r="JJ71" i="1"/>
  <c r="JJ199" i="1"/>
  <c r="JJ189" i="1"/>
  <c r="JJ188" i="1"/>
  <c r="JJ196" i="1"/>
  <c r="JJ197" i="1"/>
  <c r="JJ179" i="1"/>
  <c r="JJ201" i="1"/>
  <c r="JJ7" i="1"/>
  <c r="JJ147" i="1"/>
  <c r="JJ191" i="1"/>
  <c r="HG13" i="1"/>
  <c r="HG45" i="1"/>
  <c r="HG77" i="1"/>
  <c r="HG101" i="1"/>
  <c r="HG132" i="1"/>
  <c r="HG46" i="1"/>
  <c r="HG55" i="1"/>
  <c r="HG76" i="1"/>
  <c r="HG126" i="1"/>
  <c r="HG116" i="1"/>
  <c r="HG56" i="1"/>
  <c r="HG81" i="1"/>
  <c r="HG80" i="1"/>
  <c r="HG128" i="1"/>
  <c r="HG61" i="1"/>
  <c r="HG78" i="1"/>
  <c r="HG117" i="1"/>
  <c r="HG135" i="1"/>
  <c r="HG59" i="1"/>
  <c r="HG82" i="1"/>
  <c r="HG118" i="1"/>
  <c r="HG129" i="1"/>
  <c r="HG50" i="1"/>
  <c r="HG88" i="1"/>
  <c r="HG119" i="1"/>
  <c r="HG52" i="1"/>
  <c r="HG108" i="1"/>
  <c r="HG123" i="1"/>
  <c r="HG53" i="1"/>
  <c r="HG90" i="1"/>
  <c r="HG125" i="1"/>
  <c r="HG44" i="1"/>
  <c r="HG95" i="1"/>
  <c r="HG104" i="1"/>
  <c r="HG49" i="1"/>
  <c r="HG100" i="1"/>
  <c r="HG112" i="1"/>
  <c r="HG36" i="1"/>
  <c r="HG25" i="1"/>
  <c r="HG54" i="1"/>
  <c r="HG92" i="1"/>
  <c r="HG120" i="1"/>
  <c r="HG131" i="1"/>
  <c r="HG65" i="1"/>
  <c r="HG109" i="1"/>
  <c r="HG67" i="1"/>
  <c r="HG122" i="1"/>
  <c r="HG134" i="1"/>
  <c r="HG75" i="1"/>
  <c r="HG98" i="1"/>
  <c r="HG71" i="1"/>
  <c r="HG124" i="1"/>
  <c r="HG68" i="1"/>
  <c r="HG114" i="1"/>
  <c r="HG205" i="1"/>
  <c r="HG121" i="1"/>
  <c r="HG73" i="1"/>
  <c r="HG136" i="1"/>
  <c r="HG69" i="1"/>
  <c r="HG138" i="1"/>
  <c r="HG97" i="1"/>
  <c r="HG148" i="1"/>
  <c r="HG175" i="1"/>
  <c r="HG195" i="1"/>
  <c r="HG31" i="1"/>
  <c r="HG24" i="1"/>
  <c r="HG63" i="1"/>
  <c r="HG103" i="1"/>
  <c r="HG152" i="1"/>
  <c r="HG181" i="1"/>
  <c r="HG190" i="1"/>
  <c r="HG29" i="1"/>
  <c r="HG27" i="1"/>
  <c r="HG110" i="1"/>
  <c r="HG150" i="1"/>
  <c r="HG165" i="1"/>
  <c r="HG191" i="1"/>
  <c r="HG7" i="1"/>
  <c r="HG72" i="1"/>
  <c r="HG91" i="1"/>
  <c r="HG106" i="1"/>
  <c r="HG164" i="1"/>
  <c r="HG184" i="1"/>
  <c r="HG133" i="1"/>
  <c r="HG151" i="1"/>
  <c r="HG178" i="1"/>
  <c r="HG113" i="1"/>
  <c r="HG147" i="1"/>
  <c r="HG185" i="1"/>
  <c r="HG6" i="1"/>
  <c r="HG137" i="1"/>
  <c r="HG153" i="1"/>
  <c r="HG186" i="1"/>
  <c r="HG85" i="1"/>
  <c r="HG47" i="1"/>
  <c r="HG51" i="1"/>
  <c r="HG127" i="1"/>
  <c r="HG154" i="1"/>
  <c r="HG182" i="1"/>
  <c r="HG58" i="1"/>
  <c r="HG159" i="1"/>
  <c r="HG188" i="1"/>
  <c r="HG37" i="1"/>
  <c r="HG43" i="1"/>
  <c r="HG60" i="1"/>
  <c r="HG70" i="1"/>
  <c r="HG142" i="1"/>
  <c r="HG176" i="1"/>
  <c r="HG79" i="1"/>
  <c r="HG146" i="1"/>
  <c r="HG180" i="1"/>
  <c r="HG83" i="1"/>
  <c r="HG139" i="1"/>
  <c r="HG149" i="1"/>
  <c r="HG187" i="1"/>
  <c r="HG8" i="1"/>
  <c r="HG157" i="1"/>
  <c r="HG99" i="1"/>
  <c r="HG155" i="1"/>
  <c r="HG183" i="1"/>
  <c r="HG89" i="1"/>
  <c r="HG156" i="1"/>
  <c r="HG203" i="1"/>
  <c r="HG102" i="1"/>
  <c r="HG192" i="1"/>
  <c r="HG105" i="1"/>
  <c r="HG161" i="1"/>
  <c r="HG189" i="1"/>
  <c r="HG17" i="1"/>
  <c r="HG96" i="1"/>
  <c r="HG158" i="1"/>
  <c r="HG193" i="1"/>
  <c r="HG16" i="1"/>
  <c r="HG93" i="1"/>
  <c r="HG84" i="1"/>
  <c r="HG145" i="1"/>
  <c r="HG201" i="1"/>
  <c r="HG12" i="1"/>
  <c r="HG168" i="1"/>
  <c r="HG162" i="1"/>
  <c r="HG204" i="1"/>
  <c r="HG11" i="1"/>
  <c r="HG160" i="1"/>
  <c r="HG169" i="1"/>
  <c r="HG23" i="1"/>
  <c r="HG166" i="1"/>
  <c r="HG35" i="1"/>
  <c r="HG173" i="1"/>
  <c r="HG38" i="1"/>
  <c r="HG177" i="1"/>
  <c r="HG42" i="1"/>
  <c r="HG10" i="1"/>
  <c r="HG172" i="1"/>
  <c r="HG20" i="1"/>
  <c r="HG15" i="1"/>
  <c r="HG163" i="1"/>
  <c r="HG167" i="1"/>
  <c r="HG5" i="1"/>
  <c r="HJ148" i="1"/>
  <c r="HJ200" i="1"/>
  <c r="JI174" i="1"/>
  <c r="JI198" i="1"/>
  <c r="JI173" i="1"/>
  <c r="JI160" i="1"/>
  <c r="JI186" i="1"/>
  <c r="JI201" i="1"/>
  <c r="JI191" i="1"/>
  <c r="JI193" i="1"/>
  <c r="JI182" i="1"/>
  <c r="JI164" i="1"/>
  <c r="JI153" i="1"/>
  <c r="JI126" i="1"/>
  <c r="JI137" i="1"/>
  <c r="JI187" i="1"/>
  <c r="JI156" i="1"/>
  <c r="JI139" i="1"/>
  <c r="JI205" i="1"/>
  <c r="JI131" i="1"/>
  <c r="JI143" i="1"/>
  <c r="JI188" i="1"/>
  <c r="JI127" i="1"/>
  <c r="JI157" i="1"/>
  <c r="JI125" i="1"/>
  <c r="JI152" i="1"/>
  <c r="JI130" i="1"/>
  <c r="JI190" i="1"/>
  <c r="JI151" i="1"/>
  <c r="JI155" i="1"/>
  <c r="JI144" i="1"/>
  <c r="JL86" i="1"/>
  <c r="CS24" i="1"/>
  <c r="FK24" i="1" s="1"/>
  <c r="CR201" i="1"/>
  <c r="EP201" i="1" s="1"/>
  <c r="IG44" i="1"/>
  <c r="KA80" i="1"/>
  <c r="IN150" i="1"/>
  <c r="GL163" i="1"/>
  <c r="CV72" i="1"/>
  <c r="FX72" i="1" s="1"/>
  <c r="HM38" i="1"/>
  <c r="HJ186" i="1"/>
  <c r="IN177" i="1"/>
  <c r="IK6" i="1"/>
  <c r="GL169" i="1"/>
  <c r="HJ188" i="1"/>
  <c r="JL67" i="1"/>
  <c r="HJ198" i="1"/>
  <c r="HP3" i="1"/>
  <c r="IP194" i="1"/>
  <c r="IK16" i="1"/>
  <c r="IG184" i="1"/>
  <c r="CU168" i="1"/>
  <c r="FW168" i="1" s="1"/>
  <c r="CV73" i="1"/>
  <c r="CQ17" i="1"/>
  <c r="HF11" i="1"/>
  <c r="GJ12" i="1"/>
  <c r="IF143" i="1"/>
  <c r="CS152" i="1"/>
  <c r="FU152" i="1" s="1"/>
  <c r="IG179" i="1"/>
  <c r="GF191" i="1"/>
  <c r="HD172" i="1"/>
  <c r="IP148" i="1"/>
  <c r="IG205" i="1"/>
  <c r="HM156" i="1"/>
  <c r="CV205" i="1"/>
  <c r="FX205" i="1" s="1"/>
  <c r="HL194" i="1"/>
  <c r="GJ187" i="1"/>
  <c r="GH194" i="1"/>
  <c r="GI192" i="1"/>
  <c r="GL202" i="1"/>
  <c r="HM121" i="1"/>
  <c r="GM99" i="1"/>
  <c r="GL61" i="1"/>
  <c r="IH60" i="1"/>
  <c r="CQ137" i="1"/>
  <c r="CQ73" i="1"/>
  <c r="EE73" i="1" s="1"/>
  <c r="IK44" i="1"/>
  <c r="GI61" i="1"/>
  <c r="JL142" i="1"/>
  <c r="JH112" i="1"/>
  <c r="GH201" i="1"/>
  <c r="CR10" i="1"/>
  <c r="EP10" i="1" s="1"/>
  <c r="IQ142" i="1"/>
  <c r="HP182" i="1"/>
  <c r="IG56" i="1"/>
  <c r="KA202" i="1"/>
  <c r="GH191" i="1"/>
  <c r="HG170" i="1"/>
  <c r="CR192" i="1"/>
  <c r="FT192" i="1" s="1"/>
  <c r="IP100" i="1"/>
  <c r="KA157" i="1"/>
  <c r="IG201" i="1"/>
  <c r="GF197" i="1"/>
  <c r="IN170" i="1"/>
  <c r="GL165" i="1"/>
  <c r="KA148" i="1"/>
  <c r="IP186" i="1"/>
  <c r="GL166" i="1"/>
  <c r="IP120" i="1"/>
  <c r="HM23" i="1"/>
  <c r="GJ31" i="1"/>
  <c r="GM30" i="1"/>
  <c r="HD67" i="1"/>
  <c r="JP62" i="1"/>
  <c r="JT145" i="1"/>
  <c r="HG3" i="1"/>
  <c r="HN31" i="1"/>
  <c r="HF3" i="1"/>
  <c r="IF150" i="1"/>
  <c r="CS149" i="1"/>
  <c r="FU149" i="1" s="1"/>
  <c r="GF170" i="1"/>
  <c r="IP143" i="1"/>
  <c r="IO200" i="1"/>
  <c r="HM161" i="1"/>
  <c r="GJ205" i="1"/>
  <c r="HL190" i="1"/>
  <c r="GH190" i="1"/>
  <c r="GI196" i="1"/>
  <c r="GM106" i="1"/>
  <c r="IJ94" i="1"/>
  <c r="IH58" i="1"/>
  <c r="HF137" i="1"/>
  <c r="CQ71" i="1"/>
  <c r="EE71" i="1" s="1"/>
  <c r="GI58" i="1"/>
  <c r="JK115" i="1"/>
  <c r="JH151" i="1"/>
  <c r="CU107" i="1"/>
  <c r="FW107" i="1" s="1"/>
  <c r="CU46" i="1"/>
  <c r="FW46" i="1" s="1"/>
  <c r="CU60" i="1"/>
  <c r="FW60" i="1" s="1"/>
  <c r="CU91" i="1"/>
  <c r="FW91" i="1" s="1"/>
  <c r="CU110" i="1"/>
  <c r="FW110" i="1" s="1"/>
  <c r="CU138" i="1"/>
  <c r="FW138" i="1" s="1"/>
  <c r="CU64" i="1"/>
  <c r="CU96" i="1"/>
  <c r="CU105" i="1"/>
  <c r="FW105" i="1" s="1"/>
  <c r="CU131" i="1"/>
  <c r="CU50" i="1"/>
  <c r="CU101" i="1"/>
  <c r="CU125" i="1"/>
  <c r="FW125" i="1" s="1"/>
  <c r="CU68" i="1"/>
  <c r="CU90" i="1"/>
  <c r="CU126" i="1"/>
  <c r="FW126" i="1" s="1"/>
  <c r="CU140" i="1"/>
  <c r="FW140" i="1" s="1"/>
  <c r="CU69" i="1"/>
  <c r="CU93" i="1"/>
  <c r="FW93" i="1" s="1"/>
  <c r="CU102" i="1"/>
  <c r="FW102" i="1" s="1"/>
  <c r="CU61" i="1"/>
  <c r="FW61" i="1" s="1"/>
  <c r="CU103" i="1"/>
  <c r="FW103" i="1" s="1"/>
  <c r="CU115" i="1"/>
  <c r="FW115" i="1" s="1"/>
  <c r="CU73" i="1"/>
  <c r="FW73" i="1" s="1"/>
  <c r="CU89" i="1"/>
  <c r="FW89" i="1" s="1"/>
  <c r="CU7" i="1"/>
  <c r="FW7" i="1" s="1"/>
  <c r="CU155" i="1"/>
  <c r="FW155" i="1" s="1"/>
  <c r="CU183" i="1"/>
  <c r="FW183" i="1" s="1"/>
  <c r="CU205" i="1"/>
  <c r="FW205" i="1" s="1"/>
  <c r="CU44" i="1"/>
  <c r="FW44" i="1" s="1"/>
  <c r="CU75" i="1"/>
  <c r="FW75" i="1" s="1"/>
  <c r="CU120" i="1"/>
  <c r="CU99" i="1"/>
  <c r="CU143" i="1"/>
  <c r="FW143" i="1" s="1"/>
  <c r="CU172" i="1"/>
  <c r="FW172" i="1" s="1"/>
  <c r="CU178" i="1"/>
  <c r="FW178" i="1" s="1"/>
  <c r="CU49" i="1"/>
  <c r="CU82" i="1"/>
  <c r="CU124" i="1"/>
  <c r="FW124" i="1" s="1"/>
  <c r="CU142" i="1"/>
  <c r="FW142" i="1" s="1"/>
  <c r="CU176" i="1"/>
  <c r="FW176" i="1" s="1"/>
  <c r="CU189" i="1"/>
  <c r="FW189" i="1" s="1"/>
  <c r="CU51" i="1"/>
  <c r="FW51" i="1" s="1"/>
  <c r="CU100" i="1"/>
  <c r="FW100" i="1" s="1"/>
  <c r="CU113" i="1"/>
  <c r="FW113" i="1" s="1"/>
  <c r="CU141" i="1"/>
  <c r="FW141" i="1" s="1"/>
  <c r="CU166" i="1"/>
  <c r="CU202" i="1"/>
  <c r="FW202" i="1" s="1"/>
  <c r="CU54" i="1"/>
  <c r="FW54" i="1" s="1"/>
  <c r="CU81" i="1"/>
  <c r="FW81" i="1" s="1"/>
  <c r="CU114" i="1"/>
  <c r="CU151" i="1"/>
  <c r="FW151" i="1" s="1"/>
  <c r="CU167" i="1"/>
  <c r="FW167" i="1" s="1"/>
  <c r="CU84" i="1"/>
  <c r="CU56" i="1"/>
  <c r="CU109" i="1"/>
  <c r="CU137" i="1"/>
  <c r="FW137" i="1" s="1"/>
  <c r="CU72" i="1"/>
  <c r="FW72" i="1" s="1"/>
  <c r="CU139" i="1"/>
  <c r="CU144" i="1"/>
  <c r="FW144" i="1" s="1"/>
  <c r="CU173" i="1"/>
  <c r="FW173" i="1" s="1"/>
  <c r="CU199" i="1"/>
  <c r="CU78" i="1"/>
  <c r="CU133" i="1"/>
  <c r="FW133" i="1" s="1"/>
  <c r="CU146" i="1"/>
  <c r="FW146" i="1" s="1"/>
  <c r="CU175" i="1"/>
  <c r="FW175" i="1" s="1"/>
  <c r="CU200" i="1"/>
  <c r="FW200" i="1" s="1"/>
  <c r="CU67" i="1"/>
  <c r="FW67" i="1" s="1"/>
  <c r="CU129" i="1"/>
  <c r="FW129" i="1" s="1"/>
  <c r="CU148" i="1"/>
  <c r="FW148" i="1" s="1"/>
  <c r="CU177" i="1"/>
  <c r="FW177" i="1" s="1"/>
  <c r="CU201" i="1"/>
  <c r="FW201" i="1" s="1"/>
  <c r="CU77" i="1"/>
  <c r="CU122" i="1"/>
  <c r="FW122" i="1" s="1"/>
  <c r="CU153" i="1"/>
  <c r="FW153" i="1" s="1"/>
  <c r="CU180" i="1"/>
  <c r="FW180" i="1" s="1"/>
  <c r="CU204" i="1"/>
  <c r="CU65" i="1"/>
  <c r="CU83" i="1"/>
  <c r="FW83" i="1" s="1"/>
  <c r="CU156" i="1"/>
  <c r="FW156" i="1" s="1"/>
  <c r="CU179" i="1"/>
  <c r="CU203" i="1"/>
  <c r="FW203" i="1" s="1"/>
  <c r="CU106" i="1"/>
  <c r="FW106" i="1" s="1"/>
  <c r="CU128" i="1"/>
  <c r="CU147" i="1"/>
  <c r="FW147" i="1" s="1"/>
  <c r="CU187" i="1"/>
  <c r="FW187" i="1" s="1"/>
  <c r="CU97" i="1"/>
  <c r="FW97" i="1" s="1"/>
  <c r="CU121" i="1"/>
  <c r="FW121" i="1" s="1"/>
  <c r="CU92" i="1"/>
  <c r="FW92" i="1" s="1"/>
  <c r="CU154" i="1"/>
  <c r="FW154" i="1" s="1"/>
  <c r="CU185" i="1"/>
  <c r="FW185" i="1" s="1"/>
  <c r="CU108" i="1"/>
  <c r="FW108" i="1" s="1"/>
  <c r="CU161" i="1"/>
  <c r="FW161" i="1" s="1"/>
  <c r="CU181" i="1"/>
  <c r="FW181" i="1" s="1"/>
  <c r="CU3" i="1"/>
  <c r="FW3" i="1" s="1"/>
  <c r="CU6" i="1"/>
  <c r="FW6" i="1" s="1"/>
  <c r="CU35" i="1"/>
  <c r="FW35" i="1" s="1"/>
  <c r="CU98" i="1"/>
  <c r="CU158" i="1"/>
  <c r="CU196" i="1"/>
  <c r="FW196" i="1" s="1"/>
  <c r="CU24" i="1"/>
  <c r="FW24" i="1" s="1"/>
  <c r="CU104" i="1"/>
  <c r="CU157" i="1"/>
  <c r="CU198" i="1"/>
  <c r="CU43" i="1"/>
  <c r="FW43" i="1" s="1"/>
  <c r="CU111" i="1"/>
  <c r="CU163" i="1"/>
  <c r="FW163" i="1" s="1"/>
  <c r="CU127" i="1"/>
  <c r="FW127" i="1" s="1"/>
  <c r="CU159" i="1"/>
  <c r="FW159" i="1" s="1"/>
  <c r="CU118" i="1"/>
  <c r="CU194" i="1"/>
  <c r="FW194" i="1" s="1"/>
  <c r="CU4" i="1"/>
  <c r="FW4" i="1" s="1"/>
  <c r="CU119" i="1"/>
  <c r="FW119" i="1" s="1"/>
  <c r="CU188" i="1"/>
  <c r="FW188" i="1" s="1"/>
  <c r="CU79" i="1"/>
  <c r="FW79" i="1" s="1"/>
  <c r="CU182" i="1"/>
  <c r="DE182" i="1" s="1"/>
  <c r="CU116" i="1"/>
  <c r="FW116" i="1" s="1"/>
  <c r="CU184" i="1"/>
  <c r="FW184" i="1" s="1"/>
  <c r="CU16" i="1"/>
  <c r="FW16" i="1" s="1"/>
  <c r="CU95" i="1"/>
  <c r="FW95" i="1" s="1"/>
  <c r="CU190" i="1"/>
  <c r="CU117" i="1"/>
  <c r="FW117" i="1" s="1"/>
  <c r="CU149" i="1"/>
  <c r="FW149" i="1" s="1"/>
  <c r="CU197" i="1"/>
  <c r="FW197" i="1" s="1"/>
  <c r="CU94" i="1"/>
  <c r="CU150" i="1"/>
  <c r="FW150" i="1" s="1"/>
  <c r="CU59" i="1"/>
  <c r="FW59" i="1" s="1"/>
  <c r="CU169" i="1"/>
  <c r="CU30" i="1"/>
  <c r="FW30" i="1" s="1"/>
  <c r="CU66" i="1"/>
  <c r="FW66" i="1" s="1"/>
  <c r="CU170" i="1"/>
  <c r="FW170" i="1" s="1"/>
  <c r="CU27" i="1"/>
  <c r="FW27" i="1" s="1"/>
  <c r="CU70" i="1"/>
  <c r="FW70" i="1" s="1"/>
  <c r="CU174" i="1"/>
  <c r="FW174" i="1" s="1"/>
  <c r="CU23" i="1"/>
  <c r="FW23" i="1" s="1"/>
  <c r="CU76" i="1"/>
  <c r="FW76" i="1" s="1"/>
  <c r="CU186" i="1"/>
  <c r="FW186" i="1" s="1"/>
  <c r="CU71" i="1"/>
  <c r="FW71" i="1" s="1"/>
  <c r="CU130" i="1"/>
  <c r="FW130" i="1" s="1"/>
  <c r="CU171" i="1"/>
  <c r="CU17" i="1"/>
  <c r="FW17" i="1" s="1"/>
  <c r="CU80" i="1"/>
  <c r="CU195" i="1"/>
  <c r="CU11" i="1"/>
  <c r="FW11" i="1" s="1"/>
  <c r="CU88" i="1"/>
  <c r="FW88" i="1" s="1"/>
  <c r="CU192" i="1"/>
  <c r="FW192" i="1" s="1"/>
  <c r="CU123" i="1"/>
  <c r="CU191" i="1"/>
  <c r="CU112" i="1"/>
  <c r="FW112" i="1" s="1"/>
  <c r="CU193" i="1"/>
  <c r="CU165" i="1"/>
  <c r="FW165" i="1" s="1"/>
  <c r="CU85" i="1"/>
  <c r="CU58" i="1"/>
  <c r="FW58" i="1" s="1"/>
  <c r="CU31" i="1"/>
  <c r="FW31" i="1" s="1"/>
  <c r="CU10" i="1"/>
  <c r="FW10" i="1" s="1"/>
  <c r="CU15" i="1"/>
  <c r="FW15" i="1" s="1"/>
  <c r="CU37" i="1"/>
  <c r="FW37" i="1" s="1"/>
  <c r="CU45" i="1"/>
  <c r="FW45" i="1" s="1"/>
  <c r="CU62" i="1"/>
  <c r="FW62" i="1" s="1"/>
  <c r="CU55" i="1"/>
  <c r="FW55" i="1" s="1"/>
  <c r="CU38" i="1"/>
  <c r="FW38" i="1" s="1"/>
  <c r="CU52" i="1"/>
  <c r="FW52" i="1" s="1"/>
  <c r="CU53" i="1"/>
  <c r="FW53" i="1" s="1"/>
  <c r="CU25" i="1"/>
  <c r="JO107" i="1"/>
  <c r="JO169" i="1"/>
  <c r="JO77" i="1"/>
  <c r="JO162" i="1"/>
  <c r="JO72" i="1"/>
  <c r="JO157" i="1"/>
  <c r="JO155" i="1"/>
  <c r="JO156" i="1"/>
  <c r="JO187" i="1"/>
  <c r="JO104" i="1"/>
  <c r="JO75" i="1"/>
  <c r="JO185" i="1"/>
  <c r="JO84" i="1"/>
  <c r="JO42" i="1"/>
  <c r="JO183" i="1"/>
  <c r="JO44" i="1"/>
  <c r="JO56" i="1"/>
  <c r="JO166" i="1"/>
  <c r="JO165" i="1"/>
  <c r="JO153" i="1"/>
  <c r="JO177" i="1"/>
  <c r="JO62" i="1"/>
  <c r="JO174" i="1"/>
  <c r="JO67" i="1"/>
  <c r="JO143" i="1"/>
  <c r="JO149" i="1"/>
  <c r="JO105" i="1"/>
  <c r="JO7" i="1"/>
  <c r="JO109" i="1"/>
  <c r="JO126" i="1"/>
  <c r="JO135" i="1"/>
  <c r="JO98" i="1"/>
  <c r="JO88" i="1"/>
  <c r="JO122" i="1"/>
  <c r="JO64" i="1"/>
  <c r="JO112" i="1"/>
  <c r="JO123" i="1"/>
  <c r="JO4" i="1"/>
  <c r="JO127" i="1"/>
  <c r="JO124" i="1"/>
  <c r="JO83" i="1"/>
  <c r="JL66" i="1"/>
  <c r="JL17" i="1"/>
  <c r="JL194" i="1"/>
  <c r="JL158" i="1"/>
  <c r="JL125" i="1"/>
  <c r="JL138" i="1"/>
  <c r="JL165" i="1"/>
  <c r="JL73" i="1"/>
  <c r="JL192" i="1"/>
  <c r="JL163" i="1"/>
  <c r="JL121" i="1"/>
  <c r="JL116" i="1"/>
  <c r="JL134" i="1"/>
  <c r="JL55" i="1"/>
  <c r="JL43" i="1"/>
  <c r="JL11" i="1"/>
  <c r="JL184" i="1"/>
  <c r="JL161" i="1"/>
  <c r="JL117" i="1"/>
  <c r="JL104" i="1"/>
  <c r="JL129" i="1"/>
  <c r="JL75" i="1"/>
  <c r="JL50" i="1"/>
  <c r="JL183" i="1"/>
  <c r="JL169" i="1"/>
  <c r="JL113" i="1"/>
  <c r="JL103" i="1"/>
  <c r="JL140" i="1"/>
  <c r="JL175" i="1"/>
  <c r="JL168" i="1"/>
  <c r="JL109" i="1"/>
  <c r="JL162" i="1"/>
  <c r="JL130" i="1"/>
  <c r="JL31" i="1"/>
  <c r="JL13" i="1"/>
  <c r="JL198" i="1"/>
  <c r="JL152" i="1"/>
  <c r="JL139" i="1"/>
  <c r="JL123" i="1"/>
  <c r="JL56" i="1"/>
  <c r="JL58" i="1"/>
  <c r="JL196" i="1"/>
  <c r="JL148" i="1"/>
  <c r="JL156" i="1"/>
  <c r="JL111" i="1"/>
  <c r="JL54" i="1"/>
  <c r="JL197" i="1"/>
  <c r="JL195" i="1"/>
  <c r="JL133" i="1"/>
  <c r="JL102" i="1"/>
  <c r="JL45" i="1"/>
  <c r="JL36" i="1"/>
  <c r="JL182" i="1"/>
  <c r="JL159" i="1"/>
  <c r="JL149" i="1"/>
  <c r="JL82" i="1"/>
  <c r="JL38" i="1"/>
  <c r="JL37" i="1"/>
  <c r="JL185" i="1"/>
  <c r="JL172" i="1"/>
  <c r="JL105" i="1"/>
  <c r="JL80" i="1"/>
  <c r="JL30" i="1"/>
  <c r="JL49" i="1"/>
  <c r="JL65" i="1"/>
  <c r="JL181" i="1"/>
  <c r="JL167" i="1"/>
  <c r="JL101" i="1"/>
  <c r="JL79" i="1"/>
  <c r="JL137" i="1"/>
  <c r="JL59" i="1"/>
  <c r="JL51" i="1"/>
  <c r="JL203" i="1"/>
  <c r="JL126" i="1"/>
  <c r="JL114" i="1"/>
  <c r="JL62" i="1"/>
  <c r="JL52" i="1"/>
  <c r="JL186" i="1"/>
  <c r="JL122" i="1"/>
  <c r="JL110" i="1"/>
  <c r="JL53" i="1"/>
  <c r="JL189" i="1"/>
  <c r="JL118" i="1"/>
  <c r="JL89" i="1"/>
  <c r="JL70" i="1"/>
  <c r="JL171" i="1"/>
  <c r="JL146" i="1"/>
  <c r="JL76" i="1"/>
  <c r="JL170" i="1"/>
  <c r="JL97" i="1"/>
  <c r="JL71" i="1"/>
  <c r="JL153" i="1"/>
  <c r="JL95" i="1"/>
  <c r="JL157" i="1"/>
  <c r="JL90" i="1"/>
  <c r="JL180" i="1"/>
  <c r="JL151" i="1"/>
  <c r="JL72" i="1"/>
  <c r="JL46" i="1"/>
  <c r="JL191" i="1"/>
  <c r="JL150" i="1"/>
  <c r="JL68" i="1"/>
  <c r="JL16" i="1"/>
  <c r="JL187" i="1"/>
  <c r="JL166" i="1"/>
  <c r="JL155" i="1"/>
  <c r="JL128" i="1"/>
  <c r="JL179" i="1"/>
  <c r="JL147" i="1"/>
  <c r="JL173" i="1"/>
  <c r="JL96" i="1"/>
  <c r="JL193" i="1"/>
  <c r="JL93" i="1"/>
  <c r="JL174" i="1"/>
  <c r="JL143" i="1"/>
  <c r="JL127" i="1"/>
  <c r="JL124" i="1"/>
  <c r="JL78" i="1"/>
  <c r="JL120" i="1"/>
  <c r="JL69" i="1"/>
  <c r="JL94" i="1"/>
  <c r="JL199" i="1"/>
  <c r="JL135" i="1"/>
  <c r="JL154" i="1"/>
  <c r="JL92" i="1"/>
  <c r="JL131" i="1"/>
  <c r="JL132" i="1"/>
  <c r="JL106" i="1"/>
  <c r="JL99" i="1"/>
  <c r="JL178" i="1"/>
  <c r="JL115" i="1"/>
  <c r="JL190" i="1"/>
  <c r="JL136" i="1"/>
  <c r="JL160" i="1"/>
  <c r="JL188" i="1"/>
  <c r="JL145" i="1"/>
  <c r="JL3" i="1"/>
  <c r="JL100" i="1"/>
  <c r="JL42" i="1"/>
  <c r="JL12" i="1"/>
  <c r="JL112" i="1"/>
  <c r="JL44" i="1"/>
  <c r="JL47" i="1"/>
  <c r="JL141" i="1"/>
  <c r="JL91" i="1"/>
  <c r="JL6" i="1"/>
  <c r="JL61" i="1"/>
  <c r="JL10" i="1"/>
  <c r="JL77" i="1"/>
  <c r="JL25" i="1"/>
  <c r="JL60" i="1"/>
  <c r="IK25" i="1"/>
  <c r="IK133" i="1"/>
  <c r="IK67" i="1"/>
  <c r="IK88" i="1"/>
  <c r="IK115" i="1"/>
  <c r="IK97" i="1"/>
  <c r="IK65" i="1"/>
  <c r="IK93" i="1"/>
  <c r="IK89" i="1"/>
  <c r="IK129" i="1"/>
  <c r="IK72" i="1"/>
  <c r="IK106" i="1"/>
  <c r="IK122" i="1"/>
  <c r="IK73" i="1"/>
  <c r="IK109" i="1"/>
  <c r="IK120" i="1"/>
  <c r="IK61" i="1"/>
  <c r="IK99" i="1"/>
  <c r="IK127" i="1"/>
  <c r="IK66" i="1"/>
  <c r="IK108" i="1"/>
  <c r="IK96" i="1"/>
  <c r="IK46" i="1"/>
  <c r="IK54" i="1"/>
  <c r="IK81" i="1"/>
  <c r="IK131" i="1"/>
  <c r="IK169" i="1"/>
  <c r="IK171" i="1"/>
  <c r="IK204" i="1"/>
  <c r="IK51" i="1"/>
  <c r="IK78" i="1"/>
  <c r="IK134" i="1"/>
  <c r="IK143" i="1"/>
  <c r="IK172" i="1"/>
  <c r="IK183" i="1"/>
  <c r="IK50" i="1"/>
  <c r="IK91" i="1"/>
  <c r="IK102" i="1"/>
  <c r="IK142" i="1"/>
  <c r="IK176" i="1"/>
  <c r="IK197" i="1"/>
  <c r="IK52" i="1"/>
  <c r="IK94" i="1"/>
  <c r="IK103" i="1"/>
  <c r="IK141" i="1"/>
  <c r="IK159" i="1"/>
  <c r="IK202" i="1"/>
  <c r="IK53" i="1"/>
  <c r="IK104" i="1"/>
  <c r="IK137" i="1"/>
  <c r="IK148" i="1"/>
  <c r="IK164" i="1"/>
  <c r="IK84" i="1"/>
  <c r="IK55" i="1"/>
  <c r="IK95" i="1"/>
  <c r="IK139" i="1"/>
  <c r="IK60" i="1"/>
  <c r="IK128" i="1"/>
  <c r="IK156" i="1"/>
  <c r="IK188" i="1"/>
  <c r="IK26" i="1"/>
  <c r="IK59" i="1"/>
  <c r="IK92" i="1"/>
  <c r="IK114" i="1"/>
  <c r="IK166" i="1"/>
  <c r="IK195" i="1"/>
  <c r="IK36" i="1"/>
  <c r="IK56" i="1"/>
  <c r="IK98" i="1"/>
  <c r="IK175" i="1"/>
  <c r="IK185" i="1"/>
  <c r="IK69" i="1"/>
  <c r="IK111" i="1"/>
  <c r="IK178" i="1"/>
  <c r="IK187" i="1"/>
  <c r="IK70" i="1"/>
  <c r="IK126" i="1"/>
  <c r="IK165" i="1"/>
  <c r="IK191" i="1"/>
  <c r="IK68" i="1"/>
  <c r="IK118" i="1"/>
  <c r="IK110" i="1"/>
  <c r="IK151" i="1"/>
  <c r="IK168" i="1"/>
  <c r="IK190" i="1"/>
  <c r="IK80" i="1"/>
  <c r="IK130" i="1"/>
  <c r="IK145" i="1"/>
  <c r="IK170" i="1"/>
  <c r="IK199" i="1"/>
  <c r="IK90" i="1"/>
  <c r="IK135" i="1"/>
  <c r="IK161" i="1"/>
  <c r="IK100" i="1"/>
  <c r="IK167" i="1"/>
  <c r="IK10" i="1"/>
  <c r="IK83" i="1"/>
  <c r="IK163" i="1"/>
  <c r="IK17" i="1"/>
  <c r="IK101" i="1"/>
  <c r="IK174" i="1"/>
  <c r="IK121" i="1"/>
  <c r="IK184" i="1"/>
  <c r="IK75" i="1"/>
  <c r="IK160" i="1"/>
  <c r="IK29" i="1"/>
  <c r="IK76" i="1"/>
  <c r="IK162" i="1"/>
  <c r="IK20" i="1"/>
  <c r="IK64" i="1"/>
  <c r="IK154" i="1"/>
  <c r="IK12" i="1"/>
  <c r="IK3" i="1"/>
  <c r="IK79" i="1"/>
  <c r="IK157" i="1"/>
  <c r="IK31" i="1"/>
  <c r="IK82" i="1"/>
  <c r="IK158" i="1"/>
  <c r="IK37" i="1"/>
  <c r="IK47" i="1"/>
  <c r="IK112" i="1"/>
  <c r="IK177" i="1"/>
  <c r="IK27" i="1"/>
  <c r="IK116" i="1"/>
  <c r="IK179" i="1"/>
  <c r="IK77" i="1"/>
  <c r="IK146" i="1"/>
  <c r="IK30" i="1"/>
  <c r="IK105" i="1"/>
  <c r="IK150" i="1"/>
  <c r="IK8" i="1"/>
  <c r="IK117" i="1"/>
  <c r="IK149" i="1"/>
  <c r="IK113" i="1"/>
  <c r="IK123" i="1"/>
  <c r="IK147" i="1"/>
  <c r="IK136" i="1"/>
  <c r="IK153" i="1"/>
  <c r="IK86" i="1"/>
  <c r="IK144" i="1"/>
  <c r="IK138" i="1"/>
  <c r="IK155" i="1"/>
  <c r="IK132" i="1"/>
  <c r="IK180" i="1"/>
  <c r="IK124" i="1"/>
  <c r="IK181" i="1"/>
  <c r="IK62" i="1"/>
  <c r="IK192" i="1"/>
  <c r="IK15" i="1"/>
  <c r="IK58" i="1"/>
  <c r="IK182" i="1"/>
  <c r="IK71" i="1"/>
  <c r="IK193" i="1"/>
  <c r="IK125" i="1"/>
  <c r="IK194" i="1"/>
  <c r="IK140" i="1"/>
  <c r="IK200" i="1"/>
  <c r="IK203" i="1"/>
  <c r="IK119" i="1"/>
  <c r="IK198" i="1"/>
  <c r="IK196" i="1"/>
  <c r="IK205" i="1"/>
  <c r="IK5" i="1"/>
  <c r="IK201" i="1"/>
  <c r="HJ107" i="1"/>
  <c r="HJ133" i="1"/>
  <c r="HJ101" i="1"/>
  <c r="HJ130" i="1"/>
  <c r="HJ121" i="1"/>
  <c r="HJ139" i="1"/>
  <c r="HJ135" i="1"/>
  <c r="HJ111" i="1"/>
  <c r="HJ119" i="1"/>
  <c r="HJ112" i="1"/>
  <c r="HJ123" i="1"/>
  <c r="HJ116" i="1"/>
  <c r="HJ138" i="1"/>
  <c r="HJ128" i="1"/>
  <c r="HJ132" i="1"/>
  <c r="HJ108" i="1"/>
  <c r="HJ151" i="1"/>
  <c r="HJ168" i="1"/>
  <c r="HJ126" i="1"/>
  <c r="HJ145" i="1"/>
  <c r="HJ174" i="1"/>
  <c r="HJ117" i="1"/>
  <c r="HJ146" i="1"/>
  <c r="HJ170" i="1"/>
  <c r="HJ118" i="1"/>
  <c r="HJ159" i="1"/>
  <c r="HJ179" i="1"/>
  <c r="HJ115" i="1"/>
  <c r="HJ154" i="1"/>
  <c r="HJ180" i="1"/>
  <c r="HJ120" i="1"/>
  <c r="HJ93" i="1"/>
  <c r="HJ172" i="1"/>
  <c r="HJ197" i="1"/>
  <c r="HJ106" i="1"/>
  <c r="HJ176" i="1"/>
  <c r="HJ205" i="1"/>
  <c r="HJ109" i="1"/>
  <c r="HJ165" i="1"/>
  <c r="HJ204" i="1"/>
  <c r="HJ99" i="1"/>
  <c r="HJ163" i="1"/>
  <c r="HJ203" i="1"/>
  <c r="HJ122" i="1"/>
  <c r="HJ162" i="1"/>
  <c r="HJ129" i="1"/>
  <c r="HJ182" i="1"/>
  <c r="HJ131" i="1"/>
  <c r="HJ164" i="1"/>
  <c r="HJ127" i="1"/>
  <c r="HJ191" i="1"/>
  <c r="HJ187" i="1"/>
  <c r="HJ102" i="1"/>
  <c r="HJ189" i="1"/>
  <c r="HJ142" i="1"/>
  <c r="HJ134" i="1"/>
  <c r="HJ193" i="1"/>
  <c r="HJ150" i="1"/>
  <c r="HJ114" i="1"/>
  <c r="HJ194" i="1"/>
  <c r="HJ136" i="1"/>
  <c r="HJ141" i="1"/>
  <c r="HJ196" i="1"/>
  <c r="HJ158" i="1"/>
  <c r="HJ156" i="1"/>
  <c r="HJ140" i="1"/>
  <c r="HJ173" i="1"/>
  <c r="HJ167" i="1"/>
  <c r="HJ171" i="1"/>
  <c r="HJ166" i="1"/>
  <c r="HJ169" i="1"/>
  <c r="HJ177" i="1"/>
  <c r="HJ113" i="1"/>
  <c r="HJ181" i="1"/>
  <c r="HJ190" i="1"/>
  <c r="HJ178" i="1"/>
  <c r="HJ195" i="1"/>
  <c r="HJ185" i="1"/>
  <c r="HJ4" i="1"/>
  <c r="HJ143" i="1"/>
  <c r="HJ147" i="1"/>
  <c r="HJ152" i="1"/>
  <c r="HJ155" i="1"/>
  <c r="HJ6" i="1"/>
  <c r="HJ144" i="1"/>
  <c r="HJ149" i="1"/>
  <c r="HJ157" i="1"/>
  <c r="GJ139" i="1"/>
  <c r="GJ47" i="1"/>
  <c r="GJ133" i="1"/>
  <c r="GJ112" i="1"/>
  <c r="GJ136" i="1"/>
  <c r="GJ124" i="1"/>
  <c r="GJ13" i="1"/>
  <c r="GJ63" i="1"/>
  <c r="GJ127" i="1"/>
  <c r="GJ73" i="1"/>
  <c r="GJ103" i="1"/>
  <c r="GJ140" i="1"/>
  <c r="GJ56" i="1"/>
  <c r="GJ110" i="1"/>
  <c r="GJ134" i="1"/>
  <c r="GJ36" i="1"/>
  <c r="GJ72" i="1"/>
  <c r="GJ92" i="1"/>
  <c r="GJ68" i="1"/>
  <c r="GJ111" i="1"/>
  <c r="GJ130" i="1"/>
  <c r="GJ77" i="1"/>
  <c r="GJ113" i="1"/>
  <c r="GJ129" i="1"/>
  <c r="GJ55" i="1"/>
  <c r="GJ106" i="1"/>
  <c r="GJ154" i="1"/>
  <c r="GJ180" i="1"/>
  <c r="GJ194" i="1"/>
  <c r="GJ132" i="1"/>
  <c r="GJ59" i="1"/>
  <c r="GJ109" i="1"/>
  <c r="GJ50" i="1"/>
  <c r="GJ99" i="1"/>
  <c r="GJ100" i="1"/>
  <c r="GJ149" i="1"/>
  <c r="GJ178" i="1"/>
  <c r="GJ203" i="1"/>
  <c r="GJ60" i="1"/>
  <c r="GJ96" i="1"/>
  <c r="GJ160" i="1"/>
  <c r="GJ182" i="1"/>
  <c r="GJ196" i="1"/>
  <c r="GJ105" i="1"/>
  <c r="GJ65" i="1"/>
  <c r="GJ97" i="1"/>
  <c r="GJ168" i="1"/>
  <c r="GJ170" i="1"/>
  <c r="GJ200" i="1"/>
  <c r="GJ135" i="1"/>
  <c r="GJ61" i="1"/>
  <c r="GJ89" i="1"/>
  <c r="GJ137" i="1"/>
  <c r="GJ161" i="1"/>
  <c r="GJ177" i="1"/>
  <c r="GJ62" i="1"/>
  <c r="GJ128" i="1"/>
  <c r="GJ53" i="1"/>
  <c r="GJ90" i="1"/>
  <c r="GJ144" i="1"/>
  <c r="GJ173" i="1"/>
  <c r="GJ201" i="1"/>
  <c r="GJ69" i="1"/>
  <c r="GJ115" i="1"/>
  <c r="GJ146" i="1"/>
  <c r="GJ167" i="1"/>
  <c r="GJ202" i="1"/>
  <c r="GJ70" i="1"/>
  <c r="GJ114" i="1"/>
  <c r="GJ147" i="1"/>
  <c r="GJ169" i="1"/>
  <c r="GJ16" i="1"/>
  <c r="GJ80" i="1"/>
  <c r="GJ119" i="1"/>
  <c r="GJ159" i="1"/>
  <c r="GJ165" i="1"/>
  <c r="GJ76" i="1"/>
  <c r="GJ125" i="1"/>
  <c r="GJ158" i="1"/>
  <c r="GJ174" i="1"/>
  <c r="GJ94" i="1"/>
  <c r="GJ148" i="1"/>
  <c r="GJ191" i="1"/>
  <c r="GJ43" i="1"/>
  <c r="GJ104" i="1"/>
  <c r="GJ152" i="1"/>
  <c r="GJ192" i="1"/>
  <c r="GJ17" i="1"/>
  <c r="GJ42" i="1"/>
  <c r="GJ93" i="1"/>
  <c r="GJ150" i="1"/>
  <c r="GJ193" i="1"/>
  <c r="GJ121" i="1"/>
  <c r="GJ155" i="1"/>
  <c r="GJ197" i="1"/>
  <c r="GJ116" i="1"/>
  <c r="GJ163" i="1"/>
  <c r="GJ185" i="1"/>
  <c r="GJ11" i="1"/>
  <c r="GJ126" i="1"/>
  <c r="GJ164" i="1"/>
  <c r="GJ199" i="1"/>
  <c r="GJ10" i="1"/>
  <c r="GJ101" i="1"/>
  <c r="GJ95" i="1"/>
  <c r="GJ166" i="1"/>
  <c r="GJ189" i="1"/>
  <c r="GJ198" i="1"/>
  <c r="GJ49" i="1"/>
  <c r="GJ186" i="1"/>
  <c r="GJ51" i="1"/>
  <c r="GJ122" i="1"/>
  <c r="GJ45" i="1"/>
  <c r="GJ143" i="1"/>
  <c r="GJ190" i="1"/>
  <c r="GJ86" i="1"/>
  <c r="GJ54" i="1"/>
  <c r="GJ142" i="1"/>
  <c r="GJ195" i="1"/>
  <c r="GJ204" i="1"/>
  <c r="GJ141" i="1"/>
  <c r="GJ52" i="1"/>
  <c r="GJ157" i="1"/>
  <c r="GJ58" i="1"/>
  <c r="GJ162" i="1"/>
  <c r="GJ44" i="1"/>
  <c r="GJ151" i="1"/>
  <c r="GJ183" i="1"/>
  <c r="GJ66" i="1"/>
  <c r="GJ91" i="1"/>
  <c r="GJ38" i="1"/>
  <c r="GJ79" i="1"/>
  <c r="GJ71" i="1"/>
  <c r="GJ78" i="1"/>
  <c r="GJ117" i="1"/>
  <c r="GJ118" i="1"/>
  <c r="GJ153" i="1"/>
  <c r="GJ75" i="1"/>
  <c r="GJ82" i="1"/>
  <c r="GJ102" i="1"/>
  <c r="JQ123" i="1"/>
  <c r="IP191" i="1"/>
  <c r="HJ153" i="1"/>
  <c r="HP188" i="1"/>
  <c r="HN180" i="1"/>
  <c r="GJ156" i="1"/>
  <c r="CV75" i="1"/>
  <c r="FX75" i="1" s="1"/>
  <c r="HL119" i="1"/>
  <c r="JR116" i="1"/>
  <c r="JT204" i="1"/>
  <c r="IM60" i="1"/>
  <c r="IM65" i="1"/>
  <c r="IM50" i="1"/>
  <c r="IG131" i="1"/>
  <c r="IG89" i="1"/>
  <c r="IG92" i="1"/>
  <c r="IG136" i="1"/>
  <c r="IG102" i="1"/>
  <c r="IG138" i="1"/>
  <c r="IG140" i="1"/>
  <c r="IG97" i="1"/>
  <c r="IG134" i="1"/>
  <c r="IG103" i="1"/>
  <c r="IG61" i="1"/>
  <c r="IG128" i="1"/>
  <c r="IG69" i="1"/>
  <c r="IG132" i="1"/>
  <c r="IG120" i="1"/>
  <c r="IG67" i="1"/>
  <c r="IG113" i="1"/>
  <c r="IG81" i="1"/>
  <c r="IG121" i="1"/>
  <c r="IG90" i="1"/>
  <c r="IG135" i="1"/>
  <c r="IG110" i="1"/>
  <c r="IG137" i="1"/>
  <c r="IG126" i="1"/>
  <c r="IG98" i="1"/>
  <c r="IG111" i="1"/>
  <c r="IG127" i="1"/>
  <c r="IG117" i="1"/>
  <c r="IG118" i="1"/>
  <c r="IG122" i="1"/>
  <c r="IG104" i="1"/>
  <c r="IG115" i="1"/>
  <c r="IG150" i="1"/>
  <c r="IG171" i="1"/>
  <c r="IG198" i="1"/>
  <c r="IG124" i="1"/>
  <c r="IG153" i="1"/>
  <c r="IG181" i="1"/>
  <c r="IG199" i="1"/>
  <c r="IG114" i="1"/>
  <c r="IG204" i="1"/>
  <c r="IG155" i="1"/>
  <c r="IG180" i="1"/>
  <c r="IG202" i="1"/>
  <c r="IG20" i="1"/>
  <c r="IG91" i="1"/>
  <c r="IG119" i="1"/>
  <c r="IG125" i="1"/>
  <c r="IG144" i="1"/>
  <c r="IG163" i="1"/>
  <c r="IG195" i="1"/>
  <c r="IG141" i="1"/>
  <c r="IG161" i="1"/>
  <c r="IG190" i="1"/>
  <c r="IG143" i="1"/>
  <c r="IG169" i="1"/>
  <c r="IG191" i="1"/>
  <c r="IG145" i="1"/>
  <c r="IG166" i="1"/>
  <c r="IG200" i="1"/>
  <c r="IG142" i="1"/>
  <c r="IG167" i="1"/>
  <c r="IG197" i="1"/>
  <c r="IG3" i="1"/>
  <c r="IG50" i="1"/>
  <c r="IG148" i="1"/>
  <c r="IG170" i="1"/>
  <c r="IG174" i="1"/>
  <c r="IG45" i="1"/>
  <c r="IG116" i="1"/>
  <c r="IG164" i="1"/>
  <c r="IG185" i="1"/>
  <c r="IG54" i="1"/>
  <c r="IG130" i="1"/>
  <c r="IG152" i="1"/>
  <c r="IG194" i="1"/>
  <c r="IG37" i="1"/>
  <c r="IG159" i="1"/>
  <c r="IG196" i="1"/>
  <c r="IG157" i="1"/>
  <c r="IG162" i="1"/>
  <c r="IG203" i="1"/>
  <c r="IG129" i="1"/>
  <c r="IG158" i="1"/>
  <c r="IG188" i="1"/>
  <c r="IG192" i="1"/>
  <c r="IG160" i="1"/>
  <c r="IG193" i="1"/>
  <c r="IG156" i="1"/>
  <c r="IG187" i="1"/>
  <c r="IG38" i="1"/>
  <c r="IG58" i="1"/>
  <c r="IG105" i="1"/>
  <c r="IG123" i="1"/>
  <c r="IG147" i="1"/>
  <c r="IG112" i="1"/>
  <c r="IG154" i="1"/>
  <c r="IG165" i="1"/>
  <c r="IG101" i="1"/>
  <c r="IG146" i="1"/>
  <c r="IG31" i="1"/>
  <c r="IG133" i="1"/>
  <c r="IG149" i="1"/>
  <c r="IG151" i="1"/>
  <c r="IG173" i="1"/>
  <c r="IG177" i="1"/>
  <c r="IG172" i="1"/>
  <c r="IK42" i="1"/>
  <c r="GH204" i="1"/>
  <c r="GL161" i="1"/>
  <c r="CV134" i="1"/>
  <c r="FX134" i="1" s="1"/>
  <c r="HD52" i="1"/>
  <c r="HD121" i="1"/>
  <c r="HD68" i="1"/>
  <c r="HD72" i="1"/>
  <c r="HD44" i="1"/>
  <c r="HD135" i="1"/>
  <c r="HD45" i="1"/>
  <c r="HD49" i="1"/>
  <c r="HD61" i="1"/>
  <c r="HD59" i="1"/>
  <c r="HD71" i="1"/>
  <c r="HD115" i="1"/>
  <c r="HD122" i="1"/>
  <c r="HD123" i="1"/>
  <c r="HD120" i="1"/>
  <c r="HD127" i="1"/>
  <c r="HD117" i="1"/>
  <c r="HD99" i="1"/>
  <c r="HD126" i="1"/>
  <c r="HD132" i="1"/>
  <c r="HD91" i="1"/>
  <c r="HD162" i="1"/>
  <c r="HD182" i="1"/>
  <c r="HD191" i="1"/>
  <c r="HD141" i="1"/>
  <c r="HD165" i="1"/>
  <c r="HD188" i="1"/>
  <c r="HD142" i="1"/>
  <c r="HD158" i="1"/>
  <c r="HD187" i="1"/>
  <c r="HD144" i="1"/>
  <c r="HD161" i="1"/>
  <c r="HD192" i="1"/>
  <c r="HD150" i="1"/>
  <c r="HD160" i="1"/>
  <c r="HD194" i="1"/>
  <c r="HD203" i="1"/>
  <c r="HD146" i="1"/>
  <c r="HD181" i="1"/>
  <c r="HD148" i="1"/>
  <c r="HD180" i="1"/>
  <c r="HD151" i="1"/>
  <c r="HD177" i="1"/>
  <c r="HD149" i="1"/>
  <c r="HD184" i="1"/>
  <c r="HD130" i="1"/>
  <c r="HD152" i="1"/>
  <c r="HD185" i="1"/>
  <c r="HD153" i="1"/>
  <c r="HD179" i="1"/>
  <c r="HD104" i="1"/>
  <c r="HD156" i="1"/>
  <c r="HD200" i="1"/>
  <c r="HD42" i="1"/>
  <c r="HD163" i="1"/>
  <c r="HD183" i="1"/>
  <c r="HD16" i="1"/>
  <c r="HD69" i="1"/>
  <c r="HD166" i="1"/>
  <c r="HD197" i="1"/>
  <c r="HD12" i="1"/>
  <c r="HD199" i="1"/>
  <c r="HD66" i="1"/>
  <c r="HD170" i="1"/>
  <c r="HD198" i="1"/>
  <c r="HD95" i="1"/>
  <c r="HD159" i="1"/>
  <c r="HD202" i="1"/>
  <c r="HD100" i="1"/>
  <c r="HD155" i="1"/>
  <c r="HD97" i="1"/>
  <c r="HD167" i="1"/>
  <c r="HD190" i="1"/>
  <c r="HD37" i="1"/>
  <c r="HD3" i="1"/>
  <c r="HD103" i="1"/>
  <c r="HD164" i="1"/>
  <c r="HD205" i="1"/>
  <c r="HD10" i="1"/>
  <c r="HD204" i="1"/>
  <c r="HD168" i="1"/>
  <c r="HD6" i="1"/>
  <c r="HD63" i="1"/>
  <c r="HD195" i="1"/>
  <c r="HD147" i="1"/>
  <c r="HD154" i="1"/>
  <c r="HD174" i="1"/>
  <c r="HD196" i="1"/>
  <c r="HD43" i="1"/>
  <c r="HD201" i="1"/>
  <c r="HD145" i="1"/>
  <c r="HD143" i="1"/>
  <c r="JT179" i="1"/>
  <c r="GM7" i="1"/>
  <c r="CS191" i="1"/>
  <c r="FK191" i="1" s="1"/>
  <c r="HG111" i="1"/>
  <c r="KA91" i="1"/>
  <c r="IQ54" i="1"/>
  <c r="HL71" i="1"/>
  <c r="JT188" i="1"/>
  <c r="HJ3" i="1"/>
  <c r="IK23" i="1"/>
  <c r="GL85" i="1"/>
  <c r="IJ86" i="1"/>
  <c r="JR25" i="1"/>
  <c r="KA143" i="1"/>
  <c r="JL204" i="1"/>
  <c r="JJ165" i="1"/>
  <c r="IP189" i="1"/>
  <c r="GJ30" i="1"/>
  <c r="CQ23" i="1"/>
  <c r="EE23" i="1" s="1"/>
  <c r="HD17" i="1"/>
  <c r="GL38" i="1"/>
  <c r="CQ5" i="1"/>
  <c r="FS5" i="1" s="1"/>
  <c r="IJ4" i="1"/>
  <c r="IF144" i="1"/>
  <c r="CS151" i="1"/>
  <c r="FK151" i="1" s="1"/>
  <c r="IG182" i="1"/>
  <c r="GF178" i="1"/>
  <c r="HD176" i="1"/>
  <c r="HL204" i="1"/>
  <c r="IP149" i="1"/>
  <c r="IO199" i="1"/>
  <c r="HM155" i="1"/>
  <c r="HL169" i="1"/>
  <c r="GJ181" i="1"/>
  <c r="GH186" i="1"/>
  <c r="GI189" i="1"/>
  <c r="GM104" i="1"/>
  <c r="IJ112" i="1"/>
  <c r="IH55" i="1"/>
  <c r="CQ58" i="1"/>
  <c r="FS58" i="1" s="1"/>
  <c r="HJ124" i="1"/>
  <c r="GI67" i="1"/>
  <c r="JL164" i="1"/>
  <c r="JK119" i="1"/>
  <c r="JH184" i="1"/>
  <c r="CP107" i="1"/>
  <c r="FR107" i="1" s="1"/>
  <c r="CP47" i="1"/>
  <c r="CP25" i="1"/>
  <c r="FR25" i="1" s="1"/>
  <c r="CP109" i="1"/>
  <c r="CZ109" i="1" s="1"/>
  <c r="CP55" i="1"/>
  <c r="CZ55" i="1" s="1"/>
  <c r="CP75" i="1"/>
  <c r="CZ75" i="1" s="1"/>
  <c r="CP89" i="1"/>
  <c r="FR89" i="1" s="1"/>
  <c r="CP129" i="1"/>
  <c r="FR129" i="1" s="1"/>
  <c r="CP63" i="1"/>
  <c r="CZ63" i="1" s="1"/>
  <c r="CP53" i="1"/>
  <c r="CZ53" i="1" s="1"/>
  <c r="CP64" i="1"/>
  <c r="FR64" i="1" s="1"/>
  <c r="CP92" i="1"/>
  <c r="FR92" i="1" s="1"/>
  <c r="CP123" i="1"/>
  <c r="CP52" i="1"/>
  <c r="CP67" i="1"/>
  <c r="FR67" i="1" s="1"/>
  <c r="CP95" i="1"/>
  <c r="FR95" i="1" s="1"/>
  <c r="CP111" i="1"/>
  <c r="CZ111" i="1" s="1"/>
  <c r="CP45" i="1"/>
  <c r="CZ45" i="1" s="1"/>
  <c r="CP79" i="1"/>
  <c r="CP105" i="1"/>
  <c r="CP134" i="1"/>
  <c r="FR134" i="1" s="1"/>
  <c r="CP137" i="1"/>
  <c r="CP61" i="1"/>
  <c r="FR61" i="1" s="1"/>
  <c r="CP80" i="1"/>
  <c r="CZ80" i="1" s="1"/>
  <c r="CP94" i="1"/>
  <c r="CZ94" i="1" s="1"/>
  <c r="CP136" i="1"/>
  <c r="FR136" i="1" s="1"/>
  <c r="CP58" i="1"/>
  <c r="CZ58" i="1" s="1"/>
  <c r="CP78" i="1"/>
  <c r="CZ78" i="1" s="1"/>
  <c r="CP91" i="1"/>
  <c r="CZ91" i="1" s="1"/>
  <c r="CP130" i="1"/>
  <c r="FR130" i="1" s="1"/>
  <c r="CP139" i="1"/>
  <c r="CZ139" i="1" s="1"/>
  <c r="CP69" i="1"/>
  <c r="CZ69" i="1" s="1"/>
  <c r="CP125" i="1"/>
  <c r="FR125" i="1" s="1"/>
  <c r="CP71" i="1"/>
  <c r="CZ71" i="1" s="1"/>
  <c r="CP126" i="1"/>
  <c r="CP118" i="1"/>
  <c r="CP73" i="1"/>
  <c r="FR73" i="1" s="1"/>
  <c r="CP115" i="1"/>
  <c r="CP76" i="1"/>
  <c r="FR76" i="1" s="1"/>
  <c r="CP120" i="1"/>
  <c r="CZ120" i="1" s="1"/>
  <c r="CP82" i="1"/>
  <c r="CP124" i="1"/>
  <c r="FR124" i="1" s="1"/>
  <c r="CP77" i="1"/>
  <c r="CZ77" i="1" s="1"/>
  <c r="CP128" i="1"/>
  <c r="CZ128" i="1" s="1"/>
  <c r="CP140" i="1"/>
  <c r="FR140" i="1" s="1"/>
  <c r="CP44" i="1"/>
  <c r="FR44" i="1" s="1"/>
  <c r="CP81" i="1"/>
  <c r="FR81" i="1" s="1"/>
  <c r="CP114" i="1"/>
  <c r="CZ114" i="1" s="1"/>
  <c r="CP54" i="1"/>
  <c r="CZ54" i="1" s="1"/>
  <c r="CP110" i="1"/>
  <c r="FR110" i="1" s="1"/>
  <c r="CP155" i="1"/>
  <c r="FR155" i="1" s="1"/>
  <c r="CP179" i="1"/>
  <c r="CZ179" i="1" s="1"/>
  <c r="CP187" i="1"/>
  <c r="CZ187" i="1" s="1"/>
  <c r="CP5" i="1"/>
  <c r="CZ5" i="1" s="1"/>
  <c r="CP56" i="1"/>
  <c r="CZ56" i="1" s="1"/>
  <c r="CP96" i="1"/>
  <c r="CZ96" i="1" s="1"/>
  <c r="CP160" i="1"/>
  <c r="CZ160" i="1" s="1"/>
  <c r="CP176" i="1"/>
  <c r="CP202" i="1"/>
  <c r="CP205" i="1"/>
  <c r="CZ205" i="1" s="1"/>
  <c r="CP60" i="1"/>
  <c r="FR60" i="1" s="1"/>
  <c r="CP101" i="1"/>
  <c r="FR101" i="1" s="1"/>
  <c r="CP161" i="1"/>
  <c r="CP186" i="1"/>
  <c r="CZ186" i="1" s="1"/>
  <c r="CP29" i="1"/>
  <c r="CP11" i="1"/>
  <c r="CZ11" i="1" s="1"/>
  <c r="CP49" i="1"/>
  <c r="FR49" i="1" s="1"/>
  <c r="CP121" i="1"/>
  <c r="CZ121" i="1" s="1"/>
  <c r="CP166" i="1"/>
  <c r="FR166" i="1" s="1"/>
  <c r="CP194" i="1"/>
  <c r="CZ194" i="1" s="1"/>
  <c r="CP68" i="1"/>
  <c r="CZ68" i="1" s="1"/>
  <c r="CP122" i="1"/>
  <c r="CZ122" i="1" s="1"/>
  <c r="CP165" i="1"/>
  <c r="FR165" i="1" s="1"/>
  <c r="CP184" i="1"/>
  <c r="FR184" i="1" s="1"/>
  <c r="CP102" i="1"/>
  <c r="CZ102" i="1" s="1"/>
  <c r="CP145" i="1"/>
  <c r="FR145" i="1" s="1"/>
  <c r="CP173" i="1"/>
  <c r="CZ173" i="1" s="1"/>
  <c r="CP200" i="1"/>
  <c r="CZ200" i="1" s="1"/>
  <c r="CP204" i="1"/>
  <c r="CP10" i="1"/>
  <c r="FR10" i="1" s="1"/>
  <c r="CP15" i="1"/>
  <c r="CZ15" i="1" s="1"/>
  <c r="CP99" i="1"/>
  <c r="FR99" i="1" s="1"/>
  <c r="CP146" i="1"/>
  <c r="FR146" i="1" s="1"/>
  <c r="CP167" i="1"/>
  <c r="FR167" i="1" s="1"/>
  <c r="CP189" i="1"/>
  <c r="CP35" i="1"/>
  <c r="FR35" i="1" s="1"/>
  <c r="CP112" i="1"/>
  <c r="CZ112" i="1" s="1"/>
  <c r="CP149" i="1"/>
  <c r="FR149" i="1" s="1"/>
  <c r="CP175" i="1"/>
  <c r="FR175" i="1" s="1"/>
  <c r="CP201" i="1"/>
  <c r="FR201" i="1" s="1"/>
  <c r="CP24" i="1"/>
  <c r="FR24" i="1" s="1"/>
  <c r="CP8" i="1"/>
  <c r="CZ8" i="1" s="1"/>
  <c r="CP100" i="1"/>
  <c r="CZ100" i="1" s="1"/>
  <c r="CP143" i="1"/>
  <c r="FR143" i="1" s="1"/>
  <c r="CP174" i="1"/>
  <c r="CZ174" i="1" s="1"/>
  <c r="CP90" i="1"/>
  <c r="FR90" i="1" s="1"/>
  <c r="CP148" i="1"/>
  <c r="CZ148" i="1" s="1"/>
  <c r="CP172" i="1"/>
  <c r="CZ172" i="1" s="1"/>
  <c r="CP62" i="1"/>
  <c r="CZ62" i="1" s="1"/>
  <c r="CP117" i="1"/>
  <c r="CZ117" i="1" s="1"/>
  <c r="CP157" i="1"/>
  <c r="CZ157" i="1" s="1"/>
  <c r="CP180" i="1"/>
  <c r="FR180" i="1" s="1"/>
  <c r="CP38" i="1"/>
  <c r="CZ38" i="1" s="1"/>
  <c r="CP51" i="1"/>
  <c r="CP116" i="1"/>
  <c r="FR116" i="1" s="1"/>
  <c r="CP158" i="1"/>
  <c r="CZ158" i="1" s="1"/>
  <c r="CP177" i="1"/>
  <c r="CP98" i="1"/>
  <c r="CZ98" i="1" s="1"/>
  <c r="CP156" i="1"/>
  <c r="FR156" i="1" s="1"/>
  <c r="CP193" i="1"/>
  <c r="FR193" i="1" s="1"/>
  <c r="CP7" i="1"/>
  <c r="FR7" i="1" s="1"/>
  <c r="CP104" i="1"/>
  <c r="FR104" i="1" s="1"/>
  <c r="CP152" i="1"/>
  <c r="FR152" i="1" s="1"/>
  <c r="CP197" i="1"/>
  <c r="CZ197" i="1" s="1"/>
  <c r="CP113" i="1"/>
  <c r="CZ113" i="1" s="1"/>
  <c r="CP170" i="1"/>
  <c r="CP198" i="1"/>
  <c r="FR198" i="1" s="1"/>
  <c r="CP20" i="1"/>
  <c r="FR20" i="1" s="1"/>
  <c r="CP131" i="1"/>
  <c r="CZ131" i="1" s="1"/>
  <c r="CP153" i="1"/>
  <c r="CZ153" i="1" s="1"/>
  <c r="CP132" i="1"/>
  <c r="FR132" i="1" s="1"/>
  <c r="CP168" i="1"/>
  <c r="CZ168" i="1" s="1"/>
  <c r="CP199" i="1"/>
  <c r="FR199" i="1" s="1"/>
  <c r="CP135" i="1"/>
  <c r="CP171" i="1"/>
  <c r="CP12" i="1"/>
  <c r="CP138" i="1"/>
  <c r="FR138" i="1" s="1"/>
  <c r="CP164" i="1"/>
  <c r="FR164" i="1" s="1"/>
  <c r="CP163" i="1"/>
  <c r="CP119" i="1"/>
  <c r="FR119" i="1" s="1"/>
  <c r="CP162" i="1"/>
  <c r="CZ162" i="1" s="1"/>
  <c r="CP133" i="1"/>
  <c r="CZ133" i="1" s="1"/>
  <c r="JP43" i="1"/>
  <c r="JE107" i="1"/>
  <c r="JE175" i="1"/>
  <c r="JE132" i="1"/>
  <c r="JE53" i="1"/>
  <c r="JE157" i="1"/>
  <c r="JE128" i="1"/>
  <c r="JE152" i="1"/>
  <c r="JE113" i="1"/>
  <c r="JE56" i="1"/>
  <c r="JE141" i="1"/>
  <c r="JE108" i="1"/>
  <c r="JE77" i="1"/>
  <c r="JE139" i="1"/>
  <c r="JE80" i="1"/>
  <c r="JE168" i="1"/>
  <c r="JE73" i="1"/>
  <c r="JE169" i="1"/>
  <c r="JE78" i="1"/>
  <c r="JE164" i="1"/>
  <c r="JE112" i="1"/>
  <c r="JE31" i="1"/>
  <c r="JE160" i="1"/>
  <c r="JE95" i="1"/>
  <c r="JE38" i="1"/>
  <c r="JE147" i="1"/>
  <c r="JE90" i="1"/>
  <c r="JE182" i="1"/>
  <c r="JE133" i="1"/>
  <c r="JE4" i="1"/>
  <c r="JE17" i="1"/>
  <c r="JE119" i="1"/>
  <c r="JE66" i="1"/>
  <c r="JE103" i="1"/>
  <c r="JE179" i="1"/>
  <c r="JE116" i="1"/>
  <c r="JE166" i="1"/>
  <c r="JE83" i="1"/>
  <c r="JE109" i="1"/>
  <c r="JE110" i="1"/>
  <c r="JE92" i="1"/>
  <c r="JE125" i="1"/>
  <c r="JE100" i="1"/>
  <c r="JE195" i="1"/>
  <c r="JE58" i="1"/>
  <c r="JE180" i="1"/>
  <c r="JE176" i="1"/>
  <c r="JE197" i="1"/>
  <c r="JE198" i="1"/>
  <c r="JE84" i="1"/>
  <c r="JE135" i="1"/>
  <c r="JE203" i="1"/>
  <c r="JE136" i="1"/>
  <c r="JE159" i="1"/>
  <c r="JE161" i="1"/>
  <c r="JE3" i="1"/>
  <c r="JE156" i="1"/>
  <c r="JE97" i="1"/>
  <c r="JE6" i="1"/>
  <c r="JE23" i="1"/>
  <c r="JE196" i="1"/>
  <c r="JE204" i="1"/>
  <c r="JE194" i="1"/>
  <c r="JE130" i="1"/>
  <c r="HC157" i="1"/>
  <c r="IE153" i="1"/>
  <c r="HC162" i="1"/>
  <c r="GC149" i="1"/>
  <c r="GB193" i="1"/>
  <c r="CO188" i="1"/>
  <c r="DS188" i="1" s="1"/>
  <c r="HA132" i="1"/>
  <c r="CO6" i="1"/>
  <c r="FQ6" i="1" s="1"/>
  <c r="GC6" i="1"/>
  <c r="IE170" i="1"/>
  <c r="ID145" i="1"/>
  <c r="HB186" i="1"/>
  <c r="GB176" i="1"/>
  <c r="HA194" i="1"/>
  <c r="CN175" i="1"/>
  <c r="DR175" i="1" s="1"/>
  <c r="CN72" i="1"/>
  <c r="HA152" i="1"/>
  <c r="CO8" i="1"/>
  <c r="FQ8" i="1" s="1"/>
  <c r="GB8" i="1"/>
  <c r="GB12" i="1"/>
  <c r="CP3" i="1"/>
  <c r="IE166" i="1"/>
  <c r="ID151" i="1"/>
  <c r="HC155" i="1"/>
  <c r="GC146" i="1"/>
  <c r="HB190" i="1"/>
  <c r="GB169" i="1"/>
  <c r="CP178" i="1"/>
  <c r="CZ178" i="1" s="1"/>
  <c r="HA186" i="1"/>
  <c r="CO170" i="1"/>
  <c r="DS170" i="1" s="1"/>
  <c r="CN178" i="1"/>
  <c r="DR178" i="1" s="1"/>
  <c r="CN53" i="1"/>
  <c r="DR53" i="1" s="1"/>
  <c r="HA135" i="1"/>
  <c r="JD135" i="1"/>
  <c r="JD118" i="1"/>
  <c r="JD110" i="1"/>
  <c r="JD141" i="1"/>
  <c r="JD111" i="1"/>
  <c r="JD198" i="1"/>
  <c r="JD204" i="1"/>
  <c r="JD192" i="1"/>
  <c r="JD166" i="1"/>
  <c r="JD175" i="1"/>
  <c r="JD180" i="1"/>
  <c r="JD42" i="1"/>
  <c r="JD45" i="1"/>
  <c r="JD77" i="1"/>
  <c r="JD167" i="1"/>
  <c r="JD157" i="1"/>
  <c r="JD191" i="1"/>
  <c r="JD174" i="1"/>
  <c r="JD197" i="1"/>
  <c r="JD124" i="1"/>
  <c r="JD104" i="1"/>
  <c r="JD112" i="1"/>
  <c r="JD131" i="1"/>
  <c r="JD7" i="1"/>
  <c r="JD23" i="1"/>
  <c r="HB198" i="1"/>
  <c r="HA187" i="1"/>
  <c r="IE171" i="1"/>
  <c r="HA157" i="1"/>
  <c r="CO12" i="1"/>
  <c r="FQ12" i="1" s="1"/>
  <c r="GB42" i="1"/>
  <c r="GC27" i="1"/>
  <c r="CO203" i="1"/>
  <c r="DI203" i="1" s="1"/>
  <c r="IE158" i="1"/>
  <c r="ID156" i="1"/>
  <c r="HC161" i="1"/>
  <c r="GC144" i="1"/>
  <c r="HB194" i="1"/>
  <c r="GB170" i="1"/>
  <c r="CP169" i="1"/>
  <c r="CZ169" i="1" s="1"/>
  <c r="HA184" i="1"/>
  <c r="CO183" i="1"/>
  <c r="DI183" i="1" s="1"/>
  <c r="CN171" i="1"/>
  <c r="FP171" i="1" s="1"/>
  <c r="CN50" i="1"/>
  <c r="DR50" i="1" s="1"/>
  <c r="HA112" i="1"/>
  <c r="CP27" i="1"/>
  <c r="FR27" i="1" s="1"/>
  <c r="IE160" i="1"/>
  <c r="IE164" i="1"/>
  <c r="ID173" i="1"/>
  <c r="GC155" i="1"/>
  <c r="HB193" i="1"/>
  <c r="CO30" i="1"/>
  <c r="FQ30" i="1" s="1"/>
  <c r="CP30" i="1"/>
  <c r="CZ30" i="1" s="1"/>
  <c r="ID180" i="1"/>
  <c r="CP182" i="1"/>
  <c r="FR182" i="1" s="1"/>
  <c r="HA195" i="1"/>
  <c r="CN191" i="1"/>
  <c r="CN136" i="1"/>
  <c r="JE86" i="1"/>
  <c r="GB27" i="1"/>
  <c r="HC159" i="1"/>
  <c r="GC143" i="1"/>
  <c r="CP183" i="1"/>
  <c r="FR183" i="1" s="1"/>
  <c r="CO181" i="1"/>
  <c r="DI181" i="1" s="1"/>
  <c r="HA126" i="1"/>
  <c r="ID3" i="1"/>
  <c r="GD29" i="1"/>
  <c r="HA205" i="1"/>
  <c r="IE157" i="1"/>
  <c r="HA134" i="1"/>
  <c r="CO16" i="1"/>
  <c r="GB37" i="1"/>
  <c r="GC20" i="1"/>
  <c r="CN205" i="1"/>
  <c r="DR205" i="1" s="1"/>
  <c r="HC158" i="1"/>
  <c r="GC142" i="1"/>
  <c r="IE200" i="1"/>
  <c r="GB182" i="1"/>
  <c r="CP159" i="1"/>
  <c r="FR159" i="1" s="1"/>
  <c r="HA181" i="1"/>
  <c r="CO150" i="1"/>
  <c r="CN192" i="1"/>
  <c r="FP192" i="1" s="1"/>
  <c r="CN49" i="1"/>
  <c r="DR49" i="1" s="1"/>
  <c r="HC154" i="1"/>
  <c r="CP185" i="1"/>
  <c r="FR185" i="1" s="1"/>
  <c r="HB107" i="1"/>
  <c r="HB139" i="1"/>
  <c r="HB140" i="1"/>
  <c r="HB137" i="1"/>
  <c r="HB117" i="1"/>
  <c r="HB126" i="1"/>
  <c r="HB138" i="1"/>
  <c r="HB132" i="1"/>
  <c r="HB130" i="1"/>
  <c r="HB124" i="1"/>
  <c r="HB111" i="1"/>
  <c r="HB112" i="1"/>
  <c r="HB114" i="1"/>
  <c r="HB119" i="1"/>
  <c r="HB131" i="1"/>
  <c r="HB123" i="1"/>
  <c r="HB118" i="1"/>
  <c r="HB125" i="1"/>
  <c r="HB133" i="1"/>
  <c r="HB127" i="1"/>
  <c r="HB136" i="1"/>
  <c r="HB58" i="1"/>
  <c r="HB128" i="1"/>
  <c r="HB94" i="1"/>
  <c r="HB113" i="1"/>
  <c r="HB142" i="1"/>
  <c r="HB177" i="1"/>
  <c r="HB200" i="1"/>
  <c r="HB121" i="1"/>
  <c r="HB144" i="1"/>
  <c r="HB182" i="1"/>
  <c r="HB100" i="1"/>
  <c r="HB134" i="1"/>
  <c r="HB116" i="1"/>
  <c r="HB151" i="1"/>
  <c r="HB169" i="1"/>
  <c r="HB106" i="1"/>
  <c r="HB153" i="1"/>
  <c r="HB167" i="1"/>
  <c r="HB146" i="1"/>
  <c r="HB166" i="1"/>
  <c r="HB96" i="1"/>
  <c r="HB156" i="1"/>
  <c r="HB95" i="1"/>
  <c r="HB158" i="1"/>
  <c r="HB109" i="1"/>
  <c r="HB159" i="1"/>
  <c r="HB120" i="1"/>
  <c r="HB164" i="1"/>
  <c r="HB129" i="1"/>
  <c r="HB168" i="1"/>
  <c r="HB31" i="1"/>
  <c r="HB171" i="1"/>
  <c r="HB203" i="1"/>
  <c r="HB173" i="1"/>
  <c r="HB154" i="1"/>
  <c r="HB172" i="1"/>
  <c r="HB160" i="1"/>
  <c r="HB189" i="1"/>
  <c r="HB55" i="1"/>
  <c r="HB162" i="1"/>
  <c r="HB195" i="1"/>
  <c r="HB145" i="1"/>
  <c r="HB83" i="1"/>
  <c r="HB53" i="1"/>
  <c r="HB170" i="1"/>
  <c r="HB115" i="1"/>
  <c r="HB155" i="1"/>
  <c r="HB135" i="1"/>
  <c r="HB204" i="1"/>
  <c r="HB161" i="1"/>
  <c r="HB196" i="1"/>
  <c r="HB184" i="1"/>
  <c r="HB188" i="1"/>
  <c r="HB175" i="1"/>
  <c r="HB176" i="1"/>
  <c r="HB165" i="1"/>
  <c r="GC23" i="1"/>
  <c r="CO182" i="1"/>
  <c r="GB111" i="1"/>
  <c r="GB132" i="1"/>
  <c r="GB46" i="1"/>
  <c r="GB47" i="1"/>
  <c r="GB26" i="1"/>
  <c r="GB63" i="1"/>
  <c r="GB117" i="1"/>
  <c r="GB36" i="1"/>
  <c r="GB126" i="1"/>
  <c r="GB139" i="1"/>
  <c r="GB52" i="1"/>
  <c r="GB79" i="1"/>
  <c r="GB114" i="1"/>
  <c r="GB25" i="1"/>
  <c r="GB58" i="1"/>
  <c r="GB81" i="1"/>
  <c r="GB119" i="1"/>
  <c r="GB56" i="1"/>
  <c r="GB70" i="1"/>
  <c r="GB123" i="1"/>
  <c r="GB66" i="1"/>
  <c r="GB82" i="1"/>
  <c r="GB125" i="1"/>
  <c r="GB131" i="1"/>
  <c r="GB13" i="1"/>
  <c r="GB60" i="1"/>
  <c r="GB89" i="1"/>
  <c r="GB112" i="1"/>
  <c r="GB136" i="1"/>
  <c r="GB65" i="1"/>
  <c r="GB92" i="1"/>
  <c r="GB127" i="1"/>
  <c r="GB122" i="1"/>
  <c r="GB44" i="1"/>
  <c r="GB83" i="1"/>
  <c r="GB90" i="1"/>
  <c r="GB84" i="1"/>
  <c r="GB50" i="1"/>
  <c r="GB88" i="1"/>
  <c r="GB121" i="1"/>
  <c r="GB140" i="1"/>
  <c r="GB55" i="1"/>
  <c r="GB102" i="1"/>
  <c r="GB100" i="1"/>
  <c r="GB53" i="1"/>
  <c r="GB105" i="1"/>
  <c r="GB106" i="1"/>
  <c r="GB99" i="1"/>
  <c r="GB138" i="1"/>
  <c r="GB45" i="1"/>
  <c r="GB96" i="1"/>
  <c r="GB115" i="1"/>
  <c r="GB59" i="1"/>
  <c r="GB103" i="1"/>
  <c r="GB68" i="1"/>
  <c r="GB101" i="1"/>
  <c r="GB73" i="1"/>
  <c r="GB164" i="1"/>
  <c r="GB180" i="1"/>
  <c r="GB31" i="1"/>
  <c r="GB97" i="1"/>
  <c r="GB166" i="1"/>
  <c r="GB189" i="1"/>
  <c r="GB110" i="1"/>
  <c r="GB141" i="1"/>
  <c r="GB165" i="1"/>
  <c r="GB197" i="1"/>
  <c r="GB98" i="1"/>
  <c r="GB134" i="1"/>
  <c r="GB142" i="1"/>
  <c r="GB161" i="1"/>
  <c r="GB186" i="1"/>
  <c r="GB94" i="1"/>
  <c r="GB151" i="1"/>
  <c r="GB162" i="1"/>
  <c r="GB183" i="1"/>
  <c r="GB76" i="1"/>
  <c r="GB167" i="1"/>
  <c r="GB203" i="1"/>
  <c r="GB11" i="1"/>
  <c r="GB77" i="1"/>
  <c r="GB133" i="1"/>
  <c r="GB168" i="1"/>
  <c r="GB200" i="1"/>
  <c r="GB15" i="1"/>
  <c r="GB71" i="1"/>
  <c r="GB175" i="1"/>
  <c r="GB191" i="1"/>
  <c r="GB16" i="1"/>
  <c r="GB64" i="1"/>
  <c r="GB145" i="1"/>
  <c r="GB172" i="1"/>
  <c r="GB202" i="1"/>
  <c r="GB20" i="1"/>
  <c r="GB61" i="1"/>
  <c r="GB144" i="1"/>
  <c r="GB173" i="1"/>
  <c r="GB196" i="1"/>
  <c r="GB23" i="1"/>
  <c r="GB78" i="1"/>
  <c r="GB153" i="1"/>
  <c r="GB171" i="1"/>
  <c r="GB199" i="1"/>
  <c r="GB4" i="1"/>
  <c r="GB35" i="1"/>
  <c r="GB43" i="1"/>
  <c r="GB30" i="1"/>
  <c r="GB54" i="1"/>
  <c r="GB118" i="1"/>
  <c r="GB157" i="1"/>
  <c r="GB174" i="1"/>
  <c r="GB195" i="1"/>
  <c r="GB130" i="1"/>
  <c r="GB113" i="1"/>
  <c r="GB178" i="1"/>
  <c r="GB86" i="1"/>
  <c r="GB67" i="1"/>
  <c r="GB188" i="1"/>
  <c r="GB192" i="1"/>
  <c r="GB135" i="1"/>
  <c r="GB3" i="1"/>
  <c r="GB137" i="1"/>
  <c r="GB177" i="1"/>
  <c r="GB150" i="1"/>
  <c r="GB179" i="1"/>
  <c r="GB143" i="1"/>
  <c r="GB185" i="1"/>
  <c r="GB49" i="1"/>
  <c r="GB146" i="1"/>
  <c r="GB184" i="1"/>
  <c r="GB6" i="1"/>
  <c r="GB62" i="1"/>
  <c r="GB128" i="1"/>
  <c r="GB147" i="1"/>
  <c r="GB181" i="1"/>
  <c r="GB69" i="1"/>
  <c r="GB154" i="1"/>
  <c r="GB190" i="1"/>
  <c r="HB7" i="1"/>
  <c r="HA190" i="1"/>
  <c r="HA203" i="1"/>
  <c r="CO29" i="1"/>
  <c r="DI29" i="1" s="1"/>
  <c r="GC29" i="1"/>
  <c r="CP4" i="1"/>
  <c r="CZ4" i="1" s="1"/>
  <c r="GB205" i="1"/>
  <c r="HC191" i="1"/>
  <c r="HC152" i="1"/>
  <c r="GC141" i="1"/>
  <c r="HB187" i="1"/>
  <c r="GB163" i="1"/>
  <c r="CP154" i="1"/>
  <c r="FR154" i="1" s="1"/>
  <c r="CO165" i="1"/>
  <c r="DI165" i="1" s="1"/>
  <c r="CN182" i="1"/>
  <c r="FP182" i="1" s="1"/>
  <c r="GB129" i="1"/>
  <c r="CP127" i="1"/>
  <c r="FR127" i="1" s="1"/>
  <c r="GC140" i="1"/>
  <c r="CO17" i="1"/>
  <c r="DI17" i="1" s="1"/>
  <c r="CP181" i="1"/>
  <c r="CZ181" i="1" s="1"/>
  <c r="HA138" i="1"/>
  <c r="HA116" i="1"/>
  <c r="HA128" i="1"/>
  <c r="HA122" i="1"/>
  <c r="HA118" i="1"/>
  <c r="HA133" i="1"/>
  <c r="HA125" i="1"/>
  <c r="HA120" i="1"/>
  <c r="HA127" i="1"/>
  <c r="HA129" i="1"/>
  <c r="HA113" i="1"/>
  <c r="HA121" i="1"/>
  <c r="HA111" i="1"/>
  <c r="HA124" i="1"/>
  <c r="HA114" i="1"/>
  <c r="HA123" i="1"/>
  <c r="HA140" i="1"/>
  <c r="HA115" i="1"/>
  <c r="HA131" i="1"/>
  <c r="HA169" i="1"/>
  <c r="HA196" i="1"/>
  <c r="HA130" i="1"/>
  <c r="HA166" i="1"/>
  <c r="HA198" i="1"/>
  <c r="HA117" i="1"/>
  <c r="HA164" i="1"/>
  <c r="HA193" i="1"/>
  <c r="HA174" i="1"/>
  <c r="HA202" i="1"/>
  <c r="HA160" i="1"/>
  <c r="HA192" i="1"/>
  <c r="HA170" i="1"/>
  <c r="HA197" i="1"/>
  <c r="HA183" i="1"/>
  <c r="HA201" i="1"/>
  <c r="HA162" i="1"/>
  <c r="HA189" i="1"/>
  <c r="HA188" i="1"/>
  <c r="HA165" i="1"/>
  <c r="HA200" i="1"/>
  <c r="HA159" i="1"/>
  <c r="HA137" i="1"/>
  <c r="HA180" i="1"/>
  <c r="HA185" i="1"/>
  <c r="HA163" i="1"/>
  <c r="HA144" i="1"/>
  <c r="HA172" i="1"/>
  <c r="HA143" i="1"/>
  <c r="HA173" i="1"/>
  <c r="HA148" i="1"/>
  <c r="HA199" i="1"/>
  <c r="HA151" i="1"/>
  <c r="HA147" i="1"/>
  <c r="HA204" i="1"/>
  <c r="HA149" i="1"/>
  <c r="HA150" i="1"/>
  <c r="HA158" i="1"/>
  <c r="HA161" i="1"/>
  <c r="HA153" i="1"/>
  <c r="HA119" i="1"/>
  <c r="HA154" i="1"/>
  <c r="HA167" i="1"/>
  <c r="GB5" i="1"/>
  <c r="GC30" i="1"/>
  <c r="IQ23" i="1"/>
  <c r="CP37" i="1"/>
  <c r="FR37" i="1" s="1"/>
  <c r="CO4" i="1"/>
  <c r="FQ4" i="1" s="1"/>
  <c r="GB204" i="1"/>
  <c r="HC199" i="1"/>
  <c r="HB174" i="1"/>
  <c r="GB158" i="1"/>
  <c r="CP151" i="1"/>
  <c r="CZ151" i="1" s="1"/>
  <c r="HA191" i="1"/>
  <c r="CN174" i="1"/>
  <c r="FP174" i="1" s="1"/>
  <c r="GB120" i="1"/>
  <c r="CP97" i="1"/>
  <c r="CZ97" i="1" s="1"/>
  <c r="IE131" i="1"/>
  <c r="IE119" i="1"/>
  <c r="IE123" i="1"/>
  <c r="IE125" i="1"/>
  <c r="IE129" i="1"/>
  <c r="IE120" i="1"/>
  <c r="IE127" i="1"/>
  <c r="IE126" i="1"/>
  <c r="IE130" i="1"/>
  <c r="IE118" i="1"/>
  <c r="IE128" i="1"/>
  <c r="IE138" i="1"/>
  <c r="IE117" i="1"/>
  <c r="IE132" i="1"/>
  <c r="IE147" i="1"/>
  <c r="IE172" i="1"/>
  <c r="IE198" i="1"/>
  <c r="IE121" i="1"/>
  <c r="IE148" i="1"/>
  <c r="IE175" i="1"/>
  <c r="IE193" i="1"/>
  <c r="IE133" i="1"/>
  <c r="IE163" i="1"/>
  <c r="IE167" i="1"/>
  <c r="IE196" i="1"/>
  <c r="IE135" i="1"/>
  <c r="IE149" i="1"/>
  <c r="IE178" i="1"/>
  <c r="IE140" i="1"/>
  <c r="IE154" i="1"/>
  <c r="IE180" i="1"/>
  <c r="IE115" i="1"/>
  <c r="IE142" i="1"/>
  <c r="IE179" i="1"/>
  <c r="IE139" i="1"/>
  <c r="IE122" i="1"/>
  <c r="IE146" i="1"/>
  <c r="IE176" i="1"/>
  <c r="IE124" i="1"/>
  <c r="IE145" i="1"/>
  <c r="IE181" i="1"/>
  <c r="IE137" i="1"/>
  <c r="IE114" i="1"/>
  <c r="IE150" i="1"/>
  <c r="IE182" i="1"/>
  <c r="IE141" i="1"/>
  <c r="IE113" i="1"/>
  <c r="IE156" i="1"/>
  <c r="IE195" i="1"/>
  <c r="IE151" i="1"/>
  <c r="IE116" i="1"/>
  <c r="IE161" i="1"/>
  <c r="IE191" i="1"/>
  <c r="IE144" i="1"/>
  <c r="IE169" i="1"/>
  <c r="IE111" i="1"/>
  <c r="IE184" i="1"/>
  <c r="IE112" i="1"/>
  <c r="IE183" i="1"/>
  <c r="IE134" i="1"/>
  <c r="IE186" i="1"/>
  <c r="IE203" i="1"/>
  <c r="IE194" i="1"/>
  <c r="IE155" i="1"/>
  <c r="IE199" i="1"/>
  <c r="IE202" i="1"/>
  <c r="IE152" i="1"/>
  <c r="IE201" i="1"/>
  <c r="IE136" i="1"/>
  <c r="HC92" i="1"/>
  <c r="HC117" i="1"/>
  <c r="HC102" i="1"/>
  <c r="HC118" i="1"/>
  <c r="HC13" i="1"/>
  <c r="HC105" i="1"/>
  <c r="HC132" i="1"/>
  <c r="HC97" i="1"/>
  <c r="HC116" i="1"/>
  <c r="HC103" i="1"/>
  <c r="HC135" i="1"/>
  <c r="HC46" i="1"/>
  <c r="HC55" i="1"/>
  <c r="HC121" i="1"/>
  <c r="HC67" i="1"/>
  <c r="HC128" i="1"/>
  <c r="HC69" i="1"/>
  <c r="HC133" i="1"/>
  <c r="HC81" i="1"/>
  <c r="HC126" i="1"/>
  <c r="HC90" i="1"/>
  <c r="HC140" i="1"/>
  <c r="HC137" i="1"/>
  <c r="HC89" i="1"/>
  <c r="HC131" i="1"/>
  <c r="HC139" i="1"/>
  <c r="HC50" i="1"/>
  <c r="HC112" i="1"/>
  <c r="HC61" i="1"/>
  <c r="HC138" i="1"/>
  <c r="HC58" i="1"/>
  <c r="HC56" i="1"/>
  <c r="HC110" i="1"/>
  <c r="HC98" i="1"/>
  <c r="HC201" i="1"/>
  <c r="HC45" i="1"/>
  <c r="HC44" i="1"/>
  <c r="HC101" i="1"/>
  <c r="HC91" i="1"/>
  <c r="HC122" i="1"/>
  <c r="HC115" i="1"/>
  <c r="HC149" i="1"/>
  <c r="HC165" i="1"/>
  <c r="HC185" i="1"/>
  <c r="HC148" i="1"/>
  <c r="HC169" i="1"/>
  <c r="HC184" i="1"/>
  <c r="HC150" i="1"/>
  <c r="HC172" i="1"/>
  <c r="HC195" i="1"/>
  <c r="HC156" i="1"/>
  <c r="HC166" i="1"/>
  <c r="HC190" i="1"/>
  <c r="HC203" i="1"/>
  <c r="HC153" i="1"/>
  <c r="HC170" i="1"/>
  <c r="HC197" i="1"/>
  <c r="HC104" i="1"/>
  <c r="HC142" i="1"/>
  <c r="HC167" i="1"/>
  <c r="HC188" i="1"/>
  <c r="HC124" i="1"/>
  <c r="HC144" i="1"/>
  <c r="HC173" i="1"/>
  <c r="HC202" i="1"/>
  <c r="HC114" i="1"/>
  <c r="HC146" i="1"/>
  <c r="HC176" i="1"/>
  <c r="HC119" i="1"/>
  <c r="HC147" i="1"/>
  <c r="HC175" i="1"/>
  <c r="HC123" i="1"/>
  <c r="HC143" i="1"/>
  <c r="HC181" i="1"/>
  <c r="HC37" i="1"/>
  <c r="HC120" i="1"/>
  <c r="HC151" i="1"/>
  <c r="HC179" i="1"/>
  <c r="HC127" i="1"/>
  <c r="HC130" i="1"/>
  <c r="HC136" i="1"/>
  <c r="HC178" i="1"/>
  <c r="HC164" i="1"/>
  <c r="HC205" i="1"/>
  <c r="HC180" i="1"/>
  <c r="HC111" i="1"/>
  <c r="HC182" i="1"/>
  <c r="HC186" i="1"/>
  <c r="HC194" i="1"/>
  <c r="HC38" i="1"/>
  <c r="HC125" i="1"/>
  <c r="HC177" i="1"/>
  <c r="HC113" i="1"/>
  <c r="HC129" i="1"/>
  <c r="HC141" i="1"/>
  <c r="HC187" i="1"/>
  <c r="HC20" i="1"/>
  <c r="CO107" i="1"/>
  <c r="DI107" i="1" s="1"/>
  <c r="CO51" i="1"/>
  <c r="DI51" i="1" s="1"/>
  <c r="CO76" i="1"/>
  <c r="DI76" i="1" s="1"/>
  <c r="CO120" i="1"/>
  <c r="DI120" i="1" s="1"/>
  <c r="CO126" i="1"/>
  <c r="FQ126" i="1" s="1"/>
  <c r="CO56" i="1"/>
  <c r="DI56" i="1" s="1"/>
  <c r="CO78" i="1"/>
  <c r="FQ78" i="1" s="1"/>
  <c r="CO124" i="1"/>
  <c r="DI124" i="1" s="1"/>
  <c r="CO131" i="1"/>
  <c r="DI131" i="1" s="1"/>
  <c r="CO58" i="1"/>
  <c r="FQ58" i="1" s="1"/>
  <c r="CO82" i="1"/>
  <c r="FQ82" i="1" s="1"/>
  <c r="CO121" i="1"/>
  <c r="CO140" i="1"/>
  <c r="FQ140" i="1" s="1"/>
  <c r="CO52" i="1"/>
  <c r="CO83" i="1"/>
  <c r="CO128" i="1"/>
  <c r="DI128" i="1" s="1"/>
  <c r="CO106" i="1"/>
  <c r="CO65" i="1"/>
  <c r="CO81" i="1"/>
  <c r="FQ81" i="1" s="1"/>
  <c r="CO101" i="1"/>
  <c r="DI101" i="1" s="1"/>
  <c r="CO129" i="1"/>
  <c r="FQ129" i="1" s="1"/>
  <c r="CO70" i="1"/>
  <c r="DI70" i="1" s="1"/>
  <c r="CO95" i="1"/>
  <c r="FQ95" i="1" s="1"/>
  <c r="CO135" i="1"/>
  <c r="FQ135" i="1" s="1"/>
  <c r="CO60" i="1"/>
  <c r="DI60" i="1" s="1"/>
  <c r="CO105" i="1"/>
  <c r="DS105" i="1" s="1"/>
  <c r="CO138" i="1"/>
  <c r="DI138" i="1" s="1"/>
  <c r="CO71" i="1"/>
  <c r="DS71" i="1" s="1"/>
  <c r="CO94" i="1"/>
  <c r="FQ94" i="1" s="1"/>
  <c r="CO109" i="1"/>
  <c r="FQ109" i="1" s="1"/>
  <c r="CO68" i="1"/>
  <c r="DI68" i="1" s="1"/>
  <c r="CO110" i="1"/>
  <c r="CO137" i="1"/>
  <c r="DI137" i="1" s="1"/>
  <c r="CO73" i="1"/>
  <c r="FQ73" i="1" s="1"/>
  <c r="CO88" i="1"/>
  <c r="CO111" i="1"/>
  <c r="FQ111" i="1" s="1"/>
  <c r="CO72" i="1"/>
  <c r="CO100" i="1"/>
  <c r="DI100" i="1" s="1"/>
  <c r="CO134" i="1"/>
  <c r="FQ134" i="1" s="1"/>
  <c r="CO64" i="1"/>
  <c r="CO136" i="1"/>
  <c r="FQ136" i="1" s="1"/>
  <c r="CO77" i="1"/>
  <c r="DI77" i="1" s="1"/>
  <c r="CO116" i="1"/>
  <c r="FQ116" i="1" s="1"/>
  <c r="CO139" i="1"/>
  <c r="DI139" i="1" s="1"/>
  <c r="CO80" i="1"/>
  <c r="FQ80" i="1" s="1"/>
  <c r="CO130" i="1"/>
  <c r="DS130" i="1" s="1"/>
  <c r="CO97" i="1"/>
  <c r="DI97" i="1" s="1"/>
  <c r="CO125" i="1"/>
  <c r="DI125" i="1" s="1"/>
  <c r="CO119" i="1"/>
  <c r="FQ119" i="1" s="1"/>
  <c r="CO98" i="1"/>
  <c r="DI98" i="1" s="1"/>
  <c r="CO132" i="1"/>
  <c r="DI132" i="1" s="1"/>
  <c r="CO118" i="1"/>
  <c r="FQ118" i="1" s="1"/>
  <c r="CO192" i="1"/>
  <c r="FQ192" i="1" s="1"/>
  <c r="CO102" i="1"/>
  <c r="DI102" i="1" s="1"/>
  <c r="CO66" i="1"/>
  <c r="DI66" i="1" s="1"/>
  <c r="CO75" i="1"/>
  <c r="CO69" i="1"/>
  <c r="DI69" i="1" s="1"/>
  <c r="CO153" i="1"/>
  <c r="CO184" i="1"/>
  <c r="FQ184" i="1" s="1"/>
  <c r="CO201" i="1"/>
  <c r="DI201" i="1" s="1"/>
  <c r="CO79" i="1"/>
  <c r="DI79" i="1" s="1"/>
  <c r="CO91" i="1"/>
  <c r="DI91" i="1" s="1"/>
  <c r="CO154" i="1"/>
  <c r="CO176" i="1"/>
  <c r="FQ176" i="1" s="1"/>
  <c r="CO197" i="1"/>
  <c r="DI197" i="1" s="1"/>
  <c r="CO62" i="1"/>
  <c r="FQ62" i="1" s="1"/>
  <c r="CO104" i="1"/>
  <c r="FQ104" i="1" s="1"/>
  <c r="CO112" i="1"/>
  <c r="FQ112" i="1" s="1"/>
  <c r="CO49" i="1"/>
  <c r="DI49" i="1" s="1"/>
  <c r="CO123" i="1"/>
  <c r="DI123" i="1" s="1"/>
  <c r="CO148" i="1"/>
  <c r="DI148" i="1" s="1"/>
  <c r="CO168" i="1"/>
  <c r="FQ168" i="1" s="1"/>
  <c r="CO202" i="1"/>
  <c r="DI202" i="1" s="1"/>
  <c r="CO42" i="1"/>
  <c r="DI42" i="1" s="1"/>
  <c r="CO43" i="1"/>
  <c r="FQ43" i="1" s="1"/>
  <c r="CO55" i="1"/>
  <c r="DI55" i="1" s="1"/>
  <c r="CO147" i="1"/>
  <c r="DI147" i="1" s="1"/>
  <c r="CO164" i="1"/>
  <c r="FQ164" i="1" s="1"/>
  <c r="CO196" i="1"/>
  <c r="DI196" i="1" s="1"/>
  <c r="CO7" i="1"/>
  <c r="CO37" i="1"/>
  <c r="CO53" i="1"/>
  <c r="FQ53" i="1" s="1"/>
  <c r="CO149" i="1"/>
  <c r="FQ149" i="1" s="1"/>
  <c r="CO171" i="1"/>
  <c r="CO194" i="1"/>
  <c r="CO23" i="1"/>
  <c r="CO50" i="1"/>
  <c r="DI50" i="1" s="1"/>
  <c r="CO152" i="1"/>
  <c r="FQ152" i="1" s="1"/>
  <c r="CO173" i="1"/>
  <c r="FQ173" i="1" s="1"/>
  <c r="CO200" i="1"/>
  <c r="DI200" i="1" s="1"/>
  <c r="CO59" i="1"/>
  <c r="FQ59" i="1" s="1"/>
  <c r="CO163" i="1"/>
  <c r="FQ163" i="1" s="1"/>
  <c r="CO179" i="1"/>
  <c r="FQ179" i="1" s="1"/>
  <c r="CO198" i="1"/>
  <c r="DI198" i="1" s="1"/>
  <c r="CO67" i="1"/>
  <c r="FQ67" i="1" s="1"/>
  <c r="CO157" i="1"/>
  <c r="FQ157" i="1" s="1"/>
  <c r="CO185" i="1"/>
  <c r="FQ185" i="1" s="1"/>
  <c r="CO5" i="1"/>
  <c r="DI5" i="1" s="1"/>
  <c r="CO38" i="1"/>
  <c r="FQ38" i="1" s="1"/>
  <c r="CO54" i="1"/>
  <c r="DI54" i="1" s="1"/>
  <c r="CO159" i="1"/>
  <c r="CO204" i="1"/>
  <c r="CO35" i="1"/>
  <c r="CO24" i="1"/>
  <c r="DI24" i="1" s="1"/>
  <c r="CO61" i="1"/>
  <c r="DI61" i="1" s="1"/>
  <c r="CO84" i="1"/>
  <c r="CO155" i="1"/>
  <c r="DI155" i="1" s="1"/>
  <c r="CO190" i="1"/>
  <c r="FQ190" i="1" s="1"/>
  <c r="CO10" i="1"/>
  <c r="DI10" i="1" s="1"/>
  <c r="CO85" i="1"/>
  <c r="DI85" i="1" s="1"/>
  <c r="CO99" i="1"/>
  <c r="FQ99" i="1" s="1"/>
  <c r="CO160" i="1"/>
  <c r="FQ160" i="1" s="1"/>
  <c r="CO195" i="1"/>
  <c r="FQ195" i="1" s="1"/>
  <c r="CO20" i="1"/>
  <c r="CO89" i="1"/>
  <c r="DS89" i="1" s="1"/>
  <c r="CO174" i="1"/>
  <c r="CY174" i="1" s="1"/>
  <c r="CO186" i="1"/>
  <c r="DI186" i="1" s="1"/>
  <c r="CO31" i="1"/>
  <c r="DI31" i="1" s="1"/>
  <c r="CO90" i="1"/>
  <c r="DI90" i="1" s="1"/>
  <c r="CO151" i="1"/>
  <c r="FQ151" i="1" s="1"/>
  <c r="CO193" i="1"/>
  <c r="DI193" i="1" s="1"/>
  <c r="CO93" i="1"/>
  <c r="FQ93" i="1" s="1"/>
  <c r="CO161" i="1"/>
  <c r="DI161" i="1" s="1"/>
  <c r="CO199" i="1"/>
  <c r="DI199" i="1" s="1"/>
  <c r="CO114" i="1"/>
  <c r="CO156" i="1"/>
  <c r="FQ156" i="1" s="1"/>
  <c r="CO122" i="1"/>
  <c r="DI122" i="1" s="1"/>
  <c r="CO178" i="1"/>
  <c r="CO11" i="1"/>
  <c r="CO103" i="1"/>
  <c r="FQ103" i="1" s="1"/>
  <c r="CO162" i="1"/>
  <c r="DI162" i="1" s="1"/>
  <c r="CO113" i="1"/>
  <c r="DI113" i="1" s="1"/>
  <c r="CO177" i="1"/>
  <c r="FQ177" i="1" s="1"/>
  <c r="CO169" i="1"/>
  <c r="DS169" i="1" s="1"/>
  <c r="CO117" i="1"/>
  <c r="DS117" i="1" s="1"/>
  <c r="CO166" i="1"/>
  <c r="FQ166" i="1" s="1"/>
  <c r="CO127" i="1"/>
  <c r="DI127" i="1" s="1"/>
  <c r="CO96" i="1"/>
  <c r="FQ96" i="1" s="1"/>
  <c r="CO167" i="1"/>
  <c r="FQ167" i="1" s="1"/>
  <c r="CO3" i="1"/>
  <c r="DI3" i="1" s="1"/>
  <c r="CO180" i="1"/>
  <c r="FQ180" i="1" s="1"/>
  <c r="CO172" i="1"/>
  <c r="FQ172" i="1" s="1"/>
  <c r="ID107" i="1"/>
  <c r="ID108" i="1"/>
  <c r="ID113" i="1"/>
  <c r="ID93" i="1"/>
  <c r="ID121" i="1"/>
  <c r="ID117" i="1"/>
  <c r="ID137" i="1"/>
  <c r="ID135" i="1"/>
  <c r="ID133" i="1"/>
  <c r="ID203" i="1"/>
  <c r="ID129" i="1"/>
  <c r="ID102" i="1"/>
  <c r="ID134" i="1"/>
  <c r="ID110" i="1"/>
  <c r="ID112" i="1"/>
  <c r="ID139" i="1"/>
  <c r="ID101" i="1"/>
  <c r="ID131" i="1"/>
  <c r="ID119" i="1"/>
  <c r="ID123" i="1"/>
  <c r="ID125" i="1"/>
  <c r="ID99" i="1"/>
  <c r="ID120" i="1"/>
  <c r="ID118" i="1"/>
  <c r="ID128" i="1"/>
  <c r="ID138" i="1"/>
  <c r="ID130" i="1"/>
  <c r="ID126" i="1"/>
  <c r="ID154" i="1"/>
  <c r="ID204" i="1"/>
  <c r="ID132" i="1"/>
  <c r="ID155" i="1"/>
  <c r="ID188" i="1"/>
  <c r="ID115" i="1"/>
  <c r="ID157" i="1"/>
  <c r="ID181" i="1"/>
  <c r="ID165" i="1"/>
  <c r="ID189" i="1"/>
  <c r="ID178" i="1"/>
  <c r="ID202" i="1"/>
  <c r="ID162" i="1"/>
  <c r="ID142" i="1"/>
  <c r="ID141" i="1"/>
  <c r="ID168" i="1"/>
  <c r="ID148" i="1"/>
  <c r="ID144" i="1"/>
  <c r="ID179" i="1"/>
  <c r="ID167" i="1"/>
  <c r="ID111" i="1"/>
  <c r="ID146" i="1"/>
  <c r="ID176" i="1"/>
  <c r="ID140" i="1"/>
  <c r="ID122" i="1"/>
  <c r="ID116" i="1"/>
  <c r="ID143" i="1"/>
  <c r="ID191" i="1"/>
  <c r="ID160" i="1"/>
  <c r="ID124" i="1"/>
  <c r="ID152" i="1"/>
  <c r="ID182" i="1"/>
  <c r="ID185" i="1"/>
  <c r="ID6" i="1"/>
  <c r="ID106" i="1"/>
  <c r="ID149" i="1"/>
  <c r="ID158" i="1"/>
  <c r="ID109" i="1"/>
  <c r="ID159" i="1"/>
  <c r="ID192" i="1"/>
  <c r="ID114" i="1"/>
  <c r="ID174" i="1"/>
  <c r="ID183" i="1"/>
  <c r="ID127" i="1"/>
  <c r="ID170" i="1"/>
  <c r="ID186" i="1"/>
  <c r="ID164" i="1"/>
  <c r="ID163" i="1"/>
  <c r="ID199" i="1"/>
  <c r="ID172" i="1"/>
  <c r="ID205" i="1"/>
  <c r="ID195" i="1"/>
  <c r="GC68" i="1"/>
  <c r="GC89" i="1"/>
  <c r="GC114" i="1"/>
  <c r="GC75" i="1"/>
  <c r="GC88" i="1"/>
  <c r="GC119" i="1"/>
  <c r="GC69" i="1"/>
  <c r="GC92" i="1"/>
  <c r="GC123" i="1"/>
  <c r="GC71" i="1"/>
  <c r="GC102" i="1"/>
  <c r="GC125" i="1"/>
  <c r="GC46" i="1"/>
  <c r="GC66" i="1"/>
  <c r="GC105" i="1"/>
  <c r="GC120" i="1"/>
  <c r="GC65" i="1"/>
  <c r="GC111" i="1"/>
  <c r="GC128" i="1"/>
  <c r="GC72" i="1"/>
  <c r="GC112" i="1"/>
  <c r="GC131" i="1"/>
  <c r="GC78" i="1"/>
  <c r="GC91" i="1"/>
  <c r="GC134" i="1"/>
  <c r="GC62" i="1"/>
  <c r="GC94" i="1"/>
  <c r="GC116" i="1"/>
  <c r="GC80" i="1"/>
  <c r="GC104" i="1"/>
  <c r="GC138" i="1"/>
  <c r="GC73" i="1"/>
  <c r="GC99" i="1"/>
  <c r="GC26" i="1"/>
  <c r="GC77" i="1"/>
  <c r="GC113" i="1"/>
  <c r="GC36" i="1"/>
  <c r="GC79" i="1"/>
  <c r="GC121" i="1"/>
  <c r="GC130" i="1"/>
  <c r="GC137" i="1"/>
  <c r="GC53" i="1"/>
  <c r="GC117" i="1"/>
  <c r="GC81" i="1"/>
  <c r="GC118" i="1"/>
  <c r="GC76" i="1"/>
  <c r="GC132" i="1"/>
  <c r="GC50" i="1"/>
  <c r="GC90" i="1"/>
  <c r="GC106" i="1"/>
  <c r="GC44" i="1"/>
  <c r="GC110" i="1"/>
  <c r="GC55" i="1"/>
  <c r="GC101" i="1"/>
  <c r="GC84" i="1"/>
  <c r="GC115" i="1"/>
  <c r="GC45" i="1"/>
  <c r="GC98" i="1"/>
  <c r="GC52" i="1"/>
  <c r="GC122" i="1"/>
  <c r="GC51" i="1"/>
  <c r="GC108" i="1"/>
  <c r="GC139" i="1"/>
  <c r="GC59" i="1"/>
  <c r="GC124" i="1"/>
  <c r="GC61" i="1"/>
  <c r="GC127" i="1"/>
  <c r="GC147" i="1"/>
  <c r="GC167" i="1"/>
  <c r="GC199" i="1"/>
  <c r="GC49" i="1"/>
  <c r="GC145" i="1"/>
  <c r="GC168" i="1"/>
  <c r="GC200" i="1"/>
  <c r="GC7" i="1"/>
  <c r="GC54" i="1"/>
  <c r="GC148" i="1"/>
  <c r="GC162" i="1"/>
  <c r="GC204" i="1"/>
  <c r="GC56" i="1"/>
  <c r="GC157" i="1"/>
  <c r="GC181" i="1"/>
  <c r="GC190" i="1"/>
  <c r="GC136" i="1"/>
  <c r="GC58" i="1"/>
  <c r="GC151" i="1"/>
  <c r="GC169" i="1"/>
  <c r="GC194" i="1"/>
  <c r="GC95" i="1"/>
  <c r="GC152" i="1"/>
  <c r="GC179" i="1"/>
  <c r="GC100" i="1"/>
  <c r="GC154" i="1"/>
  <c r="GC182" i="1"/>
  <c r="GC10" i="1"/>
  <c r="GC96" i="1"/>
  <c r="GC153" i="1"/>
  <c r="GC192" i="1"/>
  <c r="GC15" i="1"/>
  <c r="GC97" i="1"/>
  <c r="GC150" i="1"/>
  <c r="GC186" i="1"/>
  <c r="GC16" i="1"/>
  <c r="GC103" i="1"/>
  <c r="GC160" i="1"/>
  <c r="GC180" i="1"/>
  <c r="GC42" i="1"/>
  <c r="GC63" i="1"/>
  <c r="GC109" i="1"/>
  <c r="GC156" i="1"/>
  <c r="GC176" i="1"/>
  <c r="GC17" i="1"/>
  <c r="GC129" i="1"/>
  <c r="GC174" i="1"/>
  <c r="GC203" i="1"/>
  <c r="GC178" i="1"/>
  <c r="GC202" i="1"/>
  <c r="GC38" i="1"/>
  <c r="GC158" i="1"/>
  <c r="GC196" i="1"/>
  <c r="GC8" i="1"/>
  <c r="GC170" i="1"/>
  <c r="GC161" i="1"/>
  <c r="GC197" i="1"/>
  <c r="GC163" i="1"/>
  <c r="GC198" i="1"/>
  <c r="GC5" i="1"/>
  <c r="GC195" i="1"/>
  <c r="GC171" i="1"/>
  <c r="GC201" i="1"/>
  <c r="GC43" i="1"/>
  <c r="GC3" i="1"/>
  <c r="GC164" i="1"/>
  <c r="GC60" i="1"/>
  <c r="GC166" i="1"/>
  <c r="GC37" i="1"/>
  <c r="GC12" i="1"/>
  <c r="GC67" i="1"/>
  <c r="HA155" i="1"/>
  <c r="CP84" i="1"/>
  <c r="FR84" i="1" s="1"/>
  <c r="HC198" i="1"/>
  <c r="GC188" i="1"/>
  <c r="HB180" i="1"/>
  <c r="GB159" i="1"/>
  <c r="CP147" i="1"/>
  <c r="FR147" i="1" s="1"/>
  <c r="HA182" i="1"/>
  <c r="CO143" i="1"/>
  <c r="GB109" i="1"/>
  <c r="CP108" i="1"/>
  <c r="FR108" i="1" s="1"/>
  <c r="GC133" i="1"/>
  <c r="CN63" i="1"/>
  <c r="DR63" i="1" s="1"/>
  <c r="CN96" i="1"/>
  <c r="FP96" i="1" s="1"/>
  <c r="CN123" i="1"/>
  <c r="FP123" i="1" s="1"/>
  <c r="CN25" i="1"/>
  <c r="FP25" i="1" s="1"/>
  <c r="CN120" i="1"/>
  <c r="DR120" i="1" s="1"/>
  <c r="CN55" i="1"/>
  <c r="FP55" i="1" s="1"/>
  <c r="CN76" i="1"/>
  <c r="DR76" i="1" s="1"/>
  <c r="CN101" i="1"/>
  <c r="FP101" i="1" s="1"/>
  <c r="CN52" i="1"/>
  <c r="DR52" i="1" s="1"/>
  <c r="CN80" i="1"/>
  <c r="DR80" i="1" s="1"/>
  <c r="CN114" i="1"/>
  <c r="FP114" i="1" s="1"/>
  <c r="CN134" i="1"/>
  <c r="DR134" i="1" s="1"/>
  <c r="CN98" i="1"/>
  <c r="CN115" i="1"/>
  <c r="CN60" i="1"/>
  <c r="FP60" i="1" s="1"/>
  <c r="CN78" i="1"/>
  <c r="FP78" i="1" s="1"/>
  <c r="CN122" i="1"/>
  <c r="DR122" i="1" s="1"/>
  <c r="CN132" i="1"/>
  <c r="DR132" i="1" s="1"/>
  <c r="CN61" i="1"/>
  <c r="DR61" i="1" s="1"/>
  <c r="CN82" i="1"/>
  <c r="CN113" i="1"/>
  <c r="DR113" i="1" s="1"/>
  <c r="CN104" i="1"/>
  <c r="DR104" i="1" s="1"/>
  <c r="CN138" i="1"/>
  <c r="DR138" i="1" s="1"/>
  <c r="CN45" i="1"/>
  <c r="DR45" i="1" s="1"/>
  <c r="CN83" i="1"/>
  <c r="FP83" i="1" s="1"/>
  <c r="CN90" i="1"/>
  <c r="FP90" i="1" s="1"/>
  <c r="CN140" i="1"/>
  <c r="FP140" i="1" s="1"/>
  <c r="CN58" i="1"/>
  <c r="DR58" i="1" s="1"/>
  <c r="CN88" i="1"/>
  <c r="DR88" i="1" s="1"/>
  <c r="CN117" i="1"/>
  <c r="FP117" i="1" s="1"/>
  <c r="CN44" i="1"/>
  <c r="FP44" i="1" s="1"/>
  <c r="CN89" i="1"/>
  <c r="FP89" i="1" s="1"/>
  <c r="CN116" i="1"/>
  <c r="DR116" i="1" s="1"/>
  <c r="CN91" i="1"/>
  <c r="FP91" i="1" s="1"/>
  <c r="CN59" i="1"/>
  <c r="FP59" i="1" s="1"/>
  <c r="CN92" i="1"/>
  <c r="CN54" i="1"/>
  <c r="DR54" i="1" s="1"/>
  <c r="CN95" i="1"/>
  <c r="FP95" i="1" s="1"/>
  <c r="CN84" i="1"/>
  <c r="DR84" i="1" s="1"/>
  <c r="CN157" i="1"/>
  <c r="DR157" i="1" s="1"/>
  <c r="CN177" i="1"/>
  <c r="DR177" i="1" s="1"/>
  <c r="CN189" i="1"/>
  <c r="CN51" i="1"/>
  <c r="FP51" i="1" s="1"/>
  <c r="CN105" i="1"/>
  <c r="FP105" i="1" s="1"/>
  <c r="CN111" i="1"/>
  <c r="DR111" i="1" s="1"/>
  <c r="CN144" i="1"/>
  <c r="FP144" i="1" s="1"/>
  <c r="CN180" i="1"/>
  <c r="FP180" i="1" s="1"/>
  <c r="CN194" i="1"/>
  <c r="FP194" i="1" s="1"/>
  <c r="CN65" i="1"/>
  <c r="DR65" i="1" s="1"/>
  <c r="CN94" i="1"/>
  <c r="FP94" i="1" s="1"/>
  <c r="CN131" i="1"/>
  <c r="FP131" i="1" s="1"/>
  <c r="CN62" i="1"/>
  <c r="FP62" i="1" s="1"/>
  <c r="CN93" i="1"/>
  <c r="DR93" i="1" s="1"/>
  <c r="CN133" i="1"/>
  <c r="DR133" i="1" s="1"/>
  <c r="CN68" i="1"/>
  <c r="DR68" i="1" s="1"/>
  <c r="CN106" i="1"/>
  <c r="CN56" i="1"/>
  <c r="FP56" i="1" s="1"/>
  <c r="CN129" i="1"/>
  <c r="CN151" i="1"/>
  <c r="CN172" i="1"/>
  <c r="CN199" i="1"/>
  <c r="CN27" i="1"/>
  <c r="FP27" i="1" s="1"/>
  <c r="CN17" i="1"/>
  <c r="FP17" i="1" s="1"/>
  <c r="CN71" i="1"/>
  <c r="CN127" i="1"/>
  <c r="CN145" i="1"/>
  <c r="DR145" i="1" s="1"/>
  <c r="CN168" i="1"/>
  <c r="FP168" i="1" s="1"/>
  <c r="CN202" i="1"/>
  <c r="DR202" i="1" s="1"/>
  <c r="CN5" i="1"/>
  <c r="FP5" i="1" s="1"/>
  <c r="CN70" i="1"/>
  <c r="DR70" i="1" s="1"/>
  <c r="CN109" i="1"/>
  <c r="DR109" i="1" s="1"/>
  <c r="CN152" i="1"/>
  <c r="DR152" i="1" s="1"/>
  <c r="CN173" i="1"/>
  <c r="FP173" i="1" s="1"/>
  <c r="CN200" i="1"/>
  <c r="DR200" i="1" s="1"/>
  <c r="CN8" i="1"/>
  <c r="FP8" i="1" s="1"/>
  <c r="CN73" i="1"/>
  <c r="FP73" i="1" s="1"/>
  <c r="CN118" i="1"/>
  <c r="FP118" i="1" s="1"/>
  <c r="CN156" i="1"/>
  <c r="DR156" i="1" s="1"/>
  <c r="CN163" i="1"/>
  <c r="FP163" i="1" s="1"/>
  <c r="CN201" i="1"/>
  <c r="CN75" i="1"/>
  <c r="FP75" i="1" s="1"/>
  <c r="CN112" i="1"/>
  <c r="CN149" i="1"/>
  <c r="FP149" i="1" s="1"/>
  <c r="CN188" i="1"/>
  <c r="DR188" i="1" s="1"/>
  <c r="CN185" i="1"/>
  <c r="DR185" i="1" s="1"/>
  <c r="CN69" i="1"/>
  <c r="FP69" i="1" s="1"/>
  <c r="CN160" i="1"/>
  <c r="DR160" i="1" s="1"/>
  <c r="CN198" i="1"/>
  <c r="DR198" i="1" s="1"/>
  <c r="CN79" i="1"/>
  <c r="DR79" i="1" s="1"/>
  <c r="CN165" i="1"/>
  <c r="DR165" i="1" s="1"/>
  <c r="CN67" i="1"/>
  <c r="FP67" i="1" s="1"/>
  <c r="CN170" i="1"/>
  <c r="DR170" i="1" s="1"/>
  <c r="CN64" i="1"/>
  <c r="FP64" i="1" s="1"/>
  <c r="CN10" i="1"/>
  <c r="DR10" i="1" s="1"/>
  <c r="CN164" i="1"/>
  <c r="CN77" i="1"/>
  <c r="FP77" i="1" s="1"/>
  <c r="CN141" i="1"/>
  <c r="DR141" i="1" s="1"/>
  <c r="CN169" i="1"/>
  <c r="DR169" i="1" s="1"/>
  <c r="CN193" i="1"/>
  <c r="DR193" i="1" s="1"/>
  <c r="CN102" i="1"/>
  <c r="DR102" i="1" s="1"/>
  <c r="CN143" i="1"/>
  <c r="DR143" i="1" s="1"/>
  <c r="CN176" i="1"/>
  <c r="CN37" i="1"/>
  <c r="CN29" i="1"/>
  <c r="FP29" i="1" s="1"/>
  <c r="CN16" i="1"/>
  <c r="CN86" i="1"/>
  <c r="DR86" i="1" s="1"/>
  <c r="CN99" i="1"/>
  <c r="FP99" i="1" s="1"/>
  <c r="CN146" i="1"/>
  <c r="CN183" i="1"/>
  <c r="FP183" i="1" s="1"/>
  <c r="CN121" i="1"/>
  <c r="FP121" i="1" s="1"/>
  <c r="CN142" i="1"/>
  <c r="FP142" i="1" s="1"/>
  <c r="CN184" i="1"/>
  <c r="DR184" i="1" s="1"/>
  <c r="CN38" i="1"/>
  <c r="FP38" i="1" s="1"/>
  <c r="CN128" i="1"/>
  <c r="FP128" i="1" s="1"/>
  <c r="CN148" i="1"/>
  <c r="FP148" i="1" s="1"/>
  <c r="CN181" i="1"/>
  <c r="DR181" i="1" s="1"/>
  <c r="CN30" i="1"/>
  <c r="FP30" i="1" s="1"/>
  <c r="CN97" i="1"/>
  <c r="CN150" i="1"/>
  <c r="DR150" i="1" s="1"/>
  <c r="CN186" i="1"/>
  <c r="DR186" i="1" s="1"/>
  <c r="CN23" i="1"/>
  <c r="FP23" i="1" s="1"/>
  <c r="CN126" i="1"/>
  <c r="FP126" i="1" s="1"/>
  <c r="CN153" i="1"/>
  <c r="FP153" i="1" s="1"/>
  <c r="CN4" i="1"/>
  <c r="DR4" i="1" s="1"/>
  <c r="CN119" i="1"/>
  <c r="CN147" i="1"/>
  <c r="CN190" i="1"/>
  <c r="DR190" i="1" s="1"/>
  <c r="CN20" i="1"/>
  <c r="FP20" i="1" s="1"/>
  <c r="CN42" i="1"/>
  <c r="FP42" i="1" s="1"/>
  <c r="CN125" i="1"/>
  <c r="DR125" i="1" s="1"/>
  <c r="CN159" i="1"/>
  <c r="DR159" i="1" s="1"/>
  <c r="CN195" i="1"/>
  <c r="DR195" i="1" s="1"/>
  <c r="CN24" i="1"/>
  <c r="DR24" i="1" s="1"/>
  <c r="CN187" i="1"/>
  <c r="FP187" i="1" s="1"/>
  <c r="CN135" i="1"/>
  <c r="FP135" i="1" s="1"/>
  <c r="CN154" i="1"/>
  <c r="FP154" i="1" s="1"/>
  <c r="CN196" i="1"/>
  <c r="DR196" i="1" s="1"/>
  <c r="CN31" i="1"/>
  <c r="DR31" i="1" s="1"/>
  <c r="CN158" i="1"/>
  <c r="DR158" i="1" s="1"/>
  <c r="CN155" i="1"/>
  <c r="FP155" i="1" s="1"/>
  <c r="CN204" i="1"/>
  <c r="DR204" i="1" s="1"/>
  <c r="CN7" i="1"/>
  <c r="FP7" i="1" s="1"/>
  <c r="CN6" i="1"/>
  <c r="FP6" i="1" s="1"/>
  <c r="CN66" i="1"/>
  <c r="DR66" i="1" s="1"/>
  <c r="HB197" i="1"/>
  <c r="IE185" i="1"/>
  <c r="HB191" i="1"/>
  <c r="HA171" i="1"/>
  <c r="HB201" i="1"/>
  <c r="HA141" i="1"/>
  <c r="CP6" i="1"/>
  <c r="FR6" i="1" s="1"/>
  <c r="GB10" i="1"/>
  <c r="CO205" i="1"/>
  <c r="GD187" i="1"/>
  <c r="HC183" i="1"/>
  <c r="GC189" i="1"/>
  <c r="HB178" i="1"/>
  <c r="GB156" i="1"/>
  <c r="CP150" i="1"/>
  <c r="CZ150" i="1" s="1"/>
  <c r="HA178" i="1"/>
  <c r="CO146" i="1"/>
  <c r="FQ146" i="1" s="1"/>
  <c r="CN167" i="1"/>
  <c r="FP167" i="1" s="1"/>
  <c r="GB124" i="1"/>
  <c r="CP106" i="1"/>
  <c r="FR106" i="1" s="1"/>
  <c r="GC93" i="1"/>
  <c r="GI23" i="1"/>
  <c r="HC23" i="1"/>
  <c r="JP37" i="1"/>
  <c r="IQ31" i="1"/>
  <c r="JK23" i="1"/>
  <c r="HC31" i="1"/>
  <c r="JA81" i="1"/>
  <c r="JA196" i="1"/>
  <c r="JA190" i="1"/>
  <c r="JA175" i="1"/>
  <c r="JA122" i="1"/>
  <c r="JA138" i="1"/>
  <c r="JA61" i="1"/>
  <c r="JA55" i="1"/>
  <c r="JA179" i="1"/>
  <c r="JA201" i="1"/>
  <c r="JA162" i="1"/>
  <c r="JA118" i="1"/>
  <c r="JA97" i="1"/>
  <c r="JA205" i="1"/>
  <c r="JA194" i="1"/>
  <c r="JA172" i="1"/>
  <c r="JA114" i="1"/>
  <c r="JA116" i="1"/>
  <c r="JA56" i="1"/>
  <c r="JA13" i="1"/>
  <c r="JA203" i="1"/>
  <c r="JA192" i="1"/>
  <c r="JA174" i="1"/>
  <c r="JA110" i="1"/>
  <c r="JA124" i="1"/>
  <c r="JA45" i="1"/>
  <c r="JA202" i="1"/>
  <c r="JA182" i="1"/>
  <c r="JA169" i="1"/>
  <c r="JA102" i="1"/>
  <c r="JA151" i="1"/>
  <c r="JA91" i="1"/>
  <c r="JA167" i="1"/>
  <c r="JA143" i="1"/>
  <c r="JA123" i="1"/>
  <c r="JA20" i="1"/>
  <c r="JA166" i="1"/>
  <c r="JA170" i="1"/>
  <c r="JA119" i="1"/>
  <c r="JA165" i="1"/>
  <c r="JA155" i="1"/>
  <c r="JA131" i="1"/>
  <c r="JA50" i="1"/>
  <c r="JA164" i="1"/>
  <c r="JA125" i="1"/>
  <c r="JA129" i="1"/>
  <c r="JA112" i="1"/>
  <c r="JA195" i="1"/>
  <c r="JA121" i="1"/>
  <c r="JA157" i="1"/>
  <c r="JA176" i="1"/>
  <c r="JA117" i="1"/>
  <c r="JA147" i="1"/>
  <c r="HZ132" i="1"/>
  <c r="HZ125" i="1"/>
  <c r="HZ46" i="1"/>
  <c r="JA38" i="1"/>
  <c r="JA46" i="1"/>
  <c r="GI105" i="1"/>
  <c r="JP58" i="1"/>
  <c r="KD107" i="1"/>
  <c r="KD190" i="1"/>
  <c r="KD150" i="1"/>
  <c r="KD133" i="1"/>
  <c r="KD100" i="1"/>
  <c r="KD186" i="1"/>
  <c r="KD146" i="1"/>
  <c r="KD139" i="1"/>
  <c r="KD129" i="1"/>
  <c r="KD181" i="1"/>
  <c r="KD167" i="1"/>
  <c r="KD130" i="1"/>
  <c r="KD116" i="1"/>
  <c r="KD180" i="1"/>
  <c r="KD160" i="1"/>
  <c r="KD122" i="1"/>
  <c r="KD112" i="1"/>
  <c r="KD55" i="1"/>
  <c r="KD175" i="1"/>
  <c r="KD177" i="1"/>
  <c r="KD118" i="1"/>
  <c r="KD137" i="1"/>
  <c r="IZ107" i="1"/>
  <c r="IZ204" i="1"/>
  <c r="IZ148" i="1"/>
  <c r="IZ117" i="1"/>
  <c r="IZ116" i="1"/>
  <c r="IZ185" i="1"/>
  <c r="IZ146" i="1"/>
  <c r="IZ113" i="1"/>
  <c r="IZ129" i="1"/>
  <c r="IZ177" i="1"/>
  <c r="IZ187" i="1"/>
  <c r="IZ109" i="1"/>
  <c r="IZ58" i="1"/>
  <c r="IZ171" i="1"/>
  <c r="IZ186" i="1"/>
  <c r="IZ130" i="1"/>
  <c r="IZ55" i="1"/>
  <c r="IZ167" i="1"/>
  <c r="IZ169" i="1"/>
  <c r="IZ143" i="1"/>
  <c r="IZ94" i="1"/>
  <c r="GW46" i="1"/>
  <c r="GW97" i="1"/>
  <c r="GW13" i="1"/>
  <c r="JP59" i="1"/>
  <c r="JP51" i="1"/>
  <c r="IM17" i="1"/>
  <c r="IW106" i="1"/>
  <c r="IW86" i="1"/>
  <c r="IW70" i="1"/>
  <c r="IW27" i="1"/>
  <c r="IW68" i="1"/>
  <c r="JG65" i="1"/>
  <c r="JG175" i="1"/>
  <c r="IW133" i="1"/>
  <c r="IW49" i="1"/>
  <c r="IW65" i="1"/>
  <c r="IW30" i="1"/>
  <c r="JG49" i="1"/>
  <c r="JG80" i="1"/>
  <c r="IW80" i="1"/>
  <c r="IW188" i="1"/>
  <c r="GE150" i="1"/>
  <c r="GE164" i="1"/>
  <c r="GE179" i="1"/>
  <c r="GE177" i="1"/>
  <c r="GE24" i="1"/>
  <c r="GE68" i="1"/>
  <c r="GO82" i="1"/>
  <c r="GO168" i="1"/>
  <c r="GO130" i="1"/>
  <c r="GO177" i="1"/>
  <c r="GO164" i="1"/>
  <c r="GO162" i="1"/>
  <c r="GO155" i="1"/>
  <c r="GO167" i="1"/>
  <c r="GO135" i="1"/>
  <c r="GO98" i="1"/>
  <c r="GO126" i="1"/>
  <c r="GO24" i="1"/>
  <c r="GO197" i="1"/>
  <c r="GO160" i="1"/>
  <c r="GO133" i="1"/>
  <c r="GO101" i="1"/>
  <c r="GO49" i="1"/>
  <c r="GY99" i="1"/>
  <c r="GY86" i="1"/>
  <c r="GY50" i="1"/>
  <c r="GY49" i="1"/>
  <c r="GY30" i="1"/>
  <c r="GY80" i="1"/>
  <c r="HS151" i="1"/>
  <c r="HS68" i="1"/>
  <c r="JQ143" i="1"/>
  <c r="JQ60" i="1"/>
  <c r="JQ113" i="1"/>
  <c r="JQ144" i="1"/>
  <c r="JQ138" i="1"/>
  <c r="JQ192" i="1"/>
  <c r="JQ51" i="1"/>
  <c r="JQ63" i="1"/>
  <c r="JQ70" i="1"/>
  <c r="JQ54" i="1"/>
  <c r="KA188" i="1"/>
  <c r="KA194" i="1"/>
  <c r="KA70" i="1"/>
  <c r="KA62" i="1"/>
  <c r="KA141" i="1"/>
  <c r="KA191" i="1"/>
  <c r="KA153" i="1"/>
  <c r="KA6" i="1"/>
  <c r="KA53" i="1"/>
  <c r="KA63" i="1"/>
  <c r="KA27" i="1"/>
  <c r="KA137" i="1"/>
  <c r="KA196" i="1"/>
  <c r="KA163" i="1"/>
  <c r="KA119" i="1"/>
  <c r="KA116" i="1"/>
  <c r="KA178" i="1"/>
  <c r="KA164" i="1"/>
  <c r="KA55" i="1"/>
  <c r="KA120" i="1"/>
  <c r="KA182" i="1"/>
  <c r="KA165" i="1"/>
  <c r="KA123" i="1"/>
  <c r="KA56" i="1"/>
  <c r="KA124" i="1"/>
  <c r="KA167" i="1"/>
  <c r="KA166" i="1"/>
  <c r="KA144" i="1"/>
  <c r="KA121" i="1"/>
  <c r="KA183" i="1"/>
  <c r="KA158" i="1"/>
  <c r="KA139" i="1"/>
  <c r="KA204" i="1"/>
  <c r="KA150" i="1"/>
  <c r="KA136" i="1"/>
  <c r="KA127" i="1"/>
  <c r="KA168" i="1"/>
  <c r="KA160" i="1"/>
  <c r="JQ29" i="1"/>
  <c r="HS3" i="1"/>
  <c r="GE132" i="1"/>
  <c r="GE76" i="1"/>
  <c r="GE204" i="1"/>
  <c r="GE198" i="1"/>
  <c r="GE141" i="1"/>
  <c r="GE148" i="1"/>
  <c r="GE151" i="1"/>
  <c r="GE158" i="1"/>
  <c r="GE154" i="1"/>
  <c r="GE175" i="1"/>
  <c r="GE163" i="1"/>
  <c r="GE169" i="1"/>
  <c r="GE174" i="1"/>
  <c r="GE195" i="1"/>
  <c r="GE176" i="1"/>
  <c r="GE183" i="1"/>
  <c r="GE193" i="1"/>
  <c r="GE205" i="1"/>
  <c r="GE200" i="1"/>
  <c r="GE137" i="1"/>
  <c r="GE6" i="1"/>
  <c r="GE86" i="1"/>
  <c r="GE27" i="1"/>
  <c r="GE145" i="1"/>
  <c r="GE156" i="1"/>
  <c r="GE160" i="1"/>
  <c r="GE152" i="1"/>
  <c r="GE161" i="1"/>
  <c r="GE178" i="1"/>
  <c r="GE170" i="1"/>
  <c r="GE168" i="1"/>
  <c r="GE182" i="1"/>
  <c r="GE180" i="1"/>
  <c r="GE189" i="1"/>
  <c r="GE197" i="1"/>
  <c r="GE70" i="1"/>
  <c r="GE140" i="1"/>
  <c r="GO63" i="1"/>
  <c r="GO5" i="1"/>
  <c r="GO86" i="1"/>
  <c r="GO26" i="1"/>
  <c r="GO202" i="1"/>
  <c r="GO179" i="1"/>
  <c r="GO152" i="1"/>
  <c r="GO204" i="1"/>
  <c r="GO99" i="1"/>
  <c r="GO189" i="1"/>
  <c r="GO165" i="1"/>
  <c r="GO145" i="1"/>
  <c r="GO56" i="1"/>
  <c r="GO180" i="1"/>
  <c r="GO159" i="1"/>
  <c r="GO121" i="1"/>
  <c r="GO137" i="1"/>
  <c r="GO181" i="1"/>
  <c r="GO156" i="1"/>
  <c r="GO109" i="1"/>
  <c r="GO117" i="1"/>
  <c r="GO187" i="1"/>
  <c r="GO172" i="1"/>
  <c r="GO149" i="1"/>
  <c r="GO114" i="1"/>
  <c r="GO55" i="1"/>
  <c r="GO173" i="1"/>
  <c r="GO6" i="1"/>
  <c r="GO38" i="1"/>
  <c r="GO70" i="1"/>
  <c r="GO66" i="1"/>
  <c r="GO68" i="1"/>
  <c r="GO195" i="1"/>
  <c r="GO163" i="1"/>
  <c r="GO143" i="1"/>
  <c r="GO122" i="1"/>
  <c r="GO124" i="1"/>
  <c r="GO185" i="1"/>
  <c r="GO158" i="1"/>
  <c r="GO134" i="1"/>
  <c r="GO116" i="1"/>
  <c r="GO199" i="1"/>
  <c r="GO175" i="1"/>
  <c r="GO146" i="1"/>
  <c r="GO123" i="1"/>
  <c r="GO140" i="1"/>
  <c r="GO191" i="1"/>
  <c r="GO170" i="1"/>
  <c r="GO144" i="1"/>
  <c r="GO119" i="1"/>
  <c r="GO178" i="1"/>
  <c r="GO182" i="1"/>
  <c r="GO201" i="1"/>
  <c r="GO91" i="1"/>
  <c r="GO138" i="1"/>
  <c r="GO198" i="1"/>
  <c r="GO161" i="1"/>
  <c r="GY117" i="1"/>
  <c r="GY123" i="1"/>
  <c r="GY170" i="1"/>
  <c r="GY188" i="1"/>
  <c r="GY203" i="1"/>
  <c r="GY6" i="1"/>
  <c r="GY38" i="1"/>
  <c r="GY26" i="1"/>
  <c r="GY68" i="1"/>
  <c r="GY111" i="1"/>
  <c r="GY101" i="1"/>
  <c r="GY143" i="1"/>
  <c r="GY167" i="1"/>
  <c r="GY200" i="1"/>
  <c r="GY53" i="1"/>
  <c r="GY70" i="1"/>
  <c r="GY75" i="1"/>
  <c r="GY82" i="1"/>
  <c r="GY135" i="1"/>
  <c r="GY137" i="1"/>
  <c r="HS162" i="1"/>
  <c r="HS24" i="1"/>
  <c r="HS51" i="1"/>
  <c r="HS6" i="1"/>
  <c r="HS38" i="1"/>
  <c r="HS27" i="1"/>
  <c r="HS47" i="1"/>
  <c r="HS75" i="1"/>
  <c r="HS46" i="1"/>
  <c r="HS156" i="1"/>
  <c r="HS185" i="1"/>
  <c r="HS70" i="1"/>
  <c r="HS44" i="1"/>
  <c r="HS86" i="1"/>
  <c r="HS76" i="1"/>
  <c r="HS64" i="1"/>
  <c r="HS23" i="1"/>
  <c r="HS54" i="1"/>
  <c r="HS50" i="1"/>
  <c r="BR212" i="1"/>
  <c r="IW55" i="1"/>
  <c r="IW105" i="1"/>
  <c r="IW153" i="1"/>
  <c r="IW196" i="1"/>
  <c r="IW53" i="1"/>
  <c r="IW63" i="1"/>
  <c r="IW50" i="1"/>
  <c r="IW167" i="1"/>
  <c r="IW62" i="1"/>
  <c r="IW51" i="1"/>
  <c r="IW124" i="1"/>
  <c r="IW168" i="1"/>
  <c r="IW6" i="1"/>
  <c r="IW26" i="1"/>
  <c r="IW82" i="1"/>
  <c r="JG141" i="1"/>
  <c r="JG201" i="1"/>
  <c r="JG51" i="1"/>
  <c r="JG86" i="1"/>
  <c r="JG38" i="1"/>
  <c r="JG24" i="1"/>
  <c r="JG144" i="1"/>
  <c r="JG150" i="1"/>
  <c r="JG182" i="1"/>
  <c r="JG50" i="1"/>
  <c r="JG27" i="1"/>
  <c r="IW85" i="1"/>
  <c r="HS8" i="1"/>
  <c r="HS81" i="1"/>
  <c r="JG70" i="1"/>
  <c r="HS35" i="1"/>
  <c r="HS31" i="1"/>
  <c r="HS16" i="1"/>
  <c r="HS11" i="1"/>
  <c r="HS42" i="1"/>
  <c r="HS5" i="1"/>
  <c r="HS67" i="1"/>
  <c r="BN212" i="1"/>
  <c r="HS52" i="1"/>
  <c r="IC52" i="1"/>
  <c r="HS83" i="1"/>
  <c r="HS45" i="1"/>
  <c r="JP69" i="1"/>
  <c r="KA83" i="1"/>
  <c r="JZ54" i="1"/>
  <c r="JZ69" i="1"/>
  <c r="JP54" i="1"/>
  <c r="JG17" i="1"/>
  <c r="KA104" i="1"/>
  <c r="JQ17" i="1"/>
  <c r="GE17" i="1"/>
  <c r="GO104" i="1"/>
  <c r="GO108" i="1"/>
  <c r="HT100" i="1"/>
  <c r="KA108" i="1"/>
  <c r="HT94" i="1"/>
  <c r="GO17" i="1"/>
  <c r="KA17" i="1"/>
  <c r="HT97" i="1"/>
  <c r="BP212" i="1"/>
  <c r="EG1" i="1"/>
  <c r="EX1" i="1"/>
  <c r="EV1" i="1"/>
  <c r="KA85" i="1"/>
  <c r="JQ85" i="1"/>
  <c r="HT90" i="1"/>
  <c r="HT105" i="1"/>
  <c r="HT66" i="1"/>
  <c r="KA89" i="1"/>
  <c r="GO85" i="1"/>
  <c r="HT92" i="1"/>
  <c r="DH1" i="1"/>
  <c r="DH111" i="1" s="1"/>
  <c r="DX1" i="1"/>
  <c r="DJ1" i="1"/>
  <c r="DB1" i="1"/>
  <c r="CX1" i="1"/>
  <c r="EZ1" i="1"/>
  <c r="DF1" i="1"/>
  <c r="DF6" i="1" s="1"/>
  <c r="JG31" i="1"/>
  <c r="DN1" i="1"/>
  <c r="DW1" i="1"/>
  <c r="A3" i="7"/>
  <c r="DO1" i="1"/>
  <c r="DP1" i="1"/>
  <c r="DP73" i="1" s="1"/>
  <c r="DZ1" i="1"/>
  <c r="DA1" i="1"/>
  <c r="DA180" i="1" s="1"/>
  <c r="DS1" i="1"/>
  <c r="DS84" i="1" s="1"/>
  <c r="DD1" i="1"/>
  <c r="DD45" i="1" s="1"/>
  <c r="DT1" i="1"/>
  <c r="DT17" i="1" s="1"/>
  <c r="FB1" i="1"/>
  <c r="FB45" i="1" s="1"/>
  <c r="CY1" i="1"/>
  <c r="FA1" i="1"/>
  <c r="FA101" i="1" s="1"/>
  <c r="FC1" i="1"/>
  <c r="IW81" i="1"/>
  <c r="EW1" i="1"/>
  <c r="DE1" i="1"/>
  <c r="DM1" i="1"/>
  <c r="DL1" i="1"/>
  <c r="DK1" i="1"/>
  <c r="DK96" i="1" s="1"/>
  <c r="DC1" i="1"/>
  <c r="A4" i="7"/>
  <c r="EY1" i="1"/>
  <c r="FD1" i="1"/>
  <c r="GE199" i="1"/>
  <c r="IC117" i="1"/>
  <c r="IC109" i="1"/>
  <c r="IC127" i="1"/>
  <c r="IC133" i="1"/>
  <c r="IC142" i="1"/>
  <c r="IC156" i="1"/>
  <c r="IC170" i="1"/>
  <c r="IC179" i="1"/>
  <c r="IC198" i="1"/>
  <c r="IW60" i="1"/>
  <c r="IW24" i="1"/>
  <c r="IW17" i="1"/>
  <c r="IW89" i="1"/>
  <c r="IW136" i="1"/>
  <c r="IW177" i="1"/>
  <c r="IW180" i="1"/>
  <c r="IW66" i="1"/>
  <c r="IW38" i="1"/>
  <c r="JG154" i="1"/>
  <c r="JG85" i="1"/>
  <c r="JG136" i="1"/>
  <c r="JG99" i="1"/>
  <c r="JG161" i="1"/>
  <c r="JG202" i="1"/>
  <c r="JG6" i="1"/>
  <c r="JG53" i="1"/>
  <c r="JG66" i="1"/>
  <c r="JG26" i="1"/>
  <c r="JG68" i="1"/>
  <c r="GE111" i="1"/>
  <c r="GE138" i="1"/>
  <c r="GE203" i="1"/>
  <c r="GE201" i="1"/>
  <c r="GE202" i="1"/>
  <c r="GE142" i="1"/>
  <c r="GE147" i="1"/>
  <c r="GE144" i="1"/>
  <c r="GE149" i="1"/>
  <c r="GE155" i="1"/>
  <c r="GE157" i="1"/>
  <c r="GE153" i="1"/>
  <c r="GE162" i="1"/>
  <c r="GE181" i="1"/>
  <c r="GE166" i="1"/>
  <c r="GE167" i="1"/>
  <c r="GE172" i="1"/>
  <c r="GE173" i="1"/>
  <c r="GE191" i="1"/>
  <c r="GE184" i="1"/>
  <c r="GE196" i="1"/>
  <c r="GE186" i="1"/>
  <c r="GE190" i="1"/>
  <c r="GE194" i="1"/>
  <c r="GE55" i="1"/>
  <c r="GE85" i="1"/>
  <c r="GE51" i="1"/>
  <c r="GE53" i="1"/>
  <c r="GE63" i="1"/>
  <c r="GE26" i="1"/>
  <c r="GE66" i="1"/>
  <c r="GE50" i="1"/>
  <c r="GY121" i="1"/>
  <c r="GY157" i="1"/>
  <c r="GY171" i="1"/>
  <c r="GY197" i="1"/>
  <c r="GY85" i="1"/>
  <c r="GY24" i="1"/>
  <c r="GY51" i="1"/>
  <c r="GY63" i="1"/>
  <c r="GY66" i="1"/>
  <c r="GY17" i="1"/>
  <c r="HS164" i="1"/>
  <c r="HS17" i="1"/>
  <c r="HS85" i="1"/>
  <c r="HS53" i="1"/>
  <c r="HS63" i="1"/>
  <c r="HS58" i="1"/>
  <c r="HS66" i="1"/>
  <c r="HS26" i="1"/>
  <c r="HS25" i="1"/>
  <c r="HS77" i="1"/>
  <c r="HS37" i="1"/>
  <c r="HS12" i="1"/>
  <c r="HS10" i="1"/>
  <c r="HS43" i="1"/>
  <c r="HS20" i="1"/>
  <c r="HS59" i="1"/>
  <c r="GY72" i="1"/>
  <c r="IM77" i="1"/>
  <c r="JQ77" i="1"/>
  <c r="IC3" i="1"/>
  <c r="HT15" i="1"/>
  <c r="IW3" i="1"/>
  <c r="GO77" i="1"/>
  <c r="JG3" i="1"/>
  <c r="GY77" i="1"/>
  <c r="HT104" i="1"/>
  <c r="GO3" i="1"/>
  <c r="GE3" i="1"/>
  <c r="HT98" i="1"/>
  <c r="KA3" i="1"/>
  <c r="GO103" i="1"/>
  <c r="KA103" i="1"/>
  <c r="GY3" i="1"/>
  <c r="IC103" i="1"/>
  <c r="KA71" i="1"/>
  <c r="GO93" i="1"/>
  <c r="JG71" i="1"/>
  <c r="IM58" i="1"/>
  <c r="JG58" i="1"/>
  <c r="GY71" i="1"/>
  <c r="KA69" i="1"/>
  <c r="GY58" i="1"/>
  <c r="GE71" i="1"/>
  <c r="GE54" i="1"/>
  <c r="GE75" i="1"/>
  <c r="GY54" i="1"/>
  <c r="KA58" i="1"/>
  <c r="KA93" i="1"/>
  <c r="IW54" i="1"/>
  <c r="JG75" i="1"/>
  <c r="IW93" i="1"/>
  <c r="HT91" i="1"/>
  <c r="GO54" i="1"/>
  <c r="GO71" i="1"/>
  <c r="GO75" i="1"/>
  <c r="GE58" i="1"/>
  <c r="JQ93" i="1"/>
  <c r="IW75" i="1"/>
  <c r="IW71" i="1"/>
  <c r="IW58" i="1"/>
  <c r="JQ58" i="1"/>
  <c r="KA54" i="1"/>
  <c r="GE69" i="1"/>
  <c r="JQ75" i="1"/>
  <c r="KA75" i="1"/>
  <c r="GO58" i="1"/>
  <c r="JG54" i="1"/>
  <c r="GY12" i="1"/>
  <c r="JQ12" i="1"/>
  <c r="GE12" i="1"/>
  <c r="JG12" i="1"/>
  <c r="IW12" i="1"/>
  <c r="KA12" i="1"/>
  <c r="KA98" i="1"/>
  <c r="GO12" i="1"/>
  <c r="EB1" i="1"/>
  <c r="A6" i="7"/>
  <c r="EF1" i="1"/>
  <c r="EI1" i="1"/>
  <c r="EJ1" i="1"/>
  <c r="ED1" i="1"/>
  <c r="EC1" i="1"/>
  <c r="EH1" i="1"/>
  <c r="JQ20" i="1"/>
  <c r="KA52" i="1"/>
  <c r="KA84" i="1"/>
  <c r="KA20" i="1"/>
  <c r="GE84" i="1"/>
  <c r="JQ37" i="1"/>
  <c r="IW20" i="1"/>
  <c r="IW52" i="1"/>
  <c r="GO95" i="1"/>
  <c r="KA95" i="1"/>
  <c r="GY52" i="1"/>
  <c r="GE52" i="1"/>
  <c r="JG20" i="1"/>
  <c r="IC20" i="1"/>
  <c r="JG52" i="1"/>
  <c r="GO20" i="1"/>
  <c r="HT36" i="1"/>
  <c r="JQ52" i="1"/>
  <c r="GY20" i="1"/>
  <c r="GE20" i="1"/>
  <c r="GE37" i="1"/>
  <c r="JG84" i="1"/>
  <c r="GO37" i="1"/>
  <c r="GO52" i="1"/>
  <c r="HH3" i="1"/>
  <c r="HT84" i="1"/>
  <c r="JG42" i="1"/>
  <c r="GE42" i="1"/>
  <c r="IC167" i="1"/>
  <c r="IC115" i="1"/>
  <c r="IC99" i="1"/>
  <c r="IC108" i="1"/>
  <c r="IC89" i="1"/>
  <c r="IW176" i="1"/>
  <c r="IW203" i="1"/>
  <c r="IW114" i="1"/>
  <c r="IW192" i="1"/>
  <c r="IW99" i="1"/>
  <c r="IW187" i="1"/>
  <c r="IW111" i="1"/>
  <c r="IW182" i="1"/>
  <c r="IW139" i="1"/>
  <c r="IW163" i="1"/>
  <c r="IW145" i="1"/>
  <c r="JQ184" i="1"/>
  <c r="JQ175" i="1"/>
  <c r="JQ200" i="1"/>
  <c r="JQ108" i="1"/>
  <c r="JQ172" i="1"/>
  <c r="JQ95" i="1"/>
  <c r="JQ165" i="1"/>
  <c r="JQ136" i="1"/>
  <c r="JQ103" i="1"/>
  <c r="JQ185" i="1"/>
  <c r="JQ191" i="1"/>
  <c r="JQ106" i="1"/>
  <c r="JQ198" i="1"/>
  <c r="JQ148" i="1"/>
  <c r="JQ120" i="1"/>
  <c r="CR47" i="1"/>
  <c r="CR138" i="1"/>
  <c r="FT138" i="1" s="1"/>
  <c r="CR36" i="1"/>
  <c r="CR46" i="1"/>
  <c r="FT46" i="1" s="1"/>
  <c r="CR26" i="1"/>
  <c r="CR63" i="1"/>
  <c r="CR13" i="1"/>
  <c r="EP13" i="1" s="1"/>
  <c r="KC189" i="1"/>
  <c r="KC158" i="1"/>
  <c r="KC149" i="1"/>
  <c r="KC131" i="1"/>
  <c r="KC186" i="1"/>
  <c r="KC159" i="1"/>
  <c r="KC121" i="1"/>
  <c r="KC127" i="1"/>
  <c r="KC181" i="1"/>
  <c r="KC161" i="1"/>
  <c r="KC145" i="1"/>
  <c r="KC126" i="1"/>
  <c r="KC180" i="1"/>
  <c r="KC128" i="1"/>
  <c r="KC170" i="1"/>
  <c r="KC201" i="1"/>
  <c r="KC198" i="1"/>
  <c r="KC138" i="1"/>
  <c r="KC123" i="1"/>
  <c r="JS184" i="1"/>
  <c r="JS201" i="1"/>
  <c r="JS182" i="1"/>
  <c r="JS149" i="1"/>
  <c r="JS176" i="1"/>
  <c r="JS178" i="1"/>
  <c r="JS122" i="1"/>
  <c r="JS115" i="1"/>
  <c r="JS133" i="1"/>
  <c r="JS112" i="1"/>
  <c r="JS191" i="1"/>
  <c r="JS189" i="1"/>
  <c r="JS193" i="1"/>
  <c r="JS200" i="1"/>
  <c r="JS179" i="1"/>
  <c r="JS158" i="1"/>
  <c r="JS142" i="1"/>
  <c r="JS129" i="1"/>
  <c r="JS125" i="1"/>
  <c r="JS114" i="1"/>
  <c r="JS183" i="1"/>
  <c r="JS196" i="1"/>
  <c r="JS175" i="1"/>
  <c r="JS173" i="1"/>
  <c r="JS156" i="1"/>
  <c r="JS194" i="1"/>
  <c r="JS140" i="1"/>
  <c r="JS127" i="1"/>
  <c r="JS113" i="1"/>
  <c r="JS174" i="1"/>
  <c r="JS166" i="1"/>
  <c r="JS165" i="1"/>
  <c r="JS154" i="1"/>
  <c r="JS159" i="1"/>
  <c r="JS169" i="1"/>
  <c r="JS135" i="1"/>
  <c r="JS120" i="1"/>
  <c r="JS130" i="1"/>
  <c r="JS204" i="1"/>
  <c r="JS197" i="1"/>
  <c r="JS164" i="1"/>
  <c r="JS163" i="1"/>
  <c r="JS147" i="1"/>
  <c r="JS162" i="1"/>
  <c r="JS128" i="1"/>
  <c r="JS123" i="1"/>
  <c r="JS116" i="1"/>
  <c r="JS146" i="1"/>
  <c r="JD13" i="1"/>
  <c r="JD25" i="1"/>
  <c r="JD79" i="1"/>
  <c r="JD49" i="1"/>
  <c r="JD67" i="1"/>
  <c r="JD27" i="1"/>
  <c r="JD194" i="1"/>
  <c r="JD193" i="1"/>
  <c r="JD189" i="1"/>
  <c r="JD170" i="1"/>
  <c r="JD176" i="1"/>
  <c r="JD181" i="1"/>
  <c r="JD171" i="1"/>
  <c r="JD187" i="1"/>
  <c r="JD114" i="1"/>
  <c r="JD95" i="1"/>
  <c r="JD115" i="1"/>
  <c r="JD108" i="1"/>
  <c r="JD142" i="1"/>
  <c r="JD88" i="1"/>
  <c r="JD73" i="1"/>
  <c r="JD5" i="1"/>
  <c r="JD76" i="1"/>
  <c r="JD56" i="1"/>
  <c r="JD66" i="1"/>
  <c r="JD29" i="1"/>
  <c r="JD61" i="1"/>
  <c r="JD68" i="1"/>
  <c r="JD55" i="1"/>
  <c r="JD46" i="1"/>
  <c r="JD53" i="1"/>
  <c r="JD30" i="1"/>
  <c r="JD43" i="1"/>
  <c r="JD65" i="1"/>
  <c r="JD201" i="1"/>
  <c r="JD190" i="1"/>
  <c r="JD164" i="1"/>
  <c r="JD165" i="1"/>
  <c r="JD182" i="1"/>
  <c r="JD195" i="1"/>
  <c r="JD149" i="1"/>
  <c r="JD128" i="1"/>
  <c r="JD106" i="1"/>
  <c r="JD93" i="1"/>
  <c r="JD151" i="1"/>
  <c r="JD100" i="1"/>
  <c r="JD140" i="1"/>
  <c r="JD103" i="1"/>
  <c r="JD99" i="1"/>
  <c r="JD31" i="1"/>
  <c r="JD35" i="1"/>
  <c r="JD58" i="1"/>
  <c r="JD8" i="1"/>
  <c r="JD83" i="1"/>
  <c r="JD50" i="1"/>
  <c r="JD200" i="1"/>
  <c r="JD186" i="1"/>
  <c r="JD161" i="1"/>
  <c r="JD163" i="1"/>
  <c r="JD154" i="1"/>
  <c r="JD150" i="1"/>
  <c r="JD145" i="1"/>
  <c r="JD136" i="1"/>
  <c r="JD102" i="1"/>
  <c r="JD156" i="1"/>
  <c r="JD127" i="1"/>
  <c r="JD125" i="1"/>
  <c r="JD153" i="1"/>
  <c r="JD92" i="1"/>
  <c r="JD82" i="1"/>
  <c r="JD147" i="1"/>
  <c r="JD11" i="1"/>
  <c r="JD47" i="1"/>
  <c r="JD36" i="1"/>
  <c r="JD71" i="1"/>
  <c r="JD51" i="1"/>
  <c r="JD52" i="1"/>
  <c r="JD10" i="1"/>
  <c r="JD78" i="1"/>
  <c r="JD15" i="1"/>
  <c r="JD75" i="1"/>
  <c r="JD17" i="1"/>
  <c r="JD84" i="1"/>
  <c r="JD177" i="1"/>
  <c r="JD205" i="1"/>
  <c r="JD172" i="1"/>
  <c r="JD155" i="1"/>
  <c r="JD162" i="1"/>
  <c r="JD133" i="1"/>
  <c r="JD137" i="1"/>
  <c r="JD126" i="1"/>
  <c r="JD98" i="1"/>
  <c r="JD134" i="1"/>
  <c r="JD120" i="1"/>
  <c r="JD117" i="1"/>
  <c r="JD130" i="1"/>
  <c r="JD89" i="1"/>
  <c r="JD54" i="1"/>
  <c r="JD16" i="1"/>
  <c r="JD72" i="1"/>
  <c r="JD63" i="1"/>
  <c r="JD64" i="1"/>
  <c r="JD44" i="1"/>
  <c r="JD70" i="1"/>
  <c r="JD20" i="1"/>
  <c r="JD24" i="1"/>
  <c r="JD202" i="1"/>
  <c r="JD185" i="1"/>
  <c r="JD196" i="1"/>
  <c r="JD184" i="1"/>
  <c r="JD179" i="1"/>
  <c r="JD160" i="1"/>
  <c r="JD129" i="1"/>
  <c r="JD173" i="1"/>
  <c r="JD122" i="1"/>
  <c r="JD97" i="1"/>
  <c r="JD123" i="1"/>
  <c r="JD116" i="1"/>
  <c r="JD113" i="1"/>
  <c r="JD109" i="1"/>
  <c r="JD101" i="1"/>
  <c r="JD3" i="1"/>
  <c r="JD59" i="1"/>
  <c r="IT13" i="1"/>
  <c r="IT59" i="1"/>
  <c r="IT194" i="1"/>
  <c r="IT174" i="1"/>
  <c r="IT195" i="1"/>
  <c r="IT150" i="1"/>
  <c r="IT161" i="1"/>
  <c r="IT153" i="1"/>
  <c r="IT180" i="1"/>
  <c r="IT119" i="1"/>
  <c r="IT116" i="1"/>
  <c r="IT136" i="1"/>
  <c r="IT130" i="1"/>
  <c r="IT88" i="1"/>
  <c r="IT95" i="1"/>
  <c r="IT155" i="1"/>
  <c r="IT70" i="1"/>
  <c r="IT126" i="1"/>
  <c r="IT12" i="1"/>
  <c r="IT58" i="1"/>
  <c r="IT8" i="1"/>
  <c r="IT10" i="1"/>
  <c r="IT6" i="1"/>
  <c r="IT47" i="1"/>
  <c r="IT196" i="1"/>
  <c r="IT197" i="1"/>
  <c r="IT190" i="1"/>
  <c r="IT203" i="1"/>
  <c r="IT159" i="1"/>
  <c r="IT169" i="1"/>
  <c r="IT166" i="1"/>
  <c r="IT144" i="1"/>
  <c r="IT112" i="1"/>
  <c r="IT132" i="1"/>
  <c r="IT128" i="1"/>
  <c r="IT115" i="1"/>
  <c r="IT89" i="1"/>
  <c r="IT105" i="1"/>
  <c r="IT66" i="1"/>
  <c r="IT77" i="1"/>
  <c r="IT7" i="1"/>
  <c r="IT55" i="1"/>
  <c r="IT67" i="1"/>
  <c r="IT69" i="1"/>
  <c r="IT50" i="1"/>
  <c r="IT185" i="1"/>
  <c r="IT192" i="1"/>
  <c r="IT170" i="1"/>
  <c r="IT199" i="1"/>
  <c r="IT157" i="1"/>
  <c r="IT173" i="1"/>
  <c r="IT172" i="1"/>
  <c r="IT129" i="1"/>
  <c r="IT108" i="1"/>
  <c r="IT125" i="1"/>
  <c r="IT176" i="1"/>
  <c r="IT106" i="1"/>
  <c r="IT138" i="1"/>
  <c r="IT109" i="1"/>
  <c r="IT122" i="1"/>
  <c r="IT114" i="1"/>
  <c r="IT80" i="1"/>
  <c r="IT110" i="1"/>
  <c r="IT52" i="1"/>
  <c r="IT62" i="1"/>
  <c r="IT23" i="1"/>
  <c r="IT205" i="1"/>
  <c r="IT187" i="1"/>
  <c r="IT183" i="1"/>
  <c r="IT191" i="1"/>
  <c r="IT162" i="1"/>
  <c r="IT152" i="1"/>
  <c r="IT163" i="1"/>
  <c r="IT156" i="1"/>
  <c r="IT127" i="1"/>
  <c r="IT104" i="1"/>
  <c r="IT121" i="1"/>
  <c r="IT137" i="1"/>
  <c r="IT101" i="1"/>
  <c r="IT98" i="1"/>
  <c r="IT91" i="1"/>
  <c r="IT97" i="1"/>
  <c r="IT65" i="1"/>
  <c r="IT60" i="1"/>
  <c r="IT64" i="1"/>
  <c r="IT51" i="1"/>
  <c r="IT61" i="1"/>
  <c r="IT11" i="1"/>
  <c r="IT177" i="1"/>
  <c r="IT175" i="1"/>
  <c r="IT188" i="1"/>
  <c r="IT201" i="1"/>
  <c r="IT186" i="1"/>
  <c r="IT165" i="1"/>
  <c r="IT140" i="1"/>
  <c r="IT134" i="1"/>
  <c r="IT133" i="1"/>
  <c r="IT193" i="1"/>
  <c r="IT145" i="1"/>
  <c r="IT103" i="1"/>
  <c r="IT118" i="1"/>
  <c r="IT90" i="1"/>
  <c r="IT81" i="1"/>
  <c r="IT79" i="1"/>
  <c r="IT38" i="1"/>
  <c r="IT30" i="1"/>
  <c r="IT27" i="1"/>
  <c r="IT44" i="1"/>
  <c r="IT29" i="1"/>
  <c r="IT3" i="1"/>
  <c r="IT45" i="1"/>
  <c r="IT73" i="1"/>
  <c r="IT204" i="1"/>
  <c r="IT84" i="1"/>
  <c r="IT184" i="1"/>
  <c r="IT160" i="1"/>
  <c r="IT168" i="1"/>
  <c r="IT181" i="1"/>
  <c r="IT154" i="1"/>
  <c r="IT131" i="1"/>
  <c r="IT124" i="1"/>
  <c r="IT171" i="1"/>
  <c r="IT143" i="1"/>
  <c r="IT102" i="1"/>
  <c r="IT113" i="1"/>
  <c r="IT83" i="1"/>
  <c r="IT78" i="1"/>
  <c r="IT76" i="1"/>
  <c r="IT24" i="1"/>
  <c r="IT72" i="1"/>
  <c r="IT20" i="1"/>
  <c r="IT42" i="1"/>
  <c r="IT4" i="1"/>
  <c r="IT54" i="1"/>
  <c r="IJ138" i="1"/>
  <c r="IJ121" i="1"/>
  <c r="IJ105" i="1"/>
  <c r="IJ125" i="1"/>
  <c r="IJ96" i="1"/>
  <c r="IJ123" i="1"/>
  <c r="IJ134" i="1"/>
  <c r="IJ114" i="1"/>
  <c r="HZ13" i="1"/>
  <c r="HZ123" i="1"/>
  <c r="HZ137" i="1"/>
  <c r="HZ26" i="1"/>
  <c r="HZ36" i="1"/>
  <c r="HZ52" i="1"/>
  <c r="HZ47" i="1"/>
  <c r="HZ135" i="1"/>
  <c r="HZ97" i="1"/>
  <c r="HZ131" i="1"/>
  <c r="HP46" i="1"/>
  <c r="HP122" i="1"/>
  <c r="HP130" i="1"/>
  <c r="HP139" i="1"/>
  <c r="HP126" i="1"/>
  <c r="HP140" i="1"/>
  <c r="HP132" i="1"/>
  <c r="HP13" i="1"/>
  <c r="HP47" i="1"/>
  <c r="HP63" i="1"/>
  <c r="HP36" i="1"/>
  <c r="HP137" i="1"/>
  <c r="HF107" i="1"/>
  <c r="HF36" i="1"/>
  <c r="GV107" i="1"/>
  <c r="GV125" i="1"/>
  <c r="GV134" i="1"/>
  <c r="GV131" i="1"/>
  <c r="GV135" i="1"/>
  <c r="GV127" i="1"/>
  <c r="GV104" i="1"/>
  <c r="GV138" i="1"/>
  <c r="GV105" i="1"/>
  <c r="GV114" i="1"/>
  <c r="GV140" i="1"/>
  <c r="GL131" i="1"/>
  <c r="GL119" i="1"/>
  <c r="GL103" i="1"/>
  <c r="GL13" i="1"/>
  <c r="GL46" i="1"/>
  <c r="GL25" i="1"/>
  <c r="GL63" i="1"/>
  <c r="GL114" i="1"/>
  <c r="GL123" i="1"/>
  <c r="GL110" i="1"/>
  <c r="GL36" i="1"/>
  <c r="GL137" i="1"/>
  <c r="GL132" i="1"/>
  <c r="GL47" i="1"/>
  <c r="IC136" i="1"/>
  <c r="IC126" i="1"/>
  <c r="IC130" i="1"/>
  <c r="IC193" i="1"/>
  <c r="IC169" i="1"/>
  <c r="IC157" i="1"/>
  <c r="IC30" i="1"/>
  <c r="IC54" i="1"/>
  <c r="IC27" i="1"/>
  <c r="IC66" i="1"/>
  <c r="IC53" i="1"/>
  <c r="IC189" i="1"/>
  <c r="IC187" i="1"/>
  <c r="IC172" i="1"/>
  <c r="IC163" i="1"/>
  <c r="IC166" i="1"/>
  <c r="IC152" i="1"/>
  <c r="IC153" i="1"/>
  <c r="IC112" i="1"/>
  <c r="IC125" i="1"/>
  <c r="IC104" i="1"/>
  <c r="IC60" i="1"/>
  <c r="HZ119" i="1"/>
  <c r="HP138" i="1"/>
  <c r="JS119" i="1"/>
  <c r="JS168" i="1"/>
  <c r="JS180" i="1"/>
  <c r="JQ159" i="1"/>
  <c r="JD146" i="1"/>
  <c r="JD119" i="1"/>
  <c r="JD132" i="1"/>
  <c r="JD183" i="1"/>
  <c r="JD188" i="1"/>
  <c r="KC166" i="1"/>
  <c r="JD139" i="1"/>
  <c r="IT15" i="1"/>
  <c r="IT75" i="1"/>
  <c r="IT135" i="1"/>
  <c r="IT149" i="1"/>
  <c r="IT200" i="1"/>
  <c r="JD62" i="1"/>
  <c r="IC71" i="1"/>
  <c r="IC185" i="1"/>
  <c r="IC135" i="1"/>
  <c r="IC49" i="1"/>
  <c r="IC50" i="1"/>
  <c r="IC82" i="1"/>
  <c r="IC12" i="1"/>
  <c r="IC17" i="1"/>
  <c r="IC191" i="1"/>
  <c r="IC184" i="1"/>
  <c r="IC177" i="1"/>
  <c r="IC168" i="1"/>
  <c r="IC161" i="1"/>
  <c r="IC148" i="1"/>
  <c r="IC149" i="1"/>
  <c r="IC122" i="1"/>
  <c r="IC121" i="1"/>
  <c r="IC123" i="1"/>
  <c r="IC91" i="1"/>
  <c r="IC62" i="1"/>
  <c r="HP121" i="1"/>
  <c r="HP125" i="1"/>
  <c r="HP104" i="1"/>
  <c r="HP96" i="1"/>
  <c r="HP62" i="1"/>
  <c r="HP72" i="1"/>
  <c r="HP69" i="1"/>
  <c r="HP58" i="1"/>
  <c r="CR130" i="1"/>
  <c r="EP130" i="1" s="1"/>
  <c r="CR119" i="1"/>
  <c r="FT119" i="1" s="1"/>
  <c r="CR120" i="1"/>
  <c r="CR92" i="1"/>
  <c r="FT92" i="1" s="1"/>
  <c r="CR97" i="1"/>
  <c r="CR91" i="1"/>
  <c r="CR75" i="1"/>
  <c r="CR76" i="1"/>
  <c r="EP76" i="1" s="1"/>
  <c r="CR61" i="1"/>
  <c r="EP61" i="1" s="1"/>
  <c r="HF139" i="1"/>
  <c r="HF132" i="1"/>
  <c r="HF125" i="1"/>
  <c r="HF115" i="1"/>
  <c r="HF110" i="1"/>
  <c r="HF100" i="1"/>
  <c r="HF61" i="1"/>
  <c r="HF79" i="1"/>
  <c r="HF65" i="1"/>
  <c r="HF49" i="1"/>
  <c r="JS117" i="1"/>
  <c r="JS132" i="1"/>
  <c r="JS161" i="1"/>
  <c r="JS195" i="1"/>
  <c r="JQ183" i="1"/>
  <c r="JD91" i="1"/>
  <c r="JD138" i="1"/>
  <c r="JD158" i="1"/>
  <c r="JD169" i="1"/>
  <c r="JD168" i="1"/>
  <c r="KC168" i="1"/>
  <c r="JD38" i="1"/>
  <c r="JD60" i="1"/>
  <c r="IT53" i="1"/>
  <c r="IT82" i="1"/>
  <c r="IT117" i="1"/>
  <c r="IT142" i="1"/>
  <c r="IT182" i="1"/>
  <c r="IT36" i="1"/>
  <c r="HP26" i="1"/>
  <c r="IC175" i="1"/>
  <c r="IC68" i="1"/>
  <c r="IC38" i="1"/>
  <c r="IC70" i="1"/>
  <c r="IC24" i="1"/>
  <c r="IC202" i="1"/>
  <c r="IC186" i="1"/>
  <c r="IC183" i="1"/>
  <c r="IC192" i="1"/>
  <c r="IC165" i="1"/>
  <c r="IC158" i="1"/>
  <c r="IC154" i="1"/>
  <c r="IC151" i="1"/>
  <c r="IC95" i="1"/>
  <c r="IC93" i="1"/>
  <c r="IC119" i="1"/>
  <c r="IC98" i="1"/>
  <c r="IC55" i="1"/>
  <c r="HP90" i="1"/>
  <c r="HP123" i="1"/>
  <c r="HP94" i="1"/>
  <c r="HP105" i="1"/>
  <c r="HP83" i="1"/>
  <c r="HP55" i="1"/>
  <c r="HP64" i="1"/>
  <c r="CR140" i="1"/>
  <c r="CR136" i="1"/>
  <c r="CR118" i="1"/>
  <c r="CR115" i="1"/>
  <c r="CR89" i="1"/>
  <c r="CR108" i="1"/>
  <c r="FT108" i="1" s="1"/>
  <c r="CR81" i="1"/>
  <c r="CR79" i="1"/>
  <c r="CR66" i="1"/>
  <c r="EP66" i="1" s="1"/>
  <c r="CR49" i="1"/>
  <c r="CR51" i="1"/>
  <c r="FT51" i="1" s="1"/>
  <c r="HF130" i="1"/>
  <c r="HF138" i="1"/>
  <c r="HF123" i="1"/>
  <c r="HF118" i="1"/>
  <c r="HF103" i="1"/>
  <c r="HF95" i="1"/>
  <c r="HF83" i="1"/>
  <c r="HF70" i="1"/>
  <c r="HF58" i="1"/>
  <c r="HP117" i="1"/>
  <c r="HZ103" i="1"/>
  <c r="JS131" i="1"/>
  <c r="JS118" i="1"/>
  <c r="JS150" i="1"/>
  <c r="JS192" i="1"/>
  <c r="JQ101" i="1"/>
  <c r="JD81" i="1"/>
  <c r="JD144" i="1"/>
  <c r="JD94" i="1"/>
  <c r="JD143" i="1"/>
  <c r="JD178" i="1"/>
  <c r="JD199" i="1"/>
  <c r="KC154" i="1"/>
  <c r="IT68" i="1"/>
  <c r="IT139" i="1"/>
  <c r="IT141" i="1"/>
  <c r="IT164" i="1"/>
  <c r="IT179" i="1"/>
  <c r="HP25" i="1"/>
  <c r="ET1" i="1"/>
  <c r="IC150" i="1"/>
  <c r="IC75" i="1"/>
  <c r="IC86" i="1"/>
  <c r="IC63" i="1"/>
  <c r="IC6" i="1"/>
  <c r="IC204" i="1"/>
  <c r="IC199" i="1"/>
  <c r="IC190" i="1"/>
  <c r="IC178" i="1"/>
  <c r="IC188" i="1"/>
  <c r="IC171" i="1"/>
  <c r="IC155" i="1"/>
  <c r="IC147" i="1"/>
  <c r="IC145" i="1"/>
  <c r="IC111" i="1"/>
  <c r="IC131" i="1"/>
  <c r="IC113" i="1"/>
  <c r="IC114" i="1"/>
  <c r="IC101" i="1"/>
  <c r="IC56" i="1"/>
  <c r="HP113" i="1"/>
  <c r="HP119" i="1"/>
  <c r="HP91" i="1"/>
  <c r="HP102" i="1"/>
  <c r="HP81" i="1"/>
  <c r="HP67" i="1"/>
  <c r="HP56" i="1"/>
  <c r="HP51" i="1"/>
  <c r="CR116" i="1"/>
  <c r="CR122" i="1"/>
  <c r="EP122" i="1" s="1"/>
  <c r="CR126" i="1"/>
  <c r="CR112" i="1"/>
  <c r="EP112" i="1" s="1"/>
  <c r="CR106" i="1"/>
  <c r="FT106" i="1" s="1"/>
  <c r="CR88" i="1"/>
  <c r="CR78" i="1"/>
  <c r="FT78" i="1" s="1"/>
  <c r="CR60" i="1"/>
  <c r="CR58" i="1"/>
  <c r="EP58" i="1" s="1"/>
  <c r="CR45" i="1"/>
  <c r="HF104" i="1"/>
  <c r="HF128" i="1"/>
  <c r="HF119" i="1"/>
  <c r="HF117" i="1"/>
  <c r="HF97" i="1"/>
  <c r="HF90" i="1"/>
  <c r="HF64" i="1"/>
  <c r="HF62" i="1"/>
  <c r="HF51" i="1"/>
  <c r="HF45" i="1"/>
  <c r="HF131" i="1"/>
  <c r="IJ133" i="1"/>
  <c r="HP136" i="1"/>
  <c r="IJ131" i="1"/>
  <c r="JS145" i="1"/>
  <c r="JS126" i="1"/>
  <c r="JS181" i="1"/>
  <c r="JS177" i="1"/>
  <c r="JQ119" i="1"/>
  <c r="JD69" i="1"/>
  <c r="JD121" i="1"/>
  <c r="JD96" i="1"/>
  <c r="JD152" i="1"/>
  <c r="JD159" i="1"/>
  <c r="JD203" i="1"/>
  <c r="JD12" i="1"/>
  <c r="KC194" i="1"/>
  <c r="JD90" i="1"/>
  <c r="IT35" i="1"/>
  <c r="IT94" i="1"/>
  <c r="IT100" i="1"/>
  <c r="IT148" i="1"/>
  <c r="IT202" i="1"/>
  <c r="JD37" i="1"/>
  <c r="HZ63" i="1"/>
  <c r="CR131" i="1"/>
  <c r="FT131" i="1" s="1"/>
  <c r="CR25" i="1"/>
  <c r="EP25" i="1" s="1"/>
  <c r="IC65" i="1"/>
  <c r="IC77" i="1"/>
  <c r="IC58" i="1"/>
  <c r="IC85" i="1"/>
  <c r="IC26" i="1"/>
  <c r="IC200" i="1"/>
  <c r="IC194" i="1"/>
  <c r="IC195" i="1"/>
  <c r="IC197" i="1"/>
  <c r="IC180" i="1"/>
  <c r="IC164" i="1"/>
  <c r="IC162" i="1"/>
  <c r="IC160" i="1"/>
  <c r="IC143" i="1"/>
  <c r="IC203" i="1"/>
  <c r="IC134" i="1"/>
  <c r="IC129" i="1"/>
  <c r="IC106" i="1"/>
  <c r="IC110" i="1"/>
  <c r="JQ134" i="1"/>
  <c r="IT17" i="1"/>
  <c r="IT99" i="1"/>
  <c r="IT120" i="1"/>
  <c r="IT167" i="1"/>
  <c r="IT198" i="1"/>
  <c r="JD26" i="1"/>
  <c r="K66" i="1"/>
  <c r="L66" i="1" s="1"/>
  <c r="CC183" i="1" a="1"/>
  <c r="CC183" i="1" s="1"/>
  <c r="HI71" i="1"/>
  <c r="HI141" i="1"/>
  <c r="HI140" i="1"/>
  <c r="HI132" i="1"/>
  <c r="CC121" i="1" a="1"/>
  <c r="CC121" i="1" s="1"/>
  <c r="K44" i="1"/>
  <c r="L44" i="1" s="1"/>
  <c r="GG169" i="1"/>
  <c r="HI194" i="1"/>
  <c r="HI154" i="1"/>
  <c r="CC10" i="1" a="1"/>
  <c r="CC10" i="1" s="1"/>
  <c r="K164" i="1"/>
  <c r="L164" i="1" s="1"/>
  <c r="JQ125" i="1"/>
  <c r="JQ126" i="1"/>
  <c r="JQ171" i="1"/>
  <c r="JQ161" i="1"/>
  <c r="JQ181" i="1"/>
  <c r="IW123" i="1"/>
  <c r="IW155" i="1"/>
  <c r="IW198" i="1"/>
  <c r="HI186" i="1"/>
  <c r="HI75" i="1"/>
  <c r="HI131" i="1"/>
  <c r="HI121" i="1"/>
  <c r="CC73" i="1" a="1"/>
  <c r="CC73" i="1" s="1"/>
  <c r="K187" i="1"/>
  <c r="AT187" i="1" s="1"/>
  <c r="K182" i="1"/>
  <c r="L182" i="1" s="1"/>
  <c r="K126" i="1"/>
  <c r="L126" i="1" s="1"/>
  <c r="HI178" i="1"/>
  <c r="HI146" i="1"/>
  <c r="IC78" i="1"/>
  <c r="CC204" i="1" a="1"/>
  <c r="CC204" i="1" s="1"/>
  <c r="CC72" i="1" a="1"/>
  <c r="CC72" i="1" s="1"/>
  <c r="K102" i="1"/>
  <c r="L102" i="1" s="1"/>
  <c r="K21" i="1"/>
  <c r="AS21" i="1" s="1"/>
  <c r="AU21" i="1" s="1"/>
  <c r="JQ105" i="1"/>
  <c r="JQ121" i="1"/>
  <c r="JQ154" i="1"/>
  <c r="JQ187" i="1"/>
  <c r="JQ174" i="1"/>
  <c r="JQ189" i="1"/>
  <c r="IW135" i="1"/>
  <c r="IW159" i="1"/>
  <c r="HI185" i="1"/>
  <c r="CC92" i="1" a="1"/>
  <c r="CC92" i="1" s="1"/>
  <c r="CC89" i="1" a="1"/>
  <c r="CC89" i="1" s="1"/>
  <c r="K65" i="1"/>
  <c r="L65" i="1" s="1"/>
  <c r="JQ122" i="1"/>
  <c r="JQ145" i="1"/>
  <c r="JQ130" i="1"/>
  <c r="JQ202" i="1"/>
  <c r="JQ169" i="1"/>
  <c r="JQ193" i="1"/>
  <c r="IW121" i="1"/>
  <c r="IW162" i="1"/>
  <c r="HI127" i="1"/>
  <c r="HI174" i="1"/>
  <c r="HI114" i="1"/>
  <c r="CC85" i="1" a="1"/>
  <c r="CC85" i="1" s="1"/>
  <c r="CC76" i="1" a="1"/>
  <c r="CC76" i="1" s="1"/>
  <c r="CC7" i="1" a="1"/>
  <c r="CC7" i="1" s="1"/>
  <c r="K173" i="1"/>
  <c r="L173" i="1" s="1"/>
  <c r="JQ118" i="1"/>
  <c r="JQ131" i="1"/>
  <c r="JQ194" i="1"/>
  <c r="JQ170" i="1"/>
  <c r="IW104" i="1"/>
  <c r="JE15" i="1"/>
  <c r="IK63" i="1"/>
  <c r="HG140" i="1"/>
  <c r="HG26" i="1"/>
  <c r="CT179" i="1"/>
  <c r="K80" i="1"/>
  <c r="JU166" i="1"/>
  <c r="KE191" i="1"/>
  <c r="HI80" i="1"/>
  <c r="HI53" i="1"/>
  <c r="HI100" i="1"/>
  <c r="HI68" i="1"/>
  <c r="HI151" i="1"/>
  <c r="HI166" i="1"/>
  <c r="HI183" i="1"/>
  <c r="HI163" i="1"/>
  <c r="HI62" i="1"/>
  <c r="HI161" i="1"/>
  <c r="HI204" i="1"/>
  <c r="HI144" i="1"/>
  <c r="HI3" i="1"/>
  <c r="HI142" i="1"/>
  <c r="HI175" i="1"/>
  <c r="HI110" i="1"/>
  <c r="HI184" i="1"/>
  <c r="HI109" i="1"/>
  <c r="HI66" i="1"/>
  <c r="KE23" i="1"/>
  <c r="CC170" i="1" a="1"/>
  <c r="CC170" i="1" s="1"/>
  <c r="CC168" i="1" a="1"/>
  <c r="CC168" i="1" s="1"/>
  <c r="CC188" i="1" a="1"/>
  <c r="CC188" i="1" s="1"/>
  <c r="CC69" i="1" a="1"/>
  <c r="CC69" i="1" s="1"/>
  <c r="CC179" i="1" a="1"/>
  <c r="CC179" i="1" s="1"/>
  <c r="CC173" i="1" a="1"/>
  <c r="CC173" i="1" s="1"/>
  <c r="CC156" i="1" a="1"/>
  <c r="CC156" i="1" s="1"/>
  <c r="CC71" i="1" a="1"/>
  <c r="CC71" i="1" s="1"/>
  <c r="CC90" i="1" a="1"/>
  <c r="CC90" i="1" s="1"/>
  <c r="CC77" i="1" a="1"/>
  <c r="CC77" i="1" s="1"/>
  <c r="CC6" i="1" a="1"/>
  <c r="CC6" i="1" s="1"/>
  <c r="K147" i="1"/>
  <c r="L147" i="1" s="1"/>
  <c r="K192" i="1"/>
  <c r="L192" i="1" s="1"/>
  <c r="K120" i="1"/>
  <c r="AT120" i="1" s="1"/>
  <c r="K149" i="1"/>
  <c r="L149" i="1" s="1"/>
  <c r="K194" i="1"/>
  <c r="AS194" i="1" s="1"/>
  <c r="AU194" i="1" s="1"/>
  <c r="K130" i="1"/>
  <c r="K64" i="1"/>
  <c r="L64" i="1" s="1"/>
  <c r="K140" i="1"/>
  <c r="AS140" i="1" s="1"/>
  <c r="AU140" i="1" s="1"/>
  <c r="K193" i="1"/>
  <c r="L193" i="1" s="1"/>
  <c r="K123" i="1"/>
  <c r="L123" i="1" s="1"/>
  <c r="K29" i="1"/>
  <c r="AS29" i="1" s="1"/>
  <c r="AU29" i="1" s="1"/>
  <c r="IL29" i="1"/>
  <c r="GG185" i="1"/>
  <c r="CT168" i="1"/>
  <c r="HI30" i="1"/>
  <c r="HI49" i="1"/>
  <c r="IL85" i="1"/>
  <c r="GX86" i="1"/>
  <c r="HI58" i="1"/>
  <c r="HI187" i="1"/>
  <c r="HI198" i="1"/>
  <c r="HI52" i="1"/>
  <c r="HI113" i="1"/>
  <c r="HI153" i="1"/>
  <c r="HI152" i="1"/>
  <c r="HI129" i="1"/>
  <c r="HI159" i="1"/>
  <c r="HI197" i="1"/>
  <c r="HI203" i="1"/>
  <c r="HI200" i="1"/>
  <c r="HI136" i="1"/>
  <c r="HI169" i="1"/>
  <c r="HI125" i="1"/>
  <c r="HI177" i="1"/>
  <c r="HI101" i="1"/>
  <c r="HI77" i="1"/>
  <c r="HI104" i="1"/>
  <c r="CC165" i="1" a="1"/>
  <c r="CC165" i="1" s="1"/>
  <c r="CC197" i="1" a="1"/>
  <c r="CC197" i="1" s="1"/>
  <c r="CC185" i="1" a="1"/>
  <c r="CC185" i="1" s="1"/>
  <c r="CC177" i="1" a="1"/>
  <c r="CC177" i="1" s="1"/>
  <c r="CC175" i="1" a="1"/>
  <c r="CC175" i="1" s="1"/>
  <c r="CC164" i="1" a="1"/>
  <c r="CC164" i="1" s="1"/>
  <c r="CC147" i="1" a="1"/>
  <c r="CC147" i="1" s="1"/>
  <c r="CC64" i="1" a="1"/>
  <c r="CC64" i="1" s="1"/>
  <c r="CC45" i="1" a="1"/>
  <c r="CC45" i="1" s="1"/>
  <c r="CC56" i="1" a="1"/>
  <c r="CC56" i="1" s="1"/>
  <c r="CC70" i="1" a="1"/>
  <c r="CC70" i="1" s="1"/>
  <c r="K58" i="1"/>
  <c r="L58" i="1" s="1"/>
  <c r="K35" i="1"/>
  <c r="L35" i="1" s="1"/>
  <c r="K168" i="1"/>
  <c r="L168" i="1" s="1"/>
  <c r="K166" i="1"/>
  <c r="L166" i="1" s="1"/>
  <c r="K94" i="1"/>
  <c r="K170" i="1"/>
  <c r="K191" i="1"/>
  <c r="K117" i="1"/>
  <c r="AT117" i="1" s="1"/>
  <c r="K88" i="1"/>
  <c r="L88" i="1" s="1"/>
  <c r="K169" i="1"/>
  <c r="AT169" i="1" s="1"/>
  <c r="K62" i="1"/>
  <c r="L62" i="1" s="1"/>
  <c r="K72" i="1"/>
  <c r="L72" i="1" s="1"/>
  <c r="GG151" i="1"/>
  <c r="CT7" i="1"/>
  <c r="CT31" i="1"/>
  <c r="HI54" i="1"/>
  <c r="HI149" i="1"/>
  <c r="HI102" i="1"/>
  <c r="HI122" i="1"/>
  <c r="HI89" i="1"/>
  <c r="GX53" i="1"/>
  <c r="CC190" i="1" a="1"/>
  <c r="CC190" i="1" s="1"/>
  <c r="CC158" i="1" a="1"/>
  <c r="CC158" i="1" s="1"/>
  <c r="CC137" i="1" a="1"/>
  <c r="CC137" i="1" s="1"/>
  <c r="CC143" i="1" a="1"/>
  <c r="CC143" i="1" s="1"/>
  <c r="CC149" i="1" a="1"/>
  <c r="CC149" i="1" s="1"/>
  <c r="CC49" i="1" a="1"/>
  <c r="CC49" i="1" s="1"/>
  <c r="CC120" i="1" a="1"/>
  <c r="CC120" i="1" s="1"/>
  <c r="CC52" i="1" a="1"/>
  <c r="CC52" i="1" s="1"/>
  <c r="K81" i="1"/>
  <c r="K160" i="1"/>
  <c r="K150" i="1"/>
  <c r="AS150" i="1" s="1"/>
  <c r="AU150" i="1" s="1"/>
  <c r="K105" i="1"/>
  <c r="L105" i="1" s="1"/>
  <c r="K162" i="1"/>
  <c r="AT162" i="1" s="1"/>
  <c r="K183" i="1"/>
  <c r="L183" i="1" s="1"/>
  <c r="K10" i="1"/>
  <c r="L10" i="1" s="1"/>
  <c r="K106" i="1"/>
  <c r="L106" i="1" s="1"/>
  <c r="K161" i="1"/>
  <c r="AT161" i="1" s="1"/>
  <c r="K56" i="1"/>
  <c r="L56" i="1" s="1"/>
  <c r="K74" i="1"/>
  <c r="L74" i="1" s="1"/>
  <c r="GG134" i="1"/>
  <c r="CT23" i="1"/>
  <c r="HI27" i="1"/>
  <c r="HI15" i="1"/>
  <c r="HI150" i="1"/>
  <c r="HI182" i="1"/>
  <c r="HI171" i="1"/>
  <c r="K68" i="1"/>
  <c r="L68" i="1" s="1"/>
  <c r="HI17" i="1"/>
  <c r="HI70" i="1"/>
  <c r="HI63" i="1"/>
  <c r="HI130" i="1"/>
  <c r="HI50" i="1"/>
  <c r="HI37" i="1"/>
  <c r="HI202" i="1"/>
  <c r="HI137" i="1"/>
  <c r="HI85" i="1"/>
  <c r="HI147" i="1"/>
  <c r="HI181" i="1"/>
  <c r="HI105" i="1"/>
  <c r="HI173" i="1"/>
  <c r="HI111" i="1"/>
  <c r="HI164" i="1"/>
  <c r="HI103" i="1"/>
  <c r="HI165" i="1"/>
  <c r="HI93" i="1"/>
  <c r="IV82" i="1"/>
  <c r="K32" i="1"/>
  <c r="L32" i="1" s="1"/>
  <c r="CC201" i="1" a="1"/>
  <c r="CC201" i="1" s="1"/>
  <c r="CC205" i="1" a="1"/>
  <c r="CC205" i="1" s="1"/>
  <c r="CC157" i="1" a="1"/>
  <c r="CC157" i="1" s="1"/>
  <c r="CC169" i="1" a="1"/>
  <c r="CC169" i="1" s="1"/>
  <c r="CC75" i="1" a="1"/>
  <c r="CC75" i="1" s="1"/>
  <c r="CC123" i="1" a="1"/>
  <c r="CC123" i="1" s="1"/>
  <c r="CC42" i="1" a="1"/>
  <c r="CC42" i="1" s="1"/>
  <c r="CC50" i="1" a="1"/>
  <c r="CC50" i="1" s="1"/>
  <c r="CC79" i="1" a="1"/>
  <c r="CC79" i="1" s="1"/>
  <c r="CC59" i="1" a="1"/>
  <c r="CC59" i="1" s="1"/>
  <c r="CC24" i="1" a="1"/>
  <c r="CC24" i="1" s="1"/>
  <c r="K48" i="1"/>
  <c r="L48" i="1" s="1"/>
  <c r="K50" i="1"/>
  <c r="L50" i="1" s="1"/>
  <c r="K152" i="1"/>
  <c r="K138" i="1"/>
  <c r="L138" i="1" s="1"/>
  <c r="K84" i="1"/>
  <c r="AS84" i="1" s="1"/>
  <c r="AU84" i="1" s="1"/>
  <c r="K154" i="1"/>
  <c r="K175" i="1"/>
  <c r="AS175" i="1" s="1"/>
  <c r="AU175" i="1" s="1"/>
  <c r="K158" i="1"/>
  <c r="L158" i="1" s="1"/>
  <c r="K27" i="1"/>
  <c r="AS27" i="1" s="1"/>
  <c r="AU27" i="1" s="1"/>
  <c r="K153" i="1"/>
  <c r="L153" i="1" s="1"/>
  <c r="K24" i="1"/>
  <c r="L24" i="1" s="1"/>
  <c r="GN35" i="1"/>
  <c r="GG188" i="1"/>
  <c r="GG203" i="1"/>
  <c r="GX6" i="1"/>
  <c r="KE38" i="1"/>
  <c r="HI12" i="1"/>
  <c r="HI6" i="1"/>
  <c r="HI135" i="1"/>
  <c r="HI126" i="1"/>
  <c r="K22" i="1"/>
  <c r="L22" i="1" s="1"/>
  <c r="CC104" i="1" a="1"/>
  <c r="CC104" i="1" s="1"/>
  <c r="IL44" i="1"/>
  <c r="HI116" i="1"/>
  <c r="HI20" i="1"/>
  <c r="HI139" i="1"/>
  <c r="HI26" i="1"/>
  <c r="HI188" i="1"/>
  <c r="HI192" i="1"/>
  <c r="HI120" i="1"/>
  <c r="HI201" i="1"/>
  <c r="HI117" i="1"/>
  <c r="HI172" i="1"/>
  <c r="HI112" i="1"/>
  <c r="HI168" i="1"/>
  <c r="HI99" i="1"/>
  <c r="HI145" i="1"/>
  <c r="HI98" i="1"/>
  <c r="HI156" i="1"/>
  <c r="HI138" i="1"/>
  <c r="KE86" i="1"/>
  <c r="KE54" i="1"/>
  <c r="IB85" i="1"/>
  <c r="IV63" i="1"/>
  <c r="K85" i="1"/>
  <c r="L85" i="1" s="1"/>
  <c r="CC172" i="1" a="1"/>
  <c r="CC172" i="1" s="1"/>
  <c r="CC184" i="1" a="1"/>
  <c r="CC184" i="1" s="1"/>
  <c r="CC198" i="1" a="1"/>
  <c r="CC198" i="1" s="1"/>
  <c r="CC151" i="1" a="1"/>
  <c r="CC151" i="1" s="1"/>
  <c r="CC141" i="1" a="1"/>
  <c r="CC141" i="1" s="1"/>
  <c r="CC31" i="1" a="1"/>
  <c r="CC31" i="1" s="1"/>
  <c r="CC100" i="1" a="1"/>
  <c r="CC100" i="1" s="1"/>
  <c r="CC65" i="1" a="1"/>
  <c r="CC65" i="1" s="1"/>
  <c r="CC16" i="1" a="1"/>
  <c r="CC16" i="1" s="1"/>
  <c r="CC66" i="1" a="1"/>
  <c r="CC66" i="1" s="1"/>
  <c r="CC58" i="1" a="1"/>
  <c r="CC58" i="1" s="1"/>
  <c r="CC5" i="1" a="1"/>
  <c r="CC5" i="1" s="1"/>
  <c r="K61" i="1"/>
  <c r="L61" i="1" s="1"/>
  <c r="K137" i="1"/>
  <c r="AT137" i="1" s="1"/>
  <c r="K95" i="1"/>
  <c r="L95" i="1" s="1"/>
  <c r="K171" i="1"/>
  <c r="L171" i="1" s="1"/>
  <c r="K135" i="1"/>
  <c r="L135" i="1" s="1"/>
  <c r="K11" i="1"/>
  <c r="K151" i="1"/>
  <c r="AS151" i="1" s="1"/>
  <c r="AU151" i="1" s="1"/>
  <c r="K204" i="1"/>
  <c r="L204" i="1" s="1"/>
  <c r="K20" i="1"/>
  <c r="L20" i="1" s="1"/>
  <c r="GG137" i="1"/>
  <c r="CT122" i="1"/>
  <c r="CT124" i="1"/>
  <c r="HI162" i="1"/>
  <c r="HI44" i="1"/>
  <c r="HI191" i="1"/>
  <c r="HI170" i="1"/>
  <c r="CC88" i="1" a="1"/>
  <c r="CC88" i="1" s="1"/>
  <c r="HI148" i="1"/>
  <c r="HI82" i="1"/>
  <c r="HI179" i="1"/>
  <c r="HI119" i="1"/>
  <c r="HI86" i="1"/>
  <c r="HI157" i="1"/>
  <c r="HI199" i="1"/>
  <c r="HI118" i="1"/>
  <c r="HI189" i="1"/>
  <c r="HI128" i="1"/>
  <c r="HI167" i="1"/>
  <c r="HI56" i="1"/>
  <c r="HI180" i="1"/>
  <c r="HI24" i="1"/>
  <c r="HI143" i="1"/>
  <c r="HI106" i="1"/>
  <c r="HI155" i="1"/>
  <c r="HI133" i="1"/>
  <c r="HI76" i="1"/>
  <c r="JF71" i="1"/>
  <c r="CC3" i="1" a="1"/>
  <c r="CC3" i="1" s="1"/>
  <c r="CC196" i="1" a="1"/>
  <c r="CC196" i="1" s="1"/>
  <c r="CC199" i="1" a="1"/>
  <c r="CC199" i="1" s="1"/>
  <c r="CC182" i="1" a="1"/>
  <c r="CC182" i="1" s="1"/>
  <c r="CC145" i="1" a="1"/>
  <c r="CC145" i="1" s="1"/>
  <c r="CC134" i="1" a="1"/>
  <c r="CC134" i="1" s="1"/>
  <c r="CC174" i="1" a="1"/>
  <c r="CC174" i="1" s="1"/>
  <c r="CC152" i="1" a="1"/>
  <c r="CC152" i="1" s="1"/>
  <c r="CC15" i="1" a="1"/>
  <c r="CC15" i="1" s="1"/>
  <c r="CC38" i="1" a="1"/>
  <c r="CC38" i="1" s="1"/>
  <c r="CC55" i="1" a="1"/>
  <c r="CC55" i="1" s="1"/>
  <c r="K142" i="1"/>
  <c r="L142" i="1" s="1"/>
  <c r="K113" i="1"/>
  <c r="K31" i="1"/>
  <c r="K189" i="1"/>
  <c r="AT189" i="1" s="1"/>
  <c r="K111" i="1"/>
  <c r="K91" i="1"/>
  <c r="L91" i="1" s="1"/>
  <c r="K28" i="1"/>
  <c r="L28" i="1" s="1"/>
  <c r="K180" i="1"/>
  <c r="L180" i="1" s="1"/>
  <c r="K116" i="1"/>
  <c r="L116" i="1" s="1"/>
  <c r="K86" i="1"/>
  <c r="L86" i="1" s="1"/>
  <c r="CC26" i="1" a="1"/>
  <c r="CC26" i="1" s="1"/>
  <c r="CC36" i="1" a="1"/>
  <c r="CC36" i="1" s="1"/>
  <c r="GG144" i="1"/>
  <c r="CT123" i="1"/>
  <c r="GG128" i="1"/>
  <c r="CC98" i="1" a="1"/>
  <c r="CC98" i="1" s="1"/>
  <c r="HI65" i="1"/>
  <c r="HI176" i="1"/>
  <c r="HI108" i="1"/>
  <c r="HI55" i="1"/>
  <c r="HI51" i="1"/>
  <c r="HI115" i="1"/>
  <c r="HI190" i="1"/>
  <c r="HI91" i="1"/>
  <c r="HI195" i="1"/>
  <c r="HI60" i="1"/>
  <c r="HI158" i="1"/>
  <c r="HI134" i="1"/>
  <c r="HI160" i="1"/>
  <c r="HI196" i="1"/>
  <c r="HI205" i="1"/>
  <c r="HI123" i="1"/>
  <c r="HI94" i="1"/>
  <c r="JU23" i="1"/>
  <c r="CC202" i="1" a="1"/>
  <c r="CC202" i="1" s="1"/>
  <c r="CC200" i="1" a="1"/>
  <c r="CC200" i="1" s="1"/>
  <c r="CC146" i="1" a="1"/>
  <c r="CC146" i="1" s="1"/>
  <c r="CC84" i="1" a="1"/>
  <c r="CC84" i="1" s="1"/>
  <c r="CC203" i="1" a="1"/>
  <c r="CC203" i="1" s="1"/>
  <c r="CC131" i="1" a="1"/>
  <c r="CC131" i="1" s="1"/>
  <c r="CC139" i="1" a="1"/>
  <c r="CC139" i="1" s="1"/>
  <c r="CC101" i="1" a="1"/>
  <c r="CC101" i="1" s="1"/>
  <c r="CC113" i="1" a="1"/>
  <c r="CC113" i="1" s="1"/>
  <c r="CC102" i="1" a="1"/>
  <c r="CC102" i="1" s="1"/>
  <c r="CC61" i="1" a="1"/>
  <c r="CC61" i="1" s="1"/>
  <c r="K203" i="1"/>
  <c r="L203" i="1" s="1"/>
  <c r="K19" i="1"/>
  <c r="AT19" i="1" s="1"/>
  <c r="K45" i="1"/>
  <c r="L45" i="1" s="1"/>
  <c r="K181" i="1"/>
  <c r="L181" i="1" s="1"/>
  <c r="K26" i="1"/>
  <c r="L26" i="1" s="1"/>
  <c r="K134" i="1"/>
  <c r="AS134" i="1" s="1"/>
  <c r="AU134" i="1" s="1"/>
  <c r="K103" i="1"/>
  <c r="L103" i="1" s="1"/>
  <c r="K172" i="1"/>
  <c r="L172" i="1" s="1"/>
  <c r="K101" i="1"/>
  <c r="L101" i="1" s="1"/>
  <c r="GG139" i="1"/>
  <c r="CT37" i="1"/>
  <c r="K46" i="1"/>
  <c r="AT46" i="1" s="1"/>
  <c r="CT132" i="1"/>
  <c r="CT140" i="1"/>
  <c r="CT51" i="1"/>
  <c r="CT44" i="1"/>
  <c r="FV44" i="1" s="1"/>
  <c r="CT55" i="1"/>
  <c r="CT80" i="1"/>
  <c r="CT75" i="1"/>
  <c r="CT103" i="1"/>
  <c r="CT94" i="1"/>
  <c r="CT89" i="1"/>
  <c r="CT100" i="1"/>
  <c r="CT133" i="1"/>
  <c r="FB133" i="1" s="1"/>
  <c r="CT142" i="1"/>
  <c r="FV142" i="1" s="1"/>
  <c r="CT154" i="1"/>
  <c r="FB154" i="1" s="1"/>
  <c r="CT164" i="1"/>
  <c r="CT166" i="1"/>
  <c r="CT186" i="1"/>
  <c r="FV186" i="1" s="1"/>
  <c r="CT199" i="1"/>
  <c r="FV199" i="1" s="1"/>
  <c r="CT195" i="1"/>
  <c r="CT202" i="1"/>
  <c r="CT30" i="1"/>
  <c r="CT24" i="1"/>
  <c r="CT131" i="1"/>
  <c r="CT54" i="1"/>
  <c r="CT58" i="1"/>
  <c r="CT68" i="1"/>
  <c r="CT72" i="1"/>
  <c r="CT81" i="1"/>
  <c r="CT106" i="1"/>
  <c r="CT110" i="1"/>
  <c r="CT105" i="1"/>
  <c r="CT121" i="1"/>
  <c r="CT139" i="1"/>
  <c r="CT84" i="1"/>
  <c r="FV84" i="1" s="1"/>
  <c r="CT11" i="1"/>
  <c r="CT155" i="1"/>
  <c r="FV155" i="1" s="1"/>
  <c r="CT156" i="1"/>
  <c r="CT159" i="1"/>
  <c r="CT172" i="1"/>
  <c r="CT190" i="1"/>
  <c r="CT189" i="1"/>
  <c r="CT187" i="1"/>
  <c r="CT3" i="1"/>
  <c r="CT10" i="1"/>
  <c r="CT92" i="1"/>
  <c r="CT130" i="1"/>
  <c r="FV130" i="1" s="1"/>
  <c r="CT138" i="1"/>
  <c r="CT52" i="1"/>
  <c r="CT64" i="1"/>
  <c r="CT69" i="1"/>
  <c r="CT78" i="1"/>
  <c r="CT83" i="1"/>
  <c r="CT108" i="1"/>
  <c r="FV108" i="1" s="1"/>
  <c r="CT112" i="1"/>
  <c r="CT125" i="1"/>
  <c r="FV125" i="1" s="1"/>
  <c r="CT128" i="1"/>
  <c r="CT203" i="1"/>
  <c r="FV203" i="1" s="1"/>
  <c r="CT143" i="1"/>
  <c r="FB143" i="1" s="1"/>
  <c r="CT151" i="1"/>
  <c r="CT157" i="1"/>
  <c r="FV157" i="1" s="1"/>
  <c r="CT162" i="1"/>
  <c r="FV162" i="1" s="1"/>
  <c r="CT170" i="1"/>
  <c r="FV170" i="1" s="1"/>
  <c r="CT194" i="1"/>
  <c r="FV194" i="1" s="1"/>
  <c r="CT183" i="1"/>
  <c r="CT196" i="1"/>
  <c r="CT17" i="1"/>
  <c r="CT136" i="1"/>
  <c r="CT137" i="1"/>
  <c r="FV137" i="1" s="1"/>
  <c r="CT50" i="1"/>
  <c r="CT67" i="1"/>
  <c r="CT82" i="1"/>
  <c r="CT91" i="1"/>
  <c r="CT97" i="1"/>
  <c r="CT118" i="1"/>
  <c r="CT126" i="1"/>
  <c r="CT99" i="1"/>
  <c r="CT144" i="1"/>
  <c r="CT152" i="1"/>
  <c r="CT165" i="1"/>
  <c r="CT163" i="1"/>
  <c r="CT171" i="1"/>
  <c r="FV171" i="1" s="1"/>
  <c r="CT181" i="1"/>
  <c r="CT197" i="1"/>
  <c r="CT198" i="1"/>
  <c r="CT4" i="1"/>
  <c r="FV4" i="1" s="1"/>
  <c r="CT63" i="1"/>
  <c r="FV63" i="1" s="1"/>
  <c r="CT59" i="1"/>
  <c r="FV59" i="1" s="1"/>
  <c r="CT66" i="1"/>
  <c r="FV66" i="1" s="1"/>
  <c r="CT79" i="1"/>
  <c r="CT96" i="1"/>
  <c r="CT98" i="1"/>
  <c r="CT119" i="1"/>
  <c r="CT88" i="1"/>
  <c r="CT109" i="1"/>
  <c r="CT204" i="1"/>
  <c r="CT147" i="1"/>
  <c r="CT146" i="1"/>
  <c r="CT160" i="1"/>
  <c r="CT175" i="1"/>
  <c r="CT167" i="1"/>
  <c r="FV167" i="1" s="1"/>
  <c r="CT182" i="1"/>
  <c r="CT192" i="1"/>
  <c r="CT191" i="1"/>
  <c r="CT38" i="1"/>
  <c r="CT6" i="1"/>
  <c r="FV6" i="1" s="1"/>
  <c r="CT12" i="1"/>
  <c r="CT13" i="1"/>
  <c r="FV13" i="1" s="1"/>
  <c r="CT46" i="1"/>
  <c r="CT26" i="1"/>
  <c r="CT49" i="1"/>
  <c r="CT56" i="1"/>
  <c r="CT76" i="1"/>
  <c r="CT77" i="1"/>
  <c r="CT101" i="1"/>
  <c r="CT104" i="1"/>
  <c r="CT116" i="1"/>
  <c r="CT115" i="1"/>
  <c r="CT117" i="1"/>
  <c r="CT134" i="1"/>
  <c r="CT141" i="1"/>
  <c r="DD141" i="1" s="1"/>
  <c r="CT148" i="1"/>
  <c r="CT158" i="1"/>
  <c r="FV158" i="1" s="1"/>
  <c r="CT178" i="1"/>
  <c r="CT173" i="1"/>
  <c r="FB173" i="1" s="1"/>
  <c r="CT177" i="1"/>
  <c r="CT176" i="1"/>
  <c r="CT205" i="1"/>
  <c r="CT15" i="1"/>
  <c r="FV15" i="1" s="1"/>
  <c r="CT35" i="1"/>
  <c r="CT29" i="1"/>
  <c r="CT8" i="1"/>
  <c r="FV8" i="1" s="1"/>
  <c r="CT47" i="1"/>
  <c r="CT36" i="1"/>
  <c r="CT135" i="1"/>
  <c r="CT53" i="1"/>
  <c r="CT60" i="1"/>
  <c r="FV60" i="1" s="1"/>
  <c r="CT70" i="1"/>
  <c r="CT65" i="1"/>
  <c r="CT90" i="1"/>
  <c r="FV90" i="1" s="1"/>
  <c r="CT111" i="1"/>
  <c r="CT95" i="1"/>
  <c r="FV95" i="1" s="1"/>
  <c r="CT120" i="1"/>
  <c r="CT129" i="1"/>
  <c r="CT127" i="1"/>
  <c r="FB127" i="1" s="1"/>
  <c r="CT149" i="1"/>
  <c r="CT150" i="1"/>
  <c r="FB150" i="1" s="1"/>
  <c r="CT169" i="1"/>
  <c r="CT180" i="1"/>
  <c r="FV180" i="1" s="1"/>
  <c r="CT174" i="1"/>
  <c r="CT184" i="1"/>
  <c r="CT193" i="1"/>
  <c r="CT201" i="1"/>
  <c r="FV201" i="1" s="1"/>
  <c r="KE46" i="1"/>
  <c r="KE55" i="1"/>
  <c r="KE20" i="1"/>
  <c r="KE45" i="1"/>
  <c r="KE67" i="1"/>
  <c r="KE189" i="1"/>
  <c r="KE200" i="1"/>
  <c r="KE187" i="1"/>
  <c r="KE157" i="1"/>
  <c r="KE177" i="1"/>
  <c r="KE138" i="1"/>
  <c r="KE139" i="1"/>
  <c r="KE143" i="1"/>
  <c r="KE148" i="1"/>
  <c r="KE114" i="1"/>
  <c r="KE121" i="1"/>
  <c r="KE3" i="1"/>
  <c r="KE113" i="1"/>
  <c r="KE50" i="1"/>
  <c r="KE61" i="1"/>
  <c r="KE185" i="1"/>
  <c r="KE179" i="1"/>
  <c r="KE182" i="1"/>
  <c r="KE155" i="1"/>
  <c r="KE204" i="1"/>
  <c r="KE165" i="1"/>
  <c r="KE151" i="1"/>
  <c r="KE130" i="1"/>
  <c r="KE137" i="1"/>
  <c r="KE111" i="1"/>
  <c r="KE134" i="1"/>
  <c r="KE91" i="1"/>
  <c r="KE97" i="1"/>
  <c r="KE101" i="1"/>
  <c r="KE120" i="1"/>
  <c r="KE203" i="1"/>
  <c r="KE181" i="1"/>
  <c r="KE180" i="1"/>
  <c r="KE168" i="1"/>
  <c r="KE149" i="1"/>
  <c r="KE188" i="1"/>
  <c r="KE152" i="1"/>
  <c r="KE145" i="1"/>
  <c r="KE122" i="1"/>
  <c r="KE104" i="1"/>
  <c r="KE117" i="1"/>
  <c r="KE125" i="1"/>
  <c r="KE58" i="1"/>
  <c r="KE144" i="1"/>
  <c r="KE13" i="1"/>
  <c r="KE56" i="1"/>
  <c r="KE37" i="1"/>
  <c r="KE199" i="1"/>
  <c r="KE198" i="1"/>
  <c r="KE175" i="1"/>
  <c r="KE172" i="1"/>
  <c r="KE202" i="1"/>
  <c r="KE186" i="1"/>
  <c r="KE136" i="1"/>
  <c r="KE158" i="1"/>
  <c r="KE163" i="1"/>
  <c r="KE103" i="1"/>
  <c r="KE105" i="1"/>
  <c r="KE150" i="1"/>
  <c r="KE44" i="1"/>
  <c r="KE205" i="1"/>
  <c r="KE183" i="1"/>
  <c r="KE178" i="1"/>
  <c r="KE192" i="1"/>
  <c r="KE153" i="1"/>
  <c r="KE164" i="1"/>
  <c r="KE133" i="1"/>
  <c r="KE156" i="1"/>
  <c r="KE128" i="1"/>
  <c r="KE127" i="1"/>
  <c r="KE129" i="1"/>
  <c r="KE92" i="1"/>
  <c r="KE81" i="1"/>
  <c r="KE140" i="1"/>
  <c r="KE201" i="1"/>
  <c r="KE176" i="1"/>
  <c r="KE173" i="1"/>
  <c r="KE169" i="1"/>
  <c r="KE167" i="1"/>
  <c r="KE174" i="1"/>
  <c r="KE170" i="1"/>
  <c r="KE159" i="1"/>
  <c r="KE126" i="1"/>
  <c r="KE118" i="1"/>
  <c r="KE116" i="1"/>
  <c r="KE90" i="1"/>
  <c r="KE31" i="1"/>
  <c r="KE124" i="1"/>
  <c r="KE197" i="1"/>
  <c r="KE190" i="1"/>
  <c r="KE171" i="1"/>
  <c r="KE195" i="1"/>
  <c r="KE162" i="1"/>
  <c r="KE161" i="1"/>
  <c r="KE147" i="1"/>
  <c r="KE154" i="1"/>
  <c r="KE194" i="1"/>
  <c r="KE110" i="1"/>
  <c r="KE112" i="1"/>
  <c r="KE132" i="1"/>
  <c r="KE131" i="1"/>
  <c r="KE69" i="1"/>
  <c r="KE89" i="1"/>
  <c r="JU195" i="1"/>
  <c r="JU180" i="1"/>
  <c r="JU185" i="1"/>
  <c r="JU192" i="1"/>
  <c r="JU165" i="1"/>
  <c r="JU157" i="1"/>
  <c r="JU145" i="1"/>
  <c r="JU123" i="1"/>
  <c r="JU115" i="1"/>
  <c r="JU105" i="1"/>
  <c r="JU173" i="1"/>
  <c r="JU151" i="1"/>
  <c r="JU155" i="1"/>
  <c r="JU140" i="1"/>
  <c r="JU38" i="1"/>
  <c r="JU50" i="1"/>
  <c r="JU56" i="1"/>
  <c r="JU205" i="1"/>
  <c r="JU194" i="1"/>
  <c r="JU200" i="1"/>
  <c r="JU187" i="1"/>
  <c r="JU158" i="1"/>
  <c r="JU154" i="1"/>
  <c r="JU143" i="1"/>
  <c r="JU122" i="1"/>
  <c r="JU114" i="1"/>
  <c r="JU104" i="1"/>
  <c r="JU149" i="1"/>
  <c r="JU136" i="1"/>
  <c r="JU128" i="1"/>
  <c r="JU91" i="1"/>
  <c r="JU81" i="1"/>
  <c r="JU58" i="1"/>
  <c r="JU97" i="1"/>
  <c r="JU204" i="1"/>
  <c r="JU170" i="1"/>
  <c r="JU174" i="1"/>
  <c r="JU186" i="1"/>
  <c r="JU176" i="1"/>
  <c r="JU147" i="1"/>
  <c r="JU141" i="1"/>
  <c r="JU121" i="1"/>
  <c r="JU113" i="1"/>
  <c r="JU103" i="1"/>
  <c r="JU135" i="1"/>
  <c r="JU152" i="1"/>
  <c r="JU132" i="1"/>
  <c r="JU138" i="1"/>
  <c r="JU3" i="1"/>
  <c r="JU61" i="1"/>
  <c r="JU67" i="1"/>
  <c r="JU44" i="1"/>
  <c r="JU190" i="1"/>
  <c r="JU169" i="1"/>
  <c r="JU172" i="1"/>
  <c r="JU160" i="1"/>
  <c r="JU159" i="1"/>
  <c r="JU196" i="1"/>
  <c r="JU134" i="1"/>
  <c r="JU120" i="1"/>
  <c r="JU112" i="1"/>
  <c r="JU102" i="1"/>
  <c r="JU161" i="1"/>
  <c r="JU131" i="1"/>
  <c r="JU133" i="1"/>
  <c r="JU98" i="1"/>
  <c r="JU69" i="1"/>
  <c r="JU188" i="1"/>
  <c r="JU168" i="1"/>
  <c r="JU162" i="1"/>
  <c r="JU156" i="1"/>
  <c r="JU198" i="1"/>
  <c r="JU183" i="1"/>
  <c r="JU130" i="1"/>
  <c r="JU119" i="1"/>
  <c r="JU111" i="1"/>
  <c r="JU101" i="1"/>
  <c r="JU144" i="1"/>
  <c r="JU163" i="1"/>
  <c r="JU89" i="1"/>
  <c r="JU37" i="1"/>
  <c r="JU177" i="1"/>
  <c r="JU167" i="1"/>
  <c r="JU179" i="1"/>
  <c r="JU181" i="1"/>
  <c r="JU153" i="1"/>
  <c r="JU175" i="1"/>
  <c r="JU126" i="1"/>
  <c r="JU118" i="1"/>
  <c r="JU110" i="1"/>
  <c r="JU142" i="1"/>
  <c r="JU146" i="1"/>
  <c r="JU46" i="1"/>
  <c r="JU203" i="1"/>
  <c r="JU202" i="1"/>
  <c r="JU189" i="1"/>
  <c r="JU193" i="1"/>
  <c r="JU182" i="1"/>
  <c r="JU184" i="1"/>
  <c r="JU171" i="1"/>
  <c r="JU125" i="1"/>
  <c r="JU117" i="1"/>
  <c r="JU139" i="1"/>
  <c r="JU178" i="1"/>
  <c r="JU129" i="1"/>
  <c r="JU92" i="1"/>
  <c r="JU90" i="1"/>
  <c r="JU31" i="1"/>
  <c r="JU20" i="1"/>
  <c r="JU45" i="1"/>
  <c r="HH173" i="1"/>
  <c r="HH130" i="1"/>
  <c r="GG119" i="1"/>
  <c r="GG131" i="1"/>
  <c r="GG126" i="1"/>
  <c r="GG121" i="1"/>
  <c r="GG127" i="1"/>
  <c r="GG138" i="1"/>
  <c r="GG130" i="1"/>
  <c r="GG149" i="1"/>
  <c r="GG158" i="1"/>
  <c r="GG182" i="1"/>
  <c r="GG178" i="1"/>
  <c r="GG192" i="1"/>
  <c r="GG193" i="1"/>
  <c r="GG117" i="1"/>
  <c r="GG132" i="1"/>
  <c r="GG159" i="1"/>
  <c r="GG156" i="1"/>
  <c r="GG166" i="1"/>
  <c r="GG175" i="1"/>
  <c r="GG195" i="1"/>
  <c r="GG197" i="1"/>
  <c r="GG118" i="1"/>
  <c r="GG125" i="1"/>
  <c r="GG142" i="1"/>
  <c r="GG163" i="1"/>
  <c r="GG162" i="1"/>
  <c r="GG174" i="1"/>
  <c r="GG180" i="1"/>
  <c r="GG201" i="1"/>
  <c r="GG199" i="1"/>
  <c r="GG115" i="1"/>
  <c r="GG145" i="1"/>
  <c r="GG154" i="1"/>
  <c r="GG164" i="1"/>
  <c r="GG172" i="1"/>
  <c r="GG177" i="1"/>
  <c r="GG189" i="1"/>
  <c r="GG204" i="1"/>
  <c r="GG120" i="1"/>
  <c r="GG122" i="1"/>
  <c r="GG146" i="1"/>
  <c r="GG150" i="1"/>
  <c r="GG161" i="1"/>
  <c r="GG181" i="1"/>
  <c r="GG186" i="1"/>
  <c r="GG194" i="1"/>
  <c r="GG202" i="1"/>
  <c r="GG112" i="1"/>
  <c r="GG147" i="1"/>
  <c r="GG153" i="1"/>
  <c r="GG170" i="1"/>
  <c r="GG176" i="1"/>
  <c r="GG179" i="1"/>
  <c r="GG200" i="1"/>
  <c r="GG116" i="1"/>
  <c r="GG124" i="1"/>
  <c r="GG160" i="1"/>
  <c r="GG165" i="1"/>
  <c r="GG167" i="1"/>
  <c r="GG183" i="1"/>
  <c r="GG184" i="1"/>
  <c r="GG198" i="1"/>
  <c r="CT113" i="1"/>
  <c r="KE123" i="1"/>
  <c r="KE102" i="1"/>
  <c r="KE196" i="1"/>
  <c r="JU150" i="1"/>
  <c r="JU191" i="1"/>
  <c r="GO89" i="1"/>
  <c r="GO166" i="1"/>
  <c r="GO110" i="1"/>
  <c r="GO188" i="1"/>
  <c r="GO120" i="1"/>
  <c r="GO194" i="1"/>
  <c r="GO115" i="1"/>
  <c r="GO131" i="1"/>
  <c r="GO200" i="1"/>
  <c r="GO203" i="1"/>
  <c r="GO151" i="1"/>
  <c r="GO150" i="1"/>
  <c r="HS98" i="1"/>
  <c r="HS117" i="1"/>
  <c r="HS188" i="1"/>
  <c r="HS146" i="1"/>
  <c r="HS153" i="1"/>
  <c r="HS159" i="1"/>
  <c r="HS167" i="1"/>
  <c r="HS191" i="1"/>
  <c r="HS183" i="1"/>
  <c r="HS190" i="1"/>
  <c r="HS123" i="1"/>
  <c r="HS154" i="1"/>
  <c r="HS160" i="1"/>
  <c r="HS168" i="1"/>
  <c r="HS173" i="1"/>
  <c r="HS178" i="1"/>
  <c r="HS182" i="1"/>
  <c r="HS129" i="1"/>
  <c r="HS141" i="1"/>
  <c r="HS148" i="1"/>
  <c r="HS161" i="1"/>
  <c r="HS181" i="1"/>
  <c r="HS170" i="1"/>
  <c r="HS180" i="1"/>
  <c r="HS192" i="1"/>
  <c r="HS198" i="1"/>
  <c r="HS136" i="1"/>
  <c r="HS142" i="1"/>
  <c r="HS147" i="1"/>
  <c r="HS158" i="1"/>
  <c r="HS166" i="1"/>
  <c r="HS171" i="1"/>
  <c r="HS177" i="1"/>
  <c r="HS193" i="1"/>
  <c r="HS202" i="1"/>
  <c r="HS197" i="1"/>
  <c r="HS150" i="1"/>
  <c r="HS145" i="1"/>
  <c r="HS155" i="1"/>
  <c r="HS163" i="1"/>
  <c r="HS174" i="1"/>
  <c r="HS189" i="1"/>
  <c r="HS194" i="1"/>
  <c r="HS143" i="1"/>
  <c r="HS149" i="1"/>
  <c r="HS157" i="1"/>
  <c r="HS169" i="1"/>
  <c r="HS175" i="1"/>
  <c r="HS196" i="1"/>
  <c r="HS195" i="1"/>
  <c r="HS4" i="1"/>
  <c r="HS203" i="1"/>
  <c r="HS144" i="1"/>
  <c r="HS152" i="1"/>
  <c r="HS165" i="1"/>
  <c r="HS172" i="1"/>
  <c r="HS176" i="1"/>
  <c r="HS186" i="1"/>
  <c r="HS184" i="1"/>
  <c r="HS199" i="1"/>
  <c r="HS200" i="1"/>
  <c r="JU13" i="1"/>
  <c r="CT42" i="1"/>
  <c r="FV42" i="1" s="1"/>
  <c r="CT161" i="1"/>
  <c r="GG148" i="1"/>
  <c r="CT102" i="1"/>
  <c r="FV102" i="1" s="1"/>
  <c r="KE166" i="1"/>
  <c r="KE193" i="1"/>
  <c r="JU55" i="1"/>
  <c r="JU137" i="1"/>
  <c r="JU197" i="1"/>
  <c r="IL63" i="1"/>
  <c r="K17" i="1"/>
  <c r="AS17" i="1" s="1"/>
  <c r="AU17" i="1" s="1"/>
  <c r="CC194" i="1" a="1"/>
  <c r="CC194" i="1" s="1"/>
  <c r="CC144" i="1" a="1"/>
  <c r="CC144" i="1" s="1"/>
  <c r="CC124" i="1" a="1"/>
  <c r="CC124" i="1" s="1"/>
  <c r="CC191" i="1" a="1"/>
  <c r="CC191" i="1" s="1"/>
  <c r="CC161" i="1" a="1"/>
  <c r="CC161" i="1" s="1"/>
  <c r="CC166" i="1" a="1"/>
  <c r="CC166" i="1" s="1"/>
  <c r="CC110" i="1" a="1"/>
  <c r="CC110" i="1" s="1"/>
  <c r="CC176" i="1" a="1"/>
  <c r="CC176" i="1" s="1"/>
  <c r="CC122" i="1" a="1"/>
  <c r="CC122" i="1" s="1"/>
  <c r="CC159" i="1" a="1"/>
  <c r="CC159" i="1" s="1"/>
  <c r="CC163" i="1" a="1"/>
  <c r="CC163" i="1" s="1"/>
  <c r="CC162" i="1" a="1"/>
  <c r="CC162" i="1" s="1"/>
  <c r="CC97" i="1" a="1"/>
  <c r="CC97" i="1" s="1"/>
  <c r="CC116" i="1" a="1"/>
  <c r="CC116" i="1" s="1"/>
  <c r="CC12" i="1" a="1"/>
  <c r="CC12" i="1" s="1"/>
  <c r="CC30" i="1" a="1"/>
  <c r="CC30" i="1" s="1"/>
  <c r="CC117" i="1" a="1"/>
  <c r="CC117" i="1" s="1"/>
  <c r="CC11" i="1" a="1"/>
  <c r="CC11" i="1" s="1"/>
  <c r="CC119" i="1" a="1"/>
  <c r="CC119" i="1" s="1"/>
  <c r="CC43" i="1" a="1"/>
  <c r="CC43" i="1" s="1"/>
  <c r="CC68" i="1" a="1"/>
  <c r="CC68" i="1" s="1"/>
  <c r="K39" i="1"/>
  <c r="L39" i="1" s="1"/>
  <c r="K163" i="1"/>
  <c r="K16" i="1"/>
  <c r="L16" i="1" s="1"/>
  <c r="K34" i="1"/>
  <c r="L34" i="1" s="1"/>
  <c r="K144" i="1"/>
  <c r="L144" i="1" s="1"/>
  <c r="K136" i="1"/>
  <c r="AS136" i="1" s="1"/>
  <c r="AU136" i="1" s="1"/>
  <c r="K122" i="1"/>
  <c r="AS122" i="1" s="1"/>
  <c r="AU122" i="1" s="1"/>
  <c r="K165" i="1"/>
  <c r="L165" i="1" s="1"/>
  <c r="K40" i="1"/>
  <c r="L40" i="1" s="1"/>
  <c r="K179" i="1"/>
  <c r="L179" i="1" s="1"/>
  <c r="K146" i="1"/>
  <c r="AS146" i="1" s="1"/>
  <c r="AU146" i="1" s="1"/>
  <c r="K118" i="1"/>
  <c r="L118" i="1" s="1"/>
  <c r="K167" i="1"/>
  <c r="L167" i="1" s="1"/>
  <c r="K93" i="1"/>
  <c r="L93" i="1" s="1"/>
  <c r="K13" i="1"/>
  <c r="AT13" i="1" s="1"/>
  <c r="K156" i="1"/>
  <c r="L156" i="1" s="1"/>
  <c r="K43" i="1"/>
  <c r="L43" i="1" s="1"/>
  <c r="K174" i="1"/>
  <c r="AT174" i="1" s="1"/>
  <c r="K145" i="1"/>
  <c r="L145" i="1" s="1"/>
  <c r="K139" i="1"/>
  <c r="L139" i="1" s="1"/>
  <c r="K37" i="1"/>
  <c r="L37" i="1" s="1"/>
  <c r="K60" i="1"/>
  <c r="L60" i="1" s="1"/>
  <c r="GG171" i="1"/>
  <c r="CT16" i="1"/>
  <c r="CT145" i="1"/>
  <c r="GX184" i="1"/>
  <c r="HS201" i="1"/>
  <c r="CT93" i="1"/>
  <c r="FV93" i="1" s="1"/>
  <c r="KE146" i="1"/>
  <c r="JU201" i="1"/>
  <c r="K55" i="1"/>
  <c r="L55" i="1" s="1"/>
  <c r="CC155" i="1" a="1"/>
  <c r="CC155" i="1" s="1"/>
  <c r="CC126" i="1" a="1"/>
  <c r="CC126" i="1" s="1"/>
  <c r="CC4" i="1" a="1"/>
  <c r="CC4" i="1" s="1"/>
  <c r="CC171" i="1" a="1"/>
  <c r="CC171" i="1" s="1"/>
  <c r="CC154" i="1" a="1"/>
  <c r="CC154" i="1" s="1"/>
  <c r="CC160" i="1" a="1"/>
  <c r="CC160" i="1" s="1"/>
  <c r="CC23" i="1" a="1"/>
  <c r="CC23" i="1" s="1"/>
  <c r="CC153" i="1" a="1"/>
  <c r="CC153" i="1" s="1"/>
  <c r="CC118" i="1" a="1"/>
  <c r="CC118" i="1" s="1"/>
  <c r="CC140" i="1" a="1"/>
  <c r="CC140" i="1" s="1"/>
  <c r="CC142" i="1" a="1"/>
  <c r="CC142" i="1" s="1"/>
  <c r="CC150" i="1" a="1"/>
  <c r="CC150" i="1" s="1"/>
  <c r="CC148" i="1" a="1"/>
  <c r="CC148" i="1" s="1"/>
  <c r="CC112" i="1" a="1"/>
  <c r="CC112" i="1" s="1"/>
  <c r="CC17" i="1" a="1"/>
  <c r="CC17" i="1" s="1"/>
  <c r="CC27" i="1" a="1"/>
  <c r="CC27" i="1" s="1"/>
  <c r="CC115" i="1" a="1"/>
  <c r="CC115" i="1" s="1"/>
  <c r="CC105" i="1" a="1"/>
  <c r="CC105" i="1" s="1"/>
  <c r="CC103" i="1" a="1"/>
  <c r="CC103" i="1" s="1"/>
  <c r="CC54" i="1" a="1"/>
  <c r="CC54" i="1" s="1"/>
  <c r="CC62" i="1" a="1"/>
  <c r="CC62" i="1" s="1"/>
  <c r="CC67" i="1" a="1"/>
  <c r="CC67" i="1" s="1"/>
  <c r="K38" i="1"/>
  <c r="L38" i="1" s="1"/>
  <c r="K155" i="1"/>
  <c r="K47" i="1"/>
  <c r="AT47" i="1" s="1"/>
  <c r="K200" i="1"/>
  <c r="K9" i="1"/>
  <c r="AT9" i="1" s="1"/>
  <c r="K128" i="1"/>
  <c r="K195" i="1"/>
  <c r="AS195" i="1" s="1"/>
  <c r="AU195" i="1" s="1"/>
  <c r="K157" i="1"/>
  <c r="L157" i="1" s="1"/>
  <c r="K71" i="1"/>
  <c r="L71" i="1" s="1"/>
  <c r="K202" i="1"/>
  <c r="K110" i="1"/>
  <c r="AS110" i="1" s="1"/>
  <c r="AU110" i="1" s="1"/>
  <c r="K4" i="1"/>
  <c r="L4" i="1" s="1"/>
  <c r="K159" i="1"/>
  <c r="L159" i="1" s="1"/>
  <c r="K36" i="1"/>
  <c r="L36" i="1" s="1"/>
  <c r="K15" i="1"/>
  <c r="AS15" i="1" s="1"/>
  <c r="AU15" i="1" s="1"/>
  <c r="K148" i="1"/>
  <c r="L148" i="1" s="1"/>
  <c r="K41" i="1"/>
  <c r="L41" i="1" s="1"/>
  <c r="K201" i="1"/>
  <c r="AT201" i="1" s="1"/>
  <c r="K51" i="1"/>
  <c r="L51" i="1" s="1"/>
  <c r="K131" i="1"/>
  <c r="K14" i="1"/>
  <c r="L14" i="1" s="1"/>
  <c r="K108" i="1"/>
  <c r="GX7" i="1"/>
  <c r="GG205" i="1"/>
  <c r="GG155" i="1"/>
  <c r="GG143" i="1"/>
  <c r="CT5" i="1"/>
  <c r="FV5" i="1" s="1"/>
  <c r="CT153" i="1"/>
  <c r="IB155" i="1"/>
  <c r="CT73" i="1"/>
  <c r="FB73" i="1" s="1"/>
  <c r="KE141" i="1"/>
  <c r="JU116" i="1"/>
  <c r="JU199" i="1"/>
  <c r="CT25" i="1"/>
  <c r="FV25" i="1" s="1"/>
  <c r="CT27" i="1"/>
  <c r="CT200" i="1"/>
  <c r="GG196" i="1"/>
  <c r="CT71" i="1"/>
  <c r="KE135" i="1"/>
  <c r="KE142" i="1"/>
  <c r="JU124" i="1"/>
  <c r="IL62" i="1"/>
  <c r="K23" i="1"/>
  <c r="CC189" i="1" a="1"/>
  <c r="CC189" i="1" s="1"/>
  <c r="CC181" i="1" a="1"/>
  <c r="CC181" i="1" s="1"/>
  <c r="CC180" i="1" a="1"/>
  <c r="CC180" i="1" s="1"/>
  <c r="CC129" i="1" a="1"/>
  <c r="CC129" i="1" s="1"/>
  <c r="CC138" i="1" a="1"/>
  <c r="CC138" i="1" s="1"/>
  <c r="CC193" i="1" a="1"/>
  <c r="CC193" i="1" s="1"/>
  <c r="CC178" i="1" a="1"/>
  <c r="CC178" i="1" s="1"/>
  <c r="CC114" i="1" a="1"/>
  <c r="CC114" i="1" s="1"/>
  <c r="CC195" i="1" a="1"/>
  <c r="CC195" i="1" s="1"/>
  <c r="CC109" i="1" a="1"/>
  <c r="CC109" i="1" s="1"/>
  <c r="CC130" i="1" a="1"/>
  <c r="CC130" i="1" s="1"/>
  <c r="CC136" i="1" a="1"/>
  <c r="CC136" i="1" s="1"/>
  <c r="CC108" i="1" a="1"/>
  <c r="CC108" i="1" s="1"/>
  <c r="CC20" i="1" a="1"/>
  <c r="CC20" i="1" s="1"/>
  <c r="CC91" i="1" a="1"/>
  <c r="CC91" i="1" s="1"/>
  <c r="CC93" i="1" a="1"/>
  <c r="CC93" i="1" s="1"/>
  <c r="CC111" i="1" a="1"/>
  <c r="CC111" i="1" s="1"/>
  <c r="CC94" i="1" a="1"/>
  <c r="CC94" i="1" s="1"/>
  <c r="CC53" i="1" a="1"/>
  <c r="CC53" i="1" s="1"/>
  <c r="CC78" i="1" a="1"/>
  <c r="CC78" i="1" s="1"/>
  <c r="CC44" i="1" a="1"/>
  <c r="CC44" i="1" s="1"/>
  <c r="CC51" i="1" a="1"/>
  <c r="CC51" i="1" s="1"/>
  <c r="K75" i="1"/>
  <c r="L75" i="1" s="1"/>
  <c r="K30" i="1"/>
  <c r="AS30" i="1" s="1"/>
  <c r="AU30" i="1" s="1"/>
  <c r="K96" i="1"/>
  <c r="L96" i="1" s="1"/>
  <c r="K129" i="1"/>
  <c r="K184" i="1"/>
  <c r="L184" i="1" s="1"/>
  <c r="K78" i="1"/>
  <c r="L78" i="1" s="1"/>
  <c r="K112" i="1"/>
  <c r="L112" i="1" s="1"/>
  <c r="K205" i="1"/>
  <c r="L205" i="1" s="1"/>
  <c r="K141" i="1"/>
  <c r="L141" i="1" s="1"/>
  <c r="K127" i="1"/>
  <c r="L127" i="1" s="1"/>
  <c r="K186" i="1"/>
  <c r="L186" i="1" s="1"/>
  <c r="K79" i="1"/>
  <c r="L79" i="1" s="1"/>
  <c r="K114" i="1"/>
  <c r="L114" i="1" s="1"/>
  <c r="K143" i="1"/>
  <c r="L143" i="1" s="1"/>
  <c r="K133" i="1"/>
  <c r="L133" i="1" s="1"/>
  <c r="K196" i="1"/>
  <c r="L196" i="1" s="1"/>
  <c r="K7" i="1"/>
  <c r="L7" i="1" s="1"/>
  <c r="K132" i="1"/>
  <c r="AS132" i="1" s="1"/>
  <c r="AU132" i="1" s="1"/>
  <c r="K185" i="1"/>
  <c r="L185" i="1" s="1"/>
  <c r="K104" i="1"/>
  <c r="AT104" i="1" s="1"/>
  <c r="K115" i="1"/>
  <c r="AT115" i="1" s="1"/>
  <c r="CC25" i="1" a="1"/>
  <c r="CC25" i="1" s="1"/>
  <c r="K69" i="1"/>
  <c r="L69" i="1" s="1"/>
  <c r="CC47" i="1" a="1"/>
  <c r="CC47" i="1" s="1"/>
  <c r="GG187" i="1"/>
  <c r="GG136" i="1"/>
  <c r="GG152" i="1"/>
  <c r="CC13" i="1" a="1"/>
  <c r="CC13" i="1" s="1"/>
  <c r="GX5" i="1"/>
  <c r="CT43" i="1"/>
  <c r="FB43" i="1" s="1"/>
  <c r="HS179" i="1"/>
  <c r="CT188" i="1"/>
  <c r="GO171" i="1"/>
  <c r="GG191" i="1"/>
  <c r="CT61" i="1"/>
  <c r="CT114" i="1"/>
  <c r="KE115" i="1"/>
  <c r="KE160" i="1"/>
  <c r="JU148" i="1"/>
  <c r="CH204" i="1" a="1"/>
  <c r="CH204" i="1" s="1"/>
  <c r="JU54" i="1"/>
  <c r="HH20" i="1"/>
  <c r="K54" i="1"/>
  <c r="L54" i="1" s="1"/>
  <c r="CC186" i="1" a="1"/>
  <c r="CC186" i="1" s="1"/>
  <c r="CC135" i="1" a="1"/>
  <c r="CC135" i="1" s="1"/>
  <c r="CC127" i="1" a="1"/>
  <c r="CC127" i="1" s="1"/>
  <c r="CC99" i="1" a="1"/>
  <c r="CC99" i="1" s="1"/>
  <c r="CC133" i="1" a="1"/>
  <c r="CC133" i="1" s="1"/>
  <c r="CC192" i="1" a="1"/>
  <c r="CC192" i="1" s="1"/>
  <c r="CC167" i="1" a="1"/>
  <c r="CC167" i="1" s="1"/>
  <c r="CC96" i="1" a="1"/>
  <c r="CC96" i="1" s="1"/>
  <c r="CC187" i="1" a="1"/>
  <c r="CC187" i="1" s="1"/>
  <c r="CC95" i="1" a="1"/>
  <c r="CC95" i="1" s="1"/>
  <c r="CC125" i="1" a="1"/>
  <c r="CC125" i="1" s="1"/>
  <c r="CC128" i="1" a="1"/>
  <c r="CC128" i="1" s="1"/>
  <c r="CC37" i="1" a="1"/>
  <c r="CC37" i="1" s="1"/>
  <c r="CC80" i="1" a="1"/>
  <c r="CC80" i="1" s="1"/>
  <c r="CC83" i="1" a="1"/>
  <c r="CC83" i="1" s="1"/>
  <c r="CC81" i="1" a="1"/>
  <c r="CC81" i="1" s="1"/>
  <c r="CC106" i="1" a="1"/>
  <c r="CC106" i="1" s="1"/>
  <c r="CC82" i="1" a="1"/>
  <c r="CC82" i="1" s="1"/>
  <c r="CC35" i="1" a="1"/>
  <c r="CC35" i="1" s="1"/>
  <c r="CC60" i="1" a="1"/>
  <c r="CC60" i="1" s="1"/>
  <c r="CC8" i="1" a="1"/>
  <c r="CC8" i="1" s="1"/>
  <c r="CC29" i="1" a="1"/>
  <c r="CC29" i="1" s="1"/>
  <c r="K52" i="1"/>
  <c r="K190" i="1"/>
  <c r="L190" i="1" s="1"/>
  <c r="K12" i="1"/>
  <c r="AT12" i="1" s="1"/>
  <c r="K121" i="1"/>
  <c r="L121" i="1" s="1"/>
  <c r="K176" i="1"/>
  <c r="AS176" i="1" s="1"/>
  <c r="AU176" i="1" s="1"/>
  <c r="K87" i="1"/>
  <c r="K198" i="1"/>
  <c r="L198" i="1" s="1"/>
  <c r="K197" i="1"/>
  <c r="L197" i="1" s="1"/>
  <c r="K109" i="1"/>
  <c r="K119" i="1"/>
  <c r="L119" i="1" s="1"/>
  <c r="K178" i="1"/>
  <c r="L178" i="1" s="1"/>
  <c r="K92" i="1"/>
  <c r="L92" i="1" s="1"/>
  <c r="K199" i="1"/>
  <c r="L199" i="1" s="1"/>
  <c r="K8" i="1"/>
  <c r="AT8" i="1" s="1"/>
  <c r="K125" i="1"/>
  <c r="L125" i="1" s="1"/>
  <c r="K188" i="1"/>
  <c r="K82" i="1"/>
  <c r="K124" i="1"/>
  <c r="L124" i="1" s="1"/>
  <c r="K177" i="1"/>
  <c r="L177" i="1" s="1"/>
  <c r="K97" i="1"/>
  <c r="L97" i="1" s="1"/>
  <c r="K90" i="1"/>
  <c r="L90" i="1" s="1"/>
  <c r="CC63" i="1" a="1"/>
  <c r="CC63" i="1" s="1"/>
  <c r="GG190" i="1"/>
  <c r="GG157" i="1"/>
  <c r="GG141" i="1"/>
  <c r="CC46" i="1" a="1"/>
  <c r="CC46" i="1" s="1"/>
  <c r="CT20" i="1"/>
  <c r="FV20" i="1" s="1"/>
  <c r="HS187" i="1"/>
  <c r="CT185" i="1"/>
  <c r="GG173" i="1"/>
  <c r="CT62" i="1"/>
  <c r="GG111" i="1"/>
  <c r="KE119" i="1"/>
  <c r="KE184" i="1"/>
  <c r="JU164" i="1"/>
  <c r="CE153" i="1" a="1"/>
  <c r="CE153" i="1" s="1"/>
  <c r="CV13" i="1"/>
  <c r="CV115" i="1"/>
  <c r="CV26" i="1"/>
  <c r="FX26" i="1" s="1"/>
  <c r="CV36" i="1"/>
  <c r="CV136" i="1"/>
  <c r="CV121" i="1"/>
  <c r="CV133" i="1"/>
  <c r="CV47" i="1"/>
  <c r="FX47" i="1" s="1"/>
  <c r="CV25" i="1"/>
  <c r="FX25" i="1" s="1"/>
  <c r="CV63" i="1"/>
  <c r="CN36" i="1"/>
  <c r="CN124" i="1"/>
  <c r="DR124" i="1" s="1"/>
  <c r="CN13" i="1"/>
  <c r="CN139" i="1"/>
  <c r="CN46" i="1"/>
  <c r="CN26" i="1"/>
  <c r="JX11" i="1"/>
  <c r="JX59" i="1"/>
  <c r="JX84" i="1"/>
  <c r="JX198" i="1"/>
  <c r="JX190" i="1"/>
  <c r="JX182" i="1"/>
  <c r="JX168" i="1"/>
  <c r="JX147" i="1"/>
  <c r="JX146" i="1"/>
  <c r="JX135" i="1"/>
  <c r="JX148" i="1"/>
  <c r="JX116" i="1"/>
  <c r="JX125" i="1"/>
  <c r="JX93" i="1"/>
  <c r="JX83" i="1"/>
  <c r="JX114" i="1"/>
  <c r="JX78" i="1"/>
  <c r="JX44" i="1"/>
  <c r="JX71" i="1"/>
  <c r="JX101" i="1"/>
  <c r="JX20" i="1"/>
  <c r="JX64" i="1"/>
  <c r="JX31" i="1"/>
  <c r="JX6" i="1"/>
  <c r="JX3" i="1"/>
  <c r="JX4" i="1"/>
  <c r="JX204" i="1"/>
  <c r="JX196" i="1"/>
  <c r="JX188" i="1"/>
  <c r="JX180" i="1"/>
  <c r="JX167" i="1"/>
  <c r="JX169" i="1"/>
  <c r="JX140" i="1"/>
  <c r="JX152" i="1"/>
  <c r="JX127" i="1"/>
  <c r="JX108" i="1"/>
  <c r="JX117" i="1"/>
  <c r="JX126" i="1"/>
  <c r="JX81" i="1"/>
  <c r="JX102" i="1"/>
  <c r="JX70" i="1"/>
  <c r="JX29" i="1"/>
  <c r="JX99" i="1"/>
  <c r="JX50" i="1"/>
  <c r="JX8" i="1"/>
  <c r="JX42" i="1"/>
  <c r="JX25" i="1"/>
  <c r="JX5" i="1"/>
  <c r="JX56" i="1"/>
  <c r="JX203" i="1"/>
  <c r="JX195" i="1"/>
  <c r="JX187" i="1"/>
  <c r="JX179" i="1"/>
  <c r="JX166" i="1"/>
  <c r="JX162" i="1"/>
  <c r="JX136" i="1"/>
  <c r="JX150" i="1"/>
  <c r="JX138" i="1"/>
  <c r="JX104" i="1"/>
  <c r="JX145" i="1"/>
  <c r="JX113" i="1"/>
  <c r="JX139" i="1"/>
  <c r="JX95" i="1"/>
  <c r="JX66" i="1"/>
  <c r="JX89" i="1"/>
  <c r="JX79" i="1"/>
  <c r="JX45" i="1"/>
  <c r="JX65" i="1"/>
  <c r="JX68" i="1"/>
  <c r="JX17" i="1"/>
  <c r="JX61" i="1"/>
  <c r="JX62" i="1"/>
  <c r="JX202" i="1"/>
  <c r="JX194" i="1"/>
  <c r="JX186" i="1"/>
  <c r="JX178" i="1"/>
  <c r="JX164" i="1"/>
  <c r="JX165" i="1"/>
  <c r="JX175" i="1"/>
  <c r="JX123" i="1"/>
  <c r="JX137" i="1"/>
  <c r="JX100" i="1"/>
  <c r="JX159" i="1"/>
  <c r="JX141" i="1"/>
  <c r="JX128" i="1"/>
  <c r="JX142" i="1"/>
  <c r="JX60" i="1"/>
  <c r="JX122" i="1"/>
  <c r="JX105" i="1"/>
  <c r="JX43" i="1"/>
  <c r="JX58" i="1"/>
  <c r="JX16" i="1"/>
  <c r="JX7" i="1"/>
  <c r="JX24" i="1"/>
  <c r="JX200" i="1"/>
  <c r="JX192" i="1"/>
  <c r="JX184" i="1"/>
  <c r="JX172" i="1"/>
  <c r="JX154" i="1"/>
  <c r="JX157" i="1"/>
  <c r="JX160" i="1"/>
  <c r="JX149" i="1"/>
  <c r="JX124" i="1"/>
  <c r="JX143" i="1"/>
  <c r="JX115" i="1"/>
  <c r="JX96" i="1"/>
  <c r="JX110" i="1"/>
  <c r="JX98" i="1"/>
  <c r="JX53" i="1"/>
  <c r="JX91" i="1"/>
  <c r="JX72" i="1"/>
  <c r="JX35" i="1"/>
  <c r="JX69" i="1"/>
  <c r="JX46" i="1"/>
  <c r="JX10" i="1"/>
  <c r="JX23" i="1"/>
  <c r="JX199" i="1"/>
  <c r="JX191" i="1"/>
  <c r="JX183" i="1"/>
  <c r="JX176" i="1"/>
  <c r="JX151" i="1"/>
  <c r="JX177" i="1"/>
  <c r="JX158" i="1"/>
  <c r="JX131" i="1"/>
  <c r="JX120" i="1"/>
  <c r="JX133" i="1"/>
  <c r="JX97" i="1"/>
  <c r="JX92" i="1"/>
  <c r="JX90" i="1"/>
  <c r="JX94" i="1"/>
  <c r="JX51" i="1"/>
  <c r="JX76" i="1"/>
  <c r="JX111" i="1"/>
  <c r="JX30" i="1"/>
  <c r="JX52" i="1"/>
  <c r="JX67" i="1"/>
  <c r="JN205" i="1"/>
  <c r="JN184" i="1"/>
  <c r="JN194" i="1"/>
  <c r="JN166" i="1"/>
  <c r="JN156" i="1"/>
  <c r="JN147" i="1"/>
  <c r="JN174" i="1"/>
  <c r="JN142" i="1"/>
  <c r="JN130" i="1"/>
  <c r="JN122" i="1"/>
  <c r="JN78" i="1"/>
  <c r="JN69" i="1"/>
  <c r="JN60" i="1"/>
  <c r="JN52" i="1"/>
  <c r="JN42" i="1"/>
  <c r="JN105" i="1"/>
  <c r="JN115" i="1"/>
  <c r="JN113" i="1"/>
  <c r="JN103" i="1"/>
  <c r="JN16" i="1"/>
  <c r="JN20" i="1"/>
  <c r="JN99" i="1"/>
  <c r="JN5" i="1"/>
  <c r="JN202" i="1"/>
  <c r="JN197" i="1"/>
  <c r="JN178" i="1"/>
  <c r="JN163" i="1"/>
  <c r="JN154" i="1"/>
  <c r="JN145" i="1"/>
  <c r="JN172" i="1"/>
  <c r="JN138" i="1"/>
  <c r="JN136" i="1"/>
  <c r="JN102" i="1"/>
  <c r="JN76" i="1"/>
  <c r="JN67" i="1"/>
  <c r="JN58" i="1"/>
  <c r="JN51" i="1"/>
  <c r="JN37" i="1"/>
  <c r="JN95" i="1"/>
  <c r="JN120" i="1"/>
  <c r="JN110" i="1"/>
  <c r="JN118" i="1"/>
  <c r="JN109" i="1"/>
  <c r="JN8" i="1"/>
  <c r="JN63" i="1"/>
  <c r="JN198" i="1"/>
  <c r="JN189" i="1"/>
  <c r="JN175" i="1"/>
  <c r="JN162" i="1"/>
  <c r="JN153" i="1"/>
  <c r="JN170" i="1"/>
  <c r="JN169" i="1"/>
  <c r="JN132" i="1"/>
  <c r="JN134" i="1"/>
  <c r="JN83" i="1"/>
  <c r="JN75" i="1"/>
  <c r="JN66" i="1"/>
  <c r="JN56" i="1"/>
  <c r="JN50" i="1"/>
  <c r="JN35" i="1"/>
  <c r="JN90" i="1"/>
  <c r="JN98" i="1"/>
  <c r="JN96" i="1"/>
  <c r="JN108" i="1"/>
  <c r="JN117" i="1"/>
  <c r="JN200" i="1"/>
  <c r="JN187" i="1"/>
  <c r="JN173" i="1"/>
  <c r="JN161" i="1"/>
  <c r="JN152" i="1"/>
  <c r="JN177" i="1"/>
  <c r="JN190" i="1"/>
  <c r="JN186" i="1"/>
  <c r="JN131" i="1"/>
  <c r="JN82" i="1"/>
  <c r="JN73" i="1"/>
  <c r="JN65" i="1"/>
  <c r="JN55" i="1"/>
  <c r="JN49" i="1"/>
  <c r="JN31" i="1"/>
  <c r="JN124" i="1"/>
  <c r="JN94" i="1"/>
  <c r="JN92" i="1"/>
  <c r="JN97" i="1"/>
  <c r="JN24" i="1"/>
  <c r="JN192" i="1"/>
  <c r="JN181" i="1"/>
  <c r="JN171" i="1"/>
  <c r="JN159" i="1"/>
  <c r="JN150" i="1"/>
  <c r="JN176" i="1"/>
  <c r="JN185" i="1"/>
  <c r="JN133" i="1"/>
  <c r="JN135" i="1"/>
  <c r="JN80" i="1"/>
  <c r="JN71" i="1"/>
  <c r="JN62" i="1"/>
  <c r="JN54" i="1"/>
  <c r="JN44" i="1"/>
  <c r="JN29" i="1"/>
  <c r="JN106" i="1"/>
  <c r="JN119" i="1"/>
  <c r="JN116" i="1"/>
  <c r="JN10" i="1"/>
  <c r="JN12" i="1"/>
  <c r="JN188" i="1"/>
  <c r="JN179" i="1"/>
  <c r="JN167" i="1"/>
  <c r="JN158" i="1"/>
  <c r="JN148" i="1"/>
  <c r="JN195" i="1"/>
  <c r="JN144" i="1"/>
  <c r="JN125" i="1"/>
  <c r="JN123" i="1"/>
  <c r="JN79" i="1"/>
  <c r="JN70" i="1"/>
  <c r="JN61" i="1"/>
  <c r="JN53" i="1"/>
  <c r="JN43" i="1"/>
  <c r="JN27" i="1"/>
  <c r="JN126" i="1"/>
  <c r="JN127" i="1"/>
  <c r="JN104" i="1"/>
  <c r="JN23" i="1"/>
  <c r="JN7" i="1"/>
  <c r="JI195" i="1"/>
  <c r="JI176" i="1"/>
  <c r="JI172" i="1"/>
  <c r="JI147" i="1"/>
  <c r="JI154" i="1"/>
  <c r="JI146" i="1"/>
  <c r="JI129" i="1"/>
  <c r="JI150" i="1"/>
  <c r="JI114" i="1"/>
  <c r="JI118" i="1"/>
  <c r="JI183" i="1"/>
  <c r="JI202" i="1"/>
  <c r="JI170" i="1"/>
  <c r="JI159" i="1"/>
  <c r="JI135" i="1"/>
  <c r="JI169" i="1"/>
  <c r="JI124" i="1"/>
  <c r="JI121" i="1"/>
  <c r="JI122" i="1"/>
  <c r="JI179" i="1"/>
  <c r="JI181" i="1"/>
  <c r="JI192" i="1"/>
  <c r="JI166" i="1"/>
  <c r="JI177" i="1"/>
  <c r="JI184" i="1"/>
  <c r="JI120" i="1"/>
  <c r="JI117" i="1"/>
  <c r="JI148" i="1"/>
  <c r="JI204" i="1"/>
  <c r="JI200" i="1"/>
  <c r="JI180" i="1"/>
  <c r="JI163" i="1"/>
  <c r="JI161" i="1"/>
  <c r="JI165" i="1"/>
  <c r="JI145" i="1"/>
  <c r="JI116" i="1"/>
  <c r="JI132" i="1"/>
  <c r="JI111" i="1"/>
  <c r="JI197" i="1"/>
  <c r="JI189" i="1"/>
  <c r="JI194" i="1"/>
  <c r="JI158" i="1"/>
  <c r="JI140" i="1"/>
  <c r="JI142" i="1"/>
  <c r="JI123" i="1"/>
  <c r="JI133" i="1"/>
  <c r="JI128" i="1"/>
  <c r="JI115" i="1"/>
  <c r="JI199" i="1"/>
  <c r="JI196" i="1"/>
  <c r="JI178" i="1"/>
  <c r="JI175" i="1"/>
  <c r="JI167" i="1"/>
  <c r="JI168" i="1"/>
  <c r="JI119" i="1"/>
  <c r="JI149" i="1"/>
  <c r="JI162" i="1"/>
  <c r="JI113" i="1"/>
  <c r="IY198" i="1"/>
  <c r="IY193" i="1"/>
  <c r="IY182" i="1"/>
  <c r="IY167" i="1"/>
  <c r="IY156" i="1"/>
  <c r="IY165" i="1"/>
  <c r="IY174" i="1"/>
  <c r="IY113" i="1"/>
  <c r="IY114" i="1"/>
  <c r="IY111" i="1"/>
  <c r="IY120" i="1"/>
  <c r="IY200" i="1"/>
  <c r="IY178" i="1"/>
  <c r="IY172" i="1"/>
  <c r="IY176" i="1"/>
  <c r="IY164" i="1"/>
  <c r="IY140" i="1"/>
  <c r="IY125" i="1"/>
  <c r="IY117" i="1"/>
  <c r="IY124" i="1"/>
  <c r="IY121" i="1"/>
  <c r="IY196" i="1"/>
  <c r="IY175" i="1"/>
  <c r="IY162" i="1"/>
  <c r="IY168" i="1"/>
  <c r="IY160" i="1"/>
  <c r="IY138" i="1"/>
  <c r="IY130" i="1"/>
  <c r="IY135" i="1"/>
  <c r="IY147" i="1"/>
  <c r="IY192" i="1"/>
  <c r="IY173" i="1"/>
  <c r="IY158" i="1"/>
  <c r="IY166" i="1"/>
  <c r="IY186" i="1"/>
  <c r="IY132" i="1"/>
  <c r="IY128" i="1"/>
  <c r="IY123" i="1"/>
  <c r="IY133" i="1"/>
  <c r="IY180" i="1"/>
  <c r="IY177" i="1"/>
  <c r="IY194" i="1"/>
  <c r="IY199" i="1"/>
  <c r="IY149" i="1"/>
  <c r="IY163" i="1"/>
  <c r="IY118" i="1"/>
  <c r="IY122" i="1"/>
  <c r="IY115" i="1"/>
  <c r="IY202" i="1"/>
  <c r="IY181" i="1"/>
  <c r="IY191" i="1"/>
  <c r="IY201" i="1"/>
  <c r="IY159" i="1"/>
  <c r="IY145" i="1"/>
  <c r="IY153" i="1"/>
  <c r="IY129" i="1"/>
  <c r="IY116" i="1"/>
  <c r="IY112" i="1"/>
  <c r="HU119" i="1"/>
  <c r="HU113" i="1"/>
  <c r="HU123" i="1"/>
  <c r="HU140" i="1"/>
  <c r="HK130" i="1"/>
  <c r="HK124" i="1"/>
  <c r="GI46" i="1"/>
  <c r="GI133" i="1"/>
  <c r="GI13" i="1"/>
  <c r="IW205" i="1"/>
  <c r="IW194" i="1"/>
  <c r="IW183" i="1"/>
  <c r="IW173" i="1"/>
  <c r="IW174" i="1"/>
  <c r="IW169" i="1"/>
  <c r="IW161" i="1"/>
  <c r="IW128" i="1"/>
  <c r="IW118" i="1"/>
  <c r="IW134" i="1"/>
  <c r="IW166" i="1"/>
  <c r="IW201" i="1"/>
  <c r="IW191" i="1"/>
  <c r="IW181" i="1"/>
  <c r="IW151" i="1"/>
  <c r="IW156" i="1"/>
  <c r="IW148" i="1"/>
  <c r="IW120" i="1"/>
  <c r="IW117" i="1"/>
  <c r="IW110" i="1"/>
  <c r="IW98" i="1"/>
  <c r="IW150" i="1"/>
  <c r="IW200" i="1"/>
  <c r="IW190" i="1"/>
  <c r="IW179" i="1"/>
  <c r="IW147" i="1"/>
  <c r="IW164" i="1"/>
  <c r="IW146" i="1"/>
  <c r="IW112" i="1"/>
  <c r="IW113" i="1"/>
  <c r="IW131" i="1"/>
  <c r="IW91" i="1"/>
  <c r="IW199" i="1"/>
  <c r="IW189" i="1"/>
  <c r="IW178" i="1"/>
  <c r="IW171" i="1"/>
  <c r="IW160" i="1"/>
  <c r="IW154" i="1"/>
  <c r="IW108" i="1"/>
  <c r="IW109" i="1"/>
  <c r="IW129" i="1"/>
  <c r="IW127" i="1"/>
  <c r="IW197" i="1"/>
  <c r="IW186" i="1"/>
  <c r="IW172" i="1"/>
  <c r="IW165" i="1"/>
  <c r="IW144" i="1"/>
  <c r="IW143" i="1"/>
  <c r="IW132" i="1"/>
  <c r="IW158" i="1"/>
  <c r="IW115" i="1"/>
  <c r="IW103" i="1"/>
  <c r="IW195" i="1"/>
  <c r="IW185" i="1"/>
  <c r="IW175" i="1"/>
  <c r="IW149" i="1"/>
  <c r="IW142" i="1"/>
  <c r="IW141" i="1"/>
  <c r="IW130" i="1"/>
  <c r="IW126" i="1"/>
  <c r="IW95" i="1"/>
  <c r="IW137" i="1"/>
  <c r="K70" i="1"/>
  <c r="K53" i="1"/>
  <c r="K99" i="1"/>
  <c r="K25" i="1"/>
  <c r="K76" i="1"/>
  <c r="K67" i="1"/>
  <c r="GG123" i="1"/>
  <c r="GG133" i="1"/>
  <c r="GG129" i="1"/>
  <c r="GG135" i="1"/>
  <c r="GG113" i="1"/>
  <c r="GG114" i="1"/>
  <c r="GG140" i="1"/>
  <c r="JF204" i="1"/>
  <c r="JF188" i="1"/>
  <c r="JF199" i="1"/>
  <c r="JF195" i="1"/>
  <c r="JF166" i="1"/>
  <c r="JF156" i="1"/>
  <c r="JF143" i="1"/>
  <c r="JF165" i="1"/>
  <c r="JF96" i="1"/>
  <c r="JF88" i="1"/>
  <c r="JF148" i="1"/>
  <c r="JF135" i="1"/>
  <c r="JF125" i="1"/>
  <c r="JF126" i="1"/>
  <c r="JF73" i="1"/>
  <c r="JF78" i="1"/>
  <c r="JF66" i="1"/>
  <c r="JF72" i="1"/>
  <c r="JF200" i="1"/>
  <c r="JF177" i="1"/>
  <c r="JF196" i="1"/>
  <c r="JF175" i="1"/>
  <c r="JF180" i="1"/>
  <c r="JF170" i="1"/>
  <c r="JF139" i="1"/>
  <c r="JF144" i="1"/>
  <c r="JF95" i="1"/>
  <c r="JF161" i="1"/>
  <c r="JF140" i="1"/>
  <c r="JF116" i="1"/>
  <c r="JF121" i="1"/>
  <c r="JF120" i="1"/>
  <c r="JF69" i="1"/>
  <c r="JF75" i="1"/>
  <c r="JF36" i="1"/>
  <c r="JF60" i="1"/>
  <c r="JF202" i="1"/>
  <c r="JF203" i="1"/>
  <c r="JF176" i="1"/>
  <c r="JF168" i="1"/>
  <c r="JF164" i="1"/>
  <c r="JF162" i="1"/>
  <c r="JF149" i="1"/>
  <c r="JF153" i="1"/>
  <c r="JF94" i="1"/>
  <c r="JF138" i="1"/>
  <c r="JF133" i="1"/>
  <c r="JF114" i="1"/>
  <c r="JF105" i="1"/>
  <c r="JF112" i="1"/>
  <c r="JF65" i="1"/>
  <c r="JF70" i="1"/>
  <c r="JF4" i="1"/>
  <c r="JF47" i="1"/>
  <c r="JF25" i="1"/>
  <c r="JF61" i="1"/>
  <c r="JF67" i="1"/>
  <c r="JF81" i="1"/>
  <c r="JF198" i="1"/>
  <c r="JF183" i="1"/>
  <c r="JF187" i="1"/>
  <c r="JF201" i="1"/>
  <c r="JF160" i="1"/>
  <c r="JF191" i="1"/>
  <c r="JF141" i="1"/>
  <c r="JF151" i="1"/>
  <c r="JF93" i="1"/>
  <c r="JF123" i="1"/>
  <c r="JF155" i="1"/>
  <c r="JF152" i="1"/>
  <c r="JF103" i="1"/>
  <c r="JF100" i="1"/>
  <c r="JF50" i="1"/>
  <c r="JF99" i="1"/>
  <c r="JF49" i="1"/>
  <c r="JF45" i="1"/>
  <c r="JF56" i="1"/>
  <c r="JF64" i="1"/>
  <c r="JF194" i="1"/>
  <c r="JF197" i="1"/>
  <c r="JF174" i="1"/>
  <c r="JF185" i="1"/>
  <c r="JF150" i="1"/>
  <c r="JF181" i="1"/>
  <c r="JF167" i="1"/>
  <c r="JF142" i="1"/>
  <c r="JF92" i="1"/>
  <c r="JF145" i="1"/>
  <c r="JF132" i="1"/>
  <c r="JF124" i="1"/>
  <c r="JF111" i="1"/>
  <c r="JF118" i="1"/>
  <c r="JF119" i="1"/>
  <c r="JF76" i="1"/>
  <c r="JF77" i="1"/>
  <c r="JF26" i="1"/>
  <c r="JF190" i="1"/>
  <c r="JF179" i="1"/>
  <c r="JF172" i="1"/>
  <c r="JF178" i="1"/>
  <c r="JF189" i="1"/>
  <c r="JF157" i="1"/>
  <c r="JF154" i="1"/>
  <c r="JF159" i="1"/>
  <c r="JF91" i="1"/>
  <c r="JF131" i="1"/>
  <c r="JF128" i="1"/>
  <c r="JF122" i="1"/>
  <c r="JF102" i="1"/>
  <c r="JF108" i="1"/>
  <c r="JF113" i="1"/>
  <c r="JF83" i="1"/>
  <c r="JF13" i="1"/>
  <c r="JF52" i="1"/>
  <c r="JF68" i="1"/>
  <c r="JF182" i="1"/>
  <c r="JF158" i="1"/>
  <c r="JF89" i="1"/>
  <c r="JF136" i="1"/>
  <c r="JF193" i="1"/>
  <c r="JF184" i="1"/>
  <c r="JF129" i="1"/>
  <c r="JF117" i="1"/>
  <c r="JF205" i="1"/>
  <c r="JF146" i="1"/>
  <c r="JF127" i="1"/>
  <c r="JF80" i="1"/>
  <c r="JF169" i="1"/>
  <c r="JF137" i="1"/>
  <c r="JF109" i="1"/>
  <c r="JF115" i="1"/>
  <c r="JF58" i="1"/>
  <c r="JF192" i="1"/>
  <c r="JF134" i="1"/>
  <c r="JF130" i="1"/>
  <c r="JF106" i="1"/>
  <c r="JF173" i="1"/>
  <c r="JF98" i="1"/>
  <c r="JF110" i="1"/>
  <c r="JF147" i="1"/>
  <c r="JF171" i="1"/>
  <c r="JF97" i="1"/>
  <c r="JF104" i="1"/>
  <c r="JF186" i="1"/>
  <c r="JF163" i="1"/>
  <c r="JF27" i="1"/>
  <c r="JF90" i="1"/>
  <c r="JF24" i="1"/>
  <c r="JF101" i="1"/>
  <c r="JF16" i="1"/>
  <c r="JF10" i="1"/>
  <c r="JF17" i="1"/>
  <c r="JF5" i="1"/>
  <c r="JF30" i="1"/>
  <c r="JF11" i="1"/>
  <c r="IV178" i="1"/>
  <c r="IV195" i="1"/>
  <c r="IV177" i="1"/>
  <c r="IV175" i="1"/>
  <c r="IV192" i="1"/>
  <c r="IV147" i="1"/>
  <c r="IV172" i="1"/>
  <c r="IV146" i="1"/>
  <c r="IV152" i="1"/>
  <c r="IV118" i="1"/>
  <c r="IV117" i="1"/>
  <c r="IV123" i="1"/>
  <c r="IV165" i="1"/>
  <c r="IV97" i="1"/>
  <c r="IV80" i="1"/>
  <c r="IV78" i="1"/>
  <c r="IV139" i="1"/>
  <c r="IV36" i="1"/>
  <c r="IV198" i="1"/>
  <c r="IV203" i="1"/>
  <c r="IV174" i="1"/>
  <c r="IV166" i="1"/>
  <c r="IV180" i="1"/>
  <c r="IV144" i="1"/>
  <c r="IV158" i="1"/>
  <c r="IV124" i="1"/>
  <c r="IV148" i="1"/>
  <c r="IV112" i="1"/>
  <c r="IV160" i="1"/>
  <c r="IV122" i="1"/>
  <c r="IV128" i="1"/>
  <c r="IV93" i="1"/>
  <c r="IV91" i="1"/>
  <c r="IV72" i="1"/>
  <c r="IV61" i="1"/>
  <c r="IV45" i="1"/>
  <c r="IV186" i="1"/>
  <c r="IV193" i="1"/>
  <c r="IV201" i="1"/>
  <c r="IV205" i="1"/>
  <c r="IV168" i="1"/>
  <c r="IV142" i="1"/>
  <c r="IV162" i="1"/>
  <c r="IV141" i="1"/>
  <c r="IV134" i="1"/>
  <c r="IV100" i="1"/>
  <c r="IV98" i="1"/>
  <c r="IV109" i="1"/>
  <c r="IV111" i="1"/>
  <c r="IV76" i="1"/>
  <c r="IV88" i="1"/>
  <c r="IV64" i="1"/>
  <c r="IV56" i="1"/>
  <c r="IV13" i="1"/>
  <c r="IV26" i="1"/>
  <c r="IV184" i="1"/>
  <c r="IV189" i="1"/>
  <c r="IV181" i="1"/>
  <c r="IV187" i="1"/>
  <c r="IV151" i="1"/>
  <c r="IV149" i="1"/>
  <c r="IV202" i="1"/>
  <c r="IV132" i="1"/>
  <c r="IV190" i="1"/>
  <c r="IV95" i="1"/>
  <c r="IV94" i="1"/>
  <c r="IV150" i="1"/>
  <c r="IV103" i="1"/>
  <c r="IV143" i="1"/>
  <c r="IV70" i="1"/>
  <c r="IV67" i="1"/>
  <c r="IV66" i="1"/>
  <c r="IV47" i="1"/>
  <c r="IV4" i="1"/>
  <c r="IV197" i="1"/>
  <c r="IV185" i="1"/>
  <c r="IV161" i="1"/>
  <c r="IV159" i="1"/>
  <c r="IV135" i="1"/>
  <c r="IV136" i="1"/>
  <c r="IV153" i="1"/>
  <c r="IV154" i="1"/>
  <c r="IV119" i="1"/>
  <c r="IV89" i="1"/>
  <c r="IV90" i="1"/>
  <c r="IV120" i="1"/>
  <c r="IV102" i="1"/>
  <c r="IV126" i="1"/>
  <c r="IV68" i="1"/>
  <c r="IV52" i="1"/>
  <c r="IV114" i="1"/>
  <c r="IV73" i="1"/>
  <c r="IV75" i="1"/>
  <c r="IV204" i="1"/>
  <c r="IV188" i="1"/>
  <c r="IV170" i="1"/>
  <c r="IV157" i="1"/>
  <c r="IV167" i="1"/>
  <c r="IV131" i="1"/>
  <c r="IV176" i="1"/>
  <c r="IV140" i="1"/>
  <c r="IV179" i="1"/>
  <c r="IV115" i="1"/>
  <c r="IV129" i="1"/>
  <c r="IV83" i="1"/>
  <c r="IV105" i="1"/>
  <c r="IV92" i="1"/>
  <c r="IV125" i="1"/>
  <c r="IV60" i="1"/>
  <c r="IV77" i="1"/>
  <c r="IV65" i="1"/>
  <c r="IV200" i="1"/>
  <c r="IV183" i="1"/>
  <c r="IV163" i="1"/>
  <c r="IV191" i="1"/>
  <c r="IV156" i="1"/>
  <c r="IV127" i="1"/>
  <c r="IV173" i="1"/>
  <c r="IV133" i="1"/>
  <c r="IV137" i="1"/>
  <c r="IV106" i="1"/>
  <c r="IV113" i="1"/>
  <c r="IV81" i="1"/>
  <c r="IV104" i="1"/>
  <c r="IV116" i="1"/>
  <c r="IV121" i="1"/>
  <c r="IV58" i="1"/>
  <c r="IV51" i="1"/>
  <c r="IV155" i="1"/>
  <c r="IV169" i="1"/>
  <c r="IV145" i="1"/>
  <c r="IV110" i="1"/>
  <c r="IV164" i="1"/>
  <c r="IV99" i="1"/>
  <c r="IV196" i="1"/>
  <c r="IV138" i="1"/>
  <c r="IV49" i="1"/>
  <c r="IV182" i="1"/>
  <c r="IV101" i="1"/>
  <c r="IV50" i="1"/>
  <c r="IV194" i="1"/>
  <c r="IV130" i="1"/>
  <c r="IV25" i="1"/>
  <c r="IV199" i="1"/>
  <c r="IV108" i="1"/>
  <c r="IV16" i="1"/>
  <c r="IV3" i="1"/>
  <c r="IV27" i="1"/>
  <c r="IV7" i="1"/>
  <c r="IV171" i="1"/>
  <c r="IV96" i="1"/>
  <c r="IV30" i="1"/>
  <c r="IV10" i="1"/>
  <c r="IL25" i="1"/>
  <c r="IL89" i="1"/>
  <c r="IL140" i="1"/>
  <c r="IL135" i="1"/>
  <c r="IL26" i="1"/>
  <c r="IL130" i="1"/>
  <c r="IL120" i="1"/>
  <c r="IL133" i="1"/>
  <c r="IL132" i="1"/>
  <c r="IL13" i="1"/>
  <c r="IL47" i="1"/>
  <c r="IL136" i="1"/>
  <c r="IL95" i="1"/>
  <c r="IL45" i="1"/>
  <c r="IL72" i="1"/>
  <c r="IL79" i="1"/>
  <c r="IL104" i="1"/>
  <c r="IL97" i="1"/>
  <c r="IL100" i="1"/>
  <c r="IL78" i="1"/>
  <c r="IL141" i="1"/>
  <c r="IL148" i="1"/>
  <c r="IL154" i="1"/>
  <c r="IL167" i="1"/>
  <c r="IL178" i="1"/>
  <c r="IL176" i="1"/>
  <c r="IL191" i="1"/>
  <c r="IL195" i="1"/>
  <c r="IL139" i="1"/>
  <c r="IL36" i="1"/>
  <c r="IL127" i="1"/>
  <c r="IL138" i="1"/>
  <c r="IL52" i="1"/>
  <c r="IL66" i="1"/>
  <c r="IL75" i="1"/>
  <c r="IL91" i="1"/>
  <c r="IL108" i="1"/>
  <c r="IL112" i="1"/>
  <c r="IL117" i="1"/>
  <c r="IL125" i="1"/>
  <c r="IL131" i="1"/>
  <c r="IL129" i="1"/>
  <c r="IL142" i="1"/>
  <c r="IL162" i="1"/>
  <c r="IL168" i="1"/>
  <c r="IL160" i="1"/>
  <c r="IL173" i="1"/>
  <c r="IL185" i="1"/>
  <c r="IL193" i="1"/>
  <c r="IL198" i="1"/>
  <c r="IL205" i="1"/>
  <c r="IL56" i="1"/>
  <c r="IL77" i="1"/>
  <c r="IL94" i="1"/>
  <c r="IL110" i="1"/>
  <c r="IL111" i="1"/>
  <c r="IL146" i="1"/>
  <c r="IL152" i="1"/>
  <c r="IL163" i="1"/>
  <c r="IL180" i="1"/>
  <c r="IL189" i="1"/>
  <c r="IL199" i="1"/>
  <c r="IL3" i="1"/>
  <c r="IL20" i="1"/>
  <c r="IL202" i="1"/>
  <c r="IL64" i="1"/>
  <c r="IL80" i="1"/>
  <c r="IL88" i="1"/>
  <c r="IL113" i="1"/>
  <c r="IL126" i="1"/>
  <c r="IL159" i="1"/>
  <c r="IL164" i="1"/>
  <c r="IL179" i="1"/>
  <c r="IL177" i="1"/>
  <c r="IL192" i="1"/>
  <c r="IL201" i="1"/>
  <c r="IL203" i="1"/>
  <c r="IL49" i="1"/>
  <c r="IL69" i="1"/>
  <c r="IL76" i="1"/>
  <c r="IL93" i="1"/>
  <c r="IL105" i="1"/>
  <c r="IL118" i="1"/>
  <c r="IL102" i="1"/>
  <c r="IL145" i="1"/>
  <c r="IL155" i="1"/>
  <c r="IL184" i="1"/>
  <c r="IL174" i="1"/>
  <c r="IL194" i="1"/>
  <c r="IL204" i="1"/>
  <c r="IL16" i="1"/>
  <c r="IL124" i="1"/>
  <c r="IL54" i="1"/>
  <c r="IL82" i="1"/>
  <c r="IL106" i="1"/>
  <c r="IL121" i="1"/>
  <c r="IL115" i="1"/>
  <c r="IL101" i="1"/>
  <c r="IL156" i="1"/>
  <c r="IL157" i="1"/>
  <c r="IL172" i="1"/>
  <c r="IL175" i="1"/>
  <c r="IL196" i="1"/>
  <c r="IL23" i="1"/>
  <c r="IL51" i="1"/>
  <c r="IL65" i="1"/>
  <c r="IL60" i="1"/>
  <c r="IL109" i="1"/>
  <c r="IL83" i="1"/>
  <c r="IL90" i="1"/>
  <c r="IL134" i="1"/>
  <c r="IL149" i="1"/>
  <c r="IL158" i="1"/>
  <c r="IL170" i="1"/>
  <c r="IL187" i="1"/>
  <c r="IL188" i="1"/>
  <c r="IL50" i="1"/>
  <c r="IL73" i="1"/>
  <c r="IL68" i="1"/>
  <c r="IL99" i="1"/>
  <c r="IL116" i="1"/>
  <c r="IL114" i="1"/>
  <c r="IL122" i="1"/>
  <c r="IL143" i="1"/>
  <c r="IL150" i="1"/>
  <c r="IL161" i="1"/>
  <c r="IL171" i="1"/>
  <c r="IL186" i="1"/>
  <c r="IL197" i="1"/>
  <c r="IL8" i="1"/>
  <c r="IL38" i="1"/>
  <c r="IL58" i="1"/>
  <c r="IL67" i="1"/>
  <c r="IL81" i="1"/>
  <c r="IL96" i="1"/>
  <c r="IL128" i="1"/>
  <c r="IL119" i="1"/>
  <c r="IL137" i="1"/>
  <c r="IL147" i="1"/>
  <c r="IL153" i="1"/>
  <c r="IL166" i="1"/>
  <c r="IL169" i="1"/>
  <c r="IL183" i="1"/>
  <c r="IL200" i="1"/>
  <c r="IL5" i="1"/>
  <c r="IB25" i="1"/>
  <c r="IB45" i="1"/>
  <c r="IB61" i="1"/>
  <c r="IB68" i="1"/>
  <c r="IB81" i="1"/>
  <c r="IB105" i="1"/>
  <c r="IB94" i="1"/>
  <c r="IB100" i="1"/>
  <c r="IB127" i="1"/>
  <c r="IB122" i="1"/>
  <c r="IB117" i="1"/>
  <c r="IB13" i="1"/>
  <c r="IB138" i="1"/>
  <c r="IB51" i="1"/>
  <c r="IB54" i="1"/>
  <c r="IB76" i="1"/>
  <c r="IB96" i="1"/>
  <c r="IB104" i="1"/>
  <c r="IB124" i="1"/>
  <c r="IB113" i="1"/>
  <c r="IB115" i="1"/>
  <c r="IB130" i="1"/>
  <c r="IB118" i="1"/>
  <c r="IB136" i="1"/>
  <c r="IB60" i="1"/>
  <c r="IB65" i="1"/>
  <c r="IB78" i="1"/>
  <c r="IB83" i="1"/>
  <c r="IB97" i="1"/>
  <c r="IB93" i="1"/>
  <c r="IB114" i="1"/>
  <c r="IB108" i="1"/>
  <c r="IB133" i="1"/>
  <c r="IB129" i="1"/>
  <c r="IB47" i="1"/>
  <c r="IB36" i="1"/>
  <c r="IB26" i="1"/>
  <c r="IB139" i="1"/>
  <c r="IB49" i="1"/>
  <c r="IB72" i="1"/>
  <c r="IB66" i="1"/>
  <c r="IB91" i="1"/>
  <c r="IB125" i="1"/>
  <c r="IB135" i="1"/>
  <c r="IB141" i="1"/>
  <c r="IB52" i="1"/>
  <c r="IB73" i="1"/>
  <c r="IB79" i="1"/>
  <c r="IB106" i="1"/>
  <c r="IB99" i="1"/>
  <c r="IB140" i="1"/>
  <c r="IB64" i="1"/>
  <c r="IB77" i="1"/>
  <c r="IB101" i="1"/>
  <c r="IB95" i="1"/>
  <c r="IB112" i="1"/>
  <c r="IB137" i="1"/>
  <c r="IB59" i="1"/>
  <c r="IB82" i="1"/>
  <c r="IB98" i="1"/>
  <c r="IB119" i="1"/>
  <c r="IB116" i="1"/>
  <c r="IB126" i="1"/>
  <c r="IB142" i="1"/>
  <c r="IB75" i="1"/>
  <c r="IB90" i="1"/>
  <c r="IB134" i="1"/>
  <c r="IB149" i="1"/>
  <c r="IB157" i="1"/>
  <c r="IB171" i="1"/>
  <c r="IB174" i="1"/>
  <c r="IB175" i="1"/>
  <c r="IB195" i="1"/>
  <c r="IB201" i="1"/>
  <c r="IB16" i="1"/>
  <c r="IB202" i="1"/>
  <c r="IB88" i="1"/>
  <c r="IB123" i="1"/>
  <c r="IB132" i="1"/>
  <c r="IB148" i="1"/>
  <c r="IB152" i="1"/>
  <c r="IB159" i="1"/>
  <c r="IB170" i="1"/>
  <c r="IB179" i="1"/>
  <c r="IB188" i="1"/>
  <c r="IB196" i="1"/>
  <c r="IB200" i="1"/>
  <c r="IB56" i="1"/>
  <c r="IB92" i="1"/>
  <c r="IB120" i="1"/>
  <c r="IB153" i="1"/>
  <c r="IB156" i="1"/>
  <c r="IB164" i="1"/>
  <c r="IB165" i="1"/>
  <c r="IB178" i="1"/>
  <c r="IB190" i="1"/>
  <c r="IB194" i="1"/>
  <c r="IB8" i="1"/>
  <c r="IB30" i="1"/>
  <c r="IB29" i="1"/>
  <c r="IB50" i="1"/>
  <c r="IB102" i="1"/>
  <c r="IB121" i="1"/>
  <c r="IB161" i="1"/>
  <c r="IB151" i="1"/>
  <c r="IB154" i="1"/>
  <c r="IB169" i="1"/>
  <c r="IB180" i="1"/>
  <c r="IB186" i="1"/>
  <c r="IB199" i="1"/>
  <c r="IB204" i="1"/>
  <c r="IB205" i="1"/>
  <c r="IB58" i="1"/>
  <c r="IB103" i="1"/>
  <c r="IB89" i="1"/>
  <c r="IB143" i="1"/>
  <c r="IB147" i="1"/>
  <c r="IB158" i="1"/>
  <c r="IB166" i="1"/>
  <c r="IB172" i="1"/>
  <c r="IB184" i="1"/>
  <c r="IB191" i="1"/>
  <c r="IB197" i="1"/>
  <c r="IB4" i="1"/>
  <c r="IB5" i="1"/>
  <c r="IB43" i="1"/>
  <c r="IB69" i="1"/>
  <c r="IB111" i="1"/>
  <c r="IB128" i="1"/>
  <c r="IB146" i="1"/>
  <c r="IB150" i="1"/>
  <c r="IB163" i="1"/>
  <c r="IB176" i="1"/>
  <c r="IB173" i="1"/>
  <c r="IB182" i="1"/>
  <c r="IB189" i="1"/>
  <c r="IB198" i="1"/>
  <c r="IB7" i="1"/>
  <c r="IB17" i="1"/>
  <c r="IB23" i="1"/>
  <c r="IB80" i="1"/>
  <c r="IB109" i="1"/>
  <c r="IB110" i="1"/>
  <c r="IB145" i="1"/>
  <c r="IB162" i="1"/>
  <c r="IB160" i="1"/>
  <c r="IB168" i="1"/>
  <c r="IB177" i="1"/>
  <c r="IB187" i="1"/>
  <c r="IB193" i="1"/>
  <c r="IB3" i="1"/>
  <c r="IB20" i="1"/>
  <c r="IB38" i="1"/>
  <c r="HR128" i="1"/>
  <c r="HR139" i="1"/>
  <c r="HR59" i="1"/>
  <c r="HR64" i="1"/>
  <c r="HR78" i="1"/>
  <c r="HR100" i="1"/>
  <c r="HR101" i="1"/>
  <c r="HR110" i="1"/>
  <c r="HR125" i="1"/>
  <c r="HR133" i="1"/>
  <c r="HR129" i="1"/>
  <c r="HR58" i="1"/>
  <c r="HR76" i="1"/>
  <c r="HR80" i="1"/>
  <c r="HR89" i="1"/>
  <c r="HR98" i="1"/>
  <c r="HR122" i="1"/>
  <c r="HR120" i="1"/>
  <c r="HR117" i="1"/>
  <c r="HR138" i="1"/>
  <c r="HR52" i="1"/>
  <c r="HR137" i="1"/>
  <c r="HR25" i="1"/>
  <c r="HR203" i="1"/>
  <c r="HR60" i="1"/>
  <c r="HR77" i="1"/>
  <c r="HR81" i="1"/>
  <c r="HR92" i="1"/>
  <c r="HR111" i="1"/>
  <c r="HR91" i="1"/>
  <c r="HR127" i="1"/>
  <c r="HR135" i="1"/>
  <c r="HR49" i="1"/>
  <c r="HR45" i="1"/>
  <c r="HR66" i="1"/>
  <c r="HR83" i="1"/>
  <c r="HR102" i="1"/>
  <c r="HR88" i="1"/>
  <c r="HR93" i="1"/>
  <c r="HR113" i="1"/>
  <c r="HR116" i="1"/>
  <c r="HR26" i="1"/>
  <c r="HR65" i="1"/>
  <c r="HR69" i="1"/>
  <c r="HR82" i="1"/>
  <c r="HR105" i="1"/>
  <c r="HR99" i="1"/>
  <c r="HR124" i="1"/>
  <c r="HR94" i="1"/>
  <c r="HR118" i="1"/>
  <c r="HR36" i="1"/>
  <c r="HR130" i="1"/>
  <c r="HR50" i="1"/>
  <c r="HR68" i="1"/>
  <c r="HR67" i="1"/>
  <c r="HR108" i="1"/>
  <c r="HR96" i="1"/>
  <c r="HR104" i="1"/>
  <c r="HR114" i="1"/>
  <c r="HR126" i="1"/>
  <c r="HR140" i="1"/>
  <c r="HR13" i="1"/>
  <c r="HR70" i="1"/>
  <c r="HR106" i="1"/>
  <c r="HR72" i="1"/>
  <c r="HR115" i="1"/>
  <c r="HR109" i="1"/>
  <c r="HR73" i="1"/>
  <c r="HR119" i="1"/>
  <c r="HR134" i="1"/>
  <c r="HR47" i="1"/>
  <c r="HR90" i="1"/>
  <c r="HR132" i="1"/>
  <c r="HR95" i="1"/>
  <c r="HR112" i="1"/>
  <c r="HR56" i="1"/>
  <c r="HR97" i="1"/>
  <c r="HR121" i="1"/>
  <c r="HR205" i="1"/>
  <c r="HR75" i="1"/>
  <c r="HR148" i="1"/>
  <c r="HR154" i="1"/>
  <c r="HR168" i="1"/>
  <c r="HR167" i="1"/>
  <c r="HR186" i="1"/>
  <c r="HR187" i="1"/>
  <c r="HR198" i="1"/>
  <c r="HR27" i="1"/>
  <c r="HR103" i="1"/>
  <c r="HR147" i="1"/>
  <c r="HR158" i="1"/>
  <c r="HR171" i="1"/>
  <c r="HR172" i="1"/>
  <c r="HR194" i="1"/>
  <c r="HR181" i="1"/>
  <c r="HR199" i="1"/>
  <c r="HR123" i="1"/>
  <c r="HR131" i="1"/>
  <c r="HR201" i="1"/>
  <c r="HR141" i="1"/>
  <c r="HR150" i="1"/>
  <c r="HR155" i="1"/>
  <c r="HR160" i="1"/>
  <c r="HR173" i="1"/>
  <c r="HR176" i="1"/>
  <c r="HR184" i="1"/>
  <c r="HR192" i="1"/>
  <c r="HR5" i="1"/>
  <c r="HR136" i="1"/>
  <c r="HR142" i="1"/>
  <c r="HR146" i="1"/>
  <c r="HR162" i="1"/>
  <c r="HR164" i="1"/>
  <c r="HR174" i="1"/>
  <c r="HR179" i="1"/>
  <c r="HR190" i="1"/>
  <c r="HR193" i="1"/>
  <c r="HR4" i="1"/>
  <c r="HR7" i="1"/>
  <c r="HR29" i="1"/>
  <c r="HR204" i="1"/>
  <c r="HR144" i="1"/>
  <c r="HR151" i="1"/>
  <c r="HR166" i="1"/>
  <c r="HR159" i="1"/>
  <c r="HR178" i="1"/>
  <c r="HR183" i="1"/>
  <c r="HR188" i="1"/>
  <c r="HR189" i="1"/>
  <c r="HR17" i="1"/>
  <c r="HR143" i="1"/>
  <c r="HR152" i="1"/>
  <c r="HR170" i="1"/>
  <c r="HR163" i="1"/>
  <c r="HR180" i="1"/>
  <c r="HR175" i="1"/>
  <c r="HR191" i="1"/>
  <c r="HR202" i="1"/>
  <c r="HR145" i="1"/>
  <c r="HR153" i="1"/>
  <c r="HR161" i="1"/>
  <c r="HR165" i="1"/>
  <c r="HR182" i="1"/>
  <c r="HR185" i="1"/>
  <c r="HR195" i="1"/>
  <c r="HR200" i="1"/>
  <c r="HR20" i="1"/>
  <c r="HR16" i="1"/>
  <c r="HH47" i="1"/>
  <c r="HH134" i="1"/>
  <c r="HH52" i="1"/>
  <c r="HH67" i="1"/>
  <c r="HH66" i="1"/>
  <c r="HH80" i="1"/>
  <c r="HH95" i="1"/>
  <c r="HH104" i="1"/>
  <c r="HH117" i="1"/>
  <c r="HH121" i="1"/>
  <c r="HH131" i="1"/>
  <c r="HH129" i="1"/>
  <c r="HH45" i="1"/>
  <c r="HH65" i="1"/>
  <c r="HH69" i="1"/>
  <c r="HH78" i="1"/>
  <c r="HH100" i="1"/>
  <c r="HH111" i="1"/>
  <c r="HH118" i="1"/>
  <c r="HH26" i="1"/>
  <c r="HH140" i="1"/>
  <c r="HH114" i="1"/>
  <c r="HH25" i="1"/>
  <c r="HH137" i="1"/>
  <c r="HH133" i="1"/>
  <c r="HH113" i="1"/>
  <c r="HH58" i="1"/>
  <c r="HH77" i="1"/>
  <c r="HH93" i="1"/>
  <c r="HH102" i="1"/>
  <c r="HH103" i="1"/>
  <c r="HH127" i="1"/>
  <c r="HH112" i="1"/>
  <c r="HH141" i="1"/>
  <c r="HH146" i="1"/>
  <c r="HH169" i="1"/>
  <c r="HH171" i="1"/>
  <c r="HH172" i="1"/>
  <c r="HH183" i="1"/>
  <c r="HH188" i="1"/>
  <c r="HH198" i="1"/>
  <c r="HH61" i="1"/>
  <c r="HH59" i="1"/>
  <c r="HH106" i="1"/>
  <c r="HH105" i="1"/>
  <c r="HH126" i="1"/>
  <c r="HH135" i="1"/>
  <c r="HH50" i="1"/>
  <c r="HH72" i="1"/>
  <c r="HH64" i="1"/>
  <c r="HH90" i="1"/>
  <c r="HH128" i="1"/>
  <c r="HH98" i="1"/>
  <c r="HH75" i="1"/>
  <c r="HH81" i="1"/>
  <c r="HH89" i="1"/>
  <c r="HH97" i="1"/>
  <c r="HH124" i="1"/>
  <c r="HH123" i="1"/>
  <c r="HH149" i="1"/>
  <c r="HH158" i="1"/>
  <c r="HH162" i="1"/>
  <c r="HH164" i="1"/>
  <c r="HH181" i="1"/>
  <c r="HH180" i="1"/>
  <c r="HH200" i="1"/>
  <c r="HH203" i="1"/>
  <c r="HH204" i="1"/>
  <c r="HH70" i="1"/>
  <c r="HH94" i="1"/>
  <c r="HH139" i="1"/>
  <c r="HH142" i="1"/>
  <c r="HH153" i="1"/>
  <c r="HH161" i="1"/>
  <c r="HH177" i="1"/>
  <c r="HH182" i="1"/>
  <c r="HH205" i="1"/>
  <c r="HH51" i="1"/>
  <c r="HH82" i="1"/>
  <c r="HH116" i="1"/>
  <c r="HH120" i="1"/>
  <c r="HH148" i="1"/>
  <c r="HH151" i="1"/>
  <c r="HH175" i="1"/>
  <c r="HH179" i="1"/>
  <c r="HH197" i="1"/>
  <c r="HH199" i="1"/>
  <c r="HH49" i="1"/>
  <c r="HH83" i="1"/>
  <c r="HH101" i="1"/>
  <c r="HH136" i="1"/>
  <c r="HH119" i="1"/>
  <c r="HH147" i="1"/>
  <c r="HH165" i="1"/>
  <c r="HH178" i="1"/>
  <c r="HH176" i="1"/>
  <c r="HH187" i="1"/>
  <c r="HH201" i="1"/>
  <c r="HH17" i="1"/>
  <c r="HH23" i="1"/>
  <c r="HH56" i="1"/>
  <c r="HH99" i="1"/>
  <c r="HH115" i="1"/>
  <c r="HH132" i="1"/>
  <c r="HH138" i="1"/>
  <c r="HH160" i="1"/>
  <c r="HH157" i="1"/>
  <c r="HH167" i="1"/>
  <c r="HH184" i="1"/>
  <c r="HH192" i="1"/>
  <c r="HH195" i="1"/>
  <c r="HH5" i="1"/>
  <c r="HH29" i="1"/>
  <c r="HH68" i="1"/>
  <c r="HH88" i="1"/>
  <c r="HH109" i="1"/>
  <c r="HH125" i="1"/>
  <c r="HH110" i="1"/>
  <c r="HH145" i="1"/>
  <c r="HH155" i="1"/>
  <c r="HH168" i="1"/>
  <c r="HH174" i="1"/>
  <c r="HH193" i="1"/>
  <c r="HH202" i="1"/>
  <c r="HH60" i="1"/>
  <c r="HH108" i="1"/>
  <c r="HH122" i="1"/>
  <c r="HH163" i="1"/>
  <c r="HH159" i="1"/>
  <c r="HH185" i="1"/>
  <c r="HH189" i="1"/>
  <c r="HH194" i="1"/>
  <c r="HH191" i="1"/>
  <c r="HH76" i="1"/>
  <c r="HH92" i="1"/>
  <c r="HH96" i="1"/>
  <c r="HH144" i="1"/>
  <c r="HH152" i="1"/>
  <c r="HH156" i="1"/>
  <c r="HH170" i="1"/>
  <c r="HH186" i="1"/>
  <c r="HH190" i="1"/>
  <c r="HH4" i="1"/>
  <c r="GX47" i="1"/>
  <c r="GX124" i="1"/>
  <c r="GX111" i="1"/>
  <c r="GX138" i="1"/>
  <c r="GX140" i="1"/>
  <c r="GX26" i="1"/>
  <c r="GX13" i="1"/>
  <c r="GX36" i="1"/>
  <c r="GX89" i="1"/>
  <c r="GX133" i="1"/>
  <c r="GX132" i="1"/>
  <c r="GX139" i="1"/>
  <c r="GX25" i="1"/>
  <c r="GX136" i="1"/>
  <c r="GX58" i="1"/>
  <c r="GX68" i="1"/>
  <c r="GX75" i="1"/>
  <c r="GX91" i="1"/>
  <c r="GX96" i="1"/>
  <c r="GX112" i="1"/>
  <c r="GX90" i="1"/>
  <c r="GX122" i="1"/>
  <c r="GX159" i="1"/>
  <c r="GX150" i="1"/>
  <c r="GX164" i="1"/>
  <c r="GX165" i="1"/>
  <c r="GX177" i="1"/>
  <c r="GX185" i="1"/>
  <c r="GX189" i="1"/>
  <c r="GX95" i="1"/>
  <c r="GX120" i="1"/>
  <c r="GX88" i="1"/>
  <c r="GX135" i="1"/>
  <c r="GX101" i="1"/>
  <c r="GX130" i="1"/>
  <c r="GX127" i="1"/>
  <c r="GX52" i="1"/>
  <c r="GX67" i="1"/>
  <c r="GX76" i="1"/>
  <c r="GX83" i="1"/>
  <c r="GX99" i="1"/>
  <c r="GX121" i="1"/>
  <c r="GX118" i="1"/>
  <c r="GX134" i="1"/>
  <c r="GX202" i="1"/>
  <c r="GX146" i="1"/>
  <c r="GX144" i="1"/>
  <c r="GX168" i="1"/>
  <c r="GX170" i="1"/>
  <c r="GX180" i="1"/>
  <c r="GX187" i="1"/>
  <c r="GX201" i="1"/>
  <c r="GX69" i="1"/>
  <c r="GX80" i="1"/>
  <c r="GX104" i="1"/>
  <c r="GX113" i="1"/>
  <c r="GX115" i="1"/>
  <c r="GX137" i="1"/>
  <c r="GX149" i="1"/>
  <c r="GX160" i="1"/>
  <c r="GX173" i="1"/>
  <c r="GX172" i="1"/>
  <c r="GX182" i="1"/>
  <c r="GX198" i="1"/>
  <c r="GX4" i="1"/>
  <c r="GX3" i="1"/>
  <c r="GX17" i="1"/>
  <c r="GX61" i="1"/>
  <c r="GX79" i="1"/>
  <c r="GX93" i="1"/>
  <c r="GX105" i="1"/>
  <c r="GX114" i="1"/>
  <c r="GX143" i="1"/>
  <c r="GX151" i="1"/>
  <c r="GX161" i="1"/>
  <c r="GX174" i="1"/>
  <c r="GX181" i="1"/>
  <c r="GX194" i="1"/>
  <c r="GX49" i="1"/>
  <c r="GX70" i="1"/>
  <c r="GX82" i="1"/>
  <c r="GX106" i="1"/>
  <c r="GX100" i="1"/>
  <c r="GX119" i="1"/>
  <c r="GX142" i="1"/>
  <c r="GX162" i="1"/>
  <c r="GX157" i="1"/>
  <c r="GX175" i="1"/>
  <c r="GX183" i="1"/>
  <c r="GX197" i="1"/>
  <c r="GX42" i="1"/>
  <c r="GX102" i="1"/>
  <c r="GX50" i="1"/>
  <c r="GX73" i="1"/>
  <c r="GX78" i="1"/>
  <c r="GX109" i="1"/>
  <c r="GX116" i="1"/>
  <c r="GX123" i="1"/>
  <c r="GX141" i="1"/>
  <c r="GX154" i="1"/>
  <c r="GX163" i="1"/>
  <c r="GX178" i="1"/>
  <c r="GX186" i="1"/>
  <c r="GX192" i="1"/>
  <c r="GX204" i="1"/>
  <c r="GX203" i="1"/>
  <c r="GX16" i="1"/>
  <c r="GX20" i="1"/>
  <c r="GX30" i="1"/>
  <c r="GX45" i="1"/>
  <c r="GX60" i="1"/>
  <c r="GX77" i="1"/>
  <c r="GX108" i="1"/>
  <c r="GX128" i="1"/>
  <c r="GX125" i="1"/>
  <c r="GX129" i="1"/>
  <c r="GX153" i="1"/>
  <c r="GX155" i="1"/>
  <c r="GX169" i="1"/>
  <c r="GX171" i="1"/>
  <c r="GX195" i="1"/>
  <c r="GX196" i="1"/>
  <c r="GX29" i="1"/>
  <c r="GX23" i="1"/>
  <c r="GX66" i="1"/>
  <c r="GX81" i="1"/>
  <c r="GX97" i="1"/>
  <c r="GX92" i="1"/>
  <c r="GX145" i="1"/>
  <c r="GX156" i="1"/>
  <c r="GX166" i="1"/>
  <c r="GX179" i="1"/>
  <c r="GX190" i="1"/>
  <c r="GX199" i="1"/>
  <c r="GX205" i="1"/>
  <c r="GX200" i="1"/>
  <c r="GX56" i="1"/>
  <c r="GX72" i="1"/>
  <c r="GX98" i="1"/>
  <c r="GX103" i="1"/>
  <c r="GX126" i="1"/>
  <c r="GX148" i="1"/>
  <c r="GX158" i="1"/>
  <c r="GX167" i="1"/>
  <c r="GX176" i="1"/>
  <c r="GX191" i="1"/>
  <c r="GN13" i="1"/>
  <c r="GN118" i="1"/>
  <c r="GN60" i="1"/>
  <c r="GN67" i="1"/>
  <c r="GN66" i="1"/>
  <c r="GN102" i="1"/>
  <c r="GN112" i="1"/>
  <c r="GN90" i="1"/>
  <c r="GN99" i="1"/>
  <c r="GN116" i="1"/>
  <c r="GN131" i="1"/>
  <c r="GN26" i="1"/>
  <c r="GN50" i="1"/>
  <c r="GN70" i="1"/>
  <c r="GN77" i="1"/>
  <c r="GN105" i="1"/>
  <c r="GN83" i="1"/>
  <c r="GN95" i="1"/>
  <c r="GN120" i="1"/>
  <c r="GN128" i="1"/>
  <c r="GN134" i="1"/>
  <c r="GN47" i="1"/>
  <c r="GN139" i="1"/>
  <c r="GN54" i="1"/>
  <c r="GN73" i="1"/>
  <c r="GN80" i="1"/>
  <c r="GN96" i="1"/>
  <c r="GN91" i="1"/>
  <c r="GN100" i="1"/>
  <c r="GN127" i="1"/>
  <c r="GN110" i="1"/>
  <c r="GN130" i="1"/>
  <c r="GN36" i="1"/>
  <c r="GN136" i="1"/>
  <c r="GN138" i="1"/>
  <c r="GN45" i="1"/>
  <c r="GN58" i="1"/>
  <c r="GN88" i="1"/>
  <c r="GN104" i="1"/>
  <c r="GN125" i="1"/>
  <c r="GN133" i="1"/>
  <c r="GN205" i="1"/>
  <c r="GN204" i="1"/>
  <c r="GN203" i="1"/>
  <c r="GN148" i="1"/>
  <c r="GN163" i="1"/>
  <c r="GN153" i="1"/>
  <c r="GN166" i="1"/>
  <c r="GN176" i="1"/>
  <c r="GN185" i="1"/>
  <c r="GN202" i="1"/>
  <c r="GN25" i="1"/>
  <c r="GN49" i="1"/>
  <c r="GN64" i="1"/>
  <c r="GN92" i="1"/>
  <c r="GN93" i="1"/>
  <c r="GN129" i="1"/>
  <c r="GN135" i="1"/>
  <c r="GN61" i="1"/>
  <c r="GN76" i="1"/>
  <c r="GN98" i="1"/>
  <c r="GN114" i="1"/>
  <c r="GN89" i="1"/>
  <c r="GN126" i="1"/>
  <c r="GN68" i="1"/>
  <c r="GN81" i="1"/>
  <c r="GN111" i="1"/>
  <c r="GN119" i="1"/>
  <c r="GN122" i="1"/>
  <c r="GN132" i="1"/>
  <c r="GN200" i="1"/>
  <c r="GN144" i="1"/>
  <c r="GN152" i="1"/>
  <c r="GN159" i="1"/>
  <c r="GN183" i="1"/>
  <c r="GN169" i="1"/>
  <c r="GN179" i="1"/>
  <c r="GN186" i="1"/>
  <c r="GN190" i="1"/>
  <c r="GN72" i="1"/>
  <c r="GN124" i="1"/>
  <c r="GN117" i="1"/>
  <c r="GN143" i="1"/>
  <c r="GN151" i="1"/>
  <c r="GN155" i="1"/>
  <c r="GN173" i="1"/>
  <c r="GN187" i="1"/>
  <c r="GN198" i="1"/>
  <c r="GN79" i="1"/>
  <c r="GN123" i="1"/>
  <c r="GN141" i="1"/>
  <c r="GN157" i="1"/>
  <c r="GN160" i="1"/>
  <c r="GN174" i="1"/>
  <c r="GN193" i="1"/>
  <c r="GN197" i="1"/>
  <c r="GN4" i="1"/>
  <c r="GN97" i="1"/>
  <c r="GN113" i="1"/>
  <c r="GN146" i="1"/>
  <c r="GN156" i="1"/>
  <c r="GN164" i="1"/>
  <c r="GN175" i="1"/>
  <c r="GN192" i="1"/>
  <c r="GN191" i="1"/>
  <c r="GN38" i="1"/>
  <c r="GN56" i="1"/>
  <c r="GN103" i="1"/>
  <c r="GN108" i="1"/>
  <c r="GN147" i="1"/>
  <c r="GN167" i="1"/>
  <c r="GN177" i="1"/>
  <c r="GN184" i="1"/>
  <c r="GN189" i="1"/>
  <c r="GN199" i="1"/>
  <c r="GN52" i="1"/>
  <c r="GN101" i="1"/>
  <c r="GN121" i="1"/>
  <c r="GN145" i="1"/>
  <c r="GN171" i="1"/>
  <c r="GN165" i="1"/>
  <c r="GN181" i="1"/>
  <c r="GN194" i="1"/>
  <c r="GN201" i="1"/>
  <c r="GN30" i="1"/>
  <c r="GN65" i="1"/>
  <c r="GN94" i="1"/>
  <c r="GN115" i="1"/>
  <c r="GN150" i="1"/>
  <c r="GN158" i="1"/>
  <c r="GN168" i="1"/>
  <c r="GN180" i="1"/>
  <c r="GN188" i="1"/>
  <c r="GN29" i="1"/>
  <c r="GN75" i="1"/>
  <c r="GN106" i="1"/>
  <c r="GN140" i="1"/>
  <c r="GN161" i="1"/>
  <c r="GN154" i="1"/>
  <c r="GN172" i="1"/>
  <c r="GN178" i="1"/>
  <c r="GN195" i="1"/>
  <c r="GN3" i="1"/>
  <c r="GN17" i="1"/>
  <c r="GN27" i="1"/>
  <c r="HR55" i="1"/>
  <c r="JF86" i="1"/>
  <c r="HH55" i="1"/>
  <c r="GN62" i="1"/>
  <c r="HH71" i="1"/>
  <c r="IB71" i="1"/>
  <c r="IV53" i="1"/>
  <c r="HR62" i="1"/>
  <c r="HH10" i="1"/>
  <c r="GX24" i="1"/>
  <c r="HH31" i="1"/>
  <c r="HR3" i="1"/>
  <c r="GX35" i="1"/>
  <c r="HR43" i="1"/>
  <c r="IV11" i="1"/>
  <c r="IV29" i="1"/>
  <c r="IL17" i="1"/>
  <c r="HR149" i="1"/>
  <c r="IB144" i="1"/>
  <c r="GN196" i="1"/>
  <c r="IL190" i="1"/>
  <c r="GX152" i="1"/>
  <c r="HH154" i="1"/>
  <c r="IL61" i="1"/>
  <c r="GX65" i="1"/>
  <c r="GN78" i="1"/>
  <c r="IV55" i="1"/>
  <c r="GN53" i="1"/>
  <c r="IL53" i="1"/>
  <c r="IB46" i="1"/>
  <c r="HH53" i="1"/>
  <c r="HH27" i="1"/>
  <c r="IV46" i="1"/>
  <c r="IV62" i="1"/>
  <c r="HH11" i="1"/>
  <c r="GN11" i="1"/>
  <c r="GN10" i="1"/>
  <c r="HH24" i="1"/>
  <c r="JF31" i="1"/>
  <c r="HR31" i="1"/>
  <c r="IV38" i="1"/>
  <c r="HH35" i="1"/>
  <c r="JF43" i="1"/>
  <c r="IV23" i="1"/>
  <c r="IV17" i="1"/>
  <c r="JF29" i="1"/>
  <c r="IV20" i="1"/>
  <c r="GN5" i="1"/>
  <c r="GN182" i="1"/>
  <c r="IL182" i="1"/>
  <c r="GX147" i="1"/>
  <c r="HH150" i="1"/>
  <c r="GX64" i="1"/>
  <c r="HH44" i="1"/>
  <c r="HR44" i="1"/>
  <c r="JF55" i="1"/>
  <c r="IB44" i="1"/>
  <c r="IV86" i="1"/>
  <c r="GN84" i="1"/>
  <c r="HH63" i="1"/>
  <c r="GN7" i="1"/>
  <c r="IV71" i="1"/>
  <c r="HR8" i="1"/>
  <c r="HR79" i="1"/>
  <c r="IV84" i="1"/>
  <c r="IL11" i="1"/>
  <c r="HR24" i="1"/>
  <c r="GN24" i="1"/>
  <c r="IB31" i="1"/>
  <c r="JF38" i="1"/>
  <c r="HH43" i="1"/>
  <c r="JF23" i="1"/>
  <c r="IV24" i="1"/>
  <c r="GN8" i="1"/>
  <c r="HR197" i="1"/>
  <c r="IB192" i="1"/>
  <c r="GN170" i="1"/>
  <c r="IL181" i="1"/>
  <c r="HH143" i="1"/>
  <c r="JF44" i="1"/>
  <c r="IV44" i="1"/>
  <c r="HH86" i="1"/>
  <c r="GN71" i="1"/>
  <c r="GX46" i="1"/>
  <c r="IV79" i="1"/>
  <c r="HR46" i="1"/>
  <c r="GN46" i="1"/>
  <c r="JF82" i="1"/>
  <c r="IB63" i="1"/>
  <c r="IB62" i="1"/>
  <c r="GX11" i="1"/>
  <c r="IB10" i="1"/>
  <c r="HR35" i="1"/>
  <c r="GN43" i="1"/>
  <c r="GN23" i="1"/>
  <c r="GX38" i="1"/>
  <c r="IL30" i="1"/>
  <c r="IL27" i="1"/>
  <c r="IL4" i="1"/>
  <c r="HR196" i="1"/>
  <c r="IB185" i="1"/>
  <c r="GN162" i="1"/>
  <c r="IB203" i="1"/>
  <c r="IL165" i="1"/>
  <c r="GX131" i="1"/>
  <c r="IL123" i="1"/>
  <c r="IB131" i="1"/>
  <c r="HH62" i="1"/>
  <c r="IB84" i="1"/>
  <c r="JF79" i="1"/>
  <c r="JF46" i="1"/>
  <c r="JF3" i="1"/>
  <c r="GN31" i="1"/>
  <c r="IL31" i="1"/>
  <c r="JF35" i="1"/>
  <c r="IV35" i="1"/>
  <c r="GX43" i="1"/>
  <c r="HH38" i="1"/>
  <c r="HH30" i="1"/>
  <c r="HH37" i="1"/>
  <c r="GX27" i="1"/>
  <c r="GN16" i="1"/>
  <c r="GN15" i="1"/>
  <c r="IL7" i="1"/>
  <c r="JF20" i="1"/>
  <c r="HR177" i="1"/>
  <c r="IB181" i="1"/>
  <c r="GN149" i="1"/>
  <c r="IL144" i="1"/>
  <c r="IL92" i="1"/>
  <c r="HH91" i="1"/>
  <c r="IB67" i="1"/>
  <c r="GN55" i="1"/>
  <c r="GN44" i="1"/>
  <c r="GX63" i="1"/>
  <c r="IL71" i="1"/>
  <c r="GX8" i="1"/>
  <c r="HH79" i="1"/>
  <c r="IL46" i="1"/>
  <c r="JF84" i="1"/>
  <c r="IB53" i="1"/>
  <c r="HH16" i="1"/>
  <c r="IB24" i="1"/>
  <c r="IL55" i="1"/>
  <c r="IB55" i="1"/>
  <c r="GX55" i="1"/>
  <c r="GX84" i="1"/>
  <c r="HH7" i="1"/>
  <c r="HR84" i="1"/>
  <c r="HH46" i="1"/>
  <c r="HR71" i="1"/>
  <c r="JF8" i="1"/>
  <c r="IB27" i="1"/>
  <c r="GN82" i="1"/>
  <c r="GN69" i="1"/>
  <c r="JF53" i="1"/>
  <c r="HR63" i="1"/>
  <c r="HR11" i="1"/>
  <c r="GX10" i="1"/>
  <c r="IL10" i="1"/>
  <c r="IV31" i="1"/>
  <c r="JF7" i="1"/>
  <c r="IB35" i="1"/>
  <c r="HR23" i="1"/>
  <c r="HR38" i="1"/>
  <c r="HR30" i="1"/>
  <c r="HR6" i="1"/>
  <c r="HR169" i="1"/>
  <c r="IB183" i="1"/>
  <c r="GN142" i="1"/>
  <c r="IL151" i="1"/>
  <c r="GX193" i="1"/>
  <c r="HH196" i="1"/>
  <c r="IL103" i="1"/>
  <c r="GX117" i="1"/>
  <c r="HH73" i="1"/>
  <c r="IB70" i="1"/>
  <c r="GX44" i="1"/>
  <c r="GN85" i="1"/>
  <c r="GX62" i="1"/>
  <c r="HH84" i="1"/>
  <c r="JF62" i="1"/>
  <c r="HH8" i="1"/>
  <c r="GX71" i="1"/>
  <c r="IV69" i="1"/>
  <c r="GN63" i="1"/>
  <c r="HR53" i="1"/>
  <c r="JF63" i="1"/>
  <c r="IL84" i="1"/>
  <c r="HR10" i="1"/>
  <c r="IL24" i="1"/>
  <c r="GX31" i="1"/>
  <c r="IL35" i="1"/>
  <c r="IB42" i="1"/>
  <c r="GN37" i="1"/>
  <c r="GN20" i="1"/>
  <c r="JF15" i="1"/>
  <c r="IL12" i="1"/>
  <c r="IV5" i="1"/>
  <c r="HR157" i="1"/>
  <c r="IB167" i="1"/>
  <c r="GX188" i="1"/>
  <c r="HH166" i="1"/>
  <c r="IL98" i="1"/>
  <c r="GX110" i="1"/>
  <c r="GN137" i="1"/>
  <c r="HR61" i="1"/>
  <c r="IL15" i="1"/>
  <c r="IB12" i="1"/>
  <c r="IV37" i="1"/>
  <c r="IV15" i="1"/>
  <c r="GN6" i="1"/>
  <c r="IL43" i="1"/>
  <c r="JF37" i="1"/>
  <c r="IB15" i="1"/>
  <c r="HR12" i="1"/>
  <c r="IV12" i="1"/>
  <c r="GN42" i="1"/>
  <c r="IL37" i="1"/>
  <c r="HR15" i="1"/>
  <c r="HH12" i="1"/>
  <c r="IV6" i="1"/>
  <c r="IB37" i="1"/>
  <c r="HH15" i="1"/>
  <c r="GX12" i="1"/>
  <c r="IL6" i="1"/>
  <c r="HR37" i="1"/>
  <c r="GX15" i="1"/>
  <c r="GN12" i="1"/>
  <c r="JF6" i="1"/>
  <c r="IB6" i="1"/>
  <c r="GX37" i="1"/>
  <c r="JF12" i="1"/>
  <c r="IV43" i="1"/>
  <c r="HH6" i="1"/>
  <c r="GX59" i="1"/>
  <c r="GN59" i="1"/>
  <c r="HR51" i="1"/>
  <c r="JF59" i="1"/>
  <c r="IV54" i="1"/>
  <c r="IV59" i="1"/>
  <c r="GX51" i="1"/>
  <c r="GN51" i="1"/>
  <c r="HR54" i="1"/>
  <c r="JF51" i="1"/>
  <c r="HH54" i="1"/>
  <c r="GX54" i="1"/>
  <c r="KA94" i="1"/>
  <c r="HI42" i="1"/>
  <c r="IW42" i="1"/>
  <c r="GO107" i="1"/>
  <c r="IW94" i="1"/>
  <c r="GO94" i="1"/>
  <c r="IC42" i="1"/>
  <c r="IM94" i="1"/>
  <c r="IC94" i="1"/>
  <c r="GY42" i="1"/>
  <c r="GO42" i="1"/>
  <c r="HT65" i="1"/>
  <c r="KA42" i="1"/>
  <c r="JQ42" i="1"/>
  <c r="JQ94" i="1"/>
  <c r="IW44" i="1"/>
  <c r="IC37" i="1"/>
  <c r="IC15" i="1"/>
  <c r="KA100" i="1"/>
  <c r="KA102" i="1"/>
  <c r="KA77" i="1"/>
  <c r="JG77" i="1"/>
  <c r="JG37" i="1"/>
  <c r="IC100" i="1"/>
  <c r="IW100" i="1"/>
  <c r="GE44" i="1"/>
  <c r="GE15" i="1"/>
  <c r="JQ15" i="1"/>
  <c r="JG44" i="1"/>
  <c r="GO44" i="1"/>
  <c r="IW102" i="1"/>
  <c r="KA37" i="1"/>
  <c r="JQ44" i="1"/>
  <c r="KA15" i="1"/>
  <c r="GO100" i="1"/>
  <c r="HT103" i="1"/>
  <c r="JQ100" i="1"/>
  <c r="IW77" i="1"/>
  <c r="IW37" i="1"/>
  <c r="KA44" i="1"/>
  <c r="HS15" i="1"/>
  <c r="IW15" i="1"/>
  <c r="IC102" i="1"/>
  <c r="GE77" i="1"/>
  <c r="JG100" i="1"/>
  <c r="GY15" i="1"/>
  <c r="GY37" i="1"/>
  <c r="JG15" i="1"/>
  <c r="HT96" i="1"/>
  <c r="HT69" i="1"/>
  <c r="GE105" i="1"/>
  <c r="CE45" i="1" a="1"/>
  <c r="CE45" i="1" s="1"/>
  <c r="GE124" i="1"/>
  <c r="HS101" i="1"/>
  <c r="GE115" i="1"/>
  <c r="HS55" i="1"/>
  <c r="CE172" i="1" a="1"/>
  <c r="CE172" i="1" s="1"/>
  <c r="GE103" i="1"/>
  <c r="EM1" i="1"/>
  <c r="EO1" i="1"/>
  <c r="EQ1" i="1"/>
  <c r="ES1" i="1"/>
  <c r="ES117" i="1" s="1"/>
  <c r="A7" i="7"/>
  <c r="ER1" i="1"/>
  <c r="EN1" i="1"/>
  <c r="EL1" i="1"/>
  <c r="GE130" i="1"/>
  <c r="GE119" i="1"/>
  <c r="GE101" i="1"/>
  <c r="GE62" i="1"/>
  <c r="HS138" i="1"/>
  <c r="HS104" i="1"/>
  <c r="HS95" i="1"/>
  <c r="KA126" i="1"/>
  <c r="CE49" i="1" a="1"/>
  <c r="CE49" i="1" s="1"/>
  <c r="CE5" i="1" a="1"/>
  <c r="CE5" i="1" s="1"/>
  <c r="GE98" i="1"/>
  <c r="GE114" i="1"/>
  <c r="GE110" i="1"/>
  <c r="GE56" i="1"/>
  <c r="HS128" i="1"/>
  <c r="HS99" i="1"/>
  <c r="HS108" i="1"/>
  <c r="KA152" i="1"/>
  <c r="CE146" i="1" a="1"/>
  <c r="CE146" i="1" s="1"/>
  <c r="GE128" i="1"/>
  <c r="GE104" i="1"/>
  <c r="GE102" i="1"/>
  <c r="HS121" i="1"/>
  <c r="HS119" i="1"/>
  <c r="HS110" i="1"/>
  <c r="CE29" i="1" a="1"/>
  <c r="CE29" i="1" s="1"/>
  <c r="CE156" i="1" a="1"/>
  <c r="CE156" i="1" s="1"/>
  <c r="GE121" i="1"/>
  <c r="GE116" i="1"/>
  <c r="GE99" i="1"/>
  <c r="GE108" i="1"/>
  <c r="HS139" i="1"/>
  <c r="HS114" i="1"/>
  <c r="HS103" i="1"/>
  <c r="CE180" i="1" a="1"/>
  <c r="CE180" i="1" s="1"/>
  <c r="GE126" i="1"/>
  <c r="GE136" i="1"/>
  <c r="GE125" i="1"/>
  <c r="GE118" i="1"/>
  <c r="GE82" i="1"/>
  <c r="HS137" i="1"/>
  <c r="HS135" i="1"/>
  <c r="HS124" i="1"/>
  <c r="HS105" i="1"/>
  <c r="GE113" i="1"/>
  <c r="GE139" i="1"/>
  <c r="GE123" i="1"/>
  <c r="GE117" i="1"/>
  <c r="GE60" i="1"/>
  <c r="HS94" i="1"/>
  <c r="HS115" i="1"/>
  <c r="HS100" i="1"/>
  <c r="HS130" i="1"/>
  <c r="HS116" i="1"/>
  <c r="HS111" i="1"/>
  <c r="HS118" i="1"/>
  <c r="HS97" i="1"/>
  <c r="HS62" i="1"/>
  <c r="JG95" i="1"/>
  <c r="CE95" i="1" a="1"/>
  <c r="CE95" i="1" s="1"/>
  <c r="CE3" i="1" a="1"/>
  <c r="CE3" i="1" s="1"/>
  <c r="HS205" i="1"/>
  <c r="HS204" i="1"/>
  <c r="GE94" i="1"/>
  <c r="GE129" i="1"/>
  <c r="GE112" i="1"/>
  <c r="GE109" i="1"/>
  <c r="GE89" i="1"/>
  <c r="GE188" i="1"/>
  <c r="HS133" i="1"/>
  <c r="HS127" i="1"/>
  <c r="HS91" i="1"/>
  <c r="HS109" i="1"/>
  <c r="HS102" i="1"/>
  <c r="HS60" i="1"/>
  <c r="JG195" i="1"/>
  <c r="CE125" i="1" a="1"/>
  <c r="CE125" i="1" s="1"/>
  <c r="CE116" i="1" a="1"/>
  <c r="CE116" i="1" s="1"/>
  <c r="GE135" i="1"/>
  <c r="GE127" i="1"/>
  <c r="GE91" i="1"/>
  <c r="GE106" i="1"/>
  <c r="GE100" i="1"/>
  <c r="HS112" i="1"/>
  <c r="HS120" i="1"/>
  <c r="HS122" i="1"/>
  <c r="HS106" i="1"/>
  <c r="HS92" i="1"/>
  <c r="HS56" i="1"/>
  <c r="CE75" i="1" a="1"/>
  <c r="CE75" i="1" s="1"/>
  <c r="CE118" i="1" a="1"/>
  <c r="CE118" i="1" s="1"/>
  <c r="GE133" i="1"/>
  <c r="GE120" i="1"/>
  <c r="GE122" i="1"/>
  <c r="GE93" i="1"/>
  <c r="GE95" i="1"/>
  <c r="HS132" i="1"/>
  <c r="HS125" i="1"/>
  <c r="HS88" i="1"/>
  <c r="HS93" i="1"/>
  <c r="HS89" i="1"/>
  <c r="KA111" i="1"/>
  <c r="HS96" i="1"/>
  <c r="HS90" i="1"/>
  <c r="JA86" i="1"/>
  <c r="CE192" i="1" a="1"/>
  <c r="CE192" i="1" s="1"/>
  <c r="CE205" i="1" a="1"/>
  <c r="CE205" i="1" s="1"/>
  <c r="CE161" i="1" a="1"/>
  <c r="CE161" i="1" s="1"/>
  <c r="JG147" i="1"/>
  <c r="KA101" i="1"/>
  <c r="JG200" i="1"/>
  <c r="KA134" i="1"/>
  <c r="BC15" i="1"/>
  <c r="CE203" i="1" a="1"/>
  <c r="CE203" i="1" s="1"/>
  <c r="CE58" i="1" a="1"/>
  <c r="CE58" i="1" s="1"/>
  <c r="CE168" i="1" a="1"/>
  <c r="CE168" i="1" s="1"/>
  <c r="CE189" i="1" a="1"/>
  <c r="CE189" i="1" s="1"/>
  <c r="CE43" i="1" a="1"/>
  <c r="CE43" i="1" s="1"/>
  <c r="CE17" i="1" a="1"/>
  <c r="CE17" i="1" s="1"/>
  <c r="JG167" i="1"/>
  <c r="KA201" i="1"/>
  <c r="CE135" i="1" a="1"/>
  <c r="CE135" i="1" s="1"/>
  <c r="CE137" i="1" a="1"/>
  <c r="CE137" i="1" s="1"/>
  <c r="CE110" i="1" a="1"/>
  <c r="CE110" i="1" s="1"/>
  <c r="CE196" i="1" a="1"/>
  <c r="CE196" i="1" s="1"/>
  <c r="CE158" i="1" a="1"/>
  <c r="CE158" i="1" s="1"/>
  <c r="KA169" i="1"/>
  <c r="BC22" i="1"/>
  <c r="BR217" i="1"/>
  <c r="HI90" i="1"/>
  <c r="HI92" i="1"/>
  <c r="HI45" i="1"/>
  <c r="BJ219" i="1"/>
  <c r="IL59" i="1"/>
  <c r="GY115" i="1"/>
  <c r="GY107" i="1"/>
  <c r="JD85" i="1"/>
  <c r="JD107" i="1"/>
  <c r="IU86" i="1"/>
  <c r="IU107" i="1"/>
  <c r="IK85" i="1"/>
  <c r="IK107" i="1"/>
  <c r="IA85" i="1"/>
  <c r="IA107" i="1"/>
  <c r="HQ86" i="1"/>
  <c r="HQ107" i="1"/>
  <c r="HG86" i="1"/>
  <c r="HG107" i="1"/>
  <c r="GW86" i="1"/>
  <c r="GW107" i="1"/>
  <c r="GY201" i="1"/>
  <c r="GY195" i="1"/>
  <c r="GY180" i="1"/>
  <c r="GY168" i="1"/>
  <c r="GY179" i="1"/>
  <c r="GY155" i="1"/>
  <c r="GY158" i="1"/>
  <c r="GY142" i="1"/>
  <c r="GY108" i="1"/>
  <c r="GY113" i="1"/>
  <c r="GY109" i="1"/>
  <c r="GY62" i="1"/>
  <c r="GY134" i="1"/>
  <c r="GY139" i="1"/>
  <c r="KA138" i="1"/>
  <c r="IW202" i="1"/>
  <c r="IW107" i="1"/>
  <c r="CP85" i="1"/>
  <c r="JL107" i="1"/>
  <c r="JB107" i="1"/>
  <c r="IT86" i="1"/>
  <c r="IT107" i="1"/>
  <c r="IJ85" i="1"/>
  <c r="IJ107" i="1"/>
  <c r="HZ86" i="1"/>
  <c r="HZ107" i="1"/>
  <c r="HP85" i="1"/>
  <c r="HP107" i="1"/>
  <c r="GL86" i="1"/>
  <c r="GL107" i="1"/>
  <c r="GD95" i="1"/>
  <c r="GD107" i="1"/>
  <c r="GY186" i="1"/>
  <c r="GY185" i="1"/>
  <c r="GY178" i="1"/>
  <c r="GY163" i="1"/>
  <c r="GY176" i="1"/>
  <c r="GY151" i="1"/>
  <c r="GY154" i="1"/>
  <c r="GY126" i="1"/>
  <c r="GY129" i="1"/>
  <c r="GY106" i="1"/>
  <c r="GY60" i="1"/>
  <c r="GY133" i="1"/>
  <c r="CV86" i="1"/>
  <c r="FX86" i="1" s="1"/>
  <c r="CV107" i="1"/>
  <c r="FX107" i="1" s="1"/>
  <c r="JZ86" i="1"/>
  <c r="JZ107" i="1"/>
  <c r="JP86" i="1"/>
  <c r="JP107" i="1"/>
  <c r="JK86" i="1"/>
  <c r="IR47" i="1"/>
  <c r="IR107" i="1"/>
  <c r="HN56" i="1"/>
  <c r="HN107" i="1"/>
  <c r="HD107" i="1"/>
  <c r="GT123" i="1"/>
  <c r="GT107" i="1"/>
  <c r="GC13" i="1"/>
  <c r="GC107" i="1"/>
  <c r="GY199" i="1"/>
  <c r="GY183" i="1"/>
  <c r="GY175" i="1"/>
  <c r="GY173" i="1"/>
  <c r="GY160" i="1"/>
  <c r="GY162" i="1"/>
  <c r="GY141" i="1"/>
  <c r="GY128" i="1"/>
  <c r="GY127" i="1"/>
  <c r="GY93" i="1"/>
  <c r="GY56" i="1"/>
  <c r="HI38" i="1"/>
  <c r="HI107" i="1"/>
  <c r="IC116" i="1"/>
  <c r="IC107" i="1"/>
  <c r="JQ114" i="1"/>
  <c r="JQ107" i="1"/>
  <c r="IG86" i="1"/>
  <c r="HW86" i="1"/>
  <c r="GS86" i="1"/>
  <c r="GB85" i="1"/>
  <c r="GB107" i="1"/>
  <c r="CE62" i="1" a="1"/>
  <c r="CE62" i="1" s="1"/>
  <c r="CE107" i="1" a="1"/>
  <c r="CE107" i="1" s="1"/>
  <c r="BK219" i="1"/>
  <c r="GY204" i="1"/>
  <c r="GY192" i="1"/>
  <c r="GY187" i="1"/>
  <c r="GY193" i="1"/>
  <c r="GY177" i="1"/>
  <c r="GY166" i="1"/>
  <c r="GY159" i="1"/>
  <c r="GY152" i="1"/>
  <c r="GY140" i="1"/>
  <c r="GY116" i="1"/>
  <c r="GY120" i="1"/>
  <c r="GY104" i="1"/>
  <c r="GY55" i="1"/>
  <c r="GY131" i="1"/>
  <c r="KA106" i="1"/>
  <c r="CT86" i="1"/>
  <c r="CT107" i="1"/>
  <c r="FV107" i="1" s="1"/>
  <c r="CN85" i="1"/>
  <c r="CN107" i="1"/>
  <c r="FP107" i="1" s="1"/>
  <c r="JX85" i="1"/>
  <c r="JX107" i="1"/>
  <c r="JN86" i="1"/>
  <c r="JN107" i="1"/>
  <c r="IF112" i="1"/>
  <c r="IF107" i="1"/>
  <c r="GJ107" i="1"/>
  <c r="BP219" i="1"/>
  <c r="GY194" i="1"/>
  <c r="GY198" i="1"/>
  <c r="GY189" i="1"/>
  <c r="GY172" i="1"/>
  <c r="GY161" i="1"/>
  <c r="GY149" i="1"/>
  <c r="GY148" i="1"/>
  <c r="GY124" i="1"/>
  <c r="GY112" i="1"/>
  <c r="GY103" i="1"/>
  <c r="GY94" i="1"/>
  <c r="GY44" i="1"/>
  <c r="GY122" i="1"/>
  <c r="GY114" i="1"/>
  <c r="CS86" i="1"/>
  <c r="CS107" i="1"/>
  <c r="FU107" i="1" s="1"/>
  <c r="KF86" i="1"/>
  <c r="KF107" i="1"/>
  <c r="JV86" i="1"/>
  <c r="JV107" i="1"/>
  <c r="GI86" i="1"/>
  <c r="GY205" i="1"/>
  <c r="GY202" i="1"/>
  <c r="GY191" i="1"/>
  <c r="GY182" i="1"/>
  <c r="GY181" i="1"/>
  <c r="GY165" i="1"/>
  <c r="GY153" i="1"/>
  <c r="GY150" i="1"/>
  <c r="GY144" i="1"/>
  <c r="GY95" i="1"/>
  <c r="GY100" i="1"/>
  <c r="GY105" i="1"/>
  <c r="GY91" i="1"/>
  <c r="GY89" i="1"/>
  <c r="GY130" i="1"/>
  <c r="GE134" i="1"/>
  <c r="GE107" i="1"/>
  <c r="HS131" i="1"/>
  <c r="HS107" i="1"/>
  <c r="JG184" i="1"/>
  <c r="JG107" i="1"/>
  <c r="CR85" i="1"/>
  <c r="CR107" i="1"/>
  <c r="FT107" i="1" s="1"/>
  <c r="JU86" i="1"/>
  <c r="JF85" i="1"/>
  <c r="JF107" i="1"/>
  <c r="GY196" i="1"/>
  <c r="GY190" i="1"/>
  <c r="GY169" i="1"/>
  <c r="GY174" i="1"/>
  <c r="GY164" i="1"/>
  <c r="GY156" i="1"/>
  <c r="GY145" i="1"/>
  <c r="GY146" i="1"/>
  <c r="GY119" i="1"/>
  <c r="GY118" i="1"/>
  <c r="GY110" i="1"/>
  <c r="GY102" i="1"/>
  <c r="GY98" i="1"/>
  <c r="GY136" i="1"/>
  <c r="IM175" i="1"/>
  <c r="IM107" i="1"/>
  <c r="KA200" i="1"/>
  <c r="KA107" i="1"/>
  <c r="CQ86" i="1"/>
  <c r="IV85" i="1"/>
  <c r="IV107" i="1"/>
  <c r="IL86" i="1"/>
  <c r="IL107" i="1"/>
  <c r="IB86" i="1"/>
  <c r="IB107" i="1"/>
  <c r="HR85" i="1"/>
  <c r="HR107" i="1"/>
  <c r="HH85" i="1"/>
  <c r="HH107" i="1"/>
  <c r="GX85" i="1"/>
  <c r="GX107" i="1"/>
  <c r="GN86" i="1"/>
  <c r="GN107" i="1"/>
  <c r="CC86" i="1" a="1"/>
  <c r="CC86" i="1" s="1"/>
  <c r="HI10" i="1"/>
  <c r="BQ218" i="1"/>
  <c r="IC45" i="1"/>
  <c r="IC13" i="1"/>
  <c r="HI13" i="1"/>
  <c r="KA45" i="1"/>
  <c r="IW10" i="1"/>
  <c r="HI96" i="1"/>
  <c r="KA10" i="1"/>
  <c r="IC10" i="1"/>
  <c r="GY10" i="1"/>
  <c r="KA96" i="1"/>
  <c r="KA90" i="1"/>
  <c r="GE92" i="1"/>
  <c r="HT24" i="1"/>
  <c r="GY96" i="1"/>
  <c r="IW45" i="1"/>
  <c r="GO10" i="1"/>
  <c r="JQ13" i="1"/>
  <c r="JG13" i="1"/>
  <c r="IW96" i="1"/>
  <c r="IC92" i="1"/>
  <c r="GO92" i="1"/>
  <c r="JQ45" i="1"/>
  <c r="GE13" i="1"/>
  <c r="IW13" i="1"/>
  <c r="JG45" i="1"/>
  <c r="JG10" i="1"/>
  <c r="GY90" i="1"/>
  <c r="HT11" i="1"/>
  <c r="GE45" i="1"/>
  <c r="KA13" i="1"/>
  <c r="HT88" i="1"/>
  <c r="GO96" i="1"/>
  <c r="GO45" i="1"/>
  <c r="GO13" i="1"/>
  <c r="GY92" i="1"/>
  <c r="GE90" i="1"/>
  <c r="IW92" i="1"/>
  <c r="GO90" i="1"/>
  <c r="GE96" i="1"/>
  <c r="KA92" i="1"/>
  <c r="IC96" i="1"/>
  <c r="GY45" i="1"/>
  <c r="GE10" i="1"/>
  <c r="GY13" i="1"/>
  <c r="JQ10" i="1"/>
  <c r="IC90" i="1"/>
  <c r="JQ96" i="1"/>
  <c r="BQ213" i="1"/>
  <c r="GO97" i="1"/>
  <c r="HI97" i="1"/>
  <c r="IW97" i="1"/>
  <c r="HT95" i="1"/>
  <c r="GY97" i="1"/>
  <c r="IC97" i="1"/>
  <c r="GE97" i="1"/>
  <c r="KA97" i="1"/>
  <c r="JQ97" i="1"/>
  <c r="BI219" i="1"/>
  <c r="IM4" i="1"/>
  <c r="BQ214" i="1"/>
  <c r="FL1" i="1"/>
  <c r="FH1" i="1"/>
  <c r="A9" i="7"/>
  <c r="FF1" i="1"/>
  <c r="FM1" i="1"/>
  <c r="FI1" i="1"/>
  <c r="FG1" i="1"/>
  <c r="FJ1" i="1"/>
  <c r="FN1" i="1"/>
  <c r="JQ8" i="1"/>
  <c r="JQ43" i="1"/>
  <c r="JQ46" i="1"/>
  <c r="JQ25" i="1"/>
  <c r="KA43" i="1"/>
  <c r="HI46" i="1"/>
  <c r="HT5" i="1"/>
  <c r="JG43" i="1"/>
  <c r="KA7" i="1"/>
  <c r="GO46" i="1"/>
  <c r="GY46" i="1"/>
  <c r="KA31" i="1"/>
  <c r="GO4" i="1"/>
  <c r="HT64" i="1"/>
  <c r="HT73" i="1"/>
  <c r="HT12" i="1"/>
  <c r="HT51" i="1"/>
  <c r="IC25" i="1"/>
  <c r="GO25" i="1"/>
  <c r="KA8" i="1"/>
  <c r="GY8" i="1"/>
  <c r="JG8" i="1"/>
  <c r="IC8" i="1"/>
  <c r="GY25" i="1"/>
  <c r="GY43" i="1"/>
  <c r="IC4" i="1"/>
  <c r="KA4" i="1"/>
  <c r="GY4" i="1"/>
  <c r="GE8" i="1"/>
  <c r="GO43" i="1"/>
  <c r="IW46" i="1"/>
  <c r="GO8" i="1"/>
  <c r="GE25" i="1"/>
  <c r="GE4" i="1"/>
  <c r="HI4" i="1"/>
  <c r="GO47" i="1"/>
  <c r="HI43" i="1"/>
  <c r="HI8" i="1"/>
  <c r="HI25" i="1"/>
  <c r="KA25" i="1"/>
  <c r="IW4" i="1"/>
  <c r="IW8" i="1"/>
  <c r="GE7" i="1"/>
  <c r="IW25" i="1"/>
  <c r="GE46" i="1"/>
  <c r="IW43" i="1"/>
  <c r="GE43" i="1"/>
  <c r="IC43" i="1"/>
  <c r="IC46" i="1"/>
  <c r="KA46" i="1"/>
  <c r="JG25" i="1"/>
  <c r="JG46" i="1"/>
  <c r="GY23" i="1"/>
  <c r="CH114" i="1" a="1"/>
  <c r="CH114" i="1" s="1"/>
  <c r="CH98" i="1" a="1"/>
  <c r="CH98" i="1" s="1"/>
  <c r="CH51" i="1" a="1"/>
  <c r="CH51" i="1" s="1"/>
  <c r="CH55" i="1" a="1"/>
  <c r="CH55" i="1" s="1"/>
  <c r="CH189" i="1" a="1"/>
  <c r="CH189" i="1" s="1"/>
  <c r="CH157" i="1" a="1"/>
  <c r="CH157" i="1" s="1"/>
  <c r="CH37" i="1" a="1"/>
  <c r="CH37" i="1" s="1"/>
  <c r="CI2" i="1"/>
  <c r="CI70" i="1" s="1" a="1"/>
  <c r="CI70" i="1" s="1"/>
  <c r="CG2" i="1"/>
  <c r="CK2" i="1"/>
  <c r="CK202" i="1" s="1" a="1"/>
  <c r="CK202" i="1" s="1"/>
  <c r="CE139" i="1" a="1"/>
  <c r="CE139" i="1" s="1"/>
  <c r="CE53" i="1" a="1"/>
  <c r="CE53" i="1" s="1"/>
  <c r="CE36" i="1" a="1"/>
  <c r="CE36" i="1" s="1"/>
  <c r="IM89" i="1"/>
  <c r="GD173" i="1"/>
  <c r="IM44" i="1"/>
  <c r="GD113" i="1"/>
  <c r="CE150" i="1" a="1"/>
  <c r="CE150" i="1" s="1"/>
  <c r="CE149" i="1" a="1"/>
  <c r="CE149" i="1" s="1"/>
  <c r="CE50" i="1" a="1"/>
  <c r="CE50" i="1" s="1"/>
  <c r="CH184" i="1" a="1"/>
  <c r="CH184" i="1" s="1"/>
  <c r="CE162" i="1" a="1"/>
  <c r="CE162" i="1" s="1"/>
  <c r="CE155" i="1" a="1"/>
  <c r="CE155" i="1" s="1"/>
  <c r="CE4" i="1" a="1"/>
  <c r="CE4" i="1" s="1"/>
  <c r="CE6" i="1" a="1"/>
  <c r="CE6" i="1" s="1"/>
  <c r="IM8" i="1"/>
  <c r="GD169" i="1"/>
  <c r="IM178" i="1"/>
  <c r="GD123" i="1"/>
  <c r="CH78" i="1" a="1"/>
  <c r="CH78" i="1" s="1"/>
  <c r="CE190" i="1" a="1"/>
  <c r="CE190" i="1" s="1"/>
  <c r="CE52" i="1" a="1"/>
  <c r="CE52" i="1" s="1"/>
  <c r="CE108" i="1" a="1"/>
  <c r="CE108" i="1" s="1"/>
  <c r="IM63" i="1"/>
  <c r="IM6" i="1"/>
  <c r="CE97" i="1" a="1"/>
  <c r="CE97" i="1" s="1"/>
  <c r="CE76" i="1" a="1"/>
  <c r="CE76" i="1" s="1"/>
  <c r="CE174" i="1" a="1"/>
  <c r="CE174" i="1" s="1"/>
  <c r="CE171" i="1" a="1"/>
  <c r="CE171" i="1" s="1"/>
  <c r="CH159" i="1" a="1"/>
  <c r="CH159" i="1" s="1"/>
  <c r="CH53" i="1" a="1"/>
  <c r="CH53" i="1" s="1"/>
  <c r="CE143" i="1" a="1"/>
  <c r="CE143" i="1" s="1"/>
  <c r="CE167" i="1" a="1"/>
  <c r="CE167" i="1" s="1"/>
  <c r="CE69" i="1" a="1"/>
  <c r="CE69" i="1" s="1"/>
  <c r="CE44" i="1" a="1"/>
  <c r="CE44" i="1" s="1"/>
  <c r="CE98" i="1" a="1"/>
  <c r="CE98" i="1" s="1"/>
  <c r="CE166" i="1" a="1"/>
  <c r="CE166" i="1" s="1"/>
  <c r="CE88" i="1" a="1"/>
  <c r="CE88" i="1" s="1"/>
  <c r="CE178" i="1" a="1"/>
  <c r="CE178" i="1" s="1"/>
  <c r="CE65" i="1" a="1"/>
  <c r="CE65" i="1" s="1"/>
  <c r="CE113" i="1" a="1"/>
  <c r="CE113" i="1" s="1"/>
  <c r="CE51" i="1" a="1"/>
  <c r="CE51" i="1" s="1"/>
  <c r="CE129" i="1" a="1"/>
  <c r="CE129" i="1" s="1"/>
  <c r="CE173" i="1" a="1"/>
  <c r="CE173" i="1" s="1"/>
  <c r="CE31" i="1" a="1"/>
  <c r="CE31" i="1" s="1"/>
  <c r="CJ2" i="1"/>
  <c r="IM52" i="1"/>
  <c r="GD157" i="1"/>
  <c r="IM170" i="1"/>
  <c r="GD110" i="1"/>
  <c r="CH20" i="1" a="1"/>
  <c r="CH20" i="1" s="1"/>
  <c r="CE132" i="1" a="1"/>
  <c r="CE132" i="1" s="1"/>
  <c r="CE59" i="1" a="1"/>
  <c r="CE59" i="1" s="1"/>
  <c r="CE77" i="1" a="1"/>
  <c r="CE77" i="1" s="1"/>
  <c r="CE94" i="1" a="1"/>
  <c r="CE94" i="1" s="1"/>
  <c r="CE66" i="1" a="1"/>
  <c r="CE66" i="1" s="1"/>
  <c r="CE67" i="1" a="1"/>
  <c r="CE67" i="1" s="1"/>
  <c r="CE154" i="1" a="1"/>
  <c r="CE154" i="1" s="1"/>
  <c r="CE122" i="1" a="1"/>
  <c r="CE122" i="1" s="1"/>
  <c r="GD55" i="1"/>
  <c r="IM68" i="1"/>
  <c r="GD156" i="1"/>
  <c r="IM115" i="1"/>
  <c r="IM101" i="1"/>
  <c r="IM99" i="1"/>
  <c r="IM120" i="1"/>
  <c r="IM111" i="1"/>
  <c r="IM148" i="1"/>
  <c r="IM155" i="1"/>
  <c r="IM161" i="1"/>
  <c r="IM168" i="1"/>
  <c r="IM183" i="1"/>
  <c r="IM174" i="1"/>
  <c r="IM190" i="1"/>
  <c r="IM195" i="1"/>
  <c r="IM12" i="1"/>
  <c r="IM70" i="1"/>
  <c r="IM98" i="1"/>
  <c r="IM92" i="1"/>
  <c r="IM127" i="1"/>
  <c r="IM126" i="1"/>
  <c r="IM152" i="1"/>
  <c r="IM149" i="1"/>
  <c r="IM159" i="1"/>
  <c r="IM160" i="1"/>
  <c r="IM189" i="1"/>
  <c r="IM185" i="1"/>
  <c r="IM201" i="1"/>
  <c r="IM202" i="1"/>
  <c r="IM85" i="1"/>
  <c r="IM38" i="1"/>
  <c r="IM13" i="1"/>
  <c r="IM130" i="1"/>
  <c r="IM91" i="1"/>
  <c r="IM102" i="1"/>
  <c r="IM113" i="1"/>
  <c r="IM108" i="1"/>
  <c r="IM205" i="1"/>
  <c r="IM154" i="1"/>
  <c r="IM151" i="1"/>
  <c r="IM165" i="1"/>
  <c r="IM169" i="1"/>
  <c r="IM193" i="1"/>
  <c r="IM187" i="1"/>
  <c r="IM196" i="1"/>
  <c r="IM203" i="1"/>
  <c r="IM3" i="1"/>
  <c r="IM53" i="1"/>
  <c r="IM86" i="1"/>
  <c r="IM25" i="1"/>
  <c r="IM136" i="1"/>
  <c r="IM62" i="1"/>
  <c r="IM104" i="1"/>
  <c r="IM112" i="1"/>
  <c r="IM118" i="1"/>
  <c r="IM129" i="1"/>
  <c r="IM123" i="1"/>
  <c r="IM140" i="1"/>
  <c r="IM119" i="1"/>
  <c r="IM142" i="1"/>
  <c r="IM145" i="1"/>
  <c r="IM153" i="1"/>
  <c r="IM179" i="1"/>
  <c r="IM182" i="1"/>
  <c r="IM172" i="1"/>
  <c r="IM188" i="1"/>
  <c r="IM191" i="1"/>
  <c r="IM24" i="1"/>
  <c r="IM20" i="1"/>
  <c r="IM51" i="1"/>
  <c r="IM27" i="1"/>
  <c r="IM131" i="1"/>
  <c r="IM55" i="1"/>
  <c r="IM93" i="1"/>
  <c r="IM97" i="1"/>
  <c r="IM100" i="1"/>
  <c r="IM95" i="1"/>
  <c r="IM204" i="1"/>
  <c r="IM146" i="1"/>
  <c r="IM144" i="1"/>
  <c r="IM163" i="1"/>
  <c r="IM162" i="1"/>
  <c r="IM173" i="1"/>
  <c r="IM181" i="1"/>
  <c r="IM192" i="1"/>
  <c r="IM197" i="1"/>
  <c r="IM133" i="1"/>
  <c r="IM114" i="1"/>
  <c r="IM56" i="1"/>
  <c r="IM109" i="1"/>
  <c r="IM110" i="1"/>
  <c r="IM128" i="1"/>
  <c r="IM141" i="1"/>
  <c r="IM150" i="1"/>
  <c r="IM157" i="1"/>
  <c r="IM167" i="1"/>
  <c r="IM176" i="1"/>
  <c r="IM198" i="1"/>
  <c r="IM177" i="1"/>
  <c r="IM199" i="1"/>
  <c r="IM15" i="1"/>
  <c r="IM122" i="1"/>
  <c r="IM106" i="1"/>
  <c r="IM147" i="1"/>
  <c r="IM180" i="1"/>
  <c r="IM134" i="1"/>
  <c r="IM105" i="1"/>
  <c r="IM156" i="1"/>
  <c r="IM186" i="1"/>
  <c r="IM139" i="1"/>
  <c r="IM103" i="1"/>
  <c r="IM164" i="1"/>
  <c r="IM194" i="1"/>
  <c r="IM42" i="1"/>
  <c r="IM66" i="1"/>
  <c r="IM45" i="1"/>
  <c r="IM132" i="1"/>
  <c r="IM80" i="1"/>
  <c r="IM121" i="1"/>
  <c r="IM171" i="1"/>
  <c r="IM184" i="1"/>
  <c r="IM37" i="1"/>
  <c r="IM10" i="1"/>
  <c r="IM46" i="1"/>
  <c r="IM49" i="1"/>
  <c r="IM116" i="1"/>
  <c r="IM96" i="1"/>
  <c r="IM166" i="1"/>
  <c r="IM200" i="1"/>
  <c r="IM26" i="1"/>
  <c r="IM54" i="1"/>
  <c r="GD86" i="1"/>
  <c r="GD36" i="1"/>
  <c r="GD25" i="1"/>
  <c r="GD128" i="1"/>
  <c r="GD130" i="1"/>
  <c r="GD26" i="1"/>
  <c r="GD13" i="1"/>
  <c r="GD47" i="1"/>
  <c r="GD139" i="1"/>
  <c r="GD49" i="1"/>
  <c r="GD64" i="1"/>
  <c r="GD77" i="1"/>
  <c r="GD82" i="1"/>
  <c r="GD102" i="1"/>
  <c r="GD111" i="1"/>
  <c r="GD93" i="1"/>
  <c r="GD120" i="1"/>
  <c r="GD117" i="1"/>
  <c r="GD138" i="1"/>
  <c r="GD131" i="1"/>
  <c r="GD141" i="1"/>
  <c r="GD150" i="1"/>
  <c r="GD145" i="1"/>
  <c r="GD172" i="1"/>
  <c r="GD165" i="1"/>
  <c r="GD181" i="1"/>
  <c r="GD190" i="1"/>
  <c r="GD202" i="1"/>
  <c r="GD17" i="1"/>
  <c r="GD43" i="1"/>
  <c r="GD51" i="1"/>
  <c r="GD60" i="1"/>
  <c r="GD69" i="1"/>
  <c r="GD108" i="1"/>
  <c r="GD105" i="1"/>
  <c r="GD112" i="1"/>
  <c r="GD124" i="1"/>
  <c r="GD127" i="1"/>
  <c r="GD129" i="1"/>
  <c r="GD137" i="1"/>
  <c r="GD142" i="1"/>
  <c r="GD152" i="1"/>
  <c r="GD166" i="1"/>
  <c r="GD159" i="1"/>
  <c r="GD168" i="1"/>
  <c r="GD182" i="1"/>
  <c r="GD192" i="1"/>
  <c r="GD196" i="1"/>
  <c r="GD38" i="1"/>
  <c r="GD31" i="1"/>
  <c r="GD79" i="1"/>
  <c r="GD71" i="1"/>
  <c r="GD45" i="1"/>
  <c r="GD66" i="1"/>
  <c r="GD78" i="1"/>
  <c r="GD90" i="1"/>
  <c r="GD99" i="1"/>
  <c r="GD109" i="1"/>
  <c r="GD67" i="1"/>
  <c r="GD135" i="1"/>
  <c r="GD144" i="1"/>
  <c r="GD158" i="1"/>
  <c r="GD170" i="1"/>
  <c r="GD167" i="1"/>
  <c r="GD178" i="1"/>
  <c r="GD185" i="1"/>
  <c r="GD193" i="1"/>
  <c r="GD197" i="1"/>
  <c r="GD204" i="1"/>
  <c r="GD4" i="1"/>
  <c r="GD10" i="1"/>
  <c r="GD16" i="1"/>
  <c r="GD15" i="1"/>
  <c r="GD62" i="1"/>
  <c r="GD134" i="1"/>
  <c r="GD61" i="1"/>
  <c r="GD70" i="1"/>
  <c r="GD83" i="1"/>
  <c r="GD100" i="1"/>
  <c r="GD97" i="1"/>
  <c r="GD106" i="1"/>
  <c r="GD114" i="1"/>
  <c r="GD94" i="1"/>
  <c r="GD140" i="1"/>
  <c r="GD143" i="1"/>
  <c r="GD148" i="1"/>
  <c r="GD160" i="1"/>
  <c r="GD174" i="1"/>
  <c r="GD175" i="1"/>
  <c r="GD183" i="1"/>
  <c r="GD194" i="1"/>
  <c r="GD201" i="1"/>
  <c r="GD30" i="1"/>
  <c r="GD8" i="1"/>
  <c r="GD53" i="1"/>
  <c r="GD59" i="1"/>
  <c r="GD72" i="1"/>
  <c r="GD75" i="1"/>
  <c r="GD89" i="1"/>
  <c r="GD103" i="1"/>
  <c r="GD115" i="1"/>
  <c r="GD119" i="1"/>
  <c r="GD126" i="1"/>
  <c r="GD116" i="1"/>
  <c r="GD151" i="1"/>
  <c r="GD149" i="1"/>
  <c r="GD155" i="1"/>
  <c r="GD164" i="1"/>
  <c r="GD184" i="1"/>
  <c r="GD176" i="1"/>
  <c r="GD189" i="1"/>
  <c r="GD199" i="1"/>
  <c r="GD203" i="1"/>
  <c r="GD23" i="1"/>
  <c r="GD11" i="1"/>
  <c r="GD6" i="1"/>
  <c r="GD65" i="1"/>
  <c r="GD76" i="1"/>
  <c r="GD80" i="1"/>
  <c r="GD92" i="1"/>
  <c r="GD98" i="1"/>
  <c r="GD91" i="1"/>
  <c r="GD125" i="1"/>
  <c r="GD133" i="1"/>
  <c r="GD136" i="1"/>
  <c r="GD147" i="1"/>
  <c r="GD153" i="1"/>
  <c r="GD163" i="1"/>
  <c r="GD171" i="1"/>
  <c r="GD179" i="1"/>
  <c r="GD191" i="1"/>
  <c r="GD200" i="1"/>
  <c r="GD5" i="1"/>
  <c r="GD24" i="1"/>
  <c r="GD3" i="1"/>
  <c r="GD84" i="1"/>
  <c r="GD50" i="1"/>
  <c r="GD88" i="1"/>
  <c r="GD132" i="1"/>
  <c r="GD56" i="1"/>
  <c r="GD96" i="1"/>
  <c r="GD118" i="1"/>
  <c r="GD162" i="1"/>
  <c r="GD205" i="1"/>
  <c r="GD58" i="1"/>
  <c r="GD101" i="1"/>
  <c r="GD121" i="1"/>
  <c r="GD146" i="1"/>
  <c r="GD180" i="1"/>
  <c r="GD20" i="1"/>
  <c r="GD44" i="1"/>
  <c r="GD52" i="1"/>
  <c r="GD104" i="1"/>
  <c r="GD154" i="1"/>
  <c r="GD177" i="1"/>
  <c r="GD46" i="1"/>
  <c r="GD68" i="1"/>
  <c r="GD122" i="1"/>
  <c r="GD161" i="1"/>
  <c r="GD186" i="1"/>
  <c r="GD63" i="1"/>
  <c r="CE82" i="1" a="1"/>
  <c r="CE82" i="1" s="1"/>
  <c r="CE159" i="1" a="1"/>
  <c r="CE159" i="1" s="1"/>
  <c r="CE193" i="1" a="1"/>
  <c r="CE193" i="1" s="1"/>
  <c r="CE16" i="1" a="1"/>
  <c r="CE16" i="1" s="1"/>
  <c r="CH178" i="1" a="1"/>
  <c r="CH178" i="1" s="1"/>
  <c r="CE121" i="1" a="1"/>
  <c r="CE121" i="1" s="1"/>
  <c r="CE170" i="1" a="1"/>
  <c r="CE170" i="1" s="1"/>
  <c r="CE78" i="1" a="1"/>
  <c r="CE78" i="1" s="1"/>
  <c r="CE64" i="1" a="1"/>
  <c r="CE64" i="1" s="1"/>
  <c r="CE145" i="1" a="1"/>
  <c r="CE145" i="1" s="1"/>
  <c r="IM71" i="1"/>
  <c r="CH142" i="1" a="1"/>
  <c r="CH142" i="1" s="1"/>
  <c r="CH141" i="1" a="1"/>
  <c r="CH141" i="1" s="1"/>
  <c r="CE191" i="1" a="1"/>
  <c r="CE191" i="1" s="1"/>
  <c r="CE152" i="1" a="1"/>
  <c r="CE152" i="1" s="1"/>
  <c r="CE54" i="1" a="1"/>
  <c r="CE54" i="1" s="1"/>
  <c r="CE105" i="1" a="1"/>
  <c r="CE105" i="1" s="1"/>
  <c r="CE182" i="1" a="1"/>
  <c r="CE182" i="1" s="1"/>
  <c r="CE117" i="1" a="1"/>
  <c r="CE117" i="1" s="1"/>
  <c r="CE165" i="1" a="1"/>
  <c r="CE165" i="1" s="1"/>
  <c r="CE185" i="1" a="1"/>
  <c r="CE185" i="1" s="1"/>
  <c r="IM78" i="1"/>
  <c r="IM30" i="1"/>
  <c r="CH82" i="1" a="1"/>
  <c r="CH82" i="1" s="1"/>
  <c r="CH63" i="1" a="1"/>
  <c r="CH63" i="1" s="1"/>
  <c r="CE198" i="1" a="1"/>
  <c r="CE198" i="1" s="1"/>
  <c r="CE100" i="1" a="1"/>
  <c r="CE100" i="1" s="1"/>
  <c r="CE194" i="1" a="1"/>
  <c r="CE194" i="1" s="1"/>
  <c r="CE91" i="1" a="1"/>
  <c r="CE91" i="1" s="1"/>
  <c r="CE13" i="1" a="1"/>
  <c r="CE13" i="1" s="1"/>
  <c r="CE83" i="1" a="1"/>
  <c r="CE83" i="1" s="1"/>
  <c r="CE123" i="1" a="1"/>
  <c r="CE123" i="1" s="1"/>
  <c r="CE68" i="1" a="1"/>
  <c r="CE68" i="1" s="1"/>
  <c r="CE111" i="1" a="1"/>
  <c r="CE111" i="1" s="1"/>
  <c r="CE179" i="1" a="1"/>
  <c r="CE179" i="1" s="1"/>
  <c r="CE133" i="1" a="1"/>
  <c r="CE133" i="1" s="1"/>
  <c r="CE201" i="1" a="1"/>
  <c r="CE201" i="1" s="1"/>
  <c r="CE42" i="1" a="1"/>
  <c r="CE42" i="1" s="1"/>
  <c r="CE183" i="1" a="1"/>
  <c r="CE183" i="1" s="1"/>
  <c r="CF2" i="1"/>
  <c r="CF107" i="1" s="1" a="1"/>
  <c r="CF107" i="1" s="1"/>
  <c r="IM75" i="1"/>
  <c r="GD7" i="1"/>
  <c r="CD2" i="1"/>
  <c r="GD198" i="1"/>
  <c r="IM158" i="1"/>
  <c r="IM124" i="1"/>
  <c r="GD81" i="1"/>
  <c r="CE99" i="1" a="1"/>
  <c r="CE99" i="1" s="1"/>
  <c r="CE151" i="1" a="1"/>
  <c r="CE151" i="1" s="1"/>
  <c r="CE126" i="1" a="1"/>
  <c r="CE126" i="1" s="1"/>
  <c r="CE114" i="1" a="1"/>
  <c r="CE114" i="1" s="1"/>
  <c r="CE147" i="1" a="1"/>
  <c r="CE147" i="1" s="1"/>
  <c r="CE131" i="1" a="1"/>
  <c r="CE131" i="1" s="1"/>
  <c r="CE55" i="1" a="1"/>
  <c r="CE55" i="1" s="1"/>
  <c r="CE164" i="1" a="1"/>
  <c r="CE164" i="1" s="1"/>
  <c r="CE47" i="1" a="1"/>
  <c r="CE47" i="1" s="1"/>
  <c r="CE70" i="1" a="1"/>
  <c r="CE70" i="1" s="1"/>
  <c r="CE141" i="1" a="1"/>
  <c r="CE141" i="1" s="1"/>
  <c r="CE46" i="1" a="1"/>
  <c r="CE46" i="1" s="1"/>
  <c r="CE90" i="1" a="1"/>
  <c r="CE90" i="1" s="1"/>
  <c r="CE148" i="1" a="1"/>
  <c r="CE148" i="1" s="1"/>
  <c r="CE85" i="1" a="1"/>
  <c r="CE85" i="1" s="1"/>
  <c r="CE119" i="1" a="1"/>
  <c r="CE119" i="1" s="1"/>
  <c r="CE20" i="1" a="1"/>
  <c r="CE20" i="1" s="1"/>
  <c r="CE176" i="1" a="1"/>
  <c r="CE176" i="1" s="1"/>
  <c r="CE60" i="1" a="1"/>
  <c r="CE60" i="1" s="1"/>
  <c r="CE92" i="1" a="1"/>
  <c r="CE92" i="1" s="1"/>
  <c r="CE23" i="1" a="1"/>
  <c r="CE23" i="1" s="1"/>
  <c r="CE124" i="1" a="1"/>
  <c r="CE124" i="1" s="1"/>
  <c r="CE175" i="1" a="1"/>
  <c r="CE175" i="1" s="1"/>
  <c r="CE24" i="1" a="1"/>
  <c r="CE24" i="1" s="1"/>
  <c r="CE106" i="1" a="1"/>
  <c r="CE106" i="1" s="1"/>
  <c r="CE112" i="1" a="1"/>
  <c r="CE112" i="1" s="1"/>
  <c r="CE142" i="1" a="1"/>
  <c r="CE142" i="1" s="1"/>
  <c r="CE81" i="1" a="1"/>
  <c r="CE81" i="1" s="1"/>
  <c r="CE104" i="1" a="1"/>
  <c r="CE104" i="1" s="1"/>
  <c r="CE160" i="1" a="1"/>
  <c r="CE160" i="1" s="1"/>
  <c r="CE63" i="1" a="1"/>
  <c r="CE63" i="1" s="1"/>
  <c r="CE93" i="1" a="1"/>
  <c r="CE93" i="1" s="1"/>
  <c r="CE200" i="1" a="1"/>
  <c r="CE200" i="1" s="1"/>
  <c r="CE25" i="1" a="1"/>
  <c r="CE25" i="1" s="1"/>
  <c r="CE127" i="1" a="1"/>
  <c r="CE127" i="1" s="1"/>
  <c r="CE202" i="1" a="1"/>
  <c r="CE202" i="1" s="1"/>
  <c r="CE30" i="1" a="1"/>
  <c r="CE30" i="1" s="1"/>
  <c r="CE128" i="1" a="1"/>
  <c r="CE128" i="1" s="1"/>
  <c r="CE136" i="1" a="1"/>
  <c r="CE136" i="1" s="1"/>
  <c r="CE35" i="1" a="1"/>
  <c r="CE35" i="1" s="1"/>
  <c r="CE186" i="1" a="1"/>
  <c r="CE186" i="1" s="1"/>
  <c r="CE79" i="1" a="1"/>
  <c r="CE79" i="1" s="1"/>
  <c r="CE73" i="1" a="1"/>
  <c r="CE73" i="1" s="1"/>
  <c r="CE120" i="1" a="1"/>
  <c r="CE120" i="1" s="1"/>
  <c r="CE37" i="1" a="1"/>
  <c r="CE37" i="1" s="1"/>
  <c r="CE11" i="1" a="1"/>
  <c r="CE11" i="1" s="1"/>
  <c r="CE89" i="1" a="1"/>
  <c r="CE89" i="1" s="1"/>
  <c r="CE177" i="1" a="1"/>
  <c r="CE177" i="1" s="1"/>
  <c r="CE86" i="1" a="1"/>
  <c r="CE86" i="1" s="1"/>
  <c r="CE103" i="1" a="1"/>
  <c r="CE103" i="1" s="1"/>
  <c r="CE157" i="1" a="1"/>
  <c r="CE157" i="1" s="1"/>
  <c r="CE26" i="1" a="1"/>
  <c r="CE26" i="1" s="1"/>
  <c r="CE72" i="1" a="1"/>
  <c r="CE72" i="1" s="1"/>
  <c r="CE197" i="1" a="1"/>
  <c r="CE197" i="1" s="1"/>
  <c r="CE8" i="1" a="1"/>
  <c r="CE8" i="1" s="1"/>
  <c r="CE96" i="1" a="1"/>
  <c r="CE96" i="1" s="1"/>
  <c r="CE188" i="1" a="1"/>
  <c r="CE188" i="1" s="1"/>
  <c r="CE10" i="1" a="1"/>
  <c r="CE10" i="1" s="1"/>
  <c r="CE109" i="1" a="1"/>
  <c r="CE109" i="1" s="1"/>
  <c r="CE12" i="1" a="1"/>
  <c r="CE12" i="1" s="1"/>
  <c r="CE56" i="1" a="1"/>
  <c r="CE56" i="1" s="1"/>
  <c r="CE187" i="1" a="1"/>
  <c r="CE187" i="1" s="1"/>
  <c r="CE80" i="1" a="1"/>
  <c r="CE80" i="1" s="1"/>
  <c r="CE130" i="1" a="1"/>
  <c r="CE130" i="1" s="1"/>
  <c r="CE38" i="1" a="1"/>
  <c r="CE38" i="1" s="1"/>
  <c r="CE7" i="1" a="1"/>
  <c r="CE7" i="1" s="1"/>
  <c r="CE84" i="1" a="1"/>
  <c r="CE84" i="1" s="1"/>
  <c r="CE61" i="1" a="1"/>
  <c r="CE61" i="1" s="1"/>
  <c r="CE195" i="1" a="1"/>
  <c r="CE195" i="1" s="1"/>
  <c r="IM43" i="1"/>
  <c r="CH126" i="1" a="1"/>
  <c r="CH126" i="1" s="1"/>
  <c r="CE184" i="1" a="1"/>
  <c r="CE184" i="1" s="1"/>
  <c r="CE102" i="1" a="1"/>
  <c r="CE102" i="1" s="1"/>
  <c r="CE134" i="1" a="1"/>
  <c r="CE134" i="1" s="1"/>
  <c r="CE71" i="1" a="1"/>
  <c r="CE71" i="1" s="1"/>
  <c r="CE140" i="1" a="1"/>
  <c r="CE140" i="1" s="1"/>
  <c r="CE27" i="1" a="1"/>
  <c r="CE27" i="1" s="1"/>
  <c r="CE115" i="1" a="1"/>
  <c r="CE115" i="1" s="1"/>
  <c r="CE204" i="1" a="1"/>
  <c r="CE204" i="1" s="1"/>
  <c r="CE138" i="1" a="1"/>
  <c r="CE138" i="1" s="1"/>
  <c r="CE181" i="1" a="1"/>
  <c r="CE181" i="1" s="1"/>
  <c r="CE163" i="1" a="1"/>
  <c r="CE163" i="1" s="1"/>
  <c r="CE199" i="1" a="1"/>
  <c r="CE199" i="1" s="1"/>
  <c r="CE101" i="1" a="1"/>
  <c r="CE101" i="1" s="1"/>
  <c r="CE144" i="1" a="1"/>
  <c r="CE144" i="1" s="1"/>
  <c r="CE15" i="1" a="1"/>
  <c r="CE15" i="1" s="1"/>
  <c r="IM82" i="1"/>
  <c r="GD27" i="1"/>
  <c r="GD42" i="1"/>
  <c r="GD195" i="1"/>
  <c r="IM143" i="1"/>
  <c r="IM117" i="1"/>
  <c r="GD73" i="1"/>
  <c r="HD106" i="1"/>
  <c r="HD133" i="1"/>
  <c r="HD94" i="1"/>
  <c r="HD109" i="1"/>
  <c r="HD101" i="1"/>
  <c r="HD89" i="1"/>
  <c r="HD76" i="1"/>
  <c r="HD65" i="1"/>
  <c r="HN118" i="1"/>
  <c r="HN128" i="1"/>
  <c r="HN125" i="1"/>
  <c r="HN100" i="1"/>
  <c r="HN91" i="1"/>
  <c r="HN105" i="1"/>
  <c r="HN62" i="1"/>
  <c r="GT97" i="1"/>
  <c r="IR86" i="1"/>
  <c r="IR36" i="1"/>
  <c r="IR130" i="1"/>
  <c r="IR91" i="1"/>
  <c r="IR139" i="1"/>
  <c r="IR13" i="1"/>
  <c r="IR46" i="1"/>
  <c r="IR63" i="1"/>
  <c r="IH86" i="1"/>
  <c r="IH137" i="1"/>
  <c r="IH110" i="1"/>
  <c r="IH13" i="1"/>
  <c r="IH97" i="1"/>
  <c r="IH140" i="1"/>
  <c r="IH113" i="1"/>
  <c r="IH129" i="1"/>
  <c r="IH125" i="1"/>
  <c r="IH135" i="1"/>
  <c r="IH127" i="1"/>
  <c r="IH63" i="1"/>
  <c r="IH133" i="1"/>
  <c r="IH46" i="1"/>
  <c r="IH47" i="1"/>
  <c r="IH36" i="1"/>
  <c r="IH120" i="1"/>
  <c r="IH112" i="1"/>
  <c r="HX86" i="1"/>
  <c r="HX46" i="1"/>
  <c r="HX47" i="1"/>
  <c r="HX100" i="1"/>
  <c r="HX130" i="1"/>
  <c r="HX63" i="1"/>
  <c r="HX36" i="1"/>
  <c r="HX124" i="1"/>
  <c r="HX127" i="1"/>
  <c r="HX140" i="1"/>
  <c r="HX129" i="1"/>
  <c r="HX122" i="1"/>
  <c r="HX13" i="1"/>
  <c r="HN63" i="1"/>
  <c r="HN44" i="1"/>
  <c r="HN59" i="1"/>
  <c r="HN66" i="1"/>
  <c r="HN80" i="1"/>
  <c r="HN139" i="1"/>
  <c r="HN49" i="1"/>
  <c r="HN52" i="1"/>
  <c r="HN70" i="1"/>
  <c r="HN54" i="1"/>
  <c r="HN50" i="1"/>
  <c r="HN65" i="1"/>
  <c r="HN13" i="1"/>
  <c r="HN46" i="1"/>
  <c r="HN36" i="1"/>
  <c r="HN51" i="1"/>
  <c r="HN58" i="1"/>
  <c r="HN72" i="1"/>
  <c r="HN47" i="1"/>
  <c r="HN136" i="1"/>
  <c r="HN53" i="1"/>
  <c r="HN61" i="1"/>
  <c r="HN78" i="1"/>
  <c r="HD86" i="1"/>
  <c r="HD36" i="1"/>
  <c r="HD46" i="1"/>
  <c r="HD47" i="1"/>
  <c r="HD139" i="1"/>
  <c r="HD13" i="1"/>
  <c r="GT86" i="1"/>
  <c r="GT47" i="1"/>
  <c r="GT114" i="1"/>
  <c r="GT137" i="1"/>
  <c r="GT127" i="1"/>
  <c r="GT125" i="1"/>
  <c r="GT119" i="1"/>
  <c r="GT133" i="1"/>
  <c r="GT135" i="1"/>
  <c r="GT140" i="1"/>
  <c r="GT13" i="1"/>
  <c r="GT36" i="1"/>
  <c r="GT101" i="1"/>
  <c r="GT120" i="1"/>
  <c r="GT103" i="1"/>
  <c r="GT63" i="1"/>
  <c r="GD12" i="1"/>
  <c r="HD134" i="1"/>
  <c r="IR136" i="1"/>
  <c r="IR116" i="1"/>
  <c r="IR113" i="1"/>
  <c r="IR124" i="1"/>
  <c r="IR103" i="1"/>
  <c r="IR89" i="1"/>
  <c r="IR66" i="1"/>
  <c r="IR49" i="1"/>
  <c r="IR51" i="1"/>
  <c r="HD129" i="1"/>
  <c r="HD93" i="1"/>
  <c r="HD125" i="1"/>
  <c r="HD73" i="1"/>
  <c r="HD96" i="1"/>
  <c r="HD90" i="1"/>
  <c r="HD78" i="1"/>
  <c r="HD70" i="1"/>
  <c r="HD62" i="1"/>
  <c r="HD53" i="1"/>
  <c r="HN137" i="1"/>
  <c r="HN135" i="1"/>
  <c r="HN121" i="1"/>
  <c r="HN114" i="1"/>
  <c r="HN109" i="1"/>
  <c r="HN101" i="1"/>
  <c r="HN73" i="1"/>
  <c r="HN196" i="1"/>
  <c r="GT113" i="1"/>
  <c r="HX101" i="1"/>
  <c r="HX139" i="1"/>
  <c r="CU13" i="1"/>
  <c r="CU36" i="1"/>
  <c r="CU47" i="1"/>
  <c r="CU135" i="1"/>
  <c r="CU63" i="1"/>
  <c r="CU86" i="1"/>
  <c r="CU26" i="1"/>
  <c r="FW26" i="1" s="1"/>
  <c r="CU132" i="1"/>
  <c r="CO86" i="1"/>
  <c r="CO63" i="1"/>
  <c r="FQ63" i="1" s="1"/>
  <c r="CO46" i="1"/>
  <c r="FQ46" i="1" s="1"/>
  <c r="CO13" i="1"/>
  <c r="FQ13" i="1" s="1"/>
  <c r="CO47" i="1"/>
  <c r="CO26" i="1"/>
  <c r="CO25" i="1"/>
  <c r="DI25" i="1" s="1"/>
  <c r="CO108" i="1"/>
  <c r="CO133" i="1"/>
  <c r="JY85" i="1"/>
  <c r="JY46" i="1"/>
  <c r="JY29" i="1"/>
  <c r="JY24" i="1"/>
  <c r="JY191" i="1"/>
  <c r="JY196" i="1"/>
  <c r="JY202" i="1"/>
  <c r="JY178" i="1"/>
  <c r="JY190" i="1"/>
  <c r="JY141" i="1"/>
  <c r="JY133" i="1"/>
  <c r="JY84" i="1"/>
  <c r="JY154" i="1"/>
  <c r="JY146" i="1"/>
  <c r="JY109" i="1"/>
  <c r="JY102" i="1"/>
  <c r="JY115" i="1"/>
  <c r="JY76" i="1"/>
  <c r="JY31" i="1"/>
  <c r="JY44" i="1"/>
  <c r="JY77" i="1"/>
  <c r="JY53" i="1"/>
  <c r="JY58" i="1"/>
  <c r="JY65" i="1"/>
  <c r="JY94" i="1"/>
  <c r="JY111" i="1"/>
  <c r="JY13" i="1"/>
  <c r="JY26" i="1"/>
  <c r="JY25" i="1"/>
  <c r="JY45" i="1"/>
  <c r="JY59" i="1"/>
  <c r="JY66" i="1"/>
  <c r="JY73" i="1"/>
  <c r="JY204" i="1"/>
  <c r="JY187" i="1"/>
  <c r="JY198" i="1"/>
  <c r="JY194" i="1"/>
  <c r="JY173" i="1"/>
  <c r="JY168" i="1"/>
  <c r="JY140" i="1"/>
  <c r="JY132" i="1"/>
  <c r="JY156" i="1"/>
  <c r="JY150" i="1"/>
  <c r="JY166" i="1"/>
  <c r="JY118" i="1"/>
  <c r="JY95" i="1"/>
  <c r="JY71" i="1"/>
  <c r="JY3" i="1"/>
  <c r="JY116" i="1"/>
  <c r="JY51" i="1"/>
  <c r="JY80" i="1"/>
  <c r="JY27" i="1"/>
  <c r="JY98" i="1"/>
  <c r="JY15" i="1"/>
  <c r="JY47" i="1"/>
  <c r="JY36" i="1"/>
  <c r="JY68" i="1"/>
  <c r="JY205" i="1"/>
  <c r="JY183" i="1"/>
  <c r="JY185" i="1"/>
  <c r="JY177" i="1"/>
  <c r="JY161" i="1"/>
  <c r="JY163" i="1"/>
  <c r="JY139" i="1"/>
  <c r="JY131" i="1"/>
  <c r="JY162" i="1"/>
  <c r="JY164" i="1"/>
  <c r="JY145" i="1"/>
  <c r="JY110" i="1"/>
  <c r="JY105" i="1"/>
  <c r="JY97" i="1"/>
  <c r="JY99" i="1"/>
  <c r="JY4" i="1"/>
  <c r="JY16" i="1"/>
  <c r="JY37" i="1"/>
  <c r="JY64" i="1"/>
  <c r="JY72" i="1"/>
  <c r="JY70" i="1"/>
  <c r="JY50" i="1"/>
  <c r="JY201" i="1"/>
  <c r="JY179" i="1"/>
  <c r="JY174" i="1"/>
  <c r="JY175" i="1"/>
  <c r="JY157" i="1"/>
  <c r="JY184" i="1"/>
  <c r="JY138" i="1"/>
  <c r="JY130" i="1"/>
  <c r="JY167" i="1"/>
  <c r="JY151" i="1"/>
  <c r="JY120" i="1"/>
  <c r="JY90" i="1"/>
  <c r="JY101" i="1"/>
  <c r="JY93" i="1"/>
  <c r="JY79" i="1"/>
  <c r="JY5" i="1"/>
  <c r="JY61" i="1"/>
  <c r="JY10" i="1"/>
  <c r="JY78" i="1"/>
  <c r="JY60" i="1"/>
  <c r="JY20" i="1"/>
  <c r="JY38" i="1"/>
  <c r="JY7" i="1"/>
  <c r="JY197" i="1"/>
  <c r="JY182" i="1"/>
  <c r="JY172" i="1"/>
  <c r="JY192" i="1"/>
  <c r="JY153" i="1"/>
  <c r="JY159" i="1"/>
  <c r="JY137" i="1"/>
  <c r="JY129" i="1"/>
  <c r="JY171" i="1"/>
  <c r="JY148" i="1"/>
  <c r="JY113" i="1"/>
  <c r="JY117" i="1"/>
  <c r="JY123" i="1"/>
  <c r="JY83" i="1"/>
  <c r="JY112" i="1"/>
  <c r="JY6" i="1"/>
  <c r="JY23" i="1"/>
  <c r="JY62" i="1"/>
  <c r="JY75" i="1"/>
  <c r="JY17" i="1"/>
  <c r="JY195" i="1"/>
  <c r="JY193" i="1"/>
  <c r="JY170" i="1"/>
  <c r="JY181" i="1"/>
  <c r="JY158" i="1"/>
  <c r="JY142" i="1"/>
  <c r="JY134" i="1"/>
  <c r="JY126" i="1"/>
  <c r="JY149" i="1"/>
  <c r="JY124" i="1"/>
  <c r="JY119" i="1"/>
  <c r="JY103" i="1"/>
  <c r="JY125" i="1"/>
  <c r="JY91" i="1"/>
  <c r="JY81" i="1"/>
  <c r="JY11" i="1"/>
  <c r="JY96" i="1"/>
  <c r="JY49" i="1"/>
  <c r="JY52" i="1"/>
  <c r="JY69" i="1"/>
  <c r="JY35" i="1"/>
  <c r="JO85" i="1"/>
  <c r="JO45" i="1"/>
  <c r="JO55" i="1"/>
  <c r="JO50" i="1"/>
  <c r="JO54" i="1"/>
  <c r="JO134" i="1"/>
  <c r="JO205" i="1"/>
  <c r="JO198" i="1"/>
  <c r="JO178" i="1"/>
  <c r="JO163" i="1"/>
  <c r="JO154" i="1"/>
  <c r="JO200" i="1"/>
  <c r="JO204" i="1"/>
  <c r="JO136" i="1"/>
  <c r="JO133" i="1"/>
  <c r="JO199" i="1"/>
  <c r="JO114" i="1"/>
  <c r="JO115" i="1"/>
  <c r="JO116" i="1"/>
  <c r="JO91" i="1"/>
  <c r="JO102" i="1"/>
  <c r="JO89" i="1"/>
  <c r="JO5" i="1"/>
  <c r="JO11" i="1"/>
  <c r="JO31" i="1"/>
  <c r="JO70" i="1"/>
  <c r="JO38" i="1"/>
  <c r="JO8" i="1"/>
  <c r="JO35" i="1"/>
  <c r="JO27" i="1"/>
  <c r="JO60" i="1"/>
  <c r="JO201" i="1"/>
  <c r="JO184" i="1"/>
  <c r="JO175" i="1"/>
  <c r="JO188" i="1"/>
  <c r="JO189" i="1"/>
  <c r="JO168" i="1"/>
  <c r="JO140" i="1"/>
  <c r="JO195" i="1"/>
  <c r="JO125" i="1"/>
  <c r="JO130" i="1"/>
  <c r="JO110" i="1"/>
  <c r="JO111" i="1"/>
  <c r="JO95" i="1"/>
  <c r="JO139" i="1"/>
  <c r="JO79" i="1"/>
  <c r="JO80" i="1"/>
  <c r="JO6" i="1"/>
  <c r="JO37" i="1"/>
  <c r="JO92" i="1"/>
  <c r="JO12" i="1"/>
  <c r="JO197" i="1"/>
  <c r="JO173" i="1"/>
  <c r="JO192" i="1"/>
  <c r="JO190" i="1"/>
  <c r="JO159" i="1"/>
  <c r="JO172" i="1"/>
  <c r="JO138" i="1"/>
  <c r="JO151" i="1"/>
  <c r="JO121" i="1"/>
  <c r="JO150" i="1"/>
  <c r="JO106" i="1"/>
  <c r="JO90" i="1"/>
  <c r="JO108" i="1"/>
  <c r="JO137" i="1"/>
  <c r="JO29" i="1"/>
  <c r="JO16" i="1"/>
  <c r="JO49" i="1"/>
  <c r="JO78" i="1"/>
  <c r="JO129" i="1"/>
  <c r="JO193" i="1"/>
  <c r="JO194" i="1"/>
  <c r="JO171" i="1"/>
  <c r="JO196" i="1"/>
  <c r="JO181" i="1"/>
  <c r="JO161" i="1"/>
  <c r="JO132" i="1"/>
  <c r="JO147" i="1"/>
  <c r="JO117" i="1"/>
  <c r="JO148" i="1"/>
  <c r="JO152" i="1"/>
  <c r="JO103" i="1"/>
  <c r="JO131" i="1"/>
  <c r="JO97" i="1"/>
  <c r="JO82" i="1"/>
  <c r="JO51" i="1"/>
  <c r="JO52" i="1"/>
  <c r="JO71" i="1"/>
  <c r="JO46" i="1"/>
  <c r="JO26" i="1"/>
  <c r="JO63" i="1"/>
  <c r="JO65" i="1"/>
  <c r="JO17" i="1"/>
  <c r="JO203" i="1"/>
  <c r="JO191" i="1"/>
  <c r="JO167" i="1"/>
  <c r="JO176" i="1"/>
  <c r="JO170" i="1"/>
  <c r="JO179" i="1"/>
  <c r="JO128" i="1"/>
  <c r="JO180" i="1"/>
  <c r="JO113" i="1"/>
  <c r="JO142" i="1"/>
  <c r="JO160" i="1"/>
  <c r="JO99" i="1"/>
  <c r="JO100" i="1"/>
  <c r="JO93" i="1"/>
  <c r="JO81" i="1"/>
  <c r="JO3" i="1"/>
  <c r="JO59" i="1"/>
  <c r="JO23" i="1"/>
  <c r="JO73" i="1"/>
  <c r="JO53" i="1"/>
  <c r="JO36" i="1"/>
  <c r="JO25" i="1"/>
  <c r="JO43" i="1"/>
  <c r="JO96" i="1"/>
  <c r="JO47" i="1"/>
  <c r="JO15" i="1"/>
  <c r="JO20" i="1"/>
  <c r="JO58" i="1"/>
  <c r="JO69" i="1"/>
  <c r="JO24" i="1"/>
  <c r="JO66" i="1"/>
  <c r="JO186" i="1"/>
  <c r="JO182" i="1"/>
  <c r="JO164" i="1"/>
  <c r="JO158" i="1"/>
  <c r="JO202" i="1"/>
  <c r="JO145" i="1"/>
  <c r="JO146" i="1"/>
  <c r="JO141" i="1"/>
  <c r="JO101" i="1"/>
  <c r="JO118" i="1"/>
  <c r="JO119" i="1"/>
  <c r="JO120" i="1"/>
  <c r="JO94" i="1"/>
  <c r="JO144" i="1"/>
  <c r="JO68" i="1"/>
  <c r="JO61" i="1"/>
  <c r="JO10" i="1"/>
  <c r="JO76" i="1"/>
  <c r="JJ194" i="1"/>
  <c r="JJ181" i="1"/>
  <c r="JJ164" i="1"/>
  <c r="JJ155" i="1"/>
  <c r="JJ131" i="1"/>
  <c r="JJ134" i="1"/>
  <c r="JJ130" i="1"/>
  <c r="JJ96" i="1"/>
  <c r="JJ125" i="1"/>
  <c r="JJ100" i="1"/>
  <c r="JJ94" i="1"/>
  <c r="JJ118" i="1"/>
  <c r="JJ193" i="1"/>
  <c r="JJ180" i="1"/>
  <c r="JJ161" i="1"/>
  <c r="JJ175" i="1"/>
  <c r="JJ127" i="1"/>
  <c r="JJ129" i="1"/>
  <c r="JJ128" i="1"/>
  <c r="JJ153" i="1"/>
  <c r="JJ121" i="1"/>
  <c r="JJ159" i="1"/>
  <c r="JJ117" i="1"/>
  <c r="JJ190" i="1"/>
  <c r="JJ178" i="1"/>
  <c r="JJ157" i="1"/>
  <c r="JJ171" i="1"/>
  <c r="JJ150" i="1"/>
  <c r="JJ139" i="1"/>
  <c r="JJ160" i="1"/>
  <c r="JJ122" i="1"/>
  <c r="JJ111" i="1"/>
  <c r="JJ120" i="1"/>
  <c r="JJ109" i="1"/>
  <c r="JJ205" i="1"/>
  <c r="JJ187" i="1"/>
  <c r="JJ170" i="1"/>
  <c r="JJ177" i="1"/>
  <c r="JJ158" i="1"/>
  <c r="JJ140" i="1"/>
  <c r="JJ124" i="1"/>
  <c r="JJ141" i="1"/>
  <c r="JJ116" i="1"/>
  <c r="JJ115" i="1"/>
  <c r="JJ142" i="1"/>
  <c r="JJ55" i="1"/>
  <c r="JJ204" i="1"/>
  <c r="JJ186" i="1"/>
  <c r="JJ167" i="1"/>
  <c r="JJ156" i="1"/>
  <c r="JJ173" i="1"/>
  <c r="JJ138" i="1"/>
  <c r="JJ133" i="1"/>
  <c r="JJ137" i="1"/>
  <c r="JJ95" i="1"/>
  <c r="JJ112" i="1"/>
  <c r="JJ119" i="1"/>
  <c r="JJ198" i="1"/>
  <c r="JJ182" i="1"/>
  <c r="JJ166" i="1"/>
  <c r="JJ162" i="1"/>
  <c r="JJ135" i="1"/>
  <c r="JJ148" i="1"/>
  <c r="JJ132" i="1"/>
  <c r="JJ106" i="1"/>
  <c r="K89" i="1"/>
  <c r="L89" i="1" s="1"/>
  <c r="IR140" i="1"/>
  <c r="IR128" i="1"/>
  <c r="IR127" i="1"/>
  <c r="IR122" i="1"/>
  <c r="IR96" i="1"/>
  <c r="IR95" i="1"/>
  <c r="IR77" i="1"/>
  <c r="IR60" i="1"/>
  <c r="IR45" i="1"/>
  <c r="HD138" i="1"/>
  <c r="HD128" i="1"/>
  <c r="HD119" i="1"/>
  <c r="HD112" i="1"/>
  <c r="HD105" i="1"/>
  <c r="HD80" i="1"/>
  <c r="HD79" i="1"/>
  <c r="HD60" i="1"/>
  <c r="HD56" i="1"/>
  <c r="HN126" i="1"/>
  <c r="HN129" i="1"/>
  <c r="HN124" i="1"/>
  <c r="HN93" i="1"/>
  <c r="HN97" i="1"/>
  <c r="HN82" i="1"/>
  <c r="HN69" i="1"/>
  <c r="GD37" i="1"/>
  <c r="IR129" i="1"/>
  <c r="IR132" i="1"/>
  <c r="IR120" i="1"/>
  <c r="IR115" i="1"/>
  <c r="IR75" i="1"/>
  <c r="IR90" i="1"/>
  <c r="IR71" i="1"/>
  <c r="IR76" i="1"/>
  <c r="IR59" i="1"/>
  <c r="IR44" i="1"/>
  <c r="HD136" i="1"/>
  <c r="HD118" i="1"/>
  <c r="HD113" i="1"/>
  <c r="HD114" i="1"/>
  <c r="HD111" i="1"/>
  <c r="HD102" i="1"/>
  <c r="HD82" i="1"/>
  <c r="HD50" i="1"/>
  <c r="HD58" i="1"/>
  <c r="HD55" i="1"/>
  <c r="HD131" i="1"/>
  <c r="HN134" i="1"/>
  <c r="HN122" i="1"/>
  <c r="HN127" i="1"/>
  <c r="HN110" i="1"/>
  <c r="HN104" i="1"/>
  <c r="HN96" i="1"/>
  <c r="HN79" i="1"/>
  <c r="HN68" i="1"/>
  <c r="GO118" i="1"/>
  <c r="GO136" i="1"/>
  <c r="GO132" i="1"/>
  <c r="HD137" i="1"/>
  <c r="IR121" i="1"/>
  <c r="IR104" i="1"/>
  <c r="IR125" i="1"/>
  <c r="IR99" i="1"/>
  <c r="IR78" i="1"/>
  <c r="IR70" i="1"/>
  <c r="IR54" i="1"/>
  <c r="HD140" i="1"/>
  <c r="HD116" i="1"/>
  <c r="HD110" i="1"/>
  <c r="HD124" i="1"/>
  <c r="HD92" i="1"/>
  <c r="HD75" i="1"/>
  <c r="HD77" i="1"/>
  <c r="HD54" i="1"/>
  <c r="HD51" i="1"/>
  <c r="IR131" i="1"/>
  <c r="HN131" i="1"/>
  <c r="HN99" i="1"/>
  <c r="HN120" i="1"/>
  <c r="HN94" i="1"/>
  <c r="HN77" i="1"/>
  <c r="HN55" i="1"/>
  <c r="HX120" i="1"/>
  <c r="HX133" i="1"/>
  <c r="JN13" i="1"/>
  <c r="K73" i="1"/>
  <c r="L73" i="1" s="1"/>
  <c r="BC24" i="1"/>
  <c r="GD54" i="1"/>
  <c r="HS72" i="1"/>
  <c r="CH44" i="1" a="1"/>
  <c r="CH44" i="1" s="1"/>
  <c r="CH119" i="1" a="1"/>
  <c r="CH119" i="1" s="1"/>
  <c r="CH153" i="1" a="1"/>
  <c r="CH153" i="1" s="1"/>
  <c r="CH89" i="1" a="1"/>
  <c r="CH89" i="1" s="1"/>
  <c r="CH148" i="1" a="1"/>
  <c r="CH148" i="1" s="1"/>
  <c r="CH182" i="1" a="1"/>
  <c r="CH182" i="1" s="1"/>
  <c r="K33" i="1"/>
  <c r="L33" i="1" s="1"/>
  <c r="K18" i="1"/>
  <c r="L18" i="1" s="1"/>
  <c r="K3" i="1"/>
  <c r="L3" i="1" s="1"/>
  <c r="K77" i="1"/>
  <c r="L77" i="1" s="1"/>
  <c r="K59" i="1"/>
  <c r="L59" i="1" s="1"/>
  <c r="HF47" i="1"/>
  <c r="HF26" i="1"/>
  <c r="HF85" i="1"/>
  <c r="HF82" i="1"/>
  <c r="HF86" i="1"/>
  <c r="HF46" i="1"/>
  <c r="HF25" i="1"/>
  <c r="HF63" i="1"/>
  <c r="HF13" i="1"/>
  <c r="GV86" i="1"/>
  <c r="GV46" i="1"/>
  <c r="GV25" i="1"/>
  <c r="GV26" i="1"/>
  <c r="GV47" i="1"/>
  <c r="GV36" i="1"/>
  <c r="GV109" i="1"/>
  <c r="GV13" i="1"/>
  <c r="GV63" i="1"/>
  <c r="CH30" i="1" a="1"/>
  <c r="CH30" i="1" s="1"/>
  <c r="CH129" i="1" a="1"/>
  <c r="CH129" i="1" s="1"/>
  <c r="CH95" i="1" a="1"/>
  <c r="CH95" i="1" s="1"/>
  <c r="CH36" i="1" a="1"/>
  <c r="CH36" i="1" s="1"/>
  <c r="CH180" i="1" a="1"/>
  <c r="CH180" i="1" s="1"/>
  <c r="CH62" i="1" a="1"/>
  <c r="CH62" i="1" s="1"/>
  <c r="HM13" i="1"/>
  <c r="HM117" i="1"/>
  <c r="CH155" i="1" a="1"/>
  <c r="CH155" i="1" s="1"/>
  <c r="CH136" i="1" a="1"/>
  <c r="CH136" i="1" s="1"/>
  <c r="CH191" i="1" a="1"/>
  <c r="CH191" i="1" s="1"/>
  <c r="CH122" i="1" a="1"/>
  <c r="CH122" i="1" s="1"/>
  <c r="CH52" i="1" a="1"/>
  <c r="CH52" i="1" s="1"/>
  <c r="K100" i="1"/>
  <c r="L100" i="1" s="1"/>
  <c r="K83" i="1"/>
  <c r="L83" i="1" s="1"/>
  <c r="JE85" i="1"/>
  <c r="JE46" i="1"/>
  <c r="JE26" i="1"/>
  <c r="JE16" i="1"/>
  <c r="JE68" i="1"/>
  <c r="JE72" i="1"/>
  <c r="JE52" i="1"/>
  <c r="JE43" i="1"/>
  <c r="JE12" i="1"/>
  <c r="JE191" i="1"/>
  <c r="JE205" i="1"/>
  <c r="JE173" i="1"/>
  <c r="JE177" i="1"/>
  <c r="JE178" i="1"/>
  <c r="JE143" i="1"/>
  <c r="JE155" i="1"/>
  <c r="JE183" i="1"/>
  <c r="JE111" i="1"/>
  <c r="JE120" i="1"/>
  <c r="JE117" i="1"/>
  <c r="JE96" i="1"/>
  <c r="JE101" i="1"/>
  <c r="JE127" i="1"/>
  <c r="JE70" i="1"/>
  <c r="JE76" i="1"/>
  <c r="JE5" i="1"/>
  <c r="JE36" i="1"/>
  <c r="JE51" i="1"/>
  <c r="JE10" i="1"/>
  <c r="JE67" i="1"/>
  <c r="JE11" i="1"/>
  <c r="JE59" i="1"/>
  <c r="JE27" i="1"/>
  <c r="JE60" i="1"/>
  <c r="JE35" i="1"/>
  <c r="JE45" i="1"/>
  <c r="JE24" i="1"/>
  <c r="JE192" i="1"/>
  <c r="JE189" i="1"/>
  <c r="JE200" i="1"/>
  <c r="JE167" i="1"/>
  <c r="JE150" i="1"/>
  <c r="JE154" i="1"/>
  <c r="JE201" i="1"/>
  <c r="JE126" i="1"/>
  <c r="JE138" i="1"/>
  <c r="JE99" i="1"/>
  <c r="JE142" i="1"/>
  <c r="JE93" i="1"/>
  <c r="JE121" i="1"/>
  <c r="JE98" i="1"/>
  <c r="JE69" i="1"/>
  <c r="JE88" i="1"/>
  <c r="JE47" i="1"/>
  <c r="JE71" i="1"/>
  <c r="JE49" i="1"/>
  <c r="JE64" i="1"/>
  <c r="JE61" i="1"/>
  <c r="JE55" i="1"/>
  <c r="JE50" i="1"/>
  <c r="JE190" i="1"/>
  <c r="JE174" i="1"/>
  <c r="JE181" i="1"/>
  <c r="JE153" i="1"/>
  <c r="JE187" i="1"/>
  <c r="JE163" i="1"/>
  <c r="JE184" i="1"/>
  <c r="JE122" i="1"/>
  <c r="JE134" i="1"/>
  <c r="JE172" i="1"/>
  <c r="JE188" i="1"/>
  <c r="JE114" i="1"/>
  <c r="JE105" i="1"/>
  <c r="JE94" i="1"/>
  <c r="JE65" i="1"/>
  <c r="JE82" i="1"/>
  <c r="JE63" i="1"/>
  <c r="JE29" i="1"/>
  <c r="JE20" i="1"/>
  <c r="JE44" i="1"/>
  <c r="JE37" i="1"/>
  <c r="JE62" i="1"/>
  <c r="JE7" i="1"/>
  <c r="JE199" i="1"/>
  <c r="JE202" i="1"/>
  <c r="JE171" i="1"/>
  <c r="JE149" i="1"/>
  <c r="JE151" i="1"/>
  <c r="JE158" i="1"/>
  <c r="JE144" i="1"/>
  <c r="JE118" i="1"/>
  <c r="JE123" i="1"/>
  <c r="JE131" i="1"/>
  <c r="JE146" i="1"/>
  <c r="JE148" i="1"/>
  <c r="JE89" i="1"/>
  <c r="JE129" i="1"/>
  <c r="JE106" i="1"/>
  <c r="JE81" i="1"/>
  <c r="JE54" i="1"/>
  <c r="JE13" i="1"/>
  <c r="JE25" i="1"/>
  <c r="JE8" i="1"/>
  <c r="JE42" i="1"/>
  <c r="JE193" i="1"/>
  <c r="JE186" i="1"/>
  <c r="JE170" i="1"/>
  <c r="JE165" i="1"/>
  <c r="JE185" i="1"/>
  <c r="JE145" i="1"/>
  <c r="JE162" i="1"/>
  <c r="JE137" i="1"/>
  <c r="JE115" i="1"/>
  <c r="JE124" i="1"/>
  <c r="JE140" i="1"/>
  <c r="JE104" i="1"/>
  <c r="JE102" i="1"/>
  <c r="JE91" i="1"/>
  <c r="JE75" i="1"/>
  <c r="JE79" i="1"/>
  <c r="IX197" i="1"/>
  <c r="IX188" i="1"/>
  <c r="IX157" i="1"/>
  <c r="IX138" i="1"/>
  <c r="IX130" i="1"/>
  <c r="IX182" i="1"/>
  <c r="IX124" i="1"/>
  <c r="IX101" i="1"/>
  <c r="IX116" i="1"/>
  <c r="IX193" i="1"/>
  <c r="IX184" i="1"/>
  <c r="IX179" i="1"/>
  <c r="IX155" i="1"/>
  <c r="IX137" i="1"/>
  <c r="IX129" i="1"/>
  <c r="IX180" i="1"/>
  <c r="IX120" i="1"/>
  <c r="IX158" i="1"/>
  <c r="IX99" i="1"/>
  <c r="IX114" i="1"/>
  <c r="IX189" i="1"/>
  <c r="IX178" i="1"/>
  <c r="IX181" i="1"/>
  <c r="IX145" i="1"/>
  <c r="IX135" i="1"/>
  <c r="IX127" i="1"/>
  <c r="IX163" i="1"/>
  <c r="IX121" i="1"/>
  <c r="IX122" i="1"/>
  <c r="IX108" i="1"/>
  <c r="IX119" i="1"/>
  <c r="IX4" i="1"/>
  <c r="IX204" i="1"/>
  <c r="IX203" i="1"/>
  <c r="IX172" i="1"/>
  <c r="IX144" i="1"/>
  <c r="IX134" i="1"/>
  <c r="IX196" i="1"/>
  <c r="IX147" i="1"/>
  <c r="IX117" i="1"/>
  <c r="IX118" i="1"/>
  <c r="IX123" i="1"/>
  <c r="IX115" i="1"/>
  <c r="IX110" i="1"/>
  <c r="IX202" i="1"/>
  <c r="IX173" i="1"/>
  <c r="IX171" i="1"/>
  <c r="IX143" i="1"/>
  <c r="IX133" i="1"/>
  <c r="IX162" i="1"/>
  <c r="IX146" i="1"/>
  <c r="IX113" i="1"/>
  <c r="IX151" i="1"/>
  <c r="IX106" i="1"/>
  <c r="IX201" i="1"/>
  <c r="IX174" i="1"/>
  <c r="IX152" i="1"/>
  <c r="IX139" i="1"/>
  <c r="IX131" i="1"/>
  <c r="IX154" i="1"/>
  <c r="IX156" i="1"/>
  <c r="IX112" i="1"/>
  <c r="IX170" i="1"/>
  <c r="CH43" i="1" a="1"/>
  <c r="CH43" i="1" s="1"/>
  <c r="CH99" i="1" a="1"/>
  <c r="CH99" i="1" s="1"/>
  <c r="K63" i="1"/>
  <c r="L63" i="1" s="1"/>
  <c r="K57" i="1"/>
  <c r="L57" i="1" s="1"/>
  <c r="KC193" i="1"/>
  <c r="KC182" i="1"/>
  <c r="KC196" i="1"/>
  <c r="KC162" i="1"/>
  <c r="KC177" i="1"/>
  <c r="KC140" i="1"/>
  <c r="KC183" i="1"/>
  <c r="KC133" i="1"/>
  <c r="KC153" i="1"/>
  <c r="KC148" i="1"/>
  <c r="KC175" i="1"/>
  <c r="KC178" i="1"/>
  <c r="KC192" i="1"/>
  <c r="KC164" i="1"/>
  <c r="KC156" i="1"/>
  <c r="KC150" i="1"/>
  <c r="KC117" i="1"/>
  <c r="KC122" i="1"/>
  <c r="KC119" i="1"/>
  <c r="KC129" i="1"/>
  <c r="KC174" i="1"/>
  <c r="KC202" i="1"/>
  <c r="KC160" i="1"/>
  <c r="KC169" i="1"/>
  <c r="KC142" i="1"/>
  <c r="KC163" i="1"/>
  <c r="KC113" i="1"/>
  <c r="KC118" i="1"/>
  <c r="KC115" i="1"/>
  <c r="KC124" i="1"/>
  <c r="KC173" i="1"/>
  <c r="KC200" i="1"/>
  <c r="KC199" i="1"/>
  <c r="KC184" i="1"/>
  <c r="KC132" i="1"/>
  <c r="KC146" i="1"/>
  <c r="KC114" i="1"/>
  <c r="KC111" i="1"/>
  <c r="KC120" i="1"/>
  <c r="KC197" i="1"/>
  <c r="KC195" i="1"/>
  <c r="KC167" i="1"/>
  <c r="KC176" i="1"/>
  <c r="KC204" i="1"/>
  <c r="KC165" i="1"/>
  <c r="KC147" i="1"/>
  <c r="KC112" i="1"/>
  <c r="CH49" i="1" a="1"/>
  <c r="CH49" i="1" s="1"/>
  <c r="CH197" i="1" a="1"/>
  <c r="CH197" i="1" s="1"/>
  <c r="CH46" i="1" a="1"/>
  <c r="CH46" i="1" s="1"/>
  <c r="CH201" i="1" a="1"/>
  <c r="CH201" i="1" s="1"/>
  <c r="CH81" i="1" a="1"/>
  <c r="CH81" i="1" s="1"/>
  <c r="CH200" i="1" a="1"/>
  <c r="CH200" i="1" s="1"/>
  <c r="CH146" i="1" a="1"/>
  <c r="CH146" i="1" s="1"/>
  <c r="CH75" i="1" a="1"/>
  <c r="CH75" i="1" s="1"/>
  <c r="CH179" i="1" a="1"/>
  <c r="CH179" i="1" s="1"/>
  <c r="GY125" i="1"/>
  <c r="IM125" i="1"/>
  <c r="GM36" i="1"/>
  <c r="GM25" i="1"/>
  <c r="GM47" i="1"/>
  <c r="GM85" i="1"/>
  <c r="GM90" i="1"/>
  <c r="GM63" i="1"/>
  <c r="GM46" i="1"/>
  <c r="GM26" i="1"/>
  <c r="KF13" i="1"/>
  <c r="GC86" i="1"/>
  <c r="JN143" i="1"/>
  <c r="JN141" i="1"/>
  <c r="JN199" i="1"/>
  <c r="JN149" i="1"/>
  <c r="JN157" i="1"/>
  <c r="JN165" i="1"/>
  <c r="JN182" i="1"/>
  <c r="JN191" i="1"/>
  <c r="JN204" i="1"/>
  <c r="KF50" i="1"/>
  <c r="KF78" i="1"/>
  <c r="KF66" i="1"/>
  <c r="KF42" i="1"/>
  <c r="GC126" i="1"/>
  <c r="IA63" i="1"/>
  <c r="IT25" i="1"/>
  <c r="JN36" i="1"/>
  <c r="HH36" i="1"/>
  <c r="HQ47" i="1"/>
  <c r="GC47" i="1"/>
  <c r="IA46" i="1"/>
  <c r="CS13" i="1"/>
  <c r="HH13" i="1"/>
  <c r="IJ13" i="1"/>
  <c r="CT85" i="1"/>
  <c r="KF60" i="1"/>
  <c r="KF58" i="1"/>
  <c r="JX12" i="1"/>
  <c r="KF54" i="1"/>
  <c r="IT16" i="1"/>
  <c r="KF43" i="1"/>
  <c r="IA140" i="1"/>
  <c r="GC25" i="1"/>
  <c r="IJ25" i="1"/>
  <c r="JN26" i="1"/>
  <c r="IJ36" i="1"/>
  <c r="IJ47" i="1"/>
  <c r="CS46" i="1"/>
  <c r="JX13" i="1"/>
  <c r="K42" i="1"/>
  <c r="L42" i="1" s="1"/>
  <c r="JX36" i="1"/>
  <c r="IJ26" i="1"/>
  <c r="JX47" i="1"/>
  <c r="JN46" i="1"/>
  <c r="IT46" i="1"/>
  <c r="KF52" i="1"/>
  <c r="KF37" i="1"/>
  <c r="IJ63" i="1"/>
  <c r="CS63" i="1"/>
  <c r="IT63" i="1"/>
  <c r="HQ106" i="1"/>
  <c r="IT26" i="1"/>
  <c r="IA36" i="1"/>
  <c r="CS36" i="1"/>
  <c r="CS47" i="1"/>
  <c r="IJ46" i="1"/>
  <c r="HQ13" i="1"/>
  <c r="K98" i="1"/>
  <c r="K49" i="1"/>
  <c r="K107" i="1"/>
  <c r="IU85" i="1"/>
  <c r="HT89" i="1"/>
  <c r="JQ47" i="1"/>
  <c r="JQ23" i="1"/>
  <c r="GY16" i="1"/>
  <c r="JQ16" i="1"/>
  <c r="GO88" i="1"/>
  <c r="HI61" i="1"/>
  <c r="IW16" i="1"/>
  <c r="GY47" i="1"/>
  <c r="HI16" i="1"/>
  <c r="HI72" i="1"/>
  <c r="HI5" i="1"/>
  <c r="HI47" i="1"/>
  <c r="HI88" i="1"/>
  <c r="IW72" i="1"/>
  <c r="GO72" i="1"/>
  <c r="HT60" i="1"/>
  <c r="GO16" i="1"/>
  <c r="GY61" i="1"/>
  <c r="GY5" i="1"/>
  <c r="JG61" i="1"/>
  <c r="JQ5" i="1"/>
  <c r="GE47" i="1"/>
  <c r="GE16" i="1"/>
  <c r="GE88" i="1"/>
  <c r="IW5" i="1"/>
  <c r="GE61" i="1"/>
  <c r="GO61" i="1"/>
  <c r="KA16" i="1"/>
  <c r="GO23" i="1"/>
  <c r="IC61" i="1"/>
  <c r="GE72" i="1"/>
  <c r="IC72" i="1"/>
  <c r="IM5" i="1"/>
  <c r="IC23" i="1"/>
  <c r="KA72" i="1"/>
  <c r="IM23" i="1"/>
  <c r="IW23" i="1"/>
  <c r="KA47" i="1"/>
  <c r="DV1" i="1"/>
  <c r="GE23" i="1"/>
  <c r="EE175" i="1"/>
  <c r="GY88" i="1"/>
  <c r="JQ88" i="1"/>
  <c r="DY1" i="1"/>
  <c r="DY95" i="1" s="1"/>
  <c r="KA5" i="1"/>
  <c r="IC16" i="1"/>
  <c r="IC47" i="1"/>
  <c r="IW47" i="1"/>
  <c r="IC5" i="1"/>
  <c r="JG5" i="1"/>
  <c r="IC88" i="1"/>
  <c r="HT29" i="1"/>
  <c r="A5" i="7"/>
  <c r="IM16" i="1"/>
  <c r="IM47" i="1"/>
  <c r="KA23" i="1"/>
  <c r="IM61" i="1"/>
  <c r="JG88" i="1"/>
  <c r="JG47" i="1"/>
  <c r="JG16" i="1"/>
  <c r="JG23" i="1"/>
  <c r="DU1" i="1"/>
  <c r="DU77" i="1" s="1"/>
  <c r="KA88" i="1"/>
  <c r="HI23" i="1"/>
  <c r="JQ61" i="1"/>
  <c r="IM72" i="1"/>
  <c r="GE5" i="1"/>
  <c r="IW61" i="1"/>
  <c r="KA61" i="1"/>
  <c r="JG72" i="1"/>
  <c r="HT31" i="1"/>
  <c r="IM88" i="1"/>
  <c r="IW88" i="1"/>
  <c r="HS126" i="1"/>
  <c r="HS134" i="1"/>
  <c r="IW204" i="1"/>
  <c r="HS140" i="1"/>
  <c r="JQ62" i="1"/>
  <c r="JQ117" i="1"/>
  <c r="JQ135" i="1"/>
  <c r="JQ127" i="1"/>
  <c r="JQ99" i="1"/>
  <c r="JQ137" i="1"/>
  <c r="JQ98" i="1"/>
  <c r="JQ178" i="1"/>
  <c r="JQ157" i="1"/>
  <c r="JQ142" i="1"/>
  <c r="JQ182" i="1"/>
  <c r="JQ204" i="1"/>
  <c r="JQ186" i="1"/>
  <c r="JQ197" i="1"/>
  <c r="JQ56" i="1"/>
  <c r="GD85" i="1"/>
  <c r="JZ55" i="1"/>
  <c r="BL219" i="1"/>
  <c r="JQ4" i="1"/>
  <c r="JQ89" i="1"/>
  <c r="JQ90" i="1"/>
  <c r="JQ141" i="1"/>
  <c r="JQ112" i="1"/>
  <c r="JQ152" i="1"/>
  <c r="JQ132" i="1"/>
  <c r="JQ164" i="1"/>
  <c r="JQ147" i="1"/>
  <c r="JQ167" i="1"/>
  <c r="JQ190" i="1"/>
  <c r="JQ168" i="1"/>
  <c r="JQ188" i="1"/>
  <c r="JQ201" i="1"/>
  <c r="JQ109" i="1"/>
  <c r="JG62" i="1"/>
  <c r="JG194" i="1"/>
  <c r="HS113" i="1"/>
  <c r="JQ104" i="1"/>
  <c r="JQ102" i="1"/>
  <c r="JQ124" i="1"/>
  <c r="JQ158" i="1"/>
  <c r="JQ140" i="1"/>
  <c r="JQ162" i="1"/>
  <c r="JQ151" i="1"/>
  <c r="JQ156" i="1"/>
  <c r="JQ149" i="1"/>
  <c r="JQ177" i="1"/>
  <c r="JQ195" i="1"/>
  <c r="JQ205" i="1"/>
  <c r="JQ24" i="1"/>
  <c r="JQ3" i="1"/>
  <c r="JQ72" i="1"/>
  <c r="JQ111" i="1"/>
  <c r="JQ115" i="1"/>
  <c r="JQ139" i="1"/>
  <c r="JQ92" i="1"/>
  <c r="JQ150" i="1"/>
  <c r="JQ166" i="1"/>
  <c r="JQ146" i="1"/>
  <c r="JQ163" i="1"/>
  <c r="JQ153" i="1"/>
  <c r="JQ173" i="1"/>
  <c r="JQ176" i="1"/>
  <c r="JQ203" i="1"/>
  <c r="GE35" i="1"/>
  <c r="GF1" i="1"/>
  <c r="IM81" i="1"/>
  <c r="IM36" i="1"/>
  <c r="IM35" i="1"/>
  <c r="BN219" i="1"/>
  <c r="BL212" i="1"/>
  <c r="BJ212" i="1"/>
  <c r="HS78" i="1"/>
  <c r="IC35" i="1"/>
  <c r="BO212" i="1"/>
  <c r="BQ212" i="1"/>
  <c r="IC36" i="1"/>
  <c r="BK212" i="1"/>
  <c r="IW36" i="1"/>
  <c r="JG36" i="1"/>
  <c r="BM212" i="1"/>
  <c r="JG171" i="1"/>
  <c r="BI212" i="1"/>
  <c r="BH212" i="1"/>
  <c r="JG114" i="1"/>
  <c r="CH147" i="1" a="1"/>
  <c r="CH147" i="1" s="1"/>
  <c r="CH171" i="1" a="1"/>
  <c r="CH171" i="1" s="1"/>
  <c r="CH61" i="1" a="1"/>
  <c r="CH61" i="1" s="1"/>
  <c r="CH113" i="1" a="1"/>
  <c r="CH113" i="1" s="1"/>
  <c r="CH127" i="1" a="1"/>
  <c r="CH127" i="1" s="1"/>
  <c r="CH165" i="1" a="1"/>
  <c r="CH165" i="1" s="1"/>
  <c r="CH143" i="1" a="1"/>
  <c r="CH143" i="1" s="1"/>
  <c r="CH7" i="1" a="1"/>
  <c r="CH7" i="1" s="1"/>
  <c r="CH45" i="1" a="1"/>
  <c r="CH45" i="1" s="1"/>
  <c r="CH199" i="1" a="1"/>
  <c r="CH199" i="1" s="1"/>
  <c r="CH88" i="1" a="1"/>
  <c r="CH88" i="1" s="1"/>
  <c r="CH167" i="1" a="1"/>
  <c r="CH167" i="1" s="1"/>
  <c r="CH177" i="1" a="1"/>
  <c r="CH177" i="1" s="1"/>
  <c r="CH164" i="1" a="1"/>
  <c r="CH164" i="1" s="1"/>
  <c r="CH115" i="1" a="1"/>
  <c r="CH115" i="1" s="1"/>
  <c r="CH68" i="1" a="1"/>
  <c r="CH68" i="1" s="1"/>
  <c r="CH38" i="1" a="1"/>
  <c r="CH38" i="1" s="1"/>
  <c r="CH176" i="1" a="1"/>
  <c r="CH176" i="1" s="1"/>
  <c r="CH139" i="1" a="1"/>
  <c r="CH139" i="1" s="1"/>
  <c r="CH123" i="1" a="1"/>
  <c r="CH123" i="1" s="1"/>
  <c r="CH116" i="1" a="1"/>
  <c r="CH116" i="1" s="1"/>
  <c r="CH145" i="1" a="1"/>
  <c r="CH145" i="1" s="1"/>
  <c r="CH5" i="1" a="1"/>
  <c r="CH5" i="1" s="1"/>
  <c r="CH134" i="1" a="1"/>
  <c r="CH134" i="1" s="1"/>
  <c r="CH196" i="1" a="1"/>
  <c r="CH196" i="1" s="1"/>
  <c r="CH29" i="1" a="1"/>
  <c r="CH29" i="1" s="1"/>
  <c r="CH69" i="1" a="1"/>
  <c r="CH69" i="1" s="1"/>
  <c r="CH135" i="1" a="1"/>
  <c r="CH135" i="1" s="1"/>
  <c r="CH70" i="1" a="1"/>
  <c r="CH70" i="1" s="1"/>
  <c r="CH77" i="1" a="1"/>
  <c r="CH77" i="1" s="1"/>
  <c r="CH140" i="1" a="1"/>
  <c r="CH140" i="1" s="1"/>
  <c r="CH64" i="1" a="1"/>
  <c r="CH64" i="1" s="1"/>
  <c r="CH181" i="1" a="1"/>
  <c r="CH181" i="1" s="1"/>
  <c r="CH54" i="1" a="1"/>
  <c r="CH54" i="1" s="1"/>
  <c r="CH188" i="1" a="1"/>
  <c r="CH188" i="1" s="1"/>
  <c r="CH50" i="1" a="1"/>
  <c r="CH50" i="1" s="1"/>
  <c r="CH86" i="1" a="1"/>
  <c r="CH86" i="1" s="1"/>
  <c r="CH109" i="1" a="1"/>
  <c r="CH109" i="1" s="1"/>
  <c r="CH120" i="1" a="1"/>
  <c r="CH120" i="1" s="1"/>
  <c r="CH60" i="1" a="1"/>
  <c r="CH60" i="1" s="1"/>
  <c r="CH168" i="1" a="1"/>
  <c r="CH168" i="1" s="1"/>
  <c r="CH6" i="1" a="1"/>
  <c r="CH6" i="1" s="1"/>
  <c r="CH166" i="1" a="1"/>
  <c r="CH166" i="1" s="1"/>
  <c r="CH183" i="1" a="1"/>
  <c r="CH183" i="1" s="1"/>
  <c r="CH16" i="1" a="1"/>
  <c r="CH16" i="1" s="1"/>
  <c r="CH128" i="1" a="1"/>
  <c r="CH128" i="1" s="1"/>
  <c r="CH23" i="1" a="1"/>
  <c r="CH23" i="1" s="1"/>
  <c r="CH152" i="1" a="1"/>
  <c r="CH152" i="1" s="1"/>
  <c r="CH194" i="1" a="1"/>
  <c r="CH194" i="1" s="1"/>
  <c r="CH10" i="1" a="1"/>
  <c r="CH10" i="1" s="1"/>
  <c r="CH160" i="1" a="1"/>
  <c r="CH160" i="1" s="1"/>
  <c r="CH150" i="1" a="1"/>
  <c r="CH150" i="1" s="1"/>
  <c r="CH12" i="1" a="1"/>
  <c r="CH12" i="1" s="1"/>
  <c r="CH15" i="1" a="1"/>
  <c r="CH15" i="1" s="1"/>
  <c r="CH173" i="1" a="1"/>
  <c r="CH173" i="1" s="1"/>
  <c r="CH17" i="1" a="1"/>
  <c r="CH17" i="1" s="1"/>
  <c r="CH202" i="1" a="1"/>
  <c r="CH202" i="1" s="1"/>
  <c r="CH151" i="1" a="1"/>
  <c r="CH151" i="1" s="1"/>
  <c r="CH47" i="1" a="1"/>
  <c r="CH47" i="1" s="1"/>
  <c r="CH144" i="1" a="1"/>
  <c r="CH144" i="1" s="1"/>
  <c r="CH92" i="1" a="1"/>
  <c r="CH92" i="1" s="1"/>
  <c r="CH11" i="1" a="1"/>
  <c r="CH11" i="1" s="1"/>
  <c r="CH190" i="1" a="1"/>
  <c r="CH190" i="1" s="1"/>
  <c r="CH91" i="1" a="1"/>
  <c r="CH91" i="1" s="1"/>
  <c r="CH161" i="1" a="1"/>
  <c r="CH161" i="1" s="1"/>
  <c r="CH79" i="1" a="1"/>
  <c r="CH79" i="1" s="1"/>
  <c r="CH104" i="1" a="1"/>
  <c r="CH104" i="1" s="1"/>
  <c r="CH59" i="1" a="1"/>
  <c r="CH59" i="1" s="1"/>
  <c r="CH137" i="1" a="1"/>
  <c r="CH137" i="1" s="1"/>
  <c r="CH175" i="1" a="1"/>
  <c r="CH175" i="1" s="1"/>
  <c r="CH117" i="1" a="1"/>
  <c r="CH117" i="1" s="1"/>
  <c r="CH156" i="1" a="1"/>
  <c r="CH156" i="1" s="1"/>
  <c r="CH84" i="1" a="1"/>
  <c r="CH84" i="1" s="1"/>
  <c r="CH56" i="1" a="1"/>
  <c r="CH56" i="1" s="1"/>
  <c r="CH90" i="1" a="1"/>
  <c r="CH90" i="1" s="1"/>
  <c r="CH138" i="1" a="1"/>
  <c r="CH138" i="1" s="1"/>
  <c r="CH131" i="1" a="1"/>
  <c r="CH131" i="1" s="1"/>
  <c r="CH24" i="1" a="1"/>
  <c r="CH24" i="1" s="1"/>
  <c r="CH154" i="1" a="1"/>
  <c r="CH154" i="1" s="1"/>
  <c r="CH108" i="1" a="1"/>
  <c r="CH108" i="1" s="1"/>
  <c r="CH172" i="1" a="1"/>
  <c r="CH172" i="1" s="1"/>
  <c r="CH58" i="1" a="1"/>
  <c r="CH58" i="1" s="1"/>
  <c r="CH102" i="1" a="1"/>
  <c r="CH102" i="1" s="1"/>
  <c r="CH8" i="1" a="1"/>
  <c r="CH8" i="1" s="1"/>
  <c r="CH35" i="1" a="1"/>
  <c r="CH35" i="1" s="1"/>
  <c r="CH203" i="1" a="1"/>
  <c r="CH203" i="1" s="1"/>
  <c r="CH65" i="1" a="1"/>
  <c r="CH65" i="1" s="1"/>
  <c r="CH198" i="1" a="1"/>
  <c r="CH198" i="1" s="1"/>
  <c r="CH121" i="1" a="1"/>
  <c r="CH121" i="1" s="1"/>
  <c r="CH100" i="1" a="1"/>
  <c r="CH100" i="1" s="1"/>
  <c r="CH42" i="1" a="1"/>
  <c r="CH42" i="1" s="1"/>
  <c r="CH106" i="1" a="1"/>
  <c r="CH106" i="1" s="1"/>
  <c r="CH186" i="1" a="1"/>
  <c r="CH186" i="1" s="1"/>
  <c r="CH26" i="1" a="1"/>
  <c r="CH26" i="1" s="1"/>
  <c r="CH101" i="1" a="1"/>
  <c r="CH101" i="1" s="1"/>
  <c r="CH125" i="1" a="1"/>
  <c r="CH125" i="1" s="1"/>
  <c r="CH13" i="1" a="1"/>
  <c r="CH13" i="1" s="1"/>
  <c r="CH118" i="1" a="1"/>
  <c r="CH118" i="1" s="1"/>
  <c r="CH158" i="1" a="1"/>
  <c r="CH158" i="1" s="1"/>
  <c r="CH73" i="1" a="1"/>
  <c r="CH73" i="1" s="1"/>
  <c r="CH132" i="1" a="1"/>
  <c r="CH132" i="1" s="1"/>
  <c r="CH76" i="1" a="1"/>
  <c r="CH76" i="1" s="1"/>
  <c r="CH193" i="1" a="1"/>
  <c r="CH193" i="1" s="1"/>
  <c r="CH80" i="1" a="1"/>
  <c r="CH80" i="1" s="1"/>
  <c r="CH205" i="1" a="1"/>
  <c r="CH205" i="1" s="1"/>
  <c r="CH72" i="1" a="1"/>
  <c r="CH72" i="1" s="1"/>
  <c r="CH149" i="1" a="1"/>
  <c r="CH149" i="1" s="1"/>
  <c r="CH67" i="1" a="1"/>
  <c r="CH67" i="1" s="1"/>
  <c r="CH133" i="1" a="1"/>
  <c r="CH133" i="1" s="1"/>
  <c r="CH25" i="1" a="1"/>
  <c r="CH25" i="1" s="1"/>
  <c r="CH105" i="1" a="1"/>
  <c r="CH105" i="1" s="1"/>
  <c r="CH97" i="1" a="1"/>
  <c r="CH97" i="1" s="1"/>
  <c r="CH31" i="1" a="1"/>
  <c r="CH31" i="1" s="1"/>
  <c r="CH130" i="1" a="1"/>
  <c r="CH130" i="1" s="1"/>
  <c r="CH185" i="1" a="1"/>
  <c r="CH185" i="1" s="1"/>
  <c r="CH169" i="1" a="1"/>
  <c r="CH169" i="1" s="1"/>
  <c r="CH195" i="1" a="1"/>
  <c r="CH195" i="1" s="1"/>
  <c r="CH85" i="1" a="1"/>
  <c r="CH85" i="1" s="1"/>
  <c r="CH110" i="1" a="1"/>
  <c r="CH110" i="1" s="1"/>
  <c r="CH27" i="1" a="1"/>
  <c r="CH27" i="1" s="1"/>
  <c r="CH162" i="1" a="1"/>
  <c r="CH162" i="1" s="1"/>
  <c r="CH187" i="1" a="1"/>
  <c r="CH187" i="1" s="1"/>
  <c r="CH96" i="1" a="1"/>
  <c r="CH96" i="1" s="1"/>
  <c r="CH93" i="1" a="1"/>
  <c r="CH93" i="1" s="1"/>
  <c r="CH174" i="1" a="1"/>
  <c r="CH174" i="1" s="1"/>
  <c r="CH111" i="1" a="1"/>
  <c r="CH111" i="1" s="1"/>
  <c r="CH103" i="1" a="1"/>
  <c r="CH103" i="1" s="1"/>
  <c r="CH3" i="1" a="1"/>
  <c r="CH3" i="1" s="1"/>
  <c r="CH170" i="1" a="1"/>
  <c r="CH170" i="1" s="1"/>
  <c r="CH4" i="1" a="1"/>
  <c r="CH4" i="1" s="1"/>
  <c r="CH83" i="1" a="1"/>
  <c r="CH83" i="1" s="1"/>
  <c r="CH71" i="1" a="1"/>
  <c r="CH71" i="1" s="1"/>
  <c r="CH192" i="1" a="1"/>
  <c r="CH192" i="1" s="1"/>
  <c r="CH163" i="1" a="1"/>
  <c r="CH163" i="1" s="1"/>
  <c r="CH66" i="1" a="1"/>
  <c r="CH66" i="1" s="1"/>
  <c r="CH112" i="1" a="1"/>
  <c r="CH112" i="1" s="1"/>
  <c r="CH124" i="1" a="1"/>
  <c r="CH124" i="1" s="1"/>
  <c r="CH94" i="1" a="1"/>
  <c r="CH94" i="1" s="1"/>
  <c r="CV85" i="1"/>
  <c r="HR86" i="1"/>
  <c r="JG127" i="1"/>
  <c r="IC81" i="1"/>
  <c r="GW85" i="1"/>
  <c r="BR219" i="1"/>
  <c r="IA86" i="1"/>
  <c r="HZ85" i="1"/>
  <c r="JB86" i="1"/>
  <c r="HN86" i="1"/>
  <c r="KA81" i="1"/>
  <c r="KB1" i="1"/>
  <c r="KC1" i="1" s="1"/>
  <c r="KC4" i="1" s="1"/>
  <c r="GE36" i="1"/>
  <c r="KA36" i="1"/>
  <c r="GE81" i="1"/>
  <c r="JG81" i="1"/>
  <c r="KA35" i="1"/>
  <c r="BH219" i="1"/>
  <c r="BP218" i="1"/>
  <c r="HI64" i="1"/>
  <c r="IC64" i="1"/>
  <c r="HT20" i="1"/>
  <c r="HT54" i="1"/>
  <c r="HT10" i="1"/>
  <c r="GF10" i="1"/>
  <c r="HT13" i="1"/>
  <c r="HT63" i="1"/>
  <c r="GF46" i="1"/>
  <c r="GF63" i="1"/>
  <c r="GY35" i="1"/>
  <c r="HT47" i="1"/>
  <c r="HT49" i="1"/>
  <c r="FX125" i="1"/>
  <c r="FX92" i="1"/>
  <c r="FS135" i="1"/>
  <c r="FR133" i="1"/>
  <c r="BO219" i="1"/>
  <c r="FS188" i="1"/>
  <c r="GO69" i="1"/>
  <c r="GO35" i="1"/>
  <c r="GO36" i="1"/>
  <c r="FS181" i="1"/>
  <c r="FQ155" i="1"/>
  <c r="FR188" i="1"/>
  <c r="FX160" i="1"/>
  <c r="FS60" i="1"/>
  <c r="FP54" i="1"/>
  <c r="DR127" i="1"/>
  <c r="FR36" i="1"/>
  <c r="FX144" i="1"/>
  <c r="FK118" i="1"/>
  <c r="EP101" i="1"/>
  <c r="DI72" i="1"/>
  <c r="DR78" i="1"/>
  <c r="DR168" i="1"/>
  <c r="FX132" i="1"/>
  <c r="FX186" i="1"/>
  <c r="FX94" i="1"/>
  <c r="FS128" i="1"/>
  <c r="FR112" i="1"/>
  <c r="FR82" i="1"/>
  <c r="FR52" i="1"/>
  <c r="EP105" i="1"/>
  <c r="FK65" i="1"/>
  <c r="EE63" i="1"/>
  <c r="EE194" i="1"/>
  <c r="FK26" i="1"/>
  <c r="FX137" i="1"/>
  <c r="FR65" i="1"/>
  <c r="EE148" i="1"/>
  <c r="EE56" i="1"/>
  <c r="FK96" i="1"/>
  <c r="DI187" i="1"/>
  <c r="EE132" i="1"/>
  <c r="DR199" i="1"/>
  <c r="DR56" i="1"/>
  <c r="FK137" i="1"/>
  <c r="FK139" i="1"/>
  <c r="FS91" i="1"/>
  <c r="FR13" i="1"/>
  <c r="FR115" i="1"/>
  <c r="FR190" i="1"/>
  <c r="FK178" i="1"/>
  <c r="FX69" i="1"/>
  <c r="EP192" i="1"/>
  <c r="DR47" i="1"/>
  <c r="EE202" i="1"/>
  <c r="FQ147" i="1"/>
  <c r="FQ193" i="1"/>
  <c r="FQ64" i="1"/>
  <c r="FX120" i="1"/>
  <c r="FR118" i="1"/>
  <c r="FR191" i="1"/>
  <c r="FQ162" i="1"/>
  <c r="FQ88" i="1"/>
  <c r="FX135" i="1"/>
  <c r="FX174" i="1"/>
  <c r="FX177" i="1"/>
  <c r="FS103" i="1"/>
  <c r="FS132" i="1"/>
  <c r="FR51" i="1"/>
  <c r="FQ187" i="1"/>
  <c r="FQ144" i="1"/>
  <c r="FX185" i="1"/>
  <c r="FR163" i="1"/>
  <c r="FS185" i="1"/>
  <c r="FS187" i="1"/>
  <c r="FS83" i="1"/>
  <c r="FS191" i="1"/>
  <c r="FS123" i="1"/>
  <c r="FR66" i="1"/>
  <c r="FS115" i="1"/>
  <c r="FR93" i="1"/>
  <c r="FQ101" i="1"/>
  <c r="FS124" i="1"/>
  <c r="FS25" i="1"/>
  <c r="FS144" i="1"/>
  <c r="FS139" i="1"/>
  <c r="FS82" i="1"/>
  <c r="FS66" i="1"/>
  <c r="FS96" i="1"/>
  <c r="FR142" i="1"/>
  <c r="FT114" i="1"/>
  <c r="FS37" i="1"/>
  <c r="FS174" i="1"/>
  <c r="FP35" i="1"/>
  <c r="FP151" i="1"/>
  <c r="FP162" i="1"/>
  <c r="FX49" i="1"/>
  <c r="FQ189" i="1"/>
  <c r="FS170" i="1"/>
  <c r="FP138" i="1"/>
  <c r="FR79" i="1"/>
  <c r="FS148" i="1"/>
  <c r="FS54" i="1"/>
  <c r="FP110" i="1"/>
  <c r="FP47" i="1"/>
  <c r="JZ51" i="1"/>
  <c r="BR213" i="1"/>
  <c r="FX189" i="1"/>
  <c r="EE106" i="1"/>
  <c r="FS65" i="1"/>
  <c r="FU160" i="1"/>
  <c r="FS143" i="1"/>
  <c r="FS44" i="1"/>
  <c r="FS167" i="1"/>
  <c r="FS205" i="1"/>
  <c r="GY73" i="1"/>
  <c r="GY36" i="1"/>
  <c r="FS89" i="1"/>
  <c r="FR105" i="1"/>
  <c r="GY81" i="1"/>
  <c r="FQ84" i="1"/>
  <c r="FQ158" i="1"/>
  <c r="FQ159" i="1"/>
  <c r="FQ45" i="1"/>
  <c r="FQ72" i="1"/>
  <c r="FQ65" i="1"/>
  <c r="FQ197" i="1"/>
  <c r="FS52" i="1"/>
  <c r="FS130" i="1"/>
  <c r="FX67" i="1"/>
  <c r="JQ35" i="1"/>
  <c r="JQ81" i="1"/>
  <c r="EP162" i="1"/>
  <c r="EE177" i="1"/>
  <c r="BQ217" i="1"/>
  <c r="BQ216" i="1"/>
  <c r="BR215" i="1"/>
  <c r="BQ219" i="1"/>
  <c r="HI59" i="1"/>
  <c r="HI73" i="1"/>
  <c r="JQ64" i="1"/>
  <c r="GY64" i="1"/>
  <c r="BR218" i="1"/>
  <c r="BR214" i="1"/>
  <c r="JQ36" i="1"/>
  <c r="JQ59" i="1"/>
  <c r="HI35" i="1"/>
  <c r="HI83" i="1"/>
  <c r="FU139" i="1"/>
  <c r="FP63" i="1"/>
  <c r="FP71" i="1"/>
  <c r="FP72" i="1"/>
  <c r="FP137" i="1"/>
  <c r="FP132" i="1"/>
  <c r="FP12" i="1"/>
  <c r="FP172" i="1"/>
  <c r="FP111" i="1"/>
  <c r="FP199" i="1"/>
  <c r="FP11" i="1"/>
  <c r="FP79" i="1"/>
  <c r="FP16" i="1"/>
  <c r="FP98" i="1"/>
  <c r="FP108" i="1"/>
  <c r="FP82" i="1"/>
  <c r="FP185" i="1"/>
  <c r="FP81" i="1"/>
  <c r="FP112" i="1"/>
  <c r="FP119" i="1"/>
  <c r="FP203" i="1"/>
  <c r="FP160" i="1"/>
  <c r="FP147" i="1"/>
  <c r="FP156" i="1"/>
  <c r="FP127" i="1"/>
  <c r="FU82" i="1"/>
  <c r="FU101" i="1"/>
  <c r="FU26" i="1"/>
  <c r="FU114" i="1"/>
  <c r="FU113" i="1"/>
  <c r="FU98" i="1"/>
  <c r="FU118" i="1"/>
  <c r="FU189" i="1"/>
  <c r="FU55" i="1"/>
  <c r="FU170" i="1"/>
  <c r="FU121" i="1"/>
  <c r="FU106" i="1"/>
  <c r="FU78" i="1"/>
  <c r="FU173" i="1"/>
  <c r="FU171" i="1"/>
  <c r="FU59" i="1"/>
  <c r="HI81" i="1"/>
  <c r="GO81" i="1"/>
  <c r="BM219" i="1"/>
  <c r="JP42" i="1"/>
  <c r="BQ215" i="1"/>
  <c r="DI191" i="1"/>
  <c r="EP205" i="1"/>
  <c r="DI110" i="1"/>
  <c r="EE114" i="1"/>
  <c r="EE205" i="1"/>
  <c r="DI83" i="1"/>
  <c r="DR81" i="1"/>
  <c r="EE103" i="1"/>
  <c r="DR75" i="1"/>
  <c r="FK113" i="1"/>
  <c r="EP124" i="1"/>
  <c r="DI173" i="1"/>
  <c r="DI111" i="1"/>
  <c r="EP62" i="1"/>
  <c r="EP132" i="1"/>
  <c r="EE171" i="1"/>
  <c r="EE54" i="1"/>
  <c r="EE185" i="1"/>
  <c r="DI129" i="1"/>
  <c r="DR110" i="1"/>
  <c r="EE93" i="1"/>
  <c r="EE115" i="1"/>
  <c r="EE149" i="1"/>
  <c r="DR189" i="1"/>
  <c r="DR60" i="1"/>
  <c r="DR105" i="1"/>
  <c r="DR144" i="1"/>
  <c r="FK199" i="1"/>
  <c r="DI45" i="1"/>
  <c r="FK106" i="1"/>
  <c r="FK102" i="1"/>
  <c r="DI114" i="1"/>
  <c r="EP73" i="1"/>
  <c r="EE65" i="1"/>
  <c r="EE191" i="1"/>
  <c r="EE143" i="1"/>
  <c r="EP96" i="1"/>
  <c r="EE98" i="1"/>
  <c r="DR119" i="1"/>
  <c r="DR203" i="1"/>
  <c r="DR162" i="1"/>
  <c r="EP160" i="1"/>
  <c r="EE61" i="1"/>
  <c r="DI140" i="1"/>
  <c r="DI23" i="1"/>
  <c r="DR51" i="1"/>
  <c r="EE60" i="1"/>
  <c r="EE124" i="1"/>
  <c r="DR98" i="1"/>
  <c r="DR137" i="1"/>
  <c r="CZ105" i="1"/>
  <c r="FK138" i="1"/>
  <c r="FK98" i="1"/>
  <c r="EP53" i="1"/>
  <c r="FK117" i="1"/>
  <c r="EP193" i="1"/>
  <c r="EP142" i="1"/>
  <c r="DI189" i="1"/>
  <c r="FK92" i="1"/>
  <c r="EE13" i="1"/>
  <c r="DR59" i="1"/>
  <c r="EE96" i="1"/>
  <c r="EP129" i="1"/>
  <c r="BR216" i="1"/>
  <c r="EE170" i="1"/>
  <c r="DI65" i="1"/>
  <c r="JG35" i="1"/>
  <c r="FK170" i="1"/>
  <c r="FK104" i="1"/>
  <c r="FK114" i="1"/>
  <c r="FK150" i="1"/>
  <c r="DR91" i="1"/>
  <c r="EE104" i="1"/>
  <c r="DI136" i="1"/>
  <c r="EP133" i="1"/>
  <c r="CZ137" i="1"/>
  <c r="CZ188" i="1"/>
  <c r="DI159" i="1"/>
  <c r="EP146" i="1"/>
  <c r="EP164" i="1"/>
  <c r="DI92" i="1"/>
  <c r="DI144" i="1"/>
  <c r="IW73" i="1"/>
  <c r="IW35" i="1"/>
  <c r="IW64" i="1"/>
  <c r="IW59" i="1"/>
  <c r="CZ67" i="1"/>
  <c r="DR172" i="1"/>
  <c r="DR71" i="1"/>
  <c r="EE123" i="1"/>
  <c r="DI158" i="1"/>
  <c r="EE100" i="1"/>
  <c r="EE181" i="1"/>
  <c r="FK55" i="1"/>
  <c r="EP176" i="1"/>
  <c r="CZ191" i="1"/>
  <c r="DI178" i="1"/>
  <c r="DR11" i="1"/>
  <c r="DI84" i="1"/>
  <c r="EE137" i="1"/>
  <c r="FK66" i="1"/>
  <c r="EP114" i="1"/>
  <c r="FX106" i="1"/>
  <c r="GY83" i="1"/>
  <c r="DI37" i="1"/>
  <c r="FK171" i="1"/>
  <c r="FS13" i="1"/>
  <c r="BP213" i="1"/>
  <c r="EP155" i="1"/>
  <c r="DR130" i="1"/>
  <c r="IC59" i="1"/>
  <c r="GY59" i="1"/>
  <c r="DI176" i="1"/>
  <c r="HT17" i="1"/>
  <c r="IM59" i="1"/>
  <c r="GO73" i="1"/>
  <c r="IC83" i="1"/>
  <c r="HT58" i="1"/>
  <c r="JQ76" i="1"/>
  <c r="JG59" i="1"/>
  <c r="JQ73" i="1"/>
  <c r="HT85" i="1"/>
  <c r="KB85" i="1"/>
  <c r="GE73" i="1"/>
  <c r="IC73" i="1"/>
  <c r="IW76" i="1"/>
  <c r="GE59" i="1"/>
  <c r="BH218" i="1"/>
  <c r="BJ218" i="1"/>
  <c r="JG56" i="1"/>
  <c r="JG126" i="1"/>
  <c r="JG145" i="1"/>
  <c r="JG151" i="1"/>
  <c r="JG169" i="1"/>
  <c r="GY76" i="1"/>
  <c r="HT7" i="1"/>
  <c r="KA76" i="1"/>
  <c r="BN218" i="1"/>
  <c r="KB68" i="1"/>
  <c r="IM137" i="1"/>
  <c r="JG82" i="1"/>
  <c r="JG101" i="1"/>
  <c r="JG111" i="1"/>
  <c r="JG170" i="1"/>
  <c r="JG172" i="1"/>
  <c r="HT55" i="1"/>
  <c r="IW83" i="1"/>
  <c r="JG83" i="1"/>
  <c r="JG76" i="1"/>
  <c r="JQ83" i="1"/>
  <c r="BJ213" i="1"/>
  <c r="HT68" i="1"/>
  <c r="GF68" i="1"/>
  <c r="JG91" i="1"/>
  <c r="JG117" i="1"/>
  <c r="JG115" i="1"/>
  <c r="JG173" i="1"/>
  <c r="JG204" i="1"/>
  <c r="KA59" i="1"/>
  <c r="GF26" i="1"/>
  <c r="KA73" i="1"/>
  <c r="IC76" i="1"/>
  <c r="BM218" i="1"/>
  <c r="JG64" i="1"/>
  <c r="GF85" i="1"/>
  <c r="HT38" i="1"/>
  <c r="GO59" i="1"/>
  <c r="GO64" i="1"/>
  <c r="GF42" i="1"/>
  <c r="IM73" i="1"/>
  <c r="HT26" i="1"/>
  <c r="JG73" i="1"/>
  <c r="GE131" i="1"/>
  <c r="IM138" i="1"/>
  <c r="JG102" i="1"/>
  <c r="JG149" i="1"/>
  <c r="JG140" i="1"/>
  <c r="JG192" i="1"/>
  <c r="JG191" i="1"/>
  <c r="GF86" i="1"/>
  <c r="IM64" i="1"/>
  <c r="KA64" i="1"/>
  <c r="GO83" i="1"/>
  <c r="GE83" i="1"/>
  <c r="IM76" i="1"/>
  <c r="GE64" i="1"/>
  <c r="JG104" i="1"/>
  <c r="JG108" i="1"/>
  <c r="JG142" i="1"/>
  <c r="JG185" i="1"/>
  <c r="JG176" i="1"/>
  <c r="GO76" i="1"/>
  <c r="IM83" i="1"/>
  <c r="HT42" i="1"/>
  <c r="BK218" i="1"/>
  <c r="HT67" i="1"/>
  <c r="IM135" i="1"/>
  <c r="IM90" i="1"/>
  <c r="JG110" i="1"/>
  <c r="JG124" i="1"/>
  <c r="JG134" i="1"/>
  <c r="JG156" i="1"/>
  <c r="JG205" i="1"/>
  <c r="HT86" i="1"/>
  <c r="IM11" i="1"/>
  <c r="JG69" i="1"/>
  <c r="DZ54" i="1"/>
  <c r="JG78" i="1"/>
  <c r="JH1" i="1"/>
  <c r="JG29" i="1"/>
  <c r="FT42" i="1"/>
  <c r="FT96" i="1"/>
  <c r="FS16" i="1"/>
  <c r="FX15" i="1"/>
  <c r="FS121" i="1"/>
  <c r="FS93" i="1"/>
  <c r="FS171" i="1"/>
  <c r="FS184" i="1"/>
  <c r="FS202" i="1"/>
  <c r="FS177" i="1"/>
  <c r="FS137" i="1"/>
  <c r="FR38" i="1"/>
  <c r="FU20" i="1"/>
  <c r="FR11" i="1"/>
  <c r="FQ11" i="1"/>
  <c r="FX30" i="1"/>
  <c r="HI67" i="1"/>
  <c r="HI69" i="1"/>
  <c r="HI84" i="1"/>
  <c r="IW78" i="1"/>
  <c r="IW84" i="1"/>
  <c r="IW31" i="1"/>
  <c r="FK85" i="1"/>
  <c r="FS29" i="1"/>
  <c r="FS43" i="1"/>
  <c r="FS120" i="1"/>
  <c r="FQ37" i="1"/>
  <c r="FX151" i="1"/>
  <c r="FX6" i="1"/>
  <c r="FX202" i="1"/>
  <c r="FU150" i="1"/>
  <c r="FU92" i="1"/>
  <c r="FU138" i="1"/>
  <c r="FU30" i="1"/>
  <c r="FP43" i="1"/>
  <c r="FU95" i="1"/>
  <c r="FU97" i="1"/>
  <c r="FU134" i="1"/>
  <c r="FU203" i="1"/>
  <c r="FU53" i="1"/>
  <c r="FU80" i="1"/>
  <c r="FU65" i="1"/>
  <c r="FU163" i="1"/>
  <c r="FQ114" i="1"/>
  <c r="FR203" i="1"/>
  <c r="FS169" i="1"/>
  <c r="EE169" i="1"/>
  <c r="FR141" i="1"/>
  <c r="DI190" i="1"/>
  <c r="DI171" i="1"/>
  <c r="DI154" i="1"/>
  <c r="FQ154" i="1"/>
  <c r="DR166" i="1"/>
  <c r="IM31" i="1"/>
  <c r="IN1" i="1"/>
  <c r="FK15" i="1"/>
  <c r="FU15" i="1"/>
  <c r="FK165" i="1"/>
  <c r="EP165" i="1"/>
  <c r="FX35" i="1"/>
  <c r="DI15" i="1"/>
  <c r="EE160" i="1"/>
  <c r="DI194" i="1"/>
  <c r="IM69" i="1"/>
  <c r="FP166" i="1"/>
  <c r="IM7" i="1"/>
  <c r="IM84" i="1"/>
  <c r="FQ161" i="1"/>
  <c r="FR17" i="1"/>
  <c r="BJ217" i="1"/>
  <c r="EP42" i="1"/>
  <c r="DI88" i="1"/>
  <c r="IX1" i="1"/>
  <c r="IW69" i="1"/>
  <c r="IW11" i="1"/>
  <c r="FT205" i="1"/>
  <c r="FT160" i="1"/>
  <c r="FT6" i="1"/>
  <c r="FT105" i="1"/>
  <c r="FT178" i="1"/>
  <c r="FT4" i="1"/>
  <c r="FT134" i="1"/>
  <c r="FT7" i="1"/>
  <c r="FT169" i="1"/>
  <c r="FT142" i="1"/>
  <c r="FS56" i="1"/>
  <c r="FS160" i="1"/>
  <c r="FS98" i="1"/>
  <c r="FS142" i="1"/>
  <c r="DR112" i="1"/>
  <c r="DR108" i="1"/>
  <c r="DR82" i="1"/>
  <c r="FQ194" i="1"/>
  <c r="HJ1" i="1"/>
  <c r="HI7" i="1"/>
  <c r="FQ178" i="1"/>
  <c r="FQ196" i="1"/>
  <c r="FQ83" i="1"/>
  <c r="FQ91" i="1"/>
  <c r="FQ182" i="1"/>
  <c r="FQ23" i="1"/>
  <c r="FQ92" i="1"/>
  <c r="FQ17" i="1"/>
  <c r="DI64" i="1"/>
  <c r="HT50" i="1"/>
  <c r="BL218" i="1"/>
  <c r="IC128" i="1"/>
  <c r="JG94" i="1"/>
  <c r="JG92" i="1"/>
  <c r="JG118" i="1"/>
  <c r="JG121" i="1"/>
  <c r="JG112" i="1"/>
  <c r="JG103" i="1"/>
  <c r="JG159" i="1"/>
  <c r="JG137" i="1"/>
  <c r="JG157" i="1"/>
  <c r="JG165" i="1"/>
  <c r="JG181" i="1"/>
  <c r="JG187" i="1"/>
  <c r="JG177" i="1"/>
  <c r="JG128" i="1"/>
  <c r="JG98" i="1"/>
  <c r="JG96" i="1"/>
  <c r="JG122" i="1"/>
  <c r="JG125" i="1"/>
  <c r="JG120" i="1"/>
  <c r="JG168" i="1"/>
  <c r="JG139" i="1"/>
  <c r="JG164" i="1"/>
  <c r="JG179" i="1"/>
  <c r="JG180" i="1"/>
  <c r="JG188" i="1"/>
  <c r="JG178" i="1"/>
  <c r="IC132" i="1"/>
  <c r="JG186" i="1"/>
  <c r="IC118" i="1"/>
  <c r="JG4" i="1"/>
  <c r="JG55" i="1"/>
  <c r="JG106" i="1"/>
  <c r="JG146" i="1"/>
  <c r="JG105" i="1"/>
  <c r="JG152" i="1"/>
  <c r="JG129" i="1"/>
  <c r="JG119" i="1"/>
  <c r="JG153" i="1"/>
  <c r="JG155" i="1"/>
  <c r="JG158" i="1"/>
  <c r="JG160" i="1"/>
  <c r="JG174" i="1"/>
  <c r="JG197" i="1"/>
  <c r="JG199" i="1"/>
  <c r="IC140" i="1"/>
  <c r="IC138" i="1"/>
  <c r="JG60" i="1"/>
  <c r="JG132" i="1"/>
  <c r="JG93" i="1"/>
  <c r="JG109" i="1"/>
  <c r="JG133" i="1"/>
  <c r="JG131" i="1"/>
  <c r="JG123" i="1"/>
  <c r="JG135" i="1"/>
  <c r="JG166" i="1"/>
  <c r="JG163" i="1"/>
  <c r="JG183" i="1"/>
  <c r="JG190" i="1"/>
  <c r="JG198" i="1"/>
  <c r="JG203" i="1"/>
  <c r="BO218" i="1"/>
  <c r="IC137" i="1"/>
  <c r="IC139" i="1"/>
  <c r="IW101" i="1"/>
  <c r="IW90" i="1"/>
  <c r="IW119" i="1"/>
  <c r="IW122" i="1"/>
  <c r="IW125" i="1"/>
  <c r="IW116" i="1"/>
  <c r="IW138" i="1"/>
  <c r="IW157" i="1"/>
  <c r="IW152" i="1"/>
  <c r="IW170" i="1"/>
  <c r="IW184" i="1"/>
  <c r="IW193" i="1"/>
  <c r="JG90" i="1"/>
  <c r="JG89" i="1"/>
  <c r="JG97" i="1"/>
  <c r="JG113" i="1"/>
  <c r="JG148" i="1"/>
  <c r="JG143" i="1"/>
  <c r="JG138" i="1"/>
  <c r="JG130" i="1"/>
  <c r="JG193" i="1"/>
  <c r="JG189" i="1"/>
  <c r="JG162" i="1"/>
  <c r="JG196" i="1"/>
  <c r="EP24" i="1"/>
  <c r="JQ31" i="1"/>
  <c r="GE31" i="1"/>
  <c r="IM29" i="1"/>
  <c r="IW29" i="1"/>
  <c r="IC79" i="1"/>
  <c r="FV45" i="1"/>
  <c r="DO49" i="1"/>
  <c r="FW99" i="1"/>
  <c r="FW199" i="1"/>
  <c r="FW158" i="1"/>
  <c r="DO126" i="1"/>
  <c r="IC84" i="1"/>
  <c r="ID1" i="1"/>
  <c r="IC69" i="1"/>
  <c r="JG7" i="1"/>
  <c r="IC29" i="1"/>
  <c r="EE47" i="1"/>
  <c r="EP157" i="1"/>
  <c r="AS6" i="1"/>
  <c r="AU6" i="1" s="1"/>
  <c r="EE52" i="1"/>
  <c r="AS75" i="1"/>
  <c r="AU75" i="1" s="1"/>
  <c r="EE83" i="1"/>
  <c r="EE44" i="1"/>
  <c r="EP145" i="1"/>
  <c r="EE197" i="1"/>
  <c r="EE167" i="1"/>
  <c r="AT6" i="1"/>
  <c r="EX202" i="1"/>
  <c r="EX193" i="1"/>
  <c r="FR177" i="1"/>
  <c r="DJ154" i="1"/>
  <c r="EP204" i="1"/>
  <c r="DI175" i="1"/>
  <c r="FQ175" i="1"/>
  <c r="DI184" i="1"/>
  <c r="DR191" i="1"/>
  <c r="FP191" i="1"/>
  <c r="DR161" i="1"/>
  <c r="DR146" i="1"/>
  <c r="FP146" i="1"/>
  <c r="FW157" i="1"/>
  <c r="FW145" i="1"/>
  <c r="FX95" i="1"/>
  <c r="IL42" i="1"/>
  <c r="BN213" i="1"/>
  <c r="FR31" i="1"/>
  <c r="EP161" i="1"/>
  <c r="EE84" i="1"/>
  <c r="FS84" i="1"/>
  <c r="EE203" i="1"/>
  <c r="EE180" i="1"/>
  <c r="FS180" i="1"/>
  <c r="EE172" i="1"/>
  <c r="FW84" i="1"/>
  <c r="FW101" i="1"/>
  <c r="FX23" i="1"/>
  <c r="FR12" i="1"/>
  <c r="FK23" i="1"/>
  <c r="EP143" i="1"/>
  <c r="FT143" i="1"/>
  <c r="IN61" i="1"/>
  <c r="FP3" i="1"/>
  <c r="FT3" i="1"/>
  <c r="FR3" i="1"/>
  <c r="FR15" i="1"/>
  <c r="FW193" i="1"/>
  <c r="FW111" i="1"/>
  <c r="FW190" i="1"/>
  <c r="FW64" i="1"/>
  <c r="FW77" i="1"/>
  <c r="FW25" i="1"/>
  <c r="FW94" i="1"/>
  <c r="FW50" i="1"/>
  <c r="FW169" i="1"/>
  <c r="FW198" i="1"/>
  <c r="FW49" i="1"/>
  <c r="FW204" i="1"/>
  <c r="FW104" i="1"/>
  <c r="FW82" i="1"/>
  <c r="FW191" i="1"/>
  <c r="FW78" i="1"/>
  <c r="FW152" i="1"/>
  <c r="FW134" i="1"/>
  <c r="FW131" i="1"/>
  <c r="FW120" i="1"/>
  <c r="FW80" i="1"/>
  <c r="FW20" i="1"/>
  <c r="FW96" i="1"/>
  <c r="FW128" i="1"/>
  <c r="FW65" i="1"/>
  <c r="FW68" i="1"/>
  <c r="FW139" i="1"/>
  <c r="FW56" i="1"/>
  <c r="FW123" i="1"/>
  <c r="FW90" i="1"/>
  <c r="FW69" i="1"/>
  <c r="FW98" i="1"/>
  <c r="FW109" i="1"/>
  <c r="FW179" i="1"/>
  <c r="FW114" i="1"/>
  <c r="FW171" i="1"/>
  <c r="HT61" i="1"/>
  <c r="FP161" i="1"/>
  <c r="FU129" i="1"/>
  <c r="FS85" i="1"/>
  <c r="DR69" i="1"/>
  <c r="EP135" i="1"/>
  <c r="EP93" i="1"/>
  <c r="FK59" i="1"/>
  <c r="DR95" i="1"/>
  <c r="EP102" i="1"/>
  <c r="EP59" i="1"/>
  <c r="EP52" i="1"/>
  <c r="DI7" i="1"/>
  <c r="JG11" i="1"/>
  <c r="FS17" i="1"/>
  <c r="FQ7" i="1"/>
  <c r="FS6" i="1"/>
  <c r="IW7" i="1"/>
  <c r="FK43" i="1"/>
  <c r="BI218" i="1"/>
  <c r="FX38" i="1"/>
  <c r="CZ16" i="1"/>
  <c r="FX43" i="1"/>
  <c r="FS10" i="1"/>
  <c r="FS24" i="1"/>
  <c r="FK7" i="1"/>
  <c r="EE66" i="1"/>
  <c r="FP37" i="1"/>
  <c r="CZ20" i="1"/>
  <c r="DR43" i="1"/>
  <c r="DR3" i="1"/>
  <c r="FQ15" i="1"/>
  <c r="CZ35" i="1"/>
  <c r="EP4" i="1"/>
  <c r="EP20" i="1"/>
  <c r="GF71" i="1"/>
  <c r="JH71" i="1"/>
  <c r="GF59" i="1"/>
  <c r="IN71" i="1"/>
  <c r="KB71" i="1"/>
  <c r="KB81" i="1"/>
  <c r="GF23" i="1"/>
  <c r="DI182" i="1"/>
  <c r="HI36" i="1"/>
  <c r="HI11" i="1"/>
  <c r="HT81" i="1"/>
  <c r="BH217" i="1"/>
  <c r="HI31" i="1"/>
  <c r="BN217" i="1"/>
  <c r="BP217" i="1"/>
  <c r="FT86" i="1"/>
  <c r="GO29" i="1"/>
  <c r="HT80" i="1"/>
  <c r="HT71" i="1"/>
  <c r="BL217" i="1"/>
  <c r="BO214" i="1"/>
  <c r="DR17" i="1"/>
  <c r="EP29" i="1"/>
  <c r="DR12" i="1"/>
  <c r="BJ215" i="1"/>
  <c r="BP214" i="1"/>
  <c r="BM213" i="1"/>
  <c r="BH214" i="1"/>
  <c r="BM217" i="1"/>
  <c r="BO216" i="1"/>
  <c r="DR72" i="1"/>
  <c r="BI213" i="1"/>
  <c r="DI52" i="1"/>
  <c r="DZ11" i="1"/>
  <c r="BL215" i="1"/>
  <c r="FQ52" i="1"/>
  <c r="DI35" i="1"/>
  <c r="BK215" i="1"/>
  <c r="BO217" i="1"/>
  <c r="DP11" i="1"/>
  <c r="BH213" i="1"/>
  <c r="AS108" i="1"/>
  <c r="AU108" i="1" s="1"/>
  <c r="AT179" i="1"/>
  <c r="AT75" i="1"/>
  <c r="AT155" i="1"/>
  <c r="GY69" i="1"/>
  <c r="GY31" i="1"/>
  <c r="GY84" i="1"/>
  <c r="GY7" i="1"/>
  <c r="GZ1" i="1"/>
  <c r="FX24" i="1"/>
  <c r="FX88" i="1"/>
  <c r="FX192" i="1"/>
  <c r="FX104" i="1"/>
  <c r="FX131" i="1"/>
  <c r="FX123" i="1"/>
  <c r="FX150" i="1"/>
  <c r="FX201" i="1"/>
  <c r="FX54" i="1"/>
  <c r="FX162" i="1"/>
  <c r="FX149" i="1"/>
  <c r="FX73" i="1"/>
  <c r="FX203" i="1"/>
  <c r="FX180" i="1"/>
  <c r="FX60" i="1"/>
  <c r="FX42" i="1"/>
  <c r="FX71" i="1"/>
  <c r="FX204" i="1"/>
  <c r="FX11" i="1"/>
  <c r="FX148" i="1"/>
  <c r="FR47" i="1"/>
  <c r="FR29" i="1"/>
  <c r="FR202" i="1"/>
  <c r="FR83" i="1"/>
  <c r="FR46" i="1"/>
  <c r="FR103" i="1"/>
  <c r="FR62" i="1"/>
  <c r="FR176" i="1"/>
  <c r="FR171" i="1"/>
  <c r="FR173" i="1"/>
  <c r="FR196" i="1"/>
  <c r="FR42" i="1"/>
  <c r="FR189" i="1"/>
  <c r="FR43" i="1"/>
  <c r="FR186" i="1"/>
  <c r="FR86" i="1"/>
  <c r="FR137" i="1"/>
  <c r="FR23" i="1"/>
  <c r="FR135" i="1"/>
  <c r="FR16" i="1"/>
  <c r="FR97" i="1"/>
  <c r="FR128" i="1"/>
  <c r="FR161" i="1"/>
  <c r="IX27" i="1"/>
  <c r="DI11" i="1"/>
  <c r="EP31" i="1"/>
  <c r="AS64" i="1"/>
  <c r="AU64" i="1" s="1"/>
  <c r="AT64" i="1"/>
  <c r="FU178" i="1"/>
  <c r="FT125" i="1"/>
  <c r="FQ153" i="1"/>
  <c r="FQ35" i="1"/>
  <c r="BH216" i="1"/>
  <c r="BI216" i="1"/>
  <c r="BP215" i="1"/>
  <c r="BM214" i="1"/>
  <c r="BL214" i="1"/>
  <c r="BN215" i="1"/>
  <c r="BM215" i="1"/>
  <c r="BK216" i="1"/>
  <c r="BI217" i="1"/>
  <c r="BN214" i="1"/>
  <c r="BO215" i="1"/>
  <c r="BK217" i="1"/>
  <c r="BP216" i="1"/>
  <c r="BJ216" i="1"/>
  <c r="FQ16" i="1"/>
  <c r="BI215" i="1"/>
  <c r="BM216" i="1"/>
  <c r="BN216" i="1"/>
  <c r="DR35" i="1"/>
  <c r="HI78" i="1"/>
  <c r="FT62" i="1"/>
  <c r="FT73" i="1"/>
  <c r="FT193" i="1"/>
  <c r="FT155" i="1"/>
  <c r="FT11" i="1"/>
  <c r="FT165" i="1"/>
  <c r="FT132" i="1"/>
  <c r="FT43" i="1"/>
  <c r="FT101" i="1"/>
  <c r="FT93" i="1"/>
  <c r="HT23" i="1"/>
  <c r="KB45" i="1"/>
  <c r="HT45" i="1"/>
  <c r="HT53" i="1"/>
  <c r="HU1" i="1"/>
  <c r="HU60" i="1" s="1"/>
  <c r="IN59" i="1"/>
  <c r="FT124" i="1"/>
  <c r="HT59" i="1"/>
  <c r="HJ62" i="1"/>
  <c r="HT77" i="1"/>
  <c r="KB37" i="1"/>
  <c r="KB47" i="1"/>
  <c r="KB72" i="1"/>
  <c r="GO31" i="1"/>
  <c r="FQ55" i="1"/>
  <c r="FQ199" i="1"/>
  <c r="FQ69" i="1"/>
  <c r="FQ66" i="1"/>
  <c r="FQ191" i="1"/>
  <c r="FQ171" i="1"/>
  <c r="EE42" i="1"/>
  <c r="DI153" i="1"/>
  <c r="FU166" i="1"/>
  <c r="GO79" i="1"/>
  <c r="GO84" i="1"/>
  <c r="GO78" i="1"/>
  <c r="GP1" i="1"/>
  <c r="GO7" i="1"/>
  <c r="BH215" i="1"/>
  <c r="HI29" i="1"/>
  <c r="BK214" i="1"/>
  <c r="DR37" i="1"/>
  <c r="GY79" i="1"/>
  <c r="GY29" i="1"/>
  <c r="GY11" i="1"/>
  <c r="GO67" i="1"/>
  <c r="FP189" i="1"/>
  <c r="HI79" i="1"/>
  <c r="BL216" i="1"/>
  <c r="BJ214" i="1"/>
  <c r="HH42" i="1"/>
  <c r="BK213" i="1"/>
  <c r="GO11" i="1"/>
  <c r="BI214" i="1"/>
  <c r="IV42" i="1"/>
  <c r="BO213" i="1"/>
  <c r="HR42" i="1"/>
  <c r="BL213" i="1"/>
  <c r="EE37" i="1"/>
  <c r="EE16" i="1"/>
  <c r="EE6" i="1"/>
  <c r="EE5" i="1"/>
  <c r="DR16" i="1"/>
  <c r="DI16" i="1"/>
  <c r="EP6" i="1"/>
  <c r="EE43" i="1"/>
  <c r="DI204" i="1"/>
  <c r="DR147" i="1"/>
  <c r="DR151" i="1"/>
  <c r="FT162" i="1"/>
  <c r="FT55" i="1"/>
  <c r="EE17" i="1"/>
  <c r="EG23" i="1"/>
  <c r="FK177" i="1"/>
  <c r="FT98" i="1"/>
  <c r="FT52" i="1"/>
  <c r="IC31" i="1"/>
  <c r="FT146" i="1"/>
  <c r="FT29" i="1"/>
  <c r="FT53" i="1"/>
  <c r="FT102" i="1"/>
  <c r="FT129" i="1"/>
  <c r="FT37" i="1"/>
  <c r="FT164" i="1"/>
  <c r="FT133" i="1"/>
  <c r="EE20" i="1"/>
  <c r="FK148" i="1"/>
  <c r="FK189" i="1"/>
  <c r="FK160" i="1"/>
  <c r="FK88" i="1"/>
  <c r="FK198" i="1"/>
  <c r="FK99" i="1"/>
  <c r="FK49" i="1"/>
  <c r="FK78" i="1"/>
  <c r="FK20" i="1"/>
  <c r="FK203" i="1"/>
  <c r="FK56" i="1"/>
  <c r="FK80" i="1"/>
  <c r="IC11" i="1"/>
  <c r="IC67" i="1"/>
  <c r="IC7" i="1"/>
  <c r="FK82" i="1"/>
  <c r="IW79" i="1"/>
  <c r="IW67" i="1"/>
  <c r="GF8" i="1"/>
  <c r="GF52" i="1"/>
  <c r="GF62" i="1"/>
  <c r="GF76" i="1"/>
  <c r="GF83" i="1"/>
  <c r="GF43" i="1"/>
  <c r="GF70" i="1"/>
  <c r="GF82" i="1"/>
  <c r="GF27" i="1"/>
  <c r="GF35" i="1"/>
  <c r="GZ83" i="1"/>
  <c r="GP83" i="1"/>
  <c r="JQ11" i="1"/>
  <c r="JQ67" i="1"/>
  <c r="JQ78" i="1"/>
  <c r="JQ79" i="1"/>
  <c r="JQ69" i="1"/>
  <c r="JQ84" i="1"/>
  <c r="JR1" i="1"/>
  <c r="JQ7" i="1"/>
  <c r="JG79" i="1"/>
  <c r="JG67" i="1"/>
  <c r="FU128" i="1"/>
  <c r="FU7" i="1"/>
  <c r="FU88" i="1"/>
  <c r="FU25" i="1"/>
  <c r="FU43" i="1"/>
  <c r="FU96" i="1"/>
  <c r="FU185" i="1"/>
  <c r="GE79" i="1"/>
  <c r="GE67" i="1"/>
  <c r="GE78" i="1"/>
  <c r="KA79" i="1"/>
  <c r="KA78" i="1"/>
  <c r="KA67" i="1"/>
  <c r="IN29" i="1"/>
  <c r="IN83" i="1"/>
  <c r="IN82" i="1"/>
  <c r="IN52" i="1"/>
  <c r="IN70" i="1"/>
  <c r="IN27" i="1"/>
  <c r="HT70" i="1"/>
  <c r="HT44" i="1"/>
  <c r="HT83" i="1"/>
  <c r="HT76" i="1"/>
  <c r="HT35" i="1"/>
  <c r="HT27" i="1"/>
  <c r="HT56" i="1"/>
  <c r="HT43" i="1"/>
  <c r="HT62" i="1"/>
  <c r="HT82" i="1"/>
  <c r="HT52" i="1"/>
  <c r="KB76" i="1"/>
  <c r="KB35" i="1"/>
  <c r="KB82" i="1"/>
  <c r="KB27" i="1"/>
  <c r="KB52" i="1"/>
  <c r="KB70" i="1"/>
  <c r="KB43" i="1"/>
  <c r="KB62" i="1"/>
  <c r="KB83" i="1"/>
  <c r="JH83" i="1"/>
  <c r="JH43" i="1"/>
  <c r="JH82" i="1"/>
  <c r="JH52" i="1"/>
  <c r="JH70" i="1"/>
  <c r="FW195" i="1"/>
  <c r="HJ29" i="1"/>
  <c r="HJ83" i="1"/>
  <c r="HJ27" i="1"/>
  <c r="HJ52" i="1"/>
  <c r="HJ35" i="1"/>
  <c r="HJ82" i="1"/>
  <c r="ID29" i="1"/>
  <c r="ID83" i="1"/>
  <c r="ID52" i="1"/>
  <c r="ID27" i="1"/>
  <c r="ID82" i="1"/>
  <c r="IX35" i="1"/>
  <c r="IX52" i="1"/>
  <c r="IX83" i="1"/>
  <c r="IX62" i="1"/>
  <c r="IX82" i="1"/>
  <c r="IM79" i="1"/>
  <c r="JF42" i="1"/>
  <c r="JF54" i="1"/>
  <c r="GY78" i="1"/>
  <c r="GY67" i="1"/>
  <c r="IM67" i="1"/>
  <c r="CZ124" i="1"/>
  <c r="CZ147" i="1"/>
  <c r="CZ13" i="1"/>
  <c r="CZ73" i="1"/>
  <c r="CZ93" i="1"/>
  <c r="CZ83" i="1"/>
  <c r="CZ118" i="1"/>
  <c r="CZ171" i="1"/>
  <c r="CZ134" i="1"/>
  <c r="CZ163" i="1"/>
  <c r="CZ12" i="1"/>
  <c r="CZ108" i="1"/>
  <c r="CZ193" i="1"/>
  <c r="CZ190" i="1"/>
  <c r="CZ203" i="1"/>
  <c r="CZ23" i="1"/>
  <c r="CZ86" i="1"/>
  <c r="CZ115" i="1"/>
  <c r="CZ10" i="1"/>
  <c r="CZ51" i="1"/>
  <c r="CZ161" i="1"/>
  <c r="CZ202" i="1"/>
  <c r="CZ141" i="1"/>
  <c r="CZ103" i="1"/>
  <c r="CZ66" i="1"/>
  <c r="CZ84" i="1"/>
  <c r="CZ79" i="1"/>
  <c r="CZ46" i="1"/>
  <c r="CZ144" i="1"/>
  <c r="CZ31" i="1"/>
  <c r="CZ43" i="1"/>
  <c r="CZ17" i="1"/>
  <c r="CZ65" i="1"/>
  <c r="CZ180" i="1"/>
  <c r="CZ196" i="1"/>
  <c r="CZ36" i="1"/>
  <c r="CZ177" i="1"/>
  <c r="CZ29" i="1"/>
  <c r="CZ47" i="1"/>
  <c r="CZ189" i="1"/>
  <c r="CZ142" i="1"/>
  <c r="CZ138" i="1"/>
  <c r="CZ176" i="1"/>
  <c r="CZ130" i="1"/>
  <c r="CZ3" i="1"/>
  <c r="CZ135" i="1"/>
  <c r="CZ52" i="1"/>
  <c r="CZ149" i="1"/>
  <c r="CZ82" i="1"/>
  <c r="IZ42" i="1"/>
  <c r="IF42" i="1"/>
  <c r="HV42" i="1"/>
  <c r="GF77" i="1"/>
  <c r="GF79" i="1"/>
  <c r="GF53" i="1"/>
  <c r="KC67" i="1"/>
  <c r="GF37" i="1"/>
  <c r="GF29" i="1"/>
  <c r="GF30" i="1"/>
  <c r="GF72" i="1"/>
  <c r="JH8" i="1"/>
  <c r="JH29" i="1"/>
  <c r="JH37" i="1"/>
  <c r="GT27" i="1"/>
  <c r="HL42" i="1"/>
  <c r="JH23" i="1"/>
  <c r="JH72" i="1"/>
  <c r="HT37" i="1"/>
  <c r="IN72" i="1"/>
  <c r="KB50" i="1"/>
  <c r="HT8" i="1"/>
  <c r="KB8" i="1"/>
  <c r="KB78" i="1"/>
  <c r="HT78" i="1"/>
  <c r="HT16" i="1"/>
  <c r="IN8" i="1"/>
  <c r="KB61" i="1"/>
  <c r="KB23" i="1"/>
  <c r="KB53" i="1"/>
  <c r="KB29" i="1"/>
  <c r="HT30" i="1"/>
  <c r="HT46" i="1"/>
  <c r="HT79" i="1"/>
  <c r="HT75" i="1"/>
  <c r="IN77" i="1"/>
  <c r="KB77" i="1"/>
  <c r="EE76" i="1" l="1"/>
  <c r="DI44" i="1"/>
  <c r="FR8" i="1"/>
  <c r="FS129" i="1"/>
  <c r="DS45" i="1"/>
  <c r="FK68" i="1"/>
  <c r="FR4" i="1"/>
  <c r="DS4" i="1"/>
  <c r="DH109" i="1"/>
  <c r="FK202" i="1"/>
  <c r="EP111" i="1"/>
  <c r="FS27" i="1"/>
  <c r="FS110" i="1"/>
  <c r="DS167" i="1"/>
  <c r="FS30" i="1"/>
  <c r="AT197" i="1"/>
  <c r="FQ42" i="1"/>
  <c r="FS147" i="1"/>
  <c r="FK54" i="1"/>
  <c r="CZ184" i="1"/>
  <c r="FT153" i="1"/>
  <c r="FK194" i="1"/>
  <c r="DR83" i="1"/>
  <c r="FQ132" i="1"/>
  <c r="FR58" i="1"/>
  <c r="DI104" i="1"/>
  <c r="EP200" i="1"/>
  <c r="EE26" i="1"/>
  <c r="EE97" i="1"/>
  <c r="FU187" i="1"/>
  <c r="FP196" i="1"/>
  <c r="FQ97" i="1"/>
  <c r="FR181" i="1"/>
  <c r="DI62" i="1"/>
  <c r="FQ169" i="1"/>
  <c r="FK67" i="1"/>
  <c r="DR123" i="1"/>
  <c r="FP165" i="1"/>
  <c r="EP82" i="1"/>
  <c r="DV77" i="1"/>
  <c r="FK109" i="1"/>
  <c r="FP50" i="1"/>
  <c r="FS204" i="1"/>
  <c r="FS101" i="1"/>
  <c r="CZ192" i="1"/>
  <c r="FT8" i="1"/>
  <c r="FR179" i="1"/>
  <c r="DR8" i="1"/>
  <c r="EE118" i="1"/>
  <c r="FP169" i="1"/>
  <c r="EP186" i="1"/>
  <c r="DR187" i="1"/>
  <c r="DI192" i="1"/>
  <c r="EE176" i="1"/>
  <c r="FS70" i="1"/>
  <c r="DH12" i="1"/>
  <c r="CZ106" i="1"/>
  <c r="FP186" i="1"/>
  <c r="FP141" i="1"/>
  <c r="FM107" i="1"/>
  <c r="EV82" i="1"/>
  <c r="FT158" i="1"/>
  <c r="CZ201" i="1"/>
  <c r="FK164" i="1"/>
  <c r="FR88" i="1"/>
  <c r="FT168" i="1"/>
  <c r="FU151" i="1"/>
  <c r="FP204" i="1"/>
  <c r="EP152" i="1"/>
  <c r="EE156" i="1"/>
  <c r="DI195" i="1"/>
  <c r="FP68" i="1"/>
  <c r="FS136" i="1"/>
  <c r="FR113" i="1"/>
  <c r="CY23" i="1"/>
  <c r="FP193" i="1"/>
  <c r="FS162" i="1"/>
  <c r="DR64" i="1"/>
  <c r="FU52" i="1"/>
  <c r="CZ90" i="1"/>
  <c r="FR139" i="1"/>
  <c r="EV64" i="1"/>
  <c r="FK8" i="1"/>
  <c r="DR90" i="1"/>
  <c r="FA38" i="1"/>
  <c r="FU175" i="1"/>
  <c r="FS150" i="1"/>
  <c r="FB102" i="1"/>
  <c r="DR44" i="1"/>
  <c r="DR171" i="1"/>
  <c r="DR173" i="1"/>
  <c r="FP65" i="1"/>
  <c r="FS195" i="1"/>
  <c r="FR80" i="1"/>
  <c r="DR89" i="1"/>
  <c r="DS205" i="1"/>
  <c r="DS154" i="1"/>
  <c r="FQ31" i="1"/>
  <c r="DR174" i="1"/>
  <c r="FT179" i="1"/>
  <c r="FQ202" i="1"/>
  <c r="DH172" i="1"/>
  <c r="FU44" i="1"/>
  <c r="DS69" i="1"/>
  <c r="DI167" i="1"/>
  <c r="DI109" i="1"/>
  <c r="FQ139" i="1"/>
  <c r="FU4" i="1"/>
  <c r="FP100" i="1"/>
  <c r="FR187" i="1"/>
  <c r="FU116" i="1"/>
  <c r="FD91" i="1"/>
  <c r="DS143" i="1"/>
  <c r="DS106" i="1"/>
  <c r="FW182" i="1"/>
  <c r="AT50" i="1"/>
  <c r="DH164" i="1"/>
  <c r="FK124" i="1"/>
  <c r="FT77" i="1"/>
  <c r="FG42" i="1"/>
  <c r="DH125" i="1"/>
  <c r="EE192" i="1"/>
  <c r="FP133" i="1"/>
  <c r="CZ195" i="1"/>
  <c r="FK6" i="1"/>
  <c r="CZ129" i="1"/>
  <c r="FU110" i="1"/>
  <c r="DI95" i="1"/>
  <c r="FP52" i="1"/>
  <c r="FS166" i="1"/>
  <c r="FS138" i="1"/>
  <c r="AS91" i="1"/>
  <c r="AU91" i="1" s="1"/>
  <c r="FP80" i="1"/>
  <c r="EE102" i="1"/>
  <c r="FK152" i="1"/>
  <c r="DS31" i="1"/>
  <c r="FT70" i="1"/>
  <c r="CZ7" i="1"/>
  <c r="FT137" i="1"/>
  <c r="DR5" i="1"/>
  <c r="FU174" i="1"/>
  <c r="DS95" i="1"/>
  <c r="DI78" i="1"/>
  <c r="FU127" i="1"/>
  <c r="DI119" i="1"/>
  <c r="EP72" i="1"/>
  <c r="FS77" i="1"/>
  <c r="EN131" i="1"/>
  <c r="DH97" i="1"/>
  <c r="DH49" i="1"/>
  <c r="FQ68" i="1"/>
  <c r="FR148" i="1"/>
  <c r="FP116" i="1"/>
  <c r="DI180" i="1"/>
  <c r="DI152" i="1"/>
  <c r="DS184" i="1"/>
  <c r="DR7" i="1"/>
  <c r="FR26" i="1"/>
  <c r="FK84" i="1"/>
  <c r="FU73" i="1"/>
  <c r="EX24" i="1"/>
  <c r="DP62" i="1"/>
  <c r="FQ186" i="1"/>
  <c r="FT95" i="1"/>
  <c r="FR102" i="1"/>
  <c r="FT147" i="1"/>
  <c r="DI59" i="1"/>
  <c r="FK69" i="1"/>
  <c r="DI118" i="1"/>
  <c r="EE68" i="1"/>
  <c r="DI94" i="1"/>
  <c r="FU140" i="1"/>
  <c r="FR153" i="1"/>
  <c r="DH71" i="1"/>
  <c r="FP53" i="1"/>
  <c r="DR118" i="1"/>
  <c r="FK64" i="1"/>
  <c r="FR53" i="1"/>
  <c r="FP45" i="1"/>
  <c r="FP109" i="1"/>
  <c r="DD5" i="1"/>
  <c r="FK81" i="1"/>
  <c r="FU27" i="1"/>
  <c r="FX114" i="1"/>
  <c r="DJ169" i="1"/>
  <c r="EP177" i="1"/>
  <c r="FR94" i="1"/>
  <c r="DR73" i="1"/>
  <c r="FR169" i="1"/>
  <c r="FU156" i="1"/>
  <c r="DI157" i="1"/>
  <c r="FS199" i="1"/>
  <c r="EB7" i="1"/>
  <c r="DB168" i="1"/>
  <c r="DE96" i="1"/>
  <c r="EY47" i="1"/>
  <c r="FU10" i="1"/>
  <c r="EV52" i="1"/>
  <c r="FQ124" i="1"/>
  <c r="FR178" i="1"/>
  <c r="FS49" i="1"/>
  <c r="FR5" i="1"/>
  <c r="FK188" i="1"/>
  <c r="DS70" i="1"/>
  <c r="CZ175" i="1"/>
  <c r="FT184" i="1"/>
  <c r="FU35" i="1"/>
  <c r="FU205" i="1"/>
  <c r="EE79" i="1"/>
  <c r="DE181" i="1"/>
  <c r="DS110" i="1"/>
  <c r="CZ167" i="1"/>
  <c r="FQ61" i="1"/>
  <c r="FU186" i="1"/>
  <c r="DI106" i="1"/>
  <c r="DR23" i="1"/>
  <c r="FP134" i="1"/>
  <c r="FQ131" i="1"/>
  <c r="CZ145" i="1"/>
  <c r="FK126" i="1"/>
  <c r="EZ35" i="1"/>
  <c r="CZ146" i="1"/>
  <c r="FR96" i="1"/>
  <c r="DI30" i="1"/>
  <c r="EP110" i="1"/>
  <c r="FK72" i="1"/>
  <c r="FT188" i="1"/>
  <c r="FU180" i="1"/>
  <c r="FS178" i="1"/>
  <c r="CZ164" i="1"/>
  <c r="DI53" i="1"/>
  <c r="FK146" i="1"/>
  <c r="DR99" i="1"/>
  <c r="FK145" i="1"/>
  <c r="DR149" i="1"/>
  <c r="FS146" i="1"/>
  <c r="DH122" i="1"/>
  <c r="FR120" i="1"/>
  <c r="FU131" i="1"/>
  <c r="FS151" i="1"/>
  <c r="EP113" i="1"/>
  <c r="FU162" i="1"/>
  <c r="FK132" i="1"/>
  <c r="FS47" i="1"/>
  <c r="FQ201" i="1"/>
  <c r="FP179" i="1"/>
  <c r="FS189" i="1"/>
  <c r="FP84" i="1"/>
  <c r="FR45" i="1"/>
  <c r="CZ60" i="1"/>
  <c r="CZ132" i="1"/>
  <c r="FT103" i="1"/>
  <c r="DR29" i="1"/>
  <c r="DS101" i="1"/>
  <c r="FS23" i="1"/>
  <c r="FT80" i="1"/>
  <c r="FP177" i="1"/>
  <c r="FU200" i="1"/>
  <c r="CZ95" i="1"/>
  <c r="DI172" i="1"/>
  <c r="FU135" i="1"/>
  <c r="FP143" i="1"/>
  <c r="FU193" i="1"/>
  <c r="EP64" i="1"/>
  <c r="EP189" i="1"/>
  <c r="DE166" i="1"/>
  <c r="DP122" i="1"/>
  <c r="FR30" i="1"/>
  <c r="FP157" i="1"/>
  <c r="FK29" i="1"/>
  <c r="FP205" i="1"/>
  <c r="DR20" i="1"/>
  <c r="DZ84" i="1"/>
  <c r="DP84" i="1"/>
  <c r="EE201" i="1"/>
  <c r="DH60" i="1"/>
  <c r="DE90" i="1"/>
  <c r="FP122" i="1"/>
  <c r="FR205" i="1"/>
  <c r="FQ165" i="1"/>
  <c r="CY114" i="1"/>
  <c r="DT170" i="1"/>
  <c r="EV103" i="1"/>
  <c r="FQ79" i="1"/>
  <c r="DI156" i="1"/>
  <c r="EX164" i="1"/>
  <c r="FT17" i="1"/>
  <c r="FR56" i="1"/>
  <c r="DI43" i="1"/>
  <c r="EP35" i="1"/>
  <c r="FQ143" i="1"/>
  <c r="EP181" i="1"/>
  <c r="EP154" i="1"/>
  <c r="DI134" i="1"/>
  <c r="EE117" i="1"/>
  <c r="DE186" i="1"/>
  <c r="FS80" i="1"/>
  <c r="FR158" i="1"/>
  <c r="EP94" i="1"/>
  <c r="FQ110" i="1"/>
  <c r="FB199" i="1"/>
  <c r="EX100" i="1"/>
  <c r="FP61" i="1"/>
  <c r="FS90" i="1"/>
  <c r="EE95" i="1"/>
  <c r="DP75" i="1"/>
  <c r="EE125" i="1"/>
  <c r="FU70" i="1"/>
  <c r="FR69" i="1"/>
  <c r="DE118" i="1"/>
  <c r="DR42" i="1"/>
  <c r="FQ102" i="1"/>
  <c r="FU204" i="1"/>
  <c r="DE192" i="1"/>
  <c r="DE205" i="1"/>
  <c r="CZ76" i="1"/>
  <c r="FS163" i="1"/>
  <c r="DI143" i="1"/>
  <c r="FP86" i="1"/>
  <c r="FR168" i="1"/>
  <c r="FR59" i="1"/>
  <c r="FJ143" i="1"/>
  <c r="DR182" i="1"/>
  <c r="EP51" i="1"/>
  <c r="L27" i="1"/>
  <c r="FS183" i="1"/>
  <c r="FK79" i="1"/>
  <c r="CZ92" i="1"/>
  <c r="AS24" i="1"/>
  <c r="AU24" i="1" s="1"/>
  <c r="FQ122" i="1"/>
  <c r="FK60" i="1"/>
  <c r="DI58" i="1"/>
  <c r="DE44" i="1"/>
  <c r="FP190" i="1"/>
  <c r="CZ99" i="1"/>
  <c r="CZ154" i="1"/>
  <c r="CZ125" i="1"/>
  <c r="FQ106" i="1"/>
  <c r="DI12" i="1"/>
  <c r="DI8" i="1"/>
  <c r="CZ6" i="1"/>
  <c r="FT44" i="1"/>
  <c r="FK133" i="1"/>
  <c r="FU168" i="1"/>
  <c r="EE190" i="1"/>
  <c r="FQ137" i="1"/>
  <c r="FR117" i="1"/>
  <c r="ET175" i="1"/>
  <c r="DS53" i="1"/>
  <c r="CY150" i="1"/>
  <c r="DP4" i="1"/>
  <c r="DP152" i="1"/>
  <c r="FP188" i="1"/>
  <c r="AS172" i="1"/>
  <c r="AU172" i="1" s="1"/>
  <c r="FQ128" i="1"/>
  <c r="FK103" i="1"/>
  <c r="DI149" i="1"/>
  <c r="FT123" i="1"/>
  <c r="CZ101" i="1"/>
  <c r="FQ24" i="1"/>
  <c r="AT27" i="1"/>
  <c r="FS3" i="1"/>
  <c r="DR114" i="1"/>
  <c r="FU58" i="1"/>
  <c r="FS116" i="1"/>
  <c r="FI119" i="1"/>
  <c r="DH136" i="1"/>
  <c r="FA199" i="1"/>
  <c r="DP126" i="1"/>
  <c r="DR15" i="1"/>
  <c r="FR111" i="1"/>
  <c r="FQ100" i="1"/>
  <c r="EE58" i="1"/>
  <c r="EE53" i="1"/>
  <c r="FU108" i="1"/>
  <c r="DZ23" i="1"/>
  <c r="DP95" i="1"/>
  <c r="FK157" i="1"/>
  <c r="DS193" i="1"/>
  <c r="FQ5" i="1"/>
  <c r="FF23" i="1"/>
  <c r="DP67" i="1"/>
  <c r="EW102" i="1"/>
  <c r="DI27" i="1"/>
  <c r="DI151" i="1"/>
  <c r="FP102" i="1"/>
  <c r="EX71" i="1"/>
  <c r="CZ116" i="1"/>
  <c r="DR27" i="1"/>
  <c r="DI71" i="1"/>
  <c r="FS186" i="1"/>
  <c r="DP56" i="1"/>
  <c r="FT30" i="1"/>
  <c r="FT76" i="1"/>
  <c r="FK184" i="1"/>
  <c r="FH116" i="1"/>
  <c r="CY20" i="1"/>
  <c r="DP191" i="1"/>
  <c r="CZ25" i="1"/>
  <c r="CZ89" i="1"/>
  <c r="EE8" i="1"/>
  <c r="DS112" i="1"/>
  <c r="DI169" i="1"/>
  <c r="CZ166" i="1"/>
  <c r="CZ24" i="1"/>
  <c r="CZ44" i="1"/>
  <c r="FK83" i="1"/>
  <c r="DS29" i="1"/>
  <c r="FT10" i="1"/>
  <c r="DS50" i="1"/>
  <c r="DS103" i="1"/>
  <c r="FX56" i="1"/>
  <c r="DS6" i="1"/>
  <c r="DS199" i="1"/>
  <c r="FT69" i="1"/>
  <c r="EE59" i="1"/>
  <c r="FQ10" i="1"/>
  <c r="FW166" i="1"/>
  <c r="DP181" i="1"/>
  <c r="FQ203" i="1"/>
  <c r="FX126" i="1"/>
  <c r="DA158" i="1"/>
  <c r="DI150" i="1"/>
  <c r="FC8" i="1"/>
  <c r="CZ104" i="1"/>
  <c r="FT159" i="1"/>
  <c r="DI4" i="1"/>
  <c r="FS35" i="1"/>
  <c r="DR194" i="1"/>
  <c r="DI168" i="1"/>
  <c r="DR135" i="1"/>
  <c r="DI105" i="1"/>
  <c r="DR154" i="1"/>
  <c r="EE113" i="1"/>
  <c r="EP173" i="1"/>
  <c r="FU125" i="1"/>
  <c r="FP58" i="1"/>
  <c r="FQ205" i="1"/>
  <c r="FS168" i="1"/>
  <c r="FQ188" i="1"/>
  <c r="FR162" i="1"/>
  <c r="DR96" i="1"/>
  <c r="DP92" i="1"/>
  <c r="DP45" i="1"/>
  <c r="FQ107" i="1"/>
  <c r="FR75" i="1"/>
  <c r="CZ183" i="1"/>
  <c r="FA172" i="1"/>
  <c r="DS65" i="1"/>
  <c r="DI6" i="1"/>
  <c r="FA158" i="1"/>
  <c r="DS85" i="1"/>
  <c r="FP178" i="1"/>
  <c r="FR150" i="1"/>
  <c r="DS151" i="1"/>
  <c r="FK42" i="1"/>
  <c r="DA186" i="1"/>
  <c r="FQ174" i="1"/>
  <c r="FR77" i="1"/>
  <c r="FQ117" i="1"/>
  <c r="EE50" i="1"/>
  <c r="FT38" i="1"/>
  <c r="FT54" i="1"/>
  <c r="DI205" i="1"/>
  <c r="EE182" i="1"/>
  <c r="DI103" i="1"/>
  <c r="FU112" i="1"/>
  <c r="CZ182" i="1"/>
  <c r="FS71" i="1"/>
  <c r="FR100" i="1"/>
  <c r="CZ72" i="1"/>
  <c r="FU123" i="1"/>
  <c r="DR183" i="1"/>
  <c r="FR70" i="1"/>
  <c r="FK37" i="1"/>
  <c r="FR68" i="1"/>
  <c r="FX122" i="1"/>
  <c r="FK76" i="1"/>
  <c r="DR164" i="1"/>
  <c r="AS197" i="1"/>
  <c r="AU197" i="1" s="1"/>
  <c r="FA92" i="1"/>
  <c r="FU61" i="1"/>
  <c r="FQ56" i="1"/>
  <c r="DI36" i="1"/>
  <c r="FP195" i="1"/>
  <c r="CZ165" i="1"/>
  <c r="FQ138" i="1"/>
  <c r="DS160" i="1"/>
  <c r="FT104" i="1"/>
  <c r="FQ60" i="1"/>
  <c r="DS126" i="1"/>
  <c r="DS16" i="1"/>
  <c r="DS135" i="1"/>
  <c r="DS180" i="1"/>
  <c r="FU147" i="1"/>
  <c r="DP37" i="1"/>
  <c r="DI174" i="1"/>
  <c r="EE108" i="1"/>
  <c r="FP159" i="1"/>
  <c r="FU183" i="1"/>
  <c r="DH101" i="1"/>
  <c r="DI130" i="1"/>
  <c r="DR142" i="1"/>
  <c r="FP113" i="1"/>
  <c r="FP202" i="1"/>
  <c r="FQ130" i="1"/>
  <c r="FS111" i="1"/>
  <c r="FT148" i="1"/>
  <c r="FS62" i="1"/>
  <c r="FR197" i="1"/>
  <c r="FR170" i="1"/>
  <c r="FR109" i="1"/>
  <c r="DS114" i="1"/>
  <c r="FQ115" i="1"/>
  <c r="CF166" i="1" a="1"/>
  <c r="CF166" i="1" s="1"/>
  <c r="EP50" i="1"/>
  <c r="DS44" i="1"/>
  <c r="FQ98" i="1"/>
  <c r="L13" i="1"/>
  <c r="CY143" i="1"/>
  <c r="FP88" i="1"/>
  <c r="FK120" i="1"/>
  <c r="EM107" i="1"/>
  <c r="DT7" i="1"/>
  <c r="FK75" i="1"/>
  <c r="DS60" i="1"/>
  <c r="FU182" i="1"/>
  <c r="DH197" i="1"/>
  <c r="DT124" i="1"/>
  <c r="DH192" i="1"/>
  <c r="EE133" i="1"/>
  <c r="EP139" i="1"/>
  <c r="FS46" i="1"/>
  <c r="EP170" i="1"/>
  <c r="FP120" i="1"/>
  <c r="DR131" i="1"/>
  <c r="DS30" i="1"/>
  <c r="CZ156" i="1"/>
  <c r="DP175" i="1"/>
  <c r="DP145" i="1"/>
  <c r="EX26" i="1"/>
  <c r="EP166" i="1"/>
  <c r="FS179" i="1"/>
  <c r="EP150" i="1"/>
  <c r="DR155" i="1"/>
  <c r="DI112" i="1"/>
  <c r="DR121" i="1"/>
  <c r="DR140" i="1"/>
  <c r="DR128" i="1"/>
  <c r="FU176" i="1"/>
  <c r="EE200" i="1"/>
  <c r="FQ123" i="1"/>
  <c r="FS122" i="1"/>
  <c r="FS67" i="1"/>
  <c r="FS193" i="1"/>
  <c r="FQ200" i="1"/>
  <c r="FT185" i="1"/>
  <c r="DI135" i="1"/>
  <c r="CF192" i="1" a="1"/>
  <c r="CF192" i="1" s="1"/>
  <c r="FK159" i="1"/>
  <c r="DS168" i="1"/>
  <c r="FA56" i="1"/>
  <c r="FA156" i="1"/>
  <c r="DS49" i="1"/>
  <c r="FT180" i="1"/>
  <c r="DT62" i="1"/>
  <c r="FQ85" i="1"/>
  <c r="DI160" i="1"/>
  <c r="DS128" i="1"/>
  <c r="EE12" i="1"/>
  <c r="DR30" i="1"/>
  <c r="FT175" i="1"/>
  <c r="DR197" i="1"/>
  <c r="FU169" i="1"/>
  <c r="FK50" i="1"/>
  <c r="EP202" i="1"/>
  <c r="FQ198" i="1"/>
  <c r="DS10" i="1"/>
  <c r="FR122" i="1"/>
  <c r="DS165" i="1"/>
  <c r="AS68" i="1"/>
  <c r="AU68" i="1" s="1"/>
  <c r="FA44" i="1"/>
  <c r="FU167" i="1"/>
  <c r="EX141" i="1"/>
  <c r="FQ49" i="1"/>
  <c r="FT203" i="1"/>
  <c r="FK119" i="1"/>
  <c r="DH38" i="1"/>
  <c r="EP68" i="1"/>
  <c r="EE165" i="1"/>
  <c r="EP117" i="1"/>
  <c r="FS173" i="1"/>
  <c r="CZ119" i="1"/>
  <c r="CY88" i="1"/>
  <c r="DI177" i="1"/>
  <c r="FS64" i="1"/>
  <c r="DH120" i="1"/>
  <c r="EP121" i="1"/>
  <c r="CF122" i="1" a="1"/>
  <c r="CF122" i="1" s="1"/>
  <c r="CY204" i="1"/>
  <c r="FA203" i="1"/>
  <c r="FB5" i="1"/>
  <c r="FS55" i="1"/>
  <c r="FQ71" i="1"/>
  <c r="DS118" i="1"/>
  <c r="DR167" i="1"/>
  <c r="FU191" i="1"/>
  <c r="DI96" i="1"/>
  <c r="DR148" i="1"/>
  <c r="DS80" i="1"/>
  <c r="DS96" i="1"/>
  <c r="DS59" i="1"/>
  <c r="CZ159" i="1"/>
  <c r="CZ143" i="1"/>
  <c r="FK161" i="1"/>
  <c r="EE15" i="1"/>
  <c r="FQ150" i="1"/>
  <c r="FT16" i="1"/>
  <c r="DS81" i="1"/>
  <c r="DS67" i="1"/>
  <c r="FR50" i="1"/>
  <c r="FX152" i="1"/>
  <c r="EV162" i="1"/>
  <c r="FU3" i="1"/>
  <c r="DR38" i="1"/>
  <c r="FA149" i="1"/>
  <c r="FU190" i="1"/>
  <c r="EP149" i="1"/>
  <c r="DP170" i="1"/>
  <c r="EX91" i="1"/>
  <c r="FT197" i="1"/>
  <c r="FQ145" i="1"/>
  <c r="FS105" i="1"/>
  <c r="FT201" i="1"/>
  <c r="FU5" i="1"/>
  <c r="EP195" i="1"/>
  <c r="EE157" i="1"/>
  <c r="DR55" i="1"/>
  <c r="FU105" i="1"/>
  <c r="FP97" i="1"/>
  <c r="FS73" i="1"/>
  <c r="FS119" i="1"/>
  <c r="DI116" i="1"/>
  <c r="FU71" i="1"/>
  <c r="CY70" i="1"/>
  <c r="EE140" i="1"/>
  <c r="FS94" i="1"/>
  <c r="FP10" i="1"/>
  <c r="CF120" i="1" a="1"/>
  <c r="CF120" i="1" s="1"/>
  <c r="DH31" i="1"/>
  <c r="FS78" i="1"/>
  <c r="FS141" i="1"/>
  <c r="FQ51" i="1"/>
  <c r="ET198" i="1"/>
  <c r="DS162" i="1"/>
  <c r="DR94" i="1"/>
  <c r="CZ185" i="1"/>
  <c r="DS138" i="1"/>
  <c r="DS17" i="1"/>
  <c r="CY184" i="1"/>
  <c r="EE51" i="1"/>
  <c r="FP103" i="1"/>
  <c r="DP101" i="1"/>
  <c r="FK136" i="1"/>
  <c r="CZ155" i="1"/>
  <c r="AT121" i="1"/>
  <c r="FK197" i="1"/>
  <c r="DS159" i="1"/>
  <c r="FT67" i="1"/>
  <c r="CZ170" i="1"/>
  <c r="CZ49" i="1"/>
  <c r="FQ20" i="1"/>
  <c r="DS104" i="1"/>
  <c r="FR98" i="1"/>
  <c r="DS129" i="1"/>
  <c r="FA128" i="1"/>
  <c r="FT174" i="1"/>
  <c r="FA54" i="1"/>
  <c r="DP195" i="1"/>
  <c r="EP163" i="1"/>
  <c r="EX196" i="1"/>
  <c r="FQ50" i="1"/>
  <c r="FU172" i="1"/>
  <c r="DI163" i="1"/>
  <c r="FP49" i="1"/>
  <c r="FP198" i="1"/>
  <c r="CY106" i="1"/>
  <c r="DI142" i="1"/>
  <c r="FP136" i="1"/>
  <c r="CF170" i="1" a="1"/>
  <c r="CF170" i="1" s="1"/>
  <c r="FB29" i="1"/>
  <c r="DD46" i="1"/>
  <c r="DL68" i="1"/>
  <c r="CX155" i="1"/>
  <c r="FB171" i="1"/>
  <c r="FP76" i="1"/>
  <c r="ES107" i="1"/>
  <c r="ES85" i="1"/>
  <c r="EE11" i="1"/>
  <c r="DS194" i="1"/>
  <c r="DA147" i="1"/>
  <c r="FP24" i="1"/>
  <c r="DT84" i="1"/>
  <c r="DS146" i="1"/>
  <c r="FU144" i="1"/>
  <c r="DS202" i="1"/>
  <c r="DS64" i="1"/>
  <c r="AT55" i="1"/>
  <c r="DI20" i="1"/>
  <c r="DR62" i="1"/>
  <c r="FA58" i="1"/>
  <c r="FT198" i="1"/>
  <c r="EX111" i="1"/>
  <c r="FT171" i="1"/>
  <c r="FT65" i="1"/>
  <c r="FR114" i="1"/>
  <c r="DR117" i="1"/>
  <c r="DI99" i="1"/>
  <c r="DR180" i="1"/>
  <c r="DI126" i="1"/>
  <c r="DP140" i="1"/>
  <c r="DJ61" i="1"/>
  <c r="CF81" i="1" a="1"/>
  <c r="CF81" i="1" s="1"/>
  <c r="DS38" i="1"/>
  <c r="DS66" i="1"/>
  <c r="DS82" i="1"/>
  <c r="DA47" i="1"/>
  <c r="DP119" i="1"/>
  <c r="DP17" i="1"/>
  <c r="CZ198" i="1"/>
  <c r="FT15" i="1"/>
  <c r="DS148" i="1"/>
  <c r="FA202" i="1"/>
  <c r="FA155" i="1"/>
  <c r="CZ110" i="1"/>
  <c r="FB198" i="1"/>
  <c r="FT71" i="1"/>
  <c r="DS91" i="1"/>
  <c r="DS179" i="1"/>
  <c r="FA151" i="1"/>
  <c r="DI146" i="1"/>
  <c r="FP70" i="1"/>
  <c r="FU94" i="1"/>
  <c r="FU195" i="1"/>
  <c r="FU201" i="1"/>
  <c r="DS153" i="1"/>
  <c r="FK143" i="1"/>
  <c r="EE196" i="1"/>
  <c r="CZ127" i="1"/>
  <c r="CZ152" i="1"/>
  <c r="DS187" i="1"/>
  <c r="FR55" i="1"/>
  <c r="EV24" i="1"/>
  <c r="FK16" i="1"/>
  <c r="FA20" i="1"/>
  <c r="DA203" i="1"/>
  <c r="DP204" i="1"/>
  <c r="EP183" i="1"/>
  <c r="FQ29" i="1"/>
  <c r="ES65" i="1"/>
  <c r="CY180" i="1"/>
  <c r="DR103" i="1"/>
  <c r="CF125" i="1" a="1"/>
  <c r="CF125" i="1" s="1"/>
  <c r="EE107" i="1"/>
  <c r="FB27" i="1"/>
  <c r="DJ104" i="1"/>
  <c r="DH66" i="1"/>
  <c r="DH106" i="1"/>
  <c r="FP164" i="1"/>
  <c r="FA161" i="1"/>
  <c r="FA24" i="1"/>
  <c r="EO107" i="1"/>
  <c r="DS102" i="1"/>
  <c r="DS77" i="1"/>
  <c r="DP12" i="1"/>
  <c r="DS182" i="1"/>
  <c r="EE45" i="1"/>
  <c r="AS55" i="1"/>
  <c r="AU55" i="1" s="1"/>
  <c r="DS88" i="1"/>
  <c r="FW118" i="1"/>
  <c r="FW85" i="1"/>
  <c r="FA96" i="1"/>
  <c r="DA15" i="1"/>
  <c r="DI117" i="1"/>
  <c r="FS198" i="1"/>
  <c r="DI141" i="1"/>
  <c r="FQ70" i="1"/>
  <c r="FS131" i="1"/>
  <c r="ES90" i="1"/>
  <c r="DR97" i="1"/>
  <c r="EE161" i="1"/>
  <c r="EE145" i="1"/>
  <c r="EP199" i="1"/>
  <c r="DI81" i="1"/>
  <c r="FU155" i="1"/>
  <c r="FR54" i="1"/>
  <c r="FR91" i="1"/>
  <c r="CZ107" i="1"/>
  <c r="FB197" i="1"/>
  <c r="DS90" i="1"/>
  <c r="DS68" i="1"/>
  <c r="DE138" i="1"/>
  <c r="FK153" i="1"/>
  <c r="FP152" i="1"/>
  <c r="FA135" i="1"/>
  <c r="DR192" i="1"/>
  <c r="FQ89" i="1"/>
  <c r="DS156" i="1"/>
  <c r="DS111" i="1"/>
  <c r="EE134" i="1"/>
  <c r="DS178" i="1"/>
  <c r="FS158" i="1"/>
  <c r="FK12" i="1"/>
  <c r="DR101" i="1"/>
  <c r="DH167" i="1"/>
  <c r="CY125" i="1"/>
  <c r="FQ148" i="1"/>
  <c r="DS27" i="1"/>
  <c r="DS51" i="1"/>
  <c r="AS179" i="1"/>
  <c r="AU179" i="1" s="1"/>
  <c r="DP23" i="1"/>
  <c r="DP50" i="1"/>
  <c r="FT182" i="1"/>
  <c r="FP145" i="1"/>
  <c r="ES25" i="1"/>
  <c r="DI179" i="1"/>
  <c r="FK89" i="1"/>
  <c r="DI80" i="1"/>
  <c r="FU45" i="1"/>
  <c r="FU130" i="1"/>
  <c r="FS127" i="1"/>
  <c r="FB38" i="1"/>
  <c r="DS3" i="1"/>
  <c r="CY118" i="1"/>
  <c r="DT139" i="1"/>
  <c r="DP83" i="1"/>
  <c r="FS81" i="1"/>
  <c r="FK155" i="1"/>
  <c r="DS145" i="1"/>
  <c r="FT23" i="1"/>
  <c r="FR121" i="1"/>
  <c r="FP184" i="1"/>
  <c r="FK38" i="1"/>
  <c r="FP31" i="1"/>
  <c r="EP187" i="1"/>
  <c r="FS155" i="1"/>
  <c r="FR174" i="1"/>
  <c r="DS115" i="1"/>
  <c r="FU90" i="1"/>
  <c r="CZ61" i="1"/>
  <c r="CY24" i="1"/>
  <c r="FT83" i="1"/>
  <c r="DS35" i="1"/>
  <c r="DS132" i="1"/>
  <c r="EP128" i="1"/>
  <c r="FA124" i="1"/>
  <c r="DA84" i="1"/>
  <c r="FS88" i="1"/>
  <c r="FT144" i="1"/>
  <c r="FP200" i="1"/>
  <c r="FQ113" i="1"/>
  <c r="FR151" i="1"/>
  <c r="DI89" i="1"/>
  <c r="FK179" i="1"/>
  <c r="EL196" i="1"/>
  <c r="FB7" i="1"/>
  <c r="FC12" i="1"/>
  <c r="EV141" i="1"/>
  <c r="EV93" i="1"/>
  <c r="EX20" i="1"/>
  <c r="DT179" i="1"/>
  <c r="CZ204" i="1"/>
  <c r="FR204" i="1"/>
  <c r="FT141" i="1"/>
  <c r="EP141" i="1"/>
  <c r="FT56" i="1"/>
  <c r="EP56" i="1"/>
  <c r="FA62" i="1"/>
  <c r="FK62" i="1"/>
  <c r="EE153" i="1"/>
  <c r="FP4" i="1"/>
  <c r="FU62" i="1"/>
  <c r="FR157" i="1"/>
  <c r="FS159" i="1"/>
  <c r="DR115" i="1"/>
  <c r="FP115" i="1"/>
  <c r="DS75" i="1"/>
  <c r="DI75" i="1"/>
  <c r="FQ75" i="1"/>
  <c r="FR126" i="1"/>
  <c r="CZ126" i="1"/>
  <c r="EX126" i="1"/>
  <c r="DS164" i="1"/>
  <c r="FP176" i="1"/>
  <c r="DR176" i="1"/>
  <c r="CY121" i="1"/>
  <c r="FQ121" i="1"/>
  <c r="DS121" i="1"/>
  <c r="DI121" i="1"/>
  <c r="FS112" i="1"/>
  <c r="EE112" i="1"/>
  <c r="FS154" i="1"/>
  <c r="EE154" i="1"/>
  <c r="FK192" i="1"/>
  <c r="FU192" i="1"/>
  <c r="DS93" i="1"/>
  <c r="FT27" i="1"/>
  <c r="FR160" i="1"/>
  <c r="FS4" i="1"/>
  <c r="DR201" i="1"/>
  <c r="FP201" i="1"/>
  <c r="EE69" i="1"/>
  <c r="FS69" i="1"/>
  <c r="EP151" i="1"/>
  <c r="FT151" i="1"/>
  <c r="FU77" i="1"/>
  <c r="FK77" i="1"/>
  <c r="FU91" i="1"/>
  <c r="FK91" i="1"/>
  <c r="FS31" i="1"/>
  <c r="CZ199" i="1"/>
  <c r="DI164" i="1"/>
  <c r="FS75" i="1"/>
  <c r="FT100" i="1"/>
  <c r="FU17" i="1"/>
  <c r="FK17" i="1"/>
  <c r="CK107" i="1" a="1"/>
  <c r="CK107" i="1" s="1"/>
  <c r="CK92" i="1" a="1"/>
  <c r="CK92" i="1" s="1"/>
  <c r="CG56" i="1" a="1"/>
  <c r="CG56" i="1" s="1"/>
  <c r="CG76" i="1" a="1"/>
  <c r="CG76" i="1" s="1"/>
  <c r="CG181" i="1" a="1"/>
  <c r="CG181" i="1" s="1"/>
  <c r="CG60" i="1" a="1"/>
  <c r="CG60" i="1" s="1"/>
  <c r="CG29" i="1" a="1"/>
  <c r="CG29" i="1" s="1"/>
  <c r="CG96" i="1" a="1"/>
  <c r="CG96" i="1" s="1"/>
  <c r="CG167" i="1" a="1"/>
  <c r="CG167" i="1" s="1"/>
  <c r="CG81" i="1" a="1"/>
  <c r="CG81" i="1" s="1"/>
  <c r="CG178" i="1" a="1"/>
  <c r="CG178" i="1" s="1"/>
  <c r="FP92" i="1"/>
  <c r="DR92" i="1"/>
  <c r="FR123" i="1"/>
  <c r="CZ123" i="1"/>
  <c r="FK141" i="1"/>
  <c r="FU141" i="1"/>
  <c r="DI93" i="1"/>
  <c r="DR129" i="1"/>
  <c r="FP129" i="1"/>
  <c r="DS54" i="1"/>
  <c r="FQ54" i="1"/>
  <c r="DH175" i="1"/>
  <c r="FP175" i="1"/>
  <c r="FT90" i="1"/>
  <c r="EP90" i="1"/>
  <c r="DP156" i="1"/>
  <c r="FX156" i="1"/>
  <c r="EP127" i="1"/>
  <c r="DI73" i="1"/>
  <c r="CJ122" i="1" a="1"/>
  <c r="CJ122" i="1" s="1"/>
  <c r="CJ131" i="1" a="1"/>
  <c r="CJ131" i="1" s="1"/>
  <c r="CJ77" i="1" a="1"/>
  <c r="CJ77" i="1" s="1"/>
  <c r="CJ4" i="1" a="1"/>
  <c r="CJ4" i="1" s="1"/>
  <c r="CJ191" i="1" a="1"/>
  <c r="CJ191" i="1" s="1"/>
  <c r="CJ98" i="1" a="1"/>
  <c r="CJ98" i="1" s="1"/>
  <c r="CJ127" i="1" a="1"/>
  <c r="CJ127" i="1" s="1"/>
  <c r="CJ199" i="1" a="1"/>
  <c r="CJ199" i="1" s="1"/>
  <c r="CJ12" i="1" a="1"/>
  <c r="CJ12" i="1" s="1"/>
  <c r="CJ42" i="1" a="1"/>
  <c r="CJ42" i="1" s="1"/>
  <c r="CJ109" i="1" a="1"/>
  <c r="CJ109" i="1" s="1"/>
  <c r="CJ169" i="1" a="1"/>
  <c r="CJ169" i="1" s="1"/>
  <c r="FU11" i="1"/>
  <c r="CD107" i="1" a="1"/>
  <c r="CD107" i="1" s="1"/>
  <c r="CD31" i="1" a="1"/>
  <c r="CD31" i="1" s="1"/>
  <c r="CD90" i="1" a="1"/>
  <c r="CD90" i="1" s="1"/>
  <c r="CD82" i="1" a="1"/>
  <c r="CD82" i="1" s="1"/>
  <c r="CD5" i="1" a="1"/>
  <c r="CD5" i="1" s="1"/>
  <c r="CD156" i="1" a="1"/>
  <c r="CD156" i="1" s="1"/>
  <c r="CI174" i="1" a="1"/>
  <c r="CI174" i="1" s="1"/>
  <c r="CF112" i="1" a="1"/>
  <c r="CF112" i="1" s="1"/>
  <c r="CI125" i="1" a="1"/>
  <c r="CI125" i="1" s="1"/>
  <c r="CF160" i="1" a="1"/>
  <c r="CF160" i="1" s="1"/>
  <c r="CF37" i="1" a="1"/>
  <c r="CF37" i="1" s="1"/>
  <c r="CZ136" i="1"/>
  <c r="AS186" i="1"/>
  <c r="AU186" i="1" s="1"/>
  <c r="EX3" i="1"/>
  <c r="FT191" i="1"/>
  <c r="EV136" i="1"/>
  <c r="DS5" i="1"/>
  <c r="FR63" i="1"/>
  <c r="DS197" i="1"/>
  <c r="DS36" i="1"/>
  <c r="DS181" i="1"/>
  <c r="EE126" i="1"/>
  <c r="FK93" i="1"/>
  <c r="FA68" i="1"/>
  <c r="DP76" i="1"/>
  <c r="FS38" i="1"/>
  <c r="FU24" i="1"/>
  <c r="DZ138" i="1"/>
  <c r="DH42" i="1"/>
  <c r="DI82" i="1"/>
  <c r="FU142" i="1"/>
  <c r="FP93" i="1"/>
  <c r="EP194" i="1"/>
  <c r="FQ120" i="1"/>
  <c r="FP66" i="1"/>
  <c r="FR194" i="1"/>
  <c r="DR136" i="1"/>
  <c r="FS72" i="1"/>
  <c r="DJ118" i="1"/>
  <c r="CI84" i="1" a="1"/>
  <c r="CI84" i="1" s="1"/>
  <c r="CF130" i="1" a="1"/>
  <c r="CF130" i="1" s="1"/>
  <c r="CF156" i="1" a="1"/>
  <c r="CF156" i="1" s="1"/>
  <c r="FR78" i="1"/>
  <c r="EV45" i="1"/>
  <c r="CI130" i="1" a="1"/>
  <c r="CI130" i="1" s="1"/>
  <c r="CF70" i="1" a="1"/>
  <c r="CF70" i="1" s="1"/>
  <c r="CF173" i="1" a="1"/>
  <c r="CF173" i="1" s="1"/>
  <c r="CF58" i="1" a="1"/>
  <c r="CF58" i="1" s="1"/>
  <c r="CF103" i="1" a="1"/>
  <c r="CF103" i="1" s="1"/>
  <c r="CF35" i="1" a="1"/>
  <c r="CF35" i="1" s="1"/>
  <c r="CZ140" i="1"/>
  <c r="CZ37" i="1"/>
  <c r="AT92" i="1"/>
  <c r="FQ3" i="1"/>
  <c r="DS119" i="1"/>
  <c r="FX12" i="1"/>
  <c r="DS139" i="1"/>
  <c r="DP15" i="1"/>
  <c r="FA59" i="1"/>
  <c r="FQ181" i="1"/>
  <c r="EE92" i="1"/>
  <c r="FT84" i="1"/>
  <c r="FU181" i="1"/>
  <c r="FQ105" i="1"/>
  <c r="DH15" i="1"/>
  <c r="FQ76" i="1"/>
  <c r="DR6" i="1"/>
  <c r="DI67" i="1"/>
  <c r="FK154" i="1"/>
  <c r="FU100" i="1"/>
  <c r="FP125" i="1"/>
  <c r="DR25" i="1"/>
  <c r="FU122" i="1"/>
  <c r="FP181" i="1"/>
  <c r="DR106" i="1"/>
  <c r="DP203" i="1"/>
  <c r="DE112" i="1"/>
  <c r="CI128" i="1" a="1"/>
  <c r="CI128" i="1" s="1"/>
  <c r="CF138" i="1" a="1"/>
  <c r="CF138" i="1" s="1"/>
  <c r="CF61" i="1" a="1"/>
  <c r="CF61" i="1" s="1"/>
  <c r="DA163" i="1"/>
  <c r="DZ4" i="1"/>
  <c r="FS99" i="1"/>
  <c r="FT167" i="1"/>
  <c r="FA157" i="1"/>
  <c r="DA172" i="1"/>
  <c r="DZ101" i="1"/>
  <c r="FS7" i="1"/>
  <c r="FT172" i="1"/>
  <c r="DI170" i="1"/>
  <c r="DH61" i="1"/>
  <c r="FK149" i="1"/>
  <c r="DR153" i="1"/>
  <c r="FP158" i="1"/>
  <c r="EE109" i="1"/>
  <c r="CF68" i="1" a="1"/>
  <c r="CF68" i="1" s="1"/>
  <c r="FQ183" i="1"/>
  <c r="DS127" i="1"/>
  <c r="DS172" i="1"/>
  <c r="DS189" i="1"/>
  <c r="DS55" i="1"/>
  <c r="FA97" i="1"/>
  <c r="FA186" i="1"/>
  <c r="FX4" i="1"/>
  <c r="FP150" i="1"/>
  <c r="FK115" i="1"/>
  <c r="FT156" i="1"/>
  <c r="FQ170" i="1"/>
  <c r="FU51" i="1"/>
  <c r="DH144" i="1"/>
  <c r="EE36" i="1"/>
  <c r="DI38" i="1"/>
  <c r="DR77" i="1"/>
  <c r="EP109" i="1"/>
  <c r="FP104" i="1"/>
  <c r="DE120" i="1"/>
  <c r="FQ77" i="1"/>
  <c r="FQ90" i="1"/>
  <c r="CY66" i="1"/>
  <c r="CF36" i="1" a="1"/>
  <c r="CF36" i="1" s="1"/>
  <c r="CF76" i="1" a="1"/>
  <c r="CF76" i="1" s="1"/>
  <c r="FD166" i="1"/>
  <c r="CI82" i="1" a="1"/>
  <c r="CI82" i="1" s="1"/>
  <c r="CI204" i="1" a="1"/>
  <c r="CI204" i="1" s="1"/>
  <c r="FU111" i="1"/>
  <c r="EP190" i="1"/>
  <c r="FP106" i="1"/>
  <c r="DE198" i="1"/>
  <c r="FR172" i="1"/>
  <c r="DR126" i="1"/>
  <c r="DH51" i="1"/>
  <c r="CF131" i="1" a="1"/>
  <c r="CF131" i="1" s="1"/>
  <c r="CZ81" i="1"/>
  <c r="DI185" i="1"/>
  <c r="EG155" i="1"/>
  <c r="DS201" i="1"/>
  <c r="DS175" i="1"/>
  <c r="DS149" i="1"/>
  <c r="FK31" i="1"/>
  <c r="CZ27" i="1"/>
  <c r="FT196" i="1"/>
  <c r="FQ127" i="1"/>
  <c r="FR71" i="1"/>
  <c r="FU196" i="1"/>
  <c r="EP5" i="1"/>
  <c r="DR163" i="1"/>
  <c r="EE164" i="1"/>
  <c r="DR67" i="1"/>
  <c r="FU158" i="1"/>
  <c r="DE197" i="1"/>
  <c r="FR131" i="1"/>
  <c r="DI188" i="1"/>
  <c r="CF97" i="1" a="1"/>
  <c r="CF97" i="1" s="1"/>
  <c r="ED169" i="1"/>
  <c r="EY143" i="1"/>
  <c r="CI186" i="1" a="1"/>
  <c r="CI186" i="1" s="1"/>
  <c r="CI197" i="1" a="1"/>
  <c r="CI197" i="1" s="1"/>
  <c r="CF64" i="1" a="1"/>
  <c r="CF64" i="1" s="1"/>
  <c r="CF184" i="1" a="1"/>
  <c r="CF184" i="1" s="1"/>
  <c r="AT193" i="1"/>
  <c r="CZ64" i="1"/>
  <c r="DS37" i="1"/>
  <c r="EP12" i="1"/>
  <c r="EX37" i="1"/>
  <c r="FT99" i="1"/>
  <c r="EE152" i="1"/>
  <c r="FQ125" i="1"/>
  <c r="FQ204" i="1"/>
  <c r="CY115" i="1"/>
  <c r="CF6" i="1" a="1"/>
  <c r="CF6" i="1" s="1"/>
  <c r="FB17" i="1"/>
  <c r="DC141" i="1"/>
  <c r="DF168" i="1"/>
  <c r="DS79" i="1"/>
  <c r="DS76" i="1"/>
  <c r="DS78" i="1"/>
  <c r="AS103" i="1"/>
  <c r="AU103" i="1" s="1"/>
  <c r="DT190" i="1"/>
  <c r="DS7" i="1"/>
  <c r="DS99" i="1"/>
  <c r="FA143" i="1"/>
  <c r="FP170" i="1"/>
  <c r="DH24" i="1"/>
  <c r="DI166" i="1"/>
  <c r="DE157" i="1"/>
  <c r="FR200" i="1"/>
  <c r="CF196" i="1" a="1"/>
  <c r="CF196" i="1" s="1"/>
  <c r="FK172" i="1"/>
  <c r="DS137" i="1"/>
  <c r="DS125" i="1"/>
  <c r="DS158" i="1"/>
  <c r="FV17" i="1"/>
  <c r="CF172" i="1" a="1"/>
  <c r="CF172" i="1" s="1"/>
  <c r="FN27" i="1"/>
  <c r="EF137" i="1"/>
  <c r="AS48" i="1"/>
  <c r="AU48" i="1" s="1"/>
  <c r="DL30" i="1"/>
  <c r="EB125" i="1"/>
  <c r="AS101" i="1"/>
  <c r="AU101" i="1" s="1"/>
  <c r="AS147" i="1"/>
  <c r="AU147" i="1" s="1"/>
  <c r="FB167" i="1"/>
  <c r="AT101" i="1"/>
  <c r="AT158" i="1"/>
  <c r="DH146" i="1"/>
  <c r="FA71" i="1"/>
  <c r="FA88" i="1"/>
  <c r="FV127" i="1"/>
  <c r="DH190" i="1"/>
  <c r="DH83" i="1"/>
  <c r="DH75" i="1"/>
  <c r="DE52" i="1"/>
  <c r="CY65" i="1"/>
  <c r="DJ109" i="1"/>
  <c r="DE25" i="1"/>
  <c r="DH113" i="1"/>
  <c r="DE71" i="1"/>
  <c r="CY53" i="1"/>
  <c r="DJ152" i="1"/>
  <c r="CY51" i="1"/>
  <c r="AT172" i="1"/>
  <c r="DE110" i="1"/>
  <c r="FA180" i="1"/>
  <c r="FA11" i="1"/>
  <c r="FA175" i="1"/>
  <c r="FA196" i="1"/>
  <c r="DE178" i="1"/>
  <c r="DH59" i="1"/>
  <c r="DH179" i="1"/>
  <c r="DH10" i="1"/>
  <c r="DH132" i="1"/>
  <c r="DE194" i="1"/>
  <c r="CY177" i="1"/>
  <c r="CY67" i="1"/>
  <c r="DJ79" i="1"/>
  <c r="CY78" i="1"/>
  <c r="FT112" i="1"/>
  <c r="DJ83" i="1"/>
  <c r="DJ177" i="1"/>
  <c r="DE196" i="1"/>
  <c r="DE109" i="1"/>
  <c r="CY72" i="1"/>
  <c r="CY64" i="1"/>
  <c r="DE54" i="1"/>
  <c r="CY99" i="1"/>
  <c r="DL135" i="1"/>
  <c r="FA185" i="1"/>
  <c r="DE111" i="1"/>
  <c r="AT74" i="1"/>
  <c r="FA64" i="1"/>
  <c r="DJ37" i="1"/>
  <c r="DH94" i="1"/>
  <c r="DH205" i="1"/>
  <c r="AT103" i="1"/>
  <c r="DE147" i="1"/>
  <c r="DH201" i="1"/>
  <c r="DE149" i="1"/>
  <c r="CY50" i="1"/>
  <c r="CY111" i="1"/>
  <c r="DE155" i="1"/>
  <c r="FA132" i="1"/>
  <c r="DH168" i="1"/>
  <c r="AS158" i="1"/>
  <c r="AU158" i="1" s="1"/>
  <c r="FA6" i="1"/>
  <c r="FA195" i="1"/>
  <c r="FA137" i="1"/>
  <c r="CY203" i="1"/>
  <c r="FA67" i="1"/>
  <c r="DJ31" i="1"/>
  <c r="DH127" i="1"/>
  <c r="DH69" i="1"/>
  <c r="DH98" i="1"/>
  <c r="DH119" i="1"/>
  <c r="DL46" i="1"/>
  <c r="DE158" i="1"/>
  <c r="CY116" i="1"/>
  <c r="CY102" i="1"/>
  <c r="DH199" i="1"/>
  <c r="CY129" i="1"/>
  <c r="DE36" i="1"/>
  <c r="DE62" i="1"/>
  <c r="AT48" i="1"/>
  <c r="DH147" i="1"/>
  <c r="CY167" i="1"/>
  <c r="DH44" i="1"/>
  <c r="DE130" i="1"/>
  <c r="CY196" i="1"/>
  <c r="AT147" i="1"/>
  <c r="FA192" i="1"/>
  <c r="DJ7" i="1"/>
  <c r="DH118" i="1"/>
  <c r="DH130" i="1"/>
  <c r="DY24" i="1"/>
  <c r="CY175" i="1"/>
  <c r="CY158" i="1"/>
  <c r="CY35" i="1"/>
  <c r="CY31" i="1"/>
  <c r="FA142" i="1"/>
  <c r="FA45" i="1"/>
  <c r="FA174" i="1"/>
  <c r="FA105" i="1"/>
  <c r="CY199" i="1"/>
  <c r="DH135" i="1"/>
  <c r="DH63" i="1"/>
  <c r="DH58" i="1"/>
  <c r="DH162" i="1"/>
  <c r="DL182" i="1"/>
  <c r="DE141" i="1"/>
  <c r="DE114" i="1"/>
  <c r="CY160" i="1"/>
  <c r="CY104" i="1"/>
  <c r="DE146" i="1"/>
  <c r="DE69" i="1"/>
  <c r="DH137" i="1"/>
  <c r="DJ26" i="1"/>
  <c r="AT56" i="1"/>
  <c r="DH171" i="1"/>
  <c r="DH108" i="1"/>
  <c r="DH56" i="1"/>
  <c r="FA102" i="1"/>
  <c r="FA134" i="1"/>
  <c r="FA15" i="1"/>
  <c r="AS141" i="1"/>
  <c r="AU141" i="1" s="1"/>
  <c r="DL145" i="1"/>
  <c r="AT91" i="1"/>
  <c r="FA173" i="1"/>
  <c r="FA131" i="1"/>
  <c r="FA52" i="1"/>
  <c r="DJ77" i="1"/>
  <c r="DH76" i="1"/>
  <c r="DH115" i="1"/>
  <c r="DH53" i="1"/>
  <c r="DH23" i="1"/>
  <c r="DE201" i="1"/>
  <c r="DE81" i="1"/>
  <c r="CY100" i="1"/>
  <c r="CY179" i="1"/>
  <c r="DJ64" i="1"/>
  <c r="DE160" i="1"/>
  <c r="DJ10" i="1"/>
  <c r="DH27" i="1"/>
  <c r="DH93" i="1"/>
  <c r="DH173" i="1"/>
  <c r="ER15" i="1"/>
  <c r="FA130" i="1"/>
  <c r="FA178" i="1"/>
  <c r="FA113" i="1"/>
  <c r="CY198" i="1"/>
  <c r="DH67" i="1"/>
  <c r="DH65" i="1"/>
  <c r="DH151" i="1"/>
  <c r="DH189" i="1"/>
  <c r="DE163" i="1"/>
  <c r="DE140" i="1"/>
  <c r="CY153" i="1"/>
  <c r="CY101" i="1"/>
  <c r="DJ98" i="1"/>
  <c r="DH160" i="1"/>
  <c r="DE100" i="1"/>
  <c r="FA95" i="1"/>
  <c r="DH204" i="1"/>
  <c r="FA106" i="1"/>
  <c r="DH170" i="1"/>
  <c r="FV143" i="1"/>
  <c r="DH152" i="1"/>
  <c r="CY45" i="1"/>
  <c r="FA152" i="1"/>
  <c r="FA82" i="1"/>
  <c r="FA136" i="1"/>
  <c r="DH99" i="1"/>
  <c r="EB37" i="1"/>
  <c r="CY96" i="1"/>
  <c r="AT4" i="1"/>
  <c r="FA83" i="1"/>
  <c r="DH52" i="1"/>
  <c r="DH102" i="1"/>
  <c r="DH140" i="1"/>
  <c r="AS56" i="1"/>
  <c r="AU56" i="1" s="1"/>
  <c r="CY110" i="1"/>
  <c r="CY148" i="1"/>
  <c r="CY126" i="1"/>
  <c r="DF11" i="1"/>
  <c r="FB158" i="1"/>
  <c r="AS92" i="1"/>
  <c r="AU92" i="1" s="1"/>
  <c r="EB5" i="1"/>
  <c r="FA108" i="1"/>
  <c r="FA205" i="1"/>
  <c r="FA10" i="1"/>
  <c r="DH187" i="1"/>
  <c r="CY82" i="1"/>
  <c r="DH117" i="1"/>
  <c r="DH186" i="1"/>
  <c r="DH78" i="1"/>
  <c r="DH104" i="1"/>
  <c r="DJ86" i="1"/>
  <c r="DE139" i="1"/>
  <c r="DE133" i="1"/>
  <c r="CY145" i="1"/>
  <c r="DE68" i="1"/>
  <c r="DJ84" i="1"/>
  <c r="DE177" i="1"/>
  <c r="DH143" i="1"/>
  <c r="ER157" i="1"/>
  <c r="DJ16" i="1"/>
  <c r="CY3" i="1"/>
  <c r="DH35" i="1"/>
  <c r="FA31" i="1"/>
  <c r="FA187" i="1"/>
  <c r="FA90" i="1"/>
  <c r="FA17" i="1"/>
  <c r="FA147" i="1"/>
  <c r="DH150" i="1"/>
  <c r="AS46" i="1"/>
  <c r="AU46" i="1" s="1"/>
  <c r="DE3" i="1"/>
  <c r="DH126" i="1"/>
  <c r="DH79" i="1"/>
  <c r="DH90" i="1"/>
  <c r="DH116" i="1"/>
  <c r="DE4" i="1"/>
  <c r="DE113" i="1"/>
  <c r="CY183" i="1"/>
  <c r="FB15" i="1"/>
  <c r="DE126" i="1"/>
  <c r="DJ181" i="1"/>
  <c r="DH91" i="1"/>
  <c r="DE80" i="1"/>
  <c r="DH185" i="1"/>
  <c r="DH17" i="1"/>
  <c r="FA115" i="1"/>
  <c r="FA29" i="1"/>
  <c r="FA133" i="1"/>
  <c r="DH169" i="1"/>
  <c r="DH73" i="1"/>
  <c r="DH198" i="1"/>
  <c r="DH25" i="1"/>
  <c r="DH29" i="1"/>
  <c r="DE129" i="1"/>
  <c r="AS74" i="1"/>
  <c r="AU74" i="1" s="1"/>
  <c r="EH71" i="1"/>
  <c r="FV141" i="1"/>
  <c r="DD187" i="1"/>
  <c r="DD114" i="1"/>
  <c r="DD170" i="1"/>
  <c r="DD199" i="1"/>
  <c r="DD25" i="1"/>
  <c r="FB113" i="1"/>
  <c r="DD38" i="1"/>
  <c r="DD159" i="1"/>
  <c r="DL115" i="1"/>
  <c r="DD188" i="1"/>
  <c r="DD173" i="1"/>
  <c r="DD143" i="1"/>
  <c r="DD154" i="1"/>
  <c r="DD102" i="1"/>
  <c r="DD127" i="1"/>
  <c r="DD167" i="1"/>
  <c r="DD84" i="1"/>
  <c r="DD153" i="1"/>
  <c r="FB144" i="1"/>
  <c r="DX168" i="1"/>
  <c r="EL115" i="1"/>
  <c r="DH153" i="1"/>
  <c r="DH88" i="1"/>
  <c r="DD171" i="1"/>
  <c r="FB159" i="1"/>
  <c r="DH13" i="1"/>
  <c r="FB141" i="1"/>
  <c r="DD116" i="1"/>
  <c r="FV159" i="1"/>
  <c r="FA13" i="1"/>
  <c r="DD140" i="1"/>
  <c r="CY133" i="1"/>
  <c r="AT65" i="1"/>
  <c r="DD66" i="1"/>
  <c r="DD17" i="1"/>
  <c r="DF81" i="1"/>
  <c r="EV61" i="1"/>
  <c r="EL116" i="1"/>
  <c r="EX15" i="1"/>
  <c r="AS180" i="1"/>
  <c r="AU180" i="1" s="1"/>
  <c r="EX56" i="1"/>
  <c r="EV163" i="1"/>
  <c r="EV95" i="1"/>
  <c r="EV7" i="1"/>
  <c r="EV130" i="1"/>
  <c r="EV143" i="1"/>
  <c r="EV202" i="1"/>
  <c r="EV192" i="1"/>
  <c r="EV101" i="1"/>
  <c r="EV168" i="1"/>
  <c r="EX10" i="1"/>
  <c r="EX84" i="1"/>
  <c r="EX5" i="1"/>
  <c r="EX122" i="1"/>
  <c r="EX113" i="1"/>
  <c r="EL159" i="1"/>
  <c r="EL198" i="1"/>
  <c r="EL113" i="1"/>
  <c r="DF111" i="1"/>
  <c r="EV6" i="1"/>
  <c r="EX11" i="1"/>
  <c r="EX29" i="1"/>
  <c r="EX60" i="1"/>
  <c r="EX144" i="1"/>
  <c r="EX64" i="1"/>
  <c r="EL71" i="1"/>
  <c r="EV71" i="1"/>
  <c r="EV120" i="1"/>
  <c r="EX135" i="1"/>
  <c r="EV70" i="1"/>
  <c r="EV66" i="1"/>
  <c r="EV185" i="1"/>
  <c r="EV67" i="1"/>
  <c r="EV129" i="1"/>
  <c r="EV145" i="1"/>
  <c r="EV44" i="1"/>
  <c r="EV204" i="1"/>
  <c r="EX156" i="1"/>
  <c r="DF129" i="1"/>
  <c r="EV155" i="1"/>
  <c r="EV134" i="1"/>
  <c r="EV121" i="1"/>
  <c r="EV53" i="1"/>
  <c r="EV179" i="1"/>
  <c r="EV113" i="1"/>
  <c r="EV169" i="1"/>
  <c r="EV153" i="1"/>
  <c r="EX6" i="1"/>
  <c r="EX177" i="1"/>
  <c r="EX188" i="1"/>
  <c r="EX96" i="1"/>
  <c r="EX49" i="1"/>
  <c r="FV173" i="1"/>
  <c r="EL133" i="1"/>
  <c r="EF26" i="1"/>
  <c r="EV29" i="1"/>
  <c r="EV125" i="1"/>
  <c r="DF196" i="1"/>
  <c r="EV109" i="1"/>
  <c r="EV188" i="1"/>
  <c r="EV56" i="1"/>
  <c r="EV96" i="1"/>
  <c r="EV73" i="1"/>
  <c r="EV37" i="1"/>
  <c r="EX8" i="1"/>
  <c r="EX147" i="1"/>
  <c r="EX76" i="1"/>
  <c r="EX187" i="1"/>
  <c r="EX146" i="1"/>
  <c r="FB170" i="1"/>
  <c r="EV203" i="1"/>
  <c r="EV23" i="1"/>
  <c r="EV111" i="1"/>
  <c r="EV65" i="1"/>
  <c r="EV105" i="1"/>
  <c r="EV79" i="1"/>
  <c r="FT58" i="1"/>
  <c r="EV170" i="1"/>
  <c r="EV16" i="1"/>
  <c r="EV100" i="1"/>
  <c r="EV161" i="1"/>
  <c r="EV81" i="1"/>
  <c r="EV97" i="1"/>
  <c r="EV104" i="1"/>
  <c r="EV157" i="1"/>
  <c r="EV12" i="1"/>
  <c r="EX16" i="1"/>
  <c r="EX181" i="1"/>
  <c r="EX137" i="1"/>
  <c r="EX170" i="1"/>
  <c r="EX200" i="1"/>
  <c r="EX116" i="1"/>
  <c r="EF97" i="1"/>
  <c r="EV69" i="1"/>
  <c r="EV118" i="1"/>
  <c r="EV172" i="1"/>
  <c r="EV99" i="1"/>
  <c r="EV30" i="1"/>
  <c r="EV4" i="1"/>
  <c r="EV3" i="1"/>
  <c r="EX43" i="1"/>
  <c r="EX17" i="1"/>
  <c r="EX136" i="1"/>
  <c r="EX151" i="1"/>
  <c r="EX78" i="1"/>
  <c r="EX80" i="1"/>
  <c r="EL78" i="1"/>
  <c r="EL75" i="1"/>
  <c r="EV187" i="1"/>
  <c r="EV195" i="1"/>
  <c r="EV166" i="1"/>
  <c r="EV5" i="1"/>
  <c r="EV119" i="1"/>
  <c r="EX42" i="1"/>
  <c r="EL27" i="1"/>
  <c r="EX12" i="1"/>
  <c r="EX101" i="1"/>
  <c r="EX44" i="1"/>
  <c r="EX81" i="1"/>
  <c r="EX150" i="1"/>
  <c r="EL25" i="1"/>
  <c r="EF62" i="1"/>
  <c r="DF5" i="1"/>
  <c r="EL188" i="1"/>
  <c r="EV98" i="1"/>
  <c r="EV191" i="1"/>
  <c r="EV27" i="1"/>
  <c r="EV144" i="1"/>
  <c r="EV200" i="1"/>
  <c r="EF8" i="1"/>
  <c r="DF159" i="1"/>
  <c r="EV140" i="1"/>
  <c r="EV80" i="1"/>
  <c r="EV89" i="1"/>
  <c r="EV176" i="1"/>
  <c r="EV181" i="1"/>
  <c r="EV108" i="1"/>
  <c r="EV114" i="1"/>
  <c r="EV173" i="1"/>
  <c r="EV160" i="1"/>
  <c r="EV77" i="1"/>
  <c r="EX27" i="1"/>
  <c r="EV43" i="1"/>
  <c r="EX154" i="1"/>
  <c r="EX45" i="1"/>
  <c r="EX159" i="1"/>
  <c r="EX86" i="1"/>
  <c r="EX65" i="1"/>
  <c r="EL5" i="1"/>
  <c r="EL81" i="1"/>
  <c r="DF133" i="1"/>
  <c r="EV190" i="1"/>
  <c r="EX168" i="1"/>
  <c r="EX66" i="1"/>
  <c r="EX194" i="1"/>
  <c r="EX128" i="1"/>
  <c r="EL96" i="1"/>
  <c r="AT180" i="1"/>
  <c r="EV42" i="1"/>
  <c r="EV150" i="1"/>
  <c r="EV84" i="1"/>
  <c r="EV11" i="1"/>
  <c r="EV138" i="1"/>
  <c r="EV76" i="1"/>
  <c r="EX192" i="1"/>
  <c r="EF99" i="1"/>
  <c r="EV90" i="1"/>
  <c r="EV94" i="1"/>
  <c r="EV10" i="1"/>
  <c r="EV124" i="1"/>
  <c r="EV75" i="1"/>
  <c r="EV137" i="1"/>
  <c r="EV102" i="1"/>
  <c r="EV164" i="1"/>
  <c r="EV167" i="1"/>
  <c r="EV68" i="1"/>
  <c r="EV110" i="1"/>
  <c r="EV151" i="1"/>
  <c r="DD144" i="1"/>
  <c r="EL170" i="1"/>
  <c r="EX46" i="1"/>
  <c r="EX54" i="1"/>
  <c r="EX123" i="1"/>
  <c r="EV51" i="1"/>
  <c r="EX162" i="1"/>
  <c r="EV63" i="1"/>
  <c r="EV122" i="1"/>
  <c r="EV20" i="1"/>
  <c r="EV38" i="1"/>
  <c r="EV62" i="1"/>
  <c r="EV106" i="1"/>
  <c r="EV193" i="1"/>
  <c r="EV127" i="1"/>
  <c r="EV174" i="1"/>
  <c r="EV196" i="1"/>
  <c r="EV50" i="1"/>
  <c r="EV175" i="1"/>
  <c r="EX38" i="1"/>
  <c r="FV144" i="1"/>
  <c r="EX132" i="1"/>
  <c r="EX140" i="1"/>
  <c r="EX53" i="1"/>
  <c r="EX184" i="1"/>
  <c r="EL154" i="1"/>
  <c r="DF136" i="1"/>
  <c r="EL94" i="1"/>
  <c r="EV177" i="1"/>
  <c r="EF163" i="1"/>
  <c r="EX97" i="1"/>
  <c r="EV133" i="1"/>
  <c r="EV92" i="1"/>
  <c r="EV91" i="1"/>
  <c r="EV198" i="1"/>
  <c r="EV88" i="1"/>
  <c r="EV205" i="1"/>
  <c r="EV126" i="1"/>
  <c r="EV183" i="1"/>
  <c r="EV171" i="1"/>
  <c r="EV186" i="1"/>
  <c r="EV17" i="1"/>
  <c r="EV35" i="1"/>
  <c r="EX23" i="1"/>
  <c r="EX77" i="1"/>
  <c r="EX158" i="1"/>
  <c r="EX25" i="1"/>
  <c r="EX167" i="1"/>
  <c r="EX145" i="1"/>
  <c r="FV154" i="1"/>
  <c r="EX182" i="1"/>
  <c r="AS120" i="1"/>
  <c r="AU120" i="1" s="1"/>
  <c r="EV59" i="1"/>
  <c r="EV180" i="1"/>
  <c r="EV117" i="1"/>
  <c r="EV199" i="1"/>
  <c r="EV60" i="1"/>
  <c r="EV115" i="1"/>
  <c r="EV58" i="1"/>
  <c r="EV128" i="1"/>
  <c r="EV78" i="1"/>
  <c r="EV194" i="1"/>
  <c r="EX31" i="1"/>
  <c r="EX110" i="1"/>
  <c r="EX115" i="1"/>
  <c r="EL98" i="1"/>
  <c r="EL73" i="1"/>
  <c r="EV147" i="1"/>
  <c r="EV72" i="1"/>
  <c r="EL189" i="1"/>
  <c r="EV178" i="1"/>
  <c r="EX30" i="1"/>
  <c r="EV182" i="1"/>
  <c r="EX149" i="1"/>
  <c r="L120" i="1"/>
  <c r="EV31" i="1"/>
  <c r="EV55" i="1"/>
  <c r="EV158" i="1"/>
  <c r="EV54" i="1"/>
  <c r="EV83" i="1"/>
  <c r="EV47" i="1"/>
  <c r="EV112" i="1"/>
  <c r="EV15" i="1"/>
  <c r="EV146" i="1"/>
  <c r="EX7" i="1"/>
  <c r="EX165" i="1"/>
  <c r="EX169" i="1"/>
  <c r="EX127" i="1"/>
  <c r="EX204" i="1"/>
  <c r="EL190" i="1"/>
  <c r="FB140" i="1"/>
  <c r="FB51" i="1"/>
  <c r="FB75" i="1"/>
  <c r="EH89" i="1"/>
  <c r="DD133" i="1"/>
  <c r="DD166" i="1"/>
  <c r="FB30" i="1"/>
  <c r="FB72" i="1"/>
  <c r="FB172" i="1"/>
  <c r="DD190" i="1"/>
  <c r="DD189" i="1"/>
  <c r="FB187" i="1"/>
  <c r="FB130" i="1"/>
  <c r="EH64" i="1"/>
  <c r="FB78" i="1"/>
  <c r="DD83" i="1"/>
  <c r="DD128" i="1"/>
  <c r="FB136" i="1"/>
  <c r="FB67" i="1"/>
  <c r="FB118" i="1"/>
  <c r="DD126" i="1"/>
  <c r="FB99" i="1"/>
  <c r="FB165" i="1"/>
  <c r="FB181" i="1"/>
  <c r="FB4" i="1"/>
  <c r="FB66" i="1"/>
  <c r="DD96" i="1"/>
  <c r="FB119" i="1"/>
  <c r="FB88" i="1"/>
  <c r="DD109" i="1"/>
  <c r="FB146" i="1"/>
  <c r="FB160" i="1"/>
  <c r="DD192" i="1"/>
  <c r="FB49" i="1"/>
  <c r="FB117" i="1"/>
  <c r="FB177" i="1"/>
  <c r="FB176" i="1"/>
  <c r="DD29" i="1"/>
  <c r="DD47" i="1"/>
  <c r="FB36" i="1"/>
  <c r="DD65" i="1"/>
  <c r="FB169" i="1"/>
  <c r="EX85" i="1"/>
  <c r="DP86" i="1"/>
  <c r="FB86" i="1"/>
  <c r="DH85" i="1"/>
  <c r="EG135" i="1"/>
  <c r="EG180" i="1"/>
  <c r="EX107" i="1"/>
  <c r="EX82" i="1"/>
  <c r="EX197" i="1"/>
  <c r="EX13" i="1"/>
  <c r="EX99" i="1"/>
  <c r="EX143" i="1"/>
  <c r="EX138" i="1"/>
  <c r="EX180" i="1"/>
  <c r="EX72" i="1"/>
  <c r="EX109" i="1"/>
  <c r="EX139" i="1"/>
  <c r="EX68" i="1"/>
  <c r="EX130" i="1"/>
  <c r="EX35" i="1"/>
  <c r="EX134" i="1"/>
  <c r="EX105" i="1"/>
  <c r="EX79" i="1"/>
  <c r="EX152" i="1"/>
  <c r="EX92" i="1"/>
  <c r="EX108" i="1"/>
  <c r="EX163" i="1"/>
  <c r="EX148" i="1"/>
  <c r="EX98" i="1"/>
  <c r="EX171" i="1"/>
  <c r="EX198" i="1"/>
  <c r="EX199" i="1"/>
  <c r="EX203" i="1"/>
  <c r="EX75" i="1"/>
  <c r="EX120" i="1"/>
  <c r="EX118" i="1"/>
  <c r="EX61" i="1"/>
  <c r="EX114" i="1"/>
  <c r="EX160" i="1"/>
  <c r="EX119" i="1"/>
  <c r="EX102" i="1"/>
  <c r="EX90" i="1"/>
  <c r="EX186" i="1"/>
  <c r="EX175" i="1"/>
  <c r="EX183" i="1"/>
  <c r="EX153" i="1"/>
  <c r="EX179" i="1"/>
  <c r="EX67" i="1"/>
  <c r="EX142" i="1"/>
  <c r="EX94" i="1"/>
  <c r="EX133" i="1"/>
  <c r="EX201" i="1"/>
  <c r="EX93" i="1"/>
  <c r="EX157" i="1"/>
  <c r="EX83" i="1"/>
  <c r="EX155" i="1"/>
  <c r="EX189" i="1"/>
  <c r="EX173" i="1"/>
  <c r="EX89" i="1"/>
  <c r="EX131" i="1"/>
  <c r="EX88" i="1"/>
  <c r="EX190" i="1"/>
  <c r="EX121" i="1"/>
  <c r="EX58" i="1"/>
  <c r="EX195" i="1"/>
  <c r="EX125" i="1"/>
  <c r="EX117" i="1"/>
  <c r="EX70" i="1"/>
  <c r="EX73" i="1"/>
  <c r="EX191" i="1"/>
  <c r="EX174" i="1"/>
  <c r="EX103" i="1"/>
  <c r="EX62" i="1"/>
  <c r="EX106" i="1"/>
  <c r="EX178" i="1"/>
  <c r="EX124" i="1"/>
  <c r="EX55" i="1"/>
  <c r="EX104" i="1"/>
  <c r="EX129" i="1"/>
  <c r="EX63" i="1"/>
  <c r="EX52" i="1"/>
  <c r="EX4" i="1"/>
  <c r="EX69" i="1"/>
  <c r="EX59" i="1"/>
  <c r="EX95" i="1"/>
  <c r="EX112" i="1"/>
  <c r="EX172" i="1"/>
  <c r="EX51" i="1"/>
  <c r="EX50" i="1"/>
  <c r="EX176" i="1"/>
  <c r="EX185" i="1"/>
  <c r="EX36" i="1"/>
  <c r="EX166" i="1"/>
  <c r="EX205" i="1"/>
  <c r="EX47" i="1"/>
  <c r="EX161" i="1"/>
  <c r="EV156" i="1"/>
  <c r="EV148" i="1"/>
  <c r="EV189" i="1"/>
  <c r="EV149" i="1"/>
  <c r="EV86" i="1"/>
  <c r="EV123" i="1"/>
  <c r="EV131" i="1"/>
  <c r="EV184" i="1"/>
  <c r="EV165" i="1"/>
  <c r="EV49" i="1"/>
  <c r="EV197" i="1"/>
  <c r="EV159" i="1"/>
  <c r="EV142" i="1"/>
  <c r="EV201" i="1"/>
  <c r="EV135" i="1"/>
  <c r="EV152" i="1"/>
  <c r="EV116" i="1"/>
  <c r="EV154" i="1"/>
  <c r="EV25" i="1"/>
  <c r="EV8" i="1"/>
  <c r="DH70" i="1"/>
  <c r="DH203" i="1"/>
  <c r="DH80" i="1"/>
  <c r="DH158" i="1"/>
  <c r="DH141" i="1"/>
  <c r="DH194" i="1"/>
  <c r="DH77" i="1"/>
  <c r="DH138" i="1"/>
  <c r="DH155" i="1"/>
  <c r="DH121" i="1"/>
  <c r="DH82" i="1"/>
  <c r="DH81" i="1"/>
  <c r="DH200" i="1"/>
  <c r="DH89" i="1"/>
  <c r="DH142" i="1"/>
  <c r="DH96" i="1"/>
  <c r="DH103" i="1"/>
  <c r="DH184" i="1"/>
  <c r="DH20" i="1"/>
  <c r="DH62" i="1"/>
  <c r="DH154" i="1"/>
  <c r="DH182" i="1"/>
  <c r="DH5" i="1"/>
  <c r="DH16" i="1"/>
  <c r="DH37" i="1"/>
  <c r="DH7" i="1"/>
  <c r="DH134" i="1"/>
  <c r="DH157" i="1"/>
  <c r="DH145" i="1"/>
  <c r="DH177" i="1"/>
  <c r="DH191" i="1"/>
  <c r="DH8" i="1"/>
  <c r="DH43" i="1"/>
  <c r="DH196" i="1"/>
  <c r="DH176" i="1"/>
  <c r="DH50" i="1"/>
  <c r="DH166" i="1"/>
  <c r="DH86" i="1"/>
  <c r="DH161" i="1"/>
  <c r="DH6" i="1"/>
  <c r="DH149" i="1"/>
  <c r="DH4" i="1"/>
  <c r="DH148" i="1"/>
  <c r="DH3" i="1"/>
  <c r="DH105" i="1"/>
  <c r="DH163" i="1"/>
  <c r="DH193" i="1"/>
  <c r="DH131" i="1"/>
  <c r="DH68" i="1"/>
  <c r="DH174" i="1"/>
  <c r="DH55" i="1"/>
  <c r="DH133" i="1"/>
  <c r="DH178" i="1"/>
  <c r="DH195" i="1"/>
  <c r="DH47" i="1"/>
  <c r="DH92" i="1"/>
  <c r="DH183" i="1"/>
  <c r="DH181" i="1"/>
  <c r="DH64" i="1"/>
  <c r="DH123" i="1"/>
  <c r="DH159" i="1"/>
  <c r="DH180" i="1"/>
  <c r="DH11" i="1"/>
  <c r="DH110" i="1"/>
  <c r="DH128" i="1"/>
  <c r="DH129" i="1"/>
  <c r="DH45" i="1"/>
  <c r="DH54" i="1"/>
  <c r="DH72" i="1"/>
  <c r="DH95" i="1"/>
  <c r="DH202" i="1"/>
  <c r="DH114" i="1"/>
  <c r="DH156" i="1"/>
  <c r="DH165" i="1"/>
  <c r="DH100" i="1"/>
  <c r="DH188" i="1"/>
  <c r="DH84" i="1"/>
  <c r="DH112" i="1"/>
  <c r="DH30" i="1"/>
  <c r="DJ107" i="1"/>
  <c r="DJ25" i="1"/>
  <c r="DJ76" i="1"/>
  <c r="DJ3" i="1"/>
  <c r="DJ132" i="1"/>
  <c r="DJ143" i="1"/>
  <c r="DJ155" i="1"/>
  <c r="DJ44" i="1"/>
  <c r="DJ153" i="1"/>
  <c r="DJ38" i="1"/>
  <c r="DJ93" i="1"/>
  <c r="DJ101" i="1"/>
  <c r="DJ151" i="1"/>
  <c r="DJ94" i="1"/>
  <c r="DJ144" i="1"/>
  <c r="DJ173" i="1"/>
  <c r="DJ186" i="1"/>
  <c r="DJ105" i="1"/>
  <c r="DJ17" i="1"/>
  <c r="DJ30" i="1"/>
  <c r="DJ196" i="1"/>
  <c r="DJ13" i="1"/>
  <c r="DJ29" i="1"/>
  <c r="DJ20" i="1"/>
  <c r="DJ53" i="1"/>
  <c r="DJ125" i="1"/>
  <c r="DJ160" i="1"/>
  <c r="DJ171" i="1"/>
  <c r="DJ4" i="1"/>
  <c r="DJ91" i="1"/>
  <c r="DJ80" i="1"/>
  <c r="DJ47" i="1"/>
  <c r="DJ157" i="1"/>
  <c r="DJ127" i="1"/>
  <c r="DJ166" i="1"/>
  <c r="DJ90" i="1"/>
  <c r="DJ146" i="1"/>
  <c r="DJ23" i="1"/>
  <c r="DJ159" i="1"/>
  <c r="DJ139" i="1"/>
  <c r="DJ191" i="1"/>
  <c r="DJ205" i="1"/>
  <c r="DJ115" i="1"/>
  <c r="DJ72" i="1"/>
  <c r="DJ81" i="1"/>
  <c r="DJ89" i="1"/>
  <c r="DJ69" i="1"/>
  <c r="DJ46" i="1"/>
  <c r="DJ112" i="1"/>
  <c r="DJ58" i="1"/>
  <c r="DJ124" i="1"/>
  <c r="DJ92" i="1"/>
  <c r="DJ111" i="1"/>
  <c r="DJ78" i="1"/>
  <c r="DJ174" i="1"/>
  <c r="DJ100" i="1"/>
  <c r="DJ204" i="1"/>
  <c r="DJ192" i="1"/>
  <c r="DJ55" i="1"/>
  <c r="DJ59" i="1"/>
  <c r="DJ114" i="1"/>
  <c r="DJ187" i="1"/>
  <c r="DJ122" i="1"/>
  <c r="DJ142" i="1"/>
  <c r="DJ183" i="1"/>
  <c r="DJ82" i="1"/>
  <c r="DJ97" i="1"/>
  <c r="DJ190" i="1"/>
  <c r="DJ197" i="1"/>
  <c r="DJ62" i="1"/>
  <c r="DJ71" i="1"/>
  <c r="DJ126" i="1"/>
  <c r="DJ141" i="1"/>
  <c r="DB174" i="1"/>
  <c r="DB98" i="1"/>
  <c r="DB64" i="1"/>
  <c r="DB149" i="1"/>
  <c r="CX172" i="1"/>
  <c r="CX189" i="1"/>
  <c r="CX147" i="1"/>
  <c r="CX60" i="1"/>
  <c r="EZ121" i="1"/>
  <c r="EZ44" i="1"/>
  <c r="EZ101" i="1"/>
  <c r="EZ67" i="1"/>
  <c r="EZ187" i="1"/>
  <c r="DO45" i="1"/>
  <c r="DO43" i="1"/>
  <c r="DP202" i="1"/>
  <c r="DP128" i="1"/>
  <c r="DP66" i="1"/>
  <c r="DP189" i="1"/>
  <c r="DP161" i="1"/>
  <c r="DP205" i="1"/>
  <c r="DP144" i="1"/>
  <c r="DP106" i="1"/>
  <c r="DP150" i="1"/>
  <c r="DP167" i="1"/>
  <c r="DP172" i="1"/>
  <c r="DP96" i="1"/>
  <c r="DP93" i="1"/>
  <c r="DP103" i="1"/>
  <c r="DP180" i="1"/>
  <c r="DP20" i="1"/>
  <c r="DP196" i="1"/>
  <c r="DP35" i="1"/>
  <c r="DP179" i="1"/>
  <c r="DP143" i="1"/>
  <c r="DP117" i="1"/>
  <c r="DP142" i="1"/>
  <c r="DP165" i="1"/>
  <c r="DP51" i="1"/>
  <c r="DP102" i="1"/>
  <c r="DP82" i="1"/>
  <c r="DP159" i="1"/>
  <c r="DP94" i="1"/>
  <c r="DP3" i="1"/>
  <c r="DP105" i="1"/>
  <c r="DP127" i="1"/>
  <c r="DP149" i="1"/>
  <c r="DP81" i="1"/>
  <c r="DP190" i="1"/>
  <c r="DP176" i="1"/>
  <c r="DP64" i="1"/>
  <c r="DP54" i="1"/>
  <c r="DP178" i="1"/>
  <c r="DP88" i="1"/>
  <c r="DP177" i="1"/>
  <c r="DP153" i="1"/>
  <c r="DP134" i="1"/>
  <c r="DP91" i="1"/>
  <c r="DP199" i="1"/>
  <c r="DP129" i="1"/>
  <c r="DP16" i="1"/>
  <c r="DP160" i="1"/>
  <c r="DP154" i="1"/>
  <c r="DP104" i="1"/>
  <c r="DP141" i="1"/>
  <c r="DP182" i="1"/>
  <c r="DP138" i="1"/>
  <c r="DP164" i="1"/>
  <c r="DP113" i="1"/>
  <c r="DP109" i="1"/>
  <c r="DP90" i="1"/>
  <c r="DP61" i="1"/>
  <c r="DP187" i="1"/>
  <c r="DP7" i="1"/>
  <c r="DP24" i="1"/>
  <c r="DP65" i="1"/>
  <c r="DP116" i="1"/>
  <c r="DP110" i="1"/>
  <c r="DP80" i="1"/>
  <c r="DP5" i="1"/>
  <c r="DP192" i="1"/>
  <c r="DP58" i="1"/>
  <c r="DP158" i="1"/>
  <c r="DP171" i="1"/>
  <c r="DP79" i="1"/>
  <c r="DP68" i="1"/>
  <c r="DP31" i="1"/>
  <c r="DP98" i="1"/>
  <c r="DP44" i="1"/>
  <c r="DP131" i="1"/>
  <c r="DP46" i="1"/>
  <c r="DP169" i="1"/>
  <c r="DP123" i="1"/>
  <c r="DP166" i="1"/>
  <c r="DP188" i="1"/>
  <c r="DP185" i="1"/>
  <c r="DP52" i="1"/>
  <c r="DP157" i="1"/>
  <c r="DP155" i="1"/>
  <c r="DP163" i="1"/>
  <c r="DP173" i="1"/>
  <c r="DP197" i="1"/>
  <c r="DP162" i="1"/>
  <c r="DP137" i="1"/>
  <c r="DP72" i="1"/>
  <c r="DP147" i="1"/>
  <c r="DP183" i="1"/>
  <c r="DP132" i="1"/>
  <c r="DP99" i="1"/>
  <c r="DP97" i="1"/>
  <c r="DP120" i="1"/>
  <c r="DP184" i="1"/>
  <c r="DP30" i="1"/>
  <c r="DP198" i="1"/>
  <c r="DP193" i="1"/>
  <c r="DP124" i="1"/>
  <c r="DP186" i="1"/>
  <c r="DP6" i="1"/>
  <c r="DP146" i="1"/>
  <c r="DP27" i="1"/>
  <c r="DP43" i="1"/>
  <c r="DP42" i="1"/>
  <c r="DP10" i="1"/>
  <c r="DP148" i="1"/>
  <c r="DP194" i="1"/>
  <c r="DP200" i="1"/>
  <c r="DP108" i="1"/>
  <c r="DP130" i="1"/>
  <c r="DP71" i="1"/>
  <c r="DP53" i="1"/>
  <c r="DP60" i="1"/>
  <c r="DP38" i="1"/>
  <c r="DP201" i="1"/>
  <c r="DP8" i="1"/>
  <c r="DP139" i="1"/>
  <c r="DP135" i="1"/>
  <c r="DP112" i="1"/>
  <c r="DP77" i="1"/>
  <c r="DP59" i="1"/>
  <c r="DP49" i="1"/>
  <c r="DP70" i="1"/>
  <c r="DP69" i="1"/>
  <c r="DP55" i="1"/>
  <c r="DP151" i="1"/>
  <c r="DP168" i="1"/>
  <c r="DP78" i="1"/>
  <c r="DP125" i="1"/>
  <c r="DP111" i="1"/>
  <c r="DP89" i="1"/>
  <c r="DP100" i="1"/>
  <c r="DP29" i="1"/>
  <c r="DP118" i="1"/>
  <c r="DP174" i="1"/>
  <c r="DZ64" i="1"/>
  <c r="DZ196" i="1"/>
  <c r="DZ55" i="1"/>
  <c r="DZ201" i="1"/>
  <c r="DZ174" i="1"/>
  <c r="DZ147" i="1"/>
  <c r="DZ17" i="1"/>
  <c r="DZ65" i="1"/>
  <c r="DZ125" i="1"/>
  <c r="DZ100" i="1"/>
  <c r="DZ38" i="1"/>
  <c r="DZ162" i="1"/>
  <c r="DZ165" i="1"/>
  <c r="DZ43" i="1"/>
  <c r="DZ5" i="1"/>
  <c r="DZ3" i="1"/>
  <c r="DZ172" i="1"/>
  <c r="DZ123" i="1"/>
  <c r="DZ89" i="1"/>
  <c r="DZ145" i="1"/>
  <c r="DZ70" i="1"/>
  <c r="DA107" i="1"/>
  <c r="DA130" i="1"/>
  <c r="DA104" i="1"/>
  <c r="DA201" i="1"/>
  <c r="DA166" i="1"/>
  <c r="DA114" i="1"/>
  <c r="DA151" i="1"/>
  <c r="DA81" i="1"/>
  <c r="DA105" i="1"/>
  <c r="DA54" i="1"/>
  <c r="DA95" i="1"/>
  <c r="DA118" i="1"/>
  <c r="DA175" i="1"/>
  <c r="DA127" i="1"/>
  <c r="DA56" i="1"/>
  <c r="DA44" i="1"/>
  <c r="DA161" i="1"/>
  <c r="DA6" i="1"/>
  <c r="DA80" i="1"/>
  <c r="DA146" i="1"/>
  <c r="DA99" i="1"/>
  <c r="DA195" i="1"/>
  <c r="DA85" i="1"/>
  <c r="DA140" i="1"/>
  <c r="DA98" i="1"/>
  <c r="DA38" i="1"/>
  <c r="DA109" i="1"/>
  <c r="DA11" i="1"/>
  <c r="DA129" i="1"/>
  <c r="DA159" i="1"/>
  <c r="DA135" i="1"/>
  <c r="DA52" i="1"/>
  <c r="DA76" i="1"/>
  <c r="DA62" i="1"/>
  <c r="DA155" i="1"/>
  <c r="DA75" i="1"/>
  <c r="DA83" i="1"/>
  <c r="DA103" i="1"/>
  <c r="DA167" i="1"/>
  <c r="DA53" i="1"/>
  <c r="DA141" i="1"/>
  <c r="DA93" i="1"/>
  <c r="DA176" i="1"/>
  <c r="DA137" i="1"/>
  <c r="DA110" i="1"/>
  <c r="DA143" i="1"/>
  <c r="DA8" i="1"/>
  <c r="DA169" i="1"/>
  <c r="DA71" i="1"/>
  <c r="DA202" i="1"/>
  <c r="DA59" i="1"/>
  <c r="DA131" i="1"/>
  <c r="DA17" i="1"/>
  <c r="DA65" i="1"/>
  <c r="DA157" i="1"/>
  <c r="DA82" i="1"/>
  <c r="DA51" i="1"/>
  <c r="DA73" i="1"/>
  <c r="DA89" i="1"/>
  <c r="DA199" i="1"/>
  <c r="DA204" i="1"/>
  <c r="DA101" i="1"/>
  <c r="DA149" i="1"/>
  <c r="DA112" i="1"/>
  <c r="DA72" i="1"/>
  <c r="DA179" i="1"/>
  <c r="DA187" i="1"/>
  <c r="DA60" i="1"/>
  <c r="DA133" i="1"/>
  <c r="DA119" i="1"/>
  <c r="DA145" i="1"/>
  <c r="DA7" i="1"/>
  <c r="DA123" i="1"/>
  <c r="DA49" i="1"/>
  <c r="DA138" i="1"/>
  <c r="DA193" i="1"/>
  <c r="DA196" i="1"/>
  <c r="DA164" i="1"/>
  <c r="DA45" i="1"/>
  <c r="DA97" i="1"/>
  <c r="DA78" i="1"/>
  <c r="DA160" i="1"/>
  <c r="DA5" i="1"/>
  <c r="DA139" i="1"/>
  <c r="DA148" i="1"/>
  <c r="DA26" i="1"/>
  <c r="DA162" i="1"/>
  <c r="DA70" i="1"/>
  <c r="DA43" i="1"/>
  <c r="DA37" i="1"/>
  <c r="DA67" i="1"/>
  <c r="DA31" i="1"/>
  <c r="DA20" i="1"/>
  <c r="DA124" i="1"/>
  <c r="DA23" i="1"/>
  <c r="DA42" i="1"/>
  <c r="DA35" i="1"/>
  <c r="DA29" i="1"/>
  <c r="DA64" i="1"/>
  <c r="DA30" i="1"/>
  <c r="DA171" i="1"/>
  <c r="DA36" i="1"/>
  <c r="DA25" i="1"/>
  <c r="DA165" i="1"/>
  <c r="DA63" i="1"/>
  <c r="DA16" i="1"/>
  <c r="DA184" i="1"/>
  <c r="DA79" i="1"/>
  <c r="DA192" i="1"/>
  <c r="DA27" i="1"/>
  <c r="DA136" i="1"/>
  <c r="DA111" i="1"/>
  <c r="DA12" i="1"/>
  <c r="DA108" i="1"/>
  <c r="DA191" i="1"/>
  <c r="DA156" i="1"/>
  <c r="DA150" i="1"/>
  <c r="DA92" i="1"/>
  <c r="DA69" i="1"/>
  <c r="DA100" i="1"/>
  <c r="DA185" i="1"/>
  <c r="DA68" i="1"/>
  <c r="DA197" i="1"/>
  <c r="DA170" i="1"/>
  <c r="DA120" i="1"/>
  <c r="DA178" i="1"/>
  <c r="DA117" i="1"/>
  <c r="DA174" i="1"/>
  <c r="DA181" i="1"/>
  <c r="DA128" i="1"/>
  <c r="DA113" i="1"/>
  <c r="DA96" i="1"/>
  <c r="DA90" i="1"/>
  <c r="DA205" i="1"/>
  <c r="DA121" i="1"/>
  <c r="DA200" i="1"/>
  <c r="DA61" i="1"/>
  <c r="DA132" i="1"/>
  <c r="DA153" i="1"/>
  <c r="DA106" i="1"/>
  <c r="DA4" i="1"/>
  <c r="DA88" i="1"/>
  <c r="DA152" i="1"/>
  <c r="DA46" i="1"/>
  <c r="DA94" i="1"/>
  <c r="DA134" i="1"/>
  <c r="DA183" i="1"/>
  <c r="DA66" i="1"/>
  <c r="DA168" i="1"/>
  <c r="DA58" i="1"/>
  <c r="DA182" i="1"/>
  <c r="DA126" i="1"/>
  <c r="DA3" i="1"/>
  <c r="DA102" i="1"/>
  <c r="DA154" i="1"/>
  <c r="DA115" i="1"/>
  <c r="DA77" i="1"/>
  <c r="DA50" i="1"/>
  <c r="DA55" i="1"/>
  <c r="DA144" i="1"/>
  <c r="DA116" i="1"/>
  <c r="DA13" i="1"/>
  <c r="DA24" i="1"/>
  <c r="DA198" i="1"/>
  <c r="DA188" i="1"/>
  <c r="DA177" i="1"/>
  <c r="DA173" i="1"/>
  <c r="DA91" i="1"/>
  <c r="DA10" i="1"/>
  <c r="DA189" i="1"/>
  <c r="DA190" i="1"/>
  <c r="DA142" i="1"/>
  <c r="DA122" i="1"/>
  <c r="DA125" i="1"/>
  <c r="DA194" i="1"/>
  <c r="DS92" i="1"/>
  <c r="DS43" i="1"/>
  <c r="DT59" i="1"/>
  <c r="DT189" i="1"/>
  <c r="DT171" i="1"/>
  <c r="DT166" i="1"/>
  <c r="DT195" i="1"/>
  <c r="DT119" i="1"/>
  <c r="DT150" i="1"/>
  <c r="DT153" i="1"/>
  <c r="DT188" i="1"/>
  <c r="DT96" i="1"/>
  <c r="DT155" i="1"/>
  <c r="DT180" i="1"/>
  <c r="DT8" i="1"/>
  <c r="DT61" i="1"/>
  <c r="DT44" i="1"/>
  <c r="DT82" i="1"/>
  <c r="DT183" i="1"/>
  <c r="DT168" i="1"/>
  <c r="DT13" i="1"/>
  <c r="DT29" i="1"/>
  <c r="DT128" i="1"/>
  <c r="CY107" i="1"/>
  <c r="CY200" i="1"/>
  <c r="CY159" i="1"/>
  <c r="CY89" i="1"/>
  <c r="CY122" i="1"/>
  <c r="CY193" i="1"/>
  <c r="CY147" i="1"/>
  <c r="CY103" i="1"/>
  <c r="CY163" i="1"/>
  <c r="CY164" i="1"/>
  <c r="CY140" i="1"/>
  <c r="CY172" i="1"/>
  <c r="CY95" i="1"/>
  <c r="CY138" i="1"/>
  <c r="CY176" i="1"/>
  <c r="CY124" i="1"/>
  <c r="CY156" i="1"/>
  <c r="CY162" i="1"/>
  <c r="CY60" i="1"/>
  <c r="CY144" i="1"/>
  <c r="CY54" i="1"/>
  <c r="CY52" i="1"/>
  <c r="CY189" i="1"/>
  <c r="CY79" i="1"/>
  <c r="CY62" i="1"/>
  <c r="CY166" i="1"/>
  <c r="CY201" i="1"/>
  <c r="CY142" i="1"/>
  <c r="CY113" i="1"/>
  <c r="CY137" i="1"/>
  <c r="CY49" i="1"/>
  <c r="CY109" i="1"/>
  <c r="CY185" i="1"/>
  <c r="CY59" i="1"/>
  <c r="CY178" i="1"/>
  <c r="CY132" i="1"/>
  <c r="CY97" i="1"/>
  <c r="CY117" i="1"/>
  <c r="CY146" i="1"/>
  <c r="CY80" i="1"/>
  <c r="CY73" i="1"/>
  <c r="CY92" i="1"/>
  <c r="CY81" i="1"/>
  <c r="CY202" i="1"/>
  <c r="CY83" i="1"/>
  <c r="CY77" i="1"/>
  <c r="CY192" i="1"/>
  <c r="CY131" i="1"/>
  <c r="CY134" i="1"/>
  <c r="CY195" i="1"/>
  <c r="CY165" i="1"/>
  <c r="CY61" i="1"/>
  <c r="CY56" i="1"/>
  <c r="CY188" i="1"/>
  <c r="CY168" i="1"/>
  <c r="CY91" i="1"/>
  <c r="CY173" i="1"/>
  <c r="CY136" i="1"/>
  <c r="CY187" i="1"/>
  <c r="CY112" i="1"/>
  <c r="CY205" i="1"/>
  <c r="CY154" i="1"/>
  <c r="CY141" i="1"/>
  <c r="CY161" i="1"/>
  <c r="CY85" i="1"/>
  <c r="CY169" i="1"/>
  <c r="CY4" i="1"/>
  <c r="CY71" i="1"/>
  <c r="CY120" i="1"/>
  <c r="CY75" i="1"/>
  <c r="CY93" i="1"/>
  <c r="CY84" i="1"/>
  <c r="CY29" i="1"/>
  <c r="CY15" i="1"/>
  <c r="CY128" i="1"/>
  <c r="CY194" i="1"/>
  <c r="CY123" i="1"/>
  <c r="CY7" i="1"/>
  <c r="CY37" i="1"/>
  <c r="CY42" i="1"/>
  <c r="CY105" i="1"/>
  <c r="CY127" i="1"/>
  <c r="CY170" i="1"/>
  <c r="CY68" i="1"/>
  <c r="CY55" i="1"/>
  <c r="CY151" i="1"/>
  <c r="CY90" i="1"/>
  <c r="CY152" i="1"/>
  <c r="CY27" i="1"/>
  <c r="CY44" i="1"/>
  <c r="CY135" i="1"/>
  <c r="CY155" i="1"/>
  <c r="CY191" i="1"/>
  <c r="CY157" i="1"/>
  <c r="CY197" i="1"/>
  <c r="CY98" i="1"/>
  <c r="CY12" i="1"/>
  <c r="CY8" i="1"/>
  <c r="CY94" i="1"/>
  <c r="CY16" i="1"/>
  <c r="CY5" i="1"/>
  <c r="CY38" i="1"/>
  <c r="CY119" i="1"/>
  <c r="CY149" i="1"/>
  <c r="CY6" i="1"/>
  <c r="CY36" i="1"/>
  <c r="CY69" i="1"/>
  <c r="CY186" i="1"/>
  <c r="CY181" i="1"/>
  <c r="CY10" i="1"/>
  <c r="CY17" i="1"/>
  <c r="CY11" i="1"/>
  <c r="CY171" i="1"/>
  <c r="CY30" i="1"/>
  <c r="CY139" i="1"/>
  <c r="CY76" i="1"/>
  <c r="CY58" i="1"/>
  <c r="CY182" i="1"/>
  <c r="CY130" i="1"/>
  <c r="CY190" i="1"/>
  <c r="CY43" i="1"/>
  <c r="FC136" i="1"/>
  <c r="FC56" i="1"/>
  <c r="FC69" i="1"/>
  <c r="FC205" i="1"/>
  <c r="FC202" i="1"/>
  <c r="FC133" i="1"/>
  <c r="FC172" i="1"/>
  <c r="FC124" i="1"/>
  <c r="FC123" i="1"/>
  <c r="EW201" i="1"/>
  <c r="EW134" i="1"/>
  <c r="DE107" i="1"/>
  <c r="DE84" i="1"/>
  <c r="DE16" i="1"/>
  <c r="DE17" i="1"/>
  <c r="DE7" i="1"/>
  <c r="DE35" i="1"/>
  <c r="DE50" i="1"/>
  <c r="DE30" i="1"/>
  <c r="DE102" i="1"/>
  <c r="DE12" i="1"/>
  <c r="DE93" i="1"/>
  <c r="DE101" i="1"/>
  <c r="DE162" i="1"/>
  <c r="DE167" i="1"/>
  <c r="DE46" i="1"/>
  <c r="DE88" i="1"/>
  <c r="DE105" i="1"/>
  <c r="DE51" i="1"/>
  <c r="DE156" i="1"/>
  <c r="DE8" i="1"/>
  <c r="DE31" i="1"/>
  <c r="DE75" i="1"/>
  <c r="DE24" i="1"/>
  <c r="DE11" i="1"/>
  <c r="DE161" i="1"/>
  <c r="DE49" i="1"/>
  <c r="DE119" i="1"/>
  <c r="DE170" i="1"/>
  <c r="DE175" i="1"/>
  <c r="DE29" i="1"/>
  <c r="DE20" i="1"/>
  <c r="DE6" i="1"/>
  <c r="DE204" i="1"/>
  <c r="DE144" i="1"/>
  <c r="DE187" i="1"/>
  <c r="DC99" i="1"/>
  <c r="DC126" i="1"/>
  <c r="DC185" i="1"/>
  <c r="EB76" i="1"/>
  <c r="EB161" i="1"/>
  <c r="EC37" i="1"/>
  <c r="EC177" i="1"/>
  <c r="EC172" i="1"/>
  <c r="FT88" i="1"/>
  <c r="EP88" i="1"/>
  <c r="L187" i="1"/>
  <c r="AS187" i="1"/>
  <c r="AU187" i="1" s="1"/>
  <c r="FV7" i="1"/>
  <c r="DD7" i="1"/>
  <c r="FV31" i="1"/>
  <c r="FB31" i="1"/>
  <c r="DD31" i="1"/>
  <c r="L161" i="1"/>
  <c r="AS161" i="1"/>
  <c r="AU161" i="1" s="1"/>
  <c r="AT152" i="1"/>
  <c r="AS152" i="1"/>
  <c r="AU152" i="1" s="1"/>
  <c r="L152" i="1"/>
  <c r="L175" i="1"/>
  <c r="AT175" i="1"/>
  <c r="L189" i="1"/>
  <c r="AS189" i="1"/>
  <c r="AU189" i="1" s="1"/>
  <c r="L111" i="1"/>
  <c r="AT111" i="1"/>
  <c r="AS111" i="1"/>
  <c r="AU111" i="1" s="1"/>
  <c r="FB123" i="1"/>
  <c r="EH123" i="1"/>
  <c r="FB180" i="1"/>
  <c r="DD180" i="1"/>
  <c r="DD201" i="1"/>
  <c r="FB201" i="1"/>
  <c r="L155" i="1"/>
  <c r="AS155" i="1"/>
  <c r="AU155" i="1" s="1"/>
  <c r="AS47" i="1"/>
  <c r="AU47" i="1" s="1"/>
  <c r="L47" i="1"/>
  <c r="AS200" i="1"/>
  <c r="AU200" i="1" s="1"/>
  <c r="AT200" i="1"/>
  <c r="L200" i="1"/>
  <c r="AT128" i="1"/>
  <c r="AS128" i="1"/>
  <c r="AU128" i="1" s="1"/>
  <c r="L128" i="1"/>
  <c r="L202" i="1"/>
  <c r="AT202" i="1"/>
  <c r="AS202" i="1"/>
  <c r="AU202" i="1" s="1"/>
  <c r="L108" i="1"/>
  <c r="AT108" i="1"/>
  <c r="L30" i="1"/>
  <c r="AT30" i="1"/>
  <c r="AT129" i="1"/>
  <c r="L129" i="1"/>
  <c r="L12" i="1"/>
  <c r="AS12" i="1"/>
  <c r="AU12" i="1" s="1"/>
  <c r="L87" i="1"/>
  <c r="AT87" i="1"/>
  <c r="AS87" i="1"/>
  <c r="AU87" i="1" s="1"/>
  <c r="L109" i="1"/>
  <c r="AT109" i="1"/>
  <c r="EL124" i="1"/>
  <c r="FP124" i="1"/>
  <c r="DH124" i="1"/>
  <c r="EF136" i="1"/>
  <c r="EF101" i="1"/>
  <c r="FT97" i="1"/>
  <c r="EZ168" i="1"/>
  <c r="DB111" i="1"/>
  <c r="EF102" i="1"/>
  <c r="EB128" i="1"/>
  <c r="AT36" i="1"/>
  <c r="DD15" i="1"/>
  <c r="DE15" i="1"/>
  <c r="EZ146" i="1"/>
  <c r="FA94" i="1"/>
  <c r="FA114" i="1"/>
  <c r="FA176" i="1"/>
  <c r="FA5" i="1"/>
  <c r="FA144" i="1"/>
  <c r="FA42" i="1"/>
  <c r="EB114" i="1"/>
  <c r="FA129" i="1"/>
  <c r="DE60" i="1"/>
  <c r="DD4" i="1"/>
  <c r="DJ150" i="1"/>
  <c r="DE169" i="1"/>
  <c r="DE73" i="1"/>
  <c r="DE183" i="1"/>
  <c r="DE152" i="1"/>
  <c r="DE191" i="1"/>
  <c r="DE76" i="1"/>
  <c r="DJ99" i="1"/>
  <c r="DJ168" i="1"/>
  <c r="DJ162" i="1"/>
  <c r="DB84" i="1"/>
  <c r="DE124" i="1"/>
  <c r="DE63" i="1"/>
  <c r="FJ136" i="1"/>
  <c r="EY52" i="1"/>
  <c r="ED164" i="1"/>
  <c r="CX24" i="1"/>
  <c r="EB131" i="1"/>
  <c r="EF29" i="1"/>
  <c r="DF44" i="1"/>
  <c r="EB142" i="1"/>
  <c r="EZ205" i="1"/>
  <c r="FC10" i="1"/>
  <c r="FA12" i="1"/>
  <c r="FA61" i="1"/>
  <c r="FA65" i="1"/>
  <c r="FA100" i="1"/>
  <c r="FA75" i="1"/>
  <c r="FA81" i="1"/>
  <c r="FA85" i="1"/>
  <c r="EB60" i="1"/>
  <c r="DJ12" i="1"/>
  <c r="FV187" i="1"/>
  <c r="FC143" i="1"/>
  <c r="DJ42" i="1"/>
  <c r="DJ185" i="1"/>
  <c r="DE104" i="1"/>
  <c r="DE115" i="1"/>
  <c r="DE123" i="1"/>
  <c r="DE79" i="1"/>
  <c r="DE122" i="1"/>
  <c r="DE200" i="1"/>
  <c r="DJ60" i="1"/>
  <c r="DK119" i="1"/>
  <c r="DJ167" i="1"/>
  <c r="DJ128" i="1"/>
  <c r="DJ138" i="1"/>
  <c r="DE66" i="1"/>
  <c r="DE135" i="1"/>
  <c r="FD17" i="1"/>
  <c r="DF145" i="1"/>
  <c r="AS36" i="1"/>
  <c r="AU36" i="1" s="1"/>
  <c r="EB113" i="1"/>
  <c r="EB173" i="1"/>
  <c r="AT114" i="1"/>
  <c r="EF69" i="1"/>
  <c r="ED110" i="1"/>
  <c r="AT17" i="1"/>
  <c r="AS174" i="1"/>
  <c r="AU174" i="1" s="1"/>
  <c r="KB75" i="1"/>
  <c r="DB86" i="1"/>
  <c r="DJ15" i="1"/>
  <c r="EB140" i="1"/>
  <c r="EB121" i="1"/>
  <c r="DE27" i="1"/>
  <c r="EZ93" i="1"/>
  <c r="FA116" i="1"/>
  <c r="FA163" i="1"/>
  <c r="FA79" i="1"/>
  <c r="FA109" i="1"/>
  <c r="FA140" i="1"/>
  <c r="FA55" i="1"/>
  <c r="FA162" i="1"/>
  <c r="EB124" i="1"/>
  <c r="DE145" i="1"/>
  <c r="EY115" i="1"/>
  <c r="DE97" i="1"/>
  <c r="DE193" i="1"/>
  <c r="DJ95" i="1"/>
  <c r="DE37" i="1"/>
  <c r="DE85" i="1"/>
  <c r="DJ134" i="1"/>
  <c r="DE72" i="1"/>
  <c r="DE108" i="1"/>
  <c r="DE61" i="1"/>
  <c r="DE56" i="1"/>
  <c r="DE137" i="1"/>
  <c r="DJ140" i="1"/>
  <c r="DJ123" i="1"/>
  <c r="DJ179" i="1"/>
  <c r="DJ131" i="1"/>
  <c r="DE13" i="1"/>
  <c r="EB201" i="1"/>
  <c r="EB199" i="1"/>
  <c r="DB3" i="1"/>
  <c r="EF148" i="1"/>
  <c r="EF98" i="1"/>
  <c r="ED100" i="1"/>
  <c r="L174" i="1"/>
  <c r="EB68" i="1"/>
  <c r="DC37" i="1"/>
  <c r="DE38" i="1"/>
  <c r="EZ192" i="1"/>
  <c r="FA170" i="1"/>
  <c r="FA126" i="1"/>
  <c r="FA43" i="1"/>
  <c r="FA84" i="1"/>
  <c r="FA189" i="1"/>
  <c r="FA111" i="1"/>
  <c r="FA198" i="1"/>
  <c r="FA167" i="1"/>
  <c r="FA182" i="1"/>
  <c r="FA99" i="1"/>
  <c r="DJ193" i="1"/>
  <c r="EY205" i="1"/>
  <c r="FC140" i="1"/>
  <c r="DJ68" i="1"/>
  <c r="FC85" i="1"/>
  <c r="DE127" i="1"/>
  <c r="DE131" i="1"/>
  <c r="DE45" i="1"/>
  <c r="DE189" i="1"/>
  <c r="DE188" i="1"/>
  <c r="DJ198" i="1"/>
  <c r="DJ67" i="1"/>
  <c r="DJ49" i="1"/>
  <c r="DJ103" i="1"/>
  <c r="DE174" i="1"/>
  <c r="EB99" i="1"/>
  <c r="AS164" i="1"/>
  <c r="AU164" i="1" s="1"/>
  <c r="EF126" i="1"/>
  <c r="ED199" i="1"/>
  <c r="DF193" i="1"/>
  <c r="ED133" i="1"/>
  <c r="EB4" i="1"/>
  <c r="FA51" i="1"/>
  <c r="FA80" i="1"/>
  <c r="FA181" i="1"/>
  <c r="FA191" i="1"/>
  <c r="FA159" i="1"/>
  <c r="FA117" i="1"/>
  <c r="FA103" i="1"/>
  <c r="FA188" i="1"/>
  <c r="FA110" i="1"/>
  <c r="FC147" i="1"/>
  <c r="EY167" i="1"/>
  <c r="ET60" i="1"/>
  <c r="FC183" i="1"/>
  <c r="FC156" i="1"/>
  <c r="DJ119" i="1"/>
  <c r="DE184" i="1"/>
  <c r="DE154" i="1"/>
  <c r="DE99" i="1"/>
  <c r="DE95" i="1"/>
  <c r="DE82" i="1"/>
  <c r="DJ189" i="1"/>
  <c r="DJ116" i="1"/>
  <c r="DE89" i="1"/>
  <c r="DJ70" i="1"/>
  <c r="DJ96" i="1"/>
  <c r="DJ161" i="1"/>
  <c r="DJ184" i="1"/>
  <c r="DJ11" i="1"/>
  <c r="DJ199" i="1"/>
  <c r="AT141" i="1"/>
  <c r="EF43" i="1"/>
  <c r="ED166" i="1"/>
  <c r="AS114" i="1"/>
  <c r="AU114" i="1" s="1"/>
  <c r="EB8" i="1"/>
  <c r="DF143" i="1"/>
  <c r="ED49" i="1"/>
  <c r="AT58" i="1"/>
  <c r="EB144" i="1"/>
  <c r="FA76" i="1"/>
  <c r="FA112" i="1"/>
  <c r="FA165" i="1"/>
  <c r="FA73" i="1"/>
  <c r="FA25" i="1"/>
  <c r="FA150" i="1"/>
  <c r="FA122" i="1"/>
  <c r="FA164" i="1"/>
  <c r="FA190" i="1"/>
  <c r="FA119" i="1"/>
  <c r="DJ202" i="1"/>
  <c r="AS193" i="1"/>
  <c r="AU193" i="1" s="1"/>
  <c r="FA120" i="1"/>
  <c r="FC58" i="1"/>
  <c r="DE125" i="1"/>
  <c r="DJ27" i="1"/>
  <c r="DD130" i="1"/>
  <c r="DE65" i="1"/>
  <c r="DE67" i="1"/>
  <c r="DE59" i="1"/>
  <c r="DE195" i="1"/>
  <c r="DE83" i="1"/>
  <c r="DJ36" i="1"/>
  <c r="DJ88" i="1"/>
  <c r="DE148" i="1"/>
  <c r="DJ73" i="1"/>
  <c r="DJ170" i="1"/>
  <c r="DJ195" i="1"/>
  <c r="DJ129" i="1"/>
  <c r="DE136" i="1"/>
  <c r="FN6" i="1"/>
  <c r="EB88" i="1"/>
  <c r="DF155" i="1"/>
  <c r="CX64" i="1"/>
  <c r="EF150" i="1"/>
  <c r="ED132" i="1"/>
  <c r="EB147" i="1"/>
  <c r="DF179" i="1"/>
  <c r="ED154" i="1"/>
  <c r="DJ8" i="1"/>
  <c r="DB11" i="1"/>
  <c r="FA141" i="1"/>
  <c r="FA160" i="1"/>
  <c r="FA7" i="1"/>
  <c r="FA49" i="1"/>
  <c r="FA177" i="1"/>
  <c r="FC203" i="1"/>
  <c r="DE176" i="1"/>
  <c r="DJ75" i="1"/>
  <c r="DJ52" i="1"/>
  <c r="DE179" i="1"/>
  <c r="DE151" i="1"/>
  <c r="DE70" i="1"/>
  <c r="DE128" i="1"/>
  <c r="DE98" i="1"/>
  <c r="DJ136" i="1"/>
  <c r="DJ120" i="1"/>
  <c r="DJ147" i="1"/>
  <c r="DJ45" i="1"/>
  <c r="DJ176" i="1"/>
  <c r="DJ201" i="1"/>
  <c r="DJ182" i="1"/>
  <c r="FD150" i="1"/>
  <c r="DN103" i="1"/>
  <c r="AT51" i="1"/>
  <c r="AT34" i="1"/>
  <c r="EF59" i="1"/>
  <c r="EY4" i="1"/>
  <c r="ED78" i="1"/>
  <c r="DF68" i="1"/>
  <c r="DF140" i="1"/>
  <c r="AT127" i="1"/>
  <c r="FA201" i="1"/>
  <c r="EF105" i="1"/>
  <c r="FA184" i="1"/>
  <c r="EB10" i="1"/>
  <c r="DF158" i="1"/>
  <c r="AS4" i="1"/>
  <c r="AU4" i="1" s="1"/>
  <c r="EY17" i="1"/>
  <c r="FA193" i="1"/>
  <c r="FA50" i="1"/>
  <c r="FA171" i="1"/>
  <c r="FA179" i="1"/>
  <c r="FA89" i="1"/>
  <c r="FA91" i="1"/>
  <c r="FA78" i="1"/>
  <c r="DJ149" i="1"/>
  <c r="FA121" i="1"/>
  <c r="DE159" i="1"/>
  <c r="EZ117" i="1"/>
  <c r="EY200" i="1"/>
  <c r="FA200" i="1"/>
  <c r="FC154" i="1"/>
  <c r="DJ5" i="1"/>
  <c r="DJ51" i="1"/>
  <c r="DE55" i="1"/>
  <c r="DE199" i="1"/>
  <c r="DE142" i="1"/>
  <c r="DE53" i="1"/>
  <c r="DJ66" i="1"/>
  <c r="DE106" i="1"/>
  <c r="DJ102" i="1"/>
  <c r="DJ164" i="1"/>
  <c r="DJ180" i="1"/>
  <c r="ED37" i="1"/>
  <c r="DF200" i="1"/>
  <c r="EZ111" i="1"/>
  <c r="EZ194" i="1"/>
  <c r="EF112" i="1"/>
  <c r="FA16" i="1"/>
  <c r="FA183" i="1"/>
  <c r="FA27" i="1"/>
  <c r="EF128" i="1"/>
  <c r="FA35" i="1"/>
  <c r="DF4" i="1"/>
  <c r="DJ43" i="1"/>
  <c r="EZ37" i="1"/>
  <c r="AS126" i="1"/>
  <c r="AU126" i="1" s="1"/>
  <c r="DE10" i="1"/>
  <c r="FA145" i="1"/>
  <c r="FA127" i="1"/>
  <c r="FA4" i="1"/>
  <c r="FA148" i="1"/>
  <c r="FA154" i="1"/>
  <c r="FA138" i="1"/>
  <c r="FA69" i="1"/>
  <c r="FA197" i="1"/>
  <c r="DJ165" i="1"/>
  <c r="FC159" i="1"/>
  <c r="EZ202" i="1"/>
  <c r="EY88" i="1"/>
  <c r="FC101" i="1"/>
  <c r="DJ130" i="1"/>
  <c r="DE165" i="1"/>
  <c r="DE203" i="1"/>
  <c r="DE190" i="1"/>
  <c r="DE58" i="1"/>
  <c r="DK80" i="1"/>
  <c r="DE164" i="1"/>
  <c r="DJ148" i="1"/>
  <c r="DE172" i="1"/>
  <c r="FV140" i="1"/>
  <c r="DJ65" i="1"/>
  <c r="DJ63" i="1"/>
  <c r="DE92" i="1"/>
  <c r="DJ108" i="1"/>
  <c r="DK49" i="1"/>
  <c r="EF11" i="1"/>
  <c r="EB43" i="1"/>
  <c r="DJ6" i="1"/>
  <c r="FA23" i="1"/>
  <c r="DE5" i="1"/>
  <c r="DE23" i="1"/>
  <c r="FA77" i="1"/>
  <c r="FA8" i="1"/>
  <c r="FA30" i="1"/>
  <c r="FA169" i="1"/>
  <c r="FA60" i="1"/>
  <c r="FA53" i="1"/>
  <c r="FA104" i="1"/>
  <c r="FA93" i="1"/>
  <c r="EY148" i="1"/>
  <c r="DE91" i="1"/>
  <c r="DJ24" i="1"/>
  <c r="DJ145" i="1"/>
  <c r="CX151" i="1"/>
  <c r="DE134" i="1"/>
  <c r="DE143" i="1"/>
  <c r="DE78" i="1"/>
  <c r="DE94" i="1"/>
  <c r="DK201" i="1"/>
  <c r="DE171" i="1"/>
  <c r="DJ172" i="1"/>
  <c r="DJ50" i="1"/>
  <c r="DJ56" i="1"/>
  <c r="DE121" i="1"/>
  <c r="DJ194" i="1"/>
  <c r="DE117" i="1"/>
  <c r="AT185" i="1"/>
  <c r="EB171" i="1"/>
  <c r="DF150" i="1"/>
  <c r="EF192" i="1"/>
  <c r="DF84" i="1"/>
  <c r="EB86" i="1"/>
  <c r="AT68" i="1"/>
  <c r="FA37" i="1"/>
  <c r="DE43" i="1"/>
  <c r="FA153" i="1"/>
  <c r="FA118" i="1"/>
  <c r="FA98" i="1"/>
  <c r="FA146" i="1"/>
  <c r="FA166" i="1"/>
  <c r="FA70" i="1"/>
  <c r="FA26" i="1"/>
  <c r="FA123" i="1"/>
  <c r="DE180" i="1"/>
  <c r="AT126" i="1"/>
  <c r="DE64" i="1"/>
  <c r="DJ203" i="1"/>
  <c r="DJ106" i="1"/>
  <c r="DL10" i="1"/>
  <c r="CX195" i="1"/>
  <c r="DE150" i="1"/>
  <c r="DE153" i="1"/>
  <c r="DE173" i="1"/>
  <c r="DE103" i="1"/>
  <c r="DJ178" i="1"/>
  <c r="DJ117" i="1"/>
  <c r="FC188" i="1"/>
  <c r="DJ113" i="1"/>
  <c r="DJ156" i="1"/>
  <c r="DE116" i="1"/>
  <c r="DJ54" i="1"/>
  <c r="DJ163" i="1"/>
  <c r="EH17" i="1"/>
  <c r="EF77" i="1"/>
  <c r="DF194" i="1"/>
  <c r="EF70" i="1"/>
  <c r="AT153" i="1"/>
  <c r="DF29" i="1"/>
  <c r="DE42" i="1"/>
  <c r="FA3" i="1"/>
  <c r="FA72" i="1"/>
  <c r="FA125" i="1"/>
  <c r="FA66" i="1"/>
  <c r="FA194" i="1"/>
  <c r="FA168" i="1"/>
  <c r="FA204" i="1"/>
  <c r="FA139" i="1"/>
  <c r="EZ198" i="1"/>
  <c r="EZ204" i="1"/>
  <c r="DK47" i="1"/>
  <c r="EF56" i="1"/>
  <c r="FC187" i="1"/>
  <c r="DJ35" i="1"/>
  <c r="DJ175" i="1"/>
  <c r="DJ133" i="1"/>
  <c r="DL163" i="1"/>
  <c r="CX66" i="1"/>
  <c r="DE168" i="1"/>
  <c r="DE77" i="1"/>
  <c r="DE185" i="1"/>
  <c r="DE202" i="1"/>
  <c r="DJ110" i="1"/>
  <c r="DJ188" i="1"/>
  <c r="DJ137" i="1"/>
  <c r="DJ121" i="1"/>
  <c r="DJ158" i="1"/>
  <c r="DJ200" i="1"/>
  <c r="DJ135" i="1"/>
  <c r="FA47" i="1"/>
  <c r="DN112" i="1"/>
  <c r="EF91" i="1"/>
  <c r="EZ63" i="1"/>
  <c r="EG176" i="1"/>
  <c r="ED65" i="1"/>
  <c r="DD76" i="1"/>
  <c r="FV76" i="1"/>
  <c r="EB25" i="1"/>
  <c r="EB49" i="1"/>
  <c r="EB186" i="1"/>
  <c r="EB89" i="1"/>
  <c r="EB62" i="1"/>
  <c r="EB102" i="1"/>
  <c r="EB120" i="1"/>
  <c r="EB115" i="1"/>
  <c r="EB182" i="1"/>
  <c r="EB95" i="1"/>
  <c r="EB122" i="1"/>
  <c r="EB167" i="1"/>
  <c r="EB61" i="1"/>
  <c r="EB156" i="1"/>
  <c r="EB98" i="1"/>
  <c r="EB79" i="1"/>
  <c r="EB110" i="1"/>
  <c r="EB129" i="1"/>
  <c r="EB96" i="1"/>
  <c r="EB191" i="1"/>
  <c r="EB127" i="1"/>
  <c r="EB135" i="1"/>
  <c r="EB164" i="1"/>
  <c r="EB90" i="1"/>
  <c r="EB170" i="1"/>
  <c r="EB105" i="1"/>
  <c r="EB153" i="1"/>
  <c r="EB101" i="1"/>
  <c r="EB176" i="1"/>
  <c r="EB97" i="1"/>
  <c r="EB67" i="1"/>
  <c r="EB82" i="1"/>
  <c r="EB169" i="1"/>
  <c r="EB111" i="1"/>
  <c r="EB109" i="1"/>
  <c r="EB196" i="1"/>
  <c r="EB168" i="1"/>
  <c r="EB65" i="1"/>
  <c r="EB126" i="1"/>
  <c r="EB198" i="1"/>
  <c r="EB83" i="1"/>
  <c r="EB138" i="1"/>
  <c r="EB78" i="1"/>
  <c r="EB104" i="1"/>
  <c r="EB64" i="1"/>
  <c r="EB175" i="1"/>
  <c r="EB185" i="1"/>
  <c r="EB183" i="1"/>
  <c r="EB93" i="1"/>
  <c r="EB204" i="1"/>
  <c r="EB58" i="1"/>
  <c r="EB143" i="1"/>
  <c r="EB202" i="1"/>
  <c r="EB180" i="1"/>
  <c r="EB137" i="1"/>
  <c r="EB17" i="1"/>
  <c r="EB94" i="1"/>
  <c r="EB160" i="1"/>
  <c r="EB193" i="1"/>
  <c r="EB51" i="1"/>
  <c r="EB134" i="1"/>
  <c r="EB91" i="1"/>
  <c r="EB100" i="1"/>
  <c r="EB162" i="1"/>
  <c r="EB112" i="1"/>
  <c r="EB149" i="1"/>
  <c r="EB80" i="1"/>
  <c r="EB71" i="1"/>
  <c r="EB119" i="1"/>
  <c r="EB203" i="1"/>
  <c r="EB27" i="1"/>
  <c r="EB42" i="1"/>
  <c r="EB133" i="1"/>
  <c r="EB56" i="1"/>
  <c r="EB166" i="1"/>
  <c r="EB84" i="1"/>
  <c r="EB24" i="1"/>
  <c r="EB52" i="1"/>
  <c r="EB132" i="1"/>
  <c r="EB73" i="1"/>
  <c r="EB117" i="1"/>
  <c r="EB116" i="1"/>
  <c r="EB187" i="1"/>
  <c r="EB165" i="1"/>
  <c r="EB130" i="1"/>
  <c r="EB123" i="1"/>
  <c r="EB75" i="1"/>
  <c r="EB15" i="1"/>
  <c r="EB194" i="1"/>
  <c r="EB200" i="1"/>
  <c r="EB53" i="1"/>
  <c r="EB16" i="1"/>
  <c r="EB6" i="1"/>
  <c r="EB35" i="1"/>
  <c r="EB30" i="1"/>
  <c r="EB118" i="1"/>
  <c r="EB92" i="1"/>
  <c r="EB103" i="1"/>
  <c r="EB157" i="1"/>
  <c r="EB47" i="1"/>
  <c r="EB205" i="1"/>
  <c r="EB3" i="1"/>
  <c r="EB20" i="1"/>
  <c r="EB174" i="1"/>
  <c r="EB59" i="1"/>
  <c r="EB179" i="1"/>
  <c r="EB70" i="1"/>
  <c r="EB146" i="1"/>
  <c r="EB38" i="1"/>
  <c r="EZ135" i="1"/>
  <c r="DK126" i="1"/>
  <c r="DD56" i="1"/>
  <c r="EH56" i="1"/>
  <c r="EH50" i="1"/>
  <c r="EH58" i="1"/>
  <c r="ET50" i="1"/>
  <c r="ET129" i="1"/>
  <c r="ET155" i="1"/>
  <c r="ET8" i="1"/>
  <c r="ET71" i="1"/>
  <c r="ET159" i="1"/>
  <c r="ET145" i="1"/>
  <c r="ET137" i="1"/>
  <c r="ET6" i="1"/>
  <c r="ET3" i="1"/>
  <c r="ET43" i="1"/>
  <c r="ET131" i="1"/>
  <c r="ET130" i="1"/>
  <c r="ET73" i="1"/>
  <c r="ET58" i="1"/>
  <c r="ET93" i="1"/>
  <c r="ET70" i="1"/>
  <c r="DM92" i="1"/>
  <c r="DM186" i="1"/>
  <c r="DM161" i="1"/>
  <c r="DM123" i="1"/>
  <c r="DM188" i="1"/>
  <c r="DM15" i="1"/>
  <c r="DM7" i="1"/>
  <c r="DM37" i="1"/>
  <c r="DM145" i="1"/>
  <c r="DM27" i="1"/>
  <c r="DM29" i="1"/>
  <c r="DM16" i="1"/>
  <c r="DB134" i="1"/>
  <c r="DB172" i="1"/>
  <c r="DB158" i="1"/>
  <c r="DB169" i="1"/>
  <c r="DB129" i="1"/>
  <c r="DB194" i="1"/>
  <c r="DB189" i="1"/>
  <c r="DB10" i="1"/>
  <c r="DB188" i="1"/>
  <c r="DB80" i="1"/>
  <c r="DB144" i="1"/>
  <c r="DB114" i="1"/>
  <c r="DB154" i="1"/>
  <c r="DB104" i="1"/>
  <c r="DB145" i="1"/>
  <c r="DB112" i="1"/>
  <c r="DB99" i="1"/>
  <c r="DB125" i="1"/>
  <c r="DB137" i="1"/>
  <c r="DB185" i="1"/>
  <c r="DB173" i="1"/>
  <c r="DB192" i="1"/>
  <c r="DB177" i="1"/>
  <c r="DB175" i="1"/>
  <c r="DB38" i="1"/>
  <c r="DB196" i="1"/>
  <c r="DB167" i="1"/>
  <c r="DB70" i="1"/>
  <c r="DB117" i="1"/>
  <c r="DB105" i="1"/>
  <c r="DB15" i="1"/>
  <c r="DB193" i="1"/>
  <c r="DB73" i="1"/>
  <c r="DB157" i="1"/>
  <c r="DB83" i="1"/>
  <c r="DB184" i="1"/>
  <c r="DB135" i="1"/>
  <c r="DB132" i="1"/>
  <c r="DB71" i="1"/>
  <c r="DB109" i="1"/>
  <c r="DB53" i="1"/>
  <c r="DB203" i="1"/>
  <c r="DB29" i="1"/>
  <c r="DB52" i="1"/>
  <c r="DB164" i="1"/>
  <c r="DB199" i="1"/>
  <c r="DB96" i="1"/>
  <c r="DB176" i="1"/>
  <c r="DB186" i="1"/>
  <c r="DB198" i="1"/>
  <c r="DB143" i="1"/>
  <c r="DB90" i="1"/>
  <c r="DB171" i="1"/>
  <c r="DB191" i="1"/>
  <c r="DB82" i="1"/>
  <c r="DB197" i="1"/>
  <c r="DB170" i="1"/>
  <c r="DB27" i="1"/>
  <c r="DB165" i="1"/>
  <c r="DB42" i="1"/>
  <c r="DB44" i="1"/>
  <c r="DB153" i="1"/>
  <c r="DB160" i="1"/>
  <c r="DB139" i="1"/>
  <c r="DB69" i="1"/>
  <c r="DB166" i="1"/>
  <c r="DB133" i="1"/>
  <c r="DB76" i="1"/>
  <c r="DB151" i="1"/>
  <c r="DB200" i="1"/>
  <c r="DB110" i="1"/>
  <c r="DB101" i="1"/>
  <c r="DB113" i="1"/>
  <c r="DB183" i="1"/>
  <c r="DB16" i="1"/>
  <c r="DB30" i="1"/>
  <c r="DB159" i="1"/>
  <c r="DB182" i="1"/>
  <c r="DB94" i="1"/>
  <c r="DB54" i="1"/>
  <c r="DB124" i="1"/>
  <c r="DB59" i="1"/>
  <c r="DB102" i="1"/>
  <c r="DB195" i="1"/>
  <c r="DB127" i="1"/>
  <c r="DB67" i="1"/>
  <c r="DB162" i="1"/>
  <c r="DB205" i="1"/>
  <c r="DB31" i="1"/>
  <c r="DB55" i="1"/>
  <c r="DB155" i="1"/>
  <c r="DB142" i="1"/>
  <c r="DB150" i="1"/>
  <c r="DB95" i="1"/>
  <c r="DB23" i="1"/>
  <c r="DB163" i="1"/>
  <c r="DB161" i="1"/>
  <c r="DB178" i="1"/>
  <c r="DB148" i="1"/>
  <c r="DB141" i="1"/>
  <c r="DB202" i="1"/>
  <c r="DB156" i="1"/>
  <c r="DB152" i="1"/>
  <c r="DB103" i="1"/>
  <c r="DB20" i="1"/>
  <c r="DB12" i="1"/>
  <c r="DB68" i="1"/>
  <c r="DB77" i="1"/>
  <c r="DB35" i="1"/>
  <c r="DB93" i="1"/>
  <c r="DB100" i="1"/>
  <c r="DB56" i="1"/>
  <c r="DB8" i="1"/>
  <c r="DB62" i="1"/>
  <c r="DB204" i="1"/>
  <c r="DB5" i="1"/>
  <c r="DB180" i="1"/>
  <c r="DB201" i="1"/>
  <c r="DB123" i="1"/>
  <c r="DB17" i="1"/>
  <c r="DB146" i="1"/>
  <c r="DB37" i="1"/>
  <c r="DB147" i="1"/>
  <c r="DB51" i="1"/>
  <c r="DB6" i="1"/>
  <c r="DB181" i="1"/>
  <c r="DB7" i="1"/>
  <c r="ED90" i="1"/>
  <c r="EC144" i="1"/>
  <c r="EF15" i="1"/>
  <c r="EF182" i="1"/>
  <c r="EF179" i="1"/>
  <c r="EF46" i="1"/>
  <c r="ED138" i="1"/>
  <c r="DF180" i="1"/>
  <c r="EB31" i="1"/>
  <c r="DF62" i="1"/>
  <c r="EZ182" i="1"/>
  <c r="DF164" i="1"/>
  <c r="DF123" i="1"/>
  <c r="EH45" i="1"/>
  <c r="ED148" i="1"/>
  <c r="ED55" i="1"/>
  <c r="DL15" i="1"/>
  <c r="AS51" i="1"/>
  <c r="AU51" i="1" s="1"/>
  <c r="EB145" i="1"/>
  <c r="EG143" i="1"/>
  <c r="DC16" i="1"/>
  <c r="EZ42" i="1"/>
  <c r="EG68" i="1"/>
  <c r="FV112" i="1"/>
  <c r="EB77" i="1"/>
  <c r="DO179" i="1"/>
  <c r="DO72" i="1"/>
  <c r="EZ53" i="1"/>
  <c r="EZ169" i="1"/>
  <c r="DB65" i="1"/>
  <c r="EC24" i="1"/>
  <c r="EC151" i="1"/>
  <c r="EC81" i="1"/>
  <c r="DL202" i="1"/>
  <c r="DK190" i="1"/>
  <c r="EG175" i="1"/>
  <c r="FB147" i="1"/>
  <c r="DN147" i="1"/>
  <c r="DD147" i="1"/>
  <c r="EH147" i="1"/>
  <c r="ED180" i="1"/>
  <c r="DN116" i="1"/>
  <c r="FB116" i="1"/>
  <c r="EH116" i="1"/>
  <c r="L11" i="1"/>
  <c r="AT11" i="1"/>
  <c r="AS11" i="1"/>
  <c r="AU11" i="1" s="1"/>
  <c r="EY79" i="1"/>
  <c r="EY107" i="1"/>
  <c r="EY152" i="1"/>
  <c r="EY112" i="1"/>
  <c r="EY36" i="1"/>
  <c r="EY197" i="1"/>
  <c r="EY145" i="1"/>
  <c r="EY191" i="1"/>
  <c r="EY114" i="1"/>
  <c r="EY177" i="1"/>
  <c r="EY182" i="1"/>
  <c r="EY66" i="1"/>
  <c r="EY196" i="1"/>
  <c r="EY162" i="1"/>
  <c r="EY172" i="1"/>
  <c r="EY85" i="1"/>
  <c r="EY89" i="1"/>
  <c r="EY51" i="1"/>
  <c r="EY187" i="1"/>
  <c r="EY60" i="1"/>
  <c r="EY171" i="1"/>
  <c r="EY105" i="1"/>
  <c r="EY126" i="1"/>
  <c r="EY163" i="1"/>
  <c r="EY137" i="1"/>
  <c r="EY184" i="1"/>
  <c r="EY76" i="1"/>
  <c r="EY68" i="1"/>
  <c r="EY109" i="1"/>
  <c r="EY194" i="1"/>
  <c r="EY43" i="1"/>
  <c r="EY121" i="1"/>
  <c r="EY160" i="1"/>
  <c r="EY130" i="1"/>
  <c r="EY151" i="1"/>
  <c r="EY189" i="1"/>
  <c r="EY190" i="1"/>
  <c r="EY116" i="1"/>
  <c r="EY161" i="1"/>
  <c r="EY131" i="1"/>
  <c r="EY25" i="1"/>
  <c r="EY63" i="1"/>
  <c r="EY118" i="1"/>
  <c r="EY59" i="1"/>
  <c r="EY8" i="1"/>
  <c r="EY139" i="1"/>
  <c r="EY65" i="1"/>
  <c r="EY153" i="1"/>
  <c r="EY56" i="1"/>
  <c r="EY93" i="1"/>
  <c r="EY5" i="1"/>
  <c r="EY203" i="1"/>
  <c r="EY94" i="1"/>
  <c r="EY111" i="1"/>
  <c r="EY91" i="1"/>
  <c r="EY58" i="1"/>
  <c r="EY98" i="1"/>
  <c r="EY119" i="1"/>
  <c r="EY135" i="1"/>
  <c r="EY132" i="1"/>
  <c r="EY95" i="1"/>
  <c r="EY198" i="1"/>
  <c r="EY102" i="1"/>
  <c r="EY45" i="1"/>
  <c r="EY180" i="1"/>
  <c r="EY13" i="1"/>
  <c r="EY154" i="1"/>
  <c r="EY106" i="1"/>
  <c r="EY156" i="1"/>
  <c r="EY195" i="1"/>
  <c r="EY202" i="1"/>
  <c r="EY174" i="1"/>
  <c r="EY144" i="1"/>
  <c r="EY169" i="1"/>
  <c r="EY30" i="1"/>
  <c r="EY127" i="1"/>
  <c r="EY73" i="1"/>
  <c r="EY122" i="1"/>
  <c r="EY117" i="1"/>
  <c r="EY123" i="1"/>
  <c r="EY23" i="1"/>
  <c r="EY53" i="1"/>
  <c r="EY37" i="1"/>
  <c r="EY188" i="1"/>
  <c r="EY183" i="1"/>
  <c r="EY82" i="1"/>
  <c r="EY97" i="1"/>
  <c r="EY78" i="1"/>
  <c r="EY141" i="1"/>
  <c r="EY155" i="1"/>
  <c r="EY159" i="1"/>
  <c r="EY128" i="1"/>
  <c r="EY164" i="1"/>
  <c r="EY168" i="1"/>
  <c r="EY146" i="1"/>
  <c r="EY129" i="1"/>
  <c r="EY158" i="1"/>
  <c r="EY72" i="1"/>
  <c r="EY38" i="1"/>
  <c r="EY7" i="1"/>
  <c r="EY181" i="1"/>
  <c r="EY136" i="1"/>
  <c r="EY157" i="1"/>
  <c r="EY140" i="1"/>
  <c r="EY100" i="1"/>
  <c r="EY31" i="1"/>
  <c r="EY70" i="1"/>
  <c r="EY124" i="1"/>
  <c r="EY138" i="1"/>
  <c r="EY134" i="1"/>
  <c r="EY54" i="1"/>
  <c r="EY71" i="1"/>
  <c r="EY113" i="1"/>
  <c r="EY99" i="1"/>
  <c r="EY69" i="1"/>
  <c r="EY6" i="1"/>
  <c r="EY185" i="1"/>
  <c r="EY142" i="1"/>
  <c r="EY110" i="1"/>
  <c r="EY42" i="1"/>
  <c r="EY150" i="1"/>
  <c r="EY165" i="1"/>
  <c r="EY92" i="1"/>
  <c r="EY11" i="1"/>
  <c r="EY24" i="1"/>
  <c r="EY149" i="1"/>
  <c r="EY103" i="1"/>
  <c r="EY12" i="1"/>
  <c r="EY83" i="1"/>
  <c r="EY201" i="1"/>
  <c r="EY120" i="1"/>
  <c r="EY166" i="1"/>
  <c r="EY55" i="1"/>
  <c r="ED182" i="1"/>
  <c r="AT151" i="1"/>
  <c r="EG204" i="1"/>
  <c r="EY199" i="1"/>
  <c r="DD119" i="1"/>
  <c r="DN119" i="1"/>
  <c r="FV119" i="1"/>
  <c r="L117" i="1"/>
  <c r="AS117" i="1"/>
  <c r="AU117" i="1" s="1"/>
  <c r="EY67" i="1"/>
  <c r="EF205" i="1"/>
  <c r="EZ200" i="1"/>
  <c r="EH93" i="1"/>
  <c r="EY193" i="1"/>
  <c r="EF158" i="1"/>
  <c r="EG121" i="1"/>
  <c r="EC193" i="1"/>
  <c r="DK157" i="1"/>
  <c r="EH132" i="1"/>
  <c r="L140" i="1"/>
  <c r="AT140" i="1"/>
  <c r="AT182" i="1"/>
  <c r="AS182" i="1"/>
  <c r="AU182" i="1" s="1"/>
  <c r="EW107" i="1"/>
  <c r="EW141" i="1"/>
  <c r="EW203" i="1"/>
  <c r="EW88" i="1"/>
  <c r="EW142" i="1"/>
  <c r="EW132" i="1"/>
  <c r="EW116" i="1"/>
  <c r="EW156" i="1"/>
  <c r="EW159" i="1"/>
  <c r="EW95" i="1"/>
  <c r="EW80" i="1"/>
  <c r="EW184" i="1"/>
  <c r="EW54" i="1"/>
  <c r="EW204" i="1"/>
  <c r="EW166" i="1"/>
  <c r="EW161" i="1"/>
  <c r="DX84" i="1"/>
  <c r="DX144" i="1"/>
  <c r="ED53" i="1"/>
  <c r="AT102" i="1"/>
  <c r="EY175" i="1"/>
  <c r="EF44" i="1"/>
  <c r="EF176" i="1"/>
  <c r="EF175" i="1"/>
  <c r="EF183" i="1"/>
  <c r="ED204" i="1"/>
  <c r="ED186" i="1"/>
  <c r="DF186" i="1"/>
  <c r="EZ38" i="1"/>
  <c r="DF75" i="1"/>
  <c r="EG12" i="1"/>
  <c r="DF98" i="1"/>
  <c r="DF106" i="1"/>
  <c r="AS165" i="1"/>
  <c r="AU165" i="1" s="1"/>
  <c r="EH66" i="1"/>
  <c r="EY179" i="1"/>
  <c r="ED141" i="1"/>
  <c r="EG65" i="1"/>
  <c r="EW38" i="1"/>
  <c r="DB24" i="1"/>
  <c r="EZ201" i="1"/>
  <c r="EG56" i="1"/>
  <c r="EZ167" i="1"/>
  <c r="EB55" i="1"/>
  <c r="EG186" i="1"/>
  <c r="CX170" i="1"/>
  <c r="EY61" i="1"/>
  <c r="FN154" i="1"/>
  <c r="DB128" i="1"/>
  <c r="EC131" i="1"/>
  <c r="EY170" i="1"/>
  <c r="DL50" i="1"/>
  <c r="CX148" i="1"/>
  <c r="EJ60" i="1"/>
  <c r="EJ51" i="1"/>
  <c r="EJ100" i="1"/>
  <c r="EJ64" i="1"/>
  <c r="EJ141" i="1"/>
  <c r="EJ97" i="1"/>
  <c r="EJ99" i="1"/>
  <c r="EJ188" i="1"/>
  <c r="EJ117" i="1"/>
  <c r="EJ145" i="1"/>
  <c r="EJ131" i="1"/>
  <c r="EJ104" i="1"/>
  <c r="EJ11" i="1"/>
  <c r="EJ151" i="1"/>
  <c r="EJ158" i="1"/>
  <c r="EJ10" i="1"/>
  <c r="EJ66" i="1"/>
  <c r="EJ67" i="1"/>
  <c r="EJ75" i="1"/>
  <c r="EJ50" i="1"/>
  <c r="EJ16" i="1"/>
  <c r="EJ44" i="1"/>
  <c r="EH38" i="1"/>
  <c r="EC154" i="1"/>
  <c r="EF115" i="1"/>
  <c r="EH31" i="1"/>
  <c r="ED44" i="1"/>
  <c r="EC170" i="1"/>
  <c r="FB60" i="1"/>
  <c r="EH60" i="1"/>
  <c r="DN60" i="1"/>
  <c r="DD60" i="1"/>
  <c r="EF202" i="1"/>
  <c r="EH197" i="1"/>
  <c r="EC79" i="1"/>
  <c r="L163" i="1"/>
  <c r="AT163" i="1"/>
  <c r="AS163" i="1"/>
  <c r="AU163" i="1" s="1"/>
  <c r="DF79" i="1"/>
  <c r="EZ103" i="1"/>
  <c r="EC23" i="1"/>
  <c r="EC200" i="1"/>
  <c r="DF3" i="1"/>
  <c r="DF199" i="1"/>
  <c r="EB172" i="1"/>
  <c r="EY178" i="1"/>
  <c r="EZ112" i="1"/>
  <c r="FG101" i="1"/>
  <c r="FG85" i="1"/>
  <c r="AT21" i="1"/>
  <c r="DF119" i="1"/>
  <c r="L23" i="1"/>
  <c r="AT23" i="1"/>
  <c r="ED111" i="1"/>
  <c r="ED205" i="1"/>
  <c r="ED68" i="1"/>
  <c r="ED16" i="1"/>
  <c r="ED134" i="1"/>
  <c r="ED89" i="1"/>
  <c r="ED120" i="1"/>
  <c r="ED91" i="1"/>
  <c r="ED177" i="1"/>
  <c r="ED69" i="1"/>
  <c r="ED83" i="1"/>
  <c r="ED159" i="1"/>
  <c r="ED202" i="1"/>
  <c r="ED52" i="1"/>
  <c r="ED99" i="1"/>
  <c r="ED79" i="1"/>
  <c r="ED185" i="1"/>
  <c r="ED29" i="1"/>
  <c r="ED165" i="1"/>
  <c r="ED20" i="1"/>
  <c r="ED201" i="1"/>
  <c r="ED114" i="1"/>
  <c r="ED119" i="1"/>
  <c r="ED197" i="1"/>
  <c r="ED86" i="1"/>
  <c r="ED147" i="1"/>
  <c r="ED93" i="1"/>
  <c r="ED104" i="1"/>
  <c r="ED124" i="1"/>
  <c r="ED25" i="1"/>
  <c r="ED176" i="1"/>
  <c r="ED146" i="1"/>
  <c r="ED6" i="1"/>
  <c r="ED97" i="1"/>
  <c r="ED102" i="1"/>
  <c r="ED139" i="1"/>
  <c r="ED62" i="1"/>
  <c r="ED171" i="1"/>
  <c r="ED7" i="1"/>
  <c r="ED161" i="1"/>
  <c r="ED58" i="1"/>
  <c r="ED59" i="1"/>
  <c r="ED144" i="1"/>
  <c r="ED192" i="1"/>
  <c r="ED156" i="1"/>
  <c r="ED47" i="1"/>
  <c r="ED122" i="1"/>
  <c r="ED46" i="1"/>
  <c r="ED108" i="1"/>
  <c r="ED155" i="1"/>
  <c r="ED168" i="1"/>
  <c r="ED12" i="1"/>
  <c r="ED24" i="1"/>
  <c r="ED54" i="1"/>
  <c r="ED101" i="1"/>
  <c r="ED129" i="1"/>
  <c r="ED31" i="1"/>
  <c r="ED77" i="1"/>
  <c r="ED88" i="1"/>
  <c r="ED150" i="1"/>
  <c r="ED5" i="1"/>
  <c r="ED203" i="1"/>
  <c r="ED23" i="1"/>
  <c r="ED137" i="1"/>
  <c r="ED115" i="1"/>
  <c r="ED63" i="1"/>
  <c r="ED187" i="1"/>
  <c r="ED43" i="1"/>
  <c r="ED172" i="1"/>
  <c r="ED94" i="1"/>
  <c r="ED149" i="1"/>
  <c r="ED15" i="1"/>
  <c r="ED113" i="1"/>
  <c r="ED121" i="1"/>
  <c r="ED10" i="1"/>
  <c r="ED26" i="1"/>
  <c r="EP46" i="1"/>
  <c r="DB46" i="1"/>
  <c r="L201" i="1"/>
  <c r="ED106" i="1"/>
  <c r="DC123" i="1"/>
  <c r="DC203" i="1"/>
  <c r="DC60" i="1"/>
  <c r="DC50" i="1"/>
  <c r="DC44" i="1"/>
  <c r="DC154" i="1"/>
  <c r="DC35" i="1"/>
  <c r="DC20" i="1"/>
  <c r="DC115" i="1"/>
  <c r="DC179" i="1"/>
  <c r="DC160" i="1"/>
  <c r="DC56" i="1"/>
  <c r="DC188" i="1"/>
  <c r="DC166" i="1"/>
  <c r="DC205" i="1"/>
  <c r="DC66" i="1"/>
  <c r="DC173" i="1"/>
  <c r="DC58" i="1"/>
  <c r="DC97" i="1"/>
  <c r="DC116" i="1"/>
  <c r="DC109" i="1"/>
  <c r="DC3" i="1"/>
  <c r="DC136" i="1"/>
  <c r="DC38" i="1"/>
  <c r="DC82" i="1"/>
  <c r="DC114" i="1"/>
  <c r="DC164" i="1"/>
  <c r="DC184" i="1"/>
  <c r="DC113" i="1"/>
  <c r="DC176" i="1"/>
  <c r="DC163" i="1"/>
  <c r="DC177" i="1"/>
  <c r="DC192" i="1"/>
  <c r="DC198" i="1"/>
  <c r="DC61" i="1"/>
  <c r="DC112" i="1"/>
  <c r="DC103" i="1"/>
  <c r="DC127" i="1"/>
  <c r="DC52" i="1"/>
  <c r="DC73" i="1"/>
  <c r="DC105" i="1"/>
  <c r="DC83" i="1"/>
  <c r="DC62" i="1"/>
  <c r="DC120" i="1"/>
  <c r="DC106" i="1"/>
  <c r="DC70" i="1"/>
  <c r="DC199" i="1"/>
  <c r="DC55" i="1"/>
  <c r="DC159" i="1"/>
  <c r="DC75" i="1"/>
  <c r="DC43" i="1"/>
  <c r="DC80" i="1"/>
  <c r="DC78" i="1"/>
  <c r="DC76" i="1"/>
  <c r="DC150" i="1"/>
  <c r="DC189" i="1"/>
  <c r="DC135" i="1"/>
  <c r="DC100" i="1"/>
  <c r="DC79" i="1"/>
  <c r="DC201" i="1"/>
  <c r="DC144" i="1"/>
  <c r="DC174" i="1"/>
  <c r="DC89" i="1"/>
  <c r="DC165" i="1"/>
  <c r="DC117" i="1"/>
  <c r="DC130" i="1"/>
  <c r="DC157" i="1"/>
  <c r="DC53" i="1"/>
  <c r="DC118" i="1"/>
  <c r="DC68" i="1"/>
  <c r="DC108" i="1"/>
  <c r="DC96" i="1"/>
  <c r="DC132" i="1"/>
  <c r="DC143" i="1"/>
  <c r="DC161" i="1"/>
  <c r="DC182" i="1"/>
  <c r="DC147" i="1"/>
  <c r="DC193" i="1"/>
  <c r="DC172" i="1"/>
  <c r="DC49" i="1"/>
  <c r="DC131" i="1"/>
  <c r="DC111" i="1"/>
  <c r="DC200" i="1"/>
  <c r="DC138" i="1"/>
  <c r="DC167" i="1"/>
  <c r="DC24" i="1"/>
  <c r="DC134" i="1"/>
  <c r="DC81" i="1"/>
  <c r="DC26" i="1"/>
  <c r="DC153" i="1"/>
  <c r="DC146" i="1"/>
  <c r="DC5" i="1"/>
  <c r="DC95" i="1"/>
  <c r="DC51" i="1"/>
  <c r="DC181" i="1"/>
  <c r="DC187" i="1"/>
  <c r="DC129" i="1"/>
  <c r="DC151" i="1"/>
  <c r="DC125" i="1"/>
  <c r="DC64" i="1"/>
  <c r="DC142" i="1"/>
  <c r="DC133" i="1"/>
  <c r="DC15" i="1"/>
  <c r="DC191" i="1"/>
  <c r="DC162" i="1"/>
  <c r="DC137" i="1"/>
  <c r="DC124" i="1"/>
  <c r="DC71" i="1"/>
  <c r="DC91" i="1"/>
  <c r="DC88" i="1"/>
  <c r="DC92" i="1"/>
  <c r="DC197" i="1"/>
  <c r="DC59" i="1"/>
  <c r="DC17" i="1"/>
  <c r="DC25" i="1"/>
  <c r="DC168" i="1"/>
  <c r="DC152" i="1"/>
  <c r="DC139" i="1"/>
  <c r="DC183" i="1"/>
  <c r="DC84" i="1"/>
  <c r="DC93" i="1"/>
  <c r="DC42" i="1"/>
  <c r="DC54" i="1"/>
  <c r="DC148" i="1"/>
  <c r="DC204" i="1"/>
  <c r="DC196" i="1"/>
  <c r="DC102" i="1"/>
  <c r="DC27" i="1"/>
  <c r="DC67" i="1"/>
  <c r="DC121" i="1"/>
  <c r="DC98" i="1"/>
  <c r="DC85" i="1"/>
  <c r="DC122" i="1"/>
  <c r="DC10" i="1"/>
  <c r="DC45" i="1"/>
  <c r="DC156" i="1"/>
  <c r="DC8" i="1"/>
  <c r="DC65" i="1"/>
  <c r="DC6" i="1"/>
  <c r="DC194" i="1"/>
  <c r="DC190" i="1"/>
  <c r="DC12" i="1"/>
  <c r="DC149" i="1"/>
  <c r="DC77" i="1"/>
  <c r="DC155" i="1"/>
  <c r="DC31" i="1"/>
  <c r="DC178" i="1"/>
  <c r="DC140" i="1"/>
  <c r="DC128" i="1"/>
  <c r="DC104" i="1"/>
  <c r="DC90" i="1"/>
  <c r="DC7" i="1"/>
  <c r="DC69" i="1"/>
  <c r="DC72" i="1"/>
  <c r="DC169" i="1"/>
  <c r="DC94" i="1"/>
  <c r="DC101" i="1"/>
  <c r="DC202" i="1"/>
  <c r="DC11" i="1"/>
  <c r="DC145" i="1"/>
  <c r="DC180" i="1"/>
  <c r="ED145" i="1"/>
  <c r="DF160" i="1"/>
  <c r="EG61" i="1"/>
  <c r="DX68" i="1"/>
  <c r="FB68" i="1"/>
  <c r="FV68" i="1"/>
  <c r="DD68" i="1"/>
  <c r="L170" i="1"/>
  <c r="AS170" i="1"/>
  <c r="AU170" i="1" s="1"/>
  <c r="CX113" i="1"/>
  <c r="CX152" i="1"/>
  <c r="CX112" i="1"/>
  <c r="CX142" i="1"/>
  <c r="CX76" i="1"/>
  <c r="CX58" i="1"/>
  <c r="CX182" i="1"/>
  <c r="CX167" i="1"/>
  <c r="CX96" i="1"/>
  <c r="CX84" i="1"/>
  <c r="CX124" i="1"/>
  <c r="CX53" i="1"/>
  <c r="CX136" i="1"/>
  <c r="CX119" i="1"/>
  <c r="CX116" i="1"/>
  <c r="CX158" i="1"/>
  <c r="CX82" i="1"/>
  <c r="CX180" i="1"/>
  <c r="CX118" i="1"/>
  <c r="CX201" i="1"/>
  <c r="CX25" i="1"/>
  <c r="CX105" i="1"/>
  <c r="CX103" i="1"/>
  <c r="CX109" i="1"/>
  <c r="CX192" i="1"/>
  <c r="CX165" i="1"/>
  <c r="CX127" i="1"/>
  <c r="CX125" i="1"/>
  <c r="CX156" i="1"/>
  <c r="CX184" i="1"/>
  <c r="CX126" i="1"/>
  <c r="CX199" i="1"/>
  <c r="CX205" i="1"/>
  <c r="CX178" i="1"/>
  <c r="CX203" i="1"/>
  <c r="CX102" i="1"/>
  <c r="CX91" i="1"/>
  <c r="CX86" i="1"/>
  <c r="CX174" i="1"/>
  <c r="CX59" i="1"/>
  <c r="CX88" i="1"/>
  <c r="CX130" i="1"/>
  <c r="CX197" i="1"/>
  <c r="CX132" i="1"/>
  <c r="CX162" i="1"/>
  <c r="CX101" i="1"/>
  <c r="CX80" i="1"/>
  <c r="CX164" i="1"/>
  <c r="CX51" i="1"/>
  <c r="CX131" i="1"/>
  <c r="CX97" i="1"/>
  <c r="CX92" i="1"/>
  <c r="CX52" i="1"/>
  <c r="CX106" i="1"/>
  <c r="CX185" i="1"/>
  <c r="CX194" i="1"/>
  <c r="CX61" i="1"/>
  <c r="CX135" i="1"/>
  <c r="CX168" i="1"/>
  <c r="CX70" i="1"/>
  <c r="CX81" i="1"/>
  <c r="CX188" i="1"/>
  <c r="CX77" i="1"/>
  <c r="CX90" i="1"/>
  <c r="CX65" i="1"/>
  <c r="CX54" i="1"/>
  <c r="CX181" i="1"/>
  <c r="CX45" i="1"/>
  <c r="CX144" i="1"/>
  <c r="CX198" i="1"/>
  <c r="CX137" i="1"/>
  <c r="CX117" i="1"/>
  <c r="CX110" i="1"/>
  <c r="CX72" i="1"/>
  <c r="CX50" i="1"/>
  <c r="CX99" i="1"/>
  <c r="CX141" i="1"/>
  <c r="CX138" i="1"/>
  <c r="CX44" i="1"/>
  <c r="CX71" i="1"/>
  <c r="CX63" i="1"/>
  <c r="CX140" i="1"/>
  <c r="CX47" i="1"/>
  <c r="CX143" i="1"/>
  <c r="CX157" i="1"/>
  <c r="CX171" i="1"/>
  <c r="CX145" i="1"/>
  <c r="CX43" i="1"/>
  <c r="CX175" i="1"/>
  <c r="CX187" i="1"/>
  <c r="CX104" i="1"/>
  <c r="CX200" i="1"/>
  <c r="CX153" i="1"/>
  <c r="CX121" i="1"/>
  <c r="CX29" i="1"/>
  <c r="CX4" i="1"/>
  <c r="CX93" i="1"/>
  <c r="CX160" i="1"/>
  <c r="CX20" i="1"/>
  <c r="CX183" i="1"/>
  <c r="CX122" i="1"/>
  <c r="CX56" i="1"/>
  <c r="CX179" i="1"/>
  <c r="CX114" i="1"/>
  <c r="CX69" i="1"/>
  <c r="CX190" i="1"/>
  <c r="CX115" i="1"/>
  <c r="CX62" i="1"/>
  <c r="CX7" i="1"/>
  <c r="CX17" i="1"/>
  <c r="CX73" i="1"/>
  <c r="CX108" i="1"/>
  <c r="CX149" i="1"/>
  <c r="CX134" i="1"/>
  <c r="CX146" i="1"/>
  <c r="CX3" i="1"/>
  <c r="CX15" i="1"/>
  <c r="CX55" i="1"/>
  <c r="CX98" i="1"/>
  <c r="CX11" i="1"/>
  <c r="CX94" i="1"/>
  <c r="CX202" i="1"/>
  <c r="CX196" i="1"/>
  <c r="CX78" i="1"/>
  <c r="CX120" i="1"/>
  <c r="CX154" i="1"/>
  <c r="CX173" i="1"/>
  <c r="CX16" i="1"/>
  <c r="CX163" i="1"/>
  <c r="CX100" i="1"/>
  <c r="CX49" i="1"/>
  <c r="CX166" i="1"/>
  <c r="CX191" i="1"/>
  <c r="CX176" i="1"/>
  <c r="CX67" i="1"/>
  <c r="CX159" i="1"/>
  <c r="CX123" i="1"/>
  <c r="CX111" i="1"/>
  <c r="CX12" i="1"/>
  <c r="CX31" i="1"/>
  <c r="CX133" i="1"/>
  <c r="CX79" i="1"/>
  <c r="CX169" i="1"/>
  <c r="CX5" i="1"/>
  <c r="CX10" i="1"/>
  <c r="CX89" i="1"/>
  <c r="CX23" i="1"/>
  <c r="CX129" i="1"/>
  <c r="CX30" i="1"/>
  <c r="CX6" i="1"/>
  <c r="CX83" i="1"/>
  <c r="CX27" i="1"/>
  <c r="CX128" i="1"/>
  <c r="CX161" i="1"/>
  <c r="CX75" i="1"/>
  <c r="CX186" i="1"/>
  <c r="CX68" i="1"/>
  <c r="CX150" i="1"/>
  <c r="CX38" i="1"/>
  <c r="CX8" i="1"/>
  <c r="EF204" i="1"/>
  <c r="ED160" i="1"/>
  <c r="EB11" i="1"/>
  <c r="EG128" i="1"/>
  <c r="DK182" i="1"/>
  <c r="EF200" i="1"/>
  <c r="EZ176" i="1"/>
  <c r="AS7" i="1"/>
  <c r="AU7" i="1" s="1"/>
  <c r="EY35" i="1"/>
  <c r="EF162" i="1"/>
  <c r="EF24" i="1"/>
  <c r="EF173" i="1"/>
  <c r="EF203" i="1"/>
  <c r="ED162" i="1"/>
  <c r="ED178" i="1"/>
  <c r="DF177" i="1"/>
  <c r="EB29" i="1"/>
  <c r="EH15" i="1"/>
  <c r="DF125" i="1"/>
  <c r="DF20" i="1"/>
  <c r="EH141" i="1"/>
  <c r="ED142" i="1"/>
  <c r="DK7" i="1"/>
  <c r="EZ15" i="1"/>
  <c r="EJ140" i="1"/>
  <c r="EB108" i="1"/>
  <c r="EZ90" i="1"/>
  <c r="EG85" i="1"/>
  <c r="DK158" i="1"/>
  <c r="EB184" i="1"/>
  <c r="DO157" i="1"/>
  <c r="EY101" i="1"/>
  <c r="DO154" i="1"/>
  <c r="DO192" i="1"/>
  <c r="DO66" i="1"/>
  <c r="EC50" i="1"/>
  <c r="DL151" i="1"/>
  <c r="DK67" i="1"/>
  <c r="ED194" i="1"/>
  <c r="AT204" i="1"/>
  <c r="EY50" i="1"/>
  <c r="EF76" i="1"/>
  <c r="EF110" i="1"/>
  <c r="EF141" i="1"/>
  <c r="ED80" i="1"/>
  <c r="ED181" i="1"/>
  <c r="ED72" i="1"/>
  <c r="DF43" i="1"/>
  <c r="DF17" i="1"/>
  <c r="EG159" i="1"/>
  <c r="EF16" i="1"/>
  <c r="DF73" i="1"/>
  <c r="DF154" i="1"/>
  <c r="ED183" i="1"/>
  <c r="DL6" i="1"/>
  <c r="DC30" i="1"/>
  <c r="EY133" i="1"/>
  <c r="EZ123" i="1"/>
  <c r="EB69" i="1"/>
  <c r="EG162" i="1"/>
  <c r="DK203" i="1"/>
  <c r="EB44" i="1"/>
  <c r="EZ161" i="1"/>
  <c r="EH154" i="1"/>
  <c r="DO204" i="1"/>
  <c r="DO140" i="1"/>
  <c r="DO110" i="1"/>
  <c r="EC192" i="1"/>
  <c r="DL109" i="1"/>
  <c r="DB72" i="1"/>
  <c r="DK52" i="1"/>
  <c r="DB75" i="1"/>
  <c r="DL75" i="1"/>
  <c r="EZ75" i="1"/>
  <c r="FT75" i="1"/>
  <c r="EF75" i="1"/>
  <c r="L122" i="1"/>
  <c r="AT122" i="1"/>
  <c r="L113" i="1"/>
  <c r="AT113" i="1"/>
  <c r="DN110" i="1"/>
  <c r="FB110" i="1"/>
  <c r="FV110" i="1"/>
  <c r="EH110" i="1"/>
  <c r="L169" i="1"/>
  <c r="AS169" i="1"/>
  <c r="AU169" i="1" s="1"/>
  <c r="EJ113" i="1"/>
  <c r="L160" i="1"/>
  <c r="AS160" i="1"/>
  <c r="AU160" i="1" s="1"/>
  <c r="ED61" i="1"/>
  <c r="EG81" i="1"/>
  <c r="DX69" i="1"/>
  <c r="DD69" i="1"/>
  <c r="FV69" i="1"/>
  <c r="DB119" i="1"/>
  <c r="EP119" i="1"/>
  <c r="EF119" i="1"/>
  <c r="DL119" i="1"/>
  <c r="EZ119" i="1"/>
  <c r="AS201" i="1"/>
  <c r="AU201" i="1" s="1"/>
  <c r="EG10" i="1"/>
  <c r="EG127" i="1"/>
  <c r="DO166" i="1"/>
  <c r="DK4" i="1"/>
  <c r="ED13" i="1"/>
  <c r="DC4" i="1"/>
  <c r="EH180" i="1"/>
  <c r="EH102" i="1"/>
  <c r="EH170" i="1"/>
  <c r="EH5" i="1"/>
  <c r="EH171" i="1"/>
  <c r="EH130" i="1"/>
  <c r="EH199" i="1"/>
  <c r="EH144" i="1"/>
  <c r="EH4" i="1"/>
  <c r="EH84" i="1"/>
  <c r="EH155" i="1"/>
  <c r="EH189" i="1"/>
  <c r="EH167" i="1"/>
  <c r="EH186" i="1"/>
  <c r="EH7" i="1"/>
  <c r="EH159" i="1"/>
  <c r="EH160" i="1"/>
  <c r="EH173" i="1"/>
  <c r="EH137" i="1"/>
  <c r="EH143" i="1"/>
  <c r="EH201" i="1"/>
  <c r="EH187" i="1"/>
  <c r="EH157" i="1"/>
  <c r="EH140" i="1"/>
  <c r="EG24" i="1"/>
  <c r="AS23" i="1"/>
  <c r="AU23" i="1" s="1"/>
  <c r="EH145" i="1"/>
  <c r="EF121" i="1"/>
  <c r="EF117" i="1"/>
  <c r="EF191" i="1"/>
  <c r="EF71" i="1"/>
  <c r="EF147" i="1"/>
  <c r="EF157" i="1"/>
  <c r="EF132" i="1"/>
  <c r="EF167" i="1"/>
  <c r="EF86" i="1"/>
  <c r="EF88" i="1"/>
  <c r="EF93" i="1"/>
  <c r="EF7" i="1"/>
  <c r="EF185" i="1"/>
  <c r="EF84" i="1"/>
  <c r="EF168" i="1"/>
  <c r="EF54" i="1"/>
  <c r="EF186" i="1"/>
  <c r="EF113" i="1"/>
  <c r="EF42" i="1"/>
  <c r="EF174" i="1"/>
  <c r="EF133" i="1"/>
  <c r="EF82" i="1"/>
  <c r="EF12" i="1"/>
  <c r="EF3" i="1"/>
  <c r="EF169" i="1"/>
  <c r="EF30" i="1"/>
  <c r="EF152" i="1"/>
  <c r="EF80" i="1"/>
  <c r="EF45" i="1"/>
  <c r="EF178" i="1"/>
  <c r="EF131" i="1"/>
  <c r="EF124" i="1"/>
  <c r="EF5" i="1"/>
  <c r="EF52" i="1"/>
  <c r="EF68" i="1"/>
  <c r="EF65" i="1"/>
  <c r="EF161" i="1"/>
  <c r="EF196" i="1"/>
  <c r="EF155" i="1"/>
  <c r="EF187" i="1"/>
  <c r="EF53" i="1"/>
  <c r="EF17" i="1"/>
  <c r="EF145" i="1"/>
  <c r="EF165" i="1"/>
  <c r="EF64" i="1"/>
  <c r="EF50" i="1"/>
  <c r="EF129" i="1"/>
  <c r="EF195" i="1"/>
  <c r="EF193" i="1"/>
  <c r="EF164" i="1"/>
  <c r="EF151" i="1"/>
  <c r="EF31" i="1"/>
  <c r="EF180" i="1"/>
  <c r="EF144" i="1"/>
  <c r="EF189" i="1"/>
  <c r="EF190" i="1"/>
  <c r="EF38" i="1"/>
  <c r="EF188" i="1"/>
  <c r="EF125" i="1"/>
  <c r="EF153" i="1"/>
  <c r="EF127" i="1"/>
  <c r="EF109" i="1"/>
  <c r="EF171" i="1"/>
  <c r="EF90" i="1"/>
  <c r="EF184" i="1"/>
  <c r="EF83" i="1"/>
  <c r="EF27" i="1"/>
  <c r="EG131" i="1"/>
  <c r="DF149" i="1"/>
  <c r="EF170" i="1"/>
  <c r="DF181" i="1"/>
  <c r="EY15" i="1"/>
  <c r="EB72" i="1"/>
  <c r="EB181" i="1"/>
  <c r="EB45" i="1"/>
  <c r="EC4" i="1"/>
  <c r="EZ179" i="1"/>
  <c r="EZ152" i="1"/>
  <c r="EG119" i="1"/>
  <c r="EG113" i="1"/>
  <c r="EB106" i="1"/>
  <c r="DL198" i="1"/>
  <c r="EZ186" i="1"/>
  <c r="EY90" i="1"/>
  <c r="EY64" i="1"/>
  <c r="EY173" i="1"/>
  <c r="DO117" i="1"/>
  <c r="FV116" i="1"/>
  <c r="EC187" i="1"/>
  <c r="EP75" i="1"/>
  <c r="FB111" i="1"/>
  <c r="FV111" i="1"/>
  <c r="DN111" i="1"/>
  <c r="EH111" i="1"/>
  <c r="DD111" i="1"/>
  <c r="DB91" i="1"/>
  <c r="DL91" i="1"/>
  <c r="EZ91" i="1"/>
  <c r="FT91" i="1"/>
  <c r="DO141" i="1"/>
  <c r="FD104" i="1"/>
  <c r="FD84" i="1"/>
  <c r="FD93" i="1"/>
  <c r="FD99" i="1"/>
  <c r="FD181" i="1"/>
  <c r="FD185" i="1"/>
  <c r="FD88" i="1"/>
  <c r="FD151" i="1"/>
  <c r="DD97" i="1"/>
  <c r="EH97" i="1"/>
  <c r="DX97" i="1"/>
  <c r="FV97" i="1"/>
  <c r="DN173" i="1"/>
  <c r="DN170" i="1"/>
  <c r="DN144" i="1"/>
  <c r="DN159" i="1"/>
  <c r="DN102" i="1"/>
  <c r="DN130" i="1"/>
  <c r="DN143" i="1"/>
  <c r="DN167" i="1"/>
  <c r="DN45" i="1"/>
  <c r="DN4" i="1"/>
  <c r="DN180" i="1"/>
  <c r="DN17" i="1"/>
  <c r="DN201" i="1"/>
  <c r="DN7" i="1"/>
  <c r="DN31" i="1"/>
  <c r="DN140" i="1"/>
  <c r="DN5" i="1"/>
  <c r="DN171" i="1"/>
  <c r="EP36" i="1"/>
  <c r="EF36" i="1"/>
  <c r="FT36" i="1"/>
  <c r="ED179" i="1"/>
  <c r="ED143" i="1"/>
  <c r="DF92" i="1"/>
  <c r="DC110" i="1"/>
  <c r="DO151" i="1"/>
  <c r="DL162" i="1"/>
  <c r="DL54" i="1"/>
  <c r="DL112" i="1"/>
  <c r="DL94" i="1"/>
  <c r="DL147" i="1"/>
  <c r="DL154" i="1"/>
  <c r="DL191" i="1"/>
  <c r="DL124" i="1"/>
  <c r="DL190" i="1"/>
  <c r="DL27" i="1"/>
  <c r="DL166" i="1"/>
  <c r="DL175" i="1"/>
  <c r="DL155" i="1"/>
  <c r="DL80" i="1"/>
  <c r="DL110" i="1"/>
  <c r="DL64" i="1"/>
  <c r="DL172" i="1"/>
  <c r="DL83" i="1"/>
  <c r="DL181" i="1"/>
  <c r="DL104" i="1"/>
  <c r="DL157" i="1"/>
  <c r="DL177" i="1"/>
  <c r="DL152" i="1"/>
  <c r="DL70" i="1"/>
  <c r="DL20" i="1"/>
  <c r="DL165" i="1"/>
  <c r="DL53" i="1"/>
  <c r="DL137" i="1"/>
  <c r="DL184" i="1"/>
  <c r="DL144" i="1"/>
  <c r="DL43" i="1"/>
  <c r="DL150" i="1"/>
  <c r="DL143" i="1"/>
  <c r="DL3" i="1"/>
  <c r="DL131" i="1"/>
  <c r="DL189" i="1"/>
  <c r="DL100" i="1"/>
  <c r="DL56" i="1"/>
  <c r="DL38" i="1"/>
  <c r="DL200" i="1"/>
  <c r="DL194" i="1"/>
  <c r="DL146" i="1"/>
  <c r="DL185" i="1"/>
  <c r="DL153" i="1"/>
  <c r="DL173" i="1"/>
  <c r="DL205" i="1"/>
  <c r="DL90" i="1"/>
  <c r="DL178" i="1"/>
  <c r="DL105" i="1"/>
  <c r="DL111" i="1"/>
  <c r="DL44" i="1"/>
  <c r="DL159" i="1"/>
  <c r="DL171" i="1"/>
  <c r="DL123" i="1"/>
  <c r="DL55" i="1"/>
  <c r="DL158" i="1"/>
  <c r="DL139" i="1"/>
  <c r="DL176" i="1"/>
  <c r="DL180" i="1"/>
  <c r="DL170" i="1"/>
  <c r="DL127" i="1"/>
  <c r="DL93" i="1"/>
  <c r="DL132" i="1"/>
  <c r="DL5" i="1"/>
  <c r="DL73" i="1"/>
  <c r="DL62" i="1"/>
  <c r="DL142" i="1"/>
  <c r="DL114" i="1"/>
  <c r="DL69" i="1"/>
  <c r="DL98" i="1"/>
  <c r="DL8" i="1"/>
  <c r="DL37" i="1"/>
  <c r="DL193" i="1"/>
  <c r="DL71" i="1"/>
  <c r="DL201" i="1"/>
  <c r="DL4" i="1"/>
  <c r="DL197" i="1"/>
  <c r="DL141" i="1"/>
  <c r="DL106" i="1"/>
  <c r="DL95" i="1"/>
  <c r="DL24" i="1"/>
  <c r="DL121" i="1"/>
  <c r="DL188" i="1"/>
  <c r="DL125" i="1"/>
  <c r="DL148" i="1"/>
  <c r="DL133" i="1"/>
  <c r="DL99" i="1"/>
  <c r="DL199" i="1"/>
  <c r="DL42" i="1"/>
  <c r="DL129" i="1"/>
  <c r="DL23" i="1"/>
  <c r="DL183" i="1"/>
  <c r="DL134" i="1"/>
  <c r="DL59" i="1"/>
  <c r="DL160" i="1"/>
  <c r="DL82" i="1"/>
  <c r="DL192" i="1"/>
  <c r="DL103" i="1"/>
  <c r="DL167" i="1"/>
  <c r="DL101" i="1"/>
  <c r="DL35" i="1"/>
  <c r="DL102" i="1"/>
  <c r="DL72" i="1"/>
  <c r="DL186" i="1"/>
  <c r="DL12" i="1"/>
  <c r="DL128" i="1"/>
  <c r="DL174" i="1"/>
  <c r="DL16" i="1"/>
  <c r="DL195" i="1"/>
  <c r="DL52" i="1"/>
  <c r="DL96" i="1"/>
  <c r="DL169" i="1"/>
  <c r="DL117" i="1"/>
  <c r="DL179" i="1"/>
  <c r="DL65" i="1"/>
  <c r="DL31" i="1"/>
  <c r="DL77" i="1"/>
  <c r="DL29" i="1"/>
  <c r="DL168" i="1"/>
  <c r="DL164" i="1"/>
  <c r="DL196" i="1"/>
  <c r="DL51" i="1"/>
  <c r="DL86" i="1"/>
  <c r="EZ76" i="1"/>
  <c r="EF10" i="1"/>
  <c r="DC195" i="1"/>
  <c r="DL149" i="1"/>
  <c r="DL203" i="1"/>
  <c r="ED73" i="1"/>
  <c r="EF6" i="1"/>
  <c r="EF114" i="1"/>
  <c r="ED112" i="1"/>
  <c r="DF117" i="1"/>
  <c r="DF31" i="1"/>
  <c r="EH205" i="1"/>
  <c r="EZ29" i="1"/>
  <c r="ET112" i="1"/>
  <c r="EC195" i="1"/>
  <c r="DK150" i="1"/>
  <c r="AT164" i="1"/>
  <c r="EY81" i="1"/>
  <c r="EF55" i="1"/>
  <c r="ED51" i="1"/>
  <c r="ED8" i="1"/>
  <c r="DF142" i="1"/>
  <c r="DF157" i="1"/>
  <c r="EB192" i="1"/>
  <c r="EG181" i="1"/>
  <c r="ED198" i="1"/>
  <c r="AT7" i="1"/>
  <c r="EC153" i="1"/>
  <c r="EY186" i="1"/>
  <c r="FD176" i="1"/>
  <c r="EF146" i="1"/>
  <c r="EF135" i="1"/>
  <c r="EF51" i="1"/>
  <c r="EF197" i="1"/>
  <c r="ED82" i="1"/>
  <c r="ED50" i="1"/>
  <c r="DF65" i="1"/>
  <c r="EH12" i="1"/>
  <c r="DF72" i="1"/>
  <c r="EJ157" i="1"/>
  <c r="EG29" i="1"/>
  <c r="L17" i="1"/>
  <c r="DF169" i="1"/>
  <c r="DF138" i="1"/>
  <c r="EH69" i="1"/>
  <c r="EG177" i="1"/>
  <c r="EH126" i="1"/>
  <c r="FX133" i="1"/>
  <c r="ED140" i="1"/>
  <c r="DK31" i="1"/>
  <c r="EG77" i="1"/>
  <c r="DL11" i="1"/>
  <c r="EB50" i="1"/>
  <c r="CX37" i="1"/>
  <c r="EZ20" i="1"/>
  <c r="EZ98" i="1"/>
  <c r="EG161" i="1"/>
  <c r="EG51" i="1"/>
  <c r="EB81" i="1"/>
  <c r="EY62" i="1"/>
  <c r="DO96" i="1"/>
  <c r="DO122" i="1"/>
  <c r="EC188" i="1"/>
  <c r="DC119" i="1"/>
  <c r="AT160" i="1"/>
  <c r="DL156" i="1"/>
  <c r="CX193" i="1"/>
  <c r="DO54" i="1"/>
  <c r="DO127" i="1"/>
  <c r="DO194" i="1"/>
  <c r="DO167" i="1"/>
  <c r="DO137" i="1"/>
  <c r="DO128" i="1"/>
  <c r="DO130" i="1"/>
  <c r="DO123" i="1"/>
  <c r="DO56" i="1"/>
  <c r="DO95" i="1"/>
  <c r="DO147" i="1"/>
  <c r="DO68" i="1"/>
  <c r="DO196" i="1"/>
  <c r="DO200" i="1"/>
  <c r="DO162" i="1"/>
  <c r="DO15" i="1"/>
  <c r="DO116" i="1"/>
  <c r="DO73" i="1"/>
  <c r="DO67" i="1"/>
  <c r="DO158" i="1"/>
  <c r="DO107" i="1"/>
  <c r="DO76" i="1"/>
  <c r="DO155" i="1"/>
  <c r="DO170" i="1"/>
  <c r="DO184" i="1"/>
  <c r="DO80" i="1"/>
  <c r="DO69" i="1"/>
  <c r="DO79" i="1"/>
  <c r="DO31" i="1"/>
  <c r="DO25" i="1"/>
  <c r="DO148" i="1"/>
  <c r="DO46" i="1"/>
  <c r="DO174" i="1"/>
  <c r="DO59" i="1"/>
  <c r="DO177" i="1"/>
  <c r="DO193" i="1"/>
  <c r="DO164" i="1"/>
  <c r="DO5" i="1"/>
  <c r="DO139" i="1"/>
  <c r="DO186" i="1"/>
  <c r="DO120" i="1"/>
  <c r="DO138" i="1"/>
  <c r="DO11" i="1"/>
  <c r="DO190" i="1"/>
  <c r="DO171" i="1"/>
  <c r="DO152" i="1"/>
  <c r="DO102" i="1"/>
  <c r="DO108" i="1"/>
  <c r="DO70" i="1"/>
  <c r="DO197" i="1"/>
  <c r="DO172" i="1"/>
  <c r="DO8" i="1"/>
  <c r="DO84" i="1"/>
  <c r="DO109" i="1"/>
  <c r="DO71" i="1"/>
  <c r="DO106" i="1"/>
  <c r="DO89" i="1"/>
  <c r="DO4" i="1"/>
  <c r="DO78" i="1"/>
  <c r="DO42" i="1"/>
  <c r="DO124" i="1"/>
  <c r="DO24" i="1"/>
  <c r="DO85" i="1"/>
  <c r="DO61" i="1"/>
  <c r="DO98" i="1"/>
  <c r="DO3" i="1"/>
  <c r="DO161" i="1"/>
  <c r="DO144" i="1"/>
  <c r="DO121" i="1"/>
  <c r="DO114" i="1"/>
  <c r="DO169" i="1"/>
  <c r="DO181" i="1"/>
  <c r="DO182" i="1"/>
  <c r="DO111" i="1"/>
  <c r="DO136" i="1"/>
  <c r="DO165" i="1"/>
  <c r="DO129" i="1"/>
  <c r="DO35" i="1"/>
  <c r="DO7" i="1"/>
  <c r="DO191" i="1"/>
  <c r="DO205" i="1"/>
  <c r="DO12" i="1"/>
  <c r="DO38" i="1"/>
  <c r="DO103" i="1"/>
  <c r="DO64" i="1"/>
  <c r="DO189" i="1"/>
  <c r="DO58" i="1"/>
  <c r="DO75" i="1"/>
  <c r="DO50" i="1"/>
  <c r="DO178" i="1"/>
  <c r="DO201" i="1"/>
  <c r="DO37" i="1"/>
  <c r="DO153" i="1"/>
  <c r="DO112" i="1"/>
  <c r="DO6" i="1"/>
  <c r="DO17" i="1"/>
  <c r="DO77" i="1"/>
  <c r="DO203" i="1"/>
  <c r="DO134" i="1"/>
  <c r="DO150" i="1"/>
  <c r="DO53" i="1"/>
  <c r="DO149" i="1"/>
  <c r="DO118" i="1"/>
  <c r="DO159" i="1"/>
  <c r="DO60" i="1"/>
  <c r="DO52" i="1"/>
  <c r="DO30" i="1"/>
  <c r="DO82" i="1"/>
  <c r="DO104" i="1"/>
  <c r="DO160" i="1"/>
  <c r="DO62" i="1"/>
  <c r="DO163" i="1"/>
  <c r="DO105" i="1"/>
  <c r="DO146" i="1"/>
  <c r="DO27" i="1"/>
  <c r="DO187" i="1"/>
  <c r="DO145" i="1"/>
  <c r="DO202" i="1"/>
  <c r="DO176" i="1"/>
  <c r="DO94" i="1"/>
  <c r="DO29" i="1"/>
  <c r="DO199" i="1"/>
  <c r="DO185" i="1"/>
  <c r="DO188" i="1"/>
  <c r="DO133" i="1"/>
  <c r="DO93" i="1"/>
  <c r="DO90" i="1"/>
  <c r="DO55" i="1"/>
  <c r="DO51" i="1"/>
  <c r="DO183" i="1"/>
  <c r="DO113" i="1"/>
  <c r="DO100" i="1"/>
  <c r="DO119" i="1"/>
  <c r="DO115" i="1"/>
  <c r="DO156" i="1"/>
  <c r="DO168" i="1"/>
  <c r="DO173" i="1"/>
  <c r="DO131" i="1"/>
  <c r="DO142" i="1"/>
  <c r="DO180" i="1"/>
  <c r="EG42" i="1"/>
  <c r="EG191" i="1"/>
  <c r="DO97" i="1"/>
  <c r="EH112" i="1"/>
  <c r="DD112" i="1"/>
  <c r="FB112" i="1"/>
  <c r="EZ89" i="1"/>
  <c r="DB89" i="1"/>
  <c r="FT89" i="1"/>
  <c r="EF89" i="1"/>
  <c r="EC150" i="1"/>
  <c r="DB26" i="1"/>
  <c r="EP26" i="1"/>
  <c r="DL26" i="1"/>
  <c r="ED109" i="1"/>
  <c r="ED38" i="1"/>
  <c r="EH127" i="1"/>
  <c r="DO198" i="1"/>
  <c r="EG64" i="1"/>
  <c r="FV147" i="1"/>
  <c r="L81" i="1"/>
  <c r="AS81" i="1"/>
  <c r="AU81" i="1" s="1"/>
  <c r="ED67" i="1"/>
  <c r="EF149" i="1"/>
  <c r="ED163" i="1"/>
  <c r="L151" i="1"/>
  <c r="L188" i="1"/>
  <c r="AS188" i="1"/>
  <c r="AU188" i="1" s="1"/>
  <c r="DN135" i="1"/>
  <c r="L80" i="1"/>
  <c r="AS80" i="1"/>
  <c r="AU80" i="1" s="1"/>
  <c r="AT80" i="1"/>
  <c r="DF120" i="1"/>
  <c r="EZ124" i="1"/>
  <c r="FB97" i="1"/>
  <c r="EY80" i="1"/>
  <c r="EC3" i="1"/>
  <c r="EF96" i="1"/>
  <c r="EF104" i="1"/>
  <c r="DF171" i="1"/>
  <c r="DF76" i="1"/>
  <c r="EG95" i="1"/>
  <c r="EB159" i="1"/>
  <c r="EY176" i="1"/>
  <c r="DO88" i="1"/>
  <c r="L110" i="1"/>
  <c r="AT110" i="1"/>
  <c r="ED167" i="1"/>
  <c r="EY10" i="1"/>
  <c r="EF160" i="1"/>
  <c r="ED30" i="1"/>
  <c r="EG8" i="1"/>
  <c r="ED60" i="1"/>
  <c r="EZ190" i="1"/>
  <c r="EG80" i="1"/>
  <c r="EG189" i="1"/>
  <c r="EZ196" i="1"/>
  <c r="EB136" i="1"/>
  <c r="EY147" i="1"/>
  <c r="EY49" i="1"/>
  <c r="EY46" i="1"/>
  <c r="CX95" i="1"/>
  <c r="DO65" i="1"/>
  <c r="ED70" i="1"/>
  <c r="EF177" i="1"/>
  <c r="ED118" i="1"/>
  <c r="EH23" i="1"/>
  <c r="L21" i="1"/>
  <c r="DF102" i="1"/>
  <c r="ED98" i="1"/>
  <c r="EG50" i="1"/>
  <c r="AT188" i="1"/>
  <c r="EY204" i="1"/>
  <c r="FD127" i="1"/>
  <c r="EF35" i="1"/>
  <c r="EF103" i="1"/>
  <c r="EF198" i="1"/>
  <c r="EF143" i="1"/>
  <c r="ED66" i="1"/>
  <c r="ED131" i="1"/>
  <c r="FT136" i="1"/>
  <c r="DF201" i="1"/>
  <c r="EZ6" i="1"/>
  <c r="DF122" i="1"/>
  <c r="DF161" i="1"/>
  <c r="DF112" i="1"/>
  <c r="DF91" i="1"/>
  <c r="DF54" i="1"/>
  <c r="EH76" i="1"/>
  <c r="EG188" i="1"/>
  <c r="EW174" i="1"/>
  <c r="ED130" i="1"/>
  <c r="EZ12" i="1"/>
  <c r="DL17" i="1"/>
  <c r="EB141" i="1"/>
  <c r="EZ181" i="1"/>
  <c r="EZ46" i="1"/>
  <c r="EG76" i="1"/>
  <c r="EG198" i="1"/>
  <c r="EG106" i="1"/>
  <c r="EB66" i="1"/>
  <c r="EP91" i="1"/>
  <c r="EY75" i="1"/>
  <c r="DO92" i="1"/>
  <c r="DO83" i="1"/>
  <c r="EC146" i="1"/>
  <c r="EY26" i="1"/>
  <c r="CX35" i="1"/>
  <c r="ET160" i="1"/>
  <c r="DL161" i="1"/>
  <c r="DO101" i="1"/>
  <c r="L131" i="1"/>
  <c r="AT131" i="1"/>
  <c r="AS131" i="1"/>
  <c r="AU131" i="1" s="1"/>
  <c r="EG37" i="1"/>
  <c r="EG174" i="1"/>
  <c r="EP115" i="1"/>
  <c r="DB115" i="1"/>
  <c r="EZ115" i="1"/>
  <c r="FT115" i="1"/>
  <c r="DW157" i="1"/>
  <c r="DW141" i="1"/>
  <c r="DW147" i="1"/>
  <c r="DW10" i="1"/>
  <c r="DW50" i="1"/>
  <c r="DW136" i="1"/>
  <c r="DW3" i="1"/>
  <c r="DW7" i="1"/>
  <c r="DW110" i="1"/>
  <c r="DW146" i="1"/>
  <c r="DW100" i="1"/>
  <c r="DW59" i="1"/>
  <c r="DO99" i="1"/>
  <c r="EH80" i="1"/>
  <c r="DC170" i="1"/>
  <c r="FN131" i="1"/>
  <c r="FN29" i="1"/>
  <c r="FN191" i="1"/>
  <c r="FN170" i="1"/>
  <c r="FN11" i="1"/>
  <c r="FN98" i="1"/>
  <c r="ED64" i="1"/>
  <c r="EG182" i="1"/>
  <c r="FJ129" i="1"/>
  <c r="FJ53" i="1"/>
  <c r="FJ27" i="1"/>
  <c r="FJ128" i="1"/>
  <c r="FJ176" i="1"/>
  <c r="FJ141" i="1"/>
  <c r="FJ67" i="1"/>
  <c r="FJ23" i="1"/>
  <c r="FJ102" i="1"/>
  <c r="FJ175" i="1"/>
  <c r="EC93" i="1"/>
  <c r="EF63" i="1"/>
  <c r="EF159" i="1"/>
  <c r="EG31" i="1"/>
  <c r="DF67" i="1"/>
  <c r="DF175" i="1"/>
  <c r="DF51" i="1"/>
  <c r="FT63" i="1"/>
  <c r="EB148" i="1"/>
  <c r="EC69" i="1"/>
  <c r="EH73" i="1"/>
  <c r="EY16" i="1"/>
  <c r="EB152" i="1"/>
  <c r="EZ197" i="1"/>
  <c r="EZ164" i="1"/>
  <c r="EG171" i="1"/>
  <c r="EG122" i="1"/>
  <c r="EB54" i="1"/>
  <c r="EB155" i="1"/>
  <c r="EC198" i="1"/>
  <c r="DO175" i="1"/>
  <c r="FN159" i="1"/>
  <c r="EY77" i="1"/>
  <c r="DB121" i="1"/>
  <c r="DL7" i="1"/>
  <c r="FB69" i="1"/>
  <c r="DB50" i="1"/>
  <c r="DB179" i="1"/>
  <c r="FB134" i="1"/>
  <c r="EH134" i="1"/>
  <c r="EC52" i="1"/>
  <c r="EH204" i="1"/>
  <c r="FD42" i="1"/>
  <c r="ED42" i="1"/>
  <c r="EC142" i="1"/>
  <c r="L150" i="1"/>
  <c r="AT150" i="1"/>
  <c r="ED116" i="1"/>
  <c r="ED191" i="1"/>
  <c r="EG202" i="1"/>
  <c r="EY125" i="1"/>
  <c r="FD8" i="1"/>
  <c r="EJ8" i="1"/>
  <c r="DZ36" i="1"/>
  <c r="FX36" i="1"/>
  <c r="DF36" i="1"/>
  <c r="DP36" i="1"/>
  <c r="DD145" i="1"/>
  <c r="FV145" i="1"/>
  <c r="DN145" i="1"/>
  <c r="DF78" i="1"/>
  <c r="DW73" i="1"/>
  <c r="AT165" i="1"/>
  <c r="EF172" i="1"/>
  <c r="ED151" i="1"/>
  <c r="DF101" i="1"/>
  <c r="EG11" i="1"/>
  <c r="EF123" i="1"/>
  <c r="ED190" i="1"/>
  <c r="EG103" i="1"/>
  <c r="ED105" i="1"/>
  <c r="EB154" i="1"/>
  <c r="DO44" i="1"/>
  <c r="ED76" i="1"/>
  <c r="ED95" i="1"/>
  <c r="L52" i="1"/>
  <c r="AT52" i="1"/>
  <c r="FB89" i="1"/>
  <c r="FV89" i="1"/>
  <c r="DD89" i="1"/>
  <c r="DN89" i="1"/>
  <c r="EG5" i="1"/>
  <c r="ED56" i="1"/>
  <c r="EG185" i="1"/>
  <c r="DL118" i="1"/>
  <c r="DB118" i="1"/>
  <c r="EZ118" i="1"/>
  <c r="FT118" i="1"/>
  <c r="EP118" i="1"/>
  <c r="ED200" i="1"/>
  <c r="EG195" i="1"/>
  <c r="L132" i="1"/>
  <c r="AT132" i="1"/>
  <c r="EI107" i="1"/>
  <c r="EI23" i="1"/>
  <c r="EI147" i="1"/>
  <c r="DN101" i="1"/>
  <c r="DD101" i="1"/>
  <c r="EH101" i="1"/>
  <c r="EF134" i="1"/>
  <c r="DF165" i="1"/>
  <c r="EG136" i="1"/>
  <c r="L82" i="1"/>
  <c r="AS82" i="1"/>
  <c r="AU82" i="1" s="1"/>
  <c r="AT82" i="1"/>
  <c r="DK107" i="1"/>
  <c r="DK152" i="1"/>
  <c r="DK123" i="1"/>
  <c r="DK30" i="1"/>
  <c r="DK187" i="1"/>
  <c r="DK17" i="1"/>
  <c r="DK27" i="1"/>
  <c r="DK122" i="1"/>
  <c r="DK59" i="1"/>
  <c r="DK23" i="1"/>
  <c r="DK124" i="1"/>
  <c r="DK174" i="1"/>
  <c r="DK115" i="1"/>
  <c r="DK38" i="1"/>
  <c r="DK204" i="1"/>
  <c r="DK108" i="1"/>
  <c r="DK98" i="1"/>
  <c r="DK71" i="1"/>
  <c r="DK128" i="1"/>
  <c r="DK179" i="1"/>
  <c r="DK94" i="1"/>
  <c r="DK164" i="1"/>
  <c r="DK105" i="1"/>
  <c r="DK132" i="1"/>
  <c r="DK146" i="1"/>
  <c r="DK45" i="1"/>
  <c r="DK5" i="1"/>
  <c r="DK183" i="1"/>
  <c r="DK118" i="1"/>
  <c r="DK199" i="1"/>
  <c r="DK120" i="1"/>
  <c r="DK166" i="1"/>
  <c r="DK161" i="1"/>
  <c r="DK106" i="1"/>
  <c r="DK35" i="1"/>
  <c r="DK85" i="1"/>
  <c r="DK142" i="1"/>
  <c r="DK46" i="1"/>
  <c r="DK172" i="1"/>
  <c r="DK147" i="1"/>
  <c r="DK188" i="1"/>
  <c r="DK136" i="1"/>
  <c r="DK79" i="1"/>
  <c r="DK178" i="1"/>
  <c r="DK156" i="1"/>
  <c r="DK102" i="1"/>
  <c r="DK121" i="1"/>
  <c r="DK189" i="1"/>
  <c r="DK143" i="1"/>
  <c r="DK13" i="1"/>
  <c r="DK138" i="1"/>
  <c r="DK149" i="1"/>
  <c r="DK159" i="1"/>
  <c r="DK53" i="1"/>
  <c r="DK61" i="1"/>
  <c r="DK58" i="1"/>
  <c r="DK60" i="1"/>
  <c r="DK55" i="1"/>
  <c r="DK144" i="1"/>
  <c r="DK130" i="1"/>
  <c r="DK125" i="1"/>
  <c r="DK116" i="1"/>
  <c r="DK129" i="1"/>
  <c r="DK99" i="1"/>
  <c r="DK83" i="1"/>
  <c r="DK88" i="1"/>
  <c r="DK104" i="1"/>
  <c r="DK173" i="1"/>
  <c r="DK37" i="1"/>
  <c r="DK3" i="1"/>
  <c r="DK114" i="1"/>
  <c r="DK133" i="1"/>
  <c r="DK26" i="1"/>
  <c r="DK141" i="1"/>
  <c r="DK200" i="1"/>
  <c r="DK134" i="1"/>
  <c r="DK192" i="1"/>
  <c r="DK167" i="1"/>
  <c r="DK175" i="1"/>
  <c r="DK69" i="1"/>
  <c r="DK11" i="1"/>
  <c r="DK113" i="1"/>
  <c r="DK12" i="1"/>
  <c r="DK162" i="1"/>
  <c r="DK82" i="1"/>
  <c r="DK181" i="1"/>
  <c r="DK127" i="1"/>
  <c r="DK70" i="1"/>
  <c r="DK64" i="1"/>
  <c r="DK153" i="1"/>
  <c r="DK66" i="1"/>
  <c r="DK186" i="1"/>
  <c r="DK185" i="1"/>
  <c r="DK196" i="1"/>
  <c r="DK24" i="1"/>
  <c r="DK205" i="1"/>
  <c r="DK103" i="1"/>
  <c r="DK195" i="1"/>
  <c r="DK177" i="1"/>
  <c r="DK151" i="1"/>
  <c r="DK191" i="1"/>
  <c r="DK25" i="1"/>
  <c r="DK89" i="1"/>
  <c r="DK112" i="1"/>
  <c r="DK184" i="1"/>
  <c r="DK163" i="1"/>
  <c r="DK197" i="1"/>
  <c r="DK95" i="1"/>
  <c r="DK62" i="1"/>
  <c r="DK135" i="1"/>
  <c r="DK75" i="1"/>
  <c r="DK56" i="1"/>
  <c r="DK77" i="1"/>
  <c r="DK100" i="1"/>
  <c r="DK194" i="1"/>
  <c r="DK131" i="1"/>
  <c r="DK8" i="1"/>
  <c r="DK76" i="1"/>
  <c r="DK117" i="1"/>
  <c r="DK169" i="1"/>
  <c r="DK101" i="1"/>
  <c r="DK168" i="1"/>
  <c r="DK78" i="1"/>
  <c r="DK90" i="1"/>
  <c r="DK10" i="1"/>
  <c r="DK148" i="1"/>
  <c r="DK137" i="1"/>
  <c r="DK160" i="1"/>
  <c r="DK165" i="1"/>
  <c r="DK154" i="1"/>
  <c r="DK91" i="1"/>
  <c r="DK73" i="1"/>
  <c r="DK193" i="1"/>
  <c r="DK65" i="1"/>
  <c r="DK171" i="1"/>
  <c r="DK20" i="1"/>
  <c r="DK29" i="1"/>
  <c r="DK140" i="1"/>
  <c r="DK16" i="1"/>
  <c r="DK68" i="1"/>
  <c r="DK139" i="1"/>
  <c r="DK43" i="1"/>
  <c r="DK15" i="1"/>
  <c r="DK170" i="1"/>
  <c r="DK81" i="1"/>
  <c r="DK63" i="1"/>
  <c r="DK97" i="1"/>
  <c r="DK51" i="1"/>
  <c r="DK72" i="1"/>
  <c r="DK180" i="1"/>
  <c r="DK155" i="1"/>
  <c r="DK93" i="1"/>
  <c r="DK176" i="1"/>
  <c r="DK109" i="1"/>
  <c r="DK198" i="1"/>
  <c r="DK111" i="1"/>
  <c r="DK110" i="1"/>
  <c r="DK84" i="1"/>
  <c r="DK50" i="1"/>
  <c r="DK145" i="1"/>
  <c r="DK202" i="1"/>
  <c r="DK44" i="1"/>
  <c r="DK6" i="1"/>
  <c r="DK92" i="1"/>
  <c r="DK42" i="1"/>
  <c r="EF23" i="1"/>
  <c r="EH25" i="1"/>
  <c r="DN52" i="1"/>
  <c r="EF73" i="1"/>
  <c r="DC29" i="1"/>
  <c r="DK36" i="1"/>
  <c r="EF156" i="1"/>
  <c r="EH29" i="1"/>
  <c r="DF52" i="1"/>
  <c r="EG144" i="1"/>
  <c r="EY84" i="1"/>
  <c r="EF181" i="1"/>
  <c r="DF147" i="1"/>
  <c r="EB197" i="1"/>
  <c r="ED127" i="1"/>
  <c r="FD194" i="1"/>
  <c r="EF111" i="1"/>
  <c r="EF100" i="1"/>
  <c r="ED35" i="1"/>
  <c r="DF94" i="1"/>
  <c r="DF64" i="1"/>
  <c r="DW198" i="1"/>
  <c r="EZ153" i="1"/>
  <c r="EZ26" i="1"/>
  <c r="EG54" i="1"/>
  <c r="EG4" i="1"/>
  <c r="CX204" i="1"/>
  <c r="EF199" i="1"/>
  <c r="DD110" i="1"/>
  <c r="EY108" i="1"/>
  <c r="FD203" i="1"/>
  <c r="EF154" i="1"/>
  <c r="EF72" i="1"/>
  <c r="EF106" i="1"/>
  <c r="EF166" i="1"/>
  <c r="ED27" i="1"/>
  <c r="DF182" i="1"/>
  <c r="EY3" i="1"/>
  <c r="DF108" i="1"/>
  <c r="EB151" i="1"/>
  <c r="DF173" i="1"/>
  <c r="DF46" i="1"/>
  <c r="ED17" i="1"/>
  <c r="FJ77" i="1"/>
  <c r="FJ56" i="1"/>
  <c r="FT26" i="1"/>
  <c r="EB189" i="1"/>
  <c r="ED175" i="1"/>
  <c r="AT203" i="1"/>
  <c r="EY27" i="1"/>
  <c r="DN30" i="1"/>
  <c r="EB163" i="1"/>
  <c r="CX42" i="1"/>
  <c r="EZ125" i="1"/>
  <c r="EG137" i="1"/>
  <c r="EG108" i="1"/>
  <c r="EB177" i="1"/>
  <c r="EF201" i="1"/>
  <c r="DO125" i="1"/>
  <c r="DO143" i="1"/>
  <c r="DC175" i="1"/>
  <c r="DB43" i="1"/>
  <c r="CX177" i="1"/>
  <c r="DB190" i="1"/>
  <c r="DL67" i="1"/>
  <c r="FB145" i="1"/>
  <c r="DN154" i="1"/>
  <c r="L31" i="1"/>
  <c r="AS31" i="1"/>
  <c r="AU31" i="1" s="1"/>
  <c r="EG167" i="1"/>
  <c r="EG140" i="1"/>
  <c r="EG158" i="1"/>
  <c r="EG105" i="1"/>
  <c r="EG139" i="1"/>
  <c r="EG75" i="1"/>
  <c r="EG123" i="1"/>
  <c r="EG154" i="1"/>
  <c r="EG115" i="1"/>
  <c r="EG132" i="1"/>
  <c r="EG72" i="1"/>
  <c r="EG38" i="1"/>
  <c r="EG146" i="1"/>
  <c r="EG169" i="1"/>
  <c r="EG114" i="1"/>
  <c r="EG59" i="1"/>
  <c r="EG96" i="1"/>
  <c r="EG201" i="1"/>
  <c r="EG178" i="1"/>
  <c r="EG49" i="1"/>
  <c r="EG134" i="1"/>
  <c r="EG100" i="1"/>
  <c r="EG200" i="1"/>
  <c r="EG157" i="1"/>
  <c r="EG124" i="1"/>
  <c r="EG73" i="1"/>
  <c r="EG120" i="1"/>
  <c r="EG26" i="1"/>
  <c r="EG62" i="1"/>
  <c r="EG197" i="1"/>
  <c r="EG148" i="1"/>
  <c r="EG165" i="1"/>
  <c r="EG90" i="1"/>
  <c r="EG109" i="1"/>
  <c r="EG44" i="1"/>
  <c r="EG142" i="1"/>
  <c r="EG129" i="1"/>
  <c r="EG190" i="1"/>
  <c r="EG172" i="1"/>
  <c r="EG25" i="1"/>
  <c r="EG102" i="1"/>
  <c r="EG71" i="1"/>
  <c r="EG130" i="1"/>
  <c r="EG196" i="1"/>
  <c r="EG110" i="1"/>
  <c r="EG78" i="1"/>
  <c r="EG70" i="1"/>
  <c r="EG153" i="1"/>
  <c r="EG138" i="1"/>
  <c r="EG60" i="1"/>
  <c r="EG184" i="1"/>
  <c r="EG149" i="1"/>
  <c r="EG168" i="1"/>
  <c r="EG58" i="1"/>
  <c r="EG89" i="1"/>
  <c r="EG133" i="1"/>
  <c r="EG52" i="1"/>
  <c r="EG84" i="1"/>
  <c r="EG111" i="1"/>
  <c r="EG152" i="1"/>
  <c r="EG99" i="1"/>
  <c r="EG97" i="1"/>
  <c r="EG126" i="1"/>
  <c r="EG69" i="1"/>
  <c r="EG192" i="1"/>
  <c r="EG94" i="1"/>
  <c r="EG203" i="1"/>
  <c r="EG20" i="1"/>
  <c r="EG147" i="1"/>
  <c r="EG88" i="1"/>
  <c r="EG117" i="1"/>
  <c r="EG179" i="1"/>
  <c r="EG67" i="1"/>
  <c r="EG150" i="1"/>
  <c r="EG66" i="1"/>
  <c r="EG164" i="1"/>
  <c r="EG112" i="1"/>
  <c r="EG30" i="1"/>
  <c r="EG151" i="1"/>
  <c r="EG194" i="1"/>
  <c r="EG187" i="1"/>
  <c r="EG82" i="1"/>
  <c r="EG83" i="1"/>
  <c r="EG101" i="1"/>
  <c r="EG145" i="1"/>
  <c r="EG173" i="1"/>
  <c r="EG79" i="1"/>
  <c r="EG27" i="1"/>
  <c r="EG91" i="1"/>
  <c r="EG104" i="1"/>
  <c r="EG116" i="1"/>
  <c r="EG93" i="1"/>
  <c r="EG53" i="1"/>
  <c r="EG6" i="1"/>
  <c r="EG98" i="1"/>
  <c r="EG45" i="1"/>
  <c r="EG205" i="1"/>
  <c r="EG160" i="1"/>
  <c r="EG170" i="1"/>
  <c r="EG156" i="1"/>
  <c r="EG17" i="1"/>
  <c r="EG16" i="1"/>
  <c r="EG55" i="1"/>
  <c r="EG141" i="1"/>
  <c r="EG15" i="1"/>
  <c r="EG183" i="1"/>
  <c r="EG92" i="1"/>
  <c r="EG166" i="1"/>
  <c r="EG3" i="1"/>
  <c r="EG125" i="1"/>
  <c r="EG199" i="1"/>
  <c r="EG7" i="1"/>
  <c r="L115" i="1"/>
  <c r="AS115" i="1"/>
  <c r="AU115" i="1" s="1"/>
  <c r="L162" i="1"/>
  <c r="AS162" i="1"/>
  <c r="AU162" i="1" s="1"/>
  <c r="EC107" i="1"/>
  <c r="EC109" i="1"/>
  <c r="EC71" i="1"/>
  <c r="EC100" i="1"/>
  <c r="EC65" i="1"/>
  <c r="EC132" i="1"/>
  <c r="EC80" i="1"/>
  <c r="EC165" i="1"/>
  <c r="EC117" i="1"/>
  <c r="EC62" i="1"/>
  <c r="EC38" i="1"/>
  <c r="EC76" i="1"/>
  <c r="EC54" i="1"/>
  <c r="EC145" i="1"/>
  <c r="EC130" i="1"/>
  <c r="EC125" i="1"/>
  <c r="EC135" i="1"/>
  <c r="EC197" i="1"/>
  <c r="EC180" i="1"/>
  <c r="EC194" i="1"/>
  <c r="EC175" i="1"/>
  <c r="EC137" i="1"/>
  <c r="EC181" i="1"/>
  <c r="EC45" i="1"/>
  <c r="EC104" i="1"/>
  <c r="EC162" i="1"/>
  <c r="EC161" i="1"/>
  <c r="EC31" i="1"/>
  <c r="EC90" i="1"/>
  <c r="EC156" i="1"/>
  <c r="EC186" i="1"/>
  <c r="EC139" i="1"/>
  <c r="EC204" i="1"/>
  <c r="EC58" i="1"/>
  <c r="EC89" i="1"/>
  <c r="EC67" i="1"/>
  <c r="EC205" i="1"/>
  <c r="EC92" i="1"/>
  <c r="EC72" i="1"/>
  <c r="EC166" i="1"/>
  <c r="EC141" i="1"/>
  <c r="EC134" i="1"/>
  <c r="EC167" i="1"/>
  <c r="EC51" i="1"/>
  <c r="EC179" i="1"/>
  <c r="EC149" i="1"/>
  <c r="EC121" i="1"/>
  <c r="EC164" i="1"/>
  <c r="EC49" i="1"/>
  <c r="EC159" i="1"/>
  <c r="EC120" i="1"/>
  <c r="EC7" i="1"/>
  <c r="EC124" i="1"/>
  <c r="EC61" i="1"/>
  <c r="EC78" i="1"/>
  <c r="EC77" i="1"/>
  <c r="EC59" i="1"/>
  <c r="EC184" i="1"/>
  <c r="EC114" i="1"/>
  <c r="EC105" i="1"/>
  <c r="EC44" i="1"/>
  <c r="EC171" i="1"/>
  <c r="EC97" i="1"/>
  <c r="EC43" i="1"/>
  <c r="EC152" i="1"/>
  <c r="EC82" i="1"/>
  <c r="EC12" i="1"/>
  <c r="EC140" i="1"/>
  <c r="EC203" i="1"/>
  <c r="EC201" i="1"/>
  <c r="EC98" i="1"/>
  <c r="EC163" i="1"/>
  <c r="EC147" i="1"/>
  <c r="EC102" i="1"/>
  <c r="EC158" i="1"/>
  <c r="EC173" i="1"/>
  <c r="EC202" i="1"/>
  <c r="EC99" i="1"/>
  <c r="EC174" i="1"/>
  <c r="EC5" i="1"/>
  <c r="EC96" i="1"/>
  <c r="EC191" i="1"/>
  <c r="EC95" i="1"/>
  <c r="EC112" i="1"/>
  <c r="EC110" i="1"/>
  <c r="EC36" i="1"/>
  <c r="EC83" i="1"/>
  <c r="EC196" i="1"/>
  <c r="EC190" i="1"/>
  <c r="EC115" i="1"/>
  <c r="EC157" i="1"/>
  <c r="EC29" i="1"/>
  <c r="EC143" i="1"/>
  <c r="EC178" i="1"/>
  <c r="EC42" i="1"/>
  <c r="EC176" i="1"/>
  <c r="EC68" i="1"/>
  <c r="EC64" i="1"/>
  <c r="EC56" i="1"/>
  <c r="EC136" i="1"/>
  <c r="EC10" i="1"/>
  <c r="EC160" i="1"/>
  <c r="EC106" i="1"/>
  <c r="EC199" i="1"/>
  <c r="EC8" i="1"/>
  <c r="EC94" i="1"/>
  <c r="EC182" i="1"/>
  <c r="EC168" i="1"/>
  <c r="EC16" i="1"/>
  <c r="EC185" i="1"/>
  <c r="EC155" i="1"/>
  <c r="EC119" i="1"/>
  <c r="EC27" i="1"/>
  <c r="EC169" i="1"/>
  <c r="EC6" i="1"/>
  <c r="EC66" i="1"/>
  <c r="EC55" i="1"/>
  <c r="EC53" i="1"/>
  <c r="EC15" i="1"/>
  <c r="EC11" i="1"/>
  <c r="EC88" i="1"/>
  <c r="EC70" i="1"/>
  <c r="EC189" i="1"/>
  <c r="EC123" i="1"/>
  <c r="EC84" i="1"/>
  <c r="EC122" i="1"/>
  <c r="EC73" i="1"/>
  <c r="EC60" i="1"/>
  <c r="EC103" i="1"/>
  <c r="EC20" i="1"/>
  <c r="EC183" i="1"/>
  <c r="EC118" i="1"/>
  <c r="EC85" i="1"/>
  <c r="EC113" i="1"/>
  <c r="EC127" i="1"/>
  <c r="EC148" i="1"/>
  <c r="EC129" i="1"/>
  <c r="EC138" i="1"/>
  <c r="EC128" i="1"/>
  <c r="EC101" i="1"/>
  <c r="EC75" i="1"/>
  <c r="EC35" i="1"/>
  <c r="EC17" i="1"/>
  <c r="EC91" i="1"/>
  <c r="EC111" i="1"/>
  <c r="EG163" i="1"/>
  <c r="DW129" i="1"/>
  <c r="DO91" i="1"/>
  <c r="DB63" i="1"/>
  <c r="DF49" i="1"/>
  <c r="DF144" i="1"/>
  <c r="DF128" i="1"/>
  <c r="DF188" i="1"/>
  <c r="DF97" i="1"/>
  <c r="DF56" i="1"/>
  <c r="DF104" i="1"/>
  <c r="DF137" i="1"/>
  <c r="DF146" i="1"/>
  <c r="DF166" i="1"/>
  <c r="DF93" i="1"/>
  <c r="DF60" i="1"/>
  <c r="DF86" i="1"/>
  <c r="DF82" i="1"/>
  <c r="DF99" i="1"/>
  <c r="DF189" i="1"/>
  <c r="DF77" i="1"/>
  <c r="DF59" i="1"/>
  <c r="DF88" i="1"/>
  <c r="DF191" i="1"/>
  <c r="DF80" i="1"/>
  <c r="DF10" i="1"/>
  <c r="DF37" i="1"/>
  <c r="DF70" i="1"/>
  <c r="DF27" i="1"/>
  <c r="DF192" i="1"/>
  <c r="DF139" i="1"/>
  <c r="DF69" i="1"/>
  <c r="DF118" i="1"/>
  <c r="DF172" i="1"/>
  <c r="DF130" i="1"/>
  <c r="DF148" i="1"/>
  <c r="DF38" i="1"/>
  <c r="DF58" i="1"/>
  <c r="DF198" i="1"/>
  <c r="DF15" i="1"/>
  <c r="DF163" i="1"/>
  <c r="DF100" i="1"/>
  <c r="DF124" i="1"/>
  <c r="DF152" i="1"/>
  <c r="DF167" i="1"/>
  <c r="DF183" i="1"/>
  <c r="DF202" i="1"/>
  <c r="DF103" i="1"/>
  <c r="DF185" i="1"/>
  <c r="DF24" i="1"/>
  <c r="DF151" i="1"/>
  <c r="DF66" i="1"/>
  <c r="DF176" i="1"/>
  <c r="DF203" i="1"/>
  <c r="DF162" i="1"/>
  <c r="DF42" i="1"/>
  <c r="DF50" i="1"/>
  <c r="DF204" i="1"/>
  <c r="DF96" i="1"/>
  <c r="DF71" i="1"/>
  <c r="DF55" i="1"/>
  <c r="DF178" i="1"/>
  <c r="DF126" i="1"/>
  <c r="DF45" i="1"/>
  <c r="DF35" i="1"/>
  <c r="DF195" i="1"/>
  <c r="DF116" i="1"/>
  <c r="DF109" i="1"/>
  <c r="DF132" i="1"/>
  <c r="DF190" i="1"/>
  <c r="DF110" i="1"/>
  <c r="DF23" i="1"/>
  <c r="DF141" i="1"/>
  <c r="DF12" i="1"/>
  <c r="DF113" i="1"/>
  <c r="DF134" i="1"/>
  <c r="DF30" i="1"/>
  <c r="DF156" i="1"/>
  <c r="DF131" i="1"/>
  <c r="DF174" i="1"/>
  <c r="DF16" i="1"/>
  <c r="DF153" i="1"/>
  <c r="DF90" i="1"/>
  <c r="DF205" i="1"/>
  <c r="DF83" i="1"/>
  <c r="DF184" i="1"/>
  <c r="DF95" i="1"/>
  <c r="DF7" i="1"/>
  <c r="EF20" i="1"/>
  <c r="EG43" i="1"/>
  <c r="ED96" i="1"/>
  <c r="L191" i="1"/>
  <c r="AT191" i="1"/>
  <c r="AS191" i="1"/>
  <c r="AU191" i="1" s="1"/>
  <c r="EZ73" i="1"/>
  <c r="EZ17" i="1"/>
  <c r="EZ156" i="1"/>
  <c r="EZ171" i="1"/>
  <c r="EZ144" i="1"/>
  <c r="EZ148" i="1"/>
  <c r="EZ84" i="1"/>
  <c r="EZ23" i="1"/>
  <c r="EZ141" i="1"/>
  <c r="EZ203" i="1"/>
  <c r="EZ113" i="1"/>
  <c r="EZ106" i="1"/>
  <c r="EZ95" i="1"/>
  <c r="EZ184" i="1"/>
  <c r="EZ82" i="1"/>
  <c r="EZ134" i="1"/>
  <c r="EZ191" i="1"/>
  <c r="EZ70" i="1"/>
  <c r="EZ110" i="1"/>
  <c r="EZ5" i="1"/>
  <c r="EZ129" i="1"/>
  <c r="EZ127" i="1"/>
  <c r="EZ61" i="1"/>
  <c r="EZ102" i="1"/>
  <c r="EZ55" i="1"/>
  <c r="EZ147" i="1"/>
  <c r="EZ160" i="1"/>
  <c r="EZ52" i="1"/>
  <c r="EZ137" i="1"/>
  <c r="EZ195" i="1"/>
  <c r="EZ99" i="1"/>
  <c r="EZ109" i="1"/>
  <c r="EZ30" i="1"/>
  <c r="EZ56" i="1"/>
  <c r="EZ8" i="1"/>
  <c r="EZ54" i="1"/>
  <c r="EZ139" i="1"/>
  <c r="EZ173" i="1"/>
  <c r="EZ170" i="1"/>
  <c r="EZ150" i="1"/>
  <c r="EZ31" i="1"/>
  <c r="EZ151" i="1"/>
  <c r="EZ128" i="1"/>
  <c r="EZ77" i="1"/>
  <c r="EZ4" i="1"/>
  <c r="EZ69" i="1"/>
  <c r="EZ24" i="1"/>
  <c r="EZ59" i="1"/>
  <c r="EZ143" i="1"/>
  <c r="EZ62" i="1"/>
  <c r="EZ199" i="1"/>
  <c r="EZ114" i="1"/>
  <c r="EZ83" i="1"/>
  <c r="EZ16" i="1"/>
  <c r="EZ145" i="1"/>
  <c r="EZ100" i="1"/>
  <c r="EZ180" i="1"/>
  <c r="EZ51" i="1"/>
  <c r="EZ166" i="1"/>
  <c r="EZ65" i="1"/>
  <c r="EZ71" i="1"/>
  <c r="EZ7" i="1"/>
  <c r="EZ72" i="1"/>
  <c r="EZ142" i="1"/>
  <c r="EZ158" i="1"/>
  <c r="EZ96" i="1"/>
  <c r="EZ149" i="1"/>
  <c r="EZ177" i="1"/>
  <c r="EZ178" i="1"/>
  <c r="EZ105" i="1"/>
  <c r="EZ50" i="1"/>
  <c r="EZ133" i="1"/>
  <c r="EZ68" i="1"/>
  <c r="EZ175" i="1"/>
  <c r="EZ94" i="1"/>
  <c r="EZ132" i="1"/>
  <c r="EZ185" i="1"/>
  <c r="EZ162" i="1"/>
  <c r="EZ27" i="1"/>
  <c r="EZ80" i="1"/>
  <c r="EZ193" i="1"/>
  <c r="EZ159" i="1"/>
  <c r="EZ157" i="1"/>
  <c r="EZ172" i="1"/>
  <c r="EZ104" i="1"/>
  <c r="EZ86" i="1"/>
  <c r="EZ3" i="1"/>
  <c r="EZ174" i="1"/>
  <c r="EZ183" i="1"/>
  <c r="EZ64" i="1"/>
  <c r="EZ188" i="1"/>
  <c r="EZ11" i="1"/>
  <c r="EZ10" i="1"/>
  <c r="EZ88" i="1"/>
  <c r="EZ131" i="1"/>
  <c r="EZ155" i="1"/>
  <c r="EZ154" i="1"/>
  <c r="EZ43" i="1"/>
  <c r="ED71" i="1"/>
  <c r="DF187" i="1"/>
  <c r="L137" i="1"/>
  <c r="AS137" i="1"/>
  <c r="AU137" i="1" s="1"/>
  <c r="ED135" i="1"/>
  <c r="EF139" i="1"/>
  <c r="EH119" i="1"/>
  <c r="EB190" i="1"/>
  <c r="EY192" i="1"/>
  <c r="AT31" i="1"/>
  <c r="EB12" i="1"/>
  <c r="DF114" i="1"/>
  <c r="EH68" i="1"/>
  <c r="ED188" i="1"/>
  <c r="ED3" i="1"/>
  <c r="DC23" i="1"/>
  <c r="EZ165" i="1"/>
  <c r="DC186" i="1"/>
  <c r="DO81" i="1"/>
  <c r="AS204" i="1"/>
  <c r="AU204" i="1" s="1"/>
  <c r="FD38" i="1"/>
  <c r="EF118" i="1"/>
  <c r="EF142" i="1"/>
  <c r="ED11" i="1"/>
  <c r="DF170" i="1"/>
  <c r="DF197" i="1"/>
  <c r="AT81" i="1"/>
  <c r="EY104" i="1"/>
  <c r="EF67" i="1"/>
  <c r="EF37" i="1"/>
  <c r="ED126" i="1"/>
  <c r="DF127" i="1"/>
  <c r="EJ30" i="1"/>
  <c r="DF53" i="1"/>
  <c r="EB188" i="1"/>
  <c r="EC116" i="1"/>
  <c r="DM157" i="1"/>
  <c r="ED36" i="1"/>
  <c r="FN37" i="1"/>
  <c r="EJ77" i="1"/>
  <c r="EY20" i="1"/>
  <c r="DO23" i="1"/>
  <c r="EB63" i="1"/>
  <c r="EG193" i="1"/>
  <c r="EB178" i="1"/>
  <c r="DO16" i="1"/>
  <c r="ET24" i="1"/>
  <c r="EC30" i="1"/>
  <c r="DB187" i="1"/>
  <c r="DL84" i="1"/>
  <c r="AS102" i="1"/>
  <c r="AU102" i="1" s="1"/>
  <c r="EY44" i="1"/>
  <c r="FD123" i="1"/>
  <c r="EF194" i="1"/>
  <c r="EF94" i="1"/>
  <c r="EF4" i="1"/>
  <c r="EF95" i="1"/>
  <c r="ED75" i="1"/>
  <c r="ED173" i="1"/>
  <c r="DF105" i="1"/>
  <c r="EB23" i="1"/>
  <c r="DF89" i="1"/>
  <c r="EG35" i="1"/>
  <c r="DF61" i="1"/>
  <c r="DF8" i="1"/>
  <c r="DF135" i="1"/>
  <c r="ED157" i="1"/>
  <c r="DO10" i="1"/>
  <c r="EY29" i="1"/>
  <c r="EB150" i="1"/>
  <c r="EB195" i="1"/>
  <c r="EZ163" i="1"/>
  <c r="EZ189" i="1"/>
  <c r="EG118" i="1"/>
  <c r="EB158" i="1"/>
  <c r="DL204" i="1"/>
  <c r="AT170" i="1"/>
  <c r="EY96" i="1"/>
  <c r="DO20" i="1"/>
  <c r="EC126" i="1"/>
  <c r="DC158" i="1"/>
  <c r="DL187" i="1"/>
  <c r="DW152" i="1"/>
  <c r="DL113" i="1"/>
  <c r="DO195" i="1"/>
  <c r="DC171" i="1"/>
  <c r="DB4" i="1"/>
  <c r="DK54" i="1"/>
  <c r="DN85" i="1"/>
  <c r="DO86" i="1"/>
  <c r="DB85" i="1"/>
  <c r="DN25" i="1"/>
  <c r="EH46" i="1"/>
  <c r="DN10" i="1"/>
  <c r="EH24" i="1"/>
  <c r="EH188" i="1"/>
  <c r="DN12" i="1"/>
  <c r="EH62" i="1"/>
  <c r="EJ85" i="1"/>
  <c r="CX26" i="1"/>
  <c r="DN197" i="1"/>
  <c r="DN23" i="1"/>
  <c r="DB60" i="1"/>
  <c r="DN150" i="1"/>
  <c r="DN161" i="1"/>
  <c r="DB106" i="1"/>
  <c r="DN122" i="1"/>
  <c r="DX129" i="1"/>
  <c r="DN120" i="1"/>
  <c r="DB81" i="1"/>
  <c r="EW67" i="1"/>
  <c r="AS205" i="1"/>
  <c r="AU205" i="1" s="1"/>
  <c r="FV188" i="1"/>
  <c r="FB188" i="1"/>
  <c r="DN188" i="1"/>
  <c r="DV189" i="1"/>
  <c r="EW130" i="1"/>
  <c r="EW83" i="1"/>
  <c r="FD180" i="1"/>
  <c r="EV46" i="1"/>
  <c r="EI174" i="1"/>
  <c r="AT125" i="1"/>
  <c r="AT196" i="1"/>
  <c r="AT205" i="1"/>
  <c r="AS196" i="1"/>
  <c r="AU196" i="1" s="1"/>
  <c r="FD26" i="1"/>
  <c r="EV132" i="1"/>
  <c r="AT71" i="1"/>
  <c r="DS198" i="1"/>
  <c r="EJ13" i="1"/>
  <c r="FX13" i="1"/>
  <c r="L15" i="1"/>
  <c r="AT15" i="1"/>
  <c r="L195" i="1"/>
  <c r="AT195" i="1"/>
  <c r="FG117" i="1"/>
  <c r="FG104" i="1"/>
  <c r="FG173" i="1"/>
  <c r="FG114" i="1"/>
  <c r="FG89" i="1"/>
  <c r="FG111" i="1"/>
  <c r="FG202" i="1"/>
  <c r="FG186" i="1"/>
  <c r="FG195" i="1"/>
  <c r="FG99" i="1"/>
  <c r="FG4" i="1"/>
  <c r="DX193" i="1"/>
  <c r="DN193" i="1"/>
  <c r="FV193" i="1"/>
  <c r="FV53" i="1"/>
  <c r="EH53" i="1"/>
  <c r="DD53" i="1"/>
  <c r="DX53" i="1"/>
  <c r="DD205" i="1"/>
  <c r="FV205" i="1"/>
  <c r="DX191" i="1"/>
  <c r="FV191" i="1"/>
  <c r="FB204" i="1"/>
  <c r="FV204" i="1"/>
  <c r="DN204" i="1"/>
  <c r="DD204" i="1"/>
  <c r="DN163" i="1"/>
  <c r="EH163" i="1"/>
  <c r="DD163" i="1"/>
  <c r="DX163" i="1"/>
  <c r="FV163" i="1"/>
  <c r="FB163" i="1"/>
  <c r="EH91" i="1"/>
  <c r="DD91" i="1"/>
  <c r="FB91" i="1"/>
  <c r="DN91" i="1"/>
  <c r="FV91" i="1"/>
  <c r="DX91" i="1"/>
  <c r="DX196" i="1"/>
  <c r="FV196" i="1"/>
  <c r="DD203" i="1"/>
  <c r="DX203" i="1"/>
  <c r="DN203" i="1"/>
  <c r="FB203" i="1"/>
  <c r="EH203" i="1"/>
  <c r="DN64" i="1"/>
  <c r="FB64" i="1"/>
  <c r="EH139" i="1"/>
  <c r="DN139" i="1"/>
  <c r="DX58" i="1"/>
  <c r="FV58" i="1"/>
  <c r="DN186" i="1"/>
  <c r="FB186" i="1"/>
  <c r="DN94" i="1"/>
  <c r="EH94" i="1"/>
  <c r="FV94" i="1"/>
  <c r="FB132" i="1"/>
  <c r="FV132" i="1"/>
  <c r="L134" i="1"/>
  <c r="AT134" i="1"/>
  <c r="DX124" i="1"/>
  <c r="FV124" i="1"/>
  <c r="AS135" i="1"/>
  <c r="AU135" i="1" s="1"/>
  <c r="AT135" i="1"/>
  <c r="L154" i="1"/>
  <c r="AT154" i="1"/>
  <c r="AS154" i="1"/>
  <c r="AU154" i="1" s="1"/>
  <c r="L94" i="1"/>
  <c r="AS94" i="1"/>
  <c r="AU94" i="1" s="1"/>
  <c r="AT130" i="1"/>
  <c r="L130" i="1"/>
  <c r="FB179" i="1"/>
  <c r="FV179" i="1"/>
  <c r="EH179" i="1"/>
  <c r="EP126" i="1"/>
  <c r="EZ126" i="1"/>
  <c r="ET52" i="1"/>
  <c r="ET15" i="1"/>
  <c r="ET111" i="1"/>
  <c r="ET44" i="1"/>
  <c r="ET78" i="1"/>
  <c r="ET59" i="1"/>
  <c r="ET113" i="1"/>
  <c r="ET186" i="1"/>
  <c r="ET176" i="1"/>
  <c r="ET171" i="1"/>
  <c r="ET125" i="1"/>
  <c r="ET192" i="1"/>
  <c r="ET96" i="1"/>
  <c r="ET65" i="1"/>
  <c r="ET77" i="1"/>
  <c r="ET194" i="1"/>
  <c r="ET46" i="1"/>
  <c r="ET148" i="1"/>
  <c r="ET53" i="1"/>
  <c r="ET135" i="1"/>
  <c r="ET124" i="1"/>
  <c r="ET75" i="1"/>
  <c r="ET84" i="1"/>
  <c r="ET152" i="1"/>
  <c r="ET91" i="1"/>
  <c r="ET164" i="1"/>
  <c r="ET26" i="1"/>
  <c r="ET168" i="1"/>
  <c r="ET158" i="1"/>
  <c r="ET110" i="1"/>
  <c r="ET169" i="1"/>
  <c r="ET172" i="1"/>
  <c r="ET161" i="1"/>
  <c r="ET146" i="1"/>
  <c r="ET94" i="1"/>
  <c r="ET80" i="1"/>
  <c r="ET163" i="1"/>
  <c r="ET98" i="1"/>
  <c r="ET29" i="1"/>
  <c r="ET89" i="1"/>
  <c r="ET150" i="1"/>
  <c r="ET126" i="1"/>
  <c r="ET23" i="1"/>
  <c r="ET181" i="1"/>
  <c r="ET153" i="1"/>
  <c r="ET188" i="1"/>
  <c r="ET16" i="1"/>
  <c r="ET187" i="1"/>
  <c r="ET83" i="1"/>
  <c r="ET97" i="1"/>
  <c r="ET197" i="1"/>
  <c r="ET141" i="1"/>
  <c r="ET123" i="1"/>
  <c r="ET72" i="1"/>
  <c r="ET189" i="1"/>
  <c r="ET134" i="1"/>
  <c r="ET142" i="1"/>
  <c r="ET128" i="1"/>
  <c r="ET104" i="1"/>
  <c r="ET69" i="1"/>
  <c r="ET11" i="1"/>
  <c r="ET119" i="1"/>
  <c r="ET204" i="1"/>
  <c r="ET64" i="1"/>
  <c r="ET102" i="1"/>
  <c r="ET203" i="1"/>
  <c r="ET31" i="1"/>
  <c r="ET118" i="1"/>
  <c r="ET55" i="1"/>
  <c r="ET200" i="1"/>
  <c r="ET167" i="1"/>
  <c r="ET109" i="1"/>
  <c r="ET20" i="1"/>
  <c r="ET177" i="1"/>
  <c r="ET82" i="1"/>
  <c r="ET202" i="1"/>
  <c r="ET42" i="1"/>
  <c r="ET138" i="1"/>
  <c r="ET56" i="1"/>
  <c r="ET5" i="1"/>
  <c r="ET178" i="1"/>
  <c r="ET122" i="1"/>
  <c r="ET114" i="1"/>
  <c r="ET143" i="1"/>
  <c r="ET162" i="1"/>
  <c r="ET30" i="1"/>
  <c r="ET170" i="1"/>
  <c r="ET38" i="1"/>
  <c r="ET190" i="1"/>
  <c r="ET105" i="1"/>
  <c r="ET193" i="1"/>
  <c r="ET66" i="1"/>
  <c r="ET88" i="1"/>
  <c r="ET139" i="1"/>
  <c r="ET67" i="1"/>
  <c r="ET68" i="1"/>
  <c r="ET205" i="1"/>
  <c r="ET127" i="1"/>
  <c r="ET174" i="1"/>
  <c r="ET27" i="1"/>
  <c r="ET99" i="1"/>
  <c r="ET156" i="1"/>
  <c r="ET62" i="1"/>
  <c r="ET76" i="1"/>
  <c r="ET180" i="1"/>
  <c r="ET51" i="1"/>
  <c r="ET108" i="1"/>
  <c r="ET183" i="1"/>
  <c r="ET166" i="1"/>
  <c r="ET132" i="1"/>
  <c r="ET49" i="1"/>
  <c r="ET182" i="1"/>
  <c r="ET179" i="1"/>
  <c r="ET116" i="1"/>
  <c r="ET10" i="1"/>
  <c r="ET184" i="1"/>
  <c r="ET36" i="1"/>
  <c r="ET90" i="1"/>
  <c r="ET54" i="1"/>
  <c r="ET12" i="1"/>
  <c r="ET4" i="1"/>
  <c r="ET101" i="1"/>
  <c r="ET35" i="1"/>
  <c r="ET144" i="1"/>
  <c r="ET81" i="1"/>
  <c r="ET7" i="1"/>
  <c r="ET157" i="1"/>
  <c r="ET106" i="1"/>
  <c r="ET103" i="1"/>
  <c r="ET151" i="1"/>
  <c r="ET117" i="1"/>
  <c r="ET154" i="1"/>
  <c r="ET196" i="1"/>
  <c r="ET165" i="1"/>
  <c r="ET61" i="1"/>
  <c r="ET79" i="1"/>
  <c r="ET201" i="1"/>
  <c r="ET147" i="1"/>
  <c r="ET120" i="1"/>
  <c r="ET17" i="1"/>
  <c r="ET191" i="1"/>
  <c r="ET95" i="1"/>
  <c r="ET37" i="1"/>
  <c r="ET195" i="1"/>
  <c r="DL49" i="1"/>
  <c r="EF49" i="1"/>
  <c r="FT49" i="1"/>
  <c r="EZ49" i="1"/>
  <c r="EP49" i="1"/>
  <c r="DL136" i="1"/>
  <c r="DB136" i="1"/>
  <c r="EP136" i="1"/>
  <c r="EZ136" i="1"/>
  <c r="DB97" i="1"/>
  <c r="EP97" i="1"/>
  <c r="EZ97" i="1"/>
  <c r="DB36" i="1"/>
  <c r="EZ36" i="1"/>
  <c r="ED128" i="1"/>
  <c r="ED107" i="1"/>
  <c r="ED103" i="1"/>
  <c r="ED81" i="1"/>
  <c r="ED170" i="1"/>
  <c r="ED189" i="1"/>
  <c r="ED123" i="1"/>
  <c r="ED125" i="1"/>
  <c r="ED158" i="1"/>
  <c r="ED174" i="1"/>
  <c r="ED195" i="1"/>
  <c r="ED117" i="1"/>
  <c r="ED92" i="1"/>
  <c r="ED153" i="1"/>
  <c r="ED136" i="1"/>
  <c r="ED84" i="1"/>
  <c r="ED196" i="1"/>
  <c r="ED184" i="1"/>
  <c r="ED45" i="1"/>
  <c r="ED4" i="1"/>
  <c r="ED193" i="1"/>
  <c r="ED152" i="1"/>
  <c r="DM70" i="1"/>
  <c r="DM79" i="1"/>
  <c r="DM81" i="1"/>
  <c r="DM91" i="1"/>
  <c r="DM187" i="1"/>
  <c r="DM165" i="1"/>
  <c r="DM5" i="1"/>
  <c r="DM124" i="1"/>
  <c r="DM133" i="1"/>
  <c r="DM31" i="1"/>
  <c r="DM182" i="1"/>
  <c r="DM141" i="1"/>
  <c r="DM85" i="1"/>
  <c r="DM148" i="1"/>
  <c r="DM147" i="1"/>
  <c r="DM68" i="1"/>
  <c r="DM185" i="1"/>
  <c r="DM195" i="1"/>
  <c r="DM23" i="1"/>
  <c r="DM166" i="1"/>
  <c r="DM197" i="1"/>
  <c r="DM101" i="1"/>
  <c r="DM120" i="1"/>
  <c r="DM174" i="1"/>
  <c r="DM151" i="1"/>
  <c r="DM20" i="1"/>
  <c r="DM192" i="1"/>
  <c r="DM65" i="1"/>
  <c r="DM72" i="1"/>
  <c r="DM43" i="1"/>
  <c r="DM3" i="1"/>
  <c r="DM190" i="1"/>
  <c r="DM17" i="1"/>
  <c r="DT107" i="1"/>
  <c r="DT204" i="1"/>
  <c r="DT135" i="1"/>
  <c r="DT69" i="1"/>
  <c r="DT67" i="1"/>
  <c r="DT90" i="1"/>
  <c r="DT65" i="1"/>
  <c r="DT158" i="1"/>
  <c r="DT16" i="1"/>
  <c r="DT151" i="1"/>
  <c r="DT5" i="1"/>
  <c r="DT25" i="1"/>
  <c r="DT130" i="1"/>
  <c r="DT6" i="1"/>
  <c r="DT147" i="1"/>
  <c r="DT116" i="1"/>
  <c r="DT4" i="1"/>
  <c r="DT83" i="1"/>
  <c r="DT64" i="1"/>
  <c r="DT162" i="1"/>
  <c r="DT98" i="1"/>
  <c r="DT58" i="1"/>
  <c r="DT165" i="1"/>
  <c r="DT202" i="1"/>
  <c r="DT177" i="1"/>
  <c r="DT169" i="1"/>
  <c r="DT160" i="1"/>
  <c r="DT100" i="1"/>
  <c r="DT68" i="1"/>
  <c r="DT49" i="1"/>
  <c r="DT43" i="1"/>
  <c r="DT176" i="1"/>
  <c r="DT126" i="1"/>
  <c r="DT71" i="1"/>
  <c r="DT138" i="1"/>
  <c r="DT137" i="1"/>
  <c r="DT140" i="1"/>
  <c r="DT99" i="1"/>
  <c r="DT148" i="1"/>
  <c r="DT164" i="1"/>
  <c r="DT102" i="1"/>
  <c r="DT94" i="1"/>
  <c r="DT174" i="1"/>
  <c r="DT143" i="1"/>
  <c r="DT95" i="1"/>
  <c r="DT79" i="1"/>
  <c r="DT93" i="1"/>
  <c r="DT77" i="1"/>
  <c r="DT12" i="1"/>
  <c r="DT15" i="1"/>
  <c r="DT187" i="1"/>
  <c r="DT142" i="1"/>
  <c r="DT103" i="1"/>
  <c r="DT73" i="1"/>
  <c r="DT199" i="1"/>
  <c r="DT192" i="1"/>
  <c r="DT111" i="1"/>
  <c r="DT56" i="1"/>
  <c r="DT161" i="1"/>
  <c r="DT51" i="1"/>
  <c r="DT72" i="1"/>
  <c r="DT134" i="1"/>
  <c r="DT66" i="1"/>
  <c r="DT24" i="1"/>
  <c r="DT120" i="1"/>
  <c r="DT88" i="1"/>
  <c r="DT104" i="1"/>
  <c r="DT193" i="1"/>
  <c r="DT35" i="1"/>
  <c r="DT105" i="1"/>
  <c r="DT122" i="1"/>
  <c r="DT92" i="1"/>
  <c r="DT172" i="1"/>
  <c r="DT167" i="1"/>
  <c r="DT186" i="1"/>
  <c r="DT136" i="1"/>
  <c r="DT86" i="1"/>
  <c r="DT196" i="1"/>
  <c r="DT173" i="1"/>
  <c r="DT145" i="1"/>
  <c r="DT76" i="1"/>
  <c r="DT54" i="1"/>
  <c r="DT11" i="1"/>
  <c r="DT191" i="1"/>
  <c r="DT27" i="1"/>
  <c r="DT50" i="1"/>
  <c r="DT3" i="1"/>
  <c r="DT97" i="1"/>
  <c r="DT133" i="1"/>
  <c r="DT197" i="1"/>
  <c r="DT149" i="1"/>
  <c r="DT10" i="1"/>
  <c r="DT106" i="1"/>
  <c r="DT42" i="1"/>
  <c r="DT175" i="1"/>
  <c r="DT30" i="1"/>
  <c r="DT203" i="1"/>
  <c r="DT141" i="1"/>
  <c r="DT75" i="1"/>
  <c r="DT53" i="1"/>
  <c r="DT46" i="1"/>
  <c r="DT118" i="1"/>
  <c r="DT81" i="1"/>
  <c r="DT200" i="1"/>
  <c r="DT36" i="1"/>
  <c r="DT52" i="1"/>
  <c r="DT157" i="1"/>
  <c r="DT80" i="1"/>
  <c r="DT123" i="1"/>
  <c r="DT117" i="1"/>
  <c r="DT47" i="1"/>
  <c r="DT31" i="1"/>
  <c r="DT154" i="1"/>
  <c r="DT198" i="1"/>
  <c r="DT63" i="1"/>
  <c r="DT131" i="1"/>
  <c r="DT125" i="1"/>
  <c r="DT109" i="1"/>
  <c r="DT91" i="1"/>
  <c r="DT152" i="1"/>
  <c r="DT194" i="1"/>
  <c r="DT184" i="1"/>
  <c r="DT108" i="1"/>
  <c r="DT45" i="1"/>
  <c r="DT55" i="1"/>
  <c r="DT185" i="1"/>
  <c r="DT115" i="1"/>
  <c r="DT110" i="1"/>
  <c r="DT89" i="1"/>
  <c r="DT113" i="1"/>
  <c r="DT26" i="1"/>
  <c r="DT146" i="1"/>
  <c r="DT37" i="1"/>
  <c r="DT38" i="1"/>
  <c r="DT129" i="1"/>
  <c r="DT23" i="1"/>
  <c r="DT70" i="1"/>
  <c r="DT114" i="1"/>
  <c r="DT60" i="1"/>
  <c r="DT156" i="1"/>
  <c r="DT78" i="1"/>
  <c r="DT121" i="1"/>
  <c r="DT132" i="1"/>
  <c r="DT205" i="1"/>
  <c r="DT163" i="1"/>
  <c r="DT159" i="1"/>
  <c r="DT201" i="1"/>
  <c r="DT101" i="1"/>
  <c r="DT178" i="1"/>
  <c r="DT182" i="1"/>
  <c r="DT144" i="1"/>
  <c r="DT127" i="1"/>
  <c r="DT181" i="1"/>
  <c r="DT112" i="1"/>
  <c r="DT20" i="1"/>
  <c r="DW67" i="1"/>
  <c r="DW153" i="1"/>
  <c r="DW170" i="1"/>
  <c r="DW155" i="1"/>
  <c r="DW154" i="1"/>
  <c r="DW189" i="1"/>
  <c r="DW168" i="1"/>
  <c r="DW180" i="1"/>
  <c r="DW148" i="1"/>
  <c r="DW133" i="1"/>
  <c r="DW165" i="1"/>
  <c r="DW167" i="1"/>
  <c r="DW16" i="1"/>
  <c r="DW190" i="1"/>
  <c r="DW192" i="1"/>
  <c r="DW176" i="1"/>
  <c r="DW173" i="1"/>
  <c r="DW115" i="1"/>
  <c r="DW185" i="1"/>
  <c r="DW151" i="1"/>
  <c r="DW8" i="1"/>
  <c r="DW131" i="1"/>
  <c r="DW126" i="1"/>
  <c r="DW169" i="1"/>
  <c r="DW29" i="1"/>
  <c r="DW121" i="1"/>
  <c r="DW197" i="1"/>
  <c r="DW158" i="1"/>
  <c r="DW111" i="1"/>
  <c r="DW65" i="1"/>
  <c r="DW76" i="1"/>
  <c r="DW77" i="1"/>
  <c r="DW15" i="1"/>
  <c r="DW164" i="1"/>
  <c r="DW202" i="1"/>
  <c r="DW52" i="1"/>
  <c r="DW99" i="1"/>
  <c r="DW193" i="1"/>
  <c r="DW101" i="1"/>
  <c r="DW94" i="1"/>
  <c r="DW37" i="1"/>
  <c r="DW85" i="1"/>
  <c r="DW20" i="1"/>
  <c r="DW186" i="1"/>
  <c r="DW38" i="1"/>
  <c r="DW53" i="1"/>
  <c r="DW49" i="1"/>
  <c r="DW160" i="1"/>
  <c r="DW161" i="1"/>
  <c r="DW187" i="1"/>
  <c r="DW70" i="1"/>
  <c r="DW182" i="1"/>
  <c r="DW174" i="1"/>
  <c r="DW92" i="1"/>
  <c r="DW201" i="1"/>
  <c r="DW89" i="1"/>
  <c r="DW103" i="1"/>
  <c r="DW179" i="1"/>
  <c r="DW188" i="1"/>
  <c r="DW4" i="1"/>
  <c r="DW119" i="1"/>
  <c r="DW195" i="1"/>
  <c r="DW23" i="1"/>
  <c r="DX110" i="1"/>
  <c r="DX188" i="1"/>
  <c r="DX171" i="1"/>
  <c r="DX17" i="1"/>
  <c r="DX4" i="1"/>
  <c r="DX127" i="1"/>
  <c r="DX112" i="1"/>
  <c r="DX66" i="1"/>
  <c r="DX159" i="1"/>
  <c r="DX116" i="1"/>
  <c r="DX180" i="1"/>
  <c r="DX119" i="1"/>
  <c r="DX201" i="1"/>
  <c r="DX24" i="1"/>
  <c r="DX167" i="1"/>
  <c r="EH124" i="1"/>
  <c r="DX71" i="1"/>
  <c r="ET133" i="1"/>
  <c r="DM36" i="1"/>
  <c r="DM46" i="1"/>
  <c r="EF81" i="1"/>
  <c r="EF60" i="1"/>
  <c r="FT60" i="1"/>
  <c r="AT20" i="1"/>
  <c r="EP81" i="1"/>
  <c r="AT43" i="1"/>
  <c r="EH47" i="1"/>
  <c r="EZ81" i="1"/>
  <c r="FB24" i="1"/>
  <c r="AS52" i="1"/>
  <c r="AU52" i="1" s="1"/>
  <c r="FV80" i="1"/>
  <c r="FV46" i="1"/>
  <c r="AS39" i="1"/>
  <c r="AU39" i="1" s="1"/>
  <c r="AS20" i="1"/>
  <c r="AU20" i="1" s="1"/>
  <c r="FV23" i="1"/>
  <c r="ET86" i="1"/>
  <c r="AS109" i="1"/>
  <c r="AU109" i="1" s="1"/>
  <c r="DN24" i="1"/>
  <c r="DN80" i="1"/>
  <c r="DD80" i="1"/>
  <c r="DL81" i="1"/>
  <c r="FB46" i="1"/>
  <c r="DN46" i="1"/>
  <c r="FB80" i="1"/>
  <c r="AT24" i="1"/>
  <c r="AT96" i="1"/>
  <c r="AT45" i="1"/>
  <c r="AT29" i="1"/>
  <c r="AT39" i="1"/>
  <c r="DD24" i="1"/>
  <c r="FB23" i="1"/>
  <c r="DD23" i="1"/>
  <c r="EZ60" i="1"/>
  <c r="AT40" i="1"/>
  <c r="AS35" i="1"/>
  <c r="AU35" i="1" s="1"/>
  <c r="AS96" i="1"/>
  <c r="AU96" i="1" s="1"/>
  <c r="AT35" i="1"/>
  <c r="AS43" i="1"/>
  <c r="AU43" i="1" s="1"/>
  <c r="AS40" i="1"/>
  <c r="AU40" i="1" s="1"/>
  <c r="FV24" i="1"/>
  <c r="FV47" i="1"/>
  <c r="DL60" i="1"/>
  <c r="FB47" i="1"/>
  <c r="EP60" i="1"/>
  <c r="FT81" i="1"/>
  <c r="AS45" i="1"/>
  <c r="AU45" i="1" s="1"/>
  <c r="L29" i="1"/>
  <c r="DN47" i="1"/>
  <c r="DX7" i="1"/>
  <c r="DD193" i="1"/>
  <c r="DD64" i="1"/>
  <c r="DD58" i="1"/>
  <c r="DX179" i="1"/>
  <c r="DX59" i="1"/>
  <c r="DX64" i="1"/>
  <c r="FB58" i="1"/>
  <c r="FB139" i="1"/>
  <c r="FB59" i="1"/>
  <c r="DM8" i="1"/>
  <c r="DM198" i="1"/>
  <c r="DM44" i="1"/>
  <c r="DM102" i="1"/>
  <c r="DM170" i="1"/>
  <c r="DM201" i="1"/>
  <c r="DM163" i="1"/>
  <c r="DM125" i="1"/>
  <c r="DM143" i="1"/>
  <c r="DM200" i="1"/>
  <c r="DM52" i="1"/>
  <c r="DM75" i="1"/>
  <c r="DM4" i="1"/>
  <c r="DM130" i="1"/>
  <c r="DW97" i="1"/>
  <c r="EQ116" i="1"/>
  <c r="DM71" i="1"/>
  <c r="EQ93" i="1"/>
  <c r="DM56" i="1"/>
  <c r="ET140" i="1"/>
  <c r="DW200" i="1"/>
  <c r="EQ115" i="1"/>
  <c r="DB126" i="1"/>
  <c r="DD191" i="1"/>
  <c r="DW104" i="1"/>
  <c r="DW142" i="1"/>
  <c r="DM25" i="1"/>
  <c r="DM142" i="1"/>
  <c r="DM191" i="1"/>
  <c r="DX102" i="1"/>
  <c r="DX184" i="1"/>
  <c r="DX183" i="1"/>
  <c r="DX54" i="1"/>
  <c r="EQ15" i="1"/>
  <c r="FV189" i="1"/>
  <c r="FV129" i="1"/>
  <c r="FB193" i="1"/>
  <c r="ET173" i="1"/>
  <c r="ET199" i="1"/>
  <c r="DD186" i="1"/>
  <c r="DD196" i="1"/>
  <c r="DW95" i="1"/>
  <c r="DW122" i="1"/>
  <c r="DW112" i="1"/>
  <c r="DD124" i="1"/>
  <c r="DW108" i="1"/>
  <c r="DW183" i="1"/>
  <c r="DW44" i="1"/>
  <c r="DW64" i="1"/>
  <c r="DW27" i="1"/>
  <c r="DW166" i="1"/>
  <c r="DW171" i="1"/>
  <c r="DW84" i="1"/>
  <c r="DW117" i="1"/>
  <c r="DX132" i="1"/>
  <c r="FL56" i="1"/>
  <c r="DX154" i="1"/>
  <c r="DX173" i="1"/>
  <c r="DX94" i="1"/>
  <c r="DX189" i="1"/>
  <c r="FB124" i="1"/>
  <c r="FB191" i="1"/>
  <c r="DX45" i="1"/>
  <c r="DM42" i="1"/>
  <c r="DM178" i="1"/>
  <c r="DM176" i="1"/>
  <c r="DM105" i="1"/>
  <c r="DM97" i="1"/>
  <c r="DM94" i="1"/>
  <c r="DM194" i="1"/>
  <c r="DM66" i="1"/>
  <c r="DM189" i="1"/>
  <c r="DM196" i="1"/>
  <c r="DM114" i="1"/>
  <c r="DM90" i="1"/>
  <c r="DM110" i="1"/>
  <c r="DM49" i="1"/>
  <c r="DM135" i="1"/>
  <c r="DW96" i="1"/>
  <c r="DW128" i="1"/>
  <c r="EQ77" i="1"/>
  <c r="DM137" i="1"/>
  <c r="EQ149" i="1"/>
  <c r="DW124" i="1"/>
  <c r="DM184" i="1"/>
  <c r="EQ101" i="1"/>
  <c r="DW68" i="1"/>
  <c r="DM117" i="1"/>
  <c r="DN189" i="1"/>
  <c r="DN134" i="1"/>
  <c r="DW56" i="1"/>
  <c r="DN53" i="1"/>
  <c r="DN191" i="1"/>
  <c r="DW163" i="1"/>
  <c r="DM61" i="1"/>
  <c r="DM131" i="1"/>
  <c r="DN59" i="1"/>
  <c r="DX182" i="1"/>
  <c r="DX105" i="1"/>
  <c r="DX37" i="1"/>
  <c r="EQ23" i="1"/>
  <c r="AS184" i="1"/>
  <c r="AU184" i="1" s="1"/>
  <c r="EH196" i="1"/>
  <c r="DN205" i="1"/>
  <c r="AT184" i="1"/>
  <c r="DX186" i="1"/>
  <c r="DX205" i="1"/>
  <c r="DL36" i="1"/>
  <c r="FB53" i="1"/>
  <c r="FB129" i="1"/>
  <c r="FB189" i="1"/>
  <c r="DM11" i="1"/>
  <c r="DM202" i="1"/>
  <c r="DM60" i="1"/>
  <c r="DM115" i="1"/>
  <c r="DM139" i="1"/>
  <c r="DM83" i="1"/>
  <c r="DM204" i="1"/>
  <c r="DM146" i="1"/>
  <c r="DM93" i="1"/>
  <c r="DM127" i="1"/>
  <c r="DM144" i="1"/>
  <c r="DM149" i="1"/>
  <c r="DM62" i="1"/>
  <c r="DW135" i="1"/>
  <c r="DW143" i="1"/>
  <c r="DW45" i="1"/>
  <c r="DM51" i="1"/>
  <c r="EQ51" i="1"/>
  <c r="DM193" i="1"/>
  <c r="DM150" i="1"/>
  <c r="DW199" i="1"/>
  <c r="DN132" i="1"/>
  <c r="DW144" i="1"/>
  <c r="DW205" i="1"/>
  <c r="DM89" i="1"/>
  <c r="DM128" i="1"/>
  <c r="DW81" i="1"/>
  <c r="DX5" i="1"/>
  <c r="EQ182" i="1"/>
  <c r="FV56" i="1"/>
  <c r="FV134" i="1"/>
  <c r="EQ136" i="1"/>
  <c r="ET45" i="1"/>
  <c r="DD179" i="1"/>
  <c r="DD139" i="1"/>
  <c r="ET185" i="1"/>
  <c r="DM6" i="1"/>
  <c r="DW138" i="1"/>
  <c r="DW11" i="1"/>
  <c r="DD94" i="1"/>
  <c r="DW71" i="1"/>
  <c r="DW58" i="1"/>
  <c r="DW61" i="1"/>
  <c r="DW204" i="1"/>
  <c r="DW181" i="1"/>
  <c r="DW42" i="1"/>
  <c r="DW109" i="1"/>
  <c r="DW69" i="1"/>
  <c r="DW78" i="1"/>
  <c r="DW140" i="1"/>
  <c r="DX204" i="1"/>
  <c r="DX56" i="1"/>
  <c r="DX89" i="1"/>
  <c r="DX187" i="1"/>
  <c r="FB205" i="1"/>
  <c r="FB94" i="1"/>
  <c r="DM10" i="1"/>
  <c r="DM158" i="1"/>
  <c r="DM80" i="1"/>
  <c r="DM205" i="1"/>
  <c r="DM156" i="1"/>
  <c r="DM78" i="1"/>
  <c r="DM100" i="1"/>
  <c r="DM132" i="1"/>
  <c r="DM155" i="1"/>
  <c r="DM169" i="1"/>
  <c r="DM199" i="1"/>
  <c r="DM106" i="1"/>
  <c r="DW130" i="1"/>
  <c r="EQ81" i="1"/>
  <c r="DW82" i="1"/>
  <c r="DW51" i="1"/>
  <c r="DN58" i="1"/>
  <c r="EQ192" i="1"/>
  <c r="DM136" i="1"/>
  <c r="DM121" i="1"/>
  <c r="DM98" i="1"/>
  <c r="DW55" i="1"/>
  <c r="DW26" i="1"/>
  <c r="DN196" i="1"/>
  <c r="DW113" i="1"/>
  <c r="DN129" i="1"/>
  <c r="DN124" i="1"/>
  <c r="DM153" i="1"/>
  <c r="DM58" i="1"/>
  <c r="DM104" i="1"/>
  <c r="DM122" i="1"/>
  <c r="DX178" i="1"/>
  <c r="DX98" i="1"/>
  <c r="DX50" i="1"/>
  <c r="EH129" i="1"/>
  <c r="FV64" i="1"/>
  <c r="FV139" i="1"/>
  <c r="EH193" i="1"/>
  <c r="EH191" i="1"/>
  <c r="DD59" i="1"/>
  <c r="DW62" i="1"/>
  <c r="ET100" i="1"/>
  <c r="DD132" i="1"/>
  <c r="DW6" i="1"/>
  <c r="DB49" i="1"/>
  <c r="DW196" i="1"/>
  <c r="DW83" i="1"/>
  <c r="DW114" i="1"/>
  <c r="DW31" i="1"/>
  <c r="DW106" i="1"/>
  <c r="DW35" i="1"/>
  <c r="DW43" i="1"/>
  <c r="DW93" i="1"/>
  <c r="DW54" i="1"/>
  <c r="DW105" i="1"/>
  <c r="DW132" i="1"/>
  <c r="DW60" i="1"/>
  <c r="DW139" i="1"/>
  <c r="DX47" i="1"/>
  <c r="DX145" i="1"/>
  <c r="DL126" i="1"/>
  <c r="FB196" i="1"/>
  <c r="DM203" i="1"/>
  <c r="DW175" i="1"/>
  <c r="DM112" i="1"/>
  <c r="DM96" i="1"/>
  <c r="DM167" i="1"/>
  <c r="DM159" i="1"/>
  <c r="DM53" i="1"/>
  <c r="DM73" i="1"/>
  <c r="DM77" i="1"/>
  <c r="DM119" i="1"/>
  <c r="DM59" i="1"/>
  <c r="DM118" i="1"/>
  <c r="DM162" i="1"/>
  <c r="DW150" i="1"/>
  <c r="DM173" i="1"/>
  <c r="DM103" i="1"/>
  <c r="DM140" i="1"/>
  <c r="DX139" i="1"/>
  <c r="DM152" i="1"/>
  <c r="DW66" i="1"/>
  <c r="DW162" i="1"/>
  <c r="DW172" i="1"/>
  <c r="DW91" i="1"/>
  <c r="DN179" i="1"/>
  <c r="DM168" i="1"/>
  <c r="DW80" i="1"/>
  <c r="DM50" i="1"/>
  <c r="DM88" i="1"/>
  <c r="DM154" i="1"/>
  <c r="DX137" i="1"/>
  <c r="AS177" i="1"/>
  <c r="AU177" i="1" s="1"/>
  <c r="EH59" i="1"/>
  <c r="FV71" i="1"/>
  <c r="AS16" i="1"/>
  <c r="AU16" i="1" s="1"/>
  <c r="DM180" i="1"/>
  <c r="DX111" i="1"/>
  <c r="ET92" i="1"/>
  <c r="ET149" i="1"/>
  <c r="DD129" i="1"/>
  <c r="DW72" i="1"/>
  <c r="DW177" i="1"/>
  <c r="DW88" i="1"/>
  <c r="FT126" i="1"/>
  <c r="DW184" i="1"/>
  <c r="DW194" i="1"/>
  <c r="DW90" i="1"/>
  <c r="DW120" i="1"/>
  <c r="DW24" i="1"/>
  <c r="DW149" i="1"/>
  <c r="DW25" i="1"/>
  <c r="DW127" i="1"/>
  <c r="DW79" i="1"/>
  <c r="DX46" i="1"/>
  <c r="DX80" i="1"/>
  <c r="DX170" i="1"/>
  <c r="DX130" i="1"/>
  <c r="FB56" i="1"/>
  <c r="FB71" i="1"/>
  <c r="DM164" i="1"/>
  <c r="DM24" i="1"/>
  <c r="DM69" i="1"/>
  <c r="DM126" i="1"/>
  <c r="DM76" i="1"/>
  <c r="DM138" i="1"/>
  <c r="DM12" i="1"/>
  <c r="DM134" i="1"/>
  <c r="DM113" i="1"/>
  <c r="DM67" i="1"/>
  <c r="DM55" i="1"/>
  <c r="DM54" i="1"/>
  <c r="DW137" i="1"/>
  <c r="DM26" i="1"/>
  <c r="DM171" i="1"/>
  <c r="DM99" i="1"/>
  <c r="EQ27" i="1"/>
  <c r="DM95" i="1"/>
  <c r="DW12" i="1"/>
  <c r="DX199" i="1"/>
  <c r="DW102" i="1"/>
  <c r="DW17" i="1"/>
  <c r="DX15" i="1"/>
  <c r="DN56" i="1"/>
  <c r="DW178" i="1"/>
  <c r="DM45" i="1"/>
  <c r="DW145" i="1"/>
  <c r="DX185" i="1"/>
  <c r="DX77" i="1"/>
  <c r="EQ197" i="1"/>
  <c r="DD134" i="1"/>
  <c r="DW159" i="1"/>
  <c r="DW75" i="1"/>
  <c r="DW125" i="1"/>
  <c r="DW134" i="1"/>
  <c r="DW5" i="1"/>
  <c r="DW191" i="1"/>
  <c r="DW203" i="1"/>
  <c r="DW98" i="1"/>
  <c r="DW123" i="1"/>
  <c r="DW116" i="1"/>
  <c r="DW156" i="1"/>
  <c r="DW118" i="1"/>
  <c r="DX147" i="1"/>
  <c r="DX134" i="1"/>
  <c r="DX31" i="1"/>
  <c r="DL97" i="1"/>
  <c r="DM38" i="1"/>
  <c r="DM84" i="1"/>
  <c r="DM111" i="1"/>
  <c r="DM183" i="1"/>
  <c r="DM108" i="1"/>
  <c r="DM30" i="1"/>
  <c r="DM160" i="1"/>
  <c r="DM177" i="1"/>
  <c r="DM179" i="1"/>
  <c r="DM109" i="1"/>
  <c r="DM35" i="1"/>
  <c r="DM129" i="1"/>
  <c r="DM64" i="1"/>
  <c r="DW30" i="1"/>
  <c r="DM82" i="1"/>
  <c r="DM116" i="1"/>
  <c r="DM172" i="1"/>
  <c r="DM175" i="1"/>
  <c r="DM181" i="1"/>
  <c r="DX60" i="1"/>
  <c r="DX141" i="1"/>
  <c r="DX143" i="1"/>
  <c r="DX140" i="1"/>
  <c r="ID100" i="1"/>
  <c r="ID97" i="1"/>
  <c r="ID94" i="1"/>
  <c r="IN37" i="1"/>
  <c r="IN94" i="1"/>
  <c r="IN97" i="1"/>
  <c r="IN100" i="1"/>
  <c r="GP94" i="1"/>
  <c r="GP100" i="1"/>
  <c r="GP97" i="1"/>
  <c r="HJ97" i="1"/>
  <c r="HJ100" i="1"/>
  <c r="HJ94" i="1"/>
  <c r="IX105" i="1"/>
  <c r="IX94" i="1"/>
  <c r="IX100" i="1"/>
  <c r="JR97" i="1"/>
  <c r="JR94" i="1"/>
  <c r="JR100" i="1"/>
  <c r="GZ97" i="1"/>
  <c r="GZ100" i="1"/>
  <c r="GZ94" i="1"/>
  <c r="IX97" i="1"/>
  <c r="JH79" i="1"/>
  <c r="JH97" i="1"/>
  <c r="JH94" i="1"/>
  <c r="JH100" i="1"/>
  <c r="KB100" i="1"/>
  <c r="KB97" i="1"/>
  <c r="KB94" i="1"/>
  <c r="GF97" i="1"/>
  <c r="GF94" i="1"/>
  <c r="GF100" i="1"/>
  <c r="EQ26" i="1"/>
  <c r="DB120" i="1"/>
  <c r="DL45" i="1"/>
  <c r="DL116" i="1"/>
  <c r="DL79" i="1"/>
  <c r="DL61" i="1"/>
  <c r="DL76" i="1"/>
  <c r="FF94" i="1"/>
  <c r="ES58" i="1"/>
  <c r="DN149" i="1"/>
  <c r="DN70" i="1"/>
  <c r="DN35" i="1"/>
  <c r="DD148" i="1"/>
  <c r="DN3" i="1"/>
  <c r="DN100" i="1"/>
  <c r="EB26" i="1"/>
  <c r="ES6" i="1"/>
  <c r="ES166" i="1"/>
  <c r="ES156" i="1"/>
  <c r="ES164" i="1"/>
  <c r="DN127" i="1"/>
  <c r="DN15" i="1"/>
  <c r="DN76" i="1"/>
  <c r="DN38" i="1"/>
  <c r="DN66" i="1"/>
  <c r="DN97" i="1"/>
  <c r="DN69" i="1"/>
  <c r="DN187" i="1"/>
  <c r="DN84" i="1"/>
  <c r="DN68" i="1"/>
  <c r="DN199" i="1"/>
  <c r="ES52" i="1"/>
  <c r="ES136" i="1"/>
  <c r="ES49" i="1"/>
  <c r="FA86" i="1"/>
  <c r="ES204" i="1"/>
  <c r="ES97" i="1"/>
  <c r="ES180" i="1"/>
  <c r="ES3" i="1"/>
  <c r="ES177" i="1"/>
  <c r="ES53" i="1"/>
  <c r="CX36" i="1"/>
  <c r="DN174" i="1"/>
  <c r="DN115" i="1"/>
  <c r="DN26" i="1"/>
  <c r="DD152" i="1"/>
  <c r="DN131" i="1"/>
  <c r="AT97" i="1"/>
  <c r="AS97" i="1"/>
  <c r="AU97" i="1" s="1"/>
  <c r="ES15" i="1"/>
  <c r="ES98" i="1"/>
  <c r="ES8" i="1"/>
  <c r="DP115" i="1"/>
  <c r="ES46" i="1"/>
  <c r="DN104" i="1"/>
  <c r="DD175" i="1"/>
  <c r="DN198" i="1"/>
  <c r="DD92" i="1"/>
  <c r="DD156" i="1"/>
  <c r="DN106" i="1"/>
  <c r="DD30" i="1"/>
  <c r="DN142" i="1"/>
  <c r="DN55" i="1"/>
  <c r="FM171" i="1"/>
  <c r="EI193" i="1"/>
  <c r="EI168" i="1"/>
  <c r="AT168" i="1"/>
  <c r="EI204" i="1"/>
  <c r="EI161" i="1"/>
  <c r="FM177" i="1"/>
  <c r="FD73" i="1"/>
  <c r="FM167" i="1"/>
  <c r="FM25" i="1"/>
  <c r="FM54" i="1"/>
  <c r="EP116" i="1"/>
  <c r="DS142" i="1"/>
  <c r="EZ47" i="1"/>
  <c r="EW94" i="1"/>
  <c r="FD27" i="1"/>
  <c r="FD120" i="1"/>
  <c r="FD52" i="1"/>
  <c r="FD178" i="1"/>
  <c r="FD103" i="1"/>
  <c r="FD25" i="1"/>
  <c r="FD157" i="1"/>
  <c r="FD61" i="1"/>
  <c r="FD97" i="1"/>
  <c r="FD72" i="1"/>
  <c r="FD37" i="1"/>
  <c r="FD153" i="1"/>
  <c r="FD149" i="1"/>
  <c r="FD81" i="1"/>
  <c r="FD138" i="1"/>
  <c r="FD67" i="1"/>
  <c r="FD162" i="1"/>
  <c r="FD114" i="1"/>
  <c r="EF47" i="1"/>
  <c r="FD59" i="1"/>
  <c r="FM45" i="1"/>
  <c r="FM65" i="1"/>
  <c r="FM108" i="1"/>
  <c r="FM68" i="1"/>
  <c r="EW65" i="1"/>
  <c r="EW99" i="1"/>
  <c r="EW149" i="1"/>
  <c r="EW122" i="1"/>
  <c r="EW171" i="1"/>
  <c r="EW173" i="1"/>
  <c r="EW8" i="1"/>
  <c r="EW148" i="1"/>
  <c r="EW195" i="1"/>
  <c r="EW145" i="1"/>
  <c r="EW103" i="1"/>
  <c r="EW49" i="1"/>
  <c r="EW128" i="1"/>
  <c r="EW182" i="1"/>
  <c r="EW119" i="1"/>
  <c r="EW27" i="1"/>
  <c r="EW193" i="1"/>
  <c r="DS203" i="1"/>
  <c r="EW143" i="1"/>
  <c r="EW150" i="1"/>
  <c r="EW59" i="1"/>
  <c r="ET13" i="1"/>
  <c r="FD163" i="1"/>
  <c r="EW90" i="1"/>
  <c r="EW152" i="1"/>
  <c r="EW188" i="1"/>
  <c r="EW60" i="1"/>
  <c r="EW176" i="1"/>
  <c r="DS124" i="1"/>
  <c r="FD94" i="1"/>
  <c r="FD79" i="1"/>
  <c r="EI59" i="1"/>
  <c r="EI54" i="1"/>
  <c r="EI78" i="1"/>
  <c r="EI56" i="1"/>
  <c r="DS131" i="1"/>
  <c r="FD75" i="1"/>
  <c r="FD24" i="1"/>
  <c r="FD158" i="1"/>
  <c r="FD50" i="1"/>
  <c r="EW196" i="1"/>
  <c r="EW16" i="1"/>
  <c r="DF13" i="1"/>
  <c r="EW93" i="1"/>
  <c r="EW72" i="1"/>
  <c r="EW189" i="1"/>
  <c r="EW170" i="1"/>
  <c r="EW20" i="1"/>
  <c r="EW126" i="1"/>
  <c r="EW178" i="1"/>
  <c r="EW51" i="1"/>
  <c r="EI31" i="1"/>
  <c r="DS15" i="1"/>
  <c r="EI6" i="1"/>
  <c r="AT167" i="1"/>
  <c r="EI199" i="1"/>
  <c r="EW76" i="1"/>
  <c r="EI44" i="1"/>
  <c r="EW202" i="1"/>
  <c r="EW89" i="1"/>
  <c r="EW82" i="1"/>
  <c r="EW127" i="1"/>
  <c r="EW137" i="1"/>
  <c r="EW123" i="1"/>
  <c r="FD184" i="1"/>
  <c r="EI187" i="1"/>
  <c r="DS141" i="1"/>
  <c r="DP13" i="1"/>
  <c r="DS171" i="1"/>
  <c r="EI7" i="1"/>
  <c r="FD146" i="1"/>
  <c r="EI192" i="1"/>
  <c r="EI112" i="1"/>
  <c r="EI30" i="1"/>
  <c r="EI197" i="1"/>
  <c r="DL120" i="1"/>
  <c r="FM128" i="1"/>
  <c r="EW197" i="1"/>
  <c r="EW10" i="1"/>
  <c r="EW35" i="1"/>
  <c r="AT37" i="1"/>
  <c r="AT144" i="1"/>
  <c r="FD193" i="1"/>
  <c r="FD173" i="1"/>
  <c r="FD202" i="1"/>
  <c r="FD77" i="1"/>
  <c r="FD100" i="1"/>
  <c r="FD160" i="1"/>
  <c r="FD112" i="1"/>
  <c r="FD80" i="1"/>
  <c r="FD102" i="1"/>
  <c r="FD3" i="1"/>
  <c r="FD137" i="1"/>
  <c r="FD161" i="1"/>
  <c r="FD23" i="1"/>
  <c r="FD204" i="1"/>
  <c r="FD51" i="1"/>
  <c r="FD148" i="1"/>
  <c r="FD154" i="1"/>
  <c r="FT116" i="1"/>
  <c r="FM119" i="1"/>
  <c r="FM100" i="1"/>
  <c r="FM79" i="1"/>
  <c r="FM80" i="1"/>
  <c r="EW164" i="1"/>
  <c r="EW85" i="1"/>
  <c r="EW79" i="1"/>
  <c r="EW56" i="1"/>
  <c r="EW29" i="1"/>
  <c r="EW68" i="1"/>
  <c r="EW186" i="1"/>
  <c r="EW180" i="1"/>
  <c r="AS149" i="1"/>
  <c r="AU149" i="1" s="1"/>
  <c r="EW30" i="1"/>
  <c r="EW52" i="1"/>
  <c r="EW105" i="1"/>
  <c r="EW106" i="1"/>
  <c r="EW101" i="1"/>
  <c r="EW120" i="1"/>
  <c r="EW50" i="1"/>
  <c r="EW124" i="1"/>
  <c r="EW117" i="1"/>
  <c r="FD12" i="1"/>
  <c r="AS144" i="1"/>
  <c r="AU144" i="1" s="1"/>
  <c r="AS167" i="1"/>
  <c r="AU167" i="1" s="1"/>
  <c r="EI180" i="1"/>
  <c r="EW199" i="1"/>
  <c r="ET25" i="1"/>
  <c r="EW162" i="1"/>
  <c r="EW163" i="1"/>
  <c r="EW136" i="1"/>
  <c r="EW97" i="1"/>
  <c r="FD131" i="1"/>
  <c r="DS190" i="1"/>
  <c r="EI146" i="1"/>
  <c r="EI164" i="1"/>
  <c r="EI81" i="1"/>
  <c r="EI17" i="1"/>
  <c r="EI25" i="1"/>
  <c r="DS134" i="1"/>
  <c r="DS94" i="1"/>
  <c r="DS196" i="1"/>
  <c r="FD182" i="1"/>
  <c r="FD60" i="1"/>
  <c r="FD46" i="1"/>
  <c r="FD168" i="1"/>
  <c r="FD177" i="1"/>
  <c r="EW187" i="1"/>
  <c r="EW168" i="1"/>
  <c r="EW69" i="1"/>
  <c r="EW135" i="1"/>
  <c r="FD164" i="1"/>
  <c r="FD36" i="1"/>
  <c r="FD140" i="1"/>
  <c r="FD183" i="1"/>
  <c r="FD197" i="1"/>
  <c r="FD29" i="1"/>
  <c r="FD165" i="1"/>
  <c r="FD205" i="1"/>
  <c r="FD145" i="1"/>
  <c r="FD108" i="1"/>
  <c r="FD45" i="1"/>
  <c r="FD198" i="1"/>
  <c r="FD170" i="1"/>
  <c r="FD128" i="1"/>
  <c r="FD7" i="1"/>
  <c r="FD15" i="1"/>
  <c r="EF58" i="1"/>
  <c r="FD35" i="1"/>
  <c r="FM159" i="1"/>
  <c r="FM78" i="1"/>
  <c r="FM70" i="1"/>
  <c r="FM10" i="1"/>
  <c r="EW205" i="1"/>
  <c r="EW3" i="1"/>
  <c r="EW185" i="1"/>
  <c r="EW153" i="1"/>
  <c r="FT120" i="1"/>
  <c r="EW53" i="1"/>
  <c r="EW144" i="1"/>
  <c r="EW131" i="1"/>
  <c r="EW151" i="1"/>
  <c r="EW160" i="1"/>
  <c r="EW84" i="1"/>
  <c r="EW43" i="1"/>
  <c r="EW12" i="1"/>
  <c r="AS44" i="1"/>
  <c r="AU44" i="1" s="1"/>
  <c r="AS62" i="1"/>
  <c r="AU62" i="1" s="1"/>
  <c r="AS37" i="1"/>
  <c r="AU37" i="1" s="1"/>
  <c r="AS157" i="1"/>
  <c r="AU157" i="1" s="1"/>
  <c r="EW36" i="1"/>
  <c r="EW104" i="1"/>
  <c r="EW42" i="1"/>
  <c r="EW112" i="1"/>
  <c r="EW194" i="1"/>
  <c r="EW44" i="1"/>
  <c r="EW155" i="1"/>
  <c r="EW66" i="1"/>
  <c r="EW177" i="1"/>
  <c r="EW15" i="1"/>
  <c r="FD43" i="1"/>
  <c r="EZ120" i="1"/>
  <c r="FD4" i="1"/>
  <c r="EI3" i="1"/>
  <c r="EI157" i="1"/>
  <c r="EI61" i="1"/>
  <c r="EW114" i="1"/>
  <c r="EF120" i="1"/>
  <c r="EW140" i="1"/>
  <c r="EW92" i="1"/>
  <c r="AS183" i="1"/>
  <c r="AU183" i="1" s="1"/>
  <c r="FD54" i="1"/>
  <c r="FD98" i="1"/>
  <c r="FD155" i="1"/>
  <c r="EI160" i="1"/>
  <c r="EI85" i="1"/>
  <c r="EI205" i="1"/>
  <c r="EI195" i="1"/>
  <c r="EI109" i="1"/>
  <c r="EI76" i="1"/>
  <c r="EI181" i="1"/>
  <c r="EW71" i="1"/>
  <c r="FD130" i="1"/>
  <c r="FD187" i="1"/>
  <c r="EW58" i="1"/>
  <c r="AT149" i="1"/>
  <c r="FD117" i="1"/>
  <c r="FD86" i="1"/>
  <c r="FD95" i="1"/>
  <c r="FD69" i="1"/>
  <c r="FD195" i="1"/>
  <c r="FD78" i="1"/>
  <c r="FD133" i="1"/>
  <c r="FD92" i="1"/>
  <c r="FD171" i="1"/>
  <c r="FD6" i="1"/>
  <c r="FD10" i="1"/>
  <c r="FD111" i="1"/>
  <c r="FD55" i="1"/>
  <c r="FD13" i="1"/>
  <c r="FD126" i="1"/>
  <c r="FD156" i="1"/>
  <c r="FD135" i="1"/>
  <c r="FM104" i="1"/>
  <c r="FM64" i="1"/>
  <c r="FM194" i="1"/>
  <c r="FM20" i="1"/>
  <c r="DF25" i="1"/>
  <c r="EW7" i="1"/>
  <c r="EW129" i="1"/>
  <c r="EW175" i="1"/>
  <c r="EW183" i="1"/>
  <c r="EW200" i="1"/>
  <c r="EW138" i="1"/>
  <c r="AS173" i="1"/>
  <c r="AU173" i="1" s="1"/>
  <c r="EW98" i="1"/>
  <c r="EW181" i="1"/>
  <c r="EW158" i="1"/>
  <c r="EW109" i="1"/>
  <c r="EW96" i="1"/>
  <c r="EW111" i="1"/>
  <c r="EW77" i="1"/>
  <c r="EI145" i="1"/>
  <c r="EI178" i="1"/>
  <c r="AT62" i="1"/>
  <c r="EI202" i="1"/>
  <c r="EW165" i="1"/>
  <c r="EW110" i="1"/>
  <c r="FD58" i="1"/>
  <c r="FD122" i="1"/>
  <c r="FD188" i="1"/>
  <c r="FD144" i="1"/>
  <c r="EI176" i="1"/>
  <c r="FD139" i="1"/>
  <c r="EI45" i="1"/>
  <c r="EI201" i="1"/>
  <c r="EI96" i="1"/>
  <c r="EI177" i="1"/>
  <c r="FD191" i="1"/>
  <c r="FD124" i="1"/>
  <c r="FD90" i="1"/>
  <c r="FD141" i="1"/>
  <c r="FD129" i="1"/>
  <c r="FD64" i="1"/>
  <c r="FM81" i="1"/>
  <c r="FM121" i="1"/>
  <c r="EW78" i="1"/>
  <c r="FD159" i="1"/>
  <c r="FD134" i="1"/>
  <c r="FD96" i="1"/>
  <c r="FD68" i="1"/>
  <c r="FD200" i="1"/>
  <c r="FD190" i="1"/>
  <c r="FD116" i="1"/>
  <c r="FD83" i="1"/>
  <c r="FD16" i="1"/>
  <c r="FD31" i="1"/>
  <c r="FD174" i="1"/>
  <c r="FD199" i="1"/>
  <c r="FD118" i="1"/>
  <c r="FD101" i="1"/>
  <c r="FD152" i="1"/>
  <c r="FD175" i="1"/>
  <c r="FD169" i="1"/>
  <c r="FD89" i="1"/>
  <c r="FT47" i="1"/>
  <c r="FM118" i="1"/>
  <c r="FM15" i="1"/>
  <c r="FM200" i="1"/>
  <c r="FM134" i="1"/>
  <c r="FM144" i="1"/>
  <c r="EW147" i="1"/>
  <c r="FT79" i="1"/>
  <c r="EW64" i="1"/>
  <c r="EW62" i="1"/>
  <c r="EW4" i="1"/>
  <c r="EW190" i="1"/>
  <c r="EW125" i="1"/>
  <c r="FD105" i="1"/>
  <c r="AT44" i="1"/>
  <c r="EW23" i="1"/>
  <c r="EW192" i="1"/>
  <c r="EW70" i="1"/>
  <c r="EW73" i="1"/>
  <c r="EW198" i="1"/>
  <c r="EW100" i="1"/>
  <c r="EW154" i="1"/>
  <c r="EW81" i="1"/>
  <c r="EZ116" i="1"/>
  <c r="FD56" i="1"/>
  <c r="EI159" i="1"/>
  <c r="DS150" i="1"/>
  <c r="EW121" i="1"/>
  <c r="FD192" i="1"/>
  <c r="FD186" i="1"/>
  <c r="FD109" i="1"/>
  <c r="EI191" i="1"/>
  <c r="EI84" i="1"/>
  <c r="L176" i="1"/>
  <c r="EI170" i="1"/>
  <c r="FD142" i="1"/>
  <c r="EI189" i="1"/>
  <c r="EI50" i="1"/>
  <c r="EI171" i="1"/>
  <c r="EI60" i="1"/>
  <c r="EP47" i="1"/>
  <c r="DS144" i="1"/>
  <c r="DS152" i="1"/>
  <c r="FD113" i="1"/>
  <c r="FM44" i="1"/>
  <c r="EW61" i="1"/>
  <c r="EW91" i="1"/>
  <c r="EW6" i="1"/>
  <c r="EW167" i="1"/>
  <c r="AT173" i="1"/>
  <c r="FD106" i="1"/>
  <c r="FD20" i="1"/>
  <c r="FD172" i="1"/>
  <c r="FD62" i="1"/>
  <c r="FD5" i="1"/>
  <c r="FD167" i="1"/>
  <c r="FD201" i="1"/>
  <c r="FD147" i="1"/>
  <c r="FD71" i="1"/>
  <c r="FD189" i="1"/>
  <c r="FD82" i="1"/>
  <c r="FD196" i="1"/>
  <c r="FD66" i="1"/>
  <c r="FD11" i="1"/>
  <c r="FD70" i="1"/>
  <c r="FD125" i="1"/>
  <c r="FD49" i="1"/>
  <c r="FD119" i="1"/>
  <c r="FD53" i="1"/>
  <c r="FD76" i="1"/>
  <c r="EF116" i="1"/>
  <c r="EF79" i="1"/>
  <c r="FD65" i="1"/>
  <c r="FD30" i="1"/>
  <c r="FM69" i="1"/>
  <c r="FM158" i="1"/>
  <c r="FM127" i="1"/>
  <c r="FM93" i="1"/>
  <c r="FM169" i="1"/>
  <c r="EW115" i="1"/>
  <c r="EW118" i="1"/>
  <c r="EW31" i="1"/>
  <c r="EW17" i="1"/>
  <c r="EW37" i="1"/>
  <c r="FM191" i="1"/>
  <c r="FD143" i="1"/>
  <c r="EW11" i="1"/>
  <c r="EW24" i="1"/>
  <c r="EW75" i="1"/>
  <c r="EW179" i="1"/>
  <c r="EW113" i="1"/>
  <c r="EW55" i="1"/>
  <c r="EW146" i="1"/>
  <c r="EW45" i="1"/>
  <c r="EW191" i="1"/>
  <c r="EW157" i="1"/>
  <c r="EW5" i="1"/>
  <c r="EZ79" i="1"/>
  <c r="EZ58" i="1"/>
  <c r="DS174" i="1"/>
  <c r="EI182" i="1"/>
  <c r="EW169" i="1"/>
  <c r="EW172" i="1"/>
  <c r="EW139" i="1"/>
  <c r="DP25" i="1"/>
  <c r="FD132" i="1"/>
  <c r="FD179" i="1"/>
  <c r="DS161" i="1"/>
  <c r="FD44" i="1"/>
  <c r="EI125" i="1"/>
  <c r="EI124" i="1"/>
  <c r="EI105" i="1"/>
  <c r="EI194" i="1"/>
  <c r="EI118" i="1"/>
  <c r="DS186" i="1"/>
  <c r="FM136" i="1"/>
  <c r="FM77" i="1"/>
  <c r="FM61" i="1"/>
  <c r="FM156" i="1"/>
  <c r="FM146" i="1"/>
  <c r="FM143" i="1"/>
  <c r="FM189" i="1"/>
  <c r="FM138" i="1"/>
  <c r="FM140" i="1"/>
  <c r="FM31" i="1"/>
  <c r="FM72" i="1"/>
  <c r="FM124" i="1"/>
  <c r="FM166" i="1"/>
  <c r="FM190" i="1"/>
  <c r="FM197" i="1"/>
  <c r="FM4" i="1"/>
  <c r="FM164" i="1"/>
  <c r="FM201" i="1"/>
  <c r="FM67" i="1"/>
  <c r="FM83" i="1"/>
  <c r="FM120" i="1"/>
  <c r="FM148" i="1"/>
  <c r="FM112" i="1"/>
  <c r="FM62" i="1"/>
  <c r="FM29" i="1"/>
  <c r="FM176" i="1"/>
  <c r="FM137" i="1"/>
  <c r="FM3" i="1"/>
  <c r="FM129" i="1"/>
  <c r="FM185" i="1"/>
  <c r="FM139" i="1"/>
  <c r="FM99" i="1"/>
  <c r="FM141" i="1"/>
  <c r="FM6" i="1"/>
  <c r="FM94" i="1"/>
  <c r="FM155" i="1"/>
  <c r="FM76" i="1"/>
  <c r="FM179" i="1"/>
  <c r="FM131" i="1"/>
  <c r="FM196" i="1"/>
  <c r="FM116" i="1"/>
  <c r="FM202" i="1"/>
  <c r="FM96" i="1"/>
  <c r="FM163" i="1"/>
  <c r="FM111" i="1"/>
  <c r="FM95" i="1"/>
  <c r="FM16" i="1"/>
  <c r="FM115" i="1"/>
  <c r="FM160" i="1"/>
  <c r="FM133" i="1"/>
  <c r="FM8" i="1"/>
  <c r="FM184" i="1"/>
  <c r="FM142" i="1"/>
  <c r="FM152" i="1"/>
  <c r="FM168" i="1"/>
  <c r="FM58" i="1"/>
  <c r="FM130" i="1"/>
  <c r="FM51" i="1"/>
  <c r="FM97" i="1"/>
  <c r="FM198" i="1"/>
  <c r="FJ120" i="1"/>
  <c r="FJ35" i="1"/>
  <c r="FJ37" i="1"/>
  <c r="FJ84" i="1"/>
  <c r="FJ115" i="1"/>
  <c r="FJ86" i="1"/>
  <c r="FJ20" i="1"/>
  <c r="FJ161" i="1"/>
  <c r="FJ71" i="1"/>
  <c r="FJ51" i="1"/>
  <c r="FJ101" i="1"/>
  <c r="EN82" i="1"/>
  <c r="FJ186" i="1"/>
  <c r="FJ193" i="1"/>
  <c r="FJ44" i="1"/>
  <c r="FJ105" i="1"/>
  <c r="FJ47" i="1"/>
  <c r="FJ89" i="1"/>
  <c r="FJ91" i="1"/>
  <c r="FJ73" i="1"/>
  <c r="FJ145" i="1"/>
  <c r="FJ135" i="1"/>
  <c r="FJ181" i="1"/>
  <c r="FJ173" i="1"/>
  <c r="FJ182" i="1"/>
  <c r="FJ131" i="1"/>
  <c r="FJ162" i="1"/>
  <c r="FJ171" i="1"/>
  <c r="FJ83" i="1"/>
  <c r="FJ196" i="1"/>
  <c r="FJ205" i="1"/>
  <c r="FJ17" i="1"/>
  <c r="FJ81" i="1"/>
  <c r="FJ104" i="1"/>
  <c r="FJ197" i="1"/>
  <c r="FJ150" i="1"/>
  <c r="FJ164" i="1"/>
  <c r="FJ70" i="1"/>
  <c r="FJ64" i="1"/>
  <c r="FJ75" i="1"/>
  <c r="FJ42" i="1"/>
  <c r="FJ110" i="1"/>
  <c r="FJ134" i="1"/>
  <c r="FJ63" i="1"/>
  <c r="FJ116" i="1"/>
  <c r="FJ190" i="1"/>
  <c r="FJ88" i="1"/>
  <c r="FJ166" i="1"/>
  <c r="FJ168" i="1"/>
  <c r="FJ142" i="1"/>
  <c r="FJ204" i="1"/>
  <c r="FJ79" i="1"/>
  <c r="FJ46" i="1"/>
  <c r="FJ180" i="1"/>
  <c r="FJ165" i="1"/>
  <c r="FU13" i="1"/>
  <c r="FJ10" i="1"/>
  <c r="FJ68" i="1"/>
  <c r="FJ174" i="1"/>
  <c r="FJ30" i="1"/>
  <c r="FJ43" i="1"/>
  <c r="FJ5" i="1"/>
  <c r="FJ198" i="1"/>
  <c r="FJ90" i="1"/>
  <c r="FJ103" i="1"/>
  <c r="FJ133" i="1"/>
  <c r="FJ159" i="1"/>
  <c r="FJ127" i="1"/>
  <c r="FJ119" i="1"/>
  <c r="FJ188" i="1"/>
  <c r="FJ29" i="1"/>
  <c r="FJ124" i="1"/>
  <c r="FJ69" i="1"/>
  <c r="FJ137" i="1"/>
  <c r="EG46" i="1"/>
  <c r="FJ125" i="1"/>
  <c r="FJ72" i="1"/>
  <c r="FJ94" i="1"/>
  <c r="DL47" i="1"/>
  <c r="DV50" i="1"/>
  <c r="EO158" i="1"/>
  <c r="EO172" i="1"/>
  <c r="DL58" i="1"/>
  <c r="EI140" i="1"/>
  <c r="EI113" i="1"/>
  <c r="EI62" i="1"/>
  <c r="EI175" i="1"/>
  <c r="EI8" i="1"/>
  <c r="EI137" i="1"/>
  <c r="EI97" i="1"/>
  <c r="EI121" i="1"/>
  <c r="EI196" i="1"/>
  <c r="EI68" i="1"/>
  <c r="EI55" i="1"/>
  <c r="EI144" i="1"/>
  <c r="EI114" i="1"/>
  <c r="EI64" i="1"/>
  <c r="EI151" i="1"/>
  <c r="EI128" i="1"/>
  <c r="EP120" i="1"/>
  <c r="DS116" i="1"/>
  <c r="DS176" i="1"/>
  <c r="EI139" i="1"/>
  <c r="DS204" i="1"/>
  <c r="DS100" i="1"/>
  <c r="DB79" i="1"/>
  <c r="DS163" i="1"/>
  <c r="DS191" i="1"/>
  <c r="DS157" i="1"/>
  <c r="DS97" i="1"/>
  <c r="DS140" i="1"/>
  <c r="DS56" i="1"/>
  <c r="DS61" i="1"/>
  <c r="DS192" i="1"/>
  <c r="FD136" i="1"/>
  <c r="EI167" i="1"/>
  <c r="EI150" i="1"/>
  <c r="EI16" i="1"/>
  <c r="EI131" i="1"/>
  <c r="EI148" i="1"/>
  <c r="EI136" i="1"/>
  <c r="EI11" i="1"/>
  <c r="EI142" i="1"/>
  <c r="EI82" i="1"/>
  <c r="EI111" i="1"/>
  <c r="EI69" i="1"/>
  <c r="EI143" i="1"/>
  <c r="EI119" i="1"/>
  <c r="EI98" i="1"/>
  <c r="EI149" i="1"/>
  <c r="EI80" i="1"/>
  <c r="EI51" i="1"/>
  <c r="EI153" i="1"/>
  <c r="EI106" i="1"/>
  <c r="EI186" i="1"/>
  <c r="FD110" i="1"/>
  <c r="EP79" i="1"/>
  <c r="DB58" i="1"/>
  <c r="DS166" i="1"/>
  <c r="DS123" i="1"/>
  <c r="DS8" i="1"/>
  <c r="DS11" i="1"/>
  <c r="DS122" i="1"/>
  <c r="DB47" i="1"/>
  <c r="EI94" i="1"/>
  <c r="EI104" i="1"/>
  <c r="EI89" i="1"/>
  <c r="EI130" i="1"/>
  <c r="EI67" i="1"/>
  <c r="EI172" i="1"/>
  <c r="EI77" i="1"/>
  <c r="EI72" i="1"/>
  <c r="EI83" i="1"/>
  <c r="EI200" i="1"/>
  <c r="EI53" i="1"/>
  <c r="EI58" i="1"/>
  <c r="EI158" i="1"/>
  <c r="EI79" i="1"/>
  <c r="EI183" i="1"/>
  <c r="EI185" i="1"/>
  <c r="EI37" i="1"/>
  <c r="EI52" i="1"/>
  <c r="EI92" i="1"/>
  <c r="EI188" i="1"/>
  <c r="EI126" i="1"/>
  <c r="EI12" i="1"/>
  <c r="EI46" i="1"/>
  <c r="DS62" i="1"/>
  <c r="DS42" i="1"/>
  <c r="DS98" i="1"/>
  <c r="DS195" i="1"/>
  <c r="DS177" i="1"/>
  <c r="DS83" i="1"/>
  <c r="DS185" i="1"/>
  <c r="DS23" i="1"/>
  <c r="EO157" i="1"/>
  <c r="DB116" i="1"/>
  <c r="EI43" i="1"/>
  <c r="EI129" i="1"/>
  <c r="EI101" i="1"/>
  <c r="EI162" i="1"/>
  <c r="EI190" i="1"/>
  <c r="EI99" i="1"/>
  <c r="EI100" i="1"/>
  <c r="EI122" i="1"/>
  <c r="EI127" i="1"/>
  <c r="EI20" i="1"/>
  <c r="EI117" i="1"/>
  <c r="EI152" i="1"/>
  <c r="EI156" i="1"/>
  <c r="EI173" i="1"/>
  <c r="EI166" i="1"/>
  <c r="EI4" i="1"/>
  <c r="EI90" i="1"/>
  <c r="EI184" i="1"/>
  <c r="EI141" i="1"/>
  <c r="DS20" i="1"/>
  <c r="DS12" i="1"/>
  <c r="DS24" i="1"/>
  <c r="DS155" i="1"/>
  <c r="DS58" i="1"/>
  <c r="EI163" i="1"/>
  <c r="DS200" i="1"/>
  <c r="EI73" i="1"/>
  <c r="EI47" i="1"/>
  <c r="EO78" i="1"/>
  <c r="EI29" i="1"/>
  <c r="EI35" i="1"/>
  <c r="EI75" i="1"/>
  <c r="EI10" i="1"/>
  <c r="EI102" i="1"/>
  <c r="EI27" i="1"/>
  <c r="EI5" i="1"/>
  <c r="EI179" i="1"/>
  <c r="EI108" i="1"/>
  <c r="EI169" i="1"/>
  <c r="EI70" i="1"/>
  <c r="EI65" i="1"/>
  <c r="EI103" i="1"/>
  <c r="EI49" i="1"/>
  <c r="EI120" i="1"/>
  <c r="EI123" i="1"/>
  <c r="EI88" i="1"/>
  <c r="EI42" i="1"/>
  <c r="DS173" i="1"/>
  <c r="DS73" i="1"/>
  <c r="DS147" i="1"/>
  <c r="DS183" i="1"/>
  <c r="EI115" i="1"/>
  <c r="DS113" i="1"/>
  <c r="DV98" i="1"/>
  <c r="AT42" i="1"/>
  <c r="AS121" i="1"/>
  <c r="AU121" i="1" s="1"/>
  <c r="AT183" i="1"/>
  <c r="AS168" i="1"/>
  <c r="AU168" i="1" s="1"/>
  <c r="EI93" i="1"/>
  <c r="EI38" i="1"/>
  <c r="EI116" i="1"/>
  <c r="EI91" i="1"/>
  <c r="EI110" i="1"/>
  <c r="EI133" i="1"/>
  <c r="EI203" i="1"/>
  <c r="EI155" i="1"/>
  <c r="EI165" i="1"/>
  <c r="EI66" i="1"/>
  <c r="EI134" i="1"/>
  <c r="EI198" i="1"/>
  <c r="EI71" i="1"/>
  <c r="EI138" i="1"/>
  <c r="EI95" i="1"/>
  <c r="EI154" i="1"/>
  <c r="EI24" i="1"/>
  <c r="DS136" i="1"/>
  <c r="DS120" i="1"/>
  <c r="DS109" i="1"/>
  <c r="DS72" i="1"/>
  <c r="DS52" i="1"/>
  <c r="EI15" i="1"/>
  <c r="KC80" i="1"/>
  <c r="IX92" i="1"/>
  <c r="EH90" i="1"/>
  <c r="AS79" i="1"/>
  <c r="AU79" i="1" s="1"/>
  <c r="AS105" i="1"/>
  <c r="AU105" i="1" s="1"/>
  <c r="AS123" i="1"/>
  <c r="AU123" i="1" s="1"/>
  <c r="FB8" i="1"/>
  <c r="FC31" i="1"/>
  <c r="FC27" i="1"/>
  <c r="FV198" i="1"/>
  <c r="DD198" i="1"/>
  <c r="FC182" i="1"/>
  <c r="FG143" i="1"/>
  <c r="FG199" i="1"/>
  <c r="EN177" i="1"/>
  <c r="FG59" i="1"/>
  <c r="FG148" i="1"/>
  <c r="FG96" i="1"/>
  <c r="ET136" i="1"/>
  <c r="FC91" i="1"/>
  <c r="FC64" i="1"/>
  <c r="FC103" i="1"/>
  <c r="FC153" i="1"/>
  <c r="FC139" i="1"/>
  <c r="FC94" i="1"/>
  <c r="FC195" i="1"/>
  <c r="FC197" i="1"/>
  <c r="FC122" i="1"/>
  <c r="FC170" i="1"/>
  <c r="FC76" i="1"/>
  <c r="FC121" i="1"/>
  <c r="FC100" i="1"/>
  <c r="FC162" i="1"/>
  <c r="FC175" i="1"/>
  <c r="FC189" i="1"/>
  <c r="FG77" i="1"/>
  <c r="FG122" i="1"/>
  <c r="FC93" i="1"/>
  <c r="FG30" i="1"/>
  <c r="FG188" i="1"/>
  <c r="FG83" i="1"/>
  <c r="FG193" i="1"/>
  <c r="FG136" i="1"/>
  <c r="FG105" i="1"/>
  <c r="FG84" i="1"/>
  <c r="FG142" i="1"/>
  <c r="DZ185" i="1"/>
  <c r="DZ159" i="1"/>
  <c r="DZ103" i="1"/>
  <c r="DP136" i="1"/>
  <c r="DZ82" i="1"/>
  <c r="DZ105" i="1"/>
  <c r="DZ130" i="1"/>
  <c r="DZ102" i="1"/>
  <c r="DZ180" i="1"/>
  <c r="DZ25" i="1"/>
  <c r="DZ142" i="1"/>
  <c r="DZ150" i="1"/>
  <c r="DZ199" i="1"/>
  <c r="DZ67" i="1"/>
  <c r="DZ205" i="1"/>
  <c r="DZ157" i="1"/>
  <c r="DZ10" i="1"/>
  <c r="DZ182" i="1"/>
  <c r="DZ128" i="1"/>
  <c r="DZ29" i="1"/>
  <c r="DZ83" i="1"/>
  <c r="DZ98" i="1"/>
  <c r="DZ154" i="1"/>
  <c r="DX99" i="1"/>
  <c r="FB178" i="1"/>
  <c r="FX136" i="1"/>
  <c r="FC107" i="1"/>
  <c r="FG23" i="1"/>
  <c r="FJ61" i="1"/>
  <c r="AT88" i="1"/>
  <c r="AS9" i="1"/>
  <c r="AU9" i="1" s="1"/>
  <c r="EH99" i="1"/>
  <c r="EH106" i="1"/>
  <c r="EH55" i="1"/>
  <c r="ER162" i="1"/>
  <c r="FT130" i="1"/>
  <c r="AS88" i="1"/>
  <c r="AU88" i="1" s="1"/>
  <c r="AT79" i="1"/>
  <c r="FG29" i="1"/>
  <c r="FC29" i="1"/>
  <c r="EZ108" i="1"/>
  <c r="FV50" i="1"/>
  <c r="FC6" i="1"/>
  <c r="FC17" i="1"/>
  <c r="DX198" i="1"/>
  <c r="DZ95" i="1"/>
  <c r="DZ195" i="1"/>
  <c r="FG78" i="1"/>
  <c r="FG185" i="1"/>
  <c r="EH92" i="1"/>
  <c r="FV30" i="1"/>
  <c r="FV55" i="1"/>
  <c r="FV114" i="1"/>
  <c r="FC88" i="1"/>
  <c r="FC106" i="1"/>
  <c r="FC44" i="1"/>
  <c r="FC179" i="1"/>
  <c r="FC81" i="1"/>
  <c r="FC83" i="1"/>
  <c r="FC115" i="1"/>
  <c r="FC151" i="1"/>
  <c r="FC65" i="1"/>
  <c r="FC150" i="1"/>
  <c r="FC165" i="1"/>
  <c r="FC114" i="1"/>
  <c r="FC167" i="1"/>
  <c r="FC62" i="1"/>
  <c r="FC73" i="1"/>
  <c r="FC45" i="1"/>
  <c r="FC110" i="1"/>
  <c r="FG162" i="1"/>
  <c r="FG144" i="1"/>
  <c r="FG88" i="1"/>
  <c r="FG12" i="1"/>
  <c r="FG132" i="1"/>
  <c r="FG204" i="1"/>
  <c r="FG177" i="1"/>
  <c r="FG5" i="1"/>
  <c r="FG37" i="1"/>
  <c r="AT119" i="1"/>
  <c r="DZ51" i="1"/>
  <c r="DZ35" i="1"/>
  <c r="DZ198" i="1"/>
  <c r="DZ194" i="1"/>
  <c r="DZ193" i="1"/>
  <c r="DZ15" i="1"/>
  <c r="DZ203" i="1"/>
  <c r="DZ8" i="1"/>
  <c r="DZ161" i="1"/>
  <c r="DZ77" i="1"/>
  <c r="DZ144" i="1"/>
  <c r="DZ99" i="1"/>
  <c r="DZ120" i="1"/>
  <c r="DZ122" i="1"/>
  <c r="DZ135" i="1"/>
  <c r="DZ113" i="1"/>
  <c r="DZ179" i="1"/>
  <c r="DZ45" i="1"/>
  <c r="DZ141" i="1"/>
  <c r="DZ60" i="1"/>
  <c r="FB114" i="1"/>
  <c r="FC184" i="1"/>
  <c r="IX90" i="1"/>
  <c r="FG17" i="1"/>
  <c r="FG98" i="1"/>
  <c r="EF78" i="1"/>
  <c r="FT25" i="1"/>
  <c r="AT16" i="1"/>
  <c r="FG157" i="1"/>
  <c r="AS58" i="1"/>
  <c r="AU58" i="1" s="1"/>
  <c r="AS50" i="1"/>
  <c r="AU50" i="1" s="1"/>
  <c r="EN165" i="1"/>
  <c r="L146" i="1"/>
  <c r="FG203" i="1"/>
  <c r="FC30" i="1"/>
  <c r="EH198" i="1"/>
  <c r="DZ62" i="1"/>
  <c r="FC157" i="1"/>
  <c r="DZ156" i="1"/>
  <c r="FG167" i="1"/>
  <c r="FG36" i="1"/>
  <c r="EH108" i="1"/>
  <c r="FV92" i="1"/>
  <c r="FV156" i="1"/>
  <c r="FC134" i="1"/>
  <c r="FC149" i="1"/>
  <c r="FC77" i="1"/>
  <c r="FC137" i="1"/>
  <c r="FC111" i="1"/>
  <c r="FC186" i="1"/>
  <c r="FC169" i="1"/>
  <c r="FC201" i="1"/>
  <c r="FC190" i="1"/>
  <c r="FC148" i="1"/>
  <c r="FC119" i="1"/>
  <c r="FC67" i="1"/>
  <c r="FC113" i="1"/>
  <c r="FC78" i="1"/>
  <c r="FC120" i="1"/>
  <c r="FC163" i="1"/>
  <c r="FC98" i="1"/>
  <c r="FG52" i="1"/>
  <c r="FG169" i="1"/>
  <c r="FG127" i="1"/>
  <c r="FG139" i="1"/>
  <c r="FG58" i="1"/>
  <c r="FG94" i="1"/>
  <c r="FG50" i="1"/>
  <c r="FG152" i="1"/>
  <c r="FG61" i="1"/>
  <c r="DZ13" i="1"/>
  <c r="FG154" i="1"/>
  <c r="DZ46" i="1"/>
  <c r="DZ104" i="1"/>
  <c r="DZ76" i="1"/>
  <c r="DZ158" i="1"/>
  <c r="FG11" i="1"/>
  <c r="DZ118" i="1"/>
  <c r="DZ73" i="1"/>
  <c r="DZ169" i="1"/>
  <c r="DZ44" i="1"/>
  <c r="DZ69" i="1"/>
  <c r="DZ153" i="1"/>
  <c r="DZ110" i="1"/>
  <c r="DZ79" i="1"/>
  <c r="DZ202" i="1"/>
  <c r="DZ31" i="1"/>
  <c r="DZ6" i="1"/>
  <c r="DZ187" i="1"/>
  <c r="DZ177" i="1"/>
  <c r="DZ188" i="1"/>
  <c r="DZ176" i="1"/>
  <c r="DZ63" i="1"/>
  <c r="IN15" i="1"/>
  <c r="IN90" i="1"/>
  <c r="IN105" i="1"/>
  <c r="IN66" i="1"/>
  <c r="IN92" i="1"/>
  <c r="EF130" i="1"/>
  <c r="GP15" i="1"/>
  <c r="GP92" i="1"/>
  <c r="GP105" i="1"/>
  <c r="GP66" i="1"/>
  <c r="GP90" i="1"/>
  <c r="FJ13" i="1"/>
  <c r="EH104" i="1"/>
  <c r="FG137" i="1"/>
  <c r="EH8" i="1"/>
  <c r="FJ25" i="1"/>
  <c r="EH178" i="1"/>
  <c r="AS19" i="1"/>
  <c r="AU19" i="1" s="1"/>
  <c r="AT146" i="1"/>
  <c r="FC35" i="1"/>
  <c r="FC16" i="1"/>
  <c r="FC145" i="1"/>
  <c r="FG175" i="1"/>
  <c r="EN77" i="1"/>
  <c r="FG130" i="1"/>
  <c r="ID15" i="1"/>
  <c r="ID66" i="1"/>
  <c r="ID105" i="1"/>
  <c r="ID90" i="1"/>
  <c r="ID92" i="1"/>
  <c r="FG172" i="1"/>
  <c r="FV104" i="1"/>
  <c r="FC176" i="1"/>
  <c r="FC141" i="1"/>
  <c r="FC200" i="1"/>
  <c r="FC164" i="1"/>
  <c r="FC204" i="1"/>
  <c r="FC185" i="1"/>
  <c r="FC11" i="1"/>
  <c r="FC53" i="1"/>
  <c r="FC80" i="1"/>
  <c r="FC90" i="1"/>
  <c r="FC192" i="1"/>
  <c r="FC96" i="1"/>
  <c r="FC55" i="1"/>
  <c r="FC79" i="1"/>
  <c r="FC181" i="1"/>
  <c r="FC125" i="1"/>
  <c r="FC68" i="1"/>
  <c r="FC127" i="1"/>
  <c r="FC116" i="1"/>
  <c r="FG71" i="1"/>
  <c r="AS61" i="1"/>
  <c r="AU61" i="1" s="1"/>
  <c r="FG115" i="1"/>
  <c r="FG76" i="1"/>
  <c r="FG80" i="1"/>
  <c r="FG197" i="1"/>
  <c r="FG7" i="1"/>
  <c r="FG205" i="1"/>
  <c r="FG134" i="1"/>
  <c r="FG149" i="1"/>
  <c r="FG15" i="1"/>
  <c r="DZ117" i="1"/>
  <c r="FG190" i="1"/>
  <c r="DZ139" i="1"/>
  <c r="DZ59" i="1"/>
  <c r="DZ91" i="1"/>
  <c r="DD108" i="1"/>
  <c r="DZ96" i="1"/>
  <c r="DZ53" i="1"/>
  <c r="DZ16" i="1"/>
  <c r="DZ71" i="1"/>
  <c r="DZ136" i="1"/>
  <c r="DZ163" i="1"/>
  <c r="DZ160" i="1"/>
  <c r="DZ184" i="1"/>
  <c r="DZ92" i="1"/>
  <c r="DZ109" i="1"/>
  <c r="DZ42" i="1"/>
  <c r="JH15" i="1"/>
  <c r="JH92" i="1"/>
  <c r="JH66" i="1"/>
  <c r="JH90" i="1"/>
  <c r="JH105" i="1"/>
  <c r="DZ7" i="1"/>
  <c r="DZ152" i="1"/>
  <c r="DX92" i="1"/>
  <c r="DZ81" i="1"/>
  <c r="EN69" i="1"/>
  <c r="DZ86" i="1"/>
  <c r="EF108" i="1"/>
  <c r="FJ130" i="1"/>
  <c r="AT123" i="1"/>
  <c r="L19" i="1"/>
  <c r="AS104" i="1"/>
  <c r="AU104" i="1" s="1"/>
  <c r="EZ130" i="1"/>
  <c r="FC15" i="1"/>
  <c r="FC20" i="1"/>
  <c r="FC42" i="1"/>
  <c r="DZ37" i="1"/>
  <c r="DN50" i="1"/>
  <c r="DZ50" i="1"/>
  <c r="FC180" i="1"/>
  <c r="DZ175" i="1"/>
  <c r="DZ204" i="1"/>
  <c r="FG200" i="1"/>
  <c r="FG91" i="1"/>
  <c r="FG62" i="1"/>
  <c r="EH175" i="1"/>
  <c r="FG79" i="1"/>
  <c r="FC75" i="1"/>
  <c r="FC130" i="1"/>
  <c r="FC99" i="1"/>
  <c r="FC82" i="1"/>
  <c r="FC50" i="1"/>
  <c r="FC174" i="1"/>
  <c r="FC126" i="1"/>
  <c r="FC128" i="1"/>
  <c r="FC59" i="1"/>
  <c r="FC60" i="1"/>
  <c r="FC144" i="1"/>
  <c r="FC89" i="1"/>
  <c r="FC160" i="1"/>
  <c r="FC102" i="1"/>
  <c r="FC108" i="1"/>
  <c r="FC177" i="1"/>
  <c r="FC4" i="1"/>
  <c r="FC171" i="1"/>
  <c r="FC97" i="1"/>
  <c r="DZ140" i="1"/>
  <c r="DN99" i="1"/>
  <c r="FG90" i="1"/>
  <c r="FG44" i="1"/>
  <c r="FG64" i="1"/>
  <c r="FG113" i="1"/>
  <c r="FG72" i="1"/>
  <c r="FG160" i="1"/>
  <c r="FG182" i="1"/>
  <c r="FG140" i="1"/>
  <c r="DZ143" i="1"/>
  <c r="DZ58" i="1"/>
  <c r="DZ171" i="1"/>
  <c r="DZ80" i="1"/>
  <c r="DZ129" i="1"/>
  <c r="DZ68" i="1"/>
  <c r="DZ192" i="1"/>
  <c r="DZ61" i="1"/>
  <c r="DZ52" i="1"/>
  <c r="DZ108" i="1"/>
  <c r="DZ149" i="1"/>
  <c r="DZ90" i="1"/>
  <c r="DZ200" i="1"/>
  <c r="DZ72" i="1"/>
  <c r="DZ155" i="1"/>
  <c r="DZ183" i="1"/>
  <c r="DZ168" i="1"/>
  <c r="DZ134" i="1"/>
  <c r="DZ24" i="1"/>
  <c r="DZ93" i="1"/>
  <c r="DZ111" i="1"/>
  <c r="EN189" i="1"/>
  <c r="DZ127" i="1"/>
  <c r="DN92" i="1"/>
  <c r="FC46" i="1"/>
  <c r="KB15" i="1"/>
  <c r="KB92" i="1"/>
  <c r="KB90" i="1"/>
  <c r="KB66" i="1"/>
  <c r="KB105" i="1"/>
  <c r="GF15" i="1"/>
  <c r="GF105" i="1"/>
  <c r="GF66" i="1"/>
  <c r="GF90" i="1"/>
  <c r="GF92" i="1"/>
  <c r="EZ140" i="1"/>
  <c r="EF13" i="1"/>
  <c r="FG38" i="1"/>
  <c r="FT13" i="1"/>
  <c r="JR15" i="1"/>
  <c r="JR90" i="1"/>
  <c r="JR92" i="1"/>
  <c r="JR105" i="1"/>
  <c r="EF61" i="1"/>
  <c r="FT61" i="1"/>
  <c r="AS192" i="1"/>
  <c r="AU192" i="1" s="1"/>
  <c r="EH114" i="1"/>
  <c r="EN168" i="1"/>
  <c r="FC52" i="1"/>
  <c r="L104" i="1"/>
  <c r="FG43" i="1"/>
  <c r="FC38" i="1"/>
  <c r="FC3" i="1"/>
  <c r="FC37" i="1"/>
  <c r="EB13" i="1"/>
  <c r="FG35" i="1"/>
  <c r="AS145" i="1"/>
  <c r="AU145" i="1" s="1"/>
  <c r="FB50" i="1"/>
  <c r="DZ119" i="1"/>
  <c r="FG174" i="1"/>
  <c r="FG184" i="1"/>
  <c r="FG198" i="1"/>
  <c r="FG6" i="1"/>
  <c r="FG187" i="1"/>
  <c r="FG60" i="1"/>
  <c r="EH142" i="1"/>
  <c r="FC95" i="1"/>
  <c r="FC72" i="1"/>
  <c r="FC196" i="1"/>
  <c r="FC112" i="1"/>
  <c r="FC92" i="1"/>
  <c r="FC51" i="1"/>
  <c r="FC25" i="1"/>
  <c r="FC158" i="1"/>
  <c r="FC194" i="1"/>
  <c r="FC138" i="1"/>
  <c r="FC166" i="1"/>
  <c r="FC66" i="1"/>
  <c r="FC168" i="1"/>
  <c r="FC131" i="1"/>
  <c r="FC70" i="1"/>
  <c r="FC117" i="1"/>
  <c r="FG102" i="1"/>
  <c r="FG163" i="1"/>
  <c r="FC191" i="1"/>
  <c r="FC146" i="1"/>
  <c r="EV13" i="1"/>
  <c r="FG123" i="1"/>
  <c r="FG8" i="1"/>
  <c r="FC61" i="1"/>
  <c r="DD90" i="1"/>
  <c r="FG129" i="1"/>
  <c r="FG171" i="1"/>
  <c r="DZ164" i="1"/>
  <c r="DZ88" i="1"/>
  <c r="DZ186" i="1"/>
  <c r="DZ191" i="1"/>
  <c r="DZ137" i="1"/>
  <c r="DZ166" i="1"/>
  <c r="DZ148" i="1"/>
  <c r="DZ30" i="1"/>
  <c r="DZ189" i="1"/>
  <c r="DZ20" i="1"/>
  <c r="DZ49" i="1"/>
  <c r="DZ78" i="1"/>
  <c r="DZ181" i="1"/>
  <c r="DZ97" i="1"/>
  <c r="DZ12" i="1"/>
  <c r="DZ173" i="1"/>
  <c r="DZ106" i="1"/>
  <c r="DZ66" i="1"/>
  <c r="DZ197" i="1"/>
  <c r="FB108" i="1"/>
  <c r="JR66" i="1"/>
  <c r="IN79" i="1"/>
  <c r="AT28" i="1"/>
  <c r="FG166" i="1"/>
  <c r="EH30" i="1"/>
  <c r="AT145" i="1"/>
  <c r="AS153" i="1"/>
  <c r="AU153" i="1" s="1"/>
  <c r="EH156" i="1"/>
  <c r="GZ15" i="1"/>
  <c r="GZ90" i="1"/>
  <c r="GZ92" i="1"/>
  <c r="GZ66" i="1"/>
  <c r="GZ105" i="1"/>
  <c r="AT105" i="1"/>
  <c r="AS129" i="1"/>
  <c r="AU129" i="1" s="1"/>
  <c r="FC23" i="1"/>
  <c r="EZ13" i="1"/>
  <c r="DZ75" i="1"/>
  <c r="FG31" i="1"/>
  <c r="FC24" i="1"/>
  <c r="FC43" i="1"/>
  <c r="FL198" i="1"/>
  <c r="FC5" i="1"/>
  <c r="DD50" i="1"/>
  <c r="DZ56" i="1"/>
  <c r="DZ126" i="1"/>
  <c r="DZ114" i="1"/>
  <c r="FC178" i="1"/>
  <c r="FC199" i="1"/>
  <c r="DZ170" i="1"/>
  <c r="FG150" i="1"/>
  <c r="FG51" i="1"/>
  <c r="FG191" i="1"/>
  <c r="FG24" i="1"/>
  <c r="FG95" i="1"/>
  <c r="FV175" i="1"/>
  <c r="FV106" i="1"/>
  <c r="FC7" i="1"/>
  <c r="FC173" i="1"/>
  <c r="FC71" i="1"/>
  <c r="FC109" i="1"/>
  <c r="FC152" i="1"/>
  <c r="FC161" i="1"/>
  <c r="FC49" i="1"/>
  <c r="FC129" i="1"/>
  <c r="FC193" i="1"/>
  <c r="FC84" i="1"/>
  <c r="FC142" i="1"/>
  <c r="FC104" i="1"/>
  <c r="FC118" i="1"/>
  <c r="FC54" i="1"/>
  <c r="FC155" i="1"/>
  <c r="FC198" i="1"/>
  <c r="DD55" i="1"/>
  <c r="HJ15" i="1"/>
  <c r="HJ92" i="1"/>
  <c r="HJ66" i="1"/>
  <c r="HJ90" i="1"/>
  <c r="HJ105" i="1"/>
  <c r="FC105" i="1"/>
  <c r="FG194" i="1"/>
  <c r="FG159" i="1"/>
  <c r="FG53" i="1"/>
  <c r="FG10" i="1"/>
  <c r="FG158" i="1"/>
  <c r="IX59" i="1"/>
  <c r="IX66" i="1"/>
  <c r="FG170" i="1"/>
  <c r="FG141" i="1"/>
  <c r="DZ146" i="1"/>
  <c r="FG161" i="1"/>
  <c r="DD99" i="1"/>
  <c r="DZ94" i="1"/>
  <c r="DZ167" i="1"/>
  <c r="DZ124" i="1"/>
  <c r="DZ190" i="1"/>
  <c r="DZ132" i="1"/>
  <c r="DZ116" i="1"/>
  <c r="DZ131" i="1"/>
  <c r="DZ27" i="1"/>
  <c r="DZ151" i="1"/>
  <c r="DZ178" i="1"/>
  <c r="DZ112" i="1"/>
  <c r="DZ121" i="1"/>
  <c r="DV23" i="1"/>
  <c r="EM170" i="1"/>
  <c r="EM200" i="1"/>
  <c r="EM103" i="1"/>
  <c r="EI132" i="1"/>
  <c r="DS107" i="1"/>
  <c r="EM152" i="1"/>
  <c r="EM124" i="1"/>
  <c r="DS26" i="1"/>
  <c r="EM203" i="1"/>
  <c r="GF54" i="1"/>
  <c r="EM45" i="1"/>
  <c r="EM62" i="1"/>
  <c r="EM100" i="1"/>
  <c r="DV25" i="1"/>
  <c r="EM27" i="1"/>
  <c r="DD86" i="1"/>
  <c r="EM144" i="1"/>
  <c r="EM201" i="1"/>
  <c r="DV127" i="1"/>
  <c r="DV100" i="1"/>
  <c r="DV73" i="1"/>
  <c r="EM77" i="1"/>
  <c r="DV194" i="1"/>
  <c r="EM15" i="1"/>
  <c r="DV47" i="1"/>
  <c r="EM69" i="1"/>
  <c r="EM11" i="1"/>
  <c r="EM147" i="1"/>
  <c r="EM108" i="1"/>
  <c r="DV68" i="1"/>
  <c r="DV58" i="1"/>
  <c r="DV163" i="1"/>
  <c r="EM6" i="1"/>
  <c r="DV186" i="1"/>
  <c r="FM199" i="1"/>
  <c r="EM180" i="1"/>
  <c r="EM127" i="1"/>
  <c r="EM29" i="1"/>
  <c r="EM172" i="1"/>
  <c r="DV185" i="1"/>
  <c r="DV159" i="1"/>
  <c r="DV105" i="1"/>
  <c r="DV114" i="1"/>
  <c r="EM199" i="1"/>
  <c r="DV131" i="1"/>
  <c r="DV94" i="1"/>
  <c r="DV36" i="1"/>
  <c r="EM79" i="1"/>
  <c r="EM122" i="1"/>
  <c r="DF47" i="1"/>
  <c r="EV26" i="1"/>
  <c r="AT148" i="1"/>
  <c r="EJ162" i="1"/>
  <c r="EJ152" i="1"/>
  <c r="EJ166" i="1"/>
  <c r="EO96" i="1"/>
  <c r="EO142" i="1"/>
  <c r="EJ55" i="1"/>
  <c r="EJ199" i="1"/>
  <c r="EJ160" i="1"/>
  <c r="EJ65" i="1"/>
  <c r="EJ142" i="1"/>
  <c r="EJ203" i="1"/>
  <c r="EJ196" i="1"/>
  <c r="EJ103" i="1"/>
  <c r="EJ200" i="1"/>
  <c r="EJ182" i="1"/>
  <c r="EJ72" i="1"/>
  <c r="EJ122" i="1"/>
  <c r="EJ132" i="1"/>
  <c r="EJ79" i="1"/>
  <c r="EJ112" i="1"/>
  <c r="DX135" i="1"/>
  <c r="DB45" i="1"/>
  <c r="EJ169" i="1"/>
  <c r="EJ204" i="1"/>
  <c r="EO149" i="1"/>
  <c r="EO141" i="1"/>
  <c r="EJ105" i="1"/>
  <c r="EJ179" i="1"/>
  <c r="EJ138" i="1"/>
  <c r="EJ168" i="1"/>
  <c r="EJ172" i="1"/>
  <c r="EJ93" i="1"/>
  <c r="EJ129" i="1"/>
  <c r="EJ116" i="1"/>
  <c r="EJ106" i="1"/>
  <c r="EJ25" i="1"/>
  <c r="EJ187" i="1"/>
  <c r="EJ144" i="1"/>
  <c r="EJ174" i="1"/>
  <c r="EJ171" i="1"/>
  <c r="DD54" i="1"/>
  <c r="EJ90" i="1"/>
  <c r="EJ118" i="1"/>
  <c r="DB122" i="1"/>
  <c r="DN185" i="1"/>
  <c r="AT26" i="1"/>
  <c r="AT72" i="1"/>
  <c r="EJ119" i="1"/>
  <c r="EJ202" i="1"/>
  <c r="EJ7" i="1"/>
  <c r="EJ15" i="1"/>
  <c r="EJ101" i="1"/>
  <c r="EJ3" i="1"/>
  <c r="AT32" i="1"/>
  <c r="EJ71" i="1"/>
  <c r="EJ190" i="1"/>
  <c r="EJ84" i="1"/>
  <c r="EJ156" i="1"/>
  <c r="EJ170" i="1"/>
  <c r="EO37" i="1"/>
  <c r="EH184" i="1"/>
  <c r="EO176" i="1"/>
  <c r="EO150" i="1"/>
  <c r="EJ108" i="1"/>
  <c r="EJ186" i="1"/>
  <c r="EJ88" i="1"/>
  <c r="EJ36" i="1"/>
  <c r="EJ98" i="1"/>
  <c r="EJ153" i="1"/>
  <c r="EJ178" i="1"/>
  <c r="EJ155" i="1"/>
  <c r="EJ128" i="1"/>
  <c r="AT176" i="1"/>
  <c r="EJ205" i="1"/>
  <c r="EJ52" i="1"/>
  <c r="DD185" i="1"/>
  <c r="EJ45" i="1"/>
  <c r="EJ130" i="1"/>
  <c r="EJ193" i="1"/>
  <c r="AS113" i="1"/>
  <c r="AU113" i="1" s="1"/>
  <c r="EO153" i="1"/>
  <c r="EJ197" i="1"/>
  <c r="EJ23" i="1"/>
  <c r="EJ95" i="1"/>
  <c r="EJ56" i="1"/>
  <c r="DO135" i="1"/>
  <c r="EO146" i="1"/>
  <c r="EO79" i="1"/>
  <c r="EO129" i="1"/>
  <c r="EJ70" i="1"/>
  <c r="EJ91" i="1"/>
  <c r="EJ201" i="1"/>
  <c r="EJ96" i="1"/>
  <c r="EJ89" i="1"/>
  <c r="EJ124" i="1"/>
  <c r="EJ46" i="1"/>
  <c r="EJ54" i="1"/>
  <c r="EJ136" i="1"/>
  <c r="AT199" i="1"/>
  <c r="AS199" i="1"/>
  <c r="AU199" i="1" s="1"/>
  <c r="EJ189" i="1"/>
  <c r="EJ149" i="1"/>
  <c r="EJ69" i="1"/>
  <c r="EJ86" i="1"/>
  <c r="AT60" i="1"/>
  <c r="AT90" i="1"/>
  <c r="AT84" i="1"/>
  <c r="EJ29" i="1"/>
  <c r="EJ62" i="1"/>
  <c r="EJ139" i="1"/>
  <c r="EJ17" i="1"/>
  <c r="EJ5" i="1"/>
  <c r="EJ12" i="1"/>
  <c r="EJ27" i="1"/>
  <c r="EJ37" i="1"/>
  <c r="EJ43" i="1"/>
  <c r="EJ126" i="1"/>
  <c r="DU10" i="1"/>
  <c r="FJ140" i="1"/>
  <c r="AS32" i="1"/>
  <c r="AU32" i="1" s="1"/>
  <c r="AS90" i="1"/>
  <c r="AU90" i="1" s="1"/>
  <c r="EJ58" i="1"/>
  <c r="AT136" i="1"/>
  <c r="EJ4" i="1"/>
  <c r="EI135" i="1"/>
  <c r="FV185" i="1"/>
  <c r="EH185" i="1"/>
  <c r="EO27" i="1"/>
  <c r="EO205" i="1"/>
  <c r="EO30" i="1"/>
  <c r="EJ92" i="1"/>
  <c r="EJ173" i="1"/>
  <c r="EJ194" i="1"/>
  <c r="EJ192" i="1"/>
  <c r="EJ78" i="1"/>
  <c r="EJ177" i="1"/>
  <c r="EJ161" i="1"/>
  <c r="EJ150" i="1"/>
  <c r="EJ59" i="1"/>
  <c r="EJ47" i="1"/>
  <c r="EJ110" i="1"/>
  <c r="EJ159" i="1"/>
  <c r="EJ146" i="1"/>
  <c r="EJ127" i="1"/>
  <c r="EJ134" i="1"/>
  <c r="EP45" i="1"/>
  <c r="EJ20" i="1"/>
  <c r="EJ42" i="1"/>
  <c r="EJ24" i="1"/>
  <c r="EJ31" i="1"/>
  <c r="EJ83" i="1"/>
  <c r="EJ180" i="1"/>
  <c r="L194" i="1"/>
  <c r="EO23" i="1"/>
  <c r="EJ68" i="1"/>
  <c r="L136" i="1"/>
  <c r="EJ114" i="1"/>
  <c r="EJ175" i="1"/>
  <c r="AS60" i="1"/>
  <c r="AU60" i="1" s="1"/>
  <c r="DU181" i="1"/>
  <c r="FV176" i="1"/>
  <c r="DU200" i="1"/>
  <c r="EO123" i="1"/>
  <c r="EO58" i="1"/>
  <c r="EO45" i="1"/>
  <c r="EJ123" i="1"/>
  <c r="EJ137" i="1"/>
  <c r="EJ176" i="1"/>
  <c r="EJ163" i="1"/>
  <c r="EJ81" i="1"/>
  <c r="EJ73" i="1"/>
  <c r="EJ143" i="1"/>
  <c r="EJ53" i="1"/>
  <c r="EJ184" i="1"/>
  <c r="EJ164" i="1"/>
  <c r="EJ111" i="1"/>
  <c r="EJ191" i="1"/>
  <c r="EJ167" i="1"/>
  <c r="EJ94" i="1"/>
  <c r="EJ109" i="1"/>
  <c r="FB185" i="1"/>
  <c r="EO166" i="1"/>
  <c r="EJ35" i="1"/>
  <c r="EJ76" i="1"/>
  <c r="EJ6" i="1"/>
  <c r="EJ38" i="1"/>
  <c r="EH52" i="1"/>
  <c r="AT93" i="1"/>
  <c r="AS93" i="1"/>
  <c r="AU93" i="1" s="1"/>
  <c r="AS72" i="1"/>
  <c r="AU72" i="1" s="1"/>
  <c r="EJ80" i="1"/>
  <c r="EJ181" i="1"/>
  <c r="EJ195" i="1"/>
  <c r="EO136" i="1"/>
  <c r="EO31" i="1"/>
  <c r="EJ135" i="1"/>
  <c r="EJ154" i="1"/>
  <c r="EJ82" i="1"/>
  <c r="EJ49" i="1"/>
  <c r="EJ148" i="1"/>
  <c r="EJ198" i="1"/>
  <c r="EJ185" i="1"/>
  <c r="EJ183" i="1"/>
  <c r="AS66" i="1"/>
  <c r="AU66" i="1" s="1"/>
  <c r="EJ133" i="1"/>
  <c r="EJ120" i="1"/>
  <c r="EJ61" i="1"/>
  <c r="EJ165" i="1"/>
  <c r="EJ102" i="1"/>
  <c r="EJ125" i="1"/>
  <c r="EJ147" i="1"/>
  <c r="DL122" i="1"/>
  <c r="EO81" i="1"/>
  <c r="IN23" i="1"/>
  <c r="IX78" i="1"/>
  <c r="IX15" i="1"/>
  <c r="EH10" i="1"/>
  <c r="FV10" i="1"/>
  <c r="ID35" i="1"/>
  <c r="ID98" i="1"/>
  <c r="ID104" i="1"/>
  <c r="IN104" i="1"/>
  <c r="IN98" i="1"/>
  <c r="GP104" i="1"/>
  <c r="GP98" i="1"/>
  <c r="KB38" i="1"/>
  <c r="KB98" i="1"/>
  <c r="KB104" i="1"/>
  <c r="GF38" i="1"/>
  <c r="GF98" i="1"/>
  <c r="GF104" i="1"/>
  <c r="IX104" i="1"/>
  <c r="JR98" i="1"/>
  <c r="JR104" i="1"/>
  <c r="GZ104" i="1"/>
  <c r="GZ98" i="1"/>
  <c r="JH104" i="1"/>
  <c r="JH98" i="1"/>
  <c r="HJ104" i="1"/>
  <c r="HJ98" i="1"/>
  <c r="IX98" i="1"/>
  <c r="ET47" i="1"/>
  <c r="ER94" i="1"/>
  <c r="DN141" i="1"/>
  <c r="ER198" i="1"/>
  <c r="ER91" i="1"/>
  <c r="ER204" i="1"/>
  <c r="ER179" i="1"/>
  <c r="ER158" i="1"/>
  <c r="FV38" i="1"/>
  <c r="ER203" i="1"/>
  <c r="ER97" i="1"/>
  <c r="ER17" i="1"/>
  <c r="ER50" i="1"/>
  <c r="ER129" i="1"/>
  <c r="DN71" i="1"/>
  <c r="EC47" i="1"/>
  <c r="ER163" i="1"/>
  <c r="ER5" i="1"/>
  <c r="DX38" i="1"/>
  <c r="ER171" i="1"/>
  <c r="DD71" i="1"/>
  <c r="ER112" i="1"/>
  <c r="FB84" i="1"/>
  <c r="KB7" i="1"/>
  <c r="GF7" i="1"/>
  <c r="GZ36" i="1"/>
  <c r="GZ91" i="1"/>
  <c r="GZ78" i="1"/>
  <c r="ID62" i="1"/>
  <c r="ID91" i="1"/>
  <c r="ID78" i="1"/>
  <c r="KB79" i="1"/>
  <c r="KB91" i="1"/>
  <c r="GF61" i="1"/>
  <c r="GF91" i="1"/>
  <c r="GF78" i="1"/>
  <c r="IX91" i="1"/>
  <c r="JH61" i="1"/>
  <c r="JH78" i="1"/>
  <c r="JH91" i="1"/>
  <c r="JH77" i="1"/>
  <c r="IN36" i="1"/>
  <c r="IN91" i="1"/>
  <c r="IN78" i="1"/>
  <c r="JH76" i="1"/>
  <c r="IN43" i="1"/>
  <c r="IN35" i="1"/>
  <c r="GP36" i="1"/>
  <c r="GP91" i="1"/>
  <c r="GP78" i="1"/>
  <c r="JH53" i="1"/>
  <c r="JH35" i="1"/>
  <c r="IN62" i="1"/>
  <c r="HJ78" i="1"/>
  <c r="HJ91" i="1"/>
  <c r="JR36" i="1"/>
  <c r="JR78" i="1"/>
  <c r="JR91" i="1"/>
  <c r="GZ62" i="1"/>
  <c r="GZ82" i="1"/>
  <c r="GP82" i="1"/>
  <c r="EQ150" i="1"/>
  <c r="EQ138" i="1"/>
  <c r="EL109" i="1"/>
  <c r="EQ142" i="1"/>
  <c r="EQ111" i="1"/>
  <c r="HU31" i="1"/>
  <c r="HU4" i="1"/>
  <c r="EL179" i="1"/>
  <c r="EO191" i="1"/>
  <c r="EO44" i="1"/>
  <c r="EO119" i="1"/>
  <c r="EO118" i="1"/>
  <c r="EO36" i="1"/>
  <c r="EO26" i="1"/>
  <c r="EO80" i="1"/>
  <c r="EO103" i="1"/>
  <c r="EO204" i="1"/>
  <c r="EO91" i="1"/>
  <c r="EO66" i="1"/>
  <c r="EO11" i="1"/>
  <c r="EO177" i="1"/>
  <c r="EO185" i="1"/>
  <c r="EO93" i="1"/>
  <c r="EO140" i="1"/>
  <c r="EO156" i="1"/>
  <c r="EO97" i="1"/>
  <c r="EO164" i="1"/>
  <c r="EO179" i="1"/>
  <c r="EH61" i="1"/>
  <c r="EH200" i="1"/>
  <c r="JH62" i="1"/>
  <c r="FM12" i="1"/>
  <c r="EO85" i="1"/>
  <c r="EO15" i="1"/>
  <c r="EO63" i="1"/>
  <c r="EO159" i="1"/>
  <c r="EO139" i="1"/>
  <c r="EO56" i="1"/>
  <c r="EO173" i="1"/>
  <c r="EO100" i="1"/>
  <c r="EO64" i="1"/>
  <c r="EO116" i="1"/>
  <c r="EO12" i="1"/>
  <c r="EO53" i="1"/>
  <c r="EO165" i="1"/>
  <c r="EO55" i="1"/>
  <c r="EO135" i="1"/>
  <c r="EO83" i="1"/>
  <c r="EO10" i="1"/>
  <c r="EO190" i="1"/>
  <c r="EO61" i="1"/>
  <c r="EO3" i="1"/>
  <c r="EO90" i="1"/>
  <c r="EO167" i="1"/>
  <c r="EO197" i="1"/>
  <c r="EO144" i="1"/>
  <c r="EQ62" i="1"/>
  <c r="EL202" i="1"/>
  <c r="EQ205" i="1"/>
  <c r="EQ54" i="1"/>
  <c r="EH176" i="1"/>
  <c r="EH121" i="1"/>
  <c r="JH59" i="1"/>
  <c r="JH27" i="1"/>
  <c r="EO147" i="1"/>
  <c r="FM117" i="1"/>
  <c r="EO192" i="1"/>
  <c r="EO51" i="1"/>
  <c r="EO76" i="1"/>
  <c r="EO171" i="1"/>
  <c r="EO202" i="1"/>
  <c r="EO70" i="1"/>
  <c r="EO168" i="1"/>
  <c r="EO49" i="1"/>
  <c r="EO161" i="1"/>
  <c r="EO160" i="1"/>
  <c r="EO130" i="1"/>
  <c r="EO132" i="1"/>
  <c r="EO60" i="1"/>
  <c r="EO120" i="1"/>
  <c r="EO50" i="1"/>
  <c r="EO16" i="1"/>
  <c r="EO187" i="1"/>
  <c r="EO148" i="1"/>
  <c r="EO92" i="1"/>
  <c r="EO88" i="1"/>
  <c r="EO35" i="1"/>
  <c r="EO175" i="1"/>
  <c r="EO198" i="1"/>
  <c r="EO38" i="1"/>
  <c r="EH138" i="1"/>
  <c r="FM50" i="1"/>
  <c r="EO186" i="1"/>
  <c r="FM126" i="1"/>
  <c r="FM175" i="1"/>
  <c r="EO62" i="1"/>
  <c r="EO65" i="1"/>
  <c r="EO73" i="1"/>
  <c r="EO46" i="1"/>
  <c r="EO170" i="1"/>
  <c r="EO122" i="1"/>
  <c r="EO98" i="1"/>
  <c r="EO13" i="1"/>
  <c r="EO52" i="1"/>
  <c r="EO183" i="1"/>
  <c r="EO194" i="1"/>
  <c r="EO43" i="1"/>
  <c r="EO138" i="1"/>
  <c r="EO68" i="1"/>
  <c r="EO42" i="1"/>
  <c r="EO188" i="1"/>
  <c r="EO112" i="1"/>
  <c r="EO117" i="1"/>
  <c r="EO59" i="1"/>
  <c r="EO143" i="1"/>
  <c r="EO29" i="1"/>
  <c r="EO101" i="1"/>
  <c r="EO182" i="1"/>
  <c r="EQ124" i="1"/>
  <c r="EO20" i="1"/>
  <c r="EO84" i="1"/>
  <c r="FM85" i="1"/>
  <c r="EO184" i="1"/>
  <c r="EO69" i="1"/>
  <c r="EO145" i="1"/>
  <c r="EO106" i="1"/>
  <c r="EO108" i="1"/>
  <c r="EO8" i="1"/>
  <c r="EO189" i="1"/>
  <c r="EO4" i="1"/>
  <c r="EO114" i="1"/>
  <c r="EO109" i="1"/>
  <c r="EO162" i="1"/>
  <c r="EO151" i="1"/>
  <c r="EO137" i="1"/>
  <c r="EO6" i="1"/>
  <c r="EO77" i="1"/>
  <c r="EO200" i="1"/>
  <c r="EO201" i="1"/>
  <c r="EO95" i="1"/>
  <c r="EO67" i="1"/>
  <c r="EO131" i="1"/>
  <c r="EO105" i="1"/>
  <c r="EQ5" i="1"/>
  <c r="EQ194" i="1"/>
  <c r="EH13" i="1"/>
  <c r="EO180" i="1"/>
  <c r="EO163" i="1"/>
  <c r="EO203" i="1"/>
  <c r="EO47" i="1"/>
  <c r="EO104" i="1"/>
  <c r="EO195" i="1"/>
  <c r="EO72" i="1"/>
  <c r="EO17" i="1"/>
  <c r="EO110" i="1"/>
  <c r="EO94" i="1"/>
  <c r="EO199" i="1"/>
  <c r="EO126" i="1"/>
  <c r="EO115" i="1"/>
  <c r="EO133" i="1"/>
  <c r="EO174" i="1"/>
  <c r="EO127" i="1"/>
  <c r="EO134" i="1"/>
  <c r="EO71" i="1"/>
  <c r="EO125" i="1"/>
  <c r="EO128" i="1"/>
  <c r="EO152" i="1"/>
  <c r="EO196" i="1"/>
  <c r="EO24" i="1"/>
  <c r="EO5" i="1"/>
  <c r="EQ154" i="1"/>
  <c r="EL50" i="1"/>
  <c r="EL43" i="1"/>
  <c r="EH81" i="1"/>
  <c r="EH202" i="1"/>
  <c r="FM161" i="1"/>
  <c r="FM89" i="1"/>
  <c r="EO25" i="1"/>
  <c r="EO75" i="1"/>
  <c r="EO7" i="1"/>
  <c r="EO181" i="1"/>
  <c r="EO178" i="1"/>
  <c r="EO169" i="1"/>
  <c r="EO111" i="1"/>
  <c r="EO102" i="1"/>
  <c r="EO82" i="1"/>
  <c r="EO193" i="1"/>
  <c r="EO154" i="1"/>
  <c r="EO113" i="1"/>
  <c r="EO124" i="1"/>
  <c r="EO89" i="1"/>
  <c r="EO54" i="1"/>
  <c r="EO155" i="1"/>
  <c r="EO99" i="1"/>
  <c r="FM59" i="1"/>
  <c r="FI100" i="1"/>
  <c r="EO121" i="1"/>
  <c r="EQ98" i="1"/>
  <c r="EL112" i="1"/>
  <c r="EH151" i="1"/>
  <c r="EH195" i="1"/>
  <c r="GP62" i="1"/>
  <c r="HU25" i="1"/>
  <c r="HU35" i="1"/>
  <c r="ID84" i="1"/>
  <c r="ID36" i="1"/>
  <c r="JH65" i="1"/>
  <c r="JH36" i="1"/>
  <c r="HJ84" i="1"/>
  <c r="HJ36" i="1"/>
  <c r="KB65" i="1"/>
  <c r="KB36" i="1"/>
  <c r="KC45" i="1"/>
  <c r="KC31" i="1"/>
  <c r="KC35" i="1"/>
  <c r="IX84" i="1"/>
  <c r="IX36" i="1"/>
  <c r="GF65" i="1"/>
  <c r="GF36" i="1"/>
  <c r="EO86" i="1"/>
  <c r="AS18" i="1"/>
  <c r="AU18" i="1" s="1"/>
  <c r="DX76" i="1"/>
  <c r="DX25" i="1"/>
  <c r="FB76" i="1"/>
  <c r="FB25" i="1"/>
  <c r="EP106" i="1"/>
  <c r="FP13" i="1"/>
  <c r="CX13" i="1"/>
  <c r="DR13" i="1"/>
  <c r="AT18" i="1"/>
  <c r="DA86" i="1"/>
  <c r="FS86" i="1"/>
  <c r="GP65" i="1"/>
  <c r="GP84" i="1"/>
  <c r="AT190" i="1"/>
  <c r="DL140" i="1"/>
  <c r="EP140" i="1"/>
  <c r="EP138" i="1"/>
  <c r="EL89" i="1"/>
  <c r="EL47" i="1"/>
  <c r="EL141" i="1"/>
  <c r="EL158" i="1"/>
  <c r="EL62" i="1"/>
  <c r="EL130" i="1"/>
  <c r="EL123" i="1"/>
  <c r="EL168" i="1"/>
  <c r="EL161" i="1"/>
  <c r="EL201" i="1"/>
  <c r="EL172" i="1"/>
  <c r="EQ108" i="1"/>
  <c r="EL59" i="1"/>
  <c r="EQ61" i="1"/>
  <c r="EL134" i="1"/>
  <c r="EL111" i="1"/>
  <c r="EQ128" i="1"/>
  <c r="EQ96" i="1"/>
  <c r="EQ152" i="1"/>
  <c r="EQ72" i="1"/>
  <c r="EL205" i="1"/>
  <c r="EQ73" i="1"/>
  <c r="EQ71" i="1"/>
  <c r="EQ53" i="1"/>
  <c r="EQ50" i="1"/>
  <c r="EL99" i="1"/>
  <c r="EQ76" i="1"/>
  <c r="EL56" i="1"/>
  <c r="EQ159" i="1"/>
  <c r="EQ200" i="1"/>
  <c r="EL51" i="1"/>
  <c r="EQ125" i="1"/>
  <c r="EQ174" i="1"/>
  <c r="EQ89" i="1"/>
  <c r="EQ153" i="1"/>
  <c r="EQ25" i="1"/>
  <c r="EQ158" i="1"/>
  <c r="EL129" i="1"/>
  <c r="AS95" i="1"/>
  <c r="AU95" i="1" s="1"/>
  <c r="EQ84" i="1"/>
  <c r="EQ43" i="1"/>
  <c r="EF92" i="1"/>
  <c r="EL148" i="1"/>
  <c r="AS166" i="1"/>
  <c r="AU166" i="1" s="1"/>
  <c r="EL149" i="1"/>
  <c r="EQ157" i="1"/>
  <c r="EQ151" i="1"/>
  <c r="EL169" i="1"/>
  <c r="EL150" i="1"/>
  <c r="AS138" i="1"/>
  <c r="AU138" i="1" s="1"/>
  <c r="FC135" i="1"/>
  <c r="EL145" i="1"/>
  <c r="IN65" i="1"/>
  <c r="IN84" i="1"/>
  <c r="EQ180" i="1"/>
  <c r="DB138" i="1"/>
  <c r="EQ114" i="1"/>
  <c r="EP92" i="1"/>
  <c r="EL80" i="1"/>
  <c r="EL178" i="1"/>
  <c r="EL17" i="1"/>
  <c r="EL163" i="1"/>
  <c r="EL92" i="1"/>
  <c r="EL114" i="1"/>
  <c r="EL95" i="1"/>
  <c r="EL20" i="1"/>
  <c r="EL122" i="1"/>
  <c r="EL54" i="1"/>
  <c r="EL52" i="1"/>
  <c r="EL153" i="1"/>
  <c r="EL66" i="1"/>
  <c r="EQ127" i="1"/>
  <c r="EQ30" i="1"/>
  <c r="EQ176" i="1"/>
  <c r="EL11" i="1"/>
  <c r="EQ38" i="1"/>
  <c r="EL84" i="1"/>
  <c r="EQ123" i="1"/>
  <c r="EQ202" i="1"/>
  <c r="EQ10" i="1"/>
  <c r="EQ12" i="1"/>
  <c r="EQ129" i="1"/>
  <c r="EL91" i="1"/>
  <c r="EQ117" i="1"/>
  <c r="EL167" i="1"/>
  <c r="EL35" i="1"/>
  <c r="EQ122" i="1"/>
  <c r="EL31" i="1"/>
  <c r="EQ44" i="1"/>
  <c r="EQ163" i="1"/>
  <c r="EL24" i="1"/>
  <c r="EQ121" i="1"/>
  <c r="EQ178" i="1"/>
  <c r="EL165" i="1"/>
  <c r="EQ103" i="1"/>
  <c r="EQ60" i="1"/>
  <c r="EQ4" i="1"/>
  <c r="EL44" i="1"/>
  <c r="EQ198" i="1"/>
  <c r="DL138" i="1"/>
  <c r="KB59" i="1"/>
  <c r="EF66" i="1"/>
  <c r="EL3" i="1"/>
  <c r="DS13" i="1"/>
  <c r="AT166" i="1"/>
  <c r="AS190" i="1"/>
  <c r="AU190" i="1" s="1"/>
  <c r="KB16" i="1"/>
  <c r="EZ66" i="1"/>
  <c r="EL197" i="1"/>
  <c r="DX152" i="1"/>
  <c r="AT138" i="1"/>
  <c r="EQ16" i="1"/>
  <c r="AS142" i="1"/>
  <c r="AU142" i="1" s="1"/>
  <c r="EL166" i="1"/>
  <c r="EQ3" i="1"/>
  <c r="DM86" i="1"/>
  <c r="EL82" i="1"/>
  <c r="EL16" i="1"/>
  <c r="EL93" i="1"/>
  <c r="EL152" i="1"/>
  <c r="EL181" i="1"/>
  <c r="EL12" i="1"/>
  <c r="EL125" i="1"/>
  <c r="EL173" i="1"/>
  <c r="EL155" i="1"/>
  <c r="EL63" i="1"/>
  <c r="EL195" i="1"/>
  <c r="EQ183" i="1"/>
  <c r="EQ168" i="1"/>
  <c r="EQ24" i="1"/>
  <c r="EL100" i="1"/>
  <c r="EQ106" i="1"/>
  <c r="EQ52" i="1"/>
  <c r="EQ65" i="1"/>
  <c r="EQ166" i="1"/>
  <c r="EQ140" i="1"/>
  <c r="EQ110" i="1"/>
  <c r="EQ134" i="1"/>
  <c r="EQ69" i="1"/>
  <c r="EL194" i="1"/>
  <c r="DB66" i="1"/>
  <c r="EQ169" i="1"/>
  <c r="EQ177" i="1"/>
  <c r="EQ102" i="1"/>
  <c r="EQ80" i="1"/>
  <c r="EQ143" i="1"/>
  <c r="EL83" i="1"/>
  <c r="EQ31" i="1"/>
  <c r="EQ120" i="1"/>
  <c r="EL135" i="1"/>
  <c r="EQ139" i="1"/>
  <c r="EQ63" i="1"/>
  <c r="AS124" i="1"/>
  <c r="AU124" i="1" s="1"/>
  <c r="AT116" i="1"/>
  <c r="AT157" i="1"/>
  <c r="AS65" i="1"/>
  <c r="AU65" i="1" s="1"/>
  <c r="EF138" i="1"/>
  <c r="DF115" i="1"/>
  <c r="EL42" i="1"/>
  <c r="FT66" i="1"/>
  <c r="FT122" i="1"/>
  <c r="EZ122" i="1"/>
  <c r="EL121" i="1"/>
  <c r="AS119" i="1"/>
  <c r="AU119" i="1" s="1"/>
  <c r="EL177" i="1"/>
  <c r="EQ185" i="1"/>
  <c r="EL184" i="1"/>
  <c r="EL7" i="1"/>
  <c r="EL176" i="1"/>
  <c r="EL37" i="1"/>
  <c r="DL92" i="1"/>
  <c r="EL146" i="1"/>
  <c r="EL101" i="1"/>
  <c r="EL192" i="1"/>
  <c r="EL171" i="1"/>
  <c r="EL199" i="1"/>
  <c r="EL67" i="1"/>
  <c r="EL200" i="1"/>
  <c r="EL151" i="1"/>
  <c r="EL157" i="1"/>
  <c r="EL70" i="1"/>
  <c r="EL88" i="1"/>
  <c r="EL76" i="1"/>
  <c r="EQ90" i="1"/>
  <c r="EL69" i="1"/>
  <c r="EL132" i="1"/>
  <c r="EQ6" i="1"/>
  <c r="EL117" i="1"/>
  <c r="EQ35" i="1"/>
  <c r="EQ204" i="1"/>
  <c r="EQ193" i="1"/>
  <c r="EQ20" i="1"/>
  <c r="EQ67" i="1"/>
  <c r="EQ132" i="1"/>
  <c r="EL15" i="1"/>
  <c r="EQ95" i="1"/>
  <c r="EQ79" i="1"/>
  <c r="DB92" i="1"/>
  <c r="EL131" i="1"/>
  <c r="EQ99" i="1"/>
  <c r="EQ17" i="1"/>
  <c r="EQ97" i="1"/>
  <c r="EQ170" i="1"/>
  <c r="EQ175" i="1"/>
  <c r="EQ8" i="1"/>
  <c r="EQ141" i="1"/>
  <c r="EQ109" i="1"/>
  <c r="EQ119" i="1"/>
  <c r="EQ171" i="1"/>
  <c r="EL126" i="1"/>
  <c r="FN133" i="1"/>
  <c r="ER62" i="1"/>
  <c r="GF84" i="1"/>
  <c r="AS116" i="1"/>
  <c r="AU116" i="1" s="1"/>
  <c r="AS181" i="1"/>
  <c r="AU181" i="1" s="1"/>
  <c r="KB44" i="1"/>
  <c r="AT95" i="1"/>
  <c r="EQ37" i="1"/>
  <c r="EZ45" i="1"/>
  <c r="EZ92" i="1"/>
  <c r="EL164" i="1"/>
  <c r="EL187" i="1"/>
  <c r="EQ167" i="1"/>
  <c r="AT194" i="1"/>
  <c r="FT45" i="1"/>
  <c r="EC13" i="1"/>
  <c r="AT57" i="1"/>
  <c r="EL8" i="1"/>
  <c r="EL86" i="1"/>
  <c r="EQ85" i="1"/>
  <c r="EL72" i="1"/>
  <c r="EL4" i="1"/>
  <c r="EL119" i="1"/>
  <c r="EL183" i="1"/>
  <c r="EL185" i="1"/>
  <c r="EL90" i="1"/>
  <c r="EL110" i="1"/>
  <c r="EL203" i="1"/>
  <c r="EL77" i="1"/>
  <c r="EL137" i="1"/>
  <c r="EL120" i="1"/>
  <c r="EL38" i="1"/>
  <c r="EQ70" i="1"/>
  <c r="EL175" i="1"/>
  <c r="EL6" i="1"/>
  <c r="EQ105" i="1"/>
  <c r="EQ131" i="1"/>
  <c r="EQ66" i="1"/>
  <c r="EQ78" i="1"/>
  <c r="EQ188" i="1"/>
  <c r="EQ145" i="1"/>
  <c r="EQ42" i="1"/>
  <c r="EQ82" i="1"/>
  <c r="EQ162" i="1"/>
  <c r="EL156" i="1"/>
  <c r="EQ201" i="1"/>
  <c r="EQ144" i="1"/>
  <c r="EQ203" i="1"/>
  <c r="EQ181" i="1"/>
  <c r="EQ172" i="1"/>
  <c r="EQ7" i="1"/>
  <c r="EQ126" i="1"/>
  <c r="EL136" i="1"/>
  <c r="JH84" i="1"/>
  <c r="JH46" i="1"/>
  <c r="AS148" i="1"/>
  <c r="AU148" i="1" s="1"/>
  <c r="KB56" i="1"/>
  <c r="JR65" i="1"/>
  <c r="JR84" i="1"/>
  <c r="EF140" i="1"/>
  <c r="EW13" i="1"/>
  <c r="AS10" i="1"/>
  <c r="AU10" i="1" s="1"/>
  <c r="KB80" i="1"/>
  <c r="EZ138" i="1"/>
  <c r="EL162" i="1"/>
  <c r="FW135" i="1"/>
  <c r="AS13" i="1"/>
  <c r="AU13" i="1" s="1"/>
  <c r="EQ190" i="1"/>
  <c r="EQ147" i="1"/>
  <c r="AT143" i="1"/>
  <c r="AT66" i="1"/>
  <c r="AS143" i="1"/>
  <c r="AU143" i="1" s="1"/>
  <c r="EQ133" i="1"/>
  <c r="EL30" i="1"/>
  <c r="FI85" i="1"/>
  <c r="EL142" i="1"/>
  <c r="EL138" i="1"/>
  <c r="EL65" i="1"/>
  <c r="EL106" i="1"/>
  <c r="EL79" i="1"/>
  <c r="EL29" i="1"/>
  <c r="EL97" i="1"/>
  <c r="EL53" i="1"/>
  <c r="EL182" i="1"/>
  <c r="EL60" i="1"/>
  <c r="EL10" i="1"/>
  <c r="EL49" i="1"/>
  <c r="EQ156" i="1"/>
  <c r="EL118" i="1"/>
  <c r="EL144" i="1"/>
  <c r="EQ130" i="1"/>
  <c r="EQ11" i="1"/>
  <c r="EQ137" i="1"/>
  <c r="EQ88" i="1"/>
  <c r="EQ68" i="1"/>
  <c r="EQ29" i="1"/>
  <c r="EQ173" i="1"/>
  <c r="EQ91" i="1"/>
  <c r="EL174" i="1"/>
  <c r="EQ191" i="1"/>
  <c r="EL102" i="1"/>
  <c r="EQ179" i="1"/>
  <c r="DB140" i="1"/>
  <c r="EQ58" i="1"/>
  <c r="EQ45" i="1"/>
  <c r="EQ113" i="1"/>
  <c r="EQ195" i="1"/>
  <c r="EQ160" i="1"/>
  <c r="EQ83" i="1"/>
  <c r="EQ165" i="1"/>
  <c r="EQ94" i="1"/>
  <c r="EQ59" i="1"/>
  <c r="EQ118" i="1"/>
  <c r="EL55" i="1"/>
  <c r="AT10" i="1"/>
  <c r="AT181" i="1"/>
  <c r="EF122" i="1"/>
  <c r="FM135" i="1"/>
  <c r="FT140" i="1"/>
  <c r="GZ65" i="1"/>
  <c r="GZ84" i="1"/>
  <c r="AT124" i="1"/>
  <c r="AT142" i="1"/>
  <c r="EL104" i="1"/>
  <c r="EQ186" i="1"/>
  <c r="EL191" i="1"/>
  <c r="EL204" i="1"/>
  <c r="EQ161" i="1"/>
  <c r="EQ148" i="1"/>
  <c r="DL66" i="1"/>
  <c r="EL147" i="1"/>
  <c r="EL127" i="1"/>
  <c r="EL180" i="1"/>
  <c r="EL105" i="1"/>
  <c r="EL143" i="1"/>
  <c r="EL108" i="1"/>
  <c r="EQ64" i="1"/>
  <c r="EL103" i="1"/>
  <c r="EL193" i="1"/>
  <c r="EL160" i="1"/>
  <c r="EL23" i="1"/>
  <c r="EL45" i="1"/>
  <c r="EL64" i="1"/>
  <c r="EL13" i="1"/>
  <c r="EL61" i="1"/>
  <c r="EQ56" i="1"/>
  <c r="EQ184" i="1"/>
  <c r="EQ104" i="1"/>
  <c r="EQ199" i="1"/>
  <c r="EQ112" i="1"/>
  <c r="EQ100" i="1"/>
  <c r="EQ146" i="1"/>
  <c r="EL140" i="1"/>
  <c r="EL68" i="1"/>
  <c r="EQ75" i="1"/>
  <c r="EL58" i="1"/>
  <c r="EQ196" i="1"/>
  <c r="EL186" i="1"/>
  <c r="EQ189" i="1"/>
  <c r="EQ92" i="1"/>
  <c r="EQ55" i="1"/>
  <c r="EQ155" i="1"/>
  <c r="EQ49" i="1"/>
  <c r="EQ135" i="1"/>
  <c r="EL128" i="1"/>
  <c r="EQ187" i="1"/>
  <c r="EQ164" i="1"/>
  <c r="KB84" i="1"/>
  <c r="EN188" i="1"/>
  <c r="AS125" i="1"/>
  <c r="AU125" i="1" s="1"/>
  <c r="AS203" i="1"/>
  <c r="AU203" i="1" s="1"/>
  <c r="DD12" i="1"/>
  <c r="DX197" i="1"/>
  <c r="ER197" i="1"/>
  <c r="ER29" i="1"/>
  <c r="EN193" i="1"/>
  <c r="FV81" i="1"/>
  <c r="FV61" i="1"/>
  <c r="EN142" i="1"/>
  <c r="EN55" i="1"/>
  <c r="EN126" i="1"/>
  <c r="EN76" i="1"/>
  <c r="EN16" i="1"/>
  <c r="EN29" i="1"/>
  <c r="AT159" i="1"/>
  <c r="EN10" i="1"/>
  <c r="DX29" i="1"/>
  <c r="EF25" i="1"/>
  <c r="FB10" i="1"/>
  <c r="EH44" i="1"/>
  <c r="FV126" i="1"/>
  <c r="FV96" i="1"/>
  <c r="FV29" i="1"/>
  <c r="FV65" i="1"/>
  <c r="EZ78" i="1"/>
  <c r="EH96" i="1"/>
  <c r="DX157" i="1"/>
  <c r="FB65" i="1"/>
  <c r="DN65" i="1"/>
  <c r="EN129" i="1"/>
  <c r="DL25" i="1"/>
  <c r="DB25" i="1"/>
  <c r="DX96" i="1"/>
  <c r="EN182" i="1"/>
  <c r="EN194" i="1"/>
  <c r="EN125" i="1"/>
  <c r="EN8" i="1"/>
  <c r="EN15" i="1"/>
  <c r="AS139" i="1"/>
  <c r="AU139" i="1" s="1"/>
  <c r="EN30" i="1"/>
  <c r="EN17" i="1"/>
  <c r="AS159" i="1"/>
  <c r="AU159" i="1" s="1"/>
  <c r="DN29" i="1"/>
  <c r="EN37" i="1"/>
  <c r="ER12" i="1"/>
  <c r="ER133" i="1"/>
  <c r="EN149" i="1"/>
  <c r="AT186" i="1"/>
  <c r="EH83" i="1"/>
  <c r="EH158" i="1"/>
  <c r="DN83" i="1"/>
  <c r="DD10" i="1"/>
  <c r="DD160" i="1"/>
  <c r="AT14" i="1"/>
  <c r="ER200" i="1"/>
  <c r="EN130" i="1"/>
  <c r="L9" i="1"/>
  <c r="EN45" i="1"/>
  <c r="AT139" i="1"/>
  <c r="AT198" i="1"/>
  <c r="AS185" i="1"/>
  <c r="AU185" i="1" s="1"/>
  <c r="EH65" i="1"/>
  <c r="FB12" i="1"/>
  <c r="DN133" i="1"/>
  <c r="EN169" i="1"/>
  <c r="FV200" i="1"/>
  <c r="AT192" i="1"/>
  <c r="EN156" i="1"/>
  <c r="DD123" i="1"/>
  <c r="DB61" i="1"/>
  <c r="DX44" i="1"/>
  <c r="FB126" i="1"/>
  <c r="FB96" i="1"/>
  <c r="DN123" i="1"/>
  <c r="AS118" i="1"/>
  <c r="AU118" i="1" s="1"/>
  <c r="EB46" i="1"/>
  <c r="EZ25" i="1"/>
  <c r="DX12" i="1"/>
  <c r="FV12" i="1"/>
  <c r="DX133" i="1"/>
  <c r="EH133" i="1"/>
  <c r="FV160" i="1"/>
  <c r="DD197" i="1"/>
  <c r="EN97" i="1"/>
  <c r="DH46" i="1"/>
  <c r="EN3" i="1"/>
  <c r="EN20" i="1"/>
  <c r="EN35" i="1"/>
  <c r="EN7" i="1"/>
  <c r="EN84" i="1"/>
  <c r="AS34" i="1"/>
  <c r="AU34" i="1" s="1"/>
  <c r="EN31" i="1"/>
  <c r="FV133" i="1"/>
  <c r="EN154" i="1"/>
  <c r="EN24" i="1"/>
  <c r="EH150" i="1"/>
  <c r="DN96" i="1"/>
  <c r="EN139" i="1"/>
  <c r="DD137" i="1"/>
  <c r="FB137" i="1"/>
  <c r="DY119" i="1"/>
  <c r="AT77" i="1"/>
  <c r="AT118" i="1"/>
  <c r="AS198" i="1"/>
  <c r="AU198" i="1" s="1"/>
  <c r="FV197" i="1"/>
  <c r="EN12" i="1"/>
  <c r="FV123" i="1"/>
  <c r="FV150" i="1"/>
  <c r="DX65" i="1"/>
  <c r="EN155" i="1"/>
  <c r="EN46" i="1"/>
  <c r="EN204" i="1"/>
  <c r="EN107" i="1"/>
  <c r="EN96" i="1"/>
  <c r="FJ78" i="1"/>
  <c r="EN65" i="1"/>
  <c r="EN132" i="1"/>
  <c r="EN180" i="1"/>
  <c r="FJ58" i="1"/>
  <c r="EN62" i="1"/>
  <c r="DK86" i="1"/>
  <c r="DY16" i="1"/>
  <c r="DY202" i="1"/>
  <c r="FJ66" i="1"/>
  <c r="FJ80" i="1"/>
  <c r="FJ96" i="1"/>
  <c r="FJ55" i="1"/>
  <c r="FJ148" i="1"/>
  <c r="FJ163" i="1"/>
  <c r="FJ157" i="1"/>
  <c r="FJ117" i="1"/>
  <c r="FJ160" i="1"/>
  <c r="FJ111" i="1"/>
  <c r="ER147" i="1"/>
  <c r="EN196" i="1"/>
  <c r="EN36" i="1"/>
  <c r="EN38" i="1"/>
  <c r="ER58" i="1"/>
  <c r="EN195" i="1"/>
  <c r="EN98" i="1"/>
  <c r="FJ192" i="1"/>
  <c r="EN119" i="1"/>
  <c r="DN137" i="1"/>
  <c r="CJ137" i="1" a="1"/>
  <c r="CJ137" i="1" s="1"/>
  <c r="CG86" i="1" a="1"/>
  <c r="CG86" i="1" s="1"/>
  <c r="CJ143" i="1" a="1"/>
  <c r="CJ143" i="1" s="1"/>
  <c r="CJ132" i="1" a="1"/>
  <c r="CJ132" i="1" s="1"/>
  <c r="CG142" i="1" a="1"/>
  <c r="CG142" i="1" s="1"/>
  <c r="CJ176" i="1" a="1"/>
  <c r="CJ176" i="1" s="1"/>
  <c r="CI42" i="1" a="1"/>
  <c r="CI42" i="1" s="1"/>
  <c r="CI53" i="1" a="1"/>
  <c r="CI53" i="1" s="1"/>
  <c r="CJ107" i="1" a="1"/>
  <c r="CJ107" i="1" s="1"/>
  <c r="CJ60" i="1" a="1"/>
  <c r="CJ60" i="1" s="1"/>
  <c r="CJ144" i="1" a="1"/>
  <c r="CJ144" i="1" s="1"/>
  <c r="CJ51" i="1" a="1"/>
  <c r="CJ51" i="1" s="1"/>
  <c r="CJ45" i="1" a="1"/>
  <c r="CJ45" i="1" s="1"/>
  <c r="CJ13" i="1" a="1"/>
  <c r="CJ13" i="1" s="1"/>
  <c r="CJ126" i="1" a="1"/>
  <c r="CJ126" i="1" s="1"/>
  <c r="CJ172" i="1" a="1"/>
  <c r="CJ172" i="1" s="1"/>
  <c r="CJ80" i="1" a="1"/>
  <c r="CJ80" i="1" s="1"/>
  <c r="CJ71" i="1" a="1"/>
  <c r="CJ71" i="1" s="1"/>
  <c r="CJ96" i="1" a="1"/>
  <c r="CJ96" i="1" s="1"/>
  <c r="CJ6" i="1" a="1"/>
  <c r="CJ6" i="1" s="1"/>
  <c r="CJ68" i="1" a="1"/>
  <c r="CJ68" i="1" s="1"/>
  <c r="CJ197" i="1" a="1"/>
  <c r="CJ197" i="1" s="1"/>
  <c r="CJ56" i="1" a="1"/>
  <c r="CJ56" i="1" s="1"/>
  <c r="CJ180" i="1" a="1"/>
  <c r="CJ180" i="1" s="1"/>
  <c r="CJ188" i="1" a="1"/>
  <c r="CJ188" i="1" s="1"/>
  <c r="CJ148" i="1" a="1"/>
  <c r="CJ148" i="1" s="1"/>
  <c r="CJ35" i="1" a="1"/>
  <c r="CJ35" i="1" s="1"/>
  <c r="CJ128" i="1" a="1"/>
  <c r="CJ128" i="1" s="1"/>
  <c r="CJ64" i="1" a="1"/>
  <c r="CJ64" i="1" s="1"/>
  <c r="CJ155" i="1" a="1"/>
  <c r="CJ155" i="1" s="1"/>
  <c r="CJ146" i="1" a="1"/>
  <c r="CJ146" i="1" s="1"/>
  <c r="CJ101" i="1" a="1"/>
  <c r="CJ101" i="1" s="1"/>
  <c r="CJ15" i="1" a="1"/>
  <c r="CJ15" i="1" s="1"/>
  <c r="CJ102" i="1" a="1"/>
  <c r="CJ102" i="1" s="1"/>
  <c r="CJ78" i="1" a="1"/>
  <c r="CJ78" i="1" s="1"/>
  <c r="CJ94" i="1" a="1"/>
  <c r="CJ94" i="1" s="1"/>
  <c r="CJ62" i="1" a="1"/>
  <c r="CJ62" i="1" s="1"/>
  <c r="CJ200" i="1" a="1"/>
  <c r="CJ200" i="1" s="1"/>
  <c r="CJ10" i="1" a="1"/>
  <c r="CJ10" i="1" s="1"/>
  <c r="CJ38" i="1" a="1"/>
  <c r="CJ38" i="1" s="1"/>
  <c r="CJ105" i="1" a="1"/>
  <c r="CJ105" i="1" s="1"/>
  <c r="CJ37" i="1" a="1"/>
  <c r="CJ37" i="1" s="1"/>
  <c r="CJ203" i="1" a="1"/>
  <c r="CJ203" i="1" s="1"/>
  <c r="CJ150" i="1" a="1"/>
  <c r="CJ150" i="1" s="1"/>
  <c r="CJ136" i="1" a="1"/>
  <c r="CJ136" i="1" s="1"/>
  <c r="CJ36" i="1" a="1"/>
  <c r="CJ36" i="1" s="1"/>
  <c r="CJ198" i="1" a="1"/>
  <c r="CJ198" i="1" s="1"/>
  <c r="CJ113" i="1" a="1"/>
  <c r="CJ113" i="1" s="1"/>
  <c r="CJ75" i="1" a="1"/>
  <c r="CJ75" i="1" s="1"/>
  <c r="CJ69" i="1" a="1"/>
  <c r="CJ69" i="1" s="1"/>
  <c r="CJ86" i="1" a="1"/>
  <c r="CJ86" i="1" s="1"/>
  <c r="CJ135" i="1" a="1"/>
  <c r="CJ135" i="1" s="1"/>
  <c r="CJ5" i="1" a="1"/>
  <c r="CJ5" i="1" s="1"/>
  <c r="CJ161" i="1" a="1"/>
  <c r="CJ161" i="1" s="1"/>
  <c r="CJ111" i="1" a="1"/>
  <c r="CJ111" i="1" s="1"/>
  <c r="CJ103" i="1" a="1"/>
  <c r="CJ103" i="1" s="1"/>
  <c r="CJ152" i="1" a="1"/>
  <c r="CJ152" i="1" s="1"/>
  <c r="CJ185" i="1" a="1"/>
  <c r="CJ185" i="1" s="1"/>
  <c r="CJ53" i="1" a="1"/>
  <c r="CJ53" i="1" s="1"/>
  <c r="CJ30" i="1" a="1"/>
  <c r="CJ30" i="1" s="1"/>
  <c r="CJ58" i="1" a="1"/>
  <c r="CJ58" i="1" s="1"/>
  <c r="CJ110" i="1" a="1"/>
  <c r="CJ110" i="1" s="1"/>
  <c r="CJ140" i="1" a="1"/>
  <c r="CJ140" i="1" s="1"/>
  <c r="CJ88" i="1" a="1"/>
  <c r="CJ88" i="1" s="1"/>
  <c r="CJ97" i="1" a="1"/>
  <c r="CJ97" i="1" s="1"/>
  <c r="CJ133" i="1" a="1"/>
  <c r="CJ133" i="1" s="1"/>
  <c r="CJ193" i="1" a="1"/>
  <c r="CJ193" i="1" s="1"/>
  <c r="CJ17" i="1" a="1"/>
  <c r="CJ17" i="1" s="1"/>
  <c r="CJ115" i="1" a="1"/>
  <c r="CJ115" i="1" s="1"/>
  <c r="CJ117" i="1" a="1"/>
  <c r="CJ117" i="1" s="1"/>
  <c r="CJ55" i="1" a="1"/>
  <c r="CJ55" i="1" s="1"/>
  <c r="CJ205" i="1" a="1"/>
  <c r="CJ205" i="1" s="1"/>
  <c r="CJ130" i="1" a="1"/>
  <c r="CJ130" i="1" s="1"/>
  <c r="CJ7" i="1" a="1"/>
  <c r="CJ7" i="1" s="1"/>
  <c r="CJ118" i="1" a="1"/>
  <c r="CJ118" i="1" s="1"/>
  <c r="CJ171" i="1" a="1"/>
  <c r="CJ171" i="1" s="1"/>
  <c r="CG107" i="1" a="1"/>
  <c r="CG107" i="1" s="1"/>
  <c r="CG75" i="1" a="1"/>
  <c r="CG75" i="1" s="1"/>
  <c r="CG121" i="1" a="1"/>
  <c r="CG121" i="1" s="1"/>
  <c r="CG195" i="1" a="1"/>
  <c r="CG195" i="1" s="1"/>
  <c r="CG106" i="1" a="1"/>
  <c r="CG106" i="1" s="1"/>
  <c r="CG101" i="1" a="1"/>
  <c r="CG101" i="1" s="1"/>
  <c r="CG163" i="1" a="1"/>
  <c r="CG163" i="1" s="1"/>
  <c r="CG10" i="1" a="1"/>
  <c r="CG10" i="1" s="1"/>
  <c r="CG69" i="1" a="1"/>
  <c r="CG69" i="1" s="1"/>
  <c r="CG15" i="1" a="1"/>
  <c r="CG15" i="1" s="1"/>
  <c r="CG23" i="1" a="1"/>
  <c r="CG23" i="1" s="1"/>
  <c r="CG197" i="1" a="1"/>
  <c r="CG197" i="1" s="1"/>
  <c r="CG173" i="1" a="1"/>
  <c r="CG173" i="1" s="1"/>
  <c r="CG184" i="1" a="1"/>
  <c r="CG184" i="1" s="1"/>
  <c r="CG129" i="1" a="1"/>
  <c r="CG129" i="1" s="1"/>
  <c r="CG200" i="1" a="1"/>
  <c r="CG200" i="1" s="1"/>
  <c r="CG6" i="1" a="1"/>
  <c r="CG6" i="1" s="1"/>
  <c r="CG66" i="1" a="1"/>
  <c r="CG66" i="1" s="1"/>
  <c r="CG159" i="1" a="1"/>
  <c r="CG159" i="1" s="1"/>
  <c r="CG154" i="1" a="1"/>
  <c r="CG154" i="1" s="1"/>
  <c r="CG51" i="1" a="1"/>
  <c r="CG51" i="1" s="1"/>
  <c r="CG149" i="1" a="1"/>
  <c r="CG149" i="1" s="1"/>
  <c r="CG127" i="1" a="1"/>
  <c r="CG127" i="1" s="1"/>
  <c r="CG119" i="1" a="1"/>
  <c r="CG119" i="1" s="1"/>
  <c r="CG166" i="1" a="1"/>
  <c r="CG166" i="1" s="1"/>
  <c r="CG169" i="1" a="1"/>
  <c r="CG169" i="1" s="1"/>
  <c r="CG90" i="1" a="1"/>
  <c r="CG90" i="1" s="1"/>
  <c r="CG71" i="1" a="1"/>
  <c r="CG71" i="1" s="1"/>
  <c r="CG124" i="1" a="1"/>
  <c r="CG124" i="1" s="1"/>
  <c r="CG105" i="1" a="1"/>
  <c r="CG105" i="1" s="1"/>
  <c r="CG126" i="1" a="1"/>
  <c r="CG126" i="1" s="1"/>
  <c r="CG160" i="1" a="1"/>
  <c r="CG160" i="1" s="1"/>
  <c r="CG172" i="1" a="1"/>
  <c r="CG172" i="1" s="1"/>
  <c r="CG192" i="1" a="1"/>
  <c r="CG192" i="1" s="1"/>
  <c r="CG111" i="1" a="1"/>
  <c r="CG111" i="1" s="1"/>
  <c r="CG138" i="1" a="1"/>
  <c r="CG138" i="1" s="1"/>
  <c r="CG11" i="1" a="1"/>
  <c r="CG11" i="1" s="1"/>
  <c r="CG36" i="1" a="1"/>
  <c r="CG36" i="1" s="1"/>
  <c r="CG35" i="1" a="1"/>
  <c r="CG35" i="1" s="1"/>
  <c r="CG61" i="1" a="1"/>
  <c r="CG61" i="1" s="1"/>
  <c r="CG113" i="1" a="1"/>
  <c r="CG113" i="1" s="1"/>
  <c r="CG67" i="1" a="1"/>
  <c r="CG67" i="1" s="1"/>
  <c r="CG201" i="1" a="1"/>
  <c r="CG201" i="1" s="1"/>
  <c r="CG20" i="1" a="1"/>
  <c r="CG20" i="1" s="1"/>
  <c r="CG73" i="1" a="1"/>
  <c r="CG73" i="1" s="1"/>
  <c r="CG43" i="1" a="1"/>
  <c r="CG43" i="1" s="1"/>
  <c r="CG70" i="1" a="1"/>
  <c r="CG70" i="1" s="1"/>
  <c r="CG171" i="1" a="1"/>
  <c r="CG171" i="1" s="1"/>
  <c r="CG203" i="1" a="1"/>
  <c r="CG203" i="1" s="1"/>
  <c r="CG144" i="1" a="1"/>
  <c r="CG144" i="1" s="1"/>
  <c r="CG198" i="1" a="1"/>
  <c r="CG198" i="1" s="1"/>
  <c r="CG5" i="1" a="1"/>
  <c r="CG5" i="1" s="1"/>
  <c r="CG72" i="1" a="1"/>
  <c r="CG72" i="1" s="1"/>
  <c r="CG134" i="1" a="1"/>
  <c r="CG134" i="1" s="1"/>
  <c r="CG93" i="1" a="1"/>
  <c r="CG93" i="1" s="1"/>
  <c r="CG204" i="1" a="1"/>
  <c r="CG204" i="1" s="1"/>
  <c r="CG153" i="1" a="1"/>
  <c r="CG153" i="1" s="1"/>
  <c r="CG179" i="1" a="1"/>
  <c r="CG179" i="1" s="1"/>
  <c r="CG145" i="1" a="1"/>
  <c r="CG145" i="1" s="1"/>
  <c r="CG44" i="1" a="1"/>
  <c r="CG44" i="1" s="1"/>
  <c r="CG177" i="1" a="1"/>
  <c r="CG177" i="1" s="1"/>
  <c r="CG4" i="1" a="1"/>
  <c r="CG4" i="1" s="1"/>
  <c r="CG155" i="1" a="1"/>
  <c r="CG155" i="1" s="1"/>
  <c r="CG103" i="1" a="1"/>
  <c r="CG103" i="1" s="1"/>
  <c r="CG190" i="1" a="1"/>
  <c r="CG190" i="1" s="1"/>
  <c r="CG65" i="1" a="1"/>
  <c r="CG65" i="1" s="1"/>
  <c r="CG131" i="1" a="1"/>
  <c r="CG131" i="1" s="1"/>
  <c r="CG91" i="1" a="1"/>
  <c r="CG91" i="1" s="1"/>
  <c r="CG114" i="1" a="1"/>
  <c r="CG114" i="1" s="1"/>
  <c r="CG26" i="1" a="1"/>
  <c r="CG26" i="1" s="1"/>
  <c r="CG100" i="1" a="1"/>
  <c r="CG100" i="1" s="1"/>
  <c r="CG82" i="1" a="1"/>
  <c r="CG82" i="1" s="1"/>
  <c r="CG8" i="1" a="1"/>
  <c r="CG8" i="1" s="1"/>
  <c r="CG55" i="1" a="1"/>
  <c r="CG55" i="1" s="1"/>
  <c r="CG117" i="1" a="1"/>
  <c r="CG117" i="1" s="1"/>
  <c r="CG150" i="1" a="1"/>
  <c r="CG150" i="1" s="1"/>
  <c r="CG95" i="1" a="1"/>
  <c r="CG95" i="1" s="1"/>
  <c r="CG59" i="1" a="1"/>
  <c r="CG59" i="1" s="1"/>
  <c r="CG109" i="1" a="1"/>
  <c r="CG109" i="1" s="1"/>
  <c r="CG37" i="1" a="1"/>
  <c r="CG37" i="1" s="1"/>
  <c r="CG143" i="1" a="1"/>
  <c r="CG143" i="1" s="1"/>
  <c r="CG194" i="1" a="1"/>
  <c r="CG194" i="1" s="1"/>
  <c r="CG168" i="1" a="1"/>
  <c r="CG168" i="1" s="1"/>
  <c r="CG47" i="1" a="1"/>
  <c r="CG47" i="1" s="1"/>
  <c r="CG146" i="1" a="1"/>
  <c r="CG146" i="1" s="1"/>
  <c r="CG130" i="1" a="1"/>
  <c r="CG130" i="1" s="1"/>
  <c r="CG31" i="1" a="1"/>
  <c r="CG31" i="1" s="1"/>
  <c r="CG62" i="1" a="1"/>
  <c r="CG62" i="1" s="1"/>
  <c r="FN44" i="1"/>
  <c r="FN96" i="1"/>
  <c r="FN169" i="1"/>
  <c r="FL145" i="1"/>
  <c r="FL64" i="1"/>
  <c r="FL116" i="1"/>
  <c r="FL15" i="1"/>
  <c r="EN146" i="1"/>
  <c r="EN145" i="1"/>
  <c r="EN176" i="1"/>
  <c r="EN102" i="1"/>
  <c r="EN190" i="1"/>
  <c r="EN63" i="1"/>
  <c r="EN122" i="1"/>
  <c r="EN198" i="1"/>
  <c r="EN161" i="1"/>
  <c r="EN52" i="1"/>
  <c r="EN79" i="1"/>
  <c r="EN75" i="1"/>
  <c r="EN93" i="1"/>
  <c r="EN50" i="1"/>
  <c r="EN5" i="1"/>
  <c r="EN78" i="1"/>
  <c r="EN88" i="1"/>
  <c r="EN172" i="1"/>
  <c r="EN67" i="1"/>
  <c r="EN186" i="1"/>
  <c r="EN83" i="1"/>
  <c r="EN185" i="1"/>
  <c r="EN44" i="1"/>
  <c r="EN112" i="1"/>
  <c r="EN71" i="1"/>
  <c r="EN162" i="1"/>
  <c r="EN159" i="1"/>
  <c r="EN73" i="1"/>
  <c r="EN151" i="1"/>
  <c r="EN13" i="1"/>
  <c r="EN114" i="1"/>
  <c r="EN23" i="1"/>
  <c r="EN103" i="1"/>
  <c r="EN110" i="1"/>
  <c r="EN109" i="1"/>
  <c r="EN49" i="1"/>
  <c r="EN133" i="1"/>
  <c r="EN60" i="1"/>
  <c r="EN43" i="1"/>
  <c r="EN53" i="1"/>
  <c r="EN108" i="1"/>
  <c r="EN89" i="1"/>
  <c r="EN111" i="1"/>
  <c r="EN138" i="1"/>
  <c r="EN26" i="1"/>
  <c r="EN27" i="1"/>
  <c r="EN72" i="1"/>
  <c r="EN113" i="1"/>
  <c r="EN61" i="1"/>
  <c r="EN144" i="1"/>
  <c r="EN42" i="1"/>
  <c r="EN166" i="1"/>
  <c r="EN81" i="1"/>
  <c r="EN136" i="1"/>
  <c r="EN163" i="1"/>
  <c r="EN6" i="1"/>
  <c r="EN200" i="1"/>
  <c r="EN135" i="1"/>
  <c r="EN191" i="1"/>
  <c r="EN11" i="1"/>
  <c r="EN127" i="1"/>
  <c r="EN25" i="1"/>
  <c r="EN124" i="1"/>
  <c r="EN167" i="1"/>
  <c r="EN134" i="1"/>
  <c r="EN143" i="1"/>
  <c r="EN95" i="1"/>
  <c r="EN91" i="1"/>
  <c r="EN115" i="1"/>
  <c r="EN158" i="1"/>
  <c r="EN47" i="1"/>
  <c r="EN80" i="1"/>
  <c r="EN183" i="1"/>
  <c r="EN101" i="1"/>
  <c r="EN104" i="1"/>
  <c r="EN128" i="1"/>
  <c r="EN56" i="1"/>
  <c r="EN90" i="1"/>
  <c r="EN64" i="1"/>
  <c r="EN59" i="1"/>
  <c r="EN86" i="1"/>
  <c r="EN147" i="1"/>
  <c r="EN92" i="1"/>
  <c r="EN54" i="1"/>
  <c r="EN51" i="1"/>
  <c r="EN150" i="1"/>
  <c r="EN121" i="1"/>
  <c r="EN197" i="1"/>
  <c r="EN70" i="1"/>
  <c r="EN94" i="1"/>
  <c r="EN179" i="1"/>
  <c r="EN192" i="1"/>
  <c r="EN160" i="1"/>
  <c r="EN178" i="1"/>
  <c r="EN201" i="1"/>
  <c r="EN106" i="1"/>
  <c r="EN170" i="1"/>
  <c r="EN184" i="1"/>
  <c r="EN171" i="1"/>
  <c r="EN120" i="1"/>
  <c r="EN68" i="1"/>
  <c r="EN66" i="1"/>
  <c r="EL46" i="1"/>
  <c r="FP46" i="1"/>
  <c r="DR46" i="1"/>
  <c r="CX46" i="1"/>
  <c r="DP133" i="1"/>
  <c r="DZ133" i="1"/>
  <c r="DX62" i="1"/>
  <c r="DD62" i="1"/>
  <c r="FB62" i="1"/>
  <c r="DD61" i="1"/>
  <c r="DN61" i="1"/>
  <c r="DX61" i="1"/>
  <c r="DX200" i="1"/>
  <c r="DD200" i="1"/>
  <c r="DN200" i="1"/>
  <c r="DD93" i="1"/>
  <c r="DN93" i="1"/>
  <c r="DX93" i="1"/>
  <c r="FB93" i="1"/>
  <c r="DX150" i="1"/>
  <c r="ER150" i="1"/>
  <c r="DD150" i="1"/>
  <c r="DD158" i="1"/>
  <c r="DX158" i="1"/>
  <c r="FB101" i="1"/>
  <c r="DX101" i="1"/>
  <c r="FL101" i="1"/>
  <c r="FV101" i="1"/>
  <c r="DN160" i="1"/>
  <c r="DX160" i="1"/>
  <c r="DN126" i="1"/>
  <c r="DX126" i="1"/>
  <c r="DD157" i="1"/>
  <c r="DN157" i="1"/>
  <c r="FB157" i="1"/>
  <c r="FB83" i="1"/>
  <c r="DX83" i="1"/>
  <c r="DN155" i="1"/>
  <c r="DX155" i="1"/>
  <c r="DX81" i="1"/>
  <c r="DD81" i="1"/>
  <c r="FB202" i="1"/>
  <c r="FV202" i="1"/>
  <c r="DX202" i="1"/>
  <c r="DN202" i="1"/>
  <c r="FB44" i="1"/>
  <c r="DD44" i="1"/>
  <c r="DN44" i="1"/>
  <c r="DL78" i="1"/>
  <c r="DB78" i="1"/>
  <c r="EP78" i="1"/>
  <c r="EP108" i="1"/>
  <c r="DL108" i="1"/>
  <c r="DB108" i="1"/>
  <c r="DB130" i="1"/>
  <c r="DL130" i="1"/>
  <c r="DL13" i="1"/>
  <c r="DB13" i="1"/>
  <c r="DM47" i="1"/>
  <c r="DC47" i="1"/>
  <c r="CI107" i="1" a="1"/>
  <c r="CI107" i="1" s="1"/>
  <c r="CI7" i="1" a="1"/>
  <c r="CI7" i="1" s="1"/>
  <c r="CI79" i="1" a="1"/>
  <c r="CI79" i="1" s="1"/>
  <c r="CI37" i="1" a="1"/>
  <c r="CI37" i="1" s="1"/>
  <c r="CI155" i="1" a="1"/>
  <c r="CI155" i="1" s="1"/>
  <c r="CI46" i="1" a="1"/>
  <c r="CI46" i="1" s="1"/>
  <c r="CI27" i="1" a="1"/>
  <c r="CI27" i="1" s="1"/>
  <c r="CI147" i="1" a="1"/>
  <c r="CI147" i="1" s="1"/>
  <c r="CI103" i="1" a="1"/>
  <c r="CI103" i="1" s="1"/>
  <c r="CI104" i="1" a="1"/>
  <c r="CI104" i="1" s="1"/>
  <c r="CI157" i="1" a="1"/>
  <c r="CI157" i="1" s="1"/>
  <c r="CI16" i="1" a="1"/>
  <c r="CI16" i="1" s="1"/>
  <c r="CI192" i="1" a="1"/>
  <c r="CI192" i="1" s="1"/>
  <c r="CI90" i="1" a="1"/>
  <c r="CI90" i="1" s="1"/>
  <c r="CI131" i="1" a="1"/>
  <c r="CI131" i="1" s="1"/>
  <c r="CI31" i="1" a="1"/>
  <c r="CI31" i="1" s="1"/>
  <c r="CI135" i="1" a="1"/>
  <c r="CI135" i="1" s="1"/>
  <c r="CI67" i="1" a="1"/>
  <c r="CI67" i="1" s="1"/>
  <c r="CI113" i="1" a="1"/>
  <c r="CI113" i="1" s="1"/>
  <c r="CI196" i="1" a="1"/>
  <c r="CI196" i="1" s="1"/>
  <c r="CI140" i="1" a="1"/>
  <c r="CI140" i="1" s="1"/>
  <c r="CI3" i="1" a="1"/>
  <c r="CI3" i="1" s="1"/>
  <c r="CI88" i="1" a="1"/>
  <c r="CI88" i="1" s="1"/>
  <c r="CI121" i="1" a="1"/>
  <c r="CI121" i="1" s="1"/>
  <c r="CI175" i="1" a="1"/>
  <c r="CI175" i="1" s="1"/>
  <c r="CI8" i="1" a="1"/>
  <c r="CI8" i="1" s="1"/>
  <c r="CI61" i="1" a="1"/>
  <c r="CI61" i="1" s="1"/>
  <c r="CI119" i="1" a="1"/>
  <c r="CI119" i="1" s="1"/>
  <c r="CI120" i="1" a="1"/>
  <c r="CI120" i="1" s="1"/>
  <c r="CI165" i="1" a="1"/>
  <c r="CI165" i="1" s="1"/>
  <c r="CI154" i="1" a="1"/>
  <c r="CI154" i="1" s="1"/>
  <c r="CI81" i="1" a="1"/>
  <c r="CI81" i="1" s="1"/>
  <c r="CI143" i="1" a="1"/>
  <c r="CI143" i="1" s="1"/>
  <c r="CI141" i="1" a="1"/>
  <c r="CI141" i="1" s="1"/>
  <c r="CI85" i="1" a="1"/>
  <c r="CI85" i="1" s="1"/>
  <c r="CI142" i="1" a="1"/>
  <c r="CI142" i="1" s="1"/>
  <c r="CI52" i="1" a="1"/>
  <c r="CI52" i="1" s="1"/>
  <c r="CI145" i="1" a="1"/>
  <c r="CI145" i="1" s="1"/>
  <c r="CI10" i="1" a="1"/>
  <c r="CI10" i="1" s="1"/>
  <c r="CI68" i="1" a="1"/>
  <c r="CI68" i="1" s="1"/>
  <c r="CI109" i="1" a="1"/>
  <c r="CI109" i="1" s="1"/>
  <c r="CI163" i="1" a="1"/>
  <c r="CI163" i="1" s="1"/>
  <c r="CI13" i="1" a="1"/>
  <c r="CI13" i="1" s="1"/>
  <c r="CI114" i="1" a="1"/>
  <c r="CI114" i="1" s="1"/>
  <c r="CI193" i="1" a="1"/>
  <c r="CI193" i="1" s="1"/>
  <c r="CI116" i="1" a="1"/>
  <c r="CI116" i="1" s="1"/>
  <c r="CI76" i="1" a="1"/>
  <c r="CI76" i="1" s="1"/>
  <c r="CI148" i="1" a="1"/>
  <c r="CI148" i="1" s="1"/>
  <c r="CI100" i="1" a="1"/>
  <c r="CI100" i="1" s="1"/>
  <c r="CI94" i="1" a="1"/>
  <c r="CI94" i="1" s="1"/>
  <c r="CI201" i="1" a="1"/>
  <c r="CI201" i="1" s="1"/>
  <c r="CI71" i="1" a="1"/>
  <c r="CI71" i="1" s="1"/>
  <c r="CI190" i="1" a="1"/>
  <c r="CI190" i="1" s="1"/>
  <c r="CI105" i="1" a="1"/>
  <c r="CI105" i="1" s="1"/>
  <c r="CI126" i="1" a="1"/>
  <c r="CI126" i="1" s="1"/>
  <c r="CI60" i="1" a="1"/>
  <c r="CI60" i="1" s="1"/>
  <c r="CI203" i="1" a="1"/>
  <c r="CI203" i="1" s="1"/>
  <c r="CI189" i="1" a="1"/>
  <c r="CI189" i="1" s="1"/>
  <c r="CI92" i="1" a="1"/>
  <c r="CI92" i="1" s="1"/>
  <c r="CI173" i="1" a="1"/>
  <c r="CI173" i="1" s="1"/>
  <c r="CI77" i="1" a="1"/>
  <c r="CI77" i="1" s="1"/>
  <c r="CI5" i="1" a="1"/>
  <c r="CI5" i="1" s="1"/>
  <c r="CI177" i="1" a="1"/>
  <c r="CI177" i="1" s="1"/>
  <c r="CI117" i="1" a="1"/>
  <c r="CI117" i="1" s="1"/>
  <c r="CI108" i="1" a="1"/>
  <c r="CI108" i="1" s="1"/>
  <c r="CI200" i="1" a="1"/>
  <c r="CI200" i="1" s="1"/>
  <c r="CI139" i="1" a="1"/>
  <c r="CI139" i="1" s="1"/>
  <c r="CI102" i="1" a="1"/>
  <c r="CI102" i="1" s="1"/>
  <c r="CI137" i="1" a="1"/>
  <c r="CI137" i="1" s="1"/>
  <c r="CI6" i="1" a="1"/>
  <c r="CI6" i="1" s="1"/>
  <c r="CI118" i="1" a="1"/>
  <c r="CI118" i="1" s="1"/>
  <c r="CI115" i="1" a="1"/>
  <c r="CI115" i="1" s="1"/>
  <c r="CI168" i="1" a="1"/>
  <c r="CI168" i="1" s="1"/>
  <c r="CI80" i="1" a="1"/>
  <c r="CI80" i="1" s="1"/>
  <c r="CI17" i="1" a="1"/>
  <c r="CI17" i="1" s="1"/>
  <c r="CI183" i="1" a="1"/>
  <c r="CI183" i="1" s="1"/>
  <c r="CI136" i="1" a="1"/>
  <c r="CI136" i="1" s="1"/>
  <c r="FJ54" i="1"/>
  <c r="FJ158" i="1"/>
  <c r="FJ59" i="1"/>
  <c r="FJ114" i="1"/>
  <c r="FJ184" i="1"/>
  <c r="FJ31" i="1"/>
  <c r="FJ92" i="1"/>
  <c r="FJ144" i="1"/>
  <c r="FJ126" i="1"/>
  <c r="FJ106" i="1"/>
  <c r="FJ60" i="1"/>
  <c r="FJ99" i="1"/>
  <c r="FJ6" i="1"/>
  <c r="FJ11" i="1"/>
  <c r="FJ50" i="1"/>
  <c r="FJ100" i="1"/>
  <c r="FJ93" i="1"/>
  <c r="FJ118" i="1"/>
  <c r="FJ154" i="1"/>
  <c r="FJ109" i="1"/>
  <c r="FJ38" i="1"/>
  <c r="FJ24" i="1"/>
  <c r="FJ152" i="1"/>
  <c r="FJ112" i="1"/>
  <c r="FJ203" i="1"/>
  <c r="FJ4" i="1"/>
  <c r="FJ65" i="1"/>
  <c r="FJ52" i="1"/>
  <c r="FJ113" i="1"/>
  <c r="FJ170" i="1"/>
  <c r="FJ45" i="1"/>
  <c r="FJ3" i="1"/>
  <c r="FJ147" i="1"/>
  <c r="FJ179" i="1"/>
  <c r="ER64" i="1"/>
  <c r="ER127" i="1"/>
  <c r="ER66" i="1"/>
  <c r="ER73" i="1"/>
  <c r="L8" i="1"/>
  <c r="AS8" i="1"/>
  <c r="AU8" i="1" s="1"/>
  <c r="EP131" i="1"/>
  <c r="DB131" i="1"/>
  <c r="DL88" i="1"/>
  <c r="DB88" i="1"/>
  <c r="DL89" i="1"/>
  <c r="EP89" i="1"/>
  <c r="EP63" i="1"/>
  <c r="DL63" i="1"/>
  <c r="DY180" i="1"/>
  <c r="FN47" i="1"/>
  <c r="FJ98" i="1"/>
  <c r="FJ172" i="1"/>
  <c r="FJ123" i="1"/>
  <c r="FJ169" i="1"/>
  <c r="FJ202" i="1"/>
  <c r="FJ177" i="1"/>
  <c r="FJ132" i="1"/>
  <c r="FJ195" i="1"/>
  <c r="ER71" i="1"/>
  <c r="EN175" i="1"/>
  <c r="FJ178" i="1"/>
  <c r="EN153" i="1"/>
  <c r="FN147" i="1"/>
  <c r="EN100" i="1"/>
  <c r="EN99" i="1"/>
  <c r="FN52" i="1"/>
  <c r="EN164" i="1"/>
  <c r="EN58" i="1"/>
  <c r="FJ200" i="1"/>
  <c r="FJ16" i="1"/>
  <c r="FV83" i="1"/>
  <c r="CG46" i="1" a="1"/>
  <c r="CG46" i="1" s="1"/>
  <c r="CG193" i="1" a="1"/>
  <c r="CG193" i="1" s="1"/>
  <c r="CG175" i="1" a="1"/>
  <c r="CG175" i="1" s="1"/>
  <c r="CJ83" i="1" a="1"/>
  <c r="CJ83" i="1" s="1"/>
  <c r="CG49" i="1" a="1"/>
  <c r="CG49" i="1" s="1"/>
  <c r="CI182" i="1" a="1"/>
  <c r="CI182" i="1" s="1"/>
  <c r="CI93" i="1" a="1"/>
  <c r="CI93" i="1" s="1"/>
  <c r="CI110" i="1" a="1"/>
  <c r="CI110" i="1" s="1"/>
  <c r="CJ186" i="1" a="1"/>
  <c r="CJ186" i="1" s="1"/>
  <c r="FJ8" i="1"/>
  <c r="FN172" i="1"/>
  <c r="DY27" i="1"/>
  <c r="DY141" i="1"/>
  <c r="FJ183" i="1"/>
  <c r="FJ95" i="1"/>
  <c r="FJ36" i="1"/>
  <c r="FJ76" i="1"/>
  <c r="FJ108" i="1"/>
  <c r="FJ153" i="1"/>
  <c r="FJ199" i="1"/>
  <c r="ER188" i="1"/>
  <c r="EN203" i="1"/>
  <c r="FN8" i="1"/>
  <c r="ER180" i="1"/>
  <c r="EN187" i="1"/>
  <c r="EN157" i="1"/>
  <c r="ER76" i="1"/>
  <c r="DD155" i="1"/>
  <c r="DD202" i="1"/>
  <c r="FJ12" i="1"/>
  <c r="DX123" i="1"/>
  <c r="FB81" i="1"/>
  <c r="EN140" i="1"/>
  <c r="EN205" i="1"/>
  <c r="FJ82" i="1"/>
  <c r="DN62" i="1"/>
  <c r="EN148" i="1"/>
  <c r="DN81" i="1"/>
  <c r="CG92" i="1" a="1"/>
  <c r="CG92" i="1" s="1"/>
  <c r="CG104" i="1" a="1"/>
  <c r="CG104" i="1" s="1"/>
  <c r="CG112" i="1" a="1"/>
  <c r="CG112" i="1" s="1"/>
  <c r="CG27" i="1" a="1"/>
  <c r="CG27" i="1" s="1"/>
  <c r="CG110" i="1" a="1"/>
  <c r="CG110" i="1" s="1"/>
  <c r="CI205" i="1" a="1"/>
  <c r="CI205" i="1" s="1"/>
  <c r="CI78" i="1" a="1"/>
  <c r="CI78" i="1" s="1"/>
  <c r="CI20" i="1" a="1"/>
  <c r="CI20" i="1" s="1"/>
  <c r="CJ168" i="1" a="1"/>
  <c r="CJ168" i="1" s="1"/>
  <c r="EN181" i="1"/>
  <c r="EN202" i="1"/>
  <c r="FV62" i="1"/>
  <c r="FN129" i="1"/>
  <c r="DY153" i="1"/>
  <c r="FJ156" i="1"/>
  <c r="FJ97" i="1"/>
  <c r="FJ138" i="1"/>
  <c r="FJ26" i="1"/>
  <c r="FJ146" i="1"/>
  <c r="FJ7" i="1"/>
  <c r="FJ49" i="1"/>
  <c r="ER155" i="1"/>
  <c r="FJ187" i="1"/>
  <c r="FN176" i="1"/>
  <c r="DN158" i="1"/>
  <c r="EN116" i="1"/>
  <c r="EN174" i="1"/>
  <c r="ER167" i="1"/>
  <c r="DX10" i="1"/>
  <c r="FB61" i="1"/>
  <c r="EN4" i="1"/>
  <c r="EN118" i="1"/>
  <c r="FJ185" i="1"/>
  <c r="EN152" i="1"/>
  <c r="CG133" i="1" a="1"/>
  <c r="CG133" i="1" s="1"/>
  <c r="CG205" i="1" a="1"/>
  <c r="CG205" i="1" s="1"/>
  <c r="CG84" i="1" a="1"/>
  <c r="CG84" i="1" s="1"/>
  <c r="CG182" i="1" a="1"/>
  <c r="CG182" i="1" s="1"/>
  <c r="CG38" i="1" a="1"/>
  <c r="CG38" i="1" s="1"/>
  <c r="CI35" i="1" a="1"/>
  <c r="CI35" i="1" s="1"/>
  <c r="CI29" i="1" a="1"/>
  <c r="CI29" i="1" s="1"/>
  <c r="CI95" i="1" a="1"/>
  <c r="CI95" i="1" s="1"/>
  <c r="CJ179" i="1" a="1"/>
  <c r="CJ179" i="1" s="1"/>
  <c r="EG47" i="1"/>
  <c r="FJ167" i="1"/>
  <c r="FJ149" i="1"/>
  <c r="FN56" i="1"/>
  <c r="AS127" i="1"/>
  <c r="AU127" i="1" s="1"/>
  <c r="FJ194" i="1"/>
  <c r="FJ62" i="1"/>
  <c r="FL157" i="1"/>
  <c r="FJ191" i="1"/>
  <c r="FJ15" i="1"/>
  <c r="FJ121" i="1"/>
  <c r="FJ201" i="1"/>
  <c r="FJ151" i="1"/>
  <c r="FJ155" i="1"/>
  <c r="FJ122" i="1"/>
  <c r="ER189" i="1"/>
  <c r="EN199" i="1"/>
  <c r="FN105" i="1"/>
  <c r="EN141" i="1"/>
  <c r="EN173" i="1"/>
  <c r="EN123" i="1"/>
  <c r="ER132" i="1"/>
  <c r="FB200" i="1"/>
  <c r="FB155" i="1"/>
  <c r="EN137" i="1"/>
  <c r="EN117" i="1"/>
  <c r="AS14" i="1"/>
  <c r="AU14" i="1" s="1"/>
  <c r="FJ139" i="1"/>
  <c r="FJ189" i="1"/>
  <c r="EN105" i="1"/>
  <c r="CG140" i="1" a="1"/>
  <c r="CG140" i="1" s="1"/>
  <c r="CJ23" i="1" a="1"/>
  <c r="CJ23" i="1" s="1"/>
  <c r="CG53" i="1" a="1"/>
  <c r="CG53" i="1" s="1"/>
  <c r="CG13" i="1" a="1"/>
  <c r="CG13" i="1" s="1"/>
  <c r="CG78" i="1" a="1"/>
  <c r="CG78" i="1" s="1"/>
  <c r="CJ52" i="1" a="1"/>
  <c r="CJ52" i="1" s="1"/>
  <c r="CI170" i="1" a="1"/>
  <c r="CI170" i="1" s="1"/>
  <c r="CI133" i="1" a="1"/>
  <c r="CI133" i="1" s="1"/>
  <c r="CI86" i="1" a="1"/>
  <c r="CI86" i="1" s="1"/>
  <c r="CJ24" i="1" a="1"/>
  <c r="CJ24" i="1" s="1"/>
  <c r="ER23" i="1"/>
  <c r="EM175" i="1"/>
  <c r="EM35" i="1"/>
  <c r="EM83" i="1"/>
  <c r="EM176" i="1"/>
  <c r="EM165" i="1"/>
  <c r="EM3" i="1"/>
  <c r="EM190" i="1"/>
  <c r="DX23" i="1"/>
  <c r="EM110" i="1"/>
  <c r="ER13" i="1"/>
  <c r="ER142" i="1"/>
  <c r="DD162" i="1"/>
  <c r="DD106" i="1"/>
  <c r="EM20" i="1"/>
  <c r="EM5" i="1"/>
  <c r="EM173" i="1"/>
  <c r="EM65" i="1"/>
  <c r="EM58" i="1"/>
  <c r="EM99" i="1"/>
  <c r="EM102" i="1"/>
  <c r="EM151" i="1"/>
  <c r="EM80" i="1"/>
  <c r="EM136" i="1"/>
  <c r="EM202" i="1"/>
  <c r="EM10" i="1"/>
  <c r="EM118" i="1"/>
  <c r="EM68" i="1"/>
  <c r="EM117" i="1"/>
  <c r="EM16" i="1"/>
  <c r="EM72" i="1"/>
  <c r="EM126" i="1"/>
  <c r="DX13" i="1"/>
  <c r="FL142" i="1"/>
  <c r="DX108" i="1"/>
  <c r="DX8" i="1"/>
  <c r="FB156" i="1"/>
  <c r="DX73" i="1"/>
  <c r="FV73" i="1"/>
  <c r="CD187" i="1" a="1"/>
  <c r="CD187" i="1" s="1"/>
  <c r="CK46" i="1" a="1"/>
  <c r="CK46" i="1" s="1"/>
  <c r="CD71" i="1" a="1"/>
  <c r="CD71" i="1" s="1"/>
  <c r="CD182" i="1" a="1"/>
  <c r="CD182" i="1" s="1"/>
  <c r="EM184" i="1"/>
  <c r="EM174" i="1"/>
  <c r="EH86" i="1"/>
  <c r="EM109" i="1"/>
  <c r="EM49" i="1"/>
  <c r="DN98" i="1"/>
  <c r="DD8" i="1"/>
  <c r="EM53" i="1"/>
  <c r="EM84" i="1"/>
  <c r="EM171" i="1"/>
  <c r="DX90" i="1"/>
  <c r="ER156" i="1"/>
  <c r="DD73" i="1"/>
  <c r="DD142" i="1"/>
  <c r="DD13" i="1"/>
  <c r="EM145" i="1"/>
  <c r="EM153" i="1"/>
  <c r="EM135" i="1"/>
  <c r="EM166" i="1"/>
  <c r="EM163" i="1"/>
  <c r="EM162" i="1"/>
  <c r="EM94" i="1"/>
  <c r="EM64" i="1"/>
  <c r="EM60" i="1"/>
  <c r="EM98" i="1"/>
  <c r="EM38" i="1"/>
  <c r="EM78" i="1"/>
  <c r="EM137" i="1"/>
  <c r="EM142" i="1"/>
  <c r="EM92" i="1"/>
  <c r="EM106" i="1"/>
  <c r="DX30" i="1"/>
  <c r="DX104" i="1"/>
  <c r="DX106" i="1"/>
  <c r="FB13" i="1"/>
  <c r="FB92" i="1"/>
  <c r="DN156" i="1"/>
  <c r="CK29" i="1" a="1"/>
  <c r="CK29" i="1" s="1"/>
  <c r="CK54" i="1" a="1"/>
  <c r="CK54" i="1" s="1"/>
  <c r="CD109" i="1" a="1"/>
  <c r="CD109" i="1" s="1"/>
  <c r="CD61" i="1" a="1"/>
  <c r="CD61" i="1" s="1"/>
  <c r="DN73" i="1"/>
  <c r="EM86" i="1"/>
  <c r="FV86" i="1"/>
  <c r="FV178" i="1"/>
  <c r="EM178" i="1"/>
  <c r="FD47" i="1"/>
  <c r="DX169" i="1"/>
  <c r="EM187" i="1"/>
  <c r="EM194" i="1"/>
  <c r="DN86" i="1"/>
  <c r="EM67" i="1"/>
  <c r="EM76" i="1"/>
  <c r="EM120" i="1"/>
  <c r="EM44" i="1"/>
  <c r="EM37" i="1"/>
  <c r="EM119" i="1"/>
  <c r="EM164" i="1"/>
  <c r="EM156" i="1"/>
  <c r="EM82" i="1"/>
  <c r="EM95" i="1"/>
  <c r="EM90" i="1"/>
  <c r="EM105" i="1"/>
  <c r="EM191" i="1"/>
  <c r="FB104" i="1"/>
  <c r="FB142" i="1"/>
  <c r="DN8" i="1"/>
  <c r="DN175" i="1"/>
  <c r="CK205" i="1" a="1"/>
  <c r="CK205" i="1" s="1"/>
  <c r="CD98" i="1" a="1"/>
  <c r="CD98" i="1" s="1"/>
  <c r="CD43" i="1" a="1"/>
  <c r="CD43" i="1" s="1"/>
  <c r="CK144" i="1" a="1"/>
  <c r="CK144" i="1" s="1"/>
  <c r="CK127" i="1" a="1"/>
  <c r="CK127" i="1" s="1"/>
  <c r="CD83" i="1" a="1"/>
  <c r="CD83" i="1" s="1"/>
  <c r="CD65" i="1" a="1"/>
  <c r="CD65" i="1" s="1"/>
  <c r="EM31" i="1"/>
  <c r="EM150" i="1"/>
  <c r="EH162" i="1"/>
  <c r="DN108" i="1"/>
  <c r="EM93" i="1"/>
  <c r="EM134" i="1"/>
  <c r="EM59" i="1"/>
  <c r="ER86" i="1"/>
  <c r="FB90" i="1"/>
  <c r="DP47" i="1"/>
  <c r="EM141" i="1"/>
  <c r="DN90" i="1"/>
  <c r="EM54" i="1"/>
  <c r="DZ47" i="1"/>
  <c r="ER99" i="1"/>
  <c r="DH26" i="1"/>
  <c r="EM55" i="1"/>
  <c r="EM205" i="1"/>
  <c r="EM188" i="1"/>
  <c r="EM30" i="1"/>
  <c r="EM139" i="1"/>
  <c r="EM129" i="1"/>
  <c r="EM42" i="1"/>
  <c r="EM8" i="1"/>
  <c r="EM204" i="1"/>
  <c r="EM51" i="1"/>
  <c r="EM146" i="1"/>
  <c r="EM123" i="1"/>
  <c r="EM186" i="1"/>
  <c r="EM198" i="1"/>
  <c r="DX142" i="1"/>
  <c r="DR26" i="1"/>
  <c r="EL26" i="1"/>
  <c r="DX156" i="1"/>
  <c r="EM104" i="1"/>
  <c r="DN114" i="1"/>
  <c r="DN178" i="1"/>
  <c r="DN13" i="1"/>
  <c r="FV99" i="1"/>
  <c r="CK62" i="1" a="1"/>
  <c r="CK62" i="1" s="1"/>
  <c r="CK159" i="1" a="1"/>
  <c r="CK159" i="1" s="1"/>
  <c r="CD145" i="1" a="1"/>
  <c r="CD145" i="1" s="1"/>
  <c r="EM4" i="1"/>
  <c r="EH169" i="1"/>
  <c r="EM185" i="1"/>
  <c r="AT61" i="1"/>
  <c r="EM189" i="1"/>
  <c r="DD169" i="1"/>
  <c r="EM130" i="1"/>
  <c r="EM179" i="1"/>
  <c r="EM7" i="1"/>
  <c r="EM112" i="1"/>
  <c r="EM91" i="1"/>
  <c r="EM85" i="1"/>
  <c r="EM121" i="1"/>
  <c r="EM169" i="1"/>
  <c r="EM181" i="1"/>
  <c r="EM88" i="1"/>
  <c r="EM24" i="1"/>
  <c r="EM128" i="1"/>
  <c r="EM97" i="1"/>
  <c r="EM52" i="1"/>
  <c r="EM70" i="1"/>
  <c r="EM155" i="1"/>
  <c r="DX114" i="1"/>
  <c r="DX175" i="1"/>
  <c r="FB175" i="1"/>
  <c r="FB55" i="1"/>
  <c r="FP26" i="1"/>
  <c r="EM131" i="1"/>
  <c r="CD159" i="1" a="1"/>
  <c r="CD159" i="1" s="1"/>
  <c r="CK139" i="1" a="1"/>
  <c r="CK139" i="1" s="1"/>
  <c r="CK131" i="1" a="1"/>
  <c r="CK131" i="1" s="1"/>
  <c r="CD51" i="1" a="1"/>
  <c r="CD51" i="1" s="1"/>
  <c r="EM43" i="1"/>
  <c r="EM167" i="1"/>
  <c r="FV169" i="1"/>
  <c r="EM182" i="1"/>
  <c r="DN162" i="1"/>
  <c r="EM50" i="1"/>
  <c r="DN169" i="1"/>
  <c r="EM154" i="1"/>
  <c r="AS28" i="1"/>
  <c r="AU28" i="1" s="1"/>
  <c r="DD98" i="1"/>
  <c r="EM159" i="1"/>
  <c r="EM196" i="1"/>
  <c r="EM157" i="1"/>
  <c r="EM71" i="1"/>
  <c r="EM114" i="1"/>
  <c r="EM183" i="1"/>
  <c r="EM23" i="1"/>
  <c r="EM56" i="1"/>
  <c r="EM140" i="1"/>
  <c r="EM111" i="1"/>
  <c r="EM132" i="1"/>
  <c r="EM192" i="1"/>
  <c r="EM61" i="1"/>
  <c r="EM197" i="1"/>
  <c r="EM36" i="1"/>
  <c r="DX162" i="1"/>
  <c r="FB98" i="1"/>
  <c r="FB162" i="1"/>
  <c r="EM81" i="1"/>
  <c r="FV98" i="1"/>
  <c r="CD64" i="1" a="1"/>
  <c r="CD64" i="1" s="1"/>
  <c r="CK47" i="1" a="1"/>
  <c r="CK47" i="1" s="1"/>
  <c r="CK198" i="1" a="1"/>
  <c r="CK198" i="1" s="1"/>
  <c r="CK82" i="1" a="1"/>
  <c r="CK82" i="1" s="1"/>
  <c r="CD136" i="1" a="1"/>
  <c r="CD136" i="1" s="1"/>
  <c r="EM143" i="1"/>
  <c r="EH98" i="1"/>
  <c r="EM148" i="1"/>
  <c r="EM168" i="1"/>
  <c r="EM149" i="1"/>
  <c r="EM73" i="1"/>
  <c r="DD178" i="1"/>
  <c r="DD104" i="1"/>
  <c r="EM89" i="1"/>
  <c r="EM101" i="1"/>
  <c r="EM12" i="1"/>
  <c r="EM116" i="1"/>
  <c r="EM17" i="1"/>
  <c r="EM138" i="1"/>
  <c r="EM125" i="1"/>
  <c r="EM113" i="1"/>
  <c r="EM160" i="1"/>
  <c r="EM195" i="1"/>
  <c r="EM75" i="1"/>
  <c r="EM158" i="1"/>
  <c r="EM161" i="1"/>
  <c r="EM66" i="1"/>
  <c r="EM115" i="1"/>
  <c r="EM177" i="1"/>
  <c r="DX55" i="1"/>
  <c r="FB106" i="1"/>
  <c r="EM193" i="1"/>
  <c r="EM96" i="1"/>
  <c r="CD191" i="1" a="1"/>
  <c r="CD191" i="1" s="1"/>
  <c r="CK78" i="1" a="1"/>
  <c r="CK78" i="1" s="1"/>
  <c r="CK179" i="1" a="1"/>
  <c r="CK179" i="1" s="1"/>
  <c r="CD27" i="1" a="1"/>
  <c r="CD27" i="1" s="1"/>
  <c r="CD171" i="1" a="1"/>
  <c r="CD171" i="1" s="1"/>
  <c r="AT78" i="1"/>
  <c r="AS78" i="1"/>
  <c r="AU78" i="1" s="1"/>
  <c r="AT54" i="1"/>
  <c r="AS54" i="1"/>
  <c r="AU54" i="1" s="1"/>
  <c r="ER164" i="1"/>
  <c r="FL16" i="1"/>
  <c r="ER82" i="1"/>
  <c r="EH42" i="1"/>
  <c r="EH75" i="1"/>
  <c r="FB42" i="1"/>
  <c r="FB125" i="1"/>
  <c r="FV164" i="1"/>
  <c r="FL172" i="1"/>
  <c r="DN164" i="1"/>
  <c r="DP63" i="1"/>
  <c r="DD177" i="1"/>
  <c r="FB194" i="1"/>
  <c r="DX67" i="1"/>
  <c r="DN43" i="1"/>
  <c r="FV113" i="1"/>
  <c r="FV75" i="1"/>
  <c r="FB164" i="1"/>
  <c r="FB138" i="1"/>
  <c r="DN177" i="1"/>
  <c r="DN172" i="1"/>
  <c r="ER43" i="1"/>
  <c r="FB174" i="1"/>
  <c r="DX138" i="1"/>
  <c r="EH37" i="1"/>
  <c r="EH164" i="1"/>
  <c r="DD43" i="1"/>
  <c r="FV152" i="1"/>
  <c r="FV37" i="1"/>
  <c r="FB182" i="1"/>
  <c r="DN75" i="1"/>
  <c r="ER152" i="1"/>
  <c r="EH113" i="1"/>
  <c r="ET63" i="1"/>
  <c r="FV131" i="1"/>
  <c r="DD182" i="1"/>
  <c r="DX194" i="1"/>
  <c r="DN95" i="1"/>
  <c r="FD63" i="1"/>
  <c r="FB152" i="1"/>
  <c r="ER125" i="1"/>
  <c r="EH174" i="1"/>
  <c r="FV174" i="1"/>
  <c r="FV36" i="1"/>
  <c r="EH88" i="1"/>
  <c r="DD37" i="1"/>
  <c r="DX174" i="1"/>
  <c r="DD164" i="1"/>
  <c r="DD63" i="1"/>
  <c r="DD113" i="1"/>
  <c r="EJ115" i="1"/>
  <c r="FL115" i="1"/>
  <c r="DX164" i="1"/>
  <c r="FB105" i="1"/>
  <c r="FP85" i="1"/>
  <c r="DX125" i="1"/>
  <c r="DD75" i="1"/>
  <c r="EH182" i="1"/>
  <c r="FV67" i="1"/>
  <c r="EH152" i="1"/>
  <c r="DD125" i="1"/>
  <c r="EH63" i="1"/>
  <c r="FV43" i="1"/>
  <c r="FV172" i="1"/>
  <c r="FV105" i="1"/>
  <c r="EH172" i="1"/>
  <c r="DD194" i="1"/>
  <c r="DD115" i="1"/>
  <c r="DD138" i="1"/>
  <c r="FL125" i="1"/>
  <c r="DX113" i="1"/>
  <c r="DX63" i="1"/>
  <c r="FB95" i="1"/>
  <c r="DN113" i="1"/>
  <c r="DN138" i="1"/>
  <c r="DN125" i="1"/>
  <c r="DN105" i="1"/>
  <c r="DN194" i="1"/>
  <c r="DX115" i="1"/>
  <c r="FX63" i="1"/>
  <c r="FD115" i="1"/>
  <c r="EH105" i="1"/>
  <c r="EH177" i="1"/>
  <c r="FB37" i="1"/>
  <c r="DN67" i="1"/>
  <c r="EH125" i="1"/>
  <c r="EH115" i="1"/>
  <c r="FV138" i="1"/>
  <c r="EH36" i="1"/>
  <c r="EJ63" i="1"/>
  <c r="ER105" i="1"/>
  <c r="DX131" i="1"/>
  <c r="DX75" i="1"/>
  <c r="FB63" i="1"/>
  <c r="FB26" i="1"/>
  <c r="DR85" i="1"/>
  <c r="DD88" i="1"/>
  <c r="DX172" i="1"/>
  <c r="DN37" i="1"/>
  <c r="DX36" i="1"/>
  <c r="FL131" i="1"/>
  <c r="DD36" i="1"/>
  <c r="DN63" i="1"/>
  <c r="EH43" i="1"/>
  <c r="FX115" i="1"/>
  <c r="DN42" i="1"/>
  <c r="EH67" i="1"/>
  <c r="FV88" i="1"/>
  <c r="FV26" i="1"/>
  <c r="EH95" i="1"/>
  <c r="DD174" i="1"/>
  <c r="ET115" i="1"/>
  <c r="DD172" i="1"/>
  <c r="DD131" i="1"/>
  <c r="DX88" i="1"/>
  <c r="DX177" i="1"/>
  <c r="DX43" i="1"/>
  <c r="DX95" i="1"/>
  <c r="DX42" i="1"/>
  <c r="DN182" i="1"/>
  <c r="DZ115" i="1"/>
  <c r="EH194" i="1"/>
  <c r="DN152" i="1"/>
  <c r="DD67" i="1"/>
  <c r="FV177" i="1"/>
  <c r="FV115" i="1"/>
  <c r="FV182" i="1"/>
  <c r="DD95" i="1"/>
  <c r="DD105" i="1"/>
  <c r="ER67" i="1"/>
  <c r="FB115" i="1"/>
  <c r="DN36" i="1"/>
  <c r="DD26" i="1"/>
  <c r="FL63" i="1"/>
  <c r="DX26" i="1"/>
  <c r="DN88" i="1"/>
  <c r="DF63" i="1"/>
  <c r="EH26" i="1"/>
  <c r="EH131" i="1"/>
  <c r="DD42" i="1"/>
  <c r="FB131" i="1"/>
  <c r="ER20" i="1"/>
  <c r="DX165" i="1"/>
  <c r="DN128" i="1"/>
  <c r="FV184" i="1"/>
  <c r="ER16" i="1"/>
  <c r="DX121" i="1"/>
  <c r="FB54" i="1"/>
  <c r="DX82" i="1"/>
  <c r="FB128" i="1"/>
  <c r="FV168" i="1"/>
  <c r="FV16" i="1"/>
  <c r="DX120" i="1"/>
  <c r="FL168" i="1"/>
  <c r="FB82" i="1"/>
  <c r="FV121" i="1"/>
  <c r="EL36" i="1"/>
  <c r="DH36" i="1"/>
  <c r="DX166" i="1"/>
  <c r="DD49" i="1"/>
  <c r="ER190" i="1"/>
  <c r="DD165" i="1"/>
  <c r="EH103" i="1"/>
  <c r="FV52" i="1"/>
  <c r="DN176" i="1"/>
  <c r="EH117" i="1"/>
  <c r="DD103" i="1"/>
  <c r="DN49" i="1"/>
  <c r="FV49" i="1"/>
  <c r="FN26" i="1"/>
  <c r="DD168" i="1"/>
  <c r="FB190" i="1"/>
  <c r="FL103" i="1"/>
  <c r="DN20" i="1"/>
  <c r="AT177" i="1"/>
  <c r="AT106" i="1"/>
  <c r="AS106" i="1"/>
  <c r="AU106" i="1" s="1"/>
  <c r="DU186" i="1"/>
  <c r="AS69" i="1"/>
  <c r="AU69" i="1" s="1"/>
  <c r="DU102" i="1"/>
  <c r="EH165" i="1"/>
  <c r="L46" i="1"/>
  <c r="DN82" i="1"/>
  <c r="AS130" i="1"/>
  <c r="AU130" i="1" s="1"/>
  <c r="DU55" i="1"/>
  <c r="ES147" i="1"/>
  <c r="ES51" i="1"/>
  <c r="ES193" i="1"/>
  <c r="ES201" i="1"/>
  <c r="FV192" i="1"/>
  <c r="FV135" i="1"/>
  <c r="EH49" i="1"/>
  <c r="DU166" i="1"/>
  <c r="FF53" i="1"/>
  <c r="EJ26" i="1"/>
  <c r="AT86" i="1"/>
  <c r="DD184" i="1"/>
  <c r="ES187" i="1"/>
  <c r="DX117" i="1"/>
  <c r="ES176" i="1"/>
  <c r="ES31" i="1"/>
  <c r="DN190" i="1"/>
  <c r="DD183" i="1"/>
  <c r="DD135" i="1"/>
  <c r="DD161" i="1"/>
  <c r="DX192" i="1"/>
  <c r="DX20" i="1"/>
  <c r="DX161" i="1"/>
  <c r="DX190" i="1"/>
  <c r="FB168" i="1"/>
  <c r="ES69" i="1"/>
  <c r="ES110" i="1"/>
  <c r="ES141" i="1"/>
  <c r="ES125" i="1"/>
  <c r="ES200" i="1"/>
  <c r="ES61" i="1"/>
  <c r="ES106" i="1"/>
  <c r="ES199" i="1"/>
  <c r="ES113" i="1"/>
  <c r="ES192" i="1"/>
  <c r="ES184" i="1"/>
  <c r="ES82" i="1"/>
  <c r="ES91" i="1"/>
  <c r="ES66" i="1"/>
  <c r="ES186" i="1"/>
  <c r="FB184" i="1"/>
  <c r="FB122" i="1"/>
  <c r="FL52" i="1"/>
  <c r="DX52" i="1"/>
  <c r="DN192" i="1"/>
  <c r="DN109" i="1"/>
  <c r="DU7" i="1"/>
  <c r="EH135" i="1"/>
  <c r="AS22" i="1"/>
  <c r="AU22" i="1" s="1"/>
  <c r="FV82" i="1"/>
  <c r="ER128" i="1"/>
  <c r="EH20" i="1"/>
  <c r="EH161" i="1"/>
  <c r="DU106" i="1"/>
  <c r="ES181" i="1"/>
  <c r="FV120" i="1"/>
  <c r="FV190" i="1"/>
  <c r="ES64" i="1"/>
  <c r="ES105" i="1"/>
  <c r="ES114" i="1"/>
  <c r="DU79" i="1"/>
  <c r="DN184" i="1"/>
  <c r="FF174" i="1"/>
  <c r="AT94" i="1"/>
  <c r="AS86" i="1"/>
  <c r="AU86" i="1" s="1"/>
  <c r="DN117" i="1"/>
  <c r="ER183" i="1"/>
  <c r="DD122" i="1"/>
  <c r="FB52" i="1"/>
  <c r="ES133" i="1"/>
  <c r="ES185" i="1"/>
  <c r="ES120" i="1"/>
  <c r="FB166" i="1"/>
  <c r="ES160" i="1"/>
  <c r="ES5" i="1"/>
  <c r="ES44" i="1"/>
  <c r="ES196" i="1"/>
  <c r="ES56" i="1"/>
  <c r="ES92" i="1"/>
  <c r="ES148" i="1"/>
  <c r="ES152" i="1"/>
  <c r="ES153" i="1"/>
  <c r="ES35" i="1"/>
  <c r="ES168" i="1"/>
  <c r="ES194" i="1"/>
  <c r="ES93" i="1"/>
  <c r="ES149" i="1"/>
  <c r="FB192" i="1"/>
  <c r="FB161" i="1"/>
  <c r="ES62" i="1"/>
  <c r="ES38" i="1"/>
  <c r="DU152" i="1"/>
  <c r="DU25" i="1"/>
  <c r="ES12" i="1"/>
  <c r="ES11" i="1"/>
  <c r="ES84" i="1"/>
  <c r="DU143" i="1"/>
  <c r="ES162" i="1"/>
  <c r="ES42" i="1"/>
  <c r="ES163" i="1"/>
  <c r="ES126" i="1"/>
  <c r="ES169" i="1"/>
  <c r="FB183" i="1"/>
  <c r="ES16" i="1"/>
  <c r="ES158" i="1"/>
  <c r="DN183" i="1"/>
  <c r="DN121" i="1"/>
  <c r="AT156" i="1"/>
  <c r="AT133" i="1"/>
  <c r="AS156" i="1"/>
  <c r="AU156" i="1" s="1"/>
  <c r="EH183" i="1"/>
  <c r="AT38" i="1"/>
  <c r="EB36" i="1"/>
  <c r="DD20" i="1"/>
  <c r="AS71" i="1"/>
  <c r="AU71" i="1" s="1"/>
  <c r="FB16" i="1"/>
  <c r="EH82" i="1"/>
  <c r="DX128" i="1"/>
  <c r="DU157" i="1"/>
  <c r="ES189" i="1"/>
  <c r="FV183" i="1"/>
  <c r="ES54" i="1"/>
  <c r="ES115" i="1"/>
  <c r="ES100" i="1"/>
  <c r="FV117" i="1"/>
  <c r="DD176" i="1"/>
  <c r="ES146" i="1"/>
  <c r="DD117" i="1"/>
  <c r="DD121" i="1"/>
  <c r="ES191" i="1"/>
  <c r="DX103" i="1"/>
  <c r="ES73" i="1"/>
  <c r="ES95" i="1"/>
  <c r="ES71" i="1"/>
  <c r="ES197" i="1"/>
  <c r="ES179" i="1"/>
  <c r="ES182" i="1"/>
  <c r="ES81" i="1"/>
  <c r="ES188" i="1"/>
  <c r="ES142" i="1"/>
  <c r="ES50" i="1"/>
  <c r="ES205" i="1"/>
  <c r="ES112" i="1"/>
  <c r="ES161" i="1"/>
  <c r="ES108" i="1"/>
  <c r="ES202" i="1"/>
  <c r="FB120" i="1"/>
  <c r="FB121" i="1"/>
  <c r="DZ26" i="1"/>
  <c r="DN54" i="1"/>
  <c r="CF129" i="1" a="1"/>
  <c r="CF129" i="1" s="1"/>
  <c r="CF146" i="1" a="1"/>
  <c r="CF146" i="1" s="1"/>
  <c r="DU189" i="1"/>
  <c r="DP26" i="1"/>
  <c r="AS85" i="1"/>
  <c r="AU85" i="1" s="1"/>
  <c r="EH128" i="1"/>
  <c r="EH192" i="1"/>
  <c r="AT171" i="1"/>
  <c r="L84" i="1"/>
  <c r="AS38" i="1"/>
  <c r="AU38" i="1" s="1"/>
  <c r="AS171" i="1"/>
  <c r="AU171" i="1" s="1"/>
  <c r="DD16" i="1"/>
  <c r="FV128" i="1"/>
  <c r="FV165" i="1"/>
  <c r="DU11" i="1"/>
  <c r="EH122" i="1"/>
  <c r="EH54" i="1"/>
  <c r="ES170" i="1"/>
  <c r="ES159" i="1"/>
  <c r="ES59" i="1"/>
  <c r="ES122" i="1"/>
  <c r="FV122" i="1"/>
  <c r="FV103" i="1"/>
  <c r="DU53" i="1"/>
  <c r="DU162" i="1"/>
  <c r="AS178" i="1"/>
  <c r="AU178" i="1" s="1"/>
  <c r="ER168" i="1"/>
  <c r="DX176" i="1"/>
  <c r="DX49" i="1"/>
  <c r="DX122" i="1"/>
  <c r="DX16" i="1"/>
  <c r="FB103" i="1"/>
  <c r="ES130" i="1"/>
  <c r="ES83" i="1"/>
  <c r="ES127" i="1"/>
  <c r="ES17" i="1"/>
  <c r="ES139" i="1"/>
  <c r="ES89" i="1"/>
  <c r="ES138" i="1"/>
  <c r="ES131" i="1"/>
  <c r="ES43" i="1"/>
  <c r="ES123" i="1"/>
  <c r="ES24" i="1"/>
  <c r="ES198" i="1"/>
  <c r="ES203" i="1"/>
  <c r="ES78" i="1"/>
  <c r="ES30" i="1"/>
  <c r="ES10" i="1"/>
  <c r="FB135" i="1"/>
  <c r="DR36" i="1"/>
  <c r="ES55" i="1"/>
  <c r="ES80" i="1"/>
  <c r="DX109" i="1"/>
  <c r="DD52" i="1"/>
  <c r="EL139" i="1"/>
  <c r="FL79" i="1"/>
  <c r="ER11" i="1"/>
  <c r="ES7" i="1"/>
  <c r="ES121" i="1"/>
  <c r="ES94" i="1"/>
  <c r="ES70" i="1"/>
  <c r="ES165" i="1"/>
  <c r="DN168" i="1"/>
  <c r="EH16" i="1"/>
  <c r="EH166" i="1"/>
  <c r="EH120" i="1"/>
  <c r="EH109" i="1"/>
  <c r="AS133" i="1"/>
  <c r="AU133" i="1" s="1"/>
  <c r="DN16" i="1"/>
  <c r="DD82" i="1"/>
  <c r="FL128" i="1"/>
  <c r="AT178" i="1"/>
  <c r="DU133" i="1"/>
  <c r="DU144" i="1"/>
  <c r="EH190" i="1"/>
  <c r="ES173" i="1"/>
  <c r="ES119" i="1"/>
  <c r="ES134" i="1"/>
  <c r="DU42" i="1"/>
  <c r="DD120" i="1"/>
  <c r="ES157" i="1"/>
  <c r="ES96" i="1"/>
  <c r="ES101" i="1"/>
  <c r="ES4" i="1"/>
  <c r="ES116" i="1"/>
  <c r="ES75" i="1"/>
  <c r="ES151" i="1"/>
  <c r="ES72" i="1"/>
  <c r="ES129" i="1"/>
  <c r="ES103" i="1"/>
  <c r="ES102" i="1"/>
  <c r="ES124" i="1"/>
  <c r="ES29" i="1"/>
  <c r="ES154" i="1"/>
  <c r="ES167" i="1"/>
  <c r="ES104" i="1"/>
  <c r="FB109" i="1"/>
  <c r="FP36" i="1"/>
  <c r="ES174" i="1"/>
  <c r="DN166" i="1"/>
  <c r="ES135" i="1"/>
  <c r="DU140" i="1"/>
  <c r="ES172" i="1"/>
  <c r="ES76" i="1"/>
  <c r="ES60" i="1"/>
  <c r="ES37" i="1"/>
  <c r="ES68" i="1"/>
  <c r="ES183" i="1"/>
  <c r="ES178" i="1"/>
  <c r="ES27" i="1"/>
  <c r="ES77" i="1"/>
  <c r="ES175" i="1"/>
  <c r="AT85" i="1"/>
  <c r="AS41" i="1"/>
  <c r="AU41" i="1" s="1"/>
  <c r="AT41" i="1"/>
  <c r="DF26" i="1"/>
  <c r="ER165" i="1"/>
  <c r="EV36" i="1"/>
  <c r="DU137" i="1"/>
  <c r="AT22" i="1"/>
  <c r="FL165" i="1"/>
  <c r="DN165" i="1"/>
  <c r="FB20" i="1"/>
  <c r="AS26" i="1"/>
  <c r="AU26" i="1" s="1"/>
  <c r="FV161" i="1"/>
  <c r="ES144" i="1"/>
  <c r="ES137" i="1"/>
  <c r="ES118" i="1"/>
  <c r="FV54" i="1"/>
  <c r="FV109" i="1"/>
  <c r="FV166" i="1"/>
  <c r="EH168" i="1"/>
  <c r="AT69" i="1"/>
  <c r="AT112" i="1"/>
  <c r="ES23" i="1"/>
  <c r="ER135" i="1"/>
  <c r="ES155" i="1"/>
  <c r="ES109" i="1"/>
  <c r="ES150" i="1"/>
  <c r="ES79" i="1"/>
  <c r="ES45" i="1"/>
  <c r="ES140" i="1"/>
  <c r="ES143" i="1"/>
  <c r="ES88" i="1"/>
  <c r="ES20" i="1"/>
  <c r="ES195" i="1"/>
  <c r="ES145" i="1"/>
  <c r="ES67" i="1"/>
  <c r="ES99" i="1"/>
  <c r="ES111" i="1"/>
  <c r="ES128" i="1"/>
  <c r="ES190" i="1"/>
  <c r="ES171" i="1"/>
  <c r="AS112" i="1"/>
  <c r="AU112" i="1" s="1"/>
  <c r="CF205" i="1" a="1"/>
  <c r="CF205" i="1" s="1"/>
  <c r="CF16" i="1" a="1"/>
  <c r="CF16" i="1" s="1"/>
  <c r="CF199" i="1" a="1"/>
  <c r="CF199" i="1" s="1"/>
  <c r="CF94" i="1" a="1"/>
  <c r="CF94" i="1" s="1"/>
  <c r="DX153" i="1"/>
  <c r="EZ85" i="1"/>
  <c r="EH77" i="1"/>
  <c r="FV77" i="1"/>
  <c r="FV149" i="1"/>
  <c r="FV78" i="1"/>
  <c r="DD79" i="1"/>
  <c r="DN11" i="1"/>
  <c r="DD51" i="1"/>
  <c r="DN153" i="1"/>
  <c r="FV195" i="1"/>
  <c r="EH149" i="1"/>
  <c r="DD195" i="1"/>
  <c r="FB3" i="1"/>
  <c r="DX70" i="1"/>
  <c r="DF121" i="1"/>
  <c r="EH100" i="1"/>
  <c r="FV79" i="1"/>
  <c r="DN6" i="1"/>
  <c r="DD146" i="1"/>
  <c r="DD3" i="1"/>
  <c r="DX3" i="1"/>
  <c r="DD118" i="1"/>
  <c r="ER118" i="1"/>
  <c r="DX51" i="1"/>
  <c r="DX27" i="1"/>
  <c r="ES63" i="1"/>
  <c r="EI63" i="1"/>
  <c r="FB195" i="1"/>
  <c r="DR139" i="1"/>
  <c r="DN146" i="1"/>
  <c r="DN118" i="1"/>
  <c r="DN72" i="1"/>
  <c r="FD121" i="1"/>
  <c r="EH6" i="1"/>
  <c r="EH148" i="1"/>
  <c r="DD27" i="1"/>
  <c r="DD35" i="1"/>
  <c r="DX181" i="1"/>
  <c r="FB11" i="1"/>
  <c r="FV11" i="1"/>
  <c r="FV27" i="1"/>
  <c r="DD100" i="1"/>
  <c r="FC63" i="1"/>
  <c r="ER153" i="1"/>
  <c r="ER149" i="1"/>
  <c r="DX148" i="1"/>
  <c r="DX6" i="1"/>
  <c r="DX136" i="1"/>
  <c r="DX78" i="1"/>
  <c r="FB153" i="1"/>
  <c r="DN79" i="1"/>
  <c r="DN148" i="1"/>
  <c r="DN78" i="1"/>
  <c r="EH11" i="1"/>
  <c r="FM63" i="1"/>
  <c r="EH27" i="1"/>
  <c r="EH136" i="1"/>
  <c r="DP121" i="1"/>
  <c r="FW63" i="1"/>
  <c r="ER181" i="1"/>
  <c r="FV181" i="1"/>
  <c r="EH153" i="1"/>
  <c r="FV148" i="1"/>
  <c r="FV100" i="1"/>
  <c r="EV139" i="1"/>
  <c r="FB149" i="1"/>
  <c r="ER78" i="1"/>
  <c r="DX79" i="1"/>
  <c r="DX11" i="1"/>
  <c r="FB148" i="1"/>
  <c r="FB70" i="1"/>
  <c r="FB79" i="1"/>
  <c r="FB77" i="1"/>
  <c r="EP85" i="1"/>
  <c r="DD136" i="1"/>
  <c r="DN136" i="1"/>
  <c r="DN195" i="1"/>
  <c r="EH78" i="1"/>
  <c r="EW47" i="1"/>
  <c r="DS47" i="1"/>
  <c r="DD11" i="1"/>
  <c r="FB6" i="1"/>
  <c r="FV3" i="1"/>
  <c r="DD181" i="1"/>
  <c r="FV146" i="1"/>
  <c r="EH79" i="1"/>
  <c r="DX149" i="1"/>
  <c r="DD77" i="1"/>
  <c r="DD151" i="1"/>
  <c r="DH139" i="1"/>
  <c r="DX151" i="1"/>
  <c r="FL3" i="1"/>
  <c r="DX195" i="1"/>
  <c r="FL6" i="1"/>
  <c r="FB100" i="1"/>
  <c r="FV70" i="1"/>
  <c r="DN151" i="1"/>
  <c r="DN51" i="1"/>
  <c r="EF85" i="1"/>
  <c r="FJ85" i="1"/>
  <c r="EH181" i="1"/>
  <c r="FB35" i="1"/>
  <c r="DN181" i="1"/>
  <c r="EH70" i="1"/>
  <c r="EH51" i="1"/>
  <c r="FV136" i="1"/>
  <c r="FV51" i="1"/>
  <c r="ET121" i="1"/>
  <c r="EH146" i="1"/>
  <c r="EH118" i="1"/>
  <c r="EJ121" i="1"/>
  <c r="DO63" i="1"/>
  <c r="DX35" i="1"/>
  <c r="DL85" i="1"/>
  <c r="FP139" i="1"/>
  <c r="CX139" i="1"/>
  <c r="FT85" i="1"/>
  <c r="EH35" i="1"/>
  <c r="DD6" i="1"/>
  <c r="DN27" i="1"/>
  <c r="EB139" i="1"/>
  <c r="FV153" i="1"/>
  <c r="FV151" i="1"/>
  <c r="FV35" i="1"/>
  <c r="DD149" i="1"/>
  <c r="DN77" i="1"/>
  <c r="DD78" i="1"/>
  <c r="DD72" i="1"/>
  <c r="EM47" i="1"/>
  <c r="DX72" i="1"/>
  <c r="FB151" i="1"/>
  <c r="EH72" i="1"/>
  <c r="ER146" i="1"/>
  <c r="EH3" i="1"/>
  <c r="FV118" i="1"/>
  <c r="FV72" i="1"/>
  <c r="DD70" i="1"/>
  <c r="ER6" i="1"/>
  <c r="FX121" i="1"/>
  <c r="DX118" i="1"/>
  <c r="DX100" i="1"/>
  <c r="DX146" i="1"/>
  <c r="CF185" i="1" a="1"/>
  <c r="CF185" i="1" s="1"/>
  <c r="CF44" i="1" a="1"/>
  <c r="CF44" i="1" s="1"/>
  <c r="CF100" i="1" a="1"/>
  <c r="CF100" i="1" s="1"/>
  <c r="CF169" i="1" a="1"/>
  <c r="CF169" i="1" s="1"/>
  <c r="CF83" i="1" a="1"/>
  <c r="CF83" i="1" s="1"/>
  <c r="CF45" i="1" a="1"/>
  <c r="CF45" i="1" s="1"/>
  <c r="CF136" i="1" a="1"/>
  <c r="CF136" i="1" s="1"/>
  <c r="CF38" i="1" a="1"/>
  <c r="CF38" i="1" s="1"/>
  <c r="CF29" i="1" a="1"/>
  <c r="CF29" i="1" s="1"/>
  <c r="CF67" i="1" a="1"/>
  <c r="CF67" i="1" s="1"/>
  <c r="CF73" i="1" a="1"/>
  <c r="CF73" i="1" s="1"/>
  <c r="CF203" i="1" a="1"/>
  <c r="CF203" i="1" s="1"/>
  <c r="CF52" i="1" a="1"/>
  <c r="CF52" i="1" s="1"/>
  <c r="CF80" i="1" a="1"/>
  <c r="CF80" i="1" s="1"/>
  <c r="CF63" i="1" a="1"/>
  <c r="CF63" i="1" s="1"/>
  <c r="CF50" i="1" a="1"/>
  <c r="CF50" i="1" s="1"/>
  <c r="CF8" i="1" a="1"/>
  <c r="CF8" i="1" s="1"/>
  <c r="CF155" i="1" a="1"/>
  <c r="CF155" i="1" s="1"/>
  <c r="CF171" i="1" a="1"/>
  <c r="CF171" i="1" s="1"/>
  <c r="CF204" i="1" a="1"/>
  <c r="CF204" i="1" s="1"/>
  <c r="CF189" i="1" a="1"/>
  <c r="CF189" i="1" s="1"/>
  <c r="CF153" i="1" a="1"/>
  <c r="CF153" i="1" s="1"/>
  <c r="CF179" i="1" a="1"/>
  <c r="CF179" i="1" s="1"/>
  <c r="CF180" i="1" a="1"/>
  <c r="CF180" i="1" s="1"/>
  <c r="CF143" i="1" a="1"/>
  <c r="CF143" i="1" s="1"/>
  <c r="CF77" i="1" a="1"/>
  <c r="CF77" i="1" s="1"/>
  <c r="CF194" i="1" a="1"/>
  <c r="CF194" i="1" s="1"/>
  <c r="CF202" i="1" a="1"/>
  <c r="CF202" i="1" s="1"/>
  <c r="CF178" i="1" a="1"/>
  <c r="CF178" i="1" s="1"/>
  <c r="CF123" i="1" a="1"/>
  <c r="CF123" i="1" s="1"/>
  <c r="CF99" i="1" a="1"/>
  <c r="CF99" i="1" s="1"/>
  <c r="CF134" i="1" a="1"/>
  <c r="CF134" i="1" s="1"/>
  <c r="CF149" i="1" a="1"/>
  <c r="CF149" i="1" s="1"/>
  <c r="CF30" i="1" a="1"/>
  <c r="CF30" i="1" s="1"/>
  <c r="CF181" i="1" a="1"/>
  <c r="CF181" i="1" s="1"/>
  <c r="CF162" i="1" a="1"/>
  <c r="CF162" i="1" s="1"/>
  <c r="CF111" i="1" a="1"/>
  <c r="CF111" i="1" s="1"/>
  <c r="CF113" i="1" a="1"/>
  <c r="CF113" i="1" s="1"/>
  <c r="CF92" i="1" a="1"/>
  <c r="CF92" i="1" s="1"/>
  <c r="CF43" i="1" a="1"/>
  <c r="CF43" i="1" s="1"/>
  <c r="CF147" i="1" a="1"/>
  <c r="CF147" i="1" s="1"/>
  <c r="CF31" i="1" a="1"/>
  <c r="CF31" i="1" s="1"/>
  <c r="CF144" i="1" a="1"/>
  <c r="CF144" i="1" s="1"/>
  <c r="CF104" i="1" a="1"/>
  <c r="CF104" i="1" s="1"/>
  <c r="CF106" i="1" a="1"/>
  <c r="CF106" i="1" s="1"/>
  <c r="CF10" i="1" a="1"/>
  <c r="CF10" i="1" s="1"/>
  <c r="CF133" i="1" a="1"/>
  <c r="CF133" i="1" s="1"/>
  <c r="CF15" i="1" a="1"/>
  <c r="CF15" i="1" s="1"/>
  <c r="CF139" i="1" a="1"/>
  <c r="CF139" i="1" s="1"/>
  <c r="CF148" i="1" a="1"/>
  <c r="CF148" i="1" s="1"/>
  <c r="CF23" i="1" a="1"/>
  <c r="CF23" i="1" s="1"/>
  <c r="CF193" i="1" a="1"/>
  <c r="CF193" i="1" s="1"/>
  <c r="CF145" i="1" a="1"/>
  <c r="CF145" i="1" s="1"/>
  <c r="CF13" i="1" a="1"/>
  <c r="CF13" i="1" s="1"/>
  <c r="CF165" i="1" a="1"/>
  <c r="CF165" i="1" s="1"/>
  <c r="CF3" i="1" a="1"/>
  <c r="CF3" i="1" s="1"/>
  <c r="CF49" i="1" a="1"/>
  <c r="CF49" i="1" s="1"/>
  <c r="CF96" i="1" a="1"/>
  <c r="CF96" i="1" s="1"/>
  <c r="CF42" i="1" a="1"/>
  <c r="CF42" i="1" s="1"/>
  <c r="CF105" i="1" a="1"/>
  <c r="CF105" i="1" s="1"/>
  <c r="CF59" i="1" a="1"/>
  <c r="CF59" i="1" s="1"/>
  <c r="CF95" i="1" a="1"/>
  <c r="CF95" i="1" s="1"/>
  <c r="CF117" i="1" a="1"/>
  <c r="CF117" i="1" s="1"/>
  <c r="CF93" i="1" a="1"/>
  <c r="CF93" i="1" s="1"/>
  <c r="CF79" i="1" a="1"/>
  <c r="CF79" i="1" s="1"/>
  <c r="CF89" i="1" a="1"/>
  <c r="CF89" i="1" s="1"/>
  <c r="CF86" i="1" a="1"/>
  <c r="CF86" i="1" s="1"/>
  <c r="CF150" i="1" a="1"/>
  <c r="CF150" i="1" s="1"/>
  <c r="CF157" i="1" a="1"/>
  <c r="CF157" i="1" s="1"/>
  <c r="CF101" i="1" a="1"/>
  <c r="CF101" i="1" s="1"/>
  <c r="CF62" i="1" a="1"/>
  <c r="CF62" i="1" s="1"/>
  <c r="CF115" i="1" a="1"/>
  <c r="CF115" i="1" s="1"/>
  <c r="CF195" i="1" a="1"/>
  <c r="CF195" i="1" s="1"/>
  <c r="CF88" i="1" a="1"/>
  <c r="CF88" i="1" s="1"/>
  <c r="CF12" i="1" a="1"/>
  <c r="CF12" i="1" s="1"/>
  <c r="CF84" i="1" a="1"/>
  <c r="CF84" i="1" s="1"/>
  <c r="CF55" i="1" a="1"/>
  <c r="CF55" i="1" s="1"/>
  <c r="CF71" i="1" a="1"/>
  <c r="CF71" i="1" s="1"/>
  <c r="CF190" i="1" a="1"/>
  <c r="CF190" i="1" s="1"/>
  <c r="CF176" i="1" a="1"/>
  <c r="CF176" i="1" s="1"/>
  <c r="CF98" i="1" a="1"/>
  <c r="CF98" i="1" s="1"/>
  <c r="CF85" i="1" a="1"/>
  <c r="CF85" i="1" s="1"/>
  <c r="CF135" i="1" a="1"/>
  <c r="CF135" i="1" s="1"/>
  <c r="CF66" i="1" a="1"/>
  <c r="CF66" i="1" s="1"/>
  <c r="CF91" i="1" a="1"/>
  <c r="CF91" i="1" s="1"/>
  <c r="CF151" i="1" a="1"/>
  <c r="CF151" i="1" s="1"/>
  <c r="CF25" i="1" a="1"/>
  <c r="CF25" i="1" s="1"/>
  <c r="DE26" i="1"/>
  <c r="EC25" i="1"/>
  <c r="L99" i="1"/>
  <c r="AT99" i="1"/>
  <c r="AS99" i="1"/>
  <c r="AU99" i="1" s="1"/>
  <c r="L53" i="1"/>
  <c r="AT53" i="1"/>
  <c r="AS53" i="1"/>
  <c r="AU53" i="1" s="1"/>
  <c r="L70" i="1"/>
  <c r="AT70" i="1"/>
  <c r="AS70" i="1"/>
  <c r="AU70" i="1" s="1"/>
  <c r="L67" i="1"/>
  <c r="AT67" i="1"/>
  <c r="AS67" i="1"/>
  <c r="AU67" i="1" s="1"/>
  <c r="L76" i="1"/>
  <c r="AS76" i="1"/>
  <c r="AU76" i="1" s="1"/>
  <c r="AT76" i="1"/>
  <c r="L25" i="1"/>
  <c r="AT25" i="1"/>
  <c r="AS25" i="1"/>
  <c r="AU25" i="1" s="1"/>
  <c r="EQ86" i="1"/>
  <c r="EV85" i="1"/>
  <c r="EB85" i="1"/>
  <c r="EG86" i="1"/>
  <c r="DW86" i="1"/>
  <c r="CX85" i="1"/>
  <c r="DC86" i="1"/>
  <c r="EL85" i="1"/>
  <c r="FU86" i="1"/>
  <c r="FK86" i="1"/>
  <c r="CZ85" i="1"/>
  <c r="ED85" i="1"/>
  <c r="EN85" i="1"/>
  <c r="FR85" i="1"/>
  <c r="DT85" i="1"/>
  <c r="DJ85" i="1"/>
  <c r="FW36" i="1"/>
  <c r="DS63" i="1"/>
  <c r="ID77" i="1"/>
  <c r="ID65" i="1"/>
  <c r="HJ77" i="1"/>
  <c r="HJ65" i="1"/>
  <c r="IX103" i="1"/>
  <c r="IX65" i="1"/>
  <c r="IX77" i="1"/>
  <c r="KC97" i="1"/>
  <c r="KC90" i="1"/>
  <c r="KC98" i="1"/>
  <c r="HU80" i="1"/>
  <c r="HU98" i="1"/>
  <c r="HU90" i="1"/>
  <c r="HU92" i="1"/>
  <c r="HU97" i="1"/>
  <c r="KC92" i="1"/>
  <c r="IX96" i="1"/>
  <c r="HU88" i="1"/>
  <c r="HU67" i="1"/>
  <c r="HU45" i="1"/>
  <c r="GZ96" i="1"/>
  <c r="GZ103" i="1"/>
  <c r="GZ69" i="1"/>
  <c r="KC88" i="1"/>
  <c r="ID76" i="1"/>
  <c r="ID96" i="1"/>
  <c r="ID69" i="1"/>
  <c r="ID103" i="1"/>
  <c r="ID61" i="1"/>
  <c r="IN50" i="1"/>
  <c r="IN69" i="1"/>
  <c r="IN96" i="1"/>
  <c r="IN103" i="1"/>
  <c r="JH80" i="1"/>
  <c r="JH103" i="1"/>
  <c r="JH69" i="1"/>
  <c r="JH96" i="1"/>
  <c r="KB67" i="1"/>
  <c r="KB69" i="1"/>
  <c r="KB103" i="1"/>
  <c r="KB96" i="1"/>
  <c r="GF49" i="1"/>
  <c r="GF69" i="1"/>
  <c r="GF96" i="1"/>
  <c r="GF103" i="1"/>
  <c r="JR103" i="1"/>
  <c r="JR69" i="1"/>
  <c r="JR96" i="1"/>
  <c r="GP96" i="1"/>
  <c r="GP69" i="1"/>
  <c r="GP103" i="1"/>
  <c r="HJ80" i="1"/>
  <c r="HJ61" i="1"/>
  <c r="HJ69" i="1"/>
  <c r="HJ103" i="1"/>
  <c r="HJ96" i="1"/>
  <c r="IX50" i="1"/>
  <c r="IX61" i="1"/>
  <c r="IX69" i="1"/>
  <c r="ER80" i="1"/>
  <c r="FI78" i="1"/>
  <c r="AT100" i="1"/>
  <c r="EY86" i="1"/>
  <c r="ER109" i="1"/>
  <c r="ER83" i="1"/>
  <c r="ER131" i="1"/>
  <c r="ER103" i="1"/>
  <c r="ER55" i="1"/>
  <c r="ER182" i="1"/>
  <c r="ER114" i="1"/>
  <c r="ER166" i="1"/>
  <c r="ER184" i="1"/>
  <c r="FI10" i="1"/>
  <c r="ER143" i="1"/>
  <c r="ER77" i="1"/>
  <c r="ER27" i="1"/>
  <c r="ER56" i="1"/>
  <c r="ER98" i="1"/>
  <c r="ER160" i="1"/>
  <c r="ER170" i="1"/>
  <c r="ER38" i="1"/>
  <c r="ER42" i="1"/>
  <c r="DX86" i="1"/>
  <c r="AS100" i="1"/>
  <c r="AU100" i="1" s="1"/>
  <c r="FI132" i="1"/>
  <c r="ER196" i="1"/>
  <c r="ER25" i="1"/>
  <c r="ER54" i="1"/>
  <c r="ER61" i="1"/>
  <c r="ER81" i="1"/>
  <c r="ER194" i="1"/>
  <c r="ER102" i="1"/>
  <c r="ER187" i="1"/>
  <c r="ER174" i="1"/>
  <c r="ER24" i="1"/>
  <c r="ER120" i="1"/>
  <c r="ER60" i="1"/>
  <c r="ER101" i="1"/>
  <c r="ER186" i="1"/>
  <c r="ER89" i="1"/>
  <c r="ER175" i="1"/>
  <c r="ER49" i="1"/>
  <c r="ER69" i="1"/>
  <c r="ER75" i="1"/>
  <c r="ER134" i="1"/>
  <c r="ER173" i="1"/>
  <c r="ER123" i="1"/>
  <c r="ER121" i="1"/>
  <c r="ER93" i="1"/>
  <c r="ER136" i="1"/>
  <c r="ER106" i="1"/>
  <c r="ER37" i="1"/>
  <c r="ER79" i="1"/>
  <c r="ER122" i="1"/>
  <c r="ER116" i="1"/>
  <c r="ER169" i="1"/>
  <c r="ER59" i="1"/>
  <c r="ER88" i="1"/>
  <c r="ER119" i="1"/>
  <c r="ER130" i="1"/>
  <c r="ER176" i="1"/>
  <c r="ER30" i="1"/>
  <c r="ER96" i="1"/>
  <c r="ER26" i="1"/>
  <c r="ER148" i="1"/>
  <c r="ER138" i="1"/>
  <c r="ER113" i="1"/>
  <c r="EE86" i="1"/>
  <c r="ER31" i="1"/>
  <c r="ER7" i="1"/>
  <c r="ER108" i="1"/>
  <c r="ER137" i="1"/>
  <c r="ER72" i="1"/>
  <c r="ER47" i="1"/>
  <c r="ER36" i="1"/>
  <c r="ER92" i="1"/>
  <c r="ER201" i="1"/>
  <c r="ER95" i="1"/>
  <c r="ER199" i="1"/>
  <c r="ER154" i="1"/>
  <c r="ER3" i="1"/>
  <c r="ER124" i="1"/>
  <c r="ER4" i="1"/>
  <c r="ER202" i="1"/>
  <c r="ER35" i="1"/>
  <c r="ER161" i="1"/>
  <c r="ER141" i="1"/>
  <c r="FI194" i="1"/>
  <c r="ER10" i="1"/>
  <c r="ER63" i="1"/>
  <c r="ER192" i="1"/>
  <c r="ER139" i="1"/>
  <c r="ER52" i="1"/>
  <c r="ER51" i="1"/>
  <c r="ER191" i="1"/>
  <c r="ER115" i="1"/>
  <c r="ER193" i="1"/>
  <c r="ER117" i="1"/>
  <c r="ER90" i="1"/>
  <c r="ER100" i="1"/>
  <c r="ER205" i="1"/>
  <c r="ER8" i="1"/>
  <c r="ER159" i="1"/>
  <c r="ER195" i="1"/>
  <c r="ER140" i="1"/>
  <c r="FI43" i="1"/>
  <c r="ER144" i="1"/>
  <c r="AS33" i="1"/>
  <c r="AU33" i="1" s="1"/>
  <c r="AT33" i="1"/>
  <c r="ER65" i="1"/>
  <c r="ER177" i="1"/>
  <c r="ER53" i="1"/>
  <c r="ER46" i="1"/>
  <c r="ER178" i="1"/>
  <c r="ER126" i="1"/>
  <c r="ER110" i="1"/>
  <c r="ER172" i="1"/>
  <c r="ER151" i="1"/>
  <c r="ER111" i="1"/>
  <c r="ER70" i="1"/>
  <c r="ER45" i="1"/>
  <c r="ER84" i="1"/>
  <c r="ER68" i="1"/>
  <c r="ER145" i="1"/>
  <c r="ER104" i="1"/>
  <c r="ER185" i="1"/>
  <c r="ER44" i="1"/>
  <c r="FI6" i="1"/>
  <c r="FI77" i="1"/>
  <c r="ES36" i="1"/>
  <c r="EI36" i="1"/>
  <c r="FC36" i="1"/>
  <c r="FM66" i="1"/>
  <c r="FM149" i="1"/>
  <c r="FM157" i="1"/>
  <c r="FM11" i="1"/>
  <c r="FM125" i="1"/>
  <c r="FM170" i="1"/>
  <c r="FM188" i="1"/>
  <c r="DY36" i="1"/>
  <c r="FM49" i="1"/>
  <c r="FM53" i="1"/>
  <c r="FM82" i="1"/>
  <c r="FM24" i="1"/>
  <c r="FM151" i="1"/>
  <c r="JH81" i="1"/>
  <c r="FM7" i="1"/>
  <c r="FM165" i="1"/>
  <c r="EM63" i="1"/>
  <c r="JH47" i="1"/>
  <c r="FM181" i="1"/>
  <c r="FM203" i="1"/>
  <c r="FM88" i="1"/>
  <c r="FM174" i="1"/>
  <c r="FM75" i="1"/>
  <c r="FM60" i="1"/>
  <c r="FM36" i="1"/>
  <c r="FM186" i="1"/>
  <c r="FM109" i="1"/>
  <c r="FM192" i="1"/>
  <c r="FM23" i="1"/>
  <c r="FM17" i="1"/>
  <c r="FM150" i="1"/>
  <c r="FM154" i="1"/>
  <c r="FM43" i="1"/>
  <c r="FM205" i="1"/>
  <c r="FM27" i="1"/>
  <c r="FM73" i="1"/>
  <c r="FM42" i="1"/>
  <c r="FM173" i="1"/>
  <c r="FM35" i="1"/>
  <c r="FM147" i="1"/>
  <c r="FM178" i="1"/>
  <c r="FM182" i="1"/>
  <c r="FM113" i="1"/>
  <c r="DO36" i="1"/>
  <c r="EC63" i="1"/>
  <c r="JH50" i="1"/>
  <c r="JH24" i="1"/>
  <c r="FM30" i="1"/>
  <c r="FM102" i="1"/>
  <c r="FM98" i="1"/>
  <c r="FM106" i="1"/>
  <c r="FM204" i="1"/>
  <c r="FM91" i="1"/>
  <c r="FM5" i="1"/>
  <c r="FM38" i="1"/>
  <c r="FM37" i="1"/>
  <c r="FM110" i="1"/>
  <c r="FM122" i="1"/>
  <c r="FM103" i="1"/>
  <c r="FM56" i="1"/>
  <c r="FM172" i="1"/>
  <c r="FM90" i="1"/>
  <c r="FM123" i="1"/>
  <c r="EW63" i="1"/>
  <c r="FM46" i="1"/>
  <c r="FM55" i="1"/>
  <c r="FM114" i="1"/>
  <c r="FM193" i="1"/>
  <c r="CY63" i="1"/>
  <c r="FM195" i="1"/>
  <c r="FM162" i="1"/>
  <c r="AS89" i="1"/>
  <c r="AU89" i="1" s="1"/>
  <c r="FM101" i="1"/>
  <c r="FM52" i="1"/>
  <c r="FM153" i="1"/>
  <c r="FM92" i="1"/>
  <c r="FM71" i="1"/>
  <c r="FM105" i="1"/>
  <c r="AT89" i="1"/>
  <c r="FM183" i="1"/>
  <c r="FM145" i="1"/>
  <c r="FM180" i="1"/>
  <c r="FM84" i="1"/>
  <c r="FM187" i="1"/>
  <c r="DI63" i="1"/>
  <c r="IX80" i="1"/>
  <c r="FM132" i="1"/>
  <c r="ES132" i="1"/>
  <c r="DV202" i="1"/>
  <c r="DV121" i="1"/>
  <c r="DV45" i="1"/>
  <c r="DV102" i="1"/>
  <c r="DV60" i="1"/>
  <c r="DV24" i="1"/>
  <c r="DV201" i="1"/>
  <c r="DV7" i="1"/>
  <c r="DV179" i="1"/>
  <c r="DV148" i="1"/>
  <c r="DV4" i="1"/>
  <c r="DV150" i="1"/>
  <c r="DV160" i="1"/>
  <c r="DV103" i="1"/>
  <c r="DV124" i="1"/>
  <c r="DV69" i="1"/>
  <c r="DV146" i="1"/>
  <c r="DV83" i="1"/>
  <c r="DV59" i="1"/>
  <c r="DV67" i="1"/>
  <c r="DV96" i="1"/>
  <c r="DV139" i="1"/>
  <c r="DV122" i="1"/>
  <c r="DV147" i="1"/>
  <c r="FF125" i="1"/>
  <c r="FF89" i="1"/>
  <c r="FF61" i="1"/>
  <c r="FF42" i="1"/>
  <c r="DI86" i="1"/>
  <c r="DV184" i="1"/>
  <c r="DV6" i="1"/>
  <c r="DV199" i="1"/>
  <c r="DV204" i="1"/>
  <c r="DV190" i="1"/>
  <c r="DV13" i="1"/>
  <c r="DV174" i="1"/>
  <c r="DV173" i="1"/>
  <c r="DV38" i="1"/>
  <c r="DV53" i="1"/>
  <c r="DV104" i="1"/>
  <c r="DV141" i="1"/>
  <c r="DV37" i="1"/>
  <c r="DV63" i="1"/>
  <c r="DV177" i="1"/>
  <c r="DV35" i="1"/>
  <c r="DV193" i="1"/>
  <c r="DV198" i="1"/>
  <c r="DV81" i="1"/>
  <c r="DV65" i="1"/>
  <c r="DV12" i="1"/>
  <c r="DV132" i="1"/>
  <c r="DV5" i="1"/>
  <c r="DV71" i="1"/>
  <c r="DV149" i="1"/>
  <c r="FF134" i="1"/>
  <c r="FF11" i="1"/>
  <c r="DV171" i="1"/>
  <c r="DV17" i="1"/>
  <c r="DV135" i="1"/>
  <c r="DV72" i="1"/>
  <c r="DV93" i="1"/>
  <c r="DV203" i="1"/>
  <c r="DV169" i="1"/>
  <c r="DV188" i="1"/>
  <c r="DV144" i="1"/>
  <c r="DV110" i="1"/>
  <c r="DV164" i="1"/>
  <c r="DV143" i="1"/>
  <c r="DV54" i="1"/>
  <c r="DV133" i="1"/>
  <c r="DV134" i="1"/>
  <c r="DV138" i="1"/>
  <c r="DV145" i="1"/>
  <c r="DV43" i="1"/>
  <c r="DV44" i="1"/>
  <c r="FF15" i="1"/>
  <c r="FF76" i="1"/>
  <c r="DV62" i="1"/>
  <c r="DV140" i="1"/>
  <c r="DV175" i="1"/>
  <c r="DV197" i="1"/>
  <c r="DV64" i="1"/>
  <c r="DV126" i="1"/>
  <c r="DV154" i="1"/>
  <c r="DV10" i="1"/>
  <c r="DV80" i="1"/>
  <c r="DV120" i="1"/>
  <c r="DV16" i="1"/>
  <c r="DV172" i="1"/>
  <c r="DV88" i="1"/>
  <c r="DV70" i="1"/>
  <c r="DV76" i="1"/>
  <c r="DV162" i="1"/>
  <c r="DV8" i="1"/>
  <c r="DV129" i="1"/>
  <c r="DV106" i="1"/>
  <c r="DV97" i="1"/>
  <c r="DV95" i="1"/>
  <c r="DV85" i="1"/>
  <c r="DV181" i="1"/>
  <c r="DV118" i="1"/>
  <c r="FF129" i="1"/>
  <c r="FF97" i="1"/>
  <c r="DV182" i="1"/>
  <c r="DV142" i="1"/>
  <c r="DV27" i="1"/>
  <c r="DV125" i="1"/>
  <c r="DV151" i="1"/>
  <c r="DV119" i="1"/>
  <c r="DV82" i="1"/>
  <c r="DV55" i="1"/>
  <c r="DV123" i="1"/>
  <c r="DV137" i="1"/>
  <c r="DV170" i="1"/>
  <c r="DV75" i="1"/>
  <c r="DV3" i="1"/>
  <c r="DV178" i="1"/>
  <c r="DV15" i="1"/>
  <c r="DV90" i="1"/>
  <c r="DV99" i="1"/>
  <c r="DV161" i="1"/>
  <c r="DV128" i="1"/>
  <c r="DV112" i="1"/>
  <c r="DV92" i="1"/>
  <c r="DV79" i="1"/>
  <c r="DV52" i="1"/>
  <c r="DV51" i="1"/>
  <c r="DV195" i="1"/>
  <c r="DV29" i="1"/>
  <c r="FF101" i="1"/>
  <c r="FF73" i="1"/>
  <c r="FF65" i="1"/>
  <c r="DV158" i="1"/>
  <c r="DV200" i="1"/>
  <c r="DV20" i="1"/>
  <c r="DV109" i="1"/>
  <c r="DV196" i="1"/>
  <c r="DV108" i="1"/>
  <c r="DV42" i="1"/>
  <c r="DV187" i="1"/>
  <c r="DV130" i="1"/>
  <c r="DV117" i="1"/>
  <c r="DV168" i="1"/>
  <c r="DV116" i="1"/>
  <c r="DV49" i="1"/>
  <c r="DV66" i="1"/>
  <c r="DV167" i="1"/>
  <c r="DV192" i="1"/>
  <c r="DV152" i="1"/>
  <c r="DV11" i="1"/>
  <c r="DV84" i="1"/>
  <c r="DV166" i="1"/>
  <c r="DV136" i="1"/>
  <c r="DV205" i="1"/>
  <c r="DV61" i="1"/>
  <c r="DV78" i="1"/>
  <c r="FF58" i="1"/>
  <c r="FF114" i="1"/>
  <c r="FF185" i="1"/>
  <c r="DV156" i="1"/>
  <c r="DV111" i="1"/>
  <c r="DV176" i="1"/>
  <c r="DV157" i="1"/>
  <c r="DV26" i="1"/>
  <c r="DV113" i="1"/>
  <c r="DV31" i="1"/>
  <c r="DV153" i="1"/>
  <c r="DV101" i="1"/>
  <c r="DV115" i="1"/>
  <c r="DV180" i="1"/>
  <c r="DV86" i="1"/>
  <c r="DV91" i="1"/>
  <c r="DV183" i="1"/>
  <c r="DV56" i="1"/>
  <c r="DV165" i="1"/>
  <c r="DV30" i="1"/>
  <c r="DV46" i="1"/>
  <c r="DV89" i="1"/>
  <c r="DV155" i="1"/>
  <c r="FF47" i="1"/>
  <c r="FF200" i="1"/>
  <c r="EI13" i="1"/>
  <c r="EM13" i="1"/>
  <c r="FG82" i="1"/>
  <c r="FG126" i="1"/>
  <c r="FG165" i="1"/>
  <c r="IX76" i="1"/>
  <c r="IX81" i="1"/>
  <c r="DI13" i="1"/>
  <c r="FG164" i="1"/>
  <c r="EQ46" i="1"/>
  <c r="FG180" i="1"/>
  <c r="FG47" i="1"/>
  <c r="GF50" i="1"/>
  <c r="FI147" i="1"/>
  <c r="FI172" i="1"/>
  <c r="FI20" i="1"/>
  <c r="FI47" i="1"/>
  <c r="FI156" i="1"/>
  <c r="FI150" i="1"/>
  <c r="FI88" i="1"/>
  <c r="FI160" i="1"/>
  <c r="FI175" i="1"/>
  <c r="FI154" i="1"/>
  <c r="FI7" i="1"/>
  <c r="FI38" i="1"/>
  <c r="FI75" i="1"/>
  <c r="FI155" i="1"/>
  <c r="FI133" i="1"/>
  <c r="FI72" i="1"/>
  <c r="FI81" i="1"/>
  <c r="CJ166" i="1" a="1"/>
  <c r="CJ166" i="1" s="1"/>
  <c r="CJ43" i="1" a="1"/>
  <c r="CJ43" i="1" s="1"/>
  <c r="CJ67" i="1" a="1"/>
  <c r="CJ67" i="1" s="1"/>
  <c r="CG161" i="1" a="1"/>
  <c r="CG161" i="1" s="1"/>
  <c r="CG183" i="1" a="1"/>
  <c r="CG183" i="1" s="1"/>
  <c r="CJ73" i="1" a="1"/>
  <c r="CJ73" i="1" s="1"/>
  <c r="CJ182" i="1" a="1"/>
  <c r="CJ182" i="1" s="1"/>
  <c r="CJ92" i="1" a="1"/>
  <c r="CJ92" i="1" s="1"/>
  <c r="CG115" i="1" a="1"/>
  <c r="CG115" i="1" s="1"/>
  <c r="CJ139" i="1" a="1"/>
  <c r="CJ139" i="1" s="1"/>
  <c r="CJ108" i="1" a="1"/>
  <c r="CJ108" i="1" s="1"/>
  <c r="CJ195" i="1" a="1"/>
  <c r="CJ195" i="1" s="1"/>
  <c r="CJ160" i="1" a="1"/>
  <c r="CJ160" i="1" s="1"/>
  <c r="CJ31" i="1" a="1"/>
  <c r="CJ31" i="1" s="1"/>
  <c r="CJ147" i="1" a="1"/>
  <c r="CJ147" i="1" s="1"/>
  <c r="CJ202" i="1" a="1"/>
  <c r="CJ202" i="1" s="1"/>
  <c r="CJ79" i="1" a="1"/>
  <c r="CJ79" i="1" s="1"/>
  <c r="CJ183" i="1" a="1"/>
  <c r="CJ183" i="1" s="1"/>
  <c r="CG180" i="1" a="1"/>
  <c r="CG180" i="1" s="1"/>
  <c r="CG54" i="1" a="1"/>
  <c r="CG54" i="1" s="1"/>
  <c r="CG16" i="1" a="1"/>
  <c r="CG16" i="1" s="1"/>
  <c r="CG120" i="1" a="1"/>
  <c r="CG120" i="1" s="1"/>
  <c r="CG83" i="1" a="1"/>
  <c r="CG83" i="1" s="1"/>
  <c r="DX107" i="1"/>
  <c r="AS57" i="1"/>
  <c r="AU57" i="1" s="1"/>
  <c r="FI121" i="1"/>
  <c r="FI60" i="1"/>
  <c r="FI106" i="1"/>
  <c r="FI103" i="1"/>
  <c r="FI185" i="1"/>
  <c r="FI59" i="1"/>
  <c r="FI104" i="1"/>
  <c r="FI131" i="1"/>
  <c r="FI4" i="1"/>
  <c r="FI51" i="1"/>
  <c r="FI173" i="1"/>
  <c r="FI31" i="1"/>
  <c r="FI24" i="1"/>
  <c r="FI186" i="1"/>
  <c r="FI52" i="1"/>
  <c r="FI8" i="1"/>
  <c r="FI116" i="1"/>
  <c r="FI146" i="1"/>
  <c r="FI73" i="1"/>
  <c r="FI122" i="1"/>
  <c r="FI128" i="1"/>
  <c r="FI178" i="1"/>
  <c r="FI115" i="1"/>
  <c r="FI64" i="1"/>
  <c r="FI3" i="1"/>
  <c r="FI94" i="1"/>
  <c r="CJ190" i="1" a="1"/>
  <c r="CJ190" i="1" s="1"/>
  <c r="CJ11" i="1" a="1"/>
  <c r="CJ11" i="1" s="1"/>
  <c r="CJ95" i="1" a="1"/>
  <c r="CJ95" i="1" s="1"/>
  <c r="CJ46" i="1" a="1"/>
  <c r="CJ46" i="1" s="1"/>
  <c r="CJ170" i="1" a="1"/>
  <c r="CJ170" i="1" s="1"/>
  <c r="CJ61" i="1" a="1"/>
  <c r="CJ61" i="1" s="1"/>
  <c r="CJ175" i="1" a="1"/>
  <c r="CJ175" i="1" s="1"/>
  <c r="CJ204" i="1" a="1"/>
  <c r="CJ204" i="1" s="1"/>
  <c r="CG25" i="1" a="1"/>
  <c r="CG25" i="1" s="1"/>
  <c r="CG132" i="1" a="1"/>
  <c r="CG132" i="1" s="1"/>
  <c r="CG42" i="1" a="1"/>
  <c r="CG42" i="1" s="1"/>
  <c r="CG188" i="1" a="1"/>
  <c r="CG188" i="1" s="1"/>
  <c r="CG7" i="1" a="1"/>
  <c r="CG7" i="1" s="1"/>
  <c r="GF47" i="1"/>
  <c r="GF81" i="1"/>
  <c r="FI161" i="1"/>
  <c r="FI202" i="1"/>
  <c r="FI26" i="1"/>
  <c r="FI142" i="1"/>
  <c r="FI182" i="1"/>
  <c r="FI12" i="1"/>
  <c r="FI46" i="1"/>
  <c r="FI141" i="1"/>
  <c r="FI191" i="1"/>
  <c r="FI123" i="1"/>
  <c r="FI204" i="1"/>
  <c r="FI136" i="1"/>
  <c r="FI55" i="1"/>
  <c r="FI143" i="1"/>
  <c r="FI138" i="1"/>
  <c r="FI124" i="1"/>
  <c r="CG85" i="1" a="1"/>
  <c r="CG85" i="1" s="1"/>
  <c r="CG186" i="1" a="1"/>
  <c r="CG186" i="1" s="1"/>
  <c r="CG152" i="1" a="1"/>
  <c r="CG152" i="1" s="1"/>
  <c r="CJ25" i="1" a="1"/>
  <c r="CJ25" i="1" s="1"/>
  <c r="CJ89" i="1" a="1"/>
  <c r="CJ89" i="1" s="1"/>
  <c r="CJ187" i="1" a="1"/>
  <c r="CJ187" i="1" s="1"/>
  <c r="CG156" i="1" a="1"/>
  <c r="CG156" i="1" s="1"/>
  <c r="CG98" i="1" a="1"/>
  <c r="CG98" i="1" s="1"/>
  <c r="CG122" i="1" a="1"/>
  <c r="CG122" i="1" s="1"/>
  <c r="CJ167" i="1" a="1"/>
  <c r="CJ167" i="1" s="1"/>
  <c r="CJ164" i="1" a="1"/>
  <c r="CJ164" i="1" s="1"/>
  <c r="CG24" i="1" a="1"/>
  <c r="CG24" i="1" s="1"/>
  <c r="CG80" i="1" a="1"/>
  <c r="CG80" i="1" s="1"/>
  <c r="CG170" i="1" a="1"/>
  <c r="CG170" i="1" s="1"/>
  <c r="CG162" i="1" a="1"/>
  <c r="CG162" i="1" s="1"/>
  <c r="CG136" i="1" a="1"/>
  <c r="CG136" i="1" s="1"/>
  <c r="CG174" i="1" a="1"/>
  <c r="CG174" i="1" s="1"/>
  <c r="CJ81" i="1" a="1"/>
  <c r="CJ81" i="1" s="1"/>
  <c r="CJ114" i="1" a="1"/>
  <c r="CJ114" i="1" s="1"/>
  <c r="CJ104" i="1" a="1"/>
  <c r="CJ104" i="1" s="1"/>
  <c r="CG50" i="1" a="1"/>
  <c r="CG50" i="1" s="1"/>
  <c r="CG141" i="1" a="1"/>
  <c r="CG141" i="1" s="1"/>
  <c r="CG164" i="1" a="1"/>
  <c r="CG164" i="1" s="1"/>
  <c r="CG99" i="1" a="1"/>
  <c r="CG99" i="1" s="1"/>
  <c r="CG118" i="1" a="1"/>
  <c r="CG118" i="1" s="1"/>
  <c r="CG63" i="1" a="1"/>
  <c r="CG63" i="1" s="1"/>
  <c r="CJ196" i="1" a="1"/>
  <c r="CJ196" i="1" s="1"/>
  <c r="CJ59" i="1" a="1"/>
  <c r="CJ59" i="1" s="1"/>
  <c r="CJ158" i="1" a="1"/>
  <c r="CJ158" i="1" s="1"/>
  <c r="DV107" i="1"/>
  <c r="CJ138" i="1" a="1"/>
  <c r="CJ138" i="1" s="1"/>
  <c r="CJ174" i="1" a="1"/>
  <c r="CJ174" i="1" s="1"/>
  <c r="CJ120" i="1" a="1"/>
  <c r="CJ120" i="1" s="1"/>
  <c r="CJ184" i="1" a="1"/>
  <c r="CJ184" i="1" s="1"/>
  <c r="CJ121" i="1" a="1"/>
  <c r="CJ121" i="1" s="1"/>
  <c r="CJ99" i="1" a="1"/>
  <c r="CJ99" i="1" s="1"/>
  <c r="CJ157" i="1" a="1"/>
  <c r="CJ157" i="1" s="1"/>
  <c r="CJ165" i="1" a="1"/>
  <c r="CJ165" i="1" s="1"/>
  <c r="CJ85" i="1" a="1"/>
  <c r="CJ85" i="1" s="1"/>
  <c r="CG196" i="1" a="1"/>
  <c r="CG196" i="1" s="1"/>
  <c r="CG199" i="1" a="1"/>
  <c r="CG199" i="1" s="1"/>
  <c r="CG108" i="1" a="1"/>
  <c r="CG108" i="1" s="1"/>
  <c r="CG88" i="1" a="1"/>
  <c r="CG88" i="1" s="1"/>
  <c r="FI15" i="1"/>
  <c r="FI177" i="1"/>
  <c r="FI70" i="1"/>
  <c r="FI105" i="1"/>
  <c r="FI169" i="1"/>
  <c r="FI198" i="1"/>
  <c r="FI89" i="1"/>
  <c r="FI50" i="1"/>
  <c r="FI58" i="1"/>
  <c r="FI71" i="1"/>
  <c r="FI99" i="1"/>
  <c r="FI68" i="1"/>
  <c r="FI165" i="1"/>
  <c r="FI181" i="1"/>
  <c r="FI62" i="1"/>
  <c r="FI159" i="1"/>
  <c r="FI144" i="1"/>
  <c r="FI205" i="1"/>
  <c r="GF80" i="1"/>
  <c r="FI203" i="1"/>
  <c r="FI84" i="1"/>
  <c r="FI53" i="1"/>
  <c r="FI188" i="1"/>
  <c r="FI42" i="1"/>
  <c r="FI176" i="1"/>
  <c r="FI37" i="1"/>
  <c r="FI16" i="1"/>
  <c r="FI36" i="1"/>
  <c r="GF17" i="1"/>
  <c r="FI135" i="1"/>
  <c r="FI125" i="1"/>
  <c r="FI170" i="1"/>
  <c r="FI130" i="1"/>
  <c r="FI82" i="1"/>
  <c r="FI190" i="1"/>
  <c r="FI92" i="1"/>
  <c r="FI197" i="1"/>
  <c r="CG202" i="1" a="1"/>
  <c r="CG202" i="1" s="1"/>
  <c r="CJ91" i="1" a="1"/>
  <c r="CJ91" i="1" s="1"/>
  <c r="CJ27" i="1" a="1"/>
  <c r="CJ27" i="1" s="1"/>
  <c r="CJ16" i="1" a="1"/>
  <c r="CJ16" i="1" s="1"/>
  <c r="CJ163" i="1" a="1"/>
  <c r="CJ163" i="1" s="1"/>
  <c r="CJ47" i="1" a="1"/>
  <c r="CJ47" i="1" s="1"/>
  <c r="CJ134" i="1" a="1"/>
  <c r="CJ134" i="1" s="1"/>
  <c r="CJ116" i="1" a="1"/>
  <c r="CJ116" i="1" s="1"/>
  <c r="CJ20" i="1" a="1"/>
  <c r="CJ20" i="1" s="1"/>
  <c r="CJ106" i="1" a="1"/>
  <c r="CJ106" i="1" s="1"/>
  <c r="CG102" i="1" a="1"/>
  <c r="CG102" i="1" s="1"/>
  <c r="CG158" i="1" a="1"/>
  <c r="CG158" i="1" s="1"/>
  <c r="CG12" i="1" a="1"/>
  <c r="CG12" i="1" s="1"/>
  <c r="CG58" i="1" a="1"/>
  <c r="CG58" i="1" s="1"/>
  <c r="FI23" i="1"/>
  <c r="FI158" i="1"/>
  <c r="FI180" i="1"/>
  <c r="FI17" i="1"/>
  <c r="FI86" i="1"/>
  <c r="FI199" i="1"/>
  <c r="FI167" i="1"/>
  <c r="FI187" i="1"/>
  <c r="FI140" i="1"/>
  <c r="FI174" i="1"/>
  <c r="FI79" i="1"/>
  <c r="DI133" i="1"/>
  <c r="CG77" i="1" a="1"/>
  <c r="CG77" i="1" s="1"/>
  <c r="CG89" i="1" a="1"/>
  <c r="CG89" i="1" s="1"/>
  <c r="CG94" i="1" a="1"/>
  <c r="CG94" i="1" s="1"/>
  <c r="CJ26" i="1" a="1"/>
  <c r="CJ26" i="1" s="1"/>
  <c r="CJ142" i="1" a="1"/>
  <c r="CJ142" i="1" s="1"/>
  <c r="CJ156" i="1" a="1"/>
  <c r="CJ156" i="1" s="1"/>
  <c r="CG97" i="1" a="1"/>
  <c r="CG97" i="1" s="1"/>
  <c r="CG64" i="1" a="1"/>
  <c r="CG64" i="1" s="1"/>
  <c r="CG30" i="1" a="1"/>
  <c r="CG30" i="1" s="1"/>
  <c r="CJ173" i="1" a="1"/>
  <c r="CJ173" i="1" s="1"/>
  <c r="CJ181" i="1" a="1"/>
  <c r="CJ181" i="1" s="1"/>
  <c r="CJ123" i="1" a="1"/>
  <c r="CJ123" i="1" s="1"/>
  <c r="CG128" i="1" a="1"/>
  <c r="CG128" i="1" s="1"/>
  <c r="CG147" i="1" a="1"/>
  <c r="CG147" i="1" s="1"/>
  <c r="CG123" i="1" a="1"/>
  <c r="CG123" i="1" s="1"/>
  <c r="CG139" i="1" a="1"/>
  <c r="CG139" i="1" s="1"/>
  <c r="CG137" i="1" a="1"/>
  <c r="CG137" i="1" s="1"/>
  <c r="CG151" i="1" a="1"/>
  <c r="CG151" i="1" s="1"/>
  <c r="CJ149" i="1" a="1"/>
  <c r="CJ149" i="1" s="1"/>
  <c r="CJ3" i="1" a="1"/>
  <c r="CJ3" i="1" s="1"/>
  <c r="CJ177" i="1" a="1"/>
  <c r="CJ177" i="1" s="1"/>
  <c r="CG135" i="1" a="1"/>
  <c r="CG135" i="1" s="1"/>
  <c r="CG157" i="1" a="1"/>
  <c r="CG157" i="1" s="1"/>
  <c r="CG165" i="1" a="1"/>
  <c r="CG165" i="1" s="1"/>
  <c r="CG116" i="1" a="1"/>
  <c r="CG116" i="1" s="1"/>
  <c r="CG125" i="1" a="1"/>
  <c r="CG125" i="1" s="1"/>
  <c r="CJ82" i="1" a="1"/>
  <c r="CJ82" i="1" s="1"/>
  <c r="CJ112" i="1" a="1"/>
  <c r="CJ112" i="1" s="1"/>
  <c r="CG68" i="1" a="1"/>
  <c r="CG68" i="1" s="1"/>
  <c r="CJ72" i="1" a="1"/>
  <c r="CJ72" i="1" s="1"/>
  <c r="CJ76" i="1" a="1"/>
  <c r="CJ76" i="1" s="1"/>
  <c r="CJ66" i="1" a="1"/>
  <c r="CJ66" i="1" s="1"/>
  <c r="CJ54" i="1" a="1"/>
  <c r="CJ54" i="1" s="1"/>
  <c r="CJ178" i="1" a="1"/>
  <c r="CJ178" i="1" s="1"/>
  <c r="CJ70" i="1" a="1"/>
  <c r="CJ70" i="1" s="1"/>
  <c r="CJ162" i="1" a="1"/>
  <c r="CJ162" i="1" s="1"/>
  <c r="CJ145" i="1" a="1"/>
  <c r="CJ145" i="1" s="1"/>
  <c r="CJ8" i="1" a="1"/>
  <c r="CJ8" i="1" s="1"/>
  <c r="CG148" i="1" a="1"/>
  <c r="CG148" i="1" s="1"/>
  <c r="CG191" i="1" a="1"/>
  <c r="CG191" i="1" s="1"/>
  <c r="CG176" i="1" a="1"/>
  <c r="CG176" i="1" s="1"/>
  <c r="CG187" i="1" a="1"/>
  <c r="CG187" i="1" s="1"/>
  <c r="CD50" i="1" a="1"/>
  <c r="CD50" i="1" s="1"/>
  <c r="CK112" i="1" a="1"/>
  <c r="CK112" i="1" s="1"/>
  <c r="CK68" i="1" a="1"/>
  <c r="CK68" i="1" s="1"/>
  <c r="CK136" i="1" a="1"/>
  <c r="CK136" i="1" s="1"/>
  <c r="CK168" i="1" a="1"/>
  <c r="CK168" i="1" s="1"/>
  <c r="CK190" i="1" a="1"/>
  <c r="CK190" i="1" s="1"/>
  <c r="CK30" i="1" a="1"/>
  <c r="CK30" i="1" s="1"/>
  <c r="CK152" i="1" a="1"/>
  <c r="CK152" i="1" s="1"/>
  <c r="CK85" i="1" a="1"/>
  <c r="CK85" i="1" s="1"/>
  <c r="CK24" i="1" a="1"/>
  <c r="CK24" i="1" s="1"/>
  <c r="CK15" i="1" a="1"/>
  <c r="CK15" i="1" s="1"/>
  <c r="CK10" i="1" a="1"/>
  <c r="CK10" i="1" s="1"/>
  <c r="CK135" i="1" a="1"/>
  <c r="CK135" i="1" s="1"/>
  <c r="CK50" i="1" a="1"/>
  <c r="CK50" i="1" s="1"/>
  <c r="CK124" i="1" a="1"/>
  <c r="CK124" i="1" s="1"/>
  <c r="CK115" i="1" a="1"/>
  <c r="CK115" i="1" s="1"/>
  <c r="CD147" i="1" a="1"/>
  <c r="CD147" i="1" s="1"/>
  <c r="CD197" i="1" a="1"/>
  <c r="CD197" i="1" s="1"/>
  <c r="CD162" i="1" a="1"/>
  <c r="CD162" i="1" s="1"/>
  <c r="CD92" i="1" a="1"/>
  <c r="CD92" i="1" s="1"/>
  <c r="CD160" i="1" a="1"/>
  <c r="CD160" i="1" s="1"/>
  <c r="CD188" i="1" a="1"/>
  <c r="CD188" i="1" s="1"/>
  <c r="CD67" i="1" a="1"/>
  <c r="CD67" i="1" s="1"/>
  <c r="CD180" i="1" a="1"/>
  <c r="CD180" i="1" s="1"/>
  <c r="CD89" i="1" a="1"/>
  <c r="CD89" i="1" s="1"/>
  <c r="CD114" i="1" a="1"/>
  <c r="CD114" i="1" s="1"/>
  <c r="CD169" i="1" a="1"/>
  <c r="CD169" i="1" s="1"/>
  <c r="CD177" i="1" a="1"/>
  <c r="CD177" i="1" s="1"/>
  <c r="CK178" i="1" a="1"/>
  <c r="CK178" i="1" s="1"/>
  <c r="CD172" i="1" a="1"/>
  <c r="CD172" i="1" s="1"/>
  <c r="CD196" i="1" a="1"/>
  <c r="CD196" i="1" s="1"/>
  <c r="CK43" i="1" a="1"/>
  <c r="CK43" i="1" s="1"/>
  <c r="CK155" i="1" a="1"/>
  <c r="CK155" i="1" s="1"/>
  <c r="CK193" i="1" a="1"/>
  <c r="CK193" i="1" s="1"/>
  <c r="CK183" i="1" a="1"/>
  <c r="CK183" i="1" s="1"/>
  <c r="CK148" i="1" a="1"/>
  <c r="CK148" i="1" s="1"/>
  <c r="CK177" i="1" a="1"/>
  <c r="CK177" i="1" s="1"/>
  <c r="CK161" i="1" a="1"/>
  <c r="CK161" i="1" s="1"/>
  <c r="CK8" i="1" a="1"/>
  <c r="CK8" i="1" s="1"/>
  <c r="CK133" i="1" a="1"/>
  <c r="CK133" i="1" s="1"/>
  <c r="CK5" i="1" a="1"/>
  <c r="CK5" i="1" s="1"/>
  <c r="CK134" i="1" a="1"/>
  <c r="CK134" i="1" s="1"/>
  <c r="CK98" i="1" a="1"/>
  <c r="CK98" i="1" s="1"/>
  <c r="CK31" i="1" a="1"/>
  <c r="CK31" i="1" s="1"/>
  <c r="CK36" i="1" a="1"/>
  <c r="CK36" i="1" s="1"/>
  <c r="CD175" i="1" a="1"/>
  <c r="CD175" i="1" s="1"/>
  <c r="CD81" i="1" a="1"/>
  <c r="CD81" i="1" s="1"/>
  <c r="CD133" i="1" a="1"/>
  <c r="CD133" i="1" s="1"/>
  <c r="CD17" i="1" a="1"/>
  <c r="CD17" i="1" s="1"/>
  <c r="CD25" i="1" a="1"/>
  <c r="CD25" i="1" s="1"/>
  <c r="CD72" i="1" a="1"/>
  <c r="CD72" i="1" s="1"/>
  <c r="CD200" i="1" a="1"/>
  <c r="CD200" i="1" s="1"/>
  <c r="CD168" i="1" a="1"/>
  <c r="CD168" i="1" s="1"/>
  <c r="CD146" i="1" a="1"/>
  <c r="CD146" i="1" s="1"/>
  <c r="CD140" i="1" a="1"/>
  <c r="CD140" i="1" s="1"/>
  <c r="CD63" i="1" a="1"/>
  <c r="CD63" i="1" s="1"/>
  <c r="CK147" i="1" a="1"/>
  <c r="CK147" i="1" s="1"/>
  <c r="CK197" i="1" a="1"/>
  <c r="CK197" i="1" s="1"/>
  <c r="CK156" i="1" a="1"/>
  <c r="CK156" i="1" s="1"/>
  <c r="CK101" i="1" a="1"/>
  <c r="CK101" i="1" s="1"/>
  <c r="CK69" i="1" a="1"/>
  <c r="CK69" i="1" s="1"/>
  <c r="CK106" i="1" a="1"/>
  <c r="CK106" i="1" s="1"/>
  <c r="CK158" i="1" a="1"/>
  <c r="CK158" i="1" s="1"/>
  <c r="CK100" i="1" a="1"/>
  <c r="CK100" i="1" s="1"/>
  <c r="CK157" i="1" a="1"/>
  <c r="CK157" i="1" s="1"/>
  <c r="CK150" i="1" a="1"/>
  <c r="CK150" i="1" s="1"/>
  <c r="CK88" i="1" a="1"/>
  <c r="CK88" i="1" s="1"/>
  <c r="CK26" i="1" a="1"/>
  <c r="CK26" i="1" s="1"/>
  <c r="CK203" i="1" a="1"/>
  <c r="CK203" i="1" s="1"/>
  <c r="CK113" i="1" a="1"/>
  <c r="CK113" i="1" s="1"/>
  <c r="CK11" i="1" a="1"/>
  <c r="CK11" i="1" s="1"/>
  <c r="CK12" i="1" a="1"/>
  <c r="CK12" i="1" s="1"/>
  <c r="CK96" i="1" a="1"/>
  <c r="CK96" i="1" s="1"/>
  <c r="CD59" i="1" a="1"/>
  <c r="CD59" i="1" s="1"/>
  <c r="CD195" i="1" a="1"/>
  <c r="CD195" i="1" s="1"/>
  <c r="CD88" i="1" a="1"/>
  <c r="CD88" i="1" s="1"/>
  <c r="CD128" i="1" a="1"/>
  <c r="CD128" i="1" s="1"/>
  <c r="CD165" i="1" a="1"/>
  <c r="CD165" i="1" s="1"/>
  <c r="CD203" i="1" a="1"/>
  <c r="CD203" i="1" s="1"/>
  <c r="CD30" i="1" a="1"/>
  <c r="CD30" i="1" s="1"/>
  <c r="CD111" i="1" a="1"/>
  <c r="CD111" i="1" s="1"/>
  <c r="CD60" i="1" a="1"/>
  <c r="CD60" i="1" s="1"/>
  <c r="CD53" i="1" a="1"/>
  <c r="CD53" i="1" s="1"/>
  <c r="CD151" i="1" a="1"/>
  <c r="CD151" i="1" s="1"/>
  <c r="CD154" i="1" a="1"/>
  <c r="CD154" i="1" s="1"/>
  <c r="CK67" i="1" a="1"/>
  <c r="CK67" i="1" s="1"/>
  <c r="CK42" i="1" a="1"/>
  <c r="CK42" i="1" s="1"/>
  <c r="CD124" i="1" a="1"/>
  <c r="CD124" i="1" s="1"/>
  <c r="CK17" i="1" a="1"/>
  <c r="CK17" i="1" s="1"/>
  <c r="CK194" i="1" a="1"/>
  <c r="CK194" i="1" s="1"/>
  <c r="CK60" i="1" a="1"/>
  <c r="CK60" i="1" s="1"/>
  <c r="CK143" i="1" a="1"/>
  <c r="CK143" i="1" s="1"/>
  <c r="CK64" i="1" a="1"/>
  <c r="CK64" i="1" s="1"/>
  <c r="CK173" i="1" a="1"/>
  <c r="CK173" i="1" s="1"/>
  <c r="CK149" i="1" a="1"/>
  <c r="CK149" i="1" s="1"/>
  <c r="CK184" i="1" a="1"/>
  <c r="CK184" i="1" s="1"/>
  <c r="CK77" i="1" a="1"/>
  <c r="CK77" i="1" s="1"/>
  <c r="CK191" i="1" a="1"/>
  <c r="CK191" i="1" s="1"/>
  <c r="CK172" i="1" a="1"/>
  <c r="CK172" i="1" s="1"/>
  <c r="CK37" i="1" a="1"/>
  <c r="CK37" i="1" s="1"/>
  <c r="CK126" i="1" a="1"/>
  <c r="CK126" i="1" s="1"/>
  <c r="CK176" i="1" a="1"/>
  <c r="CK176" i="1" s="1"/>
  <c r="CD45" i="1" a="1"/>
  <c r="CD45" i="1" s="1"/>
  <c r="CD118" i="1" a="1"/>
  <c r="CD118" i="1" s="1"/>
  <c r="CD105" i="1" a="1"/>
  <c r="CD105" i="1" s="1"/>
  <c r="CD190" i="1" a="1"/>
  <c r="CD190" i="1" s="1"/>
  <c r="CD141" i="1" a="1"/>
  <c r="CD141" i="1" s="1"/>
  <c r="CD54" i="1" a="1"/>
  <c r="CD54" i="1" s="1"/>
  <c r="CD126" i="1" a="1"/>
  <c r="CD126" i="1" s="1"/>
  <c r="CD100" i="1" a="1"/>
  <c r="CD100" i="1" s="1"/>
  <c r="CD6" i="1" a="1"/>
  <c r="CD6" i="1" s="1"/>
  <c r="CD158" i="1" a="1"/>
  <c r="CD158" i="1" s="1"/>
  <c r="CD155" i="1" a="1"/>
  <c r="CD155" i="1" s="1"/>
  <c r="CD68" i="1" a="1"/>
  <c r="CD68" i="1" s="1"/>
  <c r="CD189" i="1" a="1"/>
  <c r="CD189" i="1" s="1"/>
  <c r="CD199" i="1" a="1"/>
  <c r="CD199" i="1" s="1"/>
  <c r="CK27" i="1" a="1"/>
  <c r="CK27" i="1" s="1"/>
  <c r="CD117" i="1" a="1"/>
  <c r="CD117" i="1" s="1"/>
  <c r="CK52" i="1" a="1"/>
  <c r="CK52" i="1" s="1"/>
  <c r="CK35" i="1" a="1"/>
  <c r="CK35" i="1" s="1"/>
  <c r="CK75" i="1" a="1"/>
  <c r="CK75" i="1" s="1"/>
  <c r="CK181" i="1" a="1"/>
  <c r="CK181" i="1" s="1"/>
  <c r="CK130" i="1" a="1"/>
  <c r="CK130" i="1" s="1"/>
  <c r="CK151" i="1" a="1"/>
  <c r="CK151" i="1" s="1"/>
  <c r="CK59" i="1" a="1"/>
  <c r="CK59" i="1" s="1"/>
  <c r="CK3" i="1" a="1"/>
  <c r="CK3" i="1" s="1"/>
  <c r="CK93" i="1" a="1"/>
  <c r="CK93" i="1" s="1"/>
  <c r="CK63" i="1" a="1"/>
  <c r="CK63" i="1" s="1"/>
  <c r="CK119" i="1" a="1"/>
  <c r="CK119" i="1" s="1"/>
  <c r="CK103" i="1" a="1"/>
  <c r="CK103" i="1" s="1"/>
  <c r="CK6" i="1" a="1"/>
  <c r="CK6" i="1" s="1"/>
  <c r="CK165" i="1" a="1"/>
  <c r="CK165" i="1" s="1"/>
  <c r="CK129" i="1" a="1"/>
  <c r="CK129" i="1" s="1"/>
  <c r="CD179" i="1" a="1"/>
  <c r="CD179" i="1" s="1"/>
  <c r="CD84" i="1" a="1"/>
  <c r="CD84" i="1" s="1"/>
  <c r="CD166" i="1" a="1"/>
  <c r="CD166" i="1" s="1"/>
  <c r="CD106" i="1" a="1"/>
  <c r="CD106" i="1" s="1"/>
  <c r="CD176" i="1" a="1"/>
  <c r="CD176" i="1" s="1"/>
  <c r="CD120" i="1" a="1"/>
  <c r="CD120" i="1" s="1"/>
  <c r="CD4" i="1" a="1"/>
  <c r="CD4" i="1" s="1"/>
  <c r="CD91" i="1" a="1"/>
  <c r="CD91" i="1" s="1"/>
  <c r="CD142" i="1" a="1"/>
  <c r="CD142" i="1" s="1"/>
  <c r="CD149" i="1" a="1"/>
  <c r="CD149" i="1" s="1"/>
  <c r="CD11" i="1" a="1"/>
  <c r="CD11" i="1" s="1"/>
  <c r="CK109" i="1" a="1"/>
  <c r="CK109" i="1" s="1"/>
  <c r="CK13" i="1" a="1"/>
  <c r="CK13" i="1" s="1"/>
  <c r="CK116" i="1" a="1"/>
  <c r="CK116" i="1" s="1"/>
  <c r="CD13" i="1" a="1"/>
  <c r="CD13" i="1" s="1"/>
  <c r="CK180" i="1" a="1"/>
  <c r="CK180" i="1" s="1"/>
  <c r="CK122" i="1" a="1"/>
  <c r="CK122" i="1" s="1"/>
  <c r="CK160" i="1" a="1"/>
  <c r="CK160" i="1" s="1"/>
  <c r="CK105" i="1" a="1"/>
  <c r="CK105" i="1" s="1"/>
  <c r="CK192" i="1" a="1"/>
  <c r="CK192" i="1" s="1"/>
  <c r="CK188" i="1" a="1"/>
  <c r="CK188" i="1" s="1"/>
  <c r="CK185" i="1" a="1"/>
  <c r="CK185" i="1" s="1"/>
  <c r="CK118" i="1" a="1"/>
  <c r="CK118" i="1" s="1"/>
  <c r="CK132" i="1" a="1"/>
  <c r="CK132" i="1" s="1"/>
  <c r="CK72" i="1" a="1"/>
  <c r="CK72" i="1" s="1"/>
  <c r="CK167" i="1" a="1"/>
  <c r="CK167" i="1" s="1"/>
  <c r="CK138" i="1" a="1"/>
  <c r="CK138" i="1" s="1"/>
  <c r="CK73" i="1" a="1"/>
  <c r="CK73" i="1" s="1"/>
  <c r="CK56" i="1" a="1"/>
  <c r="CK56" i="1" s="1"/>
  <c r="CD153" i="1" a="1"/>
  <c r="CD153" i="1" s="1"/>
  <c r="CD78" i="1" a="1"/>
  <c r="CD78" i="1" s="1"/>
  <c r="CD130" i="1" a="1"/>
  <c r="CD130" i="1" s="1"/>
  <c r="CD38" i="1" a="1"/>
  <c r="CD38" i="1" s="1"/>
  <c r="CD42" i="1" a="1"/>
  <c r="CD42" i="1" s="1"/>
  <c r="CD125" i="1" a="1"/>
  <c r="CD125" i="1" s="1"/>
  <c r="CD46" i="1" a="1"/>
  <c r="CD46" i="1" s="1"/>
  <c r="CD93" i="1" a="1"/>
  <c r="CD93" i="1" s="1"/>
  <c r="CD137" i="1" a="1"/>
  <c r="CD137" i="1" s="1"/>
  <c r="CD194" i="1" a="1"/>
  <c r="CD194" i="1" s="1"/>
  <c r="CD119" i="1" a="1"/>
  <c r="CD119" i="1" s="1"/>
  <c r="CD86" i="1" a="1"/>
  <c r="CD86" i="1" s="1"/>
  <c r="CK89" i="1" a="1"/>
  <c r="CK89" i="1" s="1"/>
  <c r="CK97" i="1" a="1"/>
  <c r="CK97" i="1" s="1"/>
  <c r="CK25" i="1" a="1"/>
  <c r="CK25" i="1" s="1"/>
  <c r="CK114" i="1" a="1"/>
  <c r="CK114" i="1" s="1"/>
  <c r="CK86" i="1" a="1"/>
  <c r="CK86" i="1" s="1"/>
  <c r="CK61" i="1" a="1"/>
  <c r="CK61" i="1" s="1"/>
  <c r="CK90" i="1" a="1"/>
  <c r="CK90" i="1" s="1"/>
  <c r="CK164" i="1" a="1"/>
  <c r="CK164" i="1" s="1"/>
  <c r="CK154" i="1" a="1"/>
  <c r="CK154" i="1" s="1"/>
  <c r="CK201" i="1" a="1"/>
  <c r="CK201" i="1" s="1"/>
  <c r="CK4" i="1" a="1"/>
  <c r="CK4" i="1" s="1"/>
  <c r="CK141" i="1" a="1"/>
  <c r="CK141" i="1" s="1"/>
  <c r="CK186" i="1" a="1"/>
  <c r="CK186" i="1" s="1"/>
  <c r="CK166" i="1" a="1"/>
  <c r="CK166" i="1" s="1"/>
  <c r="CK104" i="1" a="1"/>
  <c r="CK104" i="1" s="1"/>
  <c r="CK66" i="1" a="1"/>
  <c r="CK66" i="1" s="1"/>
  <c r="CK153" i="1" a="1"/>
  <c r="CK153" i="1" s="1"/>
  <c r="CD10" i="1" a="1"/>
  <c r="CD10" i="1" s="1"/>
  <c r="CD185" i="1" a="1"/>
  <c r="CD185" i="1" s="1"/>
  <c r="CD76" i="1" a="1"/>
  <c r="CD76" i="1" s="1"/>
  <c r="CD62" i="1" a="1"/>
  <c r="CD62" i="1" s="1"/>
  <c r="CD95" i="1" a="1"/>
  <c r="CD95" i="1" s="1"/>
  <c r="CD173" i="1" a="1"/>
  <c r="CD173" i="1" s="1"/>
  <c r="CD101" i="1" a="1"/>
  <c r="CD101" i="1" s="1"/>
  <c r="CD178" i="1" a="1"/>
  <c r="CD178" i="1" s="1"/>
  <c r="CD66" i="1" a="1"/>
  <c r="CD66" i="1" s="1"/>
  <c r="CD205" i="1" a="1"/>
  <c r="CD205" i="1" s="1"/>
  <c r="CD148" i="1" a="1"/>
  <c r="CD148" i="1" s="1"/>
  <c r="CK137" i="1" a="1"/>
  <c r="CK137" i="1" s="1"/>
  <c r="GF67" i="1"/>
  <c r="FN107" i="1"/>
  <c r="FL107" i="1"/>
  <c r="FJ107" i="1"/>
  <c r="DN107" i="1"/>
  <c r="IN80" i="1"/>
  <c r="FK107" i="1"/>
  <c r="IN76" i="1"/>
  <c r="IN47" i="1"/>
  <c r="FI137" i="1"/>
  <c r="FI134" i="1"/>
  <c r="FI118" i="1"/>
  <c r="FI44" i="1"/>
  <c r="FI97" i="1"/>
  <c r="FI193" i="1"/>
  <c r="FI148" i="1"/>
  <c r="FI35" i="1"/>
  <c r="FI83" i="1"/>
  <c r="FI76" i="1"/>
  <c r="FI66" i="1"/>
  <c r="FI67" i="1"/>
  <c r="FI201" i="1"/>
  <c r="FI127" i="1"/>
  <c r="FI157" i="1"/>
  <c r="FF107" i="1"/>
  <c r="IN81" i="1"/>
  <c r="DW47" i="1"/>
  <c r="DH107" i="1"/>
  <c r="DR107" i="1"/>
  <c r="HJ81" i="1"/>
  <c r="HJ76" i="1"/>
  <c r="DD107" i="1"/>
  <c r="FD107" i="1"/>
  <c r="EP107" i="1"/>
  <c r="EF107" i="1"/>
  <c r="EB107" i="1"/>
  <c r="EV107" i="1"/>
  <c r="EZ107" i="1"/>
  <c r="ER107" i="1"/>
  <c r="DF107" i="1"/>
  <c r="DL107" i="1"/>
  <c r="DB107" i="1"/>
  <c r="EQ107" i="1"/>
  <c r="EH107" i="1"/>
  <c r="EG107" i="1"/>
  <c r="DM107" i="1"/>
  <c r="DC107" i="1"/>
  <c r="FA107" i="1"/>
  <c r="DP107" i="1"/>
  <c r="DW107" i="1"/>
  <c r="EL107" i="1"/>
  <c r="DZ107" i="1"/>
  <c r="ET107" i="1"/>
  <c r="FB107" i="1"/>
  <c r="EJ107" i="1"/>
  <c r="CX107" i="1"/>
  <c r="KC110" i="1"/>
  <c r="KC93" i="1"/>
  <c r="KC86" i="1"/>
  <c r="HJ11" i="1"/>
  <c r="HJ24" i="1"/>
  <c r="HJ88" i="1"/>
  <c r="KB11" i="1"/>
  <c r="KB88" i="1"/>
  <c r="KB24" i="1"/>
  <c r="IN11" i="1"/>
  <c r="IN88" i="1"/>
  <c r="IN24" i="1"/>
  <c r="HU95" i="1"/>
  <c r="HU89" i="1"/>
  <c r="HU91" i="1"/>
  <c r="HU93" i="1"/>
  <c r="HU86" i="1"/>
  <c r="HU99" i="1"/>
  <c r="HU110" i="1"/>
  <c r="KC91" i="1"/>
  <c r="KC99" i="1"/>
  <c r="GP88" i="1"/>
  <c r="GP11" i="1"/>
  <c r="GP24" i="1"/>
  <c r="ID56" i="1"/>
  <c r="ID88" i="1"/>
  <c r="ID24" i="1"/>
  <c r="ID11" i="1"/>
  <c r="GF44" i="1"/>
  <c r="GF11" i="1"/>
  <c r="GF88" i="1"/>
  <c r="GF24" i="1"/>
  <c r="GZ88" i="1"/>
  <c r="GZ11" i="1"/>
  <c r="GZ24" i="1"/>
  <c r="JH88" i="1"/>
  <c r="JH11" i="1"/>
  <c r="KC95" i="1"/>
  <c r="JR88" i="1"/>
  <c r="JR24" i="1"/>
  <c r="JR11" i="1"/>
  <c r="IX11" i="1"/>
  <c r="IX88" i="1"/>
  <c r="IX24" i="1"/>
  <c r="KC89" i="1"/>
  <c r="DY113" i="1"/>
  <c r="DY112" i="1"/>
  <c r="FN23" i="1"/>
  <c r="FL24" i="1"/>
  <c r="FL12" i="1"/>
  <c r="FN76" i="1"/>
  <c r="FN95" i="1"/>
  <c r="FN126" i="1"/>
  <c r="FN71" i="1"/>
  <c r="FN165" i="1"/>
  <c r="FN186" i="1"/>
  <c r="FN102" i="1"/>
  <c r="FL196" i="1"/>
  <c r="DY185" i="1"/>
  <c r="DY80" i="1"/>
  <c r="FC86" i="1"/>
  <c r="FN111" i="1"/>
  <c r="FN88" i="1"/>
  <c r="FN49" i="1"/>
  <c r="FN109" i="1"/>
  <c r="FN99" i="1"/>
  <c r="FN201" i="1"/>
  <c r="DY93" i="1"/>
  <c r="FL150" i="1"/>
  <c r="FL169" i="1"/>
  <c r="FN189" i="1"/>
  <c r="FN157" i="1"/>
  <c r="FN66" i="1"/>
  <c r="FL111" i="1"/>
  <c r="FN82" i="1"/>
  <c r="FL149" i="1"/>
  <c r="FN92" i="1"/>
  <c r="FL66" i="1"/>
  <c r="FL202" i="1"/>
  <c r="FL123" i="1"/>
  <c r="FL129" i="1"/>
  <c r="FL173" i="1"/>
  <c r="FL76" i="1"/>
  <c r="FL106" i="1"/>
  <c r="FL80" i="1"/>
  <c r="FL130" i="1"/>
  <c r="FL141" i="1"/>
  <c r="FL60" i="1"/>
  <c r="FL120" i="1"/>
  <c r="FL49" i="1"/>
  <c r="FL47" i="1"/>
  <c r="FL10" i="1"/>
  <c r="FN114" i="1"/>
  <c r="FN3" i="1"/>
  <c r="FN46" i="1"/>
  <c r="EI86" i="1"/>
  <c r="GF58" i="1"/>
  <c r="FL192" i="1"/>
  <c r="DI26" i="1"/>
  <c r="DY195" i="1"/>
  <c r="FN84" i="1"/>
  <c r="FL171" i="1"/>
  <c r="FL50" i="1"/>
  <c r="FL112" i="1"/>
  <c r="FL133" i="1"/>
  <c r="FN156" i="1"/>
  <c r="FN158" i="1"/>
  <c r="FN122" i="1"/>
  <c r="FN128" i="1"/>
  <c r="DY183" i="1"/>
  <c r="DY139" i="1"/>
  <c r="DY126" i="1"/>
  <c r="FN139" i="1"/>
  <c r="FN7" i="1"/>
  <c r="FN138" i="1"/>
  <c r="FN121" i="1"/>
  <c r="FL43" i="1"/>
  <c r="FN150" i="1"/>
  <c r="FN142" i="1"/>
  <c r="FN4" i="1"/>
  <c r="FL117" i="1"/>
  <c r="FN67" i="1"/>
  <c r="FN135" i="1"/>
  <c r="FL95" i="1"/>
  <c r="FL61" i="1"/>
  <c r="FL77" i="1"/>
  <c r="FL154" i="1"/>
  <c r="FL199" i="1"/>
  <c r="FL195" i="1"/>
  <c r="FL139" i="1"/>
  <c r="FL178" i="1"/>
  <c r="FL44" i="1"/>
  <c r="FL72" i="1"/>
  <c r="FL155" i="1"/>
  <c r="FL182" i="1"/>
  <c r="FL134" i="1"/>
  <c r="FL69" i="1"/>
  <c r="FN185" i="1"/>
  <c r="FN180" i="1"/>
  <c r="FN127" i="1"/>
  <c r="FL13" i="1"/>
  <c r="FL137" i="1"/>
  <c r="GG1" i="1"/>
  <c r="GG50" i="1" s="1"/>
  <c r="GF45" i="1"/>
  <c r="GF56" i="1"/>
  <c r="DY83" i="1"/>
  <c r="DY133" i="1"/>
  <c r="DY190" i="1"/>
  <c r="DY43" i="1"/>
  <c r="DY106" i="1"/>
  <c r="FN68" i="1"/>
  <c r="FL29" i="1"/>
  <c r="FL152" i="1"/>
  <c r="FL5" i="1"/>
  <c r="FN50" i="1"/>
  <c r="FN204" i="1"/>
  <c r="FV85" i="1"/>
  <c r="FN137" i="1"/>
  <c r="FN164" i="1"/>
  <c r="FN205" i="1"/>
  <c r="FN17" i="1"/>
  <c r="FN79" i="1"/>
  <c r="DY79" i="1"/>
  <c r="DY135" i="1"/>
  <c r="DY125" i="1"/>
  <c r="FN116" i="1"/>
  <c r="FN89" i="1"/>
  <c r="FN54" i="1"/>
  <c r="FN193" i="1"/>
  <c r="FN153" i="1"/>
  <c r="FL201" i="1"/>
  <c r="FN35" i="1"/>
  <c r="FN125" i="1"/>
  <c r="FN73" i="1"/>
  <c r="FN45" i="1"/>
  <c r="FL180" i="1"/>
  <c r="FN103" i="1"/>
  <c r="FN112" i="1"/>
  <c r="FN202" i="1"/>
  <c r="FN30" i="1"/>
  <c r="FL20" i="1"/>
  <c r="FL11" i="1"/>
  <c r="FL119" i="1"/>
  <c r="FL25" i="1"/>
  <c r="FL96" i="1"/>
  <c r="FL31" i="1"/>
  <c r="FL7" i="1"/>
  <c r="FL98" i="1"/>
  <c r="FL75" i="1"/>
  <c r="FL148" i="1"/>
  <c r="FL23" i="1"/>
  <c r="FL55" i="1"/>
  <c r="FL108" i="1"/>
  <c r="FL88" i="1"/>
  <c r="FL38" i="1"/>
  <c r="FN198" i="1"/>
  <c r="FN60" i="1"/>
  <c r="FN197" i="1"/>
  <c r="FB85" i="1"/>
  <c r="GF55" i="1"/>
  <c r="FN161" i="1"/>
  <c r="FL94" i="1"/>
  <c r="FL89" i="1"/>
  <c r="DY6" i="1"/>
  <c r="GF16" i="1"/>
  <c r="DY61" i="1"/>
  <c r="DY69" i="1"/>
  <c r="DY118" i="1"/>
  <c r="EH85" i="1"/>
  <c r="DY50" i="1"/>
  <c r="DY13" i="1"/>
  <c r="FN5" i="1"/>
  <c r="FN59" i="1"/>
  <c r="FN51" i="1"/>
  <c r="FL203" i="1"/>
  <c r="FL197" i="1"/>
  <c r="FL163" i="1"/>
  <c r="FL67" i="1"/>
  <c r="FN145" i="1"/>
  <c r="FN151" i="1"/>
  <c r="FN61" i="1"/>
  <c r="FN168" i="1"/>
  <c r="FN78" i="1"/>
  <c r="FN86" i="1"/>
  <c r="DY105" i="1"/>
  <c r="DY42" i="1"/>
  <c r="FN91" i="1"/>
  <c r="FN15" i="1"/>
  <c r="FN25" i="1"/>
  <c r="FN64" i="1"/>
  <c r="FL45" i="1"/>
  <c r="FL193" i="1"/>
  <c r="FN58" i="1"/>
  <c r="FN94" i="1"/>
  <c r="FN100" i="1"/>
  <c r="FN118" i="1"/>
  <c r="FN187" i="1"/>
  <c r="FN140" i="1"/>
  <c r="FN110" i="1"/>
  <c r="FL27" i="1"/>
  <c r="FL179" i="1"/>
  <c r="FL58" i="1"/>
  <c r="FL68" i="1"/>
  <c r="FL4" i="1"/>
  <c r="FL190" i="1"/>
  <c r="FL124" i="1"/>
  <c r="FL93" i="1"/>
  <c r="FL36" i="1"/>
  <c r="FL140" i="1"/>
  <c r="FL100" i="1"/>
  <c r="FL84" i="1"/>
  <c r="FL81" i="1"/>
  <c r="FN203" i="1"/>
  <c r="FN55" i="1"/>
  <c r="FN31" i="1"/>
  <c r="FL189" i="1"/>
  <c r="FL85" i="1"/>
  <c r="DY110" i="1"/>
  <c r="DY5" i="1"/>
  <c r="DY99" i="1"/>
  <c r="DY23" i="1"/>
  <c r="FN69" i="1"/>
  <c r="FL97" i="1"/>
  <c r="FN175" i="1"/>
  <c r="FN196" i="1"/>
  <c r="FN70" i="1"/>
  <c r="FN13" i="1"/>
  <c r="FN104" i="1"/>
  <c r="DY17" i="1"/>
  <c r="DY116" i="1"/>
  <c r="FN192" i="1"/>
  <c r="FN123" i="1"/>
  <c r="FN166" i="1"/>
  <c r="FN120" i="1"/>
  <c r="FN130" i="1"/>
  <c r="FN200" i="1"/>
  <c r="FL146" i="1"/>
  <c r="FL194" i="1"/>
  <c r="FL174" i="1"/>
  <c r="FL65" i="1"/>
  <c r="FN144" i="1"/>
  <c r="FN132" i="1"/>
  <c r="FN194" i="1"/>
  <c r="FN167" i="1"/>
  <c r="FN141" i="1"/>
  <c r="FN155" i="1"/>
  <c r="FL37" i="1"/>
  <c r="FN10" i="1"/>
  <c r="FL70" i="1"/>
  <c r="FL127" i="1"/>
  <c r="FL54" i="1"/>
  <c r="FL53" i="1"/>
  <c r="FL138" i="1"/>
  <c r="FL181" i="1"/>
  <c r="FL8" i="1"/>
  <c r="FL71" i="1"/>
  <c r="FL162" i="1"/>
  <c r="FL161" i="1"/>
  <c r="FL166" i="1"/>
  <c r="FL159" i="1"/>
  <c r="FL200" i="1"/>
  <c r="FL177" i="1"/>
  <c r="FL205" i="1"/>
  <c r="FL26" i="1"/>
  <c r="FL104" i="1"/>
  <c r="FN163" i="1"/>
  <c r="FN63" i="1"/>
  <c r="FN65" i="1"/>
  <c r="FN174" i="1"/>
  <c r="FN136" i="1"/>
  <c r="FL59" i="1"/>
  <c r="FL186" i="1"/>
  <c r="FL191" i="1"/>
  <c r="FL176" i="1"/>
  <c r="AT59" i="1"/>
  <c r="DY37" i="1"/>
  <c r="DY124" i="1"/>
  <c r="DY72" i="1"/>
  <c r="FX85" i="1"/>
  <c r="DY30" i="1"/>
  <c r="FN42" i="1"/>
  <c r="FL144" i="1"/>
  <c r="FN119" i="1"/>
  <c r="DY199" i="1"/>
  <c r="FN152" i="1"/>
  <c r="FN181" i="1"/>
  <c r="FN195" i="1"/>
  <c r="FN177" i="1"/>
  <c r="FN199" i="1"/>
  <c r="FN148" i="1"/>
  <c r="FN16" i="1"/>
  <c r="FN38" i="1"/>
  <c r="FN162" i="1"/>
  <c r="DY150" i="1"/>
  <c r="DY63" i="1"/>
  <c r="DY136" i="1"/>
  <c r="DY52" i="1"/>
  <c r="DY62" i="1"/>
  <c r="FN143" i="1"/>
  <c r="FN160" i="1"/>
  <c r="FN108" i="1"/>
  <c r="FN80" i="1"/>
  <c r="DY196" i="1"/>
  <c r="FL175" i="1"/>
  <c r="FL183" i="1"/>
  <c r="FL143" i="1"/>
  <c r="FN179" i="1"/>
  <c r="FN83" i="1"/>
  <c r="FN77" i="1"/>
  <c r="FN113" i="1"/>
  <c r="FN93" i="1"/>
  <c r="FN12" i="1"/>
  <c r="FL188" i="1"/>
  <c r="FL187" i="1"/>
  <c r="FL78" i="1"/>
  <c r="FL62" i="1"/>
  <c r="FL158" i="1"/>
  <c r="FL102" i="1"/>
  <c r="FL126" i="1"/>
  <c r="FL151" i="1"/>
  <c r="FL153" i="1"/>
  <c r="FL136" i="1"/>
  <c r="FL99" i="1"/>
  <c r="FL105" i="1"/>
  <c r="FL82" i="1"/>
  <c r="FL121" i="1"/>
  <c r="FL122" i="1"/>
  <c r="FL30" i="1"/>
  <c r="FL90" i="1"/>
  <c r="FL118" i="1"/>
  <c r="FN134" i="1"/>
  <c r="FN81" i="1"/>
  <c r="FN36" i="1"/>
  <c r="FL135" i="1"/>
  <c r="DD85" i="1"/>
  <c r="FL132" i="1"/>
  <c r="FL51" i="1"/>
  <c r="DY78" i="1"/>
  <c r="DY203" i="1"/>
  <c r="DY104" i="1"/>
  <c r="FN43" i="1"/>
  <c r="FL17" i="1"/>
  <c r="FN75" i="1"/>
  <c r="FL91" i="1"/>
  <c r="FN62" i="1"/>
  <c r="FN101" i="1"/>
  <c r="FL204" i="1"/>
  <c r="FN90" i="1"/>
  <c r="FN106" i="1"/>
  <c r="FN146" i="1"/>
  <c r="FN188" i="1"/>
  <c r="FN72" i="1"/>
  <c r="FN117" i="1"/>
  <c r="DY188" i="1"/>
  <c r="DY173" i="1"/>
  <c r="DY97" i="1"/>
  <c r="DY171" i="1"/>
  <c r="DY59" i="1"/>
  <c r="FN124" i="1"/>
  <c r="FN115" i="1"/>
  <c r="FN97" i="1"/>
  <c r="FN178" i="1"/>
  <c r="FN53" i="1"/>
  <c r="FL184" i="1"/>
  <c r="FL170" i="1"/>
  <c r="FN171" i="1"/>
  <c r="FN184" i="1"/>
  <c r="FN182" i="1"/>
  <c r="FN149" i="1"/>
  <c r="FN190" i="1"/>
  <c r="FN183" i="1"/>
  <c r="ER85" i="1"/>
  <c r="FL42" i="1"/>
  <c r="FL167" i="1"/>
  <c r="FL46" i="1"/>
  <c r="FL185" i="1"/>
  <c r="FL114" i="1"/>
  <c r="FL35" i="1"/>
  <c r="FL86" i="1"/>
  <c r="FL83" i="1"/>
  <c r="FL164" i="1"/>
  <c r="FL73" i="1"/>
  <c r="FL160" i="1"/>
  <c r="FL156" i="1"/>
  <c r="FL109" i="1"/>
  <c r="FL92" i="1"/>
  <c r="DX85" i="1"/>
  <c r="FN20" i="1"/>
  <c r="FN173" i="1"/>
  <c r="FN24" i="1"/>
  <c r="FL110" i="1"/>
  <c r="FL113" i="1"/>
  <c r="FL147" i="1"/>
  <c r="AS42" i="1"/>
  <c r="AU42" i="1" s="1"/>
  <c r="DS25" i="1"/>
  <c r="FH162" i="1"/>
  <c r="FH72" i="1"/>
  <c r="EI26" i="1"/>
  <c r="FH47" i="1"/>
  <c r="FH82" i="1"/>
  <c r="FH141" i="1"/>
  <c r="FQ25" i="1"/>
  <c r="FH10" i="1"/>
  <c r="FH149" i="1"/>
  <c r="FH193" i="1"/>
  <c r="DO26" i="1"/>
  <c r="FH129" i="1"/>
  <c r="FH140" i="1"/>
  <c r="FH49" i="1"/>
  <c r="EM25" i="1"/>
  <c r="FH169" i="1"/>
  <c r="EW25" i="1"/>
  <c r="FH15" i="1"/>
  <c r="FH37" i="1"/>
  <c r="FH60" i="1"/>
  <c r="FH137" i="1"/>
  <c r="FH16" i="1"/>
  <c r="ES26" i="1"/>
  <c r="FU63" i="1"/>
  <c r="EG63" i="1"/>
  <c r="FH12" i="1"/>
  <c r="FH165" i="1"/>
  <c r="FH31" i="1"/>
  <c r="FC26" i="1"/>
  <c r="FH61" i="1"/>
  <c r="FH189" i="1"/>
  <c r="FH128" i="1"/>
  <c r="FH58" i="1"/>
  <c r="FH181" i="1"/>
  <c r="FH142" i="1"/>
  <c r="FH6" i="1"/>
  <c r="FH11" i="1"/>
  <c r="FM26" i="1"/>
  <c r="FH29" i="1"/>
  <c r="FH202" i="1"/>
  <c r="FH7" i="1"/>
  <c r="FH84" i="1"/>
  <c r="FH154" i="1"/>
  <c r="FH151" i="1"/>
  <c r="FH99" i="1"/>
  <c r="FG25" i="1"/>
  <c r="CY108" i="1"/>
  <c r="DV191" i="1"/>
  <c r="DS86" i="1"/>
  <c r="FF8" i="1"/>
  <c r="FF27" i="1"/>
  <c r="FF144" i="1"/>
  <c r="FF154" i="1"/>
  <c r="FF78" i="1"/>
  <c r="FF203" i="1"/>
  <c r="FF166" i="1"/>
  <c r="FF171" i="1"/>
  <c r="FF72" i="1"/>
  <c r="FF7" i="1"/>
  <c r="FF152" i="1"/>
  <c r="FF81" i="1"/>
  <c r="FF36" i="1"/>
  <c r="FF117" i="1"/>
  <c r="FF13" i="1"/>
  <c r="FF179" i="1"/>
  <c r="FF178" i="1"/>
  <c r="FF201" i="1"/>
  <c r="FF131" i="1"/>
  <c r="FF67" i="1"/>
  <c r="FF118" i="1"/>
  <c r="FF52" i="1"/>
  <c r="FF115" i="1"/>
  <c r="FW13" i="1"/>
  <c r="FF31" i="1"/>
  <c r="FF187" i="1"/>
  <c r="FF20" i="1"/>
  <c r="FF4" i="1"/>
  <c r="FF16" i="1"/>
  <c r="FF146" i="1"/>
  <c r="FF139" i="1"/>
  <c r="FF153" i="1"/>
  <c r="FF5" i="1"/>
  <c r="FF160" i="1"/>
  <c r="FF3" i="1"/>
  <c r="FF46" i="1"/>
  <c r="FF63" i="1"/>
  <c r="FF69" i="1"/>
  <c r="FF80" i="1"/>
  <c r="FF110" i="1"/>
  <c r="FF45" i="1"/>
  <c r="FF98" i="1"/>
  <c r="FF192" i="1"/>
  <c r="FF62" i="1"/>
  <c r="FF143" i="1"/>
  <c r="FF173" i="1"/>
  <c r="FF169" i="1"/>
  <c r="FF165" i="1"/>
  <c r="FM13" i="1"/>
  <c r="FF148" i="1"/>
  <c r="EW133" i="1"/>
  <c r="DO13" i="1"/>
  <c r="FF124" i="1"/>
  <c r="FF121" i="1"/>
  <c r="FF181" i="1"/>
  <c r="FF51" i="1"/>
  <c r="FF49" i="1"/>
  <c r="FF199" i="1"/>
  <c r="FF119" i="1"/>
  <c r="FF104" i="1"/>
  <c r="FF158" i="1"/>
  <c r="FF71" i="1"/>
  <c r="FF182" i="1"/>
  <c r="FF123" i="1"/>
  <c r="FF177" i="1"/>
  <c r="FF75" i="1"/>
  <c r="FF100" i="1"/>
  <c r="FF95" i="1"/>
  <c r="FF60" i="1"/>
  <c r="FF155" i="1"/>
  <c r="FF183" i="1"/>
  <c r="FF92" i="1"/>
  <c r="FF56" i="1"/>
  <c r="EC86" i="1"/>
  <c r="FF197" i="1"/>
  <c r="EW86" i="1"/>
  <c r="FQ86" i="1"/>
  <c r="CY86" i="1"/>
  <c r="FF191" i="1"/>
  <c r="FF126" i="1"/>
  <c r="FF137" i="1"/>
  <c r="FF24" i="1"/>
  <c r="FF133" i="1"/>
  <c r="FF26" i="1"/>
  <c r="FF120" i="1"/>
  <c r="FF195" i="1"/>
  <c r="FF102" i="1"/>
  <c r="FF194" i="1"/>
  <c r="FF186" i="1"/>
  <c r="FF159" i="1"/>
  <c r="FF99" i="1"/>
  <c r="FF12" i="1"/>
  <c r="FF108" i="1"/>
  <c r="FF193" i="1"/>
  <c r="FF50" i="1"/>
  <c r="FF184" i="1"/>
  <c r="FF127" i="1"/>
  <c r="FF79" i="1"/>
  <c r="FF168" i="1"/>
  <c r="FF151" i="1"/>
  <c r="FQ133" i="1"/>
  <c r="ES13" i="1"/>
  <c r="FF43" i="1"/>
  <c r="FF170" i="1"/>
  <c r="FF141" i="1"/>
  <c r="FF188" i="1"/>
  <c r="FF90" i="1"/>
  <c r="FF54" i="1"/>
  <c r="FF38" i="1"/>
  <c r="FF157" i="1"/>
  <c r="FF140" i="1"/>
  <c r="FF96" i="1"/>
  <c r="FF35" i="1"/>
  <c r="FF138" i="1"/>
  <c r="FF83" i="1"/>
  <c r="FF105" i="1"/>
  <c r="FF6" i="1"/>
  <c r="FF175" i="1"/>
  <c r="FF161" i="1"/>
  <c r="FF30" i="1"/>
  <c r="FF202" i="1"/>
  <c r="FF128" i="1"/>
  <c r="FF180" i="1"/>
  <c r="FF142" i="1"/>
  <c r="FF130" i="1"/>
  <c r="FF149" i="1"/>
  <c r="FG133" i="1"/>
  <c r="FF135" i="1"/>
  <c r="EM133" i="1"/>
  <c r="DS133" i="1"/>
  <c r="FC13" i="1"/>
  <c r="FF109" i="1"/>
  <c r="FF132" i="1"/>
  <c r="FF111" i="1"/>
  <c r="FF122" i="1"/>
  <c r="FF164" i="1"/>
  <c r="FF163" i="1"/>
  <c r="FF37" i="1"/>
  <c r="FF77" i="1"/>
  <c r="FF25" i="1"/>
  <c r="FF55" i="1"/>
  <c r="FF176" i="1"/>
  <c r="FF82" i="1"/>
  <c r="FF91" i="1"/>
  <c r="FF103" i="1"/>
  <c r="FF59" i="1"/>
  <c r="FF113" i="1"/>
  <c r="FF162" i="1"/>
  <c r="FF10" i="1"/>
  <c r="FF167" i="1"/>
  <c r="FF85" i="1"/>
  <c r="FF112" i="1"/>
  <c r="EC133" i="1"/>
  <c r="FF66" i="1"/>
  <c r="FF204" i="1"/>
  <c r="FF86" i="1"/>
  <c r="FF156" i="1"/>
  <c r="FF93" i="1"/>
  <c r="FF106" i="1"/>
  <c r="FF205" i="1"/>
  <c r="FF136" i="1"/>
  <c r="FF145" i="1"/>
  <c r="FF29" i="1"/>
  <c r="FF64" i="1"/>
  <c r="FF189" i="1"/>
  <c r="FF116" i="1"/>
  <c r="FF88" i="1"/>
  <c r="FF198" i="1"/>
  <c r="FF17" i="1"/>
  <c r="FF147" i="1"/>
  <c r="FF150" i="1"/>
  <c r="FF172" i="1"/>
  <c r="FF190" i="1"/>
  <c r="FF70" i="1"/>
  <c r="FF84" i="1"/>
  <c r="FF196" i="1"/>
  <c r="FF44" i="1"/>
  <c r="FF68" i="1"/>
  <c r="FI30" i="1"/>
  <c r="FI107" i="1"/>
  <c r="DY175" i="1"/>
  <c r="DY107" i="1"/>
  <c r="KC107" i="1"/>
  <c r="KC105" i="1"/>
  <c r="KC104" i="1"/>
  <c r="KC108" i="1"/>
  <c r="KC109" i="1"/>
  <c r="HU107" i="1"/>
  <c r="HU104" i="1"/>
  <c r="HU108" i="1"/>
  <c r="HU109" i="1"/>
  <c r="HU106" i="1"/>
  <c r="HU105" i="1"/>
  <c r="DU17" i="1"/>
  <c r="DU107" i="1"/>
  <c r="FH102" i="1"/>
  <c r="FH107" i="1"/>
  <c r="KC106" i="1"/>
  <c r="FG147" i="1"/>
  <c r="FG107" i="1"/>
  <c r="KC96" i="1"/>
  <c r="KC102" i="1"/>
  <c r="HU96" i="1"/>
  <c r="HU100" i="1"/>
  <c r="HU101" i="1"/>
  <c r="HU103" i="1"/>
  <c r="HU102" i="1"/>
  <c r="KC103" i="1"/>
  <c r="KC101" i="1"/>
  <c r="KC100" i="1"/>
  <c r="IX5" i="1"/>
  <c r="IX95" i="1"/>
  <c r="FH153" i="1"/>
  <c r="FH83" i="1"/>
  <c r="FH119" i="1"/>
  <c r="FH163" i="1"/>
  <c r="FH131" i="1"/>
  <c r="FH185" i="1"/>
  <c r="FH182" i="1"/>
  <c r="FH192" i="1"/>
  <c r="FH101" i="1"/>
  <c r="FH76" i="1"/>
  <c r="FH178" i="1"/>
  <c r="FH179" i="1"/>
  <c r="FH156" i="1"/>
  <c r="FH170" i="1"/>
  <c r="FH4" i="1"/>
  <c r="FH111" i="1"/>
  <c r="FH44" i="1"/>
  <c r="FH127" i="1"/>
  <c r="FH176" i="1"/>
  <c r="FH71" i="1"/>
  <c r="FH135" i="1"/>
  <c r="FH91" i="1"/>
  <c r="FH110" i="1"/>
  <c r="FH171" i="1"/>
  <c r="FH69" i="1"/>
  <c r="FH59" i="1"/>
  <c r="FH106" i="1"/>
  <c r="FH155" i="1"/>
  <c r="FH113" i="1"/>
  <c r="FH27" i="1"/>
  <c r="FH56" i="1"/>
  <c r="FH53" i="1"/>
  <c r="FH67" i="1"/>
  <c r="FH177" i="1"/>
  <c r="FH25" i="1"/>
  <c r="FH79" i="1"/>
  <c r="FH88" i="1"/>
  <c r="FH203" i="1"/>
  <c r="FH160" i="1"/>
  <c r="FH98" i="1"/>
  <c r="FH126" i="1"/>
  <c r="FH17" i="1"/>
  <c r="FH86" i="1"/>
  <c r="FH64" i="1"/>
  <c r="FH138" i="1"/>
  <c r="FH168" i="1"/>
  <c r="FH120" i="1"/>
  <c r="FH190" i="1"/>
  <c r="FH43" i="1"/>
  <c r="FH180" i="1"/>
  <c r="FH145" i="1"/>
  <c r="FH158" i="1"/>
  <c r="FH52" i="1"/>
  <c r="FH36" i="1"/>
  <c r="FH136" i="1"/>
  <c r="FH144" i="1"/>
  <c r="FH195" i="1"/>
  <c r="FH92" i="1"/>
  <c r="FH159" i="1"/>
  <c r="GF5" i="1"/>
  <c r="GF95" i="1"/>
  <c r="GZ5" i="1"/>
  <c r="GZ95" i="1"/>
  <c r="ID5" i="1"/>
  <c r="ID95" i="1"/>
  <c r="HJ5" i="1"/>
  <c r="HJ95" i="1"/>
  <c r="FH139" i="1"/>
  <c r="FH133" i="1"/>
  <c r="FH108" i="1"/>
  <c r="FH173" i="1"/>
  <c r="FH121" i="1"/>
  <c r="FH148" i="1"/>
  <c r="FH132" i="1"/>
  <c r="FH20" i="1"/>
  <c r="FH152" i="1"/>
  <c r="FH13" i="1"/>
  <c r="FH191" i="1"/>
  <c r="FH3" i="1"/>
  <c r="FH96" i="1"/>
  <c r="FH184" i="1"/>
  <c r="FH150" i="1"/>
  <c r="FH38" i="1"/>
  <c r="FH66" i="1"/>
  <c r="FH122" i="1"/>
  <c r="FH75" i="1"/>
  <c r="FH146" i="1"/>
  <c r="KB5" i="1"/>
  <c r="KB95" i="1"/>
  <c r="JR5" i="1"/>
  <c r="JR95" i="1"/>
  <c r="FH125" i="1"/>
  <c r="FH54" i="1"/>
  <c r="FH183" i="1"/>
  <c r="FH23" i="1"/>
  <c r="FH187" i="1"/>
  <c r="FH77" i="1"/>
  <c r="FH188" i="1"/>
  <c r="FH65" i="1"/>
  <c r="FH42" i="1"/>
  <c r="FH164" i="1"/>
  <c r="FH115" i="1"/>
  <c r="FH175" i="1"/>
  <c r="FH97" i="1"/>
  <c r="FH117" i="1"/>
  <c r="FH63" i="1"/>
  <c r="FH143" i="1"/>
  <c r="FH73" i="1"/>
  <c r="FH103" i="1"/>
  <c r="FH70" i="1"/>
  <c r="FH161" i="1"/>
  <c r="FH8" i="1"/>
  <c r="IN5" i="1"/>
  <c r="IN95" i="1"/>
  <c r="JH5" i="1"/>
  <c r="JH95" i="1"/>
  <c r="GP5" i="1"/>
  <c r="GP95" i="1"/>
  <c r="FH95" i="1"/>
  <c r="FH205" i="1"/>
  <c r="FH124" i="1"/>
  <c r="FH105" i="1"/>
  <c r="FH196" i="1"/>
  <c r="FH62" i="1"/>
  <c r="FH24" i="1"/>
  <c r="FH166" i="1"/>
  <c r="FH80" i="1"/>
  <c r="FH81" i="1"/>
  <c r="FH5" i="1"/>
  <c r="FH147" i="1"/>
  <c r="FH198" i="1"/>
  <c r="FH114" i="1"/>
  <c r="FH186" i="1"/>
  <c r="FH100" i="1"/>
  <c r="FH89" i="1"/>
  <c r="FH93" i="1"/>
  <c r="FH174" i="1"/>
  <c r="FH199" i="1"/>
  <c r="FH194" i="1"/>
  <c r="FH200" i="1"/>
  <c r="FH197" i="1"/>
  <c r="FH134" i="1"/>
  <c r="FH201" i="1"/>
  <c r="FH130" i="1"/>
  <c r="FH30" i="1"/>
  <c r="FH50" i="1"/>
  <c r="FH68" i="1"/>
  <c r="FH94" i="1"/>
  <c r="FH90" i="1"/>
  <c r="FH51" i="1"/>
  <c r="FH26" i="1"/>
  <c r="FH204" i="1"/>
  <c r="FH123" i="1"/>
  <c r="FH118" i="1"/>
  <c r="FH78" i="1"/>
  <c r="FH109" i="1"/>
  <c r="FH112" i="1"/>
  <c r="FH167" i="1"/>
  <c r="FH55" i="1"/>
  <c r="FH172" i="1"/>
  <c r="FH85" i="1"/>
  <c r="FH35" i="1"/>
  <c r="KC50" i="1"/>
  <c r="KC94" i="1"/>
  <c r="HU76" i="1"/>
  <c r="HU94" i="1"/>
  <c r="EW46" i="1"/>
  <c r="EG36" i="1"/>
  <c r="IX44" i="1"/>
  <c r="IX56" i="1"/>
  <c r="EM46" i="1"/>
  <c r="DE47" i="1"/>
  <c r="ES47" i="1"/>
  <c r="DW36" i="1"/>
  <c r="FK36" i="1"/>
  <c r="FA36" i="1"/>
  <c r="FH46" i="1"/>
  <c r="FD85" i="1"/>
  <c r="DF85" i="1"/>
  <c r="JH44" i="1"/>
  <c r="DU27" i="1"/>
  <c r="DU184" i="1"/>
  <c r="DU15" i="1"/>
  <c r="DU35" i="1"/>
  <c r="DU24" i="1"/>
  <c r="DU155" i="1"/>
  <c r="DU196" i="1"/>
  <c r="DU64" i="1"/>
  <c r="DU30" i="1"/>
  <c r="DU195" i="1"/>
  <c r="DU118" i="1"/>
  <c r="DU47" i="1"/>
  <c r="DU120" i="1"/>
  <c r="DU31" i="1"/>
  <c r="DU164" i="1"/>
  <c r="DU204" i="1"/>
  <c r="DU70" i="1"/>
  <c r="DU171" i="1"/>
  <c r="DU185" i="1"/>
  <c r="DU72" i="1"/>
  <c r="DU182" i="1"/>
  <c r="DU159" i="1"/>
  <c r="DU80" i="1"/>
  <c r="DU122" i="1"/>
  <c r="DU98" i="1"/>
  <c r="DU199" i="1"/>
  <c r="DU8" i="1"/>
  <c r="FH45" i="1"/>
  <c r="FK13" i="1"/>
  <c r="DC13" i="1"/>
  <c r="AS73" i="1"/>
  <c r="AU73" i="1" s="1"/>
  <c r="CY46" i="1"/>
  <c r="DU43" i="1"/>
  <c r="DU23" i="1"/>
  <c r="DS46" i="1"/>
  <c r="DU6" i="1"/>
  <c r="DU65" i="1"/>
  <c r="DU95" i="1"/>
  <c r="DU104" i="1"/>
  <c r="DU145" i="1"/>
  <c r="DU78" i="1"/>
  <c r="DU85" i="1"/>
  <c r="DU20" i="1"/>
  <c r="DU129" i="1"/>
  <c r="DU115" i="1"/>
  <c r="DU52" i="1"/>
  <c r="DU131" i="1"/>
  <c r="DU68" i="1"/>
  <c r="DU136" i="1"/>
  <c r="DU60" i="1"/>
  <c r="DU49" i="1"/>
  <c r="DU44" i="1"/>
  <c r="DU116" i="1"/>
  <c r="DU51" i="1"/>
  <c r="DU146" i="1"/>
  <c r="DU117" i="1"/>
  <c r="DU153" i="1"/>
  <c r="DU101" i="1"/>
  <c r="DW46" i="1"/>
  <c r="DI46" i="1"/>
  <c r="DU29" i="1"/>
  <c r="AT73" i="1"/>
  <c r="DU163" i="1"/>
  <c r="DU194" i="1"/>
  <c r="DU205" i="1"/>
  <c r="DU105" i="1"/>
  <c r="DU97" i="1"/>
  <c r="DU158" i="1"/>
  <c r="DU176" i="1"/>
  <c r="FG46" i="1"/>
  <c r="DU66" i="1"/>
  <c r="DU90" i="1"/>
  <c r="DU36" i="1"/>
  <c r="DU93" i="1"/>
  <c r="DU63" i="1"/>
  <c r="DU191" i="1"/>
  <c r="DU91" i="1"/>
  <c r="DU88" i="1"/>
  <c r="DU165" i="1"/>
  <c r="DU125" i="1"/>
  <c r="DU178" i="1"/>
  <c r="DU92" i="1"/>
  <c r="DU128" i="1"/>
  <c r="DU135" i="1"/>
  <c r="FM47" i="1"/>
  <c r="DU37" i="1"/>
  <c r="FU46" i="1"/>
  <c r="DU59" i="1"/>
  <c r="DU113" i="1"/>
  <c r="DU154" i="1"/>
  <c r="DU3" i="1"/>
  <c r="DU82" i="1"/>
  <c r="DU114" i="1"/>
  <c r="DU147" i="1"/>
  <c r="DU180" i="1"/>
  <c r="DU201" i="1"/>
  <c r="DU160" i="1"/>
  <c r="DU76" i="1"/>
  <c r="DU110" i="1"/>
  <c r="DU148" i="1"/>
  <c r="DU99" i="1"/>
  <c r="DU156" i="1"/>
  <c r="DU75" i="1"/>
  <c r="DU123" i="1"/>
  <c r="DU187" i="1"/>
  <c r="DU4" i="1"/>
  <c r="DU167" i="1"/>
  <c r="FC47" i="1"/>
  <c r="DU161" i="1"/>
  <c r="DU26" i="1"/>
  <c r="DU108" i="1"/>
  <c r="FH104" i="1"/>
  <c r="DM13" i="1"/>
  <c r="JH16" i="1"/>
  <c r="JH45" i="1"/>
  <c r="DU38" i="1"/>
  <c r="DU141" i="1"/>
  <c r="DU56" i="1"/>
  <c r="DU100" i="1"/>
  <c r="DU197" i="1"/>
  <c r="DU119" i="1"/>
  <c r="DU150" i="1"/>
  <c r="DU94" i="1"/>
  <c r="DU62" i="1"/>
  <c r="DU96" i="1"/>
  <c r="DU112" i="1"/>
  <c r="DU175" i="1"/>
  <c r="DU54" i="1"/>
  <c r="DU138" i="1"/>
  <c r="DU168" i="1"/>
  <c r="DU103" i="1"/>
  <c r="DU149" i="1"/>
  <c r="DU45" i="1"/>
  <c r="DU193" i="1"/>
  <c r="DU12" i="1"/>
  <c r="DU71" i="1"/>
  <c r="EC46" i="1"/>
  <c r="DU121" i="1"/>
  <c r="EQ13" i="1"/>
  <c r="DU190" i="1"/>
  <c r="DU69" i="1"/>
  <c r="DU142" i="1"/>
  <c r="FW47" i="1"/>
  <c r="FA46" i="1"/>
  <c r="DU172" i="1"/>
  <c r="DU84" i="1"/>
  <c r="DU86" i="1"/>
  <c r="DU202" i="1"/>
  <c r="DU89" i="1"/>
  <c r="DU111" i="1"/>
  <c r="DU134" i="1"/>
  <c r="DU198" i="1"/>
  <c r="DU46" i="1"/>
  <c r="DU173" i="1"/>
  <c r="DO47" i="1"/>
  <c r="DU183" i="1"/>
  <c r="DU130" i="1"/>
  <c r="DU126" i="1"/>
  <c r="DU61" i="1"/>
  <c r="DU73" i="1"/>
  <c r="DU67" i="1"/>
  <c r="DU179" i="1"/>
  <c r="DW13" i="1"/>
  <c r="DU151" i="1"/>
  <c r="DU5" i="1"/>
  <c r="DU124" i="1"/>
  <c r="EG13" i="1"/>
  <c r="DU203" i="1"/>
  <c r="DU109" i="1"/>
  <c r="DU169" i="1"/>
  <c r="DU81" i="1"/>
  <c r="DU13" i="1"/>
  <c r="DU188" i="1"/>
  <c r="DU170" i="1"/>
  <c r="DU177" i="1"/>
  <c r="DU192" i="1"/>
  <c r="DU127" i="1"/>
  <c r="DU132" i="1"/>
  <c r="DU83" i="1"/>
  <c r="DU16" i="1"/>
  <c r="DU174" i="1"/>
  <c r="DU139" i="1"/>
  <c r="DU50" i="1"/>
  <c r="DC46" i="1"/>
  <c r="DU58" i="1"/>
  <c r="FH157" i="1"/>
  <c r="FK46" i="1"/>
  <c r="KC76" i="1"/>
  <c r="FI96" i="1"/>
  <c r="FI126" i="1"/>
  <c r="FI45" i="1"/>
  <c r="FI112" i="1"/>
  <c r="FI65" i="1"/>
  <c r="FI162" i="1"/>
  <c r="FI93" i="1"/>
  <c r="FI113" i="1"/>
  <c r="FI95" i="1"/>
  <c r="FI192" i="1"/>
  <c r="FI5" i="1"/>
  <c r="FI189" i="1"/>
  <c r="FI25" i="1"/>
  <c r="FI109" i="1"/>
  <c r="FI49" i="1"/>
  <c r="FI11" i="1"/>
  <c r="FI90" i="1"/>
  <c r="FI61" i="1"/>
  <c r="FI153" i="1"/>
  <c r="FI196" i="1"/>
  <c r="FI200" i="1"/>
  <c r="FI108" i="1"/>
  <c r="FI13" i="1"/>
  <c r="FI179" i="1"/>
  <c r="FI91" i="1"/>
  <c r="FI110" i="1"/>
  <c r="FI102" i="1"/>
  <c r="FI164" i="1"/>
  <c r="CY25" i="1"/>
  <c r="FI27" i="1"/>
  <c r="FI151" i="1"/>
  <c r="FI80" i="1"/>
  <c r="FI129" i="1"/>
  <c r="FI139" i="1"/>
  <c r="FI166" i="1"/>
  <c r="FI101" i="1"/>
  <c r="FI163" i="1"/>
  <c r="FI98" i="1"/>
  <c r="FI111" i="1"/>
  <c r="FI183" i="1"/>
  <c r="FI168" i="1"/>
  <c r="FI171" i="1"/>
  <c r="FI117" i="1"/>
  <c r="FI184" i="1"/>
  <c r="FI195" i="1"/>
  <c r="FI29" i="1"/>
  <c r="FI145" i="1"/>
  <c r="FI152" i="1"/>
  <c r="FI69" i="1"/>
  <c r="FI114" i="1"/>
  <c r="FI56" i="1"/>
  <c r="FI54" i="1"/>
  <c r="FI149" i="1"/>
  <c r="FI120" i="1"/>
  <c r="FI63" i="1"/>
  <c r="EQ47" i="1"/>
  <c r="JH64" i="1"/>
  <c r="DI47" i="1"/>
  <c r="JH75" i="1"/>
  <c r="JI1" i="1"/>
  <c r="JI4" i="1" s="1"/>
  <c r="JH56" i="1"/>
  <c r="FQ47" i="1"/>
  <c r="AS59" i="1"/>
  <c r="AU59" i="1" s="1"/>
  <c r="JH30" i="1"/>
  <c r="FK47" i="1"/>
  <c r="FU47" i="1"/>
  <c r="CY47" i="1"/>
  <c r="FG151" i="1"/>
  <c r="FG118" i="1"/>
  <c r="FG110" i="1"/>
  <c r="FG73" i="1"/>
  <c r="FG93" i="1"/>
  <c r="FG125" i="1"/>
  <c r="FG179" i="1"/>
  <c r="FG75" i="1"/>
  <c r="DE132" i="1"/>
  <c r="DI108" i="1"/>
  <c r="FG178" i="1"/>
  <c r="FG109" i="1"/>
  <c r="FG121" i="1"/>
  <c r="FG103" i="1"/>
  <c r="FG120" i="1"/>
  <c r="FG128" i="1"/>
  <c r="FG176" i="1"/>
  <c r="FG55" i="1"/>
  <c r="FW132" i="1"/>
  <c r="EW108" i="1"/>
  <c r="FG67" i="1"/>
  <c r="FG168" i="1"/>
  <c r="FG183" i="1"/>
  <c r="FG112" i="1"/>
  <c r="FG155" i="1"/>
  <c r="FG108" i="1"/>
  <c r="FG196" i="1"/>
  <c r="FG66" i="1"/>
  <c r="FG116" i="1"/>
  <c r="FG65" i="1"/>
  <c r="FG153" i="1"/>
  <c r="FG68" i="1"/>
  <c r="FG181" i="1"/>
  <c r="FG189" i="1"/>
  <c r="FG119" i="1"/>
  <c r="FG63" i="1"/>
  <c r="HJ56" i="1"/>
  <c r="EC108" i="1"/>
  <c r="FG100" i="1"/>
  <c r="FG97" i="1"/>
  <c r="FG92" i="1"/>
  <c r="FG124" i="1"/>
  <c r="FG70" i="1"/>
  <c r="FG56" i="1"/>
  <c r="FG81" i="1"/>
  <c r="FG27" i="1"/>
  <c r="DS108" i="1"/>
  <c r="FG106" i="1"/>
  <c r="FG3" i="1"/>
  <c r="FG16" i="1"/>
  <c r="FG138" i="1"/>
  <c r="FG192" i="1"/>
  <c r="FG54" i="1"/>
  <c r="FG45" i="1"/>
  <c r="FG49" i="1"/>
  <c r="FG20" i="1"/>
  <c r="FQ108" i="1"/>
  <c r="DO132" i="1"/>
  <c r="FC132" i="1"/>
  <c r="FG201" i="1"/>
  <c r="FG135" i="1"/>
  <c r="FG13" i="1"/>
  <c r="FG69" i="1"/>
  <c r="FG146" i="1"/>
  <c r="FG156" i="1"/>
  <c r="FG86" i="1"/>
  <c r="FG131" i="1"/>
  <c r="FG145" i="1"/>
  <c r="DC36" i="1"/>
  <c r="IN56" i="1"/>
  <c r="IO1" i="1"/>
  <c r="IO4" i="1" s="1"/>
  <c r="IN16" i="1"/>
  <c r="KB58" i="1"/>
  <c r="FU36" i="1"/>
  <c r="IN75" i="1"/>
  <c r="IN53" i="1"/>
  <c r="IN45" i="1"/>
  <c r="EQ36" i="1"/>
  <c r="IN44" i="1"/>
  <c r="KB17" i="1"/>
  <c r="CY13" i="1"/>
  <c r="GF20" i="1"/>
  <c r="KB89" i="1"/>
  <c r="KB73" i="1"/>
  <c r="KB64" i="1"/>
  <c r="KB51" i="1"/>
  <c r="KB12" i="1"/>
  <c r="GF89" i="1"/>
  <c r="GF64" i="1"/>
  <c r="GF75" i="1"/>
  <c r="GF73" i="1"/>
  <c r="GF12" i="1"/>
  <c r="GF51" i="1"/>
  <c r="HU81" i="1"/>
  <c r="HU26" i="1"/>
  <c r="HU70" i="1"/>
  <c r="HU68" i="1"/>
  <c r="HU78" i="1"/>
  <c r="HU15" i="1"/>
  <c r="HU13" i="1"/>
  <c r="HU50" i="1"/>
  <c r="HU10" i="1"/>
  <c r="IX89" i="1"/>
  <c r="IX73" i="1"/>
  <c r="IX64" i="1"/>
  <c r="IX51" i="1"/>
  <c r="IX12" i="1"/>
  <c r="IX75" i="1"/>
  <c r="HJ89" i="1"/>
  <c r="HJ51" i="1"/>
  <c r="HJ64" i="1"/>
  <c r="HJ75" i="1"/>
  <c r="HJ12" i="1"/>
  <c r="HJ73" i="1"/>
  <c r="JR89" i="1"/>
  <c r="JR12" i="1"/>
  <c r="JR51" i="1"/>
  <c r="JR64" i="1"/>
  <c r="JR73" i="1"/>
  <c r="GP64" i="1"/>
  <c r="GP51" i="1"/>
  <c r="GP12" i="1"/>
  <c r="GP73" i="1"/>
  <c r="GG70" i="1"/>
  <c r="GG78" i="1"/>
  <c r="KC81" i="1"/>
  <c r="KC15" i="1"/>
  <c r="KC68" i="1"/>
  <c r="KC26" i="1"/>
  <c r="KC10" i="1"/>
  <c r="KC78" i="1"/>
  <c r="KC70" i="1"/>
  <c r="GZ89" i="1"/>
  <c r="GZ51" i="1"/>
  <c r="GZ64" i="1"/>
  <c r="GZ73" i="1"/>
  <c r="GZ12" i="1"/>
  <c r="KC13" i="1"/>
  <c r="ID89" i="1"/>
  <c r="ID75" i="1"/>
  <c r="ID73" i="1"/>
  <c r="ID51" i="1"/>
  <c r="ID64" i="1"/>
  <c r="ID12" i="1"/>
  <c r="JH89" i="1"/>
  <c r="JH51" i="1"/>
  <c r="JH73" i="1"/>
  <c r="JH12" i="1"/>
  <c r="IN89" i="1"/>
  <c r="IN12" i="1"/>
  <c r="IN73" i="1"/>
  <c r="IN64" i="1"/>
  <c r="IN51" i="1"/>
  <c r="EW26" i="1"/>
  <c r="AS77" i="1"/>
  <c r="AU77" i="1" s="1"/>
  <c r="CI49" i="1" a="1"/>
  <c r="CI49" i="1" s="1"/>
  <c r="CI62" i="1" a="1"/>
  <c r="CI62" i="1" s="1"/>
  <c r="CI146" i="1" a="1"/>
  <c r="CI146" i="1" s="1"/>
  <c r="CI171" i="1" a="1"/>
  <c r="CI171" i="1" s="1"/>
  <c r="CI199" i="1" a="1"/>
  <c r="CI199" i="1" s="1"/>
  <c r="CI30" i="1" a="1"/>
  <c r="CI30" i="1" s="1"/>
  <c r="CI55" i="1" a="1"/>
  <c r="CI55" i="1" s="1"/>
  <c r="CI158" i="1" a="1"/>
  <c r="CI158" i="1" s="1"/>
  <c r="CI202" i="1" a="1"/>
  <c r="CI202" i="1" s="1"/>
  <c r="CI152" i="1" a="1"/>
  <c r="CI152" i="1" s="1"/>
  <c r="CI56" i="1" a="1"/>
  <c r="CI56" i="1" s="1"/>
  <c r="CI129" i="1" a="1"/>
  <c r="CI129" i="1" s="1"/>
  <c r="CI50" i="1" a="1"/>
  <c r="CI50" i="1" s="1"/>
  <c r="CI162" i="1" a="1"/>
  <c r="CI162" i="1" s="1"/>
  <c r="CI198" i="1" a="1"/>
  <c r="CI198" i="1" s="1"/>
  <c r="CI89" i="1" a="1"/>
  <c r="CI89" i="1" s="1"/>
  <c r="CI97" i="1" a="1"/>
  <c r="CI97" i="1" s="1"/>
  <c r="CI150" i="1" a="1"/>
  <c r="CI150" i="1" s="1"/>
  <c r="CI178" i="1" a="1"/>
  <c r="CI178" i="1" s="1"/>
  <c r="CI195" i="1" a="1"/>
  <c r="CI195" i="1" s="1"/>
  <c r="CI54" i="1" a="1"/>
  <c r="CI54" i="1" s="1"/>
  <c r="CI98" i="1" a="1"/>
  <c r="CI98" i="1" s="1"/>
  <c r="CI106" i="1" a="1"/>
  <c r="CI106" i="1" s="1"/>
  <c r="CI24" i="1" a="1"/>
  <c r="CI24" i="1" s="1"/>
  <c r="CI11" i="1" a="1"/>
  <c r="CI11" i="1" s="1"/>
  <c r="CI185" i="1" a="1"/>
  <c r="CI185" i="1" s="1"/>
  <c r="CI187" i="1" a="1"/>
  <c r="CI187" i="1" s="1"/>
  <c r="CI43" i="1" a="1"/>
  <c r="CI43" i="1" s="1"/>
  <c r="CI59" i="1" a="1"/>
  <c r="CI59" i="1" s="1"/>
  <c r="CI64" i="1" a="1"/>
  <c r="CI64" i="1" s="1"/>
  <c r="CI191" i="1" a="1"/>
  <c r="CI191" i="1" s="1"/>
  <c r="CI99" i="1" a="1"/>
  <c r="CI99" i="1" s="1"/>
  <c r="CI188" i="1" a="1"/>
  <c r="CI188" i="1" s="1"/>
  <c r="CI172" i="1" a="1"/>
  <c r="CI172" i="1" s="1"/>
  <c r="CI72" i="1" a="1"/>
  <c r="CI72" i="1" s="1"/>
  <c r="CI96" i="1" a="1"/>
  <c r="CI96" i="1" s="1"/>
  <c r="CI166" i="1" a="1"/>
  <c r="CI166" i="1" s="1"/>
  <c r="CI12" i="1" a="1"/>
  <c r="CI12" i="1" s="1"/>
  <c r="CI36" i="1" a="1"/>
  <c r="CI36" i="1" s="1"/>
  <c r="CI26" i="1" a="1"/>
  <c r="CI26" i="1" s="1"/>
  <c r="CI45" i="1" a="1"/>
  <c r="CI45" i="1" s="1"/>
  <c r="CI38" i="1" a="1"/>
  <c r="CI38" i="1" s="1"/>
  <c r="CI181" i="1" a="1"/>
  <c r="CI181" i="1" s="1"/>
  <c r="CI122" i="1" a="1"/>
  <c r="CI122" i="1" s="1"/>
  <c r="CI65" i="1" a="1"/>
  <c r="CI65" i="1" s="1"/>
  <c r="CI134" i="1" a="1"/>
  <c r="CI134" i="1" s="1"/>
  <c r="CI184" i="1" a="1"/>
  <c r="CI184" i="1" s="1"/>
  <c r="CI73" i="1" a="1"/>
  <c r="CI73" i="1" s="1"/>
  <c r="CI112" i="1" a="1"/>
  <c r="CI112" i="1" s="1"/>
  <c r="CI83" i="1" a="1"/>
  <c r="CI83" i="1" s="1"/>
  <c r="CI44" i="1" a="1"/>
  <c r="CI44" i="1" s="1"/>
  <c r="CI179" i="1" a="1"/>
  <c r="CI179" i="1" s="1"/>
  <c r="CI101" i="1" a="1"/>
  <c r="CI101" i="1" s="1"/>
  <c r="CI167" i="1" a="1"/>
  <c r="CI167" i="1" s="1"/>
  <c r="CI111" i="1" a="1"/>
  <c r="CI111" i="1" s="1"/>
  <c r="CI151" i="1" a="1"/>
  <c r="CI151" i="1" s="1"/>
  <c r="CI47" i="1" a="1"/>
  <c r="CI47" i="1" s="1"/>
  <c r="CI138" i="1" a="1"/>
  <c r="CI138" i="1" s="1"/>
  <c r="CI69" i="1" a="1"/>
  <c r="CI69" i="1" s="1"/>
  <c r="CI156" i="1" a="1"/>
  <c r="CI156" i="1" s="1"/>
  <c r="CI15" i="1" a="1"/>
  <c r="CI15" i="1" s="1"/>
  <c r="CI144" i="1" a="1"/>
  <c r="CI144" i="1" s="1"/>
  <c r="CI169" i="1" a="1"/>
  <c r="CI169" i="1" s="1"/>
  <c r="CI164" i="1" a="1"/>
  <c r="CI164" i="1" s="1"/>
  <c r="CI25" i="1" a="1"/>
  <c r="CI25" i="1" s="1"/>
  <c r="CI23" i="1" a="1"/>
  <c r="CI23" i="1" s="1"/>
  <c r="CI160" i="1" a="1"/>
  <c r="CI160" i="1" s="1"/>
  <c r="CI132" i="1" a="1"/>
  <c r="CI132" i="1" s="1"/>
  <c r="CI176" i="1" a="1"/>
  <c r="CI176" i="1" s="1"/>
  <c r="CI180" i="1" a="1"/>
  <c r="CI180" i="1" s="1"/>
  <c r="CI124" i="1" a="1"/>
  <c r="CI124" i="1" s="1"/>
  <c r="CI66" i="1" a="1"/>
  <c r="CI66" i="1" s="1"/>
  <c r="CI161" i="1" a="1"/>
  <c r="CI161" i="1" s="1"/>
  <c r="CI194" i="1" a="1"/>
  <c r="CI194" i="1" s="1"/>
  <c r="CI4" i="1" a="1"/>
  <c r="CI4" i="1" s="1"/>
  <c r="CI149" i="1" a="1"/>
  <c r="CI149" i="1" s="1"/>
  <c r="CI63" i="1" a="1"/>
  <c r="CI63" i="1" s="1"/>
  <c r="CI159" i="1" a="1"/>
  <c r="CI159" i="1" s="1"/>
  <c r="CI123" i="1" a="1"/>
  <c r="CI123" i="1" s="1"/>
  <c r="CI58" i="1" a="1"/>
  <c r="CI58" i="1" s="1"/>
  <c r="CI51" i="1" a="1"/>
  <c r="CI51" i="1" s="1"/>
  <c r="AS63" i="1"/>
  <c r="AU63" i="1" s="1"/>
  <c r="FW86" i="1"/>
  <c r="ES86" i="1"/>
  <c r="DE86" i="1"/>
  <c r="FQ26" i="1"/>
  <c r="EC26" i="1"/>
  <c r="EM26" i="1"/>
  <c r="DY86" i="1"/>
  <c r="CY26" i="1"/>
  <c r="CD85" i="1" a="1"/>
  <c r="CD85" i="1" s="1"/>
  <c r="CD139" i="1" a="1"/>
  <c r="CD139" i="1" s="1"/>
  <c r="CD108" i="1" a="1"/>
  <c r="CD108" i="1" s="1"/>
  <c r="CD129" i="1" a="1"/>
  <c r="CD129" i="1" s="1"/>
  <c r="CD55" i="1" a="1"/>
  <c r="CD55" i="1" s="1"/>
  <c r="CD24" i="1" a="1"/>
  <c r="CD24" i="1" s="1"/>
  <c r="CD20" i="1" a="1"/>
  <c r="CD20" i="1" s="1"/>
  <c r="CD170" i="1" a="1"/>
  <c r="CD170" i="1" s="1"/>
  <c r="CD183" i="1" a="1"/>
  <c r="CD183" i="1" s="1"/>
  <c r="CD138" i="1" a="1"/>
  <c r="CD138" i="1" s="1"/>
  <c r="CD12" i="1" a="1"/>
  <c r="CD12" i="1" s="1"/>
  <c r="CD23" i="1" a="1"/>
  <c r="CD23" i="1" s="1"/>
  <c r="CD193" i="1" a="1"/>
  <c r="CD193" i="1" s="1"/>
  <c r="CD174" i="1" a="1"/>
  <c r="CD174" i="1" s="1"/>
  <c r="CD115" i="1" a="1"/>
  <c r="CD115" i="1" s="1"/>
  <c r="CD204" i="1" a="1"/>
  <c r="CD204" i="1" s="1"/>
  <c r="CD150" i="1" a="1"/>
  <c r="CD150" i="1" s="1"/>
  <c r="CD96" i="1" a="1"/>
  <c r="CD96" i="1" s="1"/>
  <c r="CD26" i="1" a="1"/>
  <c r="CD26" i="1" s="1"/>
  <c r="CD97" i="1" a="1"/>
  <c r="CD97" i="1" s="1"/>
  <c r="CD37" i="1" a="1"/>
  <c r="CD37" i="1" s="1"/>
  <c r="CD143" i="1" a="1"/>
  <c r="CD143" i="1" s="1"/>
  <c r="CD75" i="1" a="1"/>
  <c r="CD75" i="1" s="1"/>
  <c r="CD144" i="1" a="1"/>
  <c r="CD144" i="1" s="1"/>
  <c r="CD181" i="1" a="1"/>
  <c r="CD181" i="1" s="1"/>
  <c r="CD73" i="1" a="1"/>
  <c r="CD73" i="1" s="1"/>
  <c r="CD135" i="1" a="1"/>
  <c r="CD135" i="1" s="1"/>
  <c r="CD192" i="1" a="1"/>
  <c r="CD192" i="1" s="1"/>
  <c r="CD122" i="1" a="1"/>
  <c r="CD122" i="1" s="1"/>
  <c r="CD58" i="1" a="1"/>
  <c r="CD58" i="1" s="1"/>
  <c r="CD152" i="1" a="1"/>
  <c r="CD152" i="1" s="1"/>
  <c r="CD184" i="1" a="1"/>
  <c r="CD184" i="1" s="1"/>
  <c r="CD167" i="1" a="1"/>
  <c r="CD167" i="1" s="1"/>
  <c r="CD132" i="1" a="1"/>
  <c r="CD132" i="1" s="1"/>
  <c r="CD161" i="1" a="1"/>
  <c r="CD161" i="1" s="1"/>
  <c r="CD79" i="1" a="1"/>
  <c r="CD79" i="1" s="1"/>
  <c r="CD16" i="1" a="1"/>
  <c r="CD16" i="1" s="1"/>
  <c r="CD123" i="1" a="1"/>
  <c r="CD123" i="1" s="1"/>
  <c r="CD110" i="1" a="1"/>
  <c r="CD110" i="1" s="1"/>
  <c r="CD186" i="1" a="1"/>
  <c r="CD186" i="1" s="1"/>
  <c r="CD103" i="1" a="1"/>
  <c r="CD103" i="1" s="1"/>
  <c r="CD80" i="1" a="1"/>
  <c r="CD80" i="1" s="1"/>
  <c r="CD198" i="1" a="1"/>
  <c r="CD198" i="1" s="1"/>
  <c r="CD102" i="1" a="1"/>
  <c r="CD102" i="1" s="1"/>
  <c r="CD7" i="1" a="1"/>
  <c r="CD7" i="1" s="1"/>
  <c r="CD56" i="1" a="1"/>
  <c r="CD56" i="1" s="1"/>
  <c r="CD35" i="1" a="1"/>
  <c r="CD35" i="1" s="1"/>
  <c r="CD49" i="1" a="1"/>
  <c r="CD49" i="1" s="1"/>
  <c r="CD201" i="1" a="1"/>
  <c r="CD201" i="1" s="1"/>
  <c r="CD202" i="1" a="1"/>
  <c r="CD202" i="1" s="1"/>
  <c r="CD69" i="1" a="1"/>
  <c r="CD69" i="1" s="1"/>
  <c r="CD52" i="1" a="1"/>
  <c r="CD52" i="1" s="1"/>
  <c r="CD163" i="1" a="1"/>
  <c r="CD163" i="1" s="1"/>
  <c r="CD157" i="1" a="1"/>
  <c r="CD157" i="1" s="1"/>
  <c r="CD131" i="1" a="1"/>
  <c r="CD131" i="1" s="1"/>
  <c r="CD77" i="1" a="1"/>
  <c r="CD77" i="1" s="1"/>
  <c r="CD15" i="1" a="1"/>
  <c r="CD15" i="1" s="1"/>
  <c r="CD127" i="1" a="1"/>
  <c r="CD127" i="1" s="1"/>
  <c r="CD121" i="1" a="1"/>
  <c r="CD121" i="1" s="1"/>
  <c r="CD70" i="1" a="1"/>
  <c r="CD70" i="1" s="1"/>
  <c r="CD116" i="1" a="1"/>
  <c r="CD116" i="1" s="1"/>
  <c r="CD44" i="1" a="1"/>
  <c r="CD44" i="1" s="1"/>
  <c r="CD29" i="1" a="1"/>
  <c r="CD29" i="1" s="1"/>
  <c r="CD113" i="1" a="1"/>
  <c r="CD113" i="1" s="1"/>
  <c r="CD99" i="1" a="1"/>
  <c r="CD99" i="1" s="1"/>
  <c r="CD94" i="1" a="1"/>
  <c r="CD94" i="1" s="1"/>
  <c r="CD104" i="1" a="1"/>
  <c r="CD104" i="1" s="1"/>
  <c r="CD47" i="1" a="1"/>
  <c r="CD47" i="1" s="1"/>
  <c r="CD164" i="1" a="1"/>
  <c r="CD164" i="1" s="1"/>
  <c r="CD36" i="1" a="1"/>
  <c r="CD36" i="1" s="1"/>
  <c r="CD3" i="1" a="1"/>
  <c r="CD3" i="1" s="1"/>
  <c r="CD134" i="1" a="1"/>
  <c r="CD134" i="1" s="1"/>
  <c r="CD112" i="1" a="1"/>
  <c r="CD112" i="1" s="1"/>
  <c r="CD8" i="1" a="1"/>
  <c r="CD8" i="1" s="1"/>
  <c r="FM86" i="1"/>
  <c r="FG26" i="1"/>
  <c r="CI91" i="1" a="1"/>
  <c r="CI91" i="1" s="1"/>
  <c r="CI127" i="1" a="1"/>
  <c r="CI127" i="1" s="1"/>
  <c r="CI75" i="1" a="1"/>
  <c r="CI75" i="1" s="1"/>
  <c r="CI153" i="1" a="1"/>
  <c r="CI153" i="1" s="1"/>
  <c r="CK44" i="1" a="1"/>
  <c r="CK44" i="1" s="1"/>
  <c r="CK99" i="1" a="1"/>
  <c r="CK99" i="1" s="1"/>
  <c r="CK16" i="1" a="1"/>
  <c r="CK16" i="1" s="1"/>
  <c r="CK20" i="1" a="1"/>
  <c r="CK20" i="1" s="1"/>
  <c r="CK142" i="1" a="1"/>
  <c r="CK142" i="1" s="1"/>
  <c r="CK76" i="1" a="1"/>
  <c r="CK76" i="1" s="1"/>
  <c r="CK140" i="1" a="1"/>
  <c r="CK140" i="1" s="1"/>
  <c r="CK169" i="1" a="1"/>
  <c r="CK169" i="1" s="1"/>
  <c r="CK187" i="1" a="1"/>
  <c r="CK187" i="1" s="1"/>
  <c r="CK55" i="1" a="1"/>
  <c r="CK55" i="1" s="1"/>
  <c r="CK58" i="1" a="1"/>
  <c r="CK58" i="1" s="1"/>
  <c r="CK145" i="1" a="1"/>
  <c r="CK145" i="1" s="1"/>
  <c r="CK71" i="1" a="1"/>
  <c r="CK71" i="1" s="1"/>
  <c r="CK79" i="1" a="1"/>
  <c r="CK79" i="1" s="1"/>
  <c r="CK81" i="1" a="1"/>
  <c r="CK81" i="1" s="1"/>
  <c r="CK163" i="1" a="1"/>
  <c r="CK163" i="1" s="1"/>
  <c r="CK162" i="1" a="1"/>
  <c r="CK162" i="1" s="1"/>
  <c r="CK170" i="1" a="1"/>
  <c r="CK170" i="1" s="1"/>
  <c r="CK174" i="1" a="1"/>
  <c r="CK174" i="1" s="1"/>
  <c r="CK38" i="1" a="1"/>
  <c r="CK38" i="1" s="1"/>
  <c r="CK95" i="1" a="1"/>
  <c r="CK95" i="1" s="1"/>
  <c r="CK182" i="1" a="1"/>
  <c r="CK182" i="1" s="1"/>
  <c r="CK111" i="1" a="1"/>
  <c r="CK111" i="1" s="1"/>
  <c r="CK45" i="1" a="1"/>
  <c r="CK45" i="1" s="1"/>
  <c r="CK189" i="1" a="1"/>
  <c r="CK189" i="1" s="1"/>
  <c r="CK80" i="1" a="1"/>
  <c r="CK80" i="1" s="1"/>
  <c r="CK83" i="1" a="1"/>
  <c r="CK83" i="1" s="1"/>
  <c r="CK51" i="1" a="1"/>
  <c r="CK51" i="1" s="1"/>
  <c r="CK53" i="1" a="1"/>
  <c r="CK53" i="1" s="1"/>
  <c r="CK23" i="1" a="1"/>
  <c r="CK23" i="1" s="1"/>
  <c r="CK128" i="1" a="1"/>
  <c r="CK128" i="1" s="1"/>
  <c r="CK102" i="1" a="1"/>
  <c r="CK102" i="1" s="1"/>
  <c r="CK123" i="1" a="1"/>
  <c r="CK123" i="1" s="1"/>
  <c r="CK94" i="1" a="1"/>
  <c r="CK94" i="1" s="1"/>
  <c r="CK7" i="1" a="1"/>
  <c r="CK7" i="1" s="1"/>
  <c r="CK204" i="1" a="1"/>
  <c r="CK204" i="1" s="1"/>
  <c r="CK70" i="1" a="1"/>
  <c r="CK70" i="1" s="1"/>
  <c r="CK121" i="1" a="1"/>
  <c r="CK121" i="1" s="1"/>
  <c r="CK84" i="1" a="1"/>
  <c r="CK84" i="1" s="1"/>
  <c r="CK125" i="1" a="1"/>
  <c r="CK125" i="1" s="1"/>
  <c r="CK196" i="1" a="1"/>
  <c r="CK196" i="1" s="1"/>
  <c r="CK199" i="1" a="1"/>
  <c r="CK199" i="1" s="1"/>
  <c r="CK200" i="1" a="1"/>
  <c r="CK200" i="1" s="1"/>
  <c r="CK117" i="1" a="1"/>
  <c r="CK117" i="1" s="1"/>
  <c r="CK175" i="1" a="1"/>
  <c r="CK175" i="1" s="1"/>
  <c r="CK110" i="1" a="1"/>
  <c r="CK110" i="1" s="1"/>
  <c r="CK146" i="1" a="1"/>
  <c r="CK146" i="1" s="1"/>
  <c r="CK171" i="1" a="1"/>
  <c r="CK171" i="1" s="1"/>
  <c r="CK91" i="1" a="1"/>
  <c r="CK91" i="1" s="1"/>
  <c r="CK49" i="1" a="1"/>
  <c r="CK49" i="1" s="1"/>
  <c r="CK108" i="1" a="1"/>
  <c r="CK108" i="1" s="1"/>
  <c r="CK65" i="1" a="1"/>
  <c r="CK65" i="1" s="1"/>
  <c r="CK120" i="1" a="1"/>
  <c r="CK120" i="1" s="1"/>
  <c r="CK195" i="1" a="1"/>
  <c r="CK195" i="1" s="1"/>
  <c r="AT63" i="1"/>
  <c r="CF110" i="1" a="1"/>
  <c r="CF110" i="1" s="1"/>
  <c r="CF20" i="1" a="1"/>
  <c r="CF20" i="1" s="1"/>
  <c r="CF137" i="1" a="1"/>
  <c r="CF137" i="1" s="1"/>
  <c r="CF102" i="1" a="1"/>
  <c r="CF102" i="1" s="1"/>
  <c r="CF128" i="1" a="1"/>
  <c r="CF128" i="1" s="1"/>
  <c r="CF142" i="1" a="1"/>
  <c r="CF142" i="1" s="1"/>
  <c r="CF4" i="1" a="1"/>
  <c r="CF4" i="1" s="1"/>
  <c r="CF167" i="1" a="1"/>
  <c r="CF167" i="1" s="1"/>
  <c r="CF53" i="1" a="1"/>
  <c r="CF53" i="1" s="1"/>
  <c r="CF161" i="1" a="1"/>
  <c r="CF161" i="1" s="1"/>
  <c r="CF65" i="1" a="1"/>
  <c r="CF65" i="1" s="1"/>
  <c r="CF127" i="1" a="1"/>
  <c r="CF127" i="1" s="1"/>
  <c r="CF118" i="1" a="1"/>
  <c r="CF118" i="1" s="1"/>
  <c r="CF27" i="1" a="1"/>
  <c r="CF27" i="1" s="1"/>
  <c r="CF90" i="1" a="1"/>
  <c r="CF90" i="1" s="1"/>
  <c r="CF200" i="1" a="1"/>
  <c r="CF200" i="1" s="1"/>
  <c r="CF158" i="1" a="1"/>
  <c r="CF158" i="1" s="1"/>
  <c r="CF164" i="1" a="1"/>
  <c r="CF164" i="1" s="1"/>
  <c r="CF182" i="1" a="1"/>
  <c r="CF182" i="1" s="1"/>
  <c r="CF54" i="1" a="1"/>
  <c r="CF54" i="1" s="1"/>
  <c r="CF141" i="1" a="1"/>
  <c r="CF141" i="1" s="1"/>
  <c r="CF7" i="1" a="1"/>
  <c r="CF7" i="1" s="1"/>
  <c r="CF168" i="1" a="1"/>
  <c r="CF168" i="1" s="1"/>
  <c r="CF116" i="1" a="1"/>
  <c r="CF116" i="1" s="1"/>
  <c r="CF56" i="1" a="1"/>
  <c r="CF56" i="1" s="1"/>
  <c r="CF154" i="1" a="1"/>
  <c r="CF154" i="1" s="1"/>
  <c r="CF5" i="1" a="1"/>
  <c r="CF5" i="1" s="1"/>
  <c r="CF163" i="1" a="1"/>
  <c r="CF163" i="1" s="1"/>
  <c r="CF109" i="1" a="1"/>
  <c r="CF109" i="1" s="1"/>
  <c r="CF197" i="1" a="1"/>
  <c r="CF197" i="1" s="1"/>
  <c r="CF152" i="1" a="1"/>
  <c r="CF152" i="1" s="1"/>
  <c r="CF174" i="1" a="1"/>
  <c r="CF174" i="1" s="1"/>
  <c r="CF75" i="1" a="1"/>
  <c r="CF75" i="1" s="1"/>
  <c r="CF11" i="1" a="1"/>
  <c r="CF11" i="1" s="1"/>
  <c r="CF17" i="1" a="1"/>
  <c r="CF17" i="1" s="1"/>
  <c r="CF114" i="1" a="1"/>
  <c r="CF114" i="1" s="1"/>
  <c r="CF177" i="1" a="1"/>
  <c r="CF177" i="1" s="1"/>
  <c r="CF46" i="1" a="1"/>
  <c r="CF46" i="1" s="1"/>
  <c r="CF124" i="1" a="1"/>
  <c r="CF124" i="1" s="1"/>
  <c r="CF187" i="1" a="1"/>
  <c r="CF187" i="1" s="1"/>
  <c r="CF121" i="1" a="1"/>
  <c r="CF121" i="1" s="1"/>
  <c r="CF159" i="1" a="1"/>
  <c r="CF159" i="1" s="1"/>
  <c r="CF201" i="1" a="1"/>
  <c r="CF201" i="1" s="1"/>
  <c r="CF132" i="1" a="1"/>
  <c r="CF132" i="1" s="1"/>
  <c r="CF51" i="1" a="1"/>
  <c r="CF51" i="1" s="1"/>
  <c r="CF26" i="1" a="1"/>
  <c r="CF26" i="1" s="1"/>
  <c r="CF82" i="1" a="1"/>
  <c r="CF82" i="1" s="1"/>
  <c r="CF69" i="1" a="1"/>
  <c r="CF69" i="1" s="1"/>
  <c r="CF188" i="1" a="1"/>
  <c r="CF188" i="1" s="1"/>
  <c r="CF119" i="1" a="1"/>
  <c r="CF119" i="1" s="1"/>
  <c r="CF24" i="1" a="1"/>
  <c r="CF24" i="1" s="1"/>
  <c r="CF60" i="1" a="1"/>
  <c r="CF60" i="1" s="1"/>
  <c r="CF186" i="1" a="1"/>
  <c r="CF186" i="1" s="1"/>
  <c r="CF198" i="1" a="1"/>
  <c r="CF198" i="1" s="1"/>
  <c r="CF72" i="1" a="1"/>
  <c r="CF72" i="1" s="1"/>
  <c r="CF78" i="1" a="1"/>
  <c r="CF78" i="1" s="1"/>
  <c r="CF140" i="1" a="1"/>
  <c r="CF140" i="1" s="1"/>
  <c r="CF183" i="1" a="1"/>
  <c r="CF183" i="1" s="1"/>
  <c r="CF47" i="1" a="1"/>
  <c r="CF47" i="1" s="1"/>
  <c r="CF108" i="1" a="1"/>
  <c r="CF108" i="1" s="1"/>
  <c r="CF175" i="1" a="1"/>
  <c r="CF175" i="1" s="1"/>
  <c r="CF191" i="1" a="1"/>
  <c r="CF191" i="1" s="1"/>
  <c r="CF126" i="1" a="1"/>
  <c r="CF126" i="1" s="1"/>
  <c r="CJ100" i="1" a="1"/>
  <c r="CJ100" i="1" s="1"/>
  <c r="CJ129" i="1" a="1"/>
  <c r="CJ129" i="1" s="1"/>
  <c r="CJ151" i="1" a="1"/>
  <c r="CJ151" i="1" s="1"/>
  <c r="CJ119" i="1" a="1"/>
  <c r="CJ119" i="1" s="1"/>
  <c r="CJ93" i="1" a="1"/>
  <c r="CJ93" i="1" s="1"/>
  <c r="CJ189" i="1" a="1"/>
  <c r="CJ189" i="1" s="1"/>
  <c r="CJ63" i="1" a="1"/>
  <c r="CJ63" i="1" s="1"/>
  <c r="CJ49" i="1" a="1"/>
  <c r="CJ49" i="1" s="1"/>
  <c r="CJ153" i="1" a="1"/>
  <c r="CJ153" i="1" s="1"/>
  <c r="CJ65" i="1" a="1"/>
  <c r="CJ65" i="1" s="1"/>
  <c r="CJ154" i="1" a="1"/>
  <c r="CJ154" i="1" s="1"/>
  <c r="CJ194" i="1" a="1"/>
  <c r="CJ194" i="1" s="1"/>
  <c r="CJ192" i="1" a="1"/>
  <c r="CJ192" i="1" s="1"/>
  <c r="CJ201" i="1" a="1"/>
  <c r="CJ201" i="1" s="1"/>
  <c r="CJ125" i="1" a="1"/>
  <c r="CJ125" i="1" s="1"/>
  <c r="CJ84" i="1" a="1"/>
  <c r="CJ84" i="1" s="1"/>
  <c r="CJ141" i="1" a="1"/>
  <c r="CJ141" i="1" s="1"/>
  <c r="CJ50" i="1" a="1"/>
  <c r="CJ50" i="1" s="1"/>
  <c r="CJ29" i="1" a="1"/>
  <c r="CJ29" i="1" s="1"/>
  <c r="CJ124" i="1" a="1"/>
  <c r="CJ124" i="1" s="1"/>
  <c r="CJ159" i="1" a="1"/>
  <c r="CJ159" i="1" s="1"/>
  <c r="CJ44" i="1" a="1"/>
  <c r="CJ44" i="1" s="1"/>
  <c r="CJ90" i="1" a="1"/>
  <c r="CJ90" i="1" s="1"/>
  <c r="CG79" i="1" a="1"/>
  <c r="CG79" i="1" s="1"/>
  <c r="CG52" i="1" a="1"/>
  <c r="CG52" i="1" s="1"/>
  <c r="CG185" i="1" a="1"/>
  <c r="CG185" i="1" s="1"/>
  <c r="CG189" i="1" a="1"/>
  <c r="CG189" i="1" s="1"/>
  <c r="CG45" i="1" a="1"/>
  <c r="CG45" i="1" s="1"/>
  <c r="CG17" i="1" a="1"/>
  <c r="CG17" i="1" s="1"/>
  <c r="CG3" i="1" a="1"/>
  <c r="CG3" i="1" s="1"/>
  <c r="DY3" i="1"/>
  <c r="DY178" i="1"/>
  <c r="DY4" i="1"/>
  <c r="DY163" i="1"/>
  <c r="DY89" i="1"/>
  <c r="DY194" i="1"/>
  <c r="DY67" i="1"/>
  <c r="DY8" i="1"/>
  <c r="DY66" i="1"/>
  <c r="DY94" i="1"/>
  <c r="DY82" i="1"/>
  <c r="DY60" i="1"/>
  <c r="DY134" i="1"/>
  <c r="DY144" i="1"/>
  <c r="DY114" i="1"/>
  <c r="DY68" i="1"/>
  <c r="DY149" i="1"/>
  <c r="DY45" i="1"/>
  <c r="DY205" i="1"/>
  <c r="DY75" i="1"/>
  <c r="DY189" i="1"/>
  <c r="FK63" i="1"/>
  <c r="AT49" i="1"/>
  <c r="L49" i="1"/>
  <c r="AS49" i="1"/>
  <c r="AU49" i="1" s="1"/>
  <c r="L107" i="1"/>
  <c r="AT107" i="1"/>
  <c r="AS107" i="1"/>
  <c r="AU107" i="1" s="1"/>
  <c r="DY49" i="1"/>
  <c r="DY142" i="1"/>
  <c r="DY204" i="1"/>
  <c r="DY77" i="1"/>
  <c r="DY131" i="1"/>
  <c r="DY160" i="1"/>
  <c r="DY140" i="1"/>
  <c r="DY201" i="1"/>
  <c r="DY184" i="1"/>
  <c r="DY58" i="1"/>
  <c r="DY132" i="1"/>
  <c r="DY166" i="1"/>
  <c r="DY162" i="1"/>
  <c r="DY156" i="1"/>
  <c r="DY51" i="1"/>
  <c r="DY46" i="1"/>
  <c r="AS3" i="1"/>
  <c r="AU3" i="1" s="1"/>
  <c r="DM63" i="1"/>
  <c r="L98" i="1"/>
  <c r="AT98" i="1"/>
  <c r="AS98" i="1"/>
  <c r="AU98" i="1" s="1"/>
  <c r="DY167" i="1"/>
  <c r="AT83" i="1"/>
  <c r="DY31" i="1"/>
  <c r="DY103" i="1"/>
  <c r="DY35" i="1"/>
  <c r="DY138" i="1"/>
  <c r="DY172" i="1"/>
  <c r="DY115" i="1"/>
  <c r="DY26" i="1"/>
  <c r="DY81" i="1"/>
  <c r="DY102" i="1"/>
  <c r="DY193" i="1"/>
  <c r="DY164" i="1"/>
  <c r="DY111" i="1"/>
  <c r="DY55" i="1"/>
  <c r="DY25" i="1"/>
  <c r="DY170" i="1"/>
  <c r="DY146" i="1"/>
  <c r="DY148" i="1"/>
  <c r="DY101" i="1"/>
  <c r="DY122" i="1"/>
  <c r="DY38" i="1"/>
  <c r="DY165" i="1"/>
  <c r="DY85" i="1"/>
  <c r="DY152" i="1"/>
  <c r="DW63" i="1"/>
  <c r="DY108" i="1"/>
  <c r="DC63" i="1"/>
  <c r="AS83" i="1"/>
  <c r="AU83" i="1" s="1"/>
  <c r="DY7" i="1"/>
  <c r="DY47" i="1"/>
  <c r="DY147" i="1"/>
  <c r="FA63" i="1"/>
  <c r="DY197" i="1"/>
  <c r="DY70" i="1"/>
  <c r="DY161" i="1"/>
  <c r="DY11" i="1"/>
  <c r="DY192" i="1"/>
  <c r="DY187" i="1"/>
  <c r="DY158" i="1"/>
  <c r="DY169" i="1"/>
  <c r="DY92" i="1"/>
  <c r="DY91" i="1"/>
  <c r="DY127" i="1"/>
  <c r="DY54" i="1"/>
  <c r="DY56" i="1"/>
  <c r="DY198" i="1"/>
  <c r="DY179" i="1"/>
  <c r="DY200" i="1"/>
  <c r="DY121" i="1"/>
  <c r="AT3" i="1"/>
  <c r="DY145" i="1"/>
  <c r="DY130" i="1"/>
  <c r="DY29" i="1"/>
  <c r="DY98" i="1"/>
  <c r="DY20" i="1"/>
  <c r="DY129" i="1"/>
  <c r="DY88" i="1"/>
  <c r="DY15" i="1"/>
  <c r="DY10" i="1"/>
  <c r="DY90" i="1"/>
  <c r="DY73" i="1"/>
  <c r="DY100" i="1"/>
  <c r="DY128" i="1"/>
  <c r="DY64" i="1"/>
  <c r="DY154" i="1"/>
  <c r="DY12" i="1"/>
  <c r="DY84" i="1"/>
  <c r="DY76" i="1"/>
  <c r="DY181" i="1"/>
  <c r="DY157" i="1"/>
  <c r="DY159" i="1"/>
  <c r="DY182" i="1"/>
  <c r="DY174" i="1"/>
  <c r="DY109" i="1"/>
  <c r="DY137" i="1"/>
  <c r="DY120" i="1"/>
  <c r="DY117" i="1"/>
  <c r="DY186" i="1"/>
  <c r="DY151" i="1"/>
  <c r="DY177" i="1"/>
  <c r="DY44" i="1"/>
  <c r="DY53" i="1"/>
  <c r="DY155" i="1"/>
  <c r="DY65" i="1"/>
  <c r="DY96" i="1"/>
  <c r="DY123" i="1"/>
  <c r="DY168" i="1"/>
  <c r="DY143" i="1"/>
  <c r="DY176" i="1"/>
  <c r="DY71" i="1"/>
  <c r="DY191" i="1"/>
  <c r="ID37" i="1"/>
  <c r="GP29" i="1"/>
  <c r="GP89" i="1"/>
  <c r="HU71" i="1"/>
  <c r="KC71" i="1"/>
  <c r="ID43" i="1"/>
  <c r="ID60" i="1"/>
  <c r="ID31" i="1"/>
  <c r="ID30" i="1"/>
  <c r="HU8" i="1"/>
  <c r="HU59" i="1"/>
  <c r="HU6" i="1"/>
  <c r="HU42" i="1"/>
  <c r="HU51" i="1"/>
  <c r="JR60" i="1"/>
  <c r="JR31" i="1"/>
  <c r="JR30" i="1"/>
  <c r="GP30" i="1"/>
  <c r="GP31" i="1"/>
  <c r="GP60" i="1"/>
  <c r="KB54" i="1"/>
  <c r="KB31" i="1"/>
  <c r="KB60" i="1"/>
  <c r="KB30" i="1"/>
  <c r="KC42" i="1"/>
  <c r="KC8" i="1"/>
  <c r="KC59" i="1"/>
  <c r="KC51" i="1"/>
  <c r="KC6" i="1"/>
  <c r="GF13" i="1"/>
  <c r="GF31" i="1"/>
  <c r="GF60" i="1"/>
  <c r="IY1" i="1"/>
  <c r="IY44" i="1" s="1"/>
  <c r="IX30" i="1"/>
  <c r="IX31" i="1"/>
  <c r="IX37" i="1"/>
  <c r="IX60" i="1"/>
  <c r="IN31" i="1"/>
  <c r="IN30" i="1"/>
  <c r="IN60" i="1"/>
  <c r="JH31" i="1"/>
  <c r="JH60" i="1"/>
  <c r="GZ31" i="1"/>
  <c r="GZ30" i="1"/>
  <c r="GZ60" i="1"/>
  <c r="HJ43" i="1"/>
  <c r="HJ31" i="1"/>
  <c r="HJ60" i="1"/>
  <c r="HJ30" i="1"/>
  <c r="HJ37" i="1"/>
  <c r="IX70" i="1"/>
  <c r="IX43" i="1"/>
  <c r="IX71" i="1"/>
  <c r="DP85" i="1"/>
  <c r="ET85" i="1"/>
  <c r="DZ85" i="1"/>
  <c r="IX45" i="1"/>
  <c r="IX53" i="1"/>
  <c r="FN85" i="1"/>
  <c r="KB86" i="1"/>
  <c r="KB42" i="1"/>
  <c r="KB26" i="1"/>
  <c r="KB55" i="1"/>
  <c r="KC27" i="1"/>
  <c r="KC29" i="1"/>
  <c r="KC56" i="1"/>
  <c r="HU27" i="1"/>
  <c r="HU29" i="1"/>
  <c r="KB10" i="1"/>
  <c r="KB49" i="1"/>
  <c r="KB63" i="1"/>
  <c r="GG17" i="1"/>
  <c r="IO17" i="1"/>
  <c r="KB13" i="1"/>
  <c r="HU16" i="1"/>
  <c r="HU17" i="1"/>
  <c r="JI17" i="1"/>
  <c r="KC16" i="1"/>
  <c r="KC17" i="1"/>
  <c r="KB20" i="1"/>
  <c r="KB46" i="1"/>
  <c r="IX46" i="1"/>
  <c r="IX63" i="1"/>
  <c r="IX72" i="1"/>
  <c r="IX13" i="1"/>
  <c r="IX29" i="1"/>
  <c r="IX54" i="1"/>
  <c r="IX20" i="1"/>
  <c r="IX10" i="1"/>
  <c r="IX49" i="1"/>
  <c r="GP49" i="1"/>
  <c r="GP63" i="1"/>
  <c r="GP13" i="1"/>
  <c r="GP20" i="1"/>
  <c r="GP10" i="1"/>
  <c r="GP46" i="1"/>
  <c r="GP54" i="1"/>
  <c r="IN49" i="1"/>
  <c r="IN63" i="1"/>
  <c r="IN13" i="1"/>
  <c r="IN46" i="1"/>
  <c r="IN10" i="1"/>
  <c r="IN20" i="1"/>
  <c r="IN54" i="1"/>
  <c r="JH63" i="1"/>
  <c r="JH49" i="1"/>
  <c r="JH20" i="1"/>
  <c r="JH54" i="1"/>
  <c r="JH13" i="1"/>
  <c r="JH10" i="1"/>
  <c r="GG47" i="1"/>
  <c r="GG85" i="1"/>
  <c r="HU79" i="1"/>
  <c r="HU44" i="1"/>
  <c r="HU7" i="1"/>
  <c r="HU85" i="1"/>
  <c r="HU56" i="1"/>
  <c r="HU47" i="1"/>
  <c r="HU84" i="1"/>
  <c r="GZ49" i="1"/>
  <c r="GZ10" i="1"/>
  <c r="GZ20" i="1"/>
  <c r="GZ54" i="1"/>
  <c r="GZ63" i="1"/>
  <c r="GZ13" i="1"/>
  <c r="GZ29" i="1"/>
  <c r="GZ46" i="1"/>
  <c r="ID70" i="1"/>
  <c r="ID49" i="1"/>
  <c r="ID10" i="1"/>
  <c r="ID20" i="1"/>
  <c r="ID54" i="1"/>
  <c r="ID72" i="1"/>
  <c r="ID46" i="1"/>
  <c r="ID63" i="1"/>
  <c r="ID13" i="1"/>
  <c r="HJ70" i="1"/>
  <c r="HJ49" i="1"/>
  <c r="HJ20" i="1"/>
  <c r="HJ54" i="1"/>
  <c r="HJ63" i="1"/>
  <c r="HJ13" i="1"/>
  <c r="HJ46" i="1"/>
  <c r="HJ72" i="1"/>
  <c r="HJ10" i="1"/>
  <c r="JR49" i="1"/>
  <c r="JR10" i="1"/>
  <c r="JR20" i="1"/>
  <c r="JR54" i="1"/>
  <c r="JR13" i="1"/>
  <c r="JR46" i="1"/>
  <c r="JR63" i="1"/>
  <c r="KC85" i="1"/>
  <c r="KC47" i="1"/>
  <c r="KC7" i="1"/>
  <c r="KC60" i="1"/>
  <c r="KC44" i="1"/>
  <c r="KC84" i="1"/>
  <c r="IO85" i="1"/>
  <c r="IO47" i="1"/>
  <c r="ID44" i="1"/>
  <c r="HJ44" i="1"/>
  <c r="HJ50" i="1"/>
  <c r="KC49" i="1"/>
  <c r="KC79" i="1"/>
  <c r="HU61" i="1"/>
  <c r="HU69" i="1"/>
  <c r="HU72" i="1"/>
  <c r="HU43" i="1"/>
  <c r="HU52" i="1"/>
  <c r="HU54" i="1"/>
  <c r="HU23" i="1"/>
  <c r="HU11" i="1"/>
  <c r="HU53" i="1"/>
  <c r="GZ71" i="1"/>
  <c r="GZ68" i="1"/>
  <c r="GZ26" i="1"/>
  <c r="GZ38" i="1"/>
  <c r="GZ85" i="1"/>
  <c r="GZ79" i="1"/>
  <c r="GZ17" i="1"/>
  <c r="GZ58" i="1"/>
  <c r="GZ67" i="1"/>
  <c r="GZ7" i="1"/>
  <c r="GZ42" i="1"/>
  <c r="GZ55" i="1"/>
  <c r="GZ86" i="1"/>
  <c r="IN55" i="1"/>
  <c r="IN58" i="1"/>
  <c r="IN85" i="1"/>
  <c r="IN42" i="1"/>
  <c r="IN67" i="1"/>
  <c r="IN17" i="1"/>
  <c r="IN86" i="1"/>
  <c r="IN38" i="1"/>
  <c r="IN68" i="1"/>
  <c r="IN7" i="1"/>
  <c r="IN26" i="1"/>
  <c r="JH67" i="1"/>
  <c r="JH7" i="1"/>
  <c r="JH68" i="1"/>
  <c r="JH58" i="1"/>
  <c r="JH38" i="1"/>
  <c r="JH55" i="1"/>
  <c r="JH86" i="1"/>
  <c r="JH26" i="1"/>
  <c r="JH85" i="1"/>
  <c r="JH17" i="1"/>
  <c r="JH42" i="1"/>
  <c r="JI72" i="1"/>
  <c r="JI69" i="1"/>
  <c r="HU66" i="1"/>
  <c r="IO72" i="1"/>
  <c r="IO23" i="1"/>
  <c r="ID80" i="1"/>
  <c r="ID68" i="1"/>
  <c r="ID38" i="1"/>
  <c r="ID58" i="1"/>
  <c r="ID79" i="1"/>
  <c r="ID47" i="1"/>
  <c r="ID26" i="1"/>
  <c r="ID67" i="1"/>
  <c r="ID55" i="1"/>
  <c r="ID42" i="1"/>
  <c r="ID7" i="1"/>
  <c r="ID86" i="1"/>
  <c r="ID17" i="1"/>
  <c r="ID85" i="1"/>
  <c r="HJ16" i="1"/>
  <c r="HJ86" i="1"/>
  <c r="HJ67" i="1"/>
  <c r="HJ7" i="1"/>
  <c r="HJ55" i="1"/>
  <c r="HJ42" i="1"/>
  <c r="HJ38" i="1"/>
  <c r="HJ85" i="1"/>
  <c r="HJ79" i="1"/>
  <c r="HJ68" i="1"/>
  <c r="HJ58" i="1"/>
  <c r="HJ26" i="1"/>
  <c r="HJ17" i="1"/>
  <c r="HJ47" i="1"/>
  <c r="GG23" i="1"/>
  <c r="GG72" i="1"/>
  <c r="JR86" i="1"/>
  <c r="JR85" i="1"/>
  <c r="JR42" i="1"/>
  <c r="JR79" i="1"/>
  <c r="JR26" i="1"/>
  <c r="JR55" i="1"/>
  <c r="JR17" i="1"/>
  <c r="JR7" i="1"/>
  <c r="JR38" i="1"/>
  <c r="JR68" i="1"/>
  <c r="JR67" i="1"/>
  <c r="JR58" i="1"/>
  <c r="GP44" i="1"/>
  <c r="GP68" i="1"/>
  <c r="GP85" i="1"/>
  <c r="GP86" i="1"/>
  <c r="GP7" i="1"/>
  <c r="GP26" i="1"/>
  <c r="GP58" i="1"/>
  <c r="GP38" i="1"/>
  <c r="GP67" i="1"/>
  <c r="GP55" i="1"/>
  <c r="GP42" i="1"/>
  <c r="GP79" i="1"/>
  <c r="GP17" i="1"/>
  <c r="HU49" i="1"/>
  <c r="KD1" i="1"/>
  <c r="KC72" i="1"/>
  <c r="KC11" i="1"/>
  <c r="KC53" i="1"/>
  <c r="KC69" i="1"/>
  <c r="KC54" i="1"/>
  <c r="KC25" i="1"/>
  <c r="KC52" i="1"/>
  <c r="KC23" i="1"/>
  <c r="KC43" i="1"/>
  <c r="IX58" i="1"/>
  <c r="IX55" i="1"/>
  <c r="IX67" i="1"/>
  <c r="IX85" i="1"/>
  <c r="IX38" i="1"/>
  <c r="IX86" i="1"/>
  <c r="IX68" i="1"/>
  <c r="IX42" i="1"/>
  <c r="IX26" i="1"/>
  <c r="IX17" i="1"/>
  <c r="IX79" i="1"/>
  <c r="IX47" i="1"/>
  <c r="IX7" i="1"/>
  <c r="HJ8" i="1"/>
  <c r="KC73" i="1"/>
  <c r="ID71" i="1"/>
  <c r="ID8" i="1"/>
  <c r="ID81" i="1"/>
  <c r="IX23" i="1"/>
  <c r="IX8" i="1"/>
  <c r="IX16" i="1"/>
  <c r="KC63" i="1"/>
  <c r="HU36" i="1"/>
  <c r="HU38" i="1"/>
  <c r="GZ27" i="1"/>
  <c r="GZ70" i="1"/>
  <c r="HV1" i="1"/>
  <c r="HU82" i="1"/>
  <c r="GZ43" i="1"/>
  <c r="HU64" i="1"/>
  <c r="HU83" i="1"/>
  <c r="GZ52" i="1"/>
  <c r="HJ71" i="1"/>
  <c r="HJ23" i="1"/>
  <c r="HJ59" i="1"/>
  <c r="HJ45" i="1"/>
  <c r="HK1" i="1"/>
  <c r="HK4" i="1" s="1"/>
  <c r="HJ53" i="1"/>
  <c r="GP43" i="1"/>
  <c r="GP70" i="1"/>
  <c r="GP52" i="1"/>
  <c r="GP27" i="1"/>
  <c r="GP76" i="1"/>
  <c r="GP59" i="1"/>
  <c r="GP35" i="1"/>
  <c r="KC36" i="1"/>
  <c r="KC37" i="1"/>
  <c r="KC77" i="1"/>
  <c r="KC82" i="1"/>
  <c r="KC12" i="1"/>
  <c r="KC83" i="1"/>
  <c r="KC38" i="1"/>
  <c r="ID53" i="1"/>
  <c r="ID23" i="1"/>
  <c r="ID59" i="1"/>
  <c r="ID16" i="1"/>
  <c r="ID45" i="1"/>
  <c r="IE1" i="1"/>
  <c r="IE4" i="1" s="1"/>
  <c r="ID50" i="1"/>
  <c r="KC61" i="1"/>
  <c r="HU12" i="1"/>
  <c r="HU77" i="1"/>
  <c r="HU37" i="1"/>
  <c r="KC65" i="1"/>
  <c r="KC66" i="1"/>
  <c r="KC58" i="1"/>
  <c r="HV47" i="1"/>
  <c r="KC55" i="1"/>
  <c r="KC5" i="1"/>
  <c r="KC46" i="1"/>
  <c r="KC20" i="1"/>
  <c r="KC3" i="1"/>
  <c r="KC64" i="1"/>
  <c r="KD47" i="1"/>
  <c r="KC30" i="1"/>
  <c r="IY83" i="1"/>
  <c r="KC24" i="1"/>
  <c r="IO83" i="1"/>
  <c r="GZ56" i="1"/>
  <c r="GZ44" i="1"/>
  <c r="HU55" i="1"/>
  <c r="HU46" i="1"/>
  <c r="GZ76" i="1"/>
  <c r="HU24" i="1"/>
  <c r="HU73" i="1"/>
  <c r="HU3" i="1"/>
  <c r="GZ35" i="1"/>
  <c r="HU30" i="1"/>
  <c r="GP61" i="1"/>
  <c r="GP71" i="1"/>
  <c r="KC75" i="1"/>
  <c r="KC62" i="1"/>
  <c r="GP81" i="1"/>
  <c r="JR80" i="1"/>
  <c r="JR71" i="1"/>
  <c r="JR61" i="1"/>
  <c r="JR81" i="1"/>
  <c r="HU75" i="1"/>
  <c r="HU62" i="1"/>
  <c r="GZ81" i="1"/>
  <c r="GZ61" i="1"/>
  <c r="GZ80" i="1"/>
  <c r="GP80" i="1"/>
  <c r="B3" i="6" a="1"/>
  <c r="B3" i="6" s="1"/>
  <c r="IO81" i="1"/>
  <c r="GZ37" i="1"/>
  <c r="GZ59" i="1"/>
  <c r="GZ50" i="1"/>
  <c r="GZ77" i="1"/>
  <c r="GZ72" i="1"/>
  <c r="GZ8" i="1"/>
  <c r="GZ75" i="1"/>
  <c r="GZ16" i="1"/>
  <c r="GZ47" i="1"/>
  <c r="GZ23" i="1"/>
  <c r="GZ45" i="1"/>
  <c r="GZ53" i="1"/>
  <c r="HA1" i="1"/>
  <c r="HA4" i="1" s="1"/>
  <c r="IO5" i="1"/>
  <c r="GP56" i="1"/>
  <c r="GP23" i="1"/>
  <c r="GP77" i="1"/>
  <c r="GP16" i="1"/>
  <c r="GP53" i="1"/>
  <c r="GP50" i="1"/>
  <c r="GP75" i="1"/>
  <c r="GP45" i="1"/>
  <c r="GP47" i="1"/>
  <c r="GP37" i="1"/>
  <c r="GQ1" i="1"/>
  <c r="GQ4" i="1" s="1"/>
  <c r="GP72" i="1"/>
  <c r="GP8" i="1"/>
  <c r="HU63" i="1"/>
  <c r="HU58" i="1"/>
  <c r="HU5" i="1"/>
  <c r="HU65" i="1"/>
  <c r="HU20" i="1"/>
  <c r="KD49" i="1"/>
  <c r="JR29" i="1"/>
  <c r="JR52" i="1"/>
  <c r="JR76" i="1"/>
  <c r="JR27" i="1"/>
  <c r="JR43" i="1"/>
  <c r="JR62" i="1"/>
  <c r="JR70" i="1"/>
  <c r="JR82" i="1"/>
  <c r="JR83" i="1"/>
  <c r="JR35" i="1"/>
  <c r="JR8" i="1"/>
  <c r="JR44" i="1"/>
  <c r="JR53" i="1"/>
  <c r="JR56" i="1"/>
  <c r="JR45" i="1"/>
  <c r="JR16" i="1"/>
  <c r="JR37" i="1"/>
  <c r="JR50" i="1"/>
  <c r="JR47" i="1"/>
  <c r="JS1" i="1"/>
  <c r="JS4" i="1" s="1"/>
  <c r="JR59" i="1"/>
  <c r="JR23" i="1"/>
  <c r="JR77" i="1"/>
  <c r="JR75" i="1"/>
  <c r="JR72" i="1"/>
  <c r="JI81" i="1"/>
  <c r="JI80" i="1"/>
  <c r="HV49" i="1"/>
  <c r="GG81" i="1"/>
  <c r="IP42" i="1"/>
  <c r="GG65" i="1"/>
  <c r="GG5" i="1"/>
  <c r="GG67" i="1"/>
  <c r="GG83" i="1"/>
  <c r="GG49" i="1"/>
  <c r="GG76" i="1"/>
  <c r="KD42" i="1"/>
  <c r="HB42" i="1"/>
  <c r="IH27" i="1"/>
  <c r="JI5" i="1"/>
  <c r="JI59" i="1" l="1"/>
  <c r="JI35" i="1"/>
  <c r="JI16" i="1"/>
  <c r="GG16" i="1"/>
  <c r="GG15" i="1"/>
  <c r="GG36" i="1"/>
  <c r="IO36" i="1"/>
  <c r="IO16" i="1"/>
  <c r="IY72" i="1"/>
  <c r="GG43" i="1"/>
  <c r="JI75" i="1"/>
  <c r="IO43" i="1"/>
  <c r="JI43" i="1"/>
  <c r="GG54" i="1"/>
  <c r="GG51" i="1"/>
  <c r="GG29" i="1"/>
  <c r="JI46" i="1"/>
  <c r="JI6" i="1"/>
  <c r="GG75" i="1"/>
  <c r="IO75" i="1"/>
  <c r="IY69" i="1"/>
  <c r="IO69" i="1"/>
  <c r="IO6" i="1"/>
  <c r="IO46" i="1"/>
  <c r="IO60" i="1"/>
  <c r="GG27" i="1"/>
  <c r="IO44" i="1"/>
  <c r="IO59" i="1"/>
  <c r="IO80" i="1"/>
  <c r="GG11" i="1"/>
  <c r="IO84" i="1"/>
  <c r="GG59" i="1"/>
  <c r="GG35" i="1"/>
  <c r="GG80" i="1"/>
  <c r="GG69" i="1"/>
  <c r="GG84" i="1"/>
  <c r="IO56" i="1"/>
  <c r="GG44" i="1"/>
  <c r="GG6" i="1"/>
  <c r="GG77" i="1"/>
  <c r="GG56" i="1"/>
  <c r="GG46" i="1"/>
  <c r="GG60" i="1"/>
  <c r="GG38" i="1"/>
  <c r="GG64" i="1"/>
  <c r="IO51" i="1"/>
  <c r="GG13" i="1"/>
  <c r="GG66" i="1"/>
  <c r="GG12" i="1"/>
  <c r="GG55" i="1"/>
  <c r="IO64" i="1"/>
  <c r="IO11" i="1"/>
  <c r="IO8" i="1"/>
  <c r="GG8" i="1"/>
  <c r="IO38" i="1"/>
  <c r="GG25" i="1"/>
  <c r="GG24" i="1"/>
  <c r="IO55" i="1"/>
  <c r="IO25" i="1"/>
  <c r="JI8" i="1"/>
  <c r="GG10" i="1"/>
  <c r="JI83" i="1"/>
  <c r="JI67" i="1"/>
  <c r="JI25" i="1"/>
  <c r="IY23" i="1"/>
  <c r="JI23" i="1"/>
  <c r="JI44" i="1"/>
  <c r="JI11" i="1"/>
  <c r="JI47" i="1"/>
  <c r="JI56" i="1"/>
  <c r="JI55" i="1"/>
  <c r="IY47" i="1"/>
  <c r="JI66" i="1"/>
  <c r="IY56" i="1"/>
  <c r="IY4" i="1"/>
  <c r="GG31" i="1"/>
  <c r="GG4" i="1"/>
  <c r="GG96" i="1"/>
  <c r="JS35" i="1"/>
  <c r="JS31" i="1"/>
  <c r="IY38" i="1"/>
  <c r="IY31" i="1"/>
  <c r="IY35" i="1"/>
  <c r="JI85" i="1"/>
  <c r="JI31" i="1"/>
  <c r="HA31" i="1"/>
  <c r="HA35" i="1"/>
  <c r="IE35" i="1"/>
  <c r="IE31" i="1"/>
  <c r="IO31" i="1"/>
  <c r="IO35" i="1"/>
  <c r="GQ35" i="1"/>
  <c r="GQ31" i="1"/>
  <c r="HK31" i="1"/>
  <c r="HK35" i="1"/>
  <c r="IY85" i="1"/>
  <c r="JI64" i="1"/>
  <c r="JI36" i="1"/>
  <c r="JI38" i="1"/>
  <c r="JI60" i="1"/>
  <c r="JI84" i="1"/>
  <c r="JI51" i="1"/>
  <c r="IY60" i="1"/>
  <c r="HK92" i="1"/>
  <c r="HK97" i="1"/>
  <c r="HK90" i="1"/>
  <c r="HK98" i="1"/>
  <c r="HV108" i="1"/>
  <c r="HV102" i="1"/>
  <c r="HV103" i="1"/>
  <c r="HV37" i="1"/>
  <c r="HV104" i="1"/>
  <c r="HV26" i="1"/>
  <c r="IY25" i="1"/>
  <c r="IY97" i="1"/>
  <c r="IY92" i="1"/>
  <c r="IY90" i="1"/>
  <c r="IY98" i="1"/>
  <c r="IY64" i="1"/>
  <c r="JS90" i="1"/>
  <c r="JS98" i="1"/>
  <c r="JS97" i="1"/>
  <c r="JS92" i="1"/>
  <c r="JI90" i="1"/>
  <c r="JI92" i="1"/>
  <c r="JI97" i="1"/>
  <c r="JI98" i="1"/>
  <c r="HA90" i="1"/>
  <c r="HA92" i="1"/>
  <c r="HA97" i="1"/>
  <c r="HA98" i="1"/>
  <c r="IO92" i="1"/>
  <c r="IO97" i="1"/>
  <c r="IO98" i="1"/>
  <c r="IO90" i="1"/>
  <c r="GG92" i="1"/>
  <c r="GG97" i="1"/>
  <c r="GG98" i="1"/>
  <c r="GG90" i="1"/>
  <c r="KD104" i="1"/>
  <c r="KD37" i="1"/>
  <c r="KD102" i="1"/>
  <c r="KD103" i="1"/>
  <c r="KD108" i="1"/>
  <c r="KD26" i="1"/>
  <c r="GQ90" i="1"/>
  <c r="GQ92" i="1"/>
  <c r="GQ97" i="1"/>
  <c r="GQ98" i="1"/>
  <c r="IE98" i="1"/>
  <c r="IE90" i="1"/>
  <c r="IE92" i="1"/>
  <c r="IE97" i="1"/>
  <c r="HA88" i="1"/>
  <c r="HA45" i="1"/>
  <c r="HA67" i="1"/>
  <c r="IE67" i="1"/>
  <c r="IE88" i="1"/>
  <c r="IE45" i="1"/>
  <c r="IE80" i="1"/>
  <c r="HV79" i="1"/>
  <c r="HV64" i="1"/>
  <c r="HV105" i="1"/>
  <c r="HV73" i="1"/>
  <c r="HV3" i="1"/>
  <c r="HV99" i="1"/>
  <c r="HV101" i="1"/>
  <c r="JS45" i="1"/>
  <c r="JS67" i="1"/>
  <c r="JS88" i="1"/>
  <c r="IY45" i="1"/>
  <c r="IY67" i="1"/>
  <c r="IY88" i="1"/>
  <c r="IY80" i="1"/>
  <c r="IY36" i="1"/>
  <c r="JI79" i="1"/>
  <c r="JI45" i="1"/>
  <c r="JI88" i="1"/>
  <c r="IO7" i="1"/>
  <c r="IO45" i="1"/>
  <c r="IO67" i="1"/>
  <c r="IO88" i="1"/>
  <c r="GG108" i="1"/>
  <c r="GG88" i="1"/>
  <c r="GG45" i="1"/>
  <c r="KD101" i="1"/>
  <c r="KD105" i="1"/>
  <c r="KD73" i="1"/>
  <c r="KD99" i="1"/>
  <c r="KD79" i="1"/>
  <c r="KD64" i="1"/>
  <c r="KD3" i="1"/>
  <c r="HK67" i="1"/>
  <c r="HK88" i="1"/>
  <c r="HK45" i="1"/>
  <c r="HK80" i="1"/>
  <c r="GQ45" i="1"/>
  <c r="GQ88" i="1"/>
  <c r="GQ67" i="1"/>
  <c r="IY16" i="1"/>
  <c r="JI30" i="1"/>
  <c r="JI73" i="1"/>
  <c r="IO20" i="1"/>
  <c r="JI20" i="1"/>
  <c r="JI7" i="1"/>
  <c r="JI12" i="1"/>
  <c r="JI61" i="1"/>
  <c r="JI82" i="1"/>
  <c r="JI63" i="1"/>
  <c r="JI58" i="1"/>
  <c r="JI62" i="1"/>
  <c r="JI53" i="1"/>
  <c r="IO53" i="1"/>
  <c r="IO63" i="1"/>
  <c r="IO30" i="1"/>
  <c r="IO73" i="1"/>
  <c r="IO62" i="1"/>
  <c r="IO58" i="1"/>
  <c r="IO37" i="1"/>
  <c r="IO12" i="1"/>
  <c r="IO79" i="1"/>
  <c r="IO82" i="1"/>
  <c r="IY20" i="1"/>
  <c r="IY12" i="1"/>
  <c r="IY62" i="1"/>
  <c r="KD6" i="1"/>
  <c r="KD77" i="1"/>
  <c r="IY73" i="1"/>
  <c r="HV51" i="1"/>
  <c r="HV77" i="1"/>
  <c r="IY53" i="1"/>
  <c r="IY63" i="1"/>
  <c r="IY82" i="1"/>
  <c r="IY7" i="1"/>
  <c r="HV6" i="1"/>
  <c r="GG37" i="1"/>
  <c r="KD51" i="1"/>
  <c r="GG94" i="1"/>
  <c r="GG71" i="1"/>
  <c r="GG63" i="1"/>
  <c r="GG42" i="1"/>
  <c r="GG68" i="1"/>
  <c r="GG101" i="1"/>
  <c r="GG104" i="1"/>
  <c r="GG30" i="1"/>
  <c r="GQ95" i="1"/>
  <c r="GQ93" i="1"/>
  <c r="GQ86" i="1"/>
  <c r="GQ89" i="1"/>
  <c r="GQ91" i="1"/>
  <c r="GQ110" i="1"/>
  <c r="GQ99" i="1"/>
  <c r="GG7" i="1"/>
  <c r="JI93" i="1"/>
  <c r="JI95" i="1"/>
  <c r="JI110" i="1"/>
  <c r="JI91" i="1"/>
  <c r="JI89" i="1"/>
  <c r="JI86" i="1"/>
  <c r="JI99" i="1"/>
  <c r="GG100" i="1"/>
  <c r="GG89" i="1"/>
  <c r="GG86" i="1"/>
  <c r="GG91" i="1"/>
  <c r="GG93" i="1"/>
  <c r="GG110" i="1"/>
  <c r="GG99" i="1"/>
  <c r="GG95" i="1"/>
  <c r="IO93" i="1"/>
  <c r="IO110" i="1"/>
  <c r="IO89" i="1"/>
  <c r="IO95" i="1"/>
  <c r="IO99" i="1"/>
  <c r="IO86" i="1"/>
  <c r="IO91" i="1"/>
  <c r="GG102" i="1"/>
  <c r="GG105" i="1"/>
  <c r="GG3" i="1"/>
  <c r="GG62" i="1"/>
  <c r="IE86" i="1"/>
  <c r="IE95" i="1"/>
  <c r="IE89" i="1"/>
  <c r="IE91" i="1"/>
  <c r="IE110" i="1"/>
  <c r="IE93" i="1"/>
  <c r="IE99" i="1"/>
  <c r="GG52" i="1"/>
  <c r="GG79" i="1"/>
  <c r="GG26" i="1"/>
  <c r="GG103" i="1"/>
  <c r="GG109" i="1"/>
  <c r="GG58" i="1"/>
  <c r="GG82" i="1"/>
  <c r="GG106" i="1"/>
  <c r="GG20" i="1"/>
  <c r="HA110" i="1"/>
  <c r="HA99" i="1"/>
  <c r="HA91" i="1"/>
  <c r="HA93" i="1"/>
  <c r="HA95" i="1"/>
  <c r="HA86" i="1"/>
  <c r="HA89" i="1"/>
  <c r="HV110" i="1"/>
  <c r="HV75" i="1"/>
  <c r="HV54" i="1"/>
  <c r="HV4" i="1"/>
  <c r="HV43" i="1"/>
  <c r="HV66" i="1"/>
  <c r="HV97" i="1"/>
  <c r="GG61" i="1"/>
  <c r="GG73" i="1"/>
  <c r="GH1" i="1"/>
  <c r="GI1" i="1" s="1"/>
  <c r="JS95" i="1"/>
  <c r="JS86" i="1"/>
  <c r="JS93" i="1"/>
  <c r="JS91" i="1"/>
  <c r="JS99" i="1"/>
  <c r="JS110" i="1"/>
  <c r="JS89" i="1"/>
  <c r="HK110" i="1"/>
  <c r="HK95" i="1"/>
  <c r="HK86" i="1"/>
  <c r="HK91" i="1"/>
  <c r="HK93" i="1"/>
  <c r="HK89" i="1"/>
  <c r="HK99" i="1"/>
  <c r="KD110" i="1"/>
  <c r="KD66" i="1"/>
  <c r="KD43" i="1"/>
  <c r="KD54" i="1"/>
  <c r="KD4" i="1"/>
  <c r="KD97" i="1"/>
  <c r="KD75" i="1"/>
  <c r="GG53" i="1"/>
  <c r="IY99" i="1"/>
  <c r="IY110" i="1"/>
  <c r="IY91" i="1"/>
  <c r="IY86" i="1"/>
  <c r="IY95" i="1"/>
  <c r="IY89" i="1"/>
  <c r="IY93" i="1"/>
  <c r="IY30" i="1"/>
  <c r="GG107" i="1"/>
  <c r="GQ107" i="1"/>
  <c r="GQ109" i="1"/>
  <c r="GQ105" i="1"/>
  <c r="GQ104" i="1"/>
  <c r="GQ108" i="1"/>
  <c r="GQ106" i="1"/>
  <c r="JI107" i="1"/>
  <c r="JI109" i="1"/>
  <c r="JI106" i="1"/>
  <c r="JI108" i="1"/>
  <c r="JI104" i="1"/>
  <c r="JI105" i="1"/>
  <c r="IO107" i="1"/>
  <c r="IO105" i="1"/>
  <c r="IO109" i="1"/>
  <c r="IO108" i="1"/>
  <c r="IO104" i="1"/>
  <c r="IO106" i="1"/>
  <c r="IE107" i="1"/>
  <c r="IE109" i="1"/>
  <c r="IE105" i="1"/>
  <c r="IE104" i="1"/>
  <c r="IE106" i="1"/>
  <c r="IE108" i="1"/>
  <c r="HA107" i="1"/>
  <c r="HA106" i="1"/>
  <c r="HA105" i="1"/>
  <c r="HA109" i="1"/>
  <c r="HA104" i="1"/>
  <c r="HA108" i="1"/>
  <c r="JS107" i="1"/>
  <c r="JS104" i="1"/>
  <c r="JS108" i="1"/>
  <c r="JS109" i="1"/>
  <c r="JS106" i="1"/>
  <c r="JS105" i="1"/>
  <c r="HK107" i="1"/>
  <c r="HK106" i="1"/>
  <c r="HK105" i="1"/>
  <c r="HK109" i="1"/>
  <c r="HK108" i="1"/>
  <c r="HK104" i="1"/>
  <c r="IY107" i="1"/>
  <c r="IY109" i="1"/>
  <c r="IY106" i="1"/>
  <c r="IY105" i="1"/>
  <c r="IY108" i="1"/>
  <c r="IY104" i="1"/>
  <c r="HA102" i="1"/>
  <c r="HA103" i="1"/>
  <c r="HA101" i="1"/>
  <c r="HA100" i="1"/>
  <c r="GQ102" i="1"/>
  <c r="GQ103" i="1"/>
  <c r="GQ100" i="1"/>
  <c r="GQ101" i="1"/>
  <c r="JI96" i="1"/>
  <c r="JI101" i="1"/>
  <c r="JI100" i="1"/>
  <c r="JI103" i="1"/>
  <c r="JI102" i="1"/>
  <c r="IE102" i="1"/>
  <c r="IE103" i="1"/>
  <c r="IE100" i="1"/>
  <c r="IE101" i="1"/>
  <c r="IO96" i="1"/>
  <c r="IO102" i="1"/>
  <c r="IO103" i="1"/>
  <c r="IO101" i="1"/>
  <c r="IO100" i="1"/>
  <c r="JS100" i="1"/>
  <c r="JS101" i="1"/>
  <c r="JS103" i="1"/>
  <c r="JS102" i="1"/>
  <c r="HK102" i="1"/>
  <c r="HK100" i="1"/>
  <c r="HK103" i="1"/>
  <c r="HK101" i="1"/>
  <c r="IY96" i="1"/>
  <c r="IY100" i="1"/>
  <c r="IY103" i="1"/>
  <c r="IY101" i="1"/>
  <c r="IY102" i="1"/>
  <c r="IE94" i="1"/>
  <c r="IE96" i="1"/>
  <c r="GH93" i="1"/>
  <c r="JS94" i="1"/>
  <c r="JS96" i="1"/>
  <c r="HK94" i="1"/>
  <c r="HK96" i="1"/>
  <c r="GQ94" i="1"/>
  <c r="GQ96" i="1"/>
  <c r="KD93" i="1"/>
  <c r="KD98" i="1"/>
  <c r="HA94" i="1"/>
  <c r="HA96" i="1"/>
  <c r="HV62" i="1"/>
  <c r="HV98" i="1"/>
  <c r="JI10" i="1"/>
  <c r="JI94" i="1"/>
  <c r="IO76" i="1"/>
  <c r="IO94" i="1"/>
  <c r="IY52" i="1"/>
  <c r="IY94" i="1"/>
  <c r="JI76" i="1"/>
  <c r="JI71" i="1"/>
  <c r="JI29" i="1"/>
  <c r="JJ1" i="1"/>
  <c r="JI49" i="1"/>
  <c r="JI54" i="1"/>
  <c r="JI27" i="1"/>
  <c r="JI42" i="1"/>
  <c r="JI3" i="1"/>
  <c r="JI65" i="1"/>
  <c r="JI24" i="1"/>
  <c r="JI37" i="1"/>
  <c r="JI77" i="1"/>
  <c r="JI52" i="1"/>
  <c r="JI13" i="1"/>
  <c r="JI70" i="1"/>
  <c r="JI50" i="1"/>
  <c r="JI68" i="1"/>
  <c r="JI26" i="1"/>
  <c r="JI78" i="1"/>
  <c r="JI15" i="1"/>
  <c r="IO61" i="1"/>
  <c r="IO52" i="1"/>
  <c r="IO29" i="1"/>
  <c r="IO50" i="1"/>
  <c r="IO3" i="1"/>
  <c r="IO27" i="1"/>
  <c r="IO42" i="1"/>
  <c r="IO13" i="1"/>
  <c r="IO70" i="1"/>
  <c r="IP1" i="1"/>
  <c r="IP17" i="1" s="1"/>
  <c r="IO54" i="1"/>
  <c r="IO78" i="1"/>
  <c r="IO71" i="1"/>
  <c r="IO49" i="1"/>
  <c r="IO66" i="1"/>
  <c r="IO24" i="1"/>
  <c r="IO65" i="1"/>
  <c r="IO77" i="1"/>
  <c r="IO26" i="1"/>
  <c r="IO68" i="1"/>
  <c r="IO10" i="1"/>
  <c r="IO15" i="1"/>
  <c r="IY77" i="1"/>
  <c r="KD85" i="1"/>
  <c r="IY66" i="1"/>
  <c r="HV85" i="1"/>
  <c r="HV93" i="1"/>
  <c r="IY37" i="1"/>
  <c r="IY65" i="1"/>
  <c r="IE10" i="1"/>
  <c r="IE15" i="1"/>
  <c r="IE78" i="1"/>
  <c r="IE26" i="1"/>
  <c r="IE70" i="1"/>
  <c r="IE76" i="1"/>
  <c r="IE68" i="1"/>
  <c r="IE13" i="1"/>
  <c r="IE50" i="1"/>
  <c r="HK70" i="1"/>
  <c r="HK68" i="1"/>
  <c r="HK76" i="1"/>
  <c r="HK26" i="1"/>
  <c r="HK78" i="1"/>
  <c r="HK15" i="1"/>
  <c r="HK13" i="1"/>
  <c r="HK50" i="1"/>
  <c r="HK10" i="1"/>
  <c r="IY54" i="1"/>
  <c r="JS15" i="1"/>
  <c r="JS26" i="1"/>
  <c r="JS10" i="1"/>
  <c r="JS68" i="1"/>
  <c r="JS76" i="1"/>
  <c r="JS78" i="1"/>
  <c r="JS70" i="1"/>
  <c r="JS13" i="1"/>
  <c r="JS50" i="1"/>
  <c r="IZ1" i="1"/>
  <c r="IZ17" i="1" s="1"/>
  <c r="HV92" i="1"/>
  <c r="HV82" i="1"/>
  <c r="HV89" i="1"/>
  <c r="HV81" i="1"/>
  <c r="HV59" i="1"/>
  <c r="HV23" i="1"/>
  <c r="HV38" i="1"/>
  <c r="HV72" i="1"/>
  <c r="IY43" i="1"/>
  <c r="IY68" i="1"/>
  <c r="IY78" i="1"/>
  <c r="IY13" i="1"/>
  <c r="IY70" i="1"/>
  <c r="IY26" i="1"/>
  <c r="IY76" i="1"/>
  <c r="IY15" i="1"/>
  <c r="IY10" i="1"/>
  <c r="IY50" i="1"/>
  <c r="IY5" i="1"/>
  <c r="IY61" i="1"/>
  <c r="HA13" i="1"/>
  <c r="HA10" i="1"/>
  <c r="HA15" i="1"/>
  <c r="HA50" i="1"/>
  <c r="HA26" i="1"/>
  <c r="HA68" i="1"/>
  <c r="HA78" i="1"/>
  <c r="HA70" i="1"/>
  <c r="HA76" i="1"/>
  <c r="IY49" i="1"/>
  <c r="KD89" i="1"/>
  <c r="KD23" i="1"/>
  <c r="KD59" i="1"/>
  <c r="KD81" i="1"/>
  <c r="KD38" i="1"/>
  <c r="KD72" i="1"/>
  <c r="KD82" i="1"/>
  <c r="IY27" i="1"/>
  <c r="IY29" i="1"/>
  <c r="GH92" i="1"/>
  <c r="GH82" i="1"/>
  <c r="GH81" i="1"/>
  <c r="GH59" i="1"/>
  <c r="GH89" i="1"/>
  <c r="GH72" i="1"/>
  <c r="GQ50" i="1"/>
  <c r="GQ26" i="1"/>
  <c r="GQ78" i="1"/>
  <c r="GQ76" i="1"/>
  <c r="GQ15" i="1"/>
  <c r="GQ68" i="1"/>
  <c r="GQ70" i="1"/>
  <c r="GQ10" i="1"/>
  <c r="GQ13" i="1"/>
  <c r="IY11" i="1"/>
  <c r="KD68" i="1"/>
  <c r="KD92" i="1"/>
  <c r="IY17" i="1"/>
  <c r="JJ20" i="1"/>
  <c r="JJ91" i="1"/>
  <c r="IZ20" i="1"/>
  <c r="IP20" i="1"/>
  <c r="HV91" i="1"/>
  <c r="HV90" i="1"/>
  <c r="GH20" i="1"/>
  <c r="GH91" i="1"/>
  <c r="GH90" i="1"/>
  <c r="KD91" i="1"/>
  <c r="KD90" i="1"/>
  <c r="KD36" i="1"/>
  <c r="KD20" i="1"/>
  <c r="HV25" i="1"/>
  <c r="HV20" i="1"/>
  <c r="HV68" i="1"/>
  <c r="IY3" i="1"/>
  <c r="IY75" i="1"/>
  <c r="IY46" i="1"/>
  <c r="KD86" i="1"/>
  <c r="IY84" i="1"/>
  <c r="IY79" i="1"/>
  <c r="IY58" i="1"/>
  <c r="KD25" i="1"/>
  <c r="JS59" i="1"/>
  <c r="JS42" i="1"/>
  <c r="JS8" i="1"/>
  <c r="JS6" i="1"/>
  <c r="JS51" i="1"/>
  <c r="GH61" i="1"/>
  <c r="GH78" i="1"/>
  <c r="GH69" i="1"/>
  <c r="GH76" i="1"/>
  <c r="IE42" i="1"/>
  <c r="IE6" i="1"/>
  <c r="IE59" i="1"/>
  <c r="IE8" i="1"/>
  <c r="IE51" i="1"/>
  <c r="IE71" i="1"/>
  <c r="IE81" i="1"/>
  <c r="KD76" i="1"/>
  <c r="KD78" i="1"/>
  <c r="KD69" i="1"/>
  <c r="KD65" i="1"/>
  <c r="KD44" i="1"/>
  <c r="KD35" i="1"/>
  <c r="KD70" i="1"/>
  <c r="IY42" i="1"/>
  <c r="IY51" i="1"/>
  <c r="IY6" i="1"/>
  <c r="IY8" i="1"/>
  <c r="IY59" i="1"/>
  <c r="IY24" i="1"/>
  <c r="IY81" i="1"/>
  <c r="IY71" i="1"/>
  <c r="IY55" i="1"/>
  <c r="HK51" i="1"/>
  <c r="HK8" i="1"/>
  <c r="HK6" i="1"/>
  <c r="HK42" i="1"/>
  <c r="HK59" i="1"/>
  <c r="HK71" i="1"/>
  <c r="HK81" i="1"/>
  <c r="HA59" i="1"/>
  <c r="HA8" i="1"/>
  <c r="HA51" i="1"/>
  <c r="HA42" i="1"/>
  <c r="HA6" i="1"/>
  <c r="IZ76" i="1"/>
  <c r="IZ78" i="1"/>
  <c r="JJ69" i="1"/>
  <c r="JJ76" i="1"/>
  <c r="JJ78" i="1"/>
  <c r="GQ42" i="1"/>
  <c r="GQ59" i="1"/>
  <c r="GQ51" i="1"/>
  <c r="GQ8" i="1"/>
  <c r="GQ6" i="1"/>
  <c r="IP78" i="1"/>
  <c r="IP76" i="1"/>
  <c r="HV61" i="1"/>
  <c r="HV69" i="1"/>
  <c r="HV78" i="1"/>
  <c r="HV35" i="1"/>
  <c r="HV76" i="1"/>
  <c r="HV44" i="1"/>
  <c r="HV65" i="1"/>
  <c r="HV70" i="1"/>
  <c r="KD62" i="1"/>
  <c r="KD61" i="1"/>
  <c r="IE27" i="1"/>
  <c r="IE29" i="1"/>
  <c r="HA27" i="1"/>
  <c r="HA29" i="1"/>
  <c r="HK27" i="1"/>
  <c r="HK29" i="1"/>
  <c r="GQ27" i="1"/>
  <c r="GQ29" i="1"/>
  <c r="KE1" i="1"/>
  <c r="JS27" i="1"/>
  <c r="JS29" i="1"/>
  <c r="JS16" i="1"/>
  <c r="JS17" i="1"/>
  <c r="IE16" i="1"/>
  <c r="IE17" i="1"/>
  <c r="HA16" i="1"/>
  <c r="HA17" i="1"/>
  <c r="HK16" i="1"/>
  <c r="HK17" i="1"/>
  <c r="GQ16" i="1"/>
  <c r="GQ17" i="1"/>
  <c r="IZ50" i="1"/>
  <c r="IZ88" i="1"/>
  <c r="IZ11" i="1"/>
  <c r="IZ30" i="1"/>
  <c r="IZ8" i="1"/>
  <c r="JS79" i="1"/>
  <c r="JS60" i="1"/>
  <c r="JS84" i="1"/>
  <c r="JS44" i="1"/>
  <c r="JS7" i="1"/>
  <c r="JS85" i="1"/>
  <c r="JS47" i="1"/>
  <c r="JS56" i="1"/>
  <c r="IP50" i="1"/>
  <c r="IP88" i="1"/>
  <c r="IP8" i="1"/>
  <c r="IP11" i="1"/>
  <c r="IP30" i="1"/>
  <c r="KD15" i="1"/>
  <c r="KD50" i="1"/>
  <c r="KD88" i="1"/>
  <c r="KD8" i="1"/>
  <c r="KD30" i="1"/>
  <c r="KD17" i="1"/>
  <c r="KD67" i="1"/>
  <c r="KD11" i="1"/>
  <c r="KD52" i="1"/>
  <c r="JJ88" i="1"/>
  <c r="JJ8" i="1"/>
  <c r="JJ17" i="1"/>
  <c r="JJ30" i="1"/>
  <c r="JJ11" i="1"/>
  <c r="HA79" i="1"/>
  <c r="HA7" i="1"/>
  <c r="HA60" i="1"/>
  <c r="HA84" i="1"/>
  <c r="HA44" i="1"/>
  <c r="HA85" i="1"/>
  <c r="HA47" i="1"/>
  <c r="HA56" i="1"/>
  <c r="KE16" i="1"/>
  <c r="HK79" i="1"/>
  <c r="HK85" i="1"/>
  <c r="HK7" i="1"/>
  <c r="HK60" i="1"/>
  <c r="HK56" i="1"/>
  <c r="HK84" i="1"/>
  <c r="HK44" i="1"/>
  <c r="HK47" i="1"/>
  <c r="HW1" i="1"/>
  <c r="HV88" i="1"/>
  <c r="HV50" i="1"/>
  <c r="HV67" i="1"/>
  <c r="HV11" i="1"/>
  <c r="HV17" i="1"/>
  <c r="HV30" i="1"/>
  <c r="HV8" i="1"/>
  <c r="HV52" i="1"/>
  <c r="GQ79" i="1"/>
  <c r="GQ44" i="1"/>
  <c r="GQ60" i="1"/>
  <c r="GQ7" i="1"/>
  <c r="GQ47" i="1"/>
  <c r="GQ85" i="1"/>
  <c r="GQ56" i="1"/>
  <c r="GQ84" i="1"/>
  <c r="GH88" i="1"/>
  <c r="GH50" i="1"/>
  <c r="GH8" i="1"/>
  <c r="GH11" i="1"/>
  <c r="GH30" i="1"/>
  <c r="GH67" i="1"/>
  <c r="GH17" i="1"/>
  <c r="IE79" i="1"/>
  <c r="IE47" i="1"/>
  <c r="IE44" i="1"/>
  <c r="IE7" i="1"/>
  <c r="IE60" i="1"/>
  <c r="IE84" i="1"/>
  <c r="IE56" i="1"/>
  <c r="IE85" i="1"/>
  <c r="HV10" i="1"/>
  <c r="KD13" i="1"/>
  <c r="KD12" i="1"/>
  <c r="KD10" i="1"/>
  <c r="KD60" i="1"/>
  <c r="HV13" i="1"/>
  <c r="HV60" i="1"/>
  <c r="HV15" i="1"/>
  <c r="JS69" i="1"/>
  <c r="JS23" i="1"/>
  <c r="JS25" i="1"/>
  <c r="JS72" i="1"/>
  <c r="JS53" i="1"/>
  <c r="JS11" i="1"/>
  <c r="JS43" i="1"/>
  <c r="JS54" i="1"/>
  <c r="JS52" i="1"/>
  <c r="JJ46" i="1"/>
  <c r="JJ45" i="1"/>
  <c r="JJ80" i="1"/>
  <c r="JJ56" i="1"/>
  <c r="JJ63" i="1"/>
  <c r="JJ24" i="1"/>
  <c r="JJ27" i="1"/>
  <c r="IP46" i="1"/>
  <c r="IP24" i="1"/>
  <c r="IP5" i="1"/>
  <c r="IP27" i="1"/>
  <c r="IP45" i="1"/>
  <c r="IP56" i="1"/>
  <c r="HV5" i="1"/>
  <c r="HV29" i="1"/>
  <c r="HV56" i="1"/>
  <c r="HV45" i="1"/>
  <c r="HV80" i="1"/>
  <c r="HV46" i="1"/>
  <c r="HV63" i="1"/>
  <c r="HV84" i="1"/>
  <c r="HV16" i="1"/>
  <c r="HV27" i="1"/>
  <c r="HV24" i="1"/>
  <c r="HW88" i="1"/>
  <c r="HW65" i="1"/>
  <c r="GH5" i="1"/>
  <c r="GH80" i="1"/>
  <c r="GH45" i="1"/>
  <c r="GH24" i="1"/>
  <c r="GH46" i="1"/>
  <c r="GH84" i="1"/>
  <c r="GH63" i="1"/>
  <c r="GH27" i="1"/>
  <c r="GH56" i="1"/>
  <c r="IZ24" i="1"/>
  <c r="IZ56" i="1"/>
  <c r="IZ27" i="1"/>
  <c r="IZ46" i="1"/>
  <c r="IZ5" i="1"/>
  <c r="IZ45" i="1"/>
  <c r="IE53" i="1"/>
  <c r="IE72" i="1"/>
  <c r="IE23" i="1"/>
  <c r="IE25" i="1"/>
  <c r="IE69" i="1"/>
  <c r="IE54" i="1"/>
  <c r="IE52" i="1"/>
  <c r="IE11" i="1"/>
  <c r="IE43" i="1"/>
  <c r="IE49" i="1"/>
  <c r="KE65" i="1"/>
  <c r="KE6" i="1"/>
  <c r="GQ54" i="1"/>
  <c r="GQ23" i="1"/>
  <c r="GQ53" i="1"/>
  <c r="GQ72" i="1"/>
  <c r="GQ69" i="1"/>
  <c r="GQ25" i="1"/>
  <c r="GQ49" i="1"/>
  <c r="GQ52" i="1"/>
  <c r="GQ11" i="1"/>
  <c r="GQ43" i="1"/>
  <c r="HA69" i="1"/>
  <c r="HA52" i="1"/>
  <c r="HA53" i="1"/>
  <c r="HA11" i="1"/>
  <c r="HA49" i="1"/>
  <c r="HA72" i="1"/>
  <c r="HA23" i="1"/>
  <c r="HA54" i="1"/>
  <c r="HA25" i="1"/>
  <c r="HA43" i="1"/>
  <c r="HK52" i="1"/>
  <c r="HK11" i="1"/>
  <c r="HK49" i="1"/>
  <c r="HK23" i="1"/>
  <c r="HK54" i="1"/>
  <c r="HK53" i="1"/>
  <c r="HK69" i="1"/>
  <c r="HK25" i="1"/>
  <c r="HK72" i="1"/>
  <c r="HK43" i="1"/>
  <c r="KD27" i="1"/>
  <c r="KD46" i="1"/>
  <c r="KD84" i="1"/>
  <c r="KD24" i="1"/>
  <c r="KD63" i="1"/>
  <c r="KD16" i="1"/>
  <c r="KD45" i="1"/>
  <c r="KD5" i="1"/>
  <c r="KD29" i="1"/>
  <c r="KD56" i="1"/>
  <c r="KD80" i="1"/>
  <c r="GH12" i="1"/>
  <c r="GH36" i="1"/>
  <c r="IZ36" i="1"/>
  <c r="IZ12" i="1"/>
  <c r="JJ12" i="1"/>
  <c r="JJ36" i="1"/>
  <c r="IP68" i="1"/>
  <c r="IP12" i="1"/>
  <c r="IP36" i="1"/>
  <c r="HV86" i="1"/>
  <c r="HV12" i="1"/>
  <c r="HV36" i="1"/>
  <c r="KE88" i="1"/>
  <c r="HK73" i="1"/>
  <c r="HK37" i="1"/>
  <c r="HK63" i="1"/>
  <c r="HL1" i="1"/>
  <c r="HK64" i="1"/>
  <c r="HK30" i="1"/>
  <c r="HK5" i="1"/>
  <c r="HK20" i="1"/>
  <c r="HK66" i="1"/>
  <c r="HK83" i="1"/>
  <c r="HK58" i="1"/>
  <c r="HK62" i="1"/>
  <c r="HK65" i="1"/>
  <c r="HK55" i="1"/>
  <c r="HK12" i="1"/>
  <c r="HK82" i="1"/>
  <c r="HK46" i="1"/>
  <c r="HK75" i="1"/>
  <c r="HK3" i="1"/>
  <c r="HK38" i="1"/>
  <c r="HK61" i="1"/>
  <c r="HK77" i="1"/>
  <c r="HK24" i="1"/>
  <c r="HK36" i="1"/>
  <c r="KE72" i="1"/>
  <c r="KE17" i="1"/>
  <c r="JJ47" i="1"/>
  <c r="JS77" i="1"/>
  <c r="JS37" i="1"/>
  <c r="GQ77" i="1"/>
  <c r="GQ37" i="1"/>
  <c r="HA37" i="1"/>
  <c r="HA77" i="1"/>
  <c r="IZ13" i="1"/>
  <c r="IZ47" i="1"/>
  <c r="IZ68" i="1"/>
  <c r="IZ49" i="1"/>
  <c r="IZ10" i="1"/>
  <c r="IP47" i="1"/>
  <c r="GH47" i="1"/>
  <c r="IE75" i="1"/>
  <c r="IE37" i="1"/>
  <c r="IE77" i="1"/>
  <c r="IE20" i="1"/>
  <c r="IF1" i="1"/>
  <c r="IE65" i="1"/>
  <c r="IE73" i="1"/>
  <c r="IE58" i="1"/>
  <c r="IE5" i="1"/>
  <c r="IE66" i="1"/>
  <c r="IE62" i="1"/>
  <c r="IE82" i="1"/>
  <c r="IE63" i="1"/>
  <c r="IE83" i="1"/>
  <c r="IE38" i="1"/>
  <c r="IE46" i="1"/>
  <c r="IE30" i="1"/>
  <c r="IE61" i="1"/>
  <c r="IE55" i="1"/>
  <c r="IE64" i="1"/>
  <c r="IE24" i="1"/>
  <c r="IE36" i="1"/>
  <c r="IE12" i="1"/>
  <c r="IE3" i="1"/>
  <c r="JS75" i="1"/>
  <c r="JS83" i="1"/>
  <c r="JS62" i="1"/>
  <c r="JS66" i="1"/>
  <c r="JS82" i="1"/>
  <c r="GQ66" i="1"/>
  <c r="GQ62" i="1"/>
  <c r="GQ83" i="1"/>
  <c r="GQ82" i="1"/>
  <c r="GQ75" i="1"/>
  <c r="HA66" i="1"/>
  <c r="HA82" i="1"/>
  <c r="HA75" i="1"/>
  <c r="HA62" i="1"/>
  <c r="HA83" i="1"/>
  <c r="HW66" i="1"/>
  <c r="HW72" i="1"/>
  <c r="IP49" i="1"/>
  <c r="IP10" i="1"/>
  <c r="IP13" i="1"/>
  <c r="HA63" i="1"/>
  <c r="HA5" i="1"/>
  <c r="HA65" i="1"/>
  <c r="HA46" i="1"/>
  <c r="HA12" i="1"/>
  <c r="HA81" i="1"/>
  <c r="HA30" i="1"/>
  <c r="HA20" i="1"/>
  <c r="HA3" i="1"/>
  <c r="HA73" i="1"/>
  <c r="HA36" i="1"/>
  <c r="HA80" i="1"/>
  <c r="HA24" i="1"/>
  <c r="HA38" i="1"/>
  <c r="HA64" i="1"/>
  <c r="HA58" i="1"/>
  <c r="HA71" i="1"/>
  <c r="HA55" i="1"/>
  <c r="HB1" i="1"/>
  <c r="HA61" i="1"/>
  <c r="GQ73" i="1"/>
  <c r="GQ63" i="1"/>
  <c r="GQ12" i="1"/>
  <c r="GR1" i="1"/>
  <c r="GQ3" i="1"/>
  <c r="GQ65" i="1"/>
  <c r="GQ20" i="1"/>
  <c r="GQ58" i="1"/>
  <c r="GQ38" i="1"/>
  <c r="GQ5" i="1"/>
  <c r="GQ81" i="1"/>
  <c r="GQ80" i="1"/>
  <c r="GQ30" i="1"/>
  <c r="GQ61" i="1"/>
  <c r="GQ55" i="1"/>
  <c r="GQ64" i="1"/>
  <c r="GQ46" i="1"/>
  <c r="GQ71" i="1"/>
  <c r="GQ24" i="1"/>
  <c r="GQ36" i="1"/>
  <c r="JS49" i="1"/>
  <c r="JS81" i="1"/>
  <c r="JS55" i="1"/>
  <c r="JS61" i="1"/>
  <c r="JS30" i="1"/>
  <c r="JS36" i="1"/>
  <c r="JS71" i="1"/>
  <c r="JS46" i="1"/>
  <c r="JS24" i="1"/>
  <c r="JS80" i="1"/>
  <c r="JS64" i="1"/>
  <c r="JS65" i="1"/>
  <c r="JS63" i="1"/>
  <c r="JS20" i="1"/>
  <c r="JS12" i="1"/>
  <c r="JS3" i="1"/>
  <c r="JT1" i="1"/>
  <c r="JS5" i="1"/>
  <c r="JS73" i="1"/>
  <c r="JS38" i="1"/>
  <c r="JS58" i="1"/>
  <c r="JJ68" i="1"/>
  <c r="JJ49" i="1"/>
  <c r="GH60" i="1"/>
  <c r="GH49" i="1"/>
  <c r="GH68" i="1"/>
  <c r="HW17" i="1"/>
  <c r="GH62" i="1"/>
  <c r="GH42" i="1"/>
  <c r="GH51" i="1"/>
  <c r="GH10" i="1"/>
  <c r="GH86" i="1"/>
  <c r="GH26" i="1"/>
  <c r="GH85" i="1"/>
  <c r="GH70" i="1"/>
  <c r="GH52" i="1"/>
  <c r="GH13" i="1"/>
  <c r="JV27" i="1"/>
  <c r="KF27" i="1"/>
  <c r="HN27" i="1"/>
  <c r="JB27" i="1"/>
  <c r="IR27" i="1"/>
  <c r="JJ26" i="1"/>
  <c r="JJ13" i="1"/>
  <c r="JJ10" i="1"/>
  <c r="JJ85" i="1"/>
  <c r="JJ42" i="1"/>
  <c r="JJ62" i="1"/>
  <c r="JJ52" i="1"/>
  <c r="HW78" i="1" l="1"/>
  <c r="HW49" i="1"/>
  <c r="HW51" i="1"/>
  <c r="GI78" i="1"/>
  <c r="GI49" i="1"/>
  <c r="GI51" i="1"/>
  <c r="KE78" i="1"/>
  <c r="KE49" i="1"/>
  <c r="KE51" i="1"/>
  <c r="HW53" i="1"/>
  <c r="HW63" i="1"/>
  <c r="GI53" i="1"/>
  <c r="GI63" i="1"/>
  <c r="KE53" i="1"/>
  <c r="KE63" i="1"/>
  <c r="HW100" i="1"/>
  <c r="HW25" i="1"/>
  <c r="HW62" i="1"/>
  <c r="HW52" i="1"/>
  <c r="HW15" i="1"/>
  <c r="GI62" i="1"/>
  <c r="GI15" i="1"/>
  <c r="GI52" i="1"/>
  <c r="GI100" i="1"/>
  <c r="GI25" i="1"/>
  <c r="KE100" i="1"/>
  <c r="KE15" i="1"/>
  <c r="KE52" i="1"/>
  <c r="KE25" i="1"/>
  <c r="KE62" i="1"/>
  <c r="KE94" i="1"/>
  <c r="KE96" i="1"/>
  <c r="KE109" i="1"/>
  <c r="KE73" i="1"/>
  <c r="GI73" i="1"/>
  <c r="GI109" i="1"/>
  <c r="GI96" i="1"/>
  <c r="GI94" i="1"/>
  <c r="HW94" i="1"/>
  <c r="HW73" i="1"/>
  <c r="HW109" i="1"/>
  <c r="HW96" i="1"/>
  <c r="HW60" i="1"/>
  <c r="HW29" i="1"/>
  <c r="GI60" i="1"/>
  <c r="GI29" i="1"/>
  <c r="KE29" i="1"/>
  <c r="KE60" i="1"/>
  <c r="HW64" i="1"/>
  <c r="HW36" i="1"/>
  <c r="HW10" i="1"/>
  <c r="HW43" i="1"/>
  <c r="KE64" i="1"/>
  <c r="KE36" i="1"/>
  <c r="KE10" i="1"/>
  <c r="KE43" i="1"/>
  <c r="GI64" i="1"/>
  <c r="GI43" i="1"/>
  <c r="GI10" i="1"/>
  <c r="GI36" i="1"/>
  <c r="HW83" i="1"/>
  <c r="HW80" i="1"/>
  <c r="HW108" i="1"/>
  <c r="HW59" i="1"/>
  <c r="KE59" i="1"/>
  <c r="KE80" i="1"/>
  <c r="KE83" i="1"/>
  <c r="KE108" i="1"/>
  <c r="GI108" i="1"/>
  <c r="GI59" i="1"/>
  <c r="GI83" i="1"/>
  <c r="GI80" i="1"/>
  <c r="KE47" i="1"/>
  <c r="KE71" i="1"/>
  <c r="GI71" i="1"/>
  <c r="GI47" i="1"/>
  <c r="HW47" i="1"/>
  <c r="HW71" i="1"/>
  <c r="HW24" i="1"/>
  <c r="HW82" i="1"/>
  <c r="GI82" i="1"/>
  <c r="GI24" i="1"/>
  <c r="KE8" i="1"/>
  <c r="KE82" i="1"/>
  <c r="KE24" i="1"/>
  <c r="IP52" i="1"/>
  <c r="IZ52" i="1"/>
  <c r="HW76" i="1"/>
  <c r="HW106" i="1"/>
  <c r="GI106" i="1"/>
  <c r="GI76" i="1"/>
  <c r="JJ50" i="1"/>
  <c r="JJ37" i="1"/>
  <c r="JJ103" i="1"/>
  <c r="JJ102" i="1"/>
  <c r="JJ108" i="1"/>
  <c r="JJ104" i="1"/>
  <c r="JT37" i="1"/>
  <c r="JT102" i="1"/>
  <c r="JT108" i="1"/>
  <c r="JT104" i="1"/>
  <c r="JT103" i="1"/>
  <c r="JT26" i="1"/>
  <c r="HB104" i="1"/>
  <c r="HB108" i="1"/>
  <c r="HB102" i="1"/>
  <c r="HB37" i="1"/>
  <c r="HB103" i="1"/>
  <c r="HB26" i="1"/>
  <c r="IZ103" i="1"/>
  <c r="IZ37" i="1"/>
  <c r="IZ104" i="1"/>
  <c r="IZ102" i="1"/>
  <c r="IZ108" i="1"/>
  <c r="IZ26" i="1"/>
  <c r="GR102" i="1"/>
  <c r="GR37" i="1"/>
  <c r="GR103" i="1"/>
  <c r="GR104" i="1"/>
  <c r="GR108" i="1"/>
  <c r="GR26" i="1"/>
  <c r="IF103" i="1"/>
  <c r="IF104" i="1"/>
  <c r="IF108" i="1"/>
  <c r="IF102" i="1"/>
  <c r="IF37" i="1"/>
  <c r="IF26" i="1"/>
  <c r="KE76" i="1"/>
  <c r="KE106" i="1"/>
  <c r="IP102" i="1"/>
  <c r="IP103" i="1"/>
  <c r="IP37" i="1"/>
  <c r="IP104" i="1"/>
  <c r="IP108" i="1"/>
  <c r="IP26" i="1"/>
  <c r="GH104" i="1"/>
  <c r="GH37" i="1"/>
  <c r="GH108" i="1"/>
  <c r="GH102" i="1"/>
  <c r="GH103" i="1"/>
  <c r="HL37" i="1"/>
  <c r="HL104" i="1"/>
  <c r="HL102" i="1"/>
  <c r="HL108" i="1"/>
  <c r="HL103" i="1"/>
  <c r="HL26" i="1"/>
  <c r="KE42" i="1"/>
  <c r="KE30" i="1"/>
  <c r="KE95" i="1"/>
  <c r="KE107" i="1"/>
  <c r="IP77" i="1"/>
  <c r="IP105" i="1"/>
  <c r="IP3" i="1"/>
  <c r="IP101" i="1"/>
  <c r="IP99" i="1"/>
  <c r="IP73" i="1"/>
  <c r="IP79" i="1"/>
  <c r="IP64" i="1"/>
  <c r="GH44" i="1"/>
  <c r="GH105" i="1"/>
  <c r="GH79" i="1"/>
  <c r="GH64" i="1"/>
  <c r="GH99" i="1"/>
  <c r="GH101" i="1"/>
  <c r="GH3" i="1"/>
  <c r="GH73" i="1"/>
  <c r="HL77" i="1"/>
  <c r="HL64" i="1"/>
  <c r="HL73" i="1"/>
  <c r="HL99" i="1"/>
  <c r="HL3" i="1"/>
  <c r="HL79" i="1"/>
  <c r="HL105" i="1"/>
  <c r="HL101" i="1"/>
  <c r="GI42" i="1"/>
  <c r="GI95" i="1"/>
  <c r="GI30" i="1"/>
  <c r="GI107" i="1"/>
  <c r="HW95" i="1"/>
  <c r="HW30" i="1"/>
  <c r="HW42" i="1"/>
  <c r="HW107" i="1"/>
  <c r="JT77" i="1"/>
  <c r="JT3" i="1"/>
  <c r="JT99" i="1"/>
  <c r="JT105" i="1"/>
  <c r="JT64" i="1"/>
  <c r="JT73" i="1"/>
  <c r="JT101" i="1"/>
  <c r="JT79" i="1"/>
  <c r="HB77" i="1"/>
  <c r="HB105" i="1"/>
  <c r="HB99" i="1"/>
  <c r="HB101" i="1"/>
  <c r="HB73" i="1"/>
  <c r="HB64" i="1"/>
  <c r="HB79" i="1"/>
  <c r="HB3" i="1"/>
  <c r="JK1" i="1"/>
  <c r="JJ99" i="1"/>
  <c r="JJ73" i="1"/>
  <c r="JJ79" i="1"/>
  <c r="JJ3" i="1"/>
  <c r="JJ64" i="1"/>
  <c r="JJ101" i="1"/>
  <c r="JJ105" i="1"/>
  <c r="GR77" i="1"/>
  <c r="GR105" i="1"/>
  <c r="GR101" i="1"/>
  <c r="GR79" i="1"/>
  <c r="GR64" i="1"/>
  <c r="GR99" i="1"/>
  <c r="GR73" i="1"/>
  <c r="GR3" i="1"/>
  <c r="IF77" i="1"/>
  <c r="IF105" i="1"/>
  <c r="IF64" i="1"/>
  <c r="IF3" i="1"/>
  <c r="IF101" i="1"/>
  <c r="IF99" i="1"/>
  <c r="IF73" i="1"/>
  <c r="IF79" i="1"/>
  <c r="JJ5" i="1"/>
  <c r="IZ77" i="1"/>
  <c r="IZ105" i="1"/>
  <c r="IZ79" i="1"/>
  <c r="IZ101" i="1"/>
  <c r="IZ99" i="1"/>
  <c r="IZ73" i="1"/>
  <c r="IZ3" i="1"/>
  <c r="IZ64" i="1"/>
  <c r="JJ16" i="1"/>
  <c r="IZ15" i="1"/>
  <c r="IZ25" i="1"/>
  <c r="IZ6" i="1"/>
  <c r="JJ15" i="1"/>
  <c r="JJ6" i="1"/>
  <c r="JJ51" i="1"/>
  <c r="JJ25" i="1"/>
  <c r="JJ29" i="1"/>
  <c r="JJ70" i="1"/>
  <c r="JJ35" i="1"/>
  <c r="IP6" i="1"/>
  <c r="GH16" i="1"/>
  <c r="GH65" i="1"/>
  <c r="IP15" i="1"/>
  <c r="IP29" i="1"/>
  <c r="IP70" i="1"/>
  <c r="GH38" i="1"/>
  <c r="GH15" i="1"/>
  <c r="GH6" i="1"/>
  <c r="GH29" i="1"/>
  <c r="IP25" i="1"/>
  <c r="GH35" i="1"/>
  <c r="GH23" i="1"/>
  <c r="GH25" i="1"/>
  <c r="IP65" i="1"/>
  <c r="IP51" i="1"/>
  <c r="IP16" i="1"/>
  <c r="IZ65" i="1"/>
  <c r="IZ35" i="1"/>
  <c r="IP44" i="1"/>
  <c r="IZ51" i="1"/>
  <c r="IZ16" i="1"/>
  <c r="IP35" i="1"/>
  <c r="IZ44" i="1"/>
  <c r="GI27" i="1"/>
  <c r="GI5" i="1"/>
  <c r="GI84" i="1"/>
  <c r="JK5" i="1"/>
  <c r="JK27" i="1"/>
  <c r="GH98" i="1"/>
  <c r="GH77" i="1"/>
  <c r="KE5" i="1"/>
  <c r="KE27" i="1"/>
  <c r="KE84" i="1"/>
  <c r="HW8" i="1"/>
  <c r="HW5" i="1"/>
  <c r="HW84" i="1"/>
  <c r="HW27" i="1"/>
  <c r="IZ29" i="1"/>
  <c r="IZ70" i="1"/>
  <c r="JJ65" i="1"/>
  <c r="JJ77" i="1"/>
  <c r="JJ44" i="1"/>
  <c r="JJ110" i="1"/>
  <c r="JJ43" i="1"/>
  <c r="JJ54" i="1"/>
  <c r="JJ66" i="1"/>
  <c r="JJ75" i="1"/>
  <c r="JJ4" i="1"/>
  <c r="JJ97" i="1"/>
  <c r="HL110" i="1"/>
  <c r="HL43" i="1"/>
  <c r="HL75" i="1"/>
  <c r="HL97" i="1"/>
  <c r="HL54" i="1"/>
  <c r="HL4" i="1"/>
  <c r="HL66" i="1"/>
  <c r="IZ110" i="1"/>
  <c r="IZ43" i="1"/>
  <c r="IZ4" i="1"/>
  <c r="IZ75" i="1"/>
  <c r="IZ54" i="1"/>
  <c r="IZ66" i="1"/>
  <c r="IZ97" i="1"/>
  <c r="JK99" i="1"/>
  <c r="JK77" i="1"/>
  <c r="JK12" i="1"/>
  <c r="GR110" i="1"/>
  <c r="GR4" i="1"/>
  <c r="GR66" i="1"/>
  <c r="GR75" i="1"/>
  <c r="GR43" i="1"/>
  <c r="GR54" i="1"/>
  <c r="GR97" i="1"/>
  <c r="KE99" i="1"/>
  <c r="KE70" i="1"/>
  <c r="KE12" i="1"/>
  <c r="KE77" i="1"/>
  <c r="IP110" i="1"/>
  <c r="IP97" i="1"/>
  <c r="IP43" i="1"/>
  <c r="IP75" i="1"/>
  <c r="IP54" i="1"/>
  <c r="IP66" i="1"/>
  <c r="IP4" i="1"/>
  <c r="GI99" i="1"/>
  <c r="GI70" i="1"/>
  <c r="GI12" i="1"/>
  <c r="GI77" i="1"/>
  <c r="IF110" i="1"/>
  <c r="IF97" i="1"/>
  <c r="IF75" i="1"/>
  <c r="IF43" i="1"/>
  <c r="IF66" i="1"/>
  <c r="IF54" i="1"/>
  <c r="IF4" i="1"/>
  <c r="HW99" i="1"/>
  <c r="HW70" i="1"/>
  <c r="HW12" i="1"/>
  <c r="HW77" i="1"/>
  <c r="GH110" i="1"/>
  <c r="GH66" i="1"/>
  <c r="GH75" i="1"/>
  <c r="GH54" i="1"/>
  <c r="GH4" i="1"/>
  <c r="GH43" i="1"/>
  <c r="GH97" i="1"/>
  <c r="JT110" i="1"/>
  <c r="JT4" i="1"/>
  <c r="JT97" i="1"/>
  <c r="JT66" i="1"/>
  <c r="JT43" i="1"/>
  <c r="JT54" i="1"/>
  <c r="JT75" i="1"/>
  <c r="HB110" i="1"/>
  <c r="HB43" i="1"/>
  <c r="HB54" i="1"/>
  <c r="HB4" i="1"/>
  <c r="HB75" i="1"/>
  <c r="HB97" i="1"/>
  <c r="HB66" i="1"/>
  <c r="IZ93" i="1"/>
  <c r="IZ98" i="1"/>
  <c r="IP93" i="1"/>
  <c r="IP98" i="1"/>
  <c r="IF93" i="1"/>
  <c r="IF98" i="1"/>
  <c r="JT93" i="1"/>
  <c r="JT98" i="1"/>
  <c r="HL93" i="1"/>
  <c r="HL98" i="1"/>
  <c r="HB93" i="1"/>
  <c r="HB98" i="1"/>
  <c r="JJ93" i="1"/>
  <c r="JJ98" i="1"/>
  <c r="GR93" i="1"/>
  <c r="GR98" i="1"/>
  <c r="JJ86" i="1"/>
  <c r="JJ90" i="1"/>
  <c r="JJ89" i="1"/>
  <c r="JJ60" i="1"/>
  <c r="JJ84" i="1"/>
  <c r="JJ23" i="1"/>
  <c r="JJ67" i="1"/>
  <c r="JJ61" i="1"/>
  <c r="JJ92" i="1"/>
  <c r="JJ72" i="1"/>
  <c r="JJ38" i="1"/>
  <c r="JJ81" i="1"/>
  <c r="JJ59" i="1"/>
  <c r="JJ82" i="1"/>
  <c r="IP91" i="1"/>
  <c r="IP61" i="1"/>
  <c r="HW93" i="1"/>
  <c r="HW85" i="1"/>
  <c r="KE93" i="1"/>
  <c r="KE85" i="1"/>
  <c r="JK85" i="1"/>
  <c r="GI93" i="1"/>
  <c r="GI85" i="1"/>
  <c r="IZ84" i="1"/>
  <c r="IZ61" i="1"/>
  <c r="IP85" i="1"/>
  <c r="IP59" i="1"/>
  <c r="IQ1" i="1"/>
  <c r="IP86" i="1"/>
  <c r="IP84" i="1"/>
  <c r="IP67" i="1"/>
  <c r="IP89" i="1"/>
  <c r="IP60" i="1"/>
  <c r="IP72" i="1"/>
  <c r="IP92" i="1"/>
  <c r="IP63" i="1"/>
  <c r="IP69" i="1"/>
  <c r="IP62" i="1"/>
  <c r="IP82" i="1"/>
  <c r="IP90" i="1"/>
  <c r="IP81" i="1"/>
  <c r="IP80" i="1"/>
  <c r="IP23" i="1"/>
  <c r="IP38" i="1"/>
  <c r="IZ60" i="1"/>
  <c r="IZ80" i="1"/>
  <c r="IZ85" i="1"/>
  <c r="IZ86" i="1"/>
  <c r="IZ63" i="1"/>
  <c r="JA1" i="1"/>
  <c r="IZ90" i="1"/>
  <c r="IZ67" i="1"/>
  <c r="IZ91" i="1"/>
  <c r="IZ69" i="1"/>
  <c r="IZ62" i="1"/>
  <c r="JT92" i="1"/>
  <c r="JT72" i="1"/>
  <c r="JT59" i="1"/>
  <c r="JT23" i="1"/>
  <c r="JT82" i="1"/>
  <c r="JT38" i="1"/>
  <c r="JT81" i="1"/>
  <c r="JT89" i="1"/>
  <c r="HB92" i="1"/>
  <c r="HB81" i="1"/>
  <c r="HB38" i="1"/>
  <c r="HB23" i="1"/>
  <c r="HB59" i="1"/>
  <c r="HB82" i="1"/>
  <c r="HB72" i="1"/>
  <c r="HB89" i="1"/>
  <c r="JK4" i="1"/>
  <c r="JK35" i="1"/>
  <c r="JK79" i="1"/>
  <c r="JK11" i="1"/>
  <c r="GI4" i="1"/>
  <c r="GI79" i="1"/>
  <c r="GI35" i="1"/>
  <c r="GI11" i="1"/>
  <c r="KE79" i="1"/>
  <c r="KE35" i="1"/>
  <c r="KE11" i="1"/>
  <c r="IZ92" i="1"/>
  <c r="IZ59" i="1"/>
  <c r="IZ81" i="1"/>
  <c r="IZ23" i="1"/>
  <c r="IZ82" i="1"/>
  <c r="IZ89" i="1"/>
  <c r="IZ72" i="1"/>
  <c r="IZ38" i="1"/>
  <c r="IF92" i="1"/>
  <c r="IF82" i="1"/>
  <c r="IF89" i="1"/>
  <c r="IF81" i="1"/>
  <c r="IF72" i="1"/>
  <c r="IF59" i="1"/>
  <c r="IF23" i="1"/>
  <c r="IF38" i="1"/>
  <c r="GR92" i="1"/>
  <c r="GR38" i="1"/>
  <c r="GR82" i="1"/>
  <c r="GR59" i="1"/>
  <c r="GR23" i="1"/>
  <c r="GR89" i="1"/>
  <c r="GR72" i="1"/>
  <c r="GR81" i="1"/>
  <c r="JA4" i="1"/>
  <c r="HL92" i="1"/>
  <c r="HL23" i="1"/>
  <c r="HL59" i="1"/>
  <c r="HL72" i="1"/>
  <c r="HL81" i="1"/>
  <c r="HL82" i="1"/>
  <c r="HL38" i="1"/>
  <c r="HL89" i="1"/>
  <c r="IQ4" i="1"/>
  <c r="HW4" i="1"/>
  <c r="HW11" i="1"/>
  <c r="HW35" i="1"/>
  <c r="HW79" i="1"/>
  <c r="JT20" i="1"/>
  <c r="JT91" i="1"/>
  <c r="JT90" i="1"/>
  <c r="HB20" i="1"/>
  <c r="HB90" i="1"/>
  <c r="HB91" i="1"/>
  <c r="GR20" i="1"/>
  <c r="GR91" i="1"/>
  <c r="GR90" i="1"/>
  <c r="IF20" i="1"/>
  <c r="IF91" i="1"/>
  <c r="IF90" i="1"/>
  <c r="HL20" i="1"/>
  <c r="HL90" i="1"/>
  <c r="HL91" i="1"/>
  <c r="KF1" i="1"/>
  <c r="KE4" i="1"/>
  <c r="GI7" i="1"/>
  <c r="GI26" i="1"/>
  <c r="JK7" i="1"/>
  <c r="KE68" i="1"/>
  <c r="KE26" i="1"/>
  <c r="KE7" i="1"/>
  <c r="KE66" i="1"/>
  <c r="GR61" i="1"/>
  <c r="GR78" i="1"/>
  <c r="GR35" i="1"/>
  <c r="GR65" i="1"/>
  <c r="GR44" i="1"/>
  <c r="GR76" i="1"/>
  <c r="GR69" i="1"/>
  <c r="GR70" i="1"/>
  <c r="IF61" i="1"/>
  <c r="IF76" i="1"/>
  <c r="IF44" i="1"/>
  <c r="IF65" i="1"/>
  <c r="IF78" i="1"/>
  <c r="IF69" i="1"/>
  <c r="IF35" i="1"/>
  <c r="IF70" i="1"/>
  <c r="JA7" i="1"/>
  <c r="HB61" i="1"/>
  <c r="HB44" i="1"/>
  <c r="HB76" i="1"/>
  <c r="HB65" i="1"/>
  <c r="HB69" i="1"/>
  <c r="HB78" i="1"/>
  <c r="HB35" i="1"/>
  <c r="HB70" i="1"/>
  <c r="HL61" i="1"/>
  <c r="HL44" i="1"/>
  <c r="HL65" i="1"/>
  <c r="HL76" i="1"/>
  <c r="HL35" i="1"/>
  <c r="HL78" i="1"/>
  <c r="HL69" i="1"/>
  <c r="HL70" i="1"/>
  <c r="HW68" i="1"/>
  <c r="HW7" i="1"/>
  <c r="HW26" i="1"/>
  <c r="JT61" i="1"/>
  <c r="JT70" i="1"/>
  <c r="JT78" i="1"/>
  <c r="JT65" i="1"/>
  <c r="JT35" i="1"/>
  <c r="JT44" i="1"/>
  <c r="JT76" i="1"/>
  <c r="JT69" i="1"/>
  <c r="KE75" i="1"/>
  <c r="HW6" i="1"/>
  <c r="HX1" i="1"/>
  <c r="HW16" i="1"/>
  <c r="HW75" i="1"/>
  <c r="IQ75" i="1"/>
  <c r="IQ16" i="1"/>
  <c r="IQ68" i="1"/>
  <c r="JK16" i="1"/>
  <c r="JK75" i="1"/>
  <c r="GI16" i="1"/>
  <c r="GI75" i="1"/>
  <c r="JA16" i="1"/>
  <c r="JA75" i="1"/>
  <c r="HB50" i="1"/>
  <c r="HB88" i="1"/>
  <c r="HB17" i="1"/>
  <c r="HB8" i="1"/>
  <c r="HB30" i="1"/>
  <c r="HB67" i="1"/>
  <c r="HB11" i="1"/>
  <c r="HB62" i="1"/>
  <c r="HB52" i="1"/>
  <c r="KF4" i="1"/>
  <c r="KF24" i="1"/>
  <c r="JT50" i="1"/>
  <c r="JT88" i="1"/>
  <c r="JT8" i="1"/>
  <c r="JT17" i="1"/>
  <c r="JT52" i="1"/>
  <c r="JT30" i="1"/>
  <c r="JT67" i="1"/>
  <c r="JT11" i="1"/>
  <c r="JT62" i="1"/>
  <c r="HL88" i="1"/>
  <c r="HL50" i="1"/>
  <c r="HL8" i="1"/>
  <c r="HL17" i="1"/>
  <c r="HL30" i="1"/>
  <c r="HL11" i="1"/>
  <c r="HL67" i="1"/>
  <c r="HL62" i="1"/>
  <c r="HL52" i="1"/>
  <c r="GR88" i="1"/>
  <c r="GR50" i="1"/>
  <c r="GR67" i="1"/>
  <c r="GR11" i="1"/>
  <c r="GR52" i="1"/>
  <c r="GR30" i="1"/>
  <c r="GR8" i="1"/>
  <c r="GR17" i="1"/>
  <c r="GR62" i="1"/>
  <c r="IF50" i="1"/>
  <c r="IF88" i="1"/>
  <c r="IF67" i="1"/>
  <c r="IF17" i="1"/>
  <c r="IF30" i="1"/>
  <c r="IF11" i="1"/>
  <c r="IF8" i="1"/>
  <c r="IF62" i="1"/>
  <c r="IF52" i="1"/>
  <c r="HL63" i="1"/>
  <c r="HL27" i="1"/>
  <c r="HL45" i="1"/>
  <c r="HL56" i="1"/>
  <c r="HL5" i="1"/>
  <c r="HL29" i="1"/>
  <c r="HL80" i="1"/>
  <c r="HL84" i="1"/>
  <c r="HL24" i="1"/>
  <c r="HL46" i="1"/>
  <c r="HL16" i="1"/>
  <c r="HX26" i="1"/>
  <c r="HX20" i="1"/>
  <c r="GR46" i="1"/>
  <c r="GR56" i="1"/>
  <c r="GR16" i="1"/>
  <c r="GR63" i="1"/>
  <c r="GR45" i="1"/>
  <c r="GR5" i="1"/>
  <c r="GR27" i="1"/>
  <c r="GR80" i="1"/>
  <c r="GR29" i="1"/>
  <c r="GR24" i="1"/>
  <c r="GR84" i="1"/>
  <c r="IF27" i="1"/>
  <c r="IF16" i="1"/>
  <c r="IF56" i="1"/>
  <c r="IF84" i="1"/>
  <c r="IF63" i="1"/>
  <c r="IF5" i="1"/>
  <c r="IF29" i="1"/>
  <c r="IF45" i="1"/>
  <c r="IF80" i="1"/>
  <c r="IF24" i="1"/>
  <c r="IF46" i="1"/>
  <c r="JK88" i="1"/>
  <c r="JK6" i="1"/>
  <c r="JK65" i="1"/>
  <c r="IQ6" i="1"/>
  <c r="IQ65" i="1"/>
  <c r="KF26" i="1"/>
  <c r="KF20" i="1"/>
  <c r="JT63" i="1"/>
  <c r="JT45" i="1"/>
  <c r="JT80" i="1"/>
  <c r="JT24" i="1"/>
  <c r="JT5" i="1"/>
  <c r="JT16" i="1"/>
  <c r="JT46" i="1"/>
  <c r="JT29" i="1"/>
  <c r="JT56" i="1"/>
  <c r="JT27" i="1"/>
  <c r="JT84" i="1"/>
  <c r="JA88" i="1"/>
  <c r="JA6" i="1"/>
  <c r="JA65" i="1"/>
  <c r="GI88" i="1"/>
  <c r="GI8" i="1"/>
  <c r="GI6" i="1"/>
  <c r="GI65" i="1"/>
  <c r="HB45" i="1"/>
  <c r="HB80" i="1"/>
  <c r="HB5" i="1"/>
  <c r="HB84" i="1"/>
  <c r="HB46" i="1"/>
  <c r="HB56" i="1"/>
  <c r="HB63" i="1"/>
  <c r="HB29" i="1"/>
  <c r="HB24" i="1"/>
  <c r="HB27" i="1"/>
  <c r="HB16" i="1"/>
  <c r="GR36" i="1"/>
  <c r="GR12" i="1"/>
  <c r="IF36" i="1"/>
  <c r="IF12" i="1"/>
  <c r="JT36" i="1"/>
  <c r="JT12" i="1"/>
  <c r="HB36" i="1"/>
  <c r="HB12" i="1"/>
  <c r="HL36" i="1"/>
  <c r="HL12" i="1"/>
  <c r="IQ72" i="1"/>
  <c r="IQ88" i="1"/>
  <c r="HL85" i="1"/>
  <c r="HL86" i="1"/>
  <c r="HL49" i="1"/>
  <c r="HL15" i="1"/>
  <c r="HL51" i="1"/>
  <c r="HM1" i="1"/>
  <c r="HL68" i="1"/>
  <c r="HL10" i="1"/>
  <c r="HL60" i="1"/>
  <c r="HL25" i="1"/>
  <c r="HL13" i="1"/>
  <c r="HL6" i="1"/>
  <c r="HL47" i="1"/>
  <c r="GR47" i="1"/>
  <c r="IF51" i="1"/>
  <c r="IF47" i="1"/>
  <c r="IF25" i="1"/>
  <c r="IF15" i="1"/>
  <c r="IF49" i="1"/>
  <c r="IF10" i="1"/>
  <c r="IG1" i="1"/>
  <c r="IF13" i="1"/>
  <c r="IF60" i="1"/>
  <c r="IF86" i="1"/>
  <c r="IF68" i="1"/>
  <c r="IF85" i="1"/>
  <c r="IF6" i="1"/>
  <c r="JA66" i="1"/>
  <c r="JA17" i="1"/>
  <c r="JA72" i="1"/>
  <c r="JT47" i="1"/>
  <c r="HB47" i="1"/>
  <c r="JK66" i="1"/>
  <c r="JK72" i="1"/>
  <c r="GI66" i="1"/>
  <c r="GI72" i="1"/>
  <c r="HB49" i="1"/>
  <c r="HB13" i="1"/>
  <c r="HB25" i="1"/>
  <c r="HC1" i="1"/>
  <c r="HB86" i="1"/>
  <c r="HB68" i="1"/>
  <c r="HB51" i="1"/>
  <c r="HB6" i="1"/>
  <c r="HB15" i="1"/>
  <c r="HB10" i="1"/>
  <c r="HB85" i="1"/>
  <c r="HB60" i="1"/>
  <c r="IQ66" i="1"/>
  <c r="IQ17" i="1"/>
  <c r="GS1" i="1"/>
  <c r="GR85" i="1"/>
  <c r="GR15" i="1"/>
  <c r="GR10" i="1"/>
  <c r="GR13" i="1"/>
  <c r="GR51" i="1"/>
  <c r="GR86" i="1"/>
  <c r="GR6" i="1"/>
  <c r="GR49" i="1"/>
  <c r="GR25" i="1"/>
  <c r="GR60" i="1"/>
  <c r="GR68" i="1"/>
  <c r="JT86" i="1"/>
  <c r="JT49" i="1"/>
  <c r="JT25" i="1"/>
  <c r="JT68" i="1"/>
  <c r="JT60" i="1"/>
  <c r="JT6" i="1"/>
  <c r="JT10" i="1"/>
  <c r="JT51" i="1"/>
  <c r="JT15" i="1"/>
  <c r="JT85" i="1"/>
  <c r="JT13" i="1"/>
  <c r="JU1" i="1"/>
  <c r="HX27" i="1"/>
  <c r="HD27" i="1"/>
  <c r="GI17" i="1"/>
  <c r="GJ1" i="1"/>
  <c r="GI68" i="1"/>
  <c r="JK68" i="1"/>
  <c r="JK17" i="1"/>
  <c r="GS78" i="1" l="1"/>
  <c r="GS49" i="1"/>
  <c r="GS51" i="1"/>
  <c r="JK78" i="1"/>
  <c r="JK49" i="1"/>
  <c r="JK51" i="1"/>
  <c r="IQ78" i="1"/>
  <c r="IQ49" i="1"/>
  <c r="IQ51" i="1"/>
  <c r="JA78" i="1"/>
  <c r="JA49" i="1"/>
  <c r="JA51" i="1"/>
  <c r="KF35" i="1"/>
  <c r="KF81" i="1"/>
  <c r="GJ35" i="1"/>
  <c r="GJ81" i="1"/>
  <c r="HX35" i="1"/>
  <c r="HX81" i="1"/>
  <c r="JU78" i="1"/>
  <c r="JU51" i="1"/>
  <c r="JU49" i="1"/>
  <c r="HM78" i="1"/>
  <c r="HM49" i="1"/>
  <c r="HM51" i="1"/>
  <c r="IG78" i="1"/>
  <c r="IG51" i="1"/>
  <c r="IG49" i="1"/>
  <c r="HC78" i="1"/>
  <c r="HC51" i="1"/>
  <c r="HC49" i="1"/>
  <c r="GS53" i="1"/>
  <c r="GS63" i="1"/>
  <c r="JU53" i="1"/>
  <c r="JU63" i="1"/>
  <c r="JK53" i="1"/>
  <c r="JK63" i="1"/>
  <c r="IQ53" i="1"/>
  <c r="IQ63" i="1"/>
  <c r="JA53" i="1"/>
  <c r="JA63" i="1"/>
  <c r="HC53" i="1"/>
  <c r="HC63" i="1"/>
  <c r="HM53" i="1"/>
  <c r="HM63" i="1"/>
  <c r="IG53" i="1"/>
  <c r="IG63" i="1"/>
  <c r="HC62" i="1"/>
  <c r="HC100" i="1"/>
  <c r="HC52" i="1"/>
  <c r="HC25" i="1"/>
  <c r="HC15" i="1"/>
  <c r="JA52" i="1"/>
  <c r="JA25" i="1"/>
  <c r="JA100" i="1"/>
  <c r="JA62" i="1"/>
  <c r="JA15" i="1"/>
  <c r="JK62" i="1"/>
  <c r="JK25" i="1"/>
  <c r="JK100" i="1"/>
  <c r="JK52" i="1"/>
  <c r="JK15" i="1"/>
  <c r="HM52" i="1"/>
  <c r="HM15" i="1"/>
  <c r="HM62" i="1"/>
  <c r="HM25" i="1"/>
  <c r="HM100" i="1"/>
  <c r="IG25" i="1"/>
  <c r="IG62" i="1"/>
  <c r="IG100" i="1"/>
  <c r="IG15" i="1"/>
  <c r="IG52" i="1"/>
  <c r="IQ52" i="1"/>
  <c r="IQ25" i="1"/>
  <c r="IQ15" i="1"/>
  <c r="IQ100" i="1"/>
  <c r="IQ62" i="1"/>
  <c r="JK93" i="1"/>
  <c r="GS62" i="1"/>
  <c r="GS100" i="1"/>
  <c r="GS25" i="1"/>
  <c r="GS15" i="1"/>
  <c r="GS52" i="1"/>
  <c r="JU62" i="1"/>
  <c r="JU15" i="1"/>
  <c r="JU25" i="1"/>
  <c r="JU100" i="1"/>
  <c r="JU52" i="1"/>
  <c r="HC73" i="1"/>
  <c r="HC109" i="1"/>
  <c r="HC96" i="1"/>
  <c r="HC94" i="1"/>
  <c r="HM73" i="1"/>
  <c r="HM94" i="1"/>
  <c r="HM96" i="1"/>
  <c r="HM109" i="1"/>
  <c r="IG96" i="1"/>
  <c r="IG109" i="1"/>
  <c r="IG73" i="1"/>
  <c r="IG94" i="1"/>
  <c r="GS73" i="1"/>
  <c r="GS96" i="1"/>
  <c r="GS109" i="1"/>
  <c r="GS94" i="1"/>
  <c r="IQ73" i="1"/>
  <c r="IQ96" i="1"/>
  <c r="IQ94" i="1"/>
  <c r="IQ109" i="1"/>
  <c r="JU96" i="1"/>
  <c r="JU109" i="1"/>
  <c r="JU73" i="1"/>
  <c r="JU94" i="1"/>
  <c r="JA68" i="1"/>
  <c r="JA109" i="1"/>
  <c r="JA94" i="1"/>
  <c r="JA73" i="1"/>
  <c r="JA96" i="1"/>
  <c r="JK109" i="1"/>
  <c r="JK73" i="1"/>
  <c r="JK94" i="1"/>
  <c r="JK96" i="1"/>
  <c r="JU29" i="1"/>
  <c r="JU60" i="1"/>
  <c r="IQ60" i="1"/>
  <c r="IQ29" i="1"/>
  <c r="JA60" i="1"/>
  <c r="JA29" i="1"/>
  <c r="JK29" i="1"/>
  <c r="JK60" i="1"/>
  <c r="HC60" i="1"/>
  <c r="HC29" i="1"/>
  <c r="HM60" i="1"/>
  <c r="HM29" i="1"/>
  <c r="KF15" i="1"/>
  <c r="KF84" i="1"/>
  <c r="GS29" i="1"/>
  <c r="GS60" i="1"/>
  <c r="IG60" i="1"/>
  <c r="IG29" i="1"/>
  <c r="HX15" i="1"/>
  <c r="HX84" i="1"/>
  <c r="GJ15" i="1"/>
  <c r="GJ84" i="1"/>
  <c r="JA10" i="1"/>
  <c r="JA43" i="1"/>
  <c r="JA36" i="1"/>
  <c r="JA64" i="1"/>
  <c r="JU64" i="1"/>
  <c r="JU10" i="1"/>
  <c r="JU43" i="1"/>
  <c r="JU36" i="1"/>
  <c r="HC36" i="1"/>
  <c r="HC64" i="1"/>
  <c r="HC43" i="1"/>
  <c r="HC10" i="1"/>
  <c r="JK43" i="1"/>
  <c r="JK64" i="1"/>
  <c r="JK36" i="1"/>
  <c r="JK10" i="1"/>
  <c r="HM10" i="1"/>
  <c r="HM64" i="1"/>
  <c r="HM43" i="1"/>
  <c r="HM36" i="1"/>
  <c r="IG64" i="1"/>
  <c r="IG10" i="1"/>
  <c r="IG43" i="1"/>
  <c r="IG36" i="1"/>
  <c r="GS43" i="1"/>
  <c r="GS64" i="1"/>
  <c r="GS36" i="1"/>
  <c r="GS10" i="1"/>
  <c r="IQ43" i="1"/>
  <c r="IQ36" i="1"/>
  <c r="IQ64" i="1"/>
  <c r="IQ10" i="1"/>
  <c r="IG59" i="1"/>
  <c r="IG83" i="1"/>
  <c r="IG80" i="1"/>
  <c r="IG108" i="1"/>
  <c r="GS80" i="1"/>
  <c r="GS83" i="1"/>
  <c r="GS108" i="1"/>
  <c r="GS59" i="1"/>
  <c r="IQ80" i="1"/>
  <c r="IQ108" i="1"/>
  <c r="IQ83" i="1"/>
  <c r="IQ59" i="1"/>
  <c r="JU108" i="1"/>
  <c r="JU83" i="1"/>
  <c r="JU80" i="1"/>
  <c r="JU59" i="1"/>
  <c r="HC59" i="1"/>
  <c r="HC108" i="1"/>
  <c r="HC80" i="1"/>
  <c r="HC83" i="1"/>
  <c r="JA108" i="1"/>
  <c r="JA80" i="1"/>
  <c r="JA83" i="1"/>
  <c r="JA59" i="1"/>
  <c r="JK8" i="1"/>
  <c r="JK83" i="1"/>
  <c r="JK108" i="1"/>
  <c r="JK80" i="1"/>
  <c r="JK59" i="1"/>
  <c r="HM108" i="1"/>
  <c r="HM59" i="1"/>
  <c r="HM80" i="1"/>
  <c r="HM83" i="1"/>
  <c r="JK84" i="1"/>
  <c r="IG47" i="1"/>
  <c r="IG71" i="1"/>
  <c r="JA26" i="1"/>
  <c r="JA71" i="1"/>
  <c r="JA47" i="1"/>
  <c r="GS47" i="1"/>
  <c r="GS71" i="1"/>
  <c r="JU47" i="1"/>
  <c r="JU71" i="1"/>
  <c r="JK26" i="1"/>
  <c r="JK47" i="1"/>
  <c r="JK71" i="1"/>
  <c r="IQ26" i="1"/>
  <c r="IQ47" i="1"/>
  <c r="IQ71" i="1"/>
  <c r="HM71" i="1"/>
  <c r="HM47" i="1"/>
  <c r="HC71" i="1"/>
  <c r="HC47" i="1"/>
  <c r="IG24" i="1"/>
  <c r="IG82" i="1"/>
  <c r="GS24" i="1"/>
  <c r="GS82" i="1"/>
  <c r="JU24" i="1"/>
  <c r="JU82" i="1"/>
  <c r="HC24" i="1"/>
  <c r="HC82" i="1"/>
  <c r="HM82" i="1"/>
  <c r="HM24" i="1"/>
  <c r="IQ8" i="1"/>
  <c r="IQ82" i="1"/>
  <c r="IQ24" i="1"/>
  <c r="JA8" i="1"/>
  <c r="JA24" i="1"/>
  <c r="JA82" i="1"/>
  <c r="JK82" i="1"/>
  <c r="JK24" i="1"/>
  <c r="IR1" i="1"/>
  <c r="HC76" i="1"/>
  <c r="HC106" i="1"/>
  <c r="IG76" i="1"/>
  <c r="IG106" i="1"/>
  <c r="HM76" i="1"/>
  <c r="HM106" i="1"/>
  <c r="GS76" i="1"/>
  <c r="GS106" i="1"/>
  <c r="IQ7" i="1"/>
  <c r="IQ76" i="1"/>
  <c r="IQ106" i="1"/>
  <c r="JU106" i="1"/>
  <c r="JU76" i="1"/>
  <c r="JK106" i="1"/>
  <c r="JK76" i="1"/>
  <c r="JA76" i="1"/>
  <c r="JA106" i="1"/>
  <c r="JK70" i="1"/>
  <c r="JL1" i="1"/>
  <c r="JL81" i="1" s="1"/>
  <c r="IR23" i="1"/>
  <c r="HX23" i="1"/>
  <c r="HX85" i="1"/>
  <c r="HX108" i="1"/>
  <c r="JU42" i="1"/>
  <c r="JU95" i="1"/>
  <c r="JU30" i="1"/>
  <c r="JU107" i="1"/>
  <c r="JL23" i="1"/>
  <c r="JL85" i="1"/>
  <c r="JA42" i="1"/>
  <c r="JA30" i="1"/>
  <c r="JA95" i="1"/>
  <c r="JA107" i="1"/>
  <c r="GJ23" i="1"/>
  <c r="GJ108" i="1"/>
  <c r="GJ85" i="1"/>
  <c r="KF23" i="1"/>
  <c r="KF108" i="1"/>
  <c r="KF85" i="1"/>
  <c r="JK95" i="1"/>
  <c r="JK42" i="1"/>
  <c r="JK30" i="1"/>
  <c r="JK107" i="1"/>
  <c r="HM42" i="1"/>
  <c r="HM30" i="1"/>
  <c r="HM95" i="1"/>
  <c r="HM107" i="1"/>
  <c r="HC30" i="1"/>
  <c r="HC95" i="1"/>
  <c r="HC42" i="1"/>
  <c r="HC107" i="1"/>
  <c r="IG95" i="1"/>
  <c r="IG42" i="1"/>
  <c r="IG30" i="1"/>
  <c r="IG107" i="1"/>
  <c r="GS95" i="1"/>
  <c r="GS42" i="1"/>
  <c r="GS30" i="1"/>
  <c r="GS107" i="1"/>
  <c r="IQ30" i="1"/>
  <c r="IQ95" i="1"/>
  <c r="IQ42" i="1"/>
  <c r="IQ107" i="1"/>
  <c r="GS5" i="1"/>
  <c r="GS84" i="1"/>
  <c r="GS27" i="1"/>
  <c r="IR8" i="1"/>
  <c r="IR98" i="1"/>
  <c r="HX8" i="1"/>
  <c r="HX98" i="1"/>
  <c r="JA5" i="1"/>
  <c r="JA84" i="1"/>
  <c r="JA27" i="1"/>
  <c r="HC27" i="1"/>
  <c r="HC84" i="1"/>
  <c r="HC5" i="1"/>
  <c r="JL98" i="1"/>
  <c r="JL8" i="1"/>
  <c r="KF98" i="1"/>
  <c r="KF8" i="1"/>
  <c r="GJ8" i="1"/>
  <c r="GJ98" i="1"/>
  <c r="HM27" i="1"/>
  <c r="HM5" i="1"/>
  <c r="HM84" i="1"/>
  <c r="IG84" i="1"/>
  <c r="IG5" i="1"/>
  <c r="IG27" i="1"/>
  <c r="JU5" i="1"/>
  <c r="JU84" i="1"/>
  <c r="JU27" i="1"/>
  <c r="IQ84" i="1"/>
  <c r="IQ5" i="1"/>
  <c r="IQ27" i="1"/>
  <c r="HM99" i="1"/>
  <c r="HM77" i="1"/>
  <c r="HM70" i="1"/>
  <c r="HM12" i="1"/>
  <c r="IG99" i="1"/>
  <c r="IG12" i="1"/>
  <c r="IG70" i="1"/>
  <c r="IG77" i="1"/>
  <c r="GS99" i="1"/>
  <c r="GS12" i="1"/>
  <c r="GS70" i="1"/>
  <c r="GS77" i="1"/>
  <c r="IQ70" i="1"/>
  <c r="IQ77" i="1"/>
  <c r="IQ12" i="1"/>
  <c r="JU99" i="1"/>
  <c r="JU70" i="1"/>
  <c r="JU12" i="1"/>
  <c r="JU77" i="1"/>
  <c r="HX29" i="1"/>
  <c r="HX5" i="1"/>
  <c r="JA77" i="1"/>
  <c r="JA70" i="1"/>
  <c r="JA12" i="1"/>
  <c r="HC99" i="1"/>
  <c r="HC77" i="1"/>
  <c r="HC70" i="1"/>
  <c r="HC12" i="1"/>
  <c r="GJ29" i="1"/>
  <c r="GJ5" i="1"/>
  <c r="KF29" i="1"/>
  <c r="KF5" i="1"/>
  <c r="IQ79" i="1"/>
  <c r="IQ99" i="1"/>
  <c r="JA35" i="1"/>
  <c r="JA99" i="1"/>
  <c r="JA11" i="1"/>
  <c r="JA79" i="1"/>
  <c r="GS93" i="1"/>
  <c r="GS85" i="1"/>
  <c r="HC93" i="1"/>
  <c r="HC85" i="1"/>
  <c r="JB1" i="1"/>
  <c r="IQ93" i="1"/>
  <c r="IQ85" i="1"/>
  <c r="HM93" i="1"/>
  <c r="HM85" i="1"/>
  <c r="JA93" i="1"/>
  <c r="JA85" i="1"/>
  <c r="IG93" i="1"/>
  <c r="IG85" i="1"/>
  <c r="JU93" i="1"/>
  <c r="JU85" i="1"/>
  <c r="IQ11" i="1"/>
  <c r="IQ35" i="1"/>
  <c r="GJ7" i="1"/>
  <c r="GJ83" i="1"/>
  <c r="GJ88" i="1"/>
  <c r="HM4" i="1"/>
  <c r="HM79" i="1"/>
  <c r="HM11" i="1"/>
  <c r="HM35" i="1"/>
  <c r="KF83" i="1"/>
  <c r="KF88" i="1"/>
  <c r="GS4" i="1"/>
  <c r="GS35" i="1"/>
  <c r="GS79" i="1"/>
  <c r="GS11" i="1"/>
  <c r="IG4" i="1"/>
  <c r="IG79" i="1"/>
  <c r="IG35" i="1"/>
  <c r="IG11" i="1"/>
  <c r="JU4" i="1"/>
  <c r="JU79" i="1"/>
  <c r="JU35" i="1"/>
  <c r="JU11" i="1"/>
  <c r="IR88" i="1"/>
  <c r="IR83" i="1"/>
  <c r="HX7" i="1"/>
  <c r="HX83" i="1"/>
  <c r="HX88" i="1"/>
  <c r="JL7" i="1"/>
  <c r="JL83" i="1"/>
  <c r="JL88" i="1"/>
  <c r="HC4" i="1"/>
  <c r="HC11" i="1"/>
  <c r="HC35" i="1"/>
  <c r="HC79" i="1"/>
  <c r="IR64" i="1"/>
  <c r="IR7" i="1"/>
  <c r="JB64" i="1"/>
  <c r="JB7" i="1"/>
  <c r="KF64" i="1"/>
  <c r="KF7" i="1"/>
  <c r="GJ24" i="1"/>
  <c r="GJ64" i="1"/>
  <c r="HC7" i="1"/>
  <c r="HC26" i="1"/>
  <c r="HM26" i="1"/>
  <c r="HM7" i="1"/>
  <c r="HM66" i="1"/>
  <c r="GS7" i="1"/>
  <c r="GS26" i="1"/>
  <c r="IG7" i="1"/>
  <c r="IG26" i="1"/>
  <c r="IG66" i="1"/>
  <c r="JU26" i="1"/>
  <c r="JU7" i="1"/>
  <c r="JL24" i="1"/>
  <c r="JL64" i="1"/>
  <c r="HX24" i="1"/>
  <c r="HX64" i="1"/>
  <c r="HX4" i="1"/>
  <c r="GS75" i="1"/>
  <c r="GS16" i="1"/>
  <c r="GS68" i="1"/>
  <c r="JB20" i="1"/>
  <c r="JB24" i="1"/>
  <c r="JU75" i="1"/>
  <c r="JU16" i="1"/>
  <c r="JU68" i="1"/>
  <c r="IR20" i="1"/>
  <c r="IR24" i="1"/>
  <c r="IG75" i="1"/>
  <c r="IG16" i="1"/>
  <c r="IG68" i="1"/>
  <c r="HC75" i="1"/>
  <c r="HC16" i="1"/>
  <c r="HC68" i="1"/>
  <c r="HM75" i="1"/>
  <c r="HM16" i="1"/>
  <c r="HM68" i="1"/>
  <c r="JU6" i="1"/>
  <c r="JU8" i="1"/>
  <c r="JU65" i="1"/>
  <c r="GS65" i="1"/>
  <c r="GS6" i="1"/>
  <c r="GS8" i="1"/>
  <c r="JL26" i="1"/>
  <c r="JL20" i="1"/>
  <c r="IG88" i="1"/>
  <c r="IG65" i="1"/>
  <c r="IG6" i="1"/>
  <c r="IG8" i="1"/>
  <c r="GJ26" i="1"/>
  <c r="GJ20" i="1"/>
  <c r="HC8" i="1"/>
  <c r="HC65" i="1"/>
  <c r="HC6" i="1"/>
  <c r="HM88" i="1"/>
  <c r="HM8" i="1"/>
  <c r="HM65" i="1"/>
  <c r="HM6" i="1"/>
  <c r="HC72" i="1"/>
  <c r="HC88" i="1"/>
  <c r="GS72" i="1"/>
  <c r="GS88" i="1"/>
  <c r="JU72" i="1"/>
  <c r="JU88" i="1"/>
  <c r="HM72" i="1"/>
  <c r="HM17" i="1"/>
  <c r="HN1" i="1"/>
  <c r="JB26" i="1"/>
  <c r="JB4" i="1"/>
  <c r="IG72" i="1"/>
  <c r="IG17" i="1"/>
  <c r="IH1" i="1"/>
  <c r="HC66" i="1"/>
  <c r="HD1" i="1"/>
  <c r="HC17" i="1"/>
  <c r="IR26" i="1"/>
  <c r="IR4" i="1"/>
  <c r="GS17" i="1"/>
  <c r="GT1" i="1"/>
  <c r="GS66" i="1"/>
  <c r="JU66" i="1"/>
  <c r="JU17" i="1"/>
  <c r="JV1" i="1"/>
  <c r="GJ4" i="1"/>
  <c r="GJ27" i="1"/>
  <c r="JL27" i="1"/>
  <c r="JL4" i="1"/>
  <c r="JB35" i="1" l="1"/>
  <c r="JB81" i="1"/>
  <c r="IR35" i="1"/>
  <c r="IR81" i="1"/>
  <c r="HN35" i="1"/>
  <c r="HN81" i="1"/>
  <c r="JV35" i="1"/>
  <c r="JV81" i="1"/>
  <c r="HD35" i="1"/>
  <c r="HD81" i="1"/>
  <c r="IH35" i="1"/>
  <c r="IH81" i="1"/>
  <c r="GT35" i="1"/>
  <c r="GT81" i="1"/>
  <c r="JL84" i="1"/>
  <c r="JL35" i="1"/>
  <c r="JL108" i="1"/>
  <c r="JB15" i="1"/>
  <c r="JB84" i="1"/>
  <c r="JV15" i="1"/>
  <c r="JV84" i="1"/>
  <c r="IR85" i="1"/>
  <c r="IR84" i="1"/>
  <c r="HN15" i="1"/>
  <c r="HN84" i="1"/>
  <c r="HD15" i="1"/>
  <c r="HD84" i="1"/>
  <c r="GT15" i="1"/>
  <c r="GT84" i="1"/>
  <c r="IH15" i="1"/>
  <c r="IH84" i="1"/>
  <c r="IR108" i="1"/>
  <c r="IR5" i="1"/>
  <c r="IR15" i="1"/>
  <c r="JL5" i="1"/>
  <c r="JL15" i="1"/>
  <c r="IR29" i="1"/>
  <c r="JL29" i="1"/>
  <c r="HD23" i="1"/>
  <c r="HD85" i="1"/>
  <c r="HD108" i="1"/>
  <c r="GT23" i="1"/>
  <c r="GT108" i="1"/>
  <c r="GT85" i="1"/>
  <c r="JB23" i="1"/>
  <c r="JB108" i="1"/>
  <c r="JB85" i="1"/>
  <c r="JV23" i="1"/>
  <c r="JV85" i="1"/>
  <c r="JV108" i="1"/>
  <c r="HN23" i="1"/>
  <c r="HN108" i="1"/>
  <c r="HN85" i="1"/>
  <c r="IH23" i="1"/>
  <c r="IH108" i="1"/>
  <c r="IH85" i="1"/>
  <c r="HN8" i="1"/>
  <c r="HN98" i="1"/>
  <c r="JB8" i="1"/>
  <c r="JB98" i="1"/>
  <c r="JV8" i="1"/>
  <c r="JV98" i="1"/>
  <c r="HD8" i="1"/>
  <c r="HD98" i="1"/>
  <c r="IH8" i="1"/>
  <c r="IH98" i="1"/>
  <c r="GT98" i="1"/>
  <c r="GT8" i="1"/>
  <c r="JB88" i="1"/>
  <c r="JB5" i="1"/>
  <c r="JB29" i="1"/>
  <c r="HD5" i="1"/>
  <c r="HD29" i="1"/>
  <c r="JV5" i="1"/>
  <c r="JV29" i="1"/>
  <c r="HN5" i="1"/>
  <c r="HN29" i="1"/>
  <c r="IH29" i="1"/>
  <c r="IH5" i="1"/>
  <c r="GT5" i="1"/>
  <c r="GT29" i="1"/>
  <c r="JB83" i="1"/>
  <c r="JV83" i="1"/>
  <c r="JV88" i="1"/>
  <c r="HN83" i="1"/>
  <c r="HN88" i="1"/>
  <c r="HD83" i="1"/>
  <c r="HD88" i="1"/>
  <c r="IH83" i="1"/>
  <c r="IH88" i="1"/>
  <c r="GT88" i="1"/>
  <c r="GT83" i="1"/>
  <c r="JV64" i="1"/>
  <c r="JV7" i="1"/>
  <c r="HN64" i="1"/>
  <c r="HN7" i="1"/>
  <c r="HD64" i="1"/>
  <c r="HD7" i="1"/>
  <c r="IH64" i="1"/>
  <c r="IH7" i="1"/>
  <c r="GT64" i="1"/>
  <c r="GT7" i="1"/>
  <c r="HD20" i="1"/>
  <c r="HD24" i="1"/>
  <c r="IH20" i="1"/>
  <c r="IH24" i="1"/>
  <c r="GT20" i="1"/>
  <c r="GT24" i="1"/>
  <c r="JV20" i="1"/>
  <c r="JV24" i="1"/>
  <c r="HN20" i="1"/>
  <c r="HN24" i="1"/>
  <c r="HN26" i="1"/>
  <c r="HN4" i="1"/>
  <c r="IH26" i="1"/>
  <c r="IH4" i="1"/>
  <c r="HD26" i="1"/>
  <c r="HD4" i="1"/>
  <c r="GT4" i="1"/>
  <c r="GT26" i="1"/>
  <c r="JV26" i="1"/>
  <c r="JV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MADIER Nicolas</author>
    <author>tc={4F86784E-67DC-4866-9C9E-2FEFEAD352D9}</author>
    <author>tc={107DC18B-E7E4-4045-AFA9-79A8923B7C2F}</author>
    <author>tc={12EB2283-820E-40CA-86C0-4D99BA3B5D3A}</author>
    <author>LEPRETRE Olivier</author>
    <author>tc={256A404D-36F9-4241-9A16-7AFE9E3AA7E4}</author>
    <author>Laurent BELLAN</author>
    <author>tc={09780494-4A1B-40E9-9193-D340725346A2}</author>
  </authors>
  <commentList>
    <comment ref="V1" authorId="0" shapeId="0" xr:uid="{6057384B-31FD-4E16-AAA3-123268735837}">
      <text>
        <r>
          <rPr>
            <b/>
            <sz val="18"/>
            <color indexed="81"/>
            <rFont val="Tahoma"/>
            <family val="2"/>
          </rPr>
          <t>Internal resources to contribute</t>
        </r>
        <r>
          <rPr>
            <sz val="18"/>
            <color indexed="81"/>
            <rFont val="Tahoma"/>
            <family val="2"/>
          </rPr>
          <t xml:space="preserve"> to deliver the project </t>
        </r>
        <r>
          <rPr>
            <b/>
            <sz val="18"/>
            <color indexed="81"/>
            <rFont val="Tahoma"/>
            <family val="2"/>
          </rPr>
          <t>from initiation/study to rollout.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" authorId="0" shapeId="0" xr:uid="{AED18C24-F911-431E-8940-11959D56090D}">
      <text>
        <r>
          <rPr>
            <sz val="18"/>
            <color indexed="81"/>
            <rFont val="Tahoma"/>
            <family val="2"/>
          </rPr>
          <t>How much will the project</t>
        </r>
        <r>
          <rPr>
            <b/>
            <sz val="18"/>
            <color indexed="81"/>
            <rFont val="Tahoma"/>
            <family val="2"/>
          </rPr>
          <t xml:space="preserve"> change and Impact the BAU</t>
        </r>
        <r>
          <rPr>
            <sz val="18"/>
            <color indexed="81"/>
            <rFont val="Tahoma"/>
            <family val="2"/>
          </rPr>
          <t xml:space="preserve"> of the different departments </t>
        </r>
        <r>
          <rPr>
            <b/>
            <sz val="18"/>
            <color indexed="81"/>
            <rFont val="Tahoma"/>
            <family val="2"/>
          </rPr>
          <t>at roll out</t>
        </r>
      </text>
    </comment>
    <comment ref="H2" authorId="0" shapeId="0" xr:uid="{9DE891D6-9619-45ED-9EB4-C52CF491464E}">
      <text>
        <r>
          <rPr>
            <sz val="16"/>
            <color indexed="81"/>
            <rFont val="Tahoma"/>
            <family val="2"/>
          </rPr>
          <t xml:space="preserve">Indicate </t>
        </r>
        <r>
          <rPr>
            <b/>
            <sz val="16"/>
            <color indexed="81"/>
            <rFont val="Tahoma"/>
            <family val="2"/>
          </rPr>
          <t>how certain</t>
        </r>
        <r>
          <rPr>
            <sz val="16"/>
            <color indexed="81"/>
            <rFont val="Tahoma"/>
            <family val="2"/>
          </rPr>
          <t xml:space="preserve"> you are you will be able to start the project as per the ideal start date</t>
        </r>
      </text>
    </comment>
    <comment ref="K2" authorId="0" shapeId="0" xr:uid="{E367BD99-D068-4CF8-9BA9-8CBA906DCD3C}">
      <text>
        <r>
          <rPr>
            <sz val="16"/>
            <color indexed="81"/>
            <rFont val="Tahoma"/>
            <family val="2"/>
          </rPr>
          <t>Automated Cell</t>
        </r>
      </text>
    </comment>
    <comment ref="L2" authorId="0" shapeId="0" xr:uid="{FE8C838B-240C-4FE8-B465-6CE1DB9AD88E}">
      <text>
        <r>
          <rPr>
            <sz val="16"/>
            <color indexed="81"/>
            <rFont val="Tahoma"/>
            <family val="2"/>
          </rPr>
          <t>Automated cell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" authorId="0" shapeId="0" xr:uid="{24D182DE-B3AD-4F03-8F83-7C325567DB55}">
      <text>
        <r>
          <rPr>
            <sz val="16"/>
            <color indexed="81"/>
            <rFont val="Tahoma"/>
            <family val="2"/>
          </rPr>
          <t>Automated cell</t>
        </r>
      </text>
    </comment>
    <comment ref="AR2" authorId="0" shapeId="0" xr:uid="{11B8F569-DAE5-4CBE-AB7B-91C30AD9950C}">
      <text>
        <r>
          <rPr>
            <sz val="16"/>
            <color indexed="81"/>
            <rFont val="Tahoma"/>
            <family val="2"/>
          </rPr>
          <t>Automated cell</t>
        </r>
      </text>
    </comment>
    <comment ref="AS2" authorId="0" shapeId="0" xr:uid="{0AD9208D-D662-4CAC-BF9C-A31C1EE3A913}">
      <text>
        <r>
          <rPr>
            <sz val="16"/>
            <color indexed="81"/>
            <rFont val="Tahoma"/>
            <family val="2"/>
          </rPr>
          <t>Automated cell</t>
        </r>
      </text>
    </comment>
    <comment ref="B5" authorId="1" shapeId="0" xr:uid="{4F86784E-67DC-4866-9C9E-2FEFEAD352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Stopped, study ongoing to review</t>
      </text>
    </comment>
    <comment ref="E21" authorId="2" shapeId="0" xr:uid="{107DC18B-E7E4-4045-AFA9-79A8923B7C2F}">
      <text>
        <t>[Threaded comment]
Your version of Excel allows you to read this threaded comment; however, any edits to it will get removed if the file is opened in a newer version of Excel. Learn more: https://go.microsoft.com/fwlink/?linkid=870924
Comment:
    @Blanche DERKENNE No project for PIS Improvements in 2026 has been budgeted or approved</t>
      </text>
    </comment>
    <comment ref="B25" authorId="3" shapeId="0" xr:uid="{12EB2283-820E-40CA-86C0-4D99BA3B5D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business cases ? Remove line
</t>
      </text>
    </comment>
    <comment ref="BC32" authorId="4" shapeId="0" xr:uid="{FA388D6D-0261-47AD-AC24-B7D5A7FDD4E3}">
      <text>
        <r>
          <rPr>
            <b/>
            <sz val="9"/>
            <color indexed="81"/>
            <rFont val="Tahoma"/>
            <family val="2"/>
          </rPr>
          <t>LEPRETRE Olivier:</t>
        </r>
        <r>
          <rPr>
            <sz val="9"/>
            <color indexed="81"/>
            <rFont val="Tahoma"/>
            <family val="2"/>
          </rPr>
          <t xml:space="preserve">
77200 : Accrediation Body fees
62410: Internal audit, advisories (Wavestone)
200000 : Provision for IS teams to fix issues</t>
        </r>
      </text>
    </comment>
    <comment ref="B35" authorId="5" shapeId="0" xr:uid="{256A404D-36F9-4241-9A16-7AFE9E3AA7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Make it a proper project is the plan
</t>
      </text>
    </comment>
    <comment ref="B61" authorId="6" shapeId="0" xr:uid="{7218FD15-22AC-4486-829F-8A169666A8D4}">
      <text>
        <r>
          <rPr>
            <b/>
            <sz val="9"/>
            <color indexed="81"/>
            <rFont val="Tahoma"/>
            <charset val="1"/>
          </rPr>
          <t>Laurent BELLAN:</t>
        </r>
        <r>
          <rPr>
            <sz val="9"/>
            <color indexed="81"/>
            <rFont val="Tahoma"/>
            <charset val="1"/>
          </rPr>
          <t xml:space="preserve">
Not neededut TBC</t>
        </r>
      </text>
    </comment>
    <comment ref="I83" authorId="7" shapeId="0" xr:uid="{09780494-4A1B-40E9-9193-D340725346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@Adam BUCKLEY-JONES  is the Belt Turnaround project complete ? (if yes, please update status, if not, please update Delivery Date 😉)
Reply:
    yes it is due to finish this week or next week at the latest, I will update the status when it completed :)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<sst xmlns="http://schemas.openxmlformats.org/spreadsheetml/2006/main" count="2040" uniqueCount="632">
  <si>
    <r>
      <rPr>
        <b/>
        <sz val="26"/>
        <color theme="5"/>
        <rFont val="Arial"/>
        <family val="2"/>
        <scheme val="minor"/>
      </rPr>
      <t>2025 Synchro Plan - Step 1 - Value/Effort</t>
    </r>
    <r>
      <rPr>
        <b/>
        <sz val="26"/>
        <color theme="1"/>
        <rFont val="Arial"/>
        <family val="2"/>
        <scheme val="minor"/>
      </rPr>
      <t xml:space="preserve">
</t>
    </r>
    <r>
      <rPr>
        <b/>
        <sz val="26"/>
        <color theme="3"/>
        <rFont val="Arial"/>
        <family val="2"/>
        <scheme val="minor"/>
      </rPr>
      <t>Instruction</t>
    </r>
  </si>
  <si>
    <r>
      <t xml:space="preserve">We recommend you to </t>
    </r>
    <r>
      <rPr>
        <b/>
        <i/>
        <u/>
        <sz val="14"/>
        <color rgb="FFFF0000"/>
        <rFont val="Arial"/>
        <family val="2"/>
        <scheme val="minor"/>
      </rPr>
      <t xml:space="preserve">open the file in the desktop app </t>
    </r>
    <r>
      <rPr>
        <b/>
        <i/>
        <sz val="14"/>
        <color rgb="FFFF0000"/>
        <rFont val="Arial"/>
        <family val="2"/>
        <scheme val="minor"/>
      </rPr>
      <t>for a better experience</t>
    </r>
  </si>
  <si>
    <t>&gt;&gt;&gt;</t>
  </si>
  <si>
    <t>Tab</t>
  </si>
  <si>
    <t>Description</t>
  </si>
  <si>
    <t>Input</t>
  </si>
  <si>
    <r>
      <t>This is the</t>
    </r>
    <r>
      <rPr>
        <b/>
        <sz val="11"/>
        <color rgb="FF002869"/>
        <rFont val="Arial"/>
        <family val="2"/>
        <scheme val="minor"/>
      </rPr>
      <t xml:space="preserve"> most important tab</t>
    </r>
    <r>
      <rPr>
        <sz val="11"/>
        <color rgb="FF002869"/>
        <rFont val="Arial"/>
        <family val="2"/>
        <scheme val="minor"/>
      </rPr>
      <t xml:space="preserve"> where we are </t>
    </r>
    <r>
      <rPr>
        <b/>
        <sz val="11"/>
        <color rgb="FF002869"/>
        <rFont val="Arial"/>
        <family val="2"/>
        <scheme val="minor"/>
      </rPr>
      <t>gathering your input</t>
    </r>
    <r>
      <rPr>
        <sz val="11"/>
        <color rgb="FF002869"/>
        <rFont val="Arial"/>
        <family val="2"/>
        <scheme val="minor"/>
      </rPr>
      <t xml:space="preserve"> in term of:
- Project </t>
    </r>
    <r>
      <rPr>
        <b/>
        <sz val="11"/>
        <color rgb="FF002869"/>
        <rFont val="Arial"/>
        <family val="2"/>
        <scheme val="minor"/>
      </rPr>
      <t xml:space="preserve">Deliverables
</t>
    </r>
    <r>
      <rPr>
        <sz val="11"/>
        <color rgb="FF002869"/>
        <rFont val="Arial"/>
        <family val="2"/>
        <scheme val="minor"/>
      </rPr>
      <t xml:space="preserve">- Project </t>
    </r>
    <r>
      <rPr>
        <b/>
        <sz val="11"/>
        <color rgb="FF002869"/>
        <rFont val="Arial"/>
        <family val="2"/>
        <scheme val="minor"/>
      </rPr>
      <t>Star</t>
    </r>
    <r>
      <rPr>
        <sz val="11"/>
        <color rgb="FF002869"/>
        <rFont val="Arial"/>
        <family val="2"/>
        <scheme val="minor"/>
      </rPr>
      <t xml:space="preserve">t and </t>
    </r>
    <r>
      <rPr>
        <b/>
        <sz val="11"/>
        <color rgb="FF002869"/>
        <rFont val="Arial"/>
        <family val="2"/>
        <scheme val="minor"/>
      </rPr>
      <t>End</t>
    </r>
    <r>
      <rPr>
        <sz val="11"/>
        <color rgb="FF002869"/>
        <rFont val="Arial"/>
        <family val="2"/>
        <scheme val="minor"/>
      </rPr>
      <t xml:space="preserve"> Dates
- </t>
    </r>
    <r>
      <rPr>
        <b/>
        <sz val="11"/>
        <color rgb="FF002869"/>
        <rFont val="Arial"/>
        <family val="2"/>
        <scheme val="minor"/>
      </rPr>
      <t>Project Value</t>
    </r>
    <r>
      <rPr>
        <sz val="11"/>
        <color rgb="FF002869"/>
        <rFont val="Arial"/>
        <family val="2"/>
        <scheme val="minor"/>
      </rPr>
      <t xml:space="preserve"> and contribution toward Group Strategic KPI
- High Level </t>
    </r>
    <r>
      <rPr>
        <b/>
        <sz val="11"/>
        <color rgb="FF002869"/>
        <rFont val="Arial"/>
        <family val="2"/>
        <scheme val="minor"/>
      </rPr>
      <t>Resource estimations</t>
    </r>
    <r>
      <rPr>
        <sz val="11"/>
        <color rgb="FF002869"/>
        <rFont val="Arial"/>
        <family val="2"/>
        <scheme val="minor"/>
      </rPr>
      <t xml:space="preserve"> by project and by departements: Low, Medium, High (when a department is not impacted, please, leave the cell blank)
- High Level </t>
    </r>
    <r>
      <rPr>
        <b/>
        <sz val="11"/>
        <color rgb="FF002869"/>
        <rFont val="Arial"/>
        <family val="2"/>
        <scheme val="minor"/>
      </rPr>
      <t>Change Impact estimations</t>
    </r>
    <r>
      <rPr>
        <sz val="11"/>
        <color rgb="FF002869"/>
        <rFont val="Arial"/>
        <family val="2"/>
        <scheme val="minor"/>
      </rPr>
      <t xml:space="preserve"> by project and by departements: Low, Medium, High (when a department is not impacted, please, leave the cell blank)
A description of each column will apear when you hover your mouse on the column title (only if open on desktop app)
+ you will have indication on how to score Low (L), Medium (M) and High (H) on top of each section. 
If you want to </t>
    </r>
    <r>
      <rPr>
        <b/>
        <sz val="11"/>
        <color rgb="FF002869"/>
        <rFont val="Arial"/>
        <family val="2"/>
        <scheme val="minor"/>
      </rPr>
      <t>modify the name of a project</t>
    </r>
    <r>
      <rPr>
        <sz val="11"/>
        <color rgb="FF002869"/>
        <rFont val="Arial"/>
        <family val="2"/>
        <scheme val="minor"/>
      </rPr>
      <t xml:space="preserve"> - please do it directly and re-word as you see fit
If you want to </t>
    </r>
    <r>
      <rPr>
        <b/>
        <sz val="11"/>
        <color rgb="FF002869"/>
        <rFont val="Arial"/>
        <family val="2"/>
        <scheme val="minor"/>
      </rPr>
      <t>split a specific line in 2</t>
    </r>
    <r>
      <rPr>
        <sz val="11"/>
        <color rgb="FF002869"/>
        <rFont val="Arial"/>
        <family val="2"/>
        <scheme val="minor"/>
      </rPr>
      <t xml:space="preserve"> or several projects -&gt; you can </t>
    </r>
    <r>
      <rPr>
        <b/>
        <sz val="11"/>
        <color rgb="FF002869"/>
        <rFont val="Arial"/>
        <family val="2"/>
        <scheme val="minor"/>
      </rPr>
      <t>add line at the bottom</t>
    </r>
    <r>
      <rPr>
        <sz val="11"/>
        <color rgb="FF002869"/>
        <rFont val="Arial"/>
        <family val="2"/>
        <scheme val="minor"/>
      </rPr>
      <t xml:space="preserve"> of the list (you will not be able to insert a line)
If you want to </t>
    </r>
    <r>
      <rPr>
        <b/>
        <sz val="11"/>
        <color rgb="FF002869"/>
        <rFont val="Arial"/>
        <family val="2"/>
        <scheme val="minor"/>
      </rPr>
      <t>remove a project</t>
    </r>
    <r>
      <rPr>
        <sz val="11"/>
        <color rgb="FF002869"/>
        <rFont val="Arial"/>
        <family val="2"/>
        <scheme val="minor"/>
      </rPr>
      <t xml:space="preserve"> - delete the content of the line (leave it blank)
Any questions / issues - please do not hesitate to contact us:
   nicolas.madier@eurostar.com
   lucie.jeunemaitre@eurostar.com</t>
    </r>
  </si>
  <si>
    <t>Checklist</t>
  </si>
  <si>
    <t>This are few elements to take into account when estimating in the Resources and Change impact of your project</t>
  </si>
  <si>
    <t>Project Map 
Benefits - Effort</t>
  </si>
  <si>
    <t>This is an automated chart where projects will be ploted according to Value score and Effort Score</t>
  </si>
  <si>
    <t>Heat Map Change</t>
  </si>
  <si>
    <t>This is an automated table, a heat map showing when each department will be most impacted in term of changes.</t>
  </si>
  <si>
    <t>Heat Map Workload</t>
  </si>
  <si>
    <t>This is an automated table, a heat map showing when each department will be the most solicited by project delivery</t>
  </si>
  <si>
    <r>
      <t xml:space="preserve">CHECK List 
</t>
    </r>
    <r>
      <rPr>
        <b/>
        <i/>
        <sz val="20"/>
        <rFont val="Arial"/>
        <family val="2"/>
        <scheme val="minor"/>
      </rPr>
      <t>Have you thought about…</t>
    </r>
    <r>
      <rPr>
        <b/>
        <sz val="20"/>
        <color theme="3"/>
        <rFont val="Arial"/>
        <family val="2"/>
        <scheme val="minor"/>
      </rPr>
      <t>?</t>
    </r>
  </si>
  <si>
    <t>HR</t>
  </si>
  <si>
    <r>
      <t xml:space="preserve">Will your project </t>
    </r>
    <r>
      <rPr>
        <b/>
        <sz val="11"/>
        <color theme="1"/>
        <rFont val="Arial"/>
        <family val="2"/>
        <scheme val="minor"/>
      </rPr>
      <t>impact the roles &amp; responsibilities, ways of working, working conditions of other colleagues?</t>
    </r>
    <r>
      <rPr>
        <sz val="11"/>
        <color theme="1"/>
        <rFont val="Arial"/>
        <family val="2"/>
        <scheme val="minor"/>
      </rPr>
      <t xml:space="preserve">
       if yes on any of this, make sure you </t>
    </r>
    <r>
      <rPr>
        <b/>
        <sz val="11"/>
        <color theme="1"/>
        <rFont val="Arial"/>
        <family val="2"/>
        <scheme val="minor"/>
      </rPr>
      <t>consult our HR team</t>
    </r>
    <r>
      <rPr>
        <sz val="11"/>
        <color theme="1"/>
        <rFont val="Arial"/>
        <family val="2"/>
        <scheme val="minor"/>
      </rPr>
      <t xml:space="preserve"> to check if Union Consultation is required and/or job descriptions must evolve
Might you need additional resources, recruitment to deliver the project - therefore, might you need HR to do so?</t>
    </r>
  </si>
  <si>
    <t>Communication interne</t>
  </si>
  <si>
    <r>
      <t xml:space="preserve">Might your project involved several departments and might </t>
    </r>
    <r>
      <rPr>
        <b/>
        <sz val="11"/>
        <color theme="1"/>
        <rFont val="Arial"/>
        <family val="2"/>
        <scheme val="minor"/>
      </rPr>
      <t>need to have internal communication support?</t>
    </r>
    <r>
      <rPr>
        <sz val="11"/>
        <color theme="1"/>
        <rFont val="Arial"/>
        <family val="2"/>
        <scheme val="minor"/>
      </rPr>
      <t xml:space="preserve">
Might you need </t>
    </r>
    <r>
      <rPr>
        <b/>
        <sz val="11"/>
        <color theme="1"/>
        <rFont val="Arial"/>
        <family val="2"/>
        <scheme val="minor"/>
      </rPr>
      <t>communication material to be sent group wise?</t>
    </r>
  </si>
  <si>
    <t>External Communication / Customer Comms / Marketing / Press</t>
  </si>
  <si>
    <r>
      <t>Will you project requires to be c</t>
    </r>
    <r>
      <rPr>
        <b/>
        <sz val="11"/>
        <color theme="1"/>
        <rFont val="Arial"/>
        <family val="2"/>
        <scheme val="minor"/>
      </rPr>
      <t>ommunicated to Customers</t>
    </r>
    <r>
      <rPr>
        <sz val="11"/>
        <color theme="1"/>
        <rFont val="Arial"/>
        <family val="2"/>
        <scheme val="minor"/>
      </rPr>
      <t xml:space="preserve"> (will it need to be "commercially launched")?
Will you project requires to be </t>
    </r>
    <r>
      <rPr>
        <b/>
        <sz val="11"/>
        <color theme="1"/>
        <rFont val="Arial"/>
        <family val="2"/>
        <scheme val="minor"/>
      </rPr>
      <t>communicated to Shareholders?</t>
    </r>
  </si>
  <si>
    <t>Finance &amp; Procurement</t>
  </si>
  <si>
    <r>
      <t xml:space="preserve">Will you need </t>
    </r>
    <r>
      <rPr>
        <b/>
        <sz val="11"/>
        <color theme="1"/>
        <rFont val="Arial"/>
        <family val="2"/>
        <scheme val="minor"/>
      </rPr>
      <t xml:space="preserve">specific budget for your project? </t>
    </r>
    <r>
      <rPr>
        <sz val="11"/>
        <color theme="1"/>
        <rFont val="Arial"/>
        <family val="2"/>
        <scheme val="minor"/>
      </rPr>
      <t xml:space="preserve">
Will you need to go through the </t>
    </r>
    <r>
      <rPr>
        <b/>
        <sz val="11"/>
        <color theme="1"/>
        <rFont val="Arial"/>
        <family val="2"/>
        <scheme val="minor"/>
      </rPr>
      <t>commitment board:</t>
    </r>
    <r>
      <rPr>
        <sz val="11"/>
        <color theme="1"/>
        <rFont val="Arial"/>
        <family val="2"/>
        <scheme val="minor"/>
      </rPr>
      <t xml:space="preserve"> &gt;50K for consultancy &amp; &gt;250k for Project total cost
if so - you will need Finance Support</t>
    </r>
  </si>
  <si>
    <t>IS</t>
  </si>
  <si>
    <r>
      <t xml:space="preserve">Will your project lead to </t>
    </r>
    <r>
      <rPr>
        <b/>
        <sz val="11"/>
        <color theme="1"/>
        <rFont val="Arial"/>
        <family val="2"/>
        <scheme val="minor"/>
      </rPr>
      <t xml:space="preserve">improvement or creation of IS tools; </t>
    </r>
    <r>
      <rPr>
        <sz val="11"/>
        <color theme="1"/>
        <rFont val="Arial"/>
        <family val="2"/>
        <scheme val="minor"/>
      </rPr>
      <t xml:space="preserve">
     if yes, have you already </t>
    </r>
    <r>
      <rPr>
        <b/>
        <sz val="11"/>
        <color theme="1"/>
        <rFont val="Arial"/>
        <family val="2"/>
        <scheme val="minor"/>
      </rPr>
      <t>discuss your ambition with the IT/IS teams</t>
    </r>
    <r>
      <rPr>
        <sz val="11"/>
        <color theme="1"/>
        <rFont val="Arial"/>
        <family val="2"/>
        <scheme val="minor"/>
      </rPr>
      <t xml:space="preserve">? 
     Is is already on the IS/IT pipeline? </t>
    </r>
  </si>
  <si>
    <t>TPO Portfolio</t>
  </si>
  <si>
    <t>see in PowerBI</t>
  </si>
  <si>
    <r>
      <rPr>
        <b/>
        <sz val="14"/>
        <color theme="1"/>
        <rFont val="Arial"/>
        <family val="2"/>
        <scheme val="minor"/>
      </rPr>
      <t>VALUE SCORING</t>
    </r>
    <r>
      <rPr>
        <b/>
        <sz val="14"/>
        <color theme="0"/>
        <rFont val="Arial"/>
        <family val="2"/>
        <scheme val="minor"/>
      </rPr>
      <t xml:space="preserve">
</t>
    </r>
    <r>
      <rPr>
        <i/>
        <sz val="14"/>
        <color theme="0"/>
        <rFont val="Arial"/>
        <family val="2"/>
        <scheme val="minor"/>
      </rPr>
      <t xml:space="preserve">L = </t>
    </r>
    <r>
      <rPr>
        <b/>
        <i/>
        <sz val="14"/>
        <color theme="0"/>
        <rFont val="Arial"/>
        <family val="2"/>
        <scheme val="minor"/>
      </rPr>
      <t>Small Contribution</t>
    </r>
    <r>
      <rPr>
        <i/>
        <sz val="14"/>
        <color theme="0"/>
        <rFont val="Arial"/>
        <family val="2"/>
        <scheme val="minor"/>
      </rPr>
      <t xml:space="preserve"> to Strategic KPI
M = </t>
    </r>
    <r>
      <rPr>
        <b/>
        <i/>
        <sz val="14"/>
        <color theme="0"/>
        <rFont val="Arial"/>
        <family val="2"/>
        <scheme val="minor"/>
      </rPr>
      <t xml:space="preserve">Significant Contribution </t>
    </r>
    <r>
      <rPr>
        <i/>
        <sz val="14"/>
        <color theme="0"/>
        <rFont val="Arial"/>
        <family val="2"/>
        <scheme val="minor"/>
      </rPr>
      <t xml:space="preserve">to Strategic KPI
H =  </t>
    </r>
    <r>
      <rPr>
        <b/>
        <i/>
        <sz val="14"/>
        <color theme="0"/>
        <rFont val="Arial"/>
        <family val="2"/>
        <scheme val="minor"/>
      </rPr>
      <t>Big Contribution</t>
    </r>
    <r>
      <rPr>
        <i/>
        <sz val="14"/>
        <color theme="0"/>
        <rFont val="Arial"/>
        <family val="2"/>
        <scheme val="minor"/>
      </rPr>
      <t xml:space="preserve"> to Strategic KPI </t>
    </r>
  </si>
  <si>
    <r>
      <rPr>
        <b/>
        <sz val="14"/>
        <color theme="0"/>
        <rFont val="Arial"/>
        <family val="2"/>
        <scheme val="minor"/>
      </rPr>
      <t>Estimation of Workload per Team</t>
    </r>
    <r>
      <rPr>
        <b/>
        <sz val="14"/>
        <color theme="2"/>
        <rFont val="Arial"/>
        <family val="2"/>
        <scheme val="minor"/>
      </rPr>
      <t xml:space="preserve">
</t>
    </r>
    <r>
      <rPr>
        <i/>
        <sz val="14"/>
        <color theme="2"/>
        <rFont val="Arial"/>
        <family val="2"/>
        <scheme val="minor"/>
      </rPr>
      <t>No resources needed = leave Blank
L = Less than 1 FTE needed for the length of the project (light contribution e.g. for workshop / follow up)
M = Between 1 and 2 FTE needed for the length of the project (actively contributed to the project)
H = More than 2 FTE needed for the length of the project (significant resource needed for the project)</t>
    </r>
  </si>
  <si>
    <r>
      <t xml:space="preserve">Estimation on CHANGE IMPACT per Department when delivered
</t>
    </r>
    <r>
      <rPr>
        <sz val="16"/>
        <color theme="3"/>
        <rFont val="Arial"/>
        <family val="2"/>
        <scheme val="minor"/>
      </rPr>
      <t xml:space="preserve">L = </t>
    </r>
    <r>
      <rPr>
        <b/>
        <sz val="16"/>
        <color theme="3"/>
        <rFont val="Arial"/>
        <family val="2"/>
        <scheme val="minor"/>
      </rPr>
      <t>Small changes</t>
    </r>
    <r>
      <rPr>
        <sz val="16"/>
        <color theme="3"/>
        <rFont val="Arial"/>
        <family val="2"/>
        <scheme val="minor"/>
      </rPr>
      <t xml:space="preserve"> on processes / tool for a </t>
    </r>
    <r>
      <rPr>
        <b/>
        <sz val="16"/>
        <color theme="3"/>
        <rFont val="Arial"/>
        <family val="2"/>
        <scheme val="minor"/>
      </rPr>
      <t xml:space="preserve">small number of colleagues </t>
    </r>
    <r>
      <rPr>
        <i/>
        <sz val="16"/>
        <color theme="3"/>
        <rFont val="Arial"/>
        <family val="2"/>
        <scheme val="minor"/>
      </rPr>
      <t>(&lt;10 people)</t>
    </r>
    <r>
      <rPr>
        <sz val="16"/>
        <color theme="3"/>
        <rFont val="Arial"/>
        <family val="2"/>
        <scheme val="minor"/>
      </rPr>
      <t xml:space="preserve">
M = </t>
    </r>
    <r>
      <rPr>
        <b/>
        <sz val="16"/>
        <color theme="3"/>
        <rFont val="Arial"/>
        <family val="2"/>
        <scheme val="minor"/>
      </rPr>
      <t>Significant changes</t>
    </r>
    <r>
      <rPr>
        <sz val="16"/>
        <color theme="3"/>
        <rFont val="Arial"/>
        <family val="2"/>
        <scheme val="minor"/>
      </rPr>
      <t xml:space="preserve"> for </t>
    </r>
    <r>
      <rPr>
        <b/>
        <sz val="16"/>
        <color theme="3"/>
        <rFont val="Arial"/>
        <family val="2"/>
        <scheme val="minor"/>
      </rPr>
      <t>small number</t>
    </r>
    <r>
      <rPr>
        <sz val="16"/>
        <color theme="3"/>
        <rFont val="Arial"/>
        <family val="2"/>
        <scheme val="minor"/>
      </rPr>
      <t xml:space="preserve"> of colleagues OR </t>
    </r>
    <r>
      <rPr>
        <b/>
        <sz val="16"/>
        <color theme="3"/>
        <rFont val="Arial"/>
        <family val="2"/>
        <scheme val="minor"/>
      </rPr>
      <t>small changes</t>
    </r>
    <r>
      <rPr>
        <sz val="16"/>
        <color theme="3"/>
        <rFont val="Arial"/>
        <family val="2"/>
        <scheme val="minor"/>
      </rPr>
      <t xml:space="preserve"> impacting </t>
    </r>
    <r>
      <rPr>
        <b/>
        <sz val="16"/>
        <color theme="3"/>
        <rFont val="Arial"/>
        <family val="2"/>
        <scheme val="minor"/>
      </rPr>
      <t>high number colleagues</t>
    </r>
    <r>
      <rPr>
        <sz val="16"/>
        <color theme="3"/>
        <rFont val="Arial"/>
        <family val="2"/>
        <scheme val="minor"/>
      </rPr>
      <t xml:space="preserve">
H = </t>
    </r>
    <r>
      <rPr>
        <b/>
        <sz val="16"/>
        <color theme="3"/>
        <rFont val="Arial"/>
        <family val="2"/>
        <scheme val="minor"/>
      </rPr>
      <t>Significant changes</t>
    </r>
    <r>
      <rPr>
        <sz val="16"/>
        <color theme="3"/>
        <rFont val="Arial"/>
        <family val="2"/>
        <scheme val="minor"/>
      </rPr>
      <t xml:space="preserve"> on processes / tools for </t>
    </r>
    <r>
      <rPr>
        <b/>
        <sz val="16"/>
        <color theme="3"/>
        <rFont val="Arial"/>
        <family val="2"/>
        <scheme val="minor"/>
      </rPr>
      <t xml:space="preserve">high number colleagues </t>
    </r>
    <r>
      <rPr>
        <b/>
        <sz val="16"/>
        <color theme="5"/>
        <rFont val="Arial"/>
        <family val="2"/>
        <scheme val="minor"/>
      </rPr>
      <t>OR</t>
    </r>
    <r>
      <rPr>
        <b/>
        <sz val="16"/>
        <color theme="3"/>
        <rFont val="Arial"/>
        <family val="2"/>
        <scheme val="minor"/>
      </rPr>
      <t xml:space="preserve"> any </t>
    </r>
    <r>
      <rPr>
        <b/>
        <u/>
        <sz val="16"/>
        <color theme="3"/>
        <rFont val="Arial"/>
        <family val="2"/>
        <scheme val="minor"/>
      </rPr>
      <t>organisational changes</t>
    </r>
  </si>
  <si>
    <t>=VLOOKUP([@Duration];Duration;2;FALSE)+[@[Resource Score]]+[@[CHANGE Impact Score]]</t>
  </si>
  <si>
    <t>CALCULATION</t>
  </si>
  <si>
    <t>Change Impact SCORE</t>
  </si>
  <si>
    <t>Resource Impact Score</t>
  </si>
  <si>
    <t>main 2025 Strategic Pillar 2025</t>
  </si>
  <si>
    <t>Status</t>
  </si>
  <si>
    <t>Team</t>
  </si>
  <si>
    <t>IS Portfolio Ref ID</t>
  </si>
  <si>
    <t>Project</t>
  </si>
  <si>
    <t>eurostar dpt Owner</t>
  </si>
  <si>
    <t>Starting Date</t>
  </si>
  <si>
    <r>
      <t xml:space="preserve">Level of Certainty on </t>
    </r>
    <r>
      <rPr>
        <b/>
        <u/>
        <sz val="18"/>
        <color theme="0"/>
        <rFont val="Arial"/>
        <family val="2"/>
        <scheme val="minor"/>
      </rPr>
      <t>Start Date</t>
    </r>
  </si>
  <si>
    <t>Delivery Date</t>
  </si>
  <si>
    <t>IS 2025 Priority</t>
  </si>
  <si>
    <t>Duration</t>
  </si>
  <si>
    <t>Duration Score</t>
  </si>
  <si>
    <t>#Simplify</t>
  </si>
  <si>
    <t>Safety</t>
  </si>
  <si>
    <t>NPS cust. Satisfaction</t>
  </si>
  <si>
    <t>Punctuality T15</t>
  </si>
  <si>
    <t>People Engagement</t>
  </si>
  <si>
    <t>EBITDA</t>
  </si>
  <si>
    <t>Regulatory</t>
  </si>
  <si>
    <t>Value Score</t>
  </si>
  <si>
    <t>Column2</t>
  </si>
  <si>
    <t>CORPHRFIN</t>
  </si>
  <si>
    <t>CUST</t>
  </si>
  <si>
    <t>CYBER</t>
  </si>
  <si>
    <t>DATA</t>
  </si>
  <si>
    <t>INFRA</t>
  </si>
  <si>
    <t>OPERATIONS</t>
  </si>
  <si>
    <t>PMO</t>
  </si>
  <si>
    <t>SALES</t>
  </si>
  <si>
    <t>Number of Team Involved</t>
  </si>
  <si>
    <t>Resource Score</t>
  </si>
  <si>
    <t>Column3</t>
  </si>
  <si>
    <t>Impact on - CIAL</t>
  </si>
  <si>
    <t>Impact on - COM</t>
  </si>
  <si>
    <t>Impact on - FIN</t>
  </si>
  <si>
    <t>Impact on - GEN SEC</t>
  </si>
  <si>
    <t>Impact on - HR</t>
  </si>
  <si>
    <t>Impact on - IS</t>
  </si>
  <si>
    <t>Impact on - OPS</t>
  </si>
  <si>
    <t>Impact on - ROLL STOCK</t>
  </si>
  <si>
    <t>Impact on - SAFETY</t>
  </si>
  <si>
    <t>Impact on - STATION</t>
  </si>
  <si>
    <t>Impact on - STRAT</t>
  </si>
  <si>
    <t>CHANGE Impact Score</t>
  </si>
  <si>
    <t>EFFORT SCORE</t>
  </si>
  <si>
    <t>Overall Effort Score</t>
  </si>
  <si>
    <t>Ratio - Benefit / Effort</t>
  </si>
  <si>
    <t>Project ID</t>
  </si>
  <si>
    <t>Name of IS owner</t>
  </si>
  <si>
    <t>OK comBoard</t>
  </si>
  <si>
    <t>ORACLE/NAV/Fin project code</t>
  </si>
  <si>
    <t>Opex IS Budget (full project)</t>
  </si>
  <si>
    <t>Capex IS Budget (full project)</t>
  </si>
  <si>
    <t>mainly OPEX or CAPEX</t>
  </si>
  <si>
    <t>Total IS Budget (full project)</t>
  </si>
  <si>
    <t>Nb IS Employees implicated</t>
  </si>
  <si>
    <t>Nb IS Contractors implicated</t>
  </si>
  <si>
    <t>On Track</t>
  </si>
  <si>
    <t>DIGITAL TECH</t>
  </si>
  <si>
    <t>ISPRJ-1</t>
  </si>
  <si>
    <t>Digital Roadmap 2025 (Increase website and app conversion + indirect sales)</t>
  </si>
  <si>
    <t>COMMERCIAL</t>
  </si>
  <si>
    <t>2025 Q1</t>
  </si>
  <si>
    <t>2025 Q4</t>
  </si>
  <si>
    <t>TOP10 $$$</t>
  </si>
  <si>
    <t>H</t>
  </si>
  <si>
    <t>Xavier ROMANET</t>
  </si>
  <si>
    <t>approved in Digital BC</t>
  </si>
  <si>
    <t>full CAPEX</t>
  </si>
  <si>
    <t>Not started</t>
  </si>
  <si>
    <t>ISPRJ-85</t>
  </si>
  <si>
    <t>Digital Roadmap 2026</t>
  </si>
  <si>
    <t>Issues</t>
  </si>
  <si>
    <t>ISPRJ-22</t>
  </si>
  <si>
    <t>Onboarding Continental Teams to ACMS</t>
  </si>
  <si>
    <t>yes</t>
  </si>
  <si>
    <t>L</t>
  </si>
  <si>
    <t>Eva Wruszczak</t>
  </si>
  <si>
    <t>approved</t>
  </si>
  <si>
    <t>Stopped in 2025</t>
  </si>
  <si>
    <t>ISPRJ-100</t>
  </si>
  <si>
    <t>Group sales automation</t>
  </si>
  <si>
    <t>ISPRJ-101</t>
  </si>
  <si>
    <t>Loyalty as a currency</t>
  </si>
  <si>
    <t>ISPRJ-102</t>
  </si>
  <si>
    <t>Check out (Paypal NL+FR, WERO)</t>
  </si>
  <si>
    <t>ISPRJ-103</t>
  </si>
  <si>
    <t>MYB : upgrade optimisation, assistance aftersales, meal pref…</t>
  </si>
  <si>
    <t>Q4 2025</t>
  </si>
  <si>
    <t>ISPRJ-104</t>
  </si>
  <si>
    <t>E4B dashboard/invoices</t>
  </si>
  <si>
    <t>ISPRJ-105</t>
  </si>
  <si>
    <t>implement Aikido Code Analysis</t>
  </si>
  <si>
    <t>Paolo RODEGHIERO</t>
  </si>
  <si>
    <t>ISPRJ-106</t>
  </si>
  <si>
    <t>Contact Centre - prj 5 - improve SF user friendliness &amp; advisor efficiency</t>
  </si>
  <si>
    <t>Maël DELMAS</t>
  </si>
  <si>
    <t>ISPRJ-107</t>
  </si>
  <si>
    <t>Contact Centre - prj 6 - Gamification of the training, Knowledge reco</t>
  </si>
  <si>
    <t>GROW COMPETE - Simplify</t>
  </si>
  <si>
    <t>ISPRJ-14</t>
  </si>
  <si>
    <t>HR Digitisation phase 1 : external payroll</t>
  </si>
  <si>
    <t>2025 Q3</t>
  </si>
  <si>
    <t>TP60</t>
  </si>
  <si>
    <t>M</t>
  </si>
  <si>
    <t>Kristof ACKE</t>
  </si>
  <si>
    <t>approved #89 for 70k€</t>
  </si>
  <si>
    <t>CUSTOMERS AT HEART - Meet essential needs</t>
  </si>
  <si>
    <t>ISPRJ-38</t>
  </si>
  <si>
    <t>Wifi on board POC</t>
  </si>
  <si>
    <t>$$$</t>
  </si>
  <si>
    <t>Vrushik PATEL</t>
  </si>
  <si>
    <t>approved #73 + #148 (add costs)</t>
  </si>
  <si>
    <t>#73 CAPEX #148 OPEX</t>
  </si>
  <si>
    <t>RELIABLE - STRENGTHEN rolling stock</t>
  </si>
  <si>
    <t>ISPRJ-75</t>
  </si>
  <si>
    <t>Deferrals Equinox</t>
  </si>
  <si>
    <t>VALUE &lt; 2</t>
  </si>
  <si>
    <t>Shaun KILPATRICK</t>
  </si>
  <si>
    <t>&lt; 250k€</t>
  </si>
  <si>
    <t>GROW COMPETE - Prepare fleet and stations for the future</t>
  </si>
  <si>
    <t>Complete</t>
  </si>
  <si>
    <t>ISPRJ-6</t>
  </si>
  <si>
    <t>New Amsterdam Station CIS</t>
  </si>
  <si>
    <t>STATION</t>
  </si>
  <si>
    <t>2025 Q2</t>
  </si>
  <si>
    <t>TOP10</t>
  </si>
  <si>
    <t>RELIABLE - Produce better and safer</t>
  </si>
  <si>
    <t>ISPRJ-9</t>
  </si>
  <si>
    <t>New Mobile Station Data solution (Spark / Station App) PHASE 2</t>
  </si>
  <si>
    <t>2026 Q2</t>
  </si>
  <si>
    <t>Luchano Bogdanov</t>
  </si>
  <si>
    <t>ISPRJ-112</t>
  </si>
  <si>
    <t>EES v2</t>
  </si>
  <si>
    <t>ISPRJ-113</t>
  </si>
  <si>
    <t>SALESFORCE Technical - Data Cloud set-up</t>
  </si>
  <si>
    <t>ISPRJ-12</t>
  </si>
  <si>
    <t>PIS trainset &amp; improvements</t>
  </si>
  <si>
    <t>Wumi AKINSEYE</t>
  </si>
  <si>
    <t>ISPRJ-8</t>
  </si>
  <si>
    <t>New Mobile Station Data solution (Mobile devices + Spark / Station App) PHASE 1 (2024 approval)</t>
  </si>
  <si>
    <t>approved #70+#152</t>
  </si>
  <si>
    <t>ISPRJ-10</t>
  </si>
  <si>
    <t>Advanced Planning System APS (MASTERPLAN)</t>
  </si>
  <si>
    <t>Maxime THONON</t>
  </si>
  <si>
    <r>
      <t xml:space="preserve">approved </t>
    </r>
    <r>
      <rPr>
        <sz val="11"/>
        <color theme="1"/>
        <rFont val="Arial"/>
        <family val="2"/>
        <scheme val="minor"/>
      </rPr>
      <t>MASTERPLAN</t>
    </r>
    <r>
      <rPr>
        <sz val="12"/>
        <color theme="1"/>
        <rFont val="Arial"/>
        <family val="2"/>
        <scheme val="minor"/>
      </rPr>
      <t xml:space="preserve"> </t>
    </r>
    <r>
      <rPr>
        <sz val="14"/>
        <color theme="1"/>
        <rFont val="Arial"/>
        <family val="2"/>
        <scheme val="minor"/>
      </rPr>
      <t>#68</t>
    </r>
  </si>
  <si>
    <t>RELIABLE - Ensure the basics for our teams</t>
  </si>
  <si>
    <t>ISPRJ-54</t>
  </si>
  <si>
    <t>Genetec (Access Control)</t>
  </si>
  <si>
    <t>GEN SEC</t>
  </si>
  <si>
    <t>John ZIEBART</t>
  </si>
  <si>
    <t>approved #64</t>
  </si>
  <si>
    <t>CAPEX/OPEX</t>
  </si>
  <si>
    <t>ISPRJ-110</t>
  </si>
  <si>
    <t>MASTERPLAN (other)</t>
  </si>
  <si>
    <t>Valérie VEYT</t>
  </si>
  <si>
    <t>ISPRJ-97</t>
  </si>
  <si>
    <t>Decommission Teams+</t>
  </si>
  <si>
    <t>2026 Q1</t>
  </si>
  <si>
    <t>Gauthier DE LAVENNE</t>
  </si>
  <si>
    <t>ISPRJ-18</t>
  </si>
  <si>
    <t>Engineering App : TMI app migration (study)</t>
  </si>
  <si>
    <t>ROLL STOCK</t>
  </si>
  <si>
    <t>waiting #136 (1m€)</t>
  </si>
  <si>
    <t>ISPRJ-86</t>
  </si>
  <si>
    <t>HR Digitisation phase 2</t>
  </si>
  <si>
    <t>ISPRJ-67</t>
  </si>
  <si>
    <t>TACT/iTM: align Continental and Cross-Channel apps (fault mgt process, reports…)</t>
  </si>
  <si>
    <t>Gauthier LANGLOIS</t>
  </si>
  <si>
    <t>ISPRJ-5</t>
  </si>
  <si>
    <t>Last Minute equipment change - automation of re-accommodations Phase 1</t>
  </si>
  <si>
    <t>approved #42 +#139 +#174 waiting</t>
  </si>
  <si>
    <t>ISPRJ-55</t>
  </si>
  <si>
    <t>Windows 11 Upgrade (Digital Workplace Transformation)</t>
  </si>
  <si>
    <t>RISK if not done</t>
  </si>
  <si>
    <t>Franck KOUDA</t>
  </si>
  <si>
    <t>approved #145</t>
  </si>
  <si>
    <t>full OPEX</t>
  </si>
  <si>
    <t>ISPRJ-65</t>
  </si>
  <si>
    <t>NIS 2</t>
  </si>
  <si>
    <t>REGUL</t>
  </si>
  <si>
    <t>YES</t>
  </si>
  <si>
    <t>Jérôme SOULIE</t>
  </si>
  <si>
    <t>Draft</t>
  </si>
  <si>
    <t>387k€</t>
  </si>
  <si>
    <t>ISPRJ-19</t>
  </si>
  <si>
    <t>Train Cancellations &amp; Budget Analytics</t>
  </si>
  <si>
    <t>Adam BUCKLEY-JONES</t>
  </si>
  <si>
    <t>ISPRJ-78</t>
  </si>
  <si>
    <t>IC RNE platform migration</t>
  </si>
  <si>
    <t>Yann GOURDEL</t>
  </si>
  <si>
    <t>ISPRJ-16</t>
  </si>
  <si>
    <t>Information System Recovery assurance</t>
  </si>
  <si>
    <t>Olivier Lepretre</t>
  </si>
  <si>
    <t>ISPRJ-32</t>
  </si>
  <si>
    <t>Stations Develop Mobile checkin (v2)</t>
  </si>
  <si>
    <t>Kamran Raja</t>
  </si>
  <si>
    <t>ISPRJ-34</t>
  </si>
  <si>
    <t>BMI new comms room &amp; recabling</t>
  </si>
  <si>
    <t>Mathieu BALLOUCHE</t>
  </si>
  <si>
    <t>CUSTOMERS AT HEART - Delight to spark brand love</t>
  </si>
  <si>
    <t>ISPRJ-3</t>
  </si>
  <si>
    <t>Joint Customer Segmentation</t>
  </si>
  <si>
    <t>waiting</t>
  </si>
  <si>
    <t>ISPRJ-25</t>
  </si>
  <si>
    <t>Finance Automation / Digitisation</t>
  </si>
  <si>
    <t>FIN</t>
  </si>
  <si>
    <t>2028 +</t>
  </si>
  <si>
    <t>Richard PARKER</t>
  </si>
  <si>
    <t>ISPRJ-27</t>
  </si>
  <si>
    <t>SVOT decommission</t>
  </si>
  <si>
    <t>TP52</t>
  </si>
  <si>
    <t>no</t>
  </si>
  <si>
    <t>ISPRJ-33</t>
  </si>
  <si>
    <t>Legacy telco lines replacement in SPI and TMI</t>
  </si>
  <si>
    <t>ISPRJ-81</t>
  </si>
  <si>
    <t>ISPRJ-28</t>
  </si>
  <si>
    <t>Migration of Euromap and Start on Time to DataHub</t>
  </si>
  <si>
    <t>ISPRJ-61</t>
  </si>
  <si>
    <t>TM/TD Phone &amp; Tablet Improvements</t>
  </si>
  <si>
    <t>Shailendra SHARMA</t>
  </si>
  <si>
    <t>ISPRJ-31</t>
  </si>
  <si>
    <t>Totem+ v2</t>
  </si>
  <si>
    <t>Patricia SOUEID</t>
  </si>
  <si>
    <t>approved #101</t>
  </si>
  <si>
    <t>ISPRJ-56</t>
  </si>
  <si>
    <t>Marketing Cloud: enable A/B testing, leverage Gen AI, enable "Control Cell" campaign...</t>
  </si>
  <si>
    <t>Edward BONILLA</t>
  </si>
  <si>
    <t>BAU</t>
  </si>
  <si>
    <t>Stopped in 2024</t>
  </si>
  <si>
    <t>ISPRJ-4</t>
  </si>
  <si>
    <t>VESPA</t>
  </si>
  <si>
    <t>Vanessa HERNALSTEEN</t>
  </si>
  <si>
    <t>ISPRJ-21</t>
  </si>
  <si>
    <t>Common Referentiels (MASTERPLAN)</t>
  </si>
  <si>
    <t>ISPRJ-84</t>
  </si>
  <si>
    <t>GROW COMPETE - Produce bigger</t>
  </si>
  <si>
    <t>ISPRJ-35</t>
  </si>
  <si>
    <t>New Paris Offices</t>
  </si>
  <si>
    <t>ISPRJ-98</t>
  </si>
  <si>
    <t>Replacement DocThalys/Validme, Process+</t>
  </si>
  <si>
    <t>ISPRJ-37</t>
  </si>
  <si>
    <t>Employee Exp Communication Platform (Workvivo)</t>
  </si>
  <si>
    <t>approved #88</t>
  </si>
  <si>
    <t>ISPRJ-111</t>
  </si>
  <si>
    <t>Stations MASTERPLAN</t>
  </si>
  <si>
    <t>ISPRJ-40</t>
  </si>
  <si>
    <t>Passport e-gate replacement (SPI)</t>
  </si>
  <si>
    <t>Eric QIU</t>
  </si>
  <si>
    <t>ISPRJ-41</t>
  </si>
  <si>
    <t>Network Acces Control (Blue ISE) (Network Security 1)</t>
  </si>
  <si>
    <t>ISPRJ-29</t>
  </si>
  <si>
    <t>Data Hub dev portal v2</t>
  </si>
  <si>
    <t>ISPRJ-52</t>
  </si>
  <si>
    <t>Polaris Technical 2025</t>
  </si>
  <si>
    <t>no COMBOARD</t>
  </si>
  <si>
    <t>ISPRJ-46</t>
  </si>
  <si>
    <t>Improve TACT For Seat reallocation and Seat blockage</t>
  </si>
  <si>
    <t>ISPRJ-42</t>
  </si>
  <si>
    <t>e320 Availability SLA</t>
  </si>
  <si>
    <t>ISPRJ-23</t>
  </si>
  <si>
    <t>Fraud Analytics &amp; Prevention System</t>
  </si>
  <si>
    <t>approved #132</t>
  </si>
  <si>
    <t>ISPRJ-45</t>
  </si>
  <si>
    <t>Data Hub recovery automation</t>
  </si>
  <si>
    <t>ISPRJ-47</t>
  </si>
  <si>
    <t>Merge Hotel/Taxi disruption tools (merge of DPAX and Self Service)</t>
  </si>
  <si>
    <t>sharepoint upgrade</t>
  </si>
  <si>
    <t>ISPRJ-36</t>
  </si>
  <si>
    <t>Polaris Reporting 2025</t>
  </si>
  <si>
    <t>Alicja MATUSZAK</t>
  </si>
  <si>
    <t>ISPRJ-68</t>
  </si>
  <si>
    <t>Privilege Access Mgt + IDAM</t>
  </si>
  <si>
    <t>Sophie Veron</t>
  </si>
  <si>
    <t>ISPRJ-49</t>
  </si>
  <si>
    <t>SD WAN execution (RFP)</t>
  </si>
  <si>
    <t>TP26</t>
  </si>
  <si>
    <t>Benoît RONVAUX</t>
  </si>
  <si>
    <t>approved #151</t>
  </si>
  <si>
    <t>ISPRJ-7</t>
  </si>
  <si>
    <t>Wheels Analytics</t>
  </si>
  <si>
    <t>approved #100</t>
  </si>
  <si>
    <t>ISPRJ-92</t>
  </si>
  <si>
    <t>SD WAN Execution (Cato/COLT)</t>
  </si>
  <si>
    <t>ISPRJ-60</t>
  </si>
  <si>
    <t>eROSTER+</t>
  </si>
  <si>
    <t>ISPRJ-51</t>
  </si>
  <si>
    <t>Revenue Management: new system (Cazyn)</t>
  </si>
  <si>
    <t>James HAYWARD</t>
  </si>
  <si>
    <t>ISPRJ-108</t>
  </si>
  <si>
    <t>Polaris 2026</t>
  </si>
  <si>
    <t>CUSTOMERS AT HEART - Grow Traffic by leveraging our ext offer</t>
  </si>
  <si>
    <t>ISPRJ-15</t>
  </si>
  <si>
    <t xml:space="preserve">Chatbot Enhancements 2026 </t>
  </si>
  <si>
    <t>Colin JAMES</t>
  </si>
  <si>
    <t>approved in Digital Roadmap BC</t>
  </si>
  <si>
    <t>=SUM([@[[Opex IS Budget (full project)]]]+[@[Capex IS Budget (full project)]])</t>
  </si>
  <si>
    <t>ISPRJ-26</t>
  </si>
  <si>
    <t>NPS &amp; Operations Analytics</t>
  </si>
  <si>
    <t>Q4 2024</t>
  </si>
  <si>
    <t>ISPRJ-82</t>
  </si>
  <si>
    <t xml:space="preserve">SVOC decommission </t>
  </si>
  <si>
    <t>ISPRJ-50</t>
  </si>
  <si>
    <t>Customer Services KPI Analytics</t>
  </si>
  <si>
    <t>ISPRJ-57</t>
  </si>
  <si>
    <t>EES</t>
  </si>
  <si>
    <t>Alasdair HAIGH</t>
  </si>
  <si>
    <t>ISPRJ-109</t>
  </si>
  <si>
    <t>Boomi/Mulesoft consolidation</t>
  </si>
  <si>
    <t>ISPRJ-13</t>
  </si>
  <si>
    <t>T15 by Passenger Analytics</t>
  </si>
  <si>
    <t>ISPRJ-83</t>
  </si>
  <si>
    <t>Content Management strategy - BOX to Sharepoint Migration</t>
  </si>
  <si>
    <t>TP22</t>
  </si>
  <si>
    <t>ISPRJ-58</t>
  </si>
  <si>
    <t>Fileshare Home Drive to OneDrive Migration</t>
  </si>
  <si>
    <t>Shafiq AHMED</t>
  </si>
  <si>
    <t>not started</t>
  </si>
  <si>
    <t>ISPRJ-59</t>
  </si>
  <si>
    <t>iTM: iTM improvements for cross-channel TM</t>
  </si>
  <si>
    <t>ISPRJ-2</t>
  </si>
  <si>
    <t>New Fleet</t>
  </si>
  <si>
    <t>STRAT</t>
  </si>
  <si>
    <t>Hélène MBANGU</t>
  </si>
  <si>
    <t>ISPRJ-93</t>
  </si>
  <si>
    <t>SALESFORCE projects 2026 (reduced budget)</t>
  </si>
  <si>
    <t>ISPRJ-64</t>
  </si>
  <si>
    <t>Belt Belt Turnaround &amp; Parking Analytics</t>
  </si>
  <si>
    <t>ISPRJ-62</t>
  </si>
  <si>
    <t>SPI LAN Phase 2</t>
  </si>
  <si>
    <t>ISPRJ-63</t>
  </si>
  <si>
    <t>Application security</t>
  </si>
  <si>
    <t>ISPRJ-77</t>
  </si>
  <si>
    <t>"Enchainement" project</t>
  </si>
  <si>
    <t>Vladimir BRONNIKOV</t>
  </si>
  <si>
    <t>ISPRJ-24</t>
  </si>
  <si>
    <t>SIMPLIFY</t>
  </si>
  <si>
    <t>Blanche DERKENNE</t>
  </si>
  <si>
    <t>ISPRJ-66</t>
  </si>
  <si>
    <t>SALESFORCE Reduce Average Handling Time (AHT in Customer Services)</t>
  </si>
  <si>
    <t>approved #150</t>
  </si>
  <si>
    <t>rinaz</t>
  </si>
  <si>
    <t>ISPRJ-79</t>
  </si>
  <si>
    <t>Datalakehouse Kickoff</t>
  </si>
  <si>
    <t>ISPRJ-53</t>
  </si>
  <si>
    <t>FINOPS cloud cost Mgt</t>
  </si>
  <si>
    <t>TP25</t>
  </si>
  <si>
    <t>ISPRJ-11</t>
  </si>
  <si>
    <t>Star (MASTERPLAN)</t>
  </si>
  <si>
    <t>Andreea NICALAU</t>
  </si>
  <si>
    <t>ISPRJ-43</t>
  </si>
  <si>
    <t>Fiche Train v2</t>
  </si>
  <si>
    <t>Samy BENHALLA</t>
  </si>
  <si>
    <t>approved  #144</t>
  </si>
  <si>
    <t>ISPRJ-17</t>
  </si>
  <si>
    <t>PICXEL (MASTERPLAN)</t>
  </si>
  <si>
    <t>ISPRJ-94</t>
  </si>
  <si>
    <t>Decommission Netsize</t>
  </si>
  <si>
    <t>ISPRJ-95</t>
  </si>
  <si>
    <t>Decommission CO Live</t>
  </si>
  <si>
    <t>ISPRJ-96</t>
  </si>
  <si>
    <t>Decommission Georame</t>
  </si>
  <si>
    <t>ISPRJ-70</t>
  </si>
  <si>
    <t>Masergy security appliances upgrade (Rapid 7)</t>
  </si>
  <si>
    <t>ISPRJ-88</t>
  </si>
  <si>
    <t>New Brussels Offices</t>
  </si>
  <si>
    <t>ISPRJ-89</t>
  </si>
  <si>
    <t>Connection NS</t>
  </si>
  <si>
    <t>ISPRJ-80</t>
  </si>
  <si>
    <t>Station Flow Prediction MVP</t>
  </si>
  <si>
    <t>ISPRJ-90</t>
  </si>
  <si>
    <t>Packages DE</t>
  </si>
  <si>
    <t>ISPRJ-69</t>
  </si>
  <si>
    <t>PNO New Ticket Office Infra</t>
  </si>
  <si>
    <t>Ben Gbeve</t>
  </si>
  <si>
    <t>rinaz sees in station cost</t>
  </si>
  <si>
    <t>ISPRJ-72</t>
  </si>
  <si>
    <t>Customer Service Milestones for Cases in Salesforce</t>
  </si>
  <si>
    <t>VALUE &lt; 1,5</t>
  </si>
  <si>
    <t>ISPRJ-74</t>
  </si>
  <si>
    <t>SPI Service Centre Refurbishment</t>
  </si>
  <si>
    <t>waiting #121</t>
  </si>
  <si>
    <t>ISPRJ-71</t>
  </si>
  <si>
    <t>Connect All v2</t>
  </si>
  <si>
    <t>Mathys SAFFRE</t>
  </si>
  <si>
    <t>x</t>
  </si>
  <si>
    <t>ISPRJ-73</t>
  </si>
  <si>
    <t>Printer replacement</t>
  </si>
  <si>
    <t>approved #52</t>
  </si>
  <si>
    <t>ISPRJ-87</t>
  </si>
  <si>
    <t>ISPRJ-76</t>
  </si>
  <si>
    <t>iAPI (Interactive Passenger Information)</t>
  </si>
  <si>
    <t>approved #107</t>
  </si>
  <si>
    <t>ISPRJ-91</t>
  </si>
  <si>
    <t>Decommission Cockpit, Localys, Daily order</t>
  </si>
  <si>
    <t>ISPRJ-99</t>
  </si>
  <si>
    <t>App store optimisation, chatbot in app, SEO to GEO</t>
  </si>
  <si>
    <t>Project 40</t>
  </si>
  <si>
    <t>Project 41</t>
  </si>
  <si>
    <t>Project 43</t>
  </si>
  <si>
    <t>Project 64</t>
  </si>
  <si>
    <t>Project 77</t>
  </si>
  <si>
    <t>Project 78</t>
  </si>
  <si>
    <t>Project 14</t>
  </si>
  <si>
    <t>Project 27</t>
  </si>
  <si>
    <t>Project 33</t>
  </si>
  <si>
    <t>Project 1</t>
  </si>
  <si>
    <t>Project 8</t>
  </si>
  <si>
    <t>Project 21</t>
  </si>
  <si>
    <t>Project 10</t>
  </si>
  <si>
    <t>Project 2</t>
  </si>
  <si>
    <t>Project 3</t>
  </si>
  <si>
    <t>Project 4</t>
  </si>
  <si>
    <t>Project 55</t>
  </si>
  <si>
    <t>Project 13</t>
  </si>
  <si>
    <t>Project 56</t>
  </si>
  <si>
    <t>Project 15</t>
  </si>
  <si>
    <t>Project 18</t>
  </si>
  <si>
    <t>Project 19</t>
  </si>
  <si>
    <t>Project 20</t>
  </si>
  <si>
    <t>Project 24</t>
  </si>
  <si>
    <t>Project 22</t>
  </si>
  <si>
    <t>Project 54</t>
  </si>
  <si>
    <t>Project 12</t>
  </si>
  <si>
    <t>Project 9</t>
  </si>
  <si>
    <t>Project 5</t>
  </si>
  <si>
    <t>Project 30</t>
  </si>
  <si>
    <t>Project 31</t>
  </si>
  <si>
    <t>Project 35</t>
  </si>
  <si>
    <t>Project 36</t>
  </si>
  <si>
    <t>Project 37</t>
  </si>
  <si>
    <t>Project 42</t>
  </si>
  <si>
    <t>Project 23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</si>
  <si>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</si>
  <si>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</si>
  <si>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</si>
  <si>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</si>
  <si>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</si>
  <si>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</si>
  <si>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</si>
  <si>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</si>
  <si>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</si>
  <si>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44</t>
  </si>
  <si>
    <t>Project 25</t>
  </si>
  <si>
    <t>Project 26</t>
  </si>
  <si>
    <t>Project 61</t>
  </si>
  <si>
    <t>Project 66</t>
  </si>
  <si>
    <t>Project 67</t>
  </si>
  <si>
    <t>Project 71</t>
  </si>
  <si>
    <t>Project 73</t>
  </si>
  <si>
    <t>Project 74</t>
  </si>
  <si>
    <t>Project 79</t>
  </si>
  <si>
    <t>Project 80</t>
  </si>
  <si>
    <t>Project 81</t>
  </si>
  <si>
    <t>Project 82</t>
  </si>
  <si>
    <t>Project 83</t>
  </si>
  <si>
    <t>Project 89</t>
  </si>
  <si>
    <t>Project 90</t>
  </si>
  <si>
    <t>Project 91</t>
  </si>
  <si>
    <t>Project 92</t>
  </si>
  <si>
    <t>Project 93</t>
  </si>
  <si>
    <t>Project 94</t>
  </si>
  <si>
    <t>VALUE Score is calculated from the contribution toward Strategic KPI</t>
  </si>
  <si>
    <r>
      <rPr>
        <b/>
        <sz val="11"/>
        <color theme="1"/>
        <rFont val="Arial"/>
        <family val="2"/>
        <scheme val="minor"/>
      </rPr>
      <t xml:space="preserve">Effort Score is a combination of </t>
    </r>
    <r>
      <rPr>
        <sz val="11"/>
        <color theme="1"/>
        <rFont val="Arial"/>
        <family val="2"/>
        <scheme val="minor"/>
      </rPr>
      <t xml:space="preserve">
-&gt; </t>
    </r>
    <r>
      <rPr>
        <b/>
        <sz val="11"/>
        <color theme="1"/>
        <rFont val="Arial"/>
        <family val="2"/>
        <scheme val="minor"/>
      </rPr>
      <t>Duration</t>
    </r>
    <r>
      <rPr>
        <sz val="11"/>
        <color theme="1"/>
        <rFont val="Arial"/>
        <family val="2"/>
        <scheme val="minor"/>
      </rPr>
      <t xml:space="preserve"> of the project
-&gt; </t>
    </r>
    <r>
      <rPr>
        <b/>
        <sz val="11"/>
        <color theme="1"/>
        <rFont val="Arial"/>
        <family val="2"/>
        <scheme val="minor"/>
      </rPr>
      <t>Resources</t>
    </r>
    <r>
      <rPr>
        <sz val="11"/>
        <color theme="1"/>
        <rFont val="Arial"/>
        <family val="2"/>
        <scheme val="minor"/>
      </rPr>
      <t xml:space="preserve"> needed estimation
-&gt; </t>
    </r>
    <r>
      <rPr>
        <b/>
        <sz val="11"/>
        <color theme="1"/>
        <rFont val="Arial"/>
        <family val="2"/>
        <scheme val="minor"/>
      </rPr>
      <t>Change</t>
    </r>
    <r>
      <rPr>
        <sz val="11"/>
        <color theme="1"/>
        <rFont val="Arial"/>
        <family val="2"/>
        <scheme val="minor"/>
      </rPr>
      <t xml:space="preserve"> Impact estimation</t>
    </r>
  </si>
  <si>
    <t>pasword = Chouchou</t>
  </si>
  <si>
    <t>Effort Criteria</t>
  </si>
  <si>
    <t>Target START</t>
  </si>
  <si>
    <t>Target Delivery</t>
  </si>
  <si>
    <t>Resource &amp; Impact Estimation Score</t>
  </si>
  <si>
    <t>SCORE CHANGE IMPACT</t>
  </si>
  <si>
    <t>Score</t>
  </si>
  <si>
    <t>Effor Criteria</t>
  </si>
  <si>
    <t>Weight</t>
  </si>
  <si>
    <t>KPI</t>
  </si>
  <si>
    <t>Commercial</t>
  </si>
  <si>
    <t>Stations</t>
  </si>
  <si>
    <t>RollingStock</t>
  </si>
  <si>
    <t>Operations</t>
  </si>
  <si>
    <t>Finance</t>
  </si>
  <si>
    <t>Technology_IS_IT</t>
  </si>
  <si>
    <t>People_HR</t>
  </si>
  <si>
    <t>BusinessDevelopment_Integration</t>
  </si>
  <si>
    <t>GenSec_Legal_Sustainability</t>
  </si>
  <si>
    <t>Communication_DI</t>
  </si>
  <si>
    <t>&lt;= 3 months</t>
  </si>
  <si>
    <t>Business Perf &amp; Optimisation (RM, Pricing, Inventory, Business planning, Transport Plan)</t>
  </si>
  <si>
    <t>Belgium &amp; Germany Station</t>
  </si>
  <si>
    <r>
      <t>Safety System</t>
    </r>
    <r>
      <rPr>
        <i/>
        <sz val="8"/>
        <color theme="1"/>
        <rFont val="Arial"/>
        <family val="2"/>
        <scheme val="minor"/>
      </rPr>
      <t xml:space="preserve"> (Safety risk management, Safety dev, safety comms)</t>
    </r>
  </si>
  <si>
    <t>Continental Route RS</t>
  </si>
  <si>
    <r>
      <t>On Board Experience (</t>
    </r>
    <r>
      <rPr>
        <sz val="11"/>
        <color theme="9"/>
        <rFont val="Arial"/>
        <family val="2"/>
        <scheme val="minor"/>
      </rPr>
      <t>TM</t>
    </r>
    <r>
      <rPr>
        <sz val="11"/>
        <color theme="1"/>
        <rFont val="Arial"/>
        <family val="2"/>
        <scheme val="minor"/>
      </rPr>
      <t>, OnBoard &amp; Ground Services )</t>
    </r>
  </si>
  <si>
    <t>Finance Planning &amp; Analaysis - Business Partnering</t>
  </si>
  <si>
    <t>Cyber Security</t>
  </si>
  <si>
    <t>Employee Experience</t>
  </si>
  <si>
    <t>Buisness Development (Strategy, network dev…)</t>
  </si>
  <si>
    <t>Public Affairs</t>
  </si>
  <si>
    <t>Internal Comms</t>
  </si>
  <si>
    <t>Q1 2025</t>
  </si>
  <si>
    <t>3 months - 6 months</t>
  </si>
  <si>
    <t>Product &amp; Ancillary Rev (incl Connection)</t>
  </si>
  <si>
    <t>France Stations</t>
  </si>
  <si>
    <t>Safety Assurance &amp; Governance (Safety Audit mgt, Occupational Health, Safety Perfomance and Analysis)</t>
  </si>
  <si>
    <t>UK Depot (TMI)</t>
  </si>
  <si>
    <t>Operations (TD and Superviaion OCC)</t>
  </si>
  <si>
    <t>Finance transactional services (PO, Expenses…)</t>
  </si>
  <si>
    <t>Operations Systems (Supervision, Depot, Train )</t>
  </si>
  <si>
    <t>UK HR Business Partnering</t>
  </si>
  <si>
    <t>Competion &amp; Strategic planning</t>
  </si>
  <si>
    <t>Regulation, Public Policy &amp; Special Counsel</t>
  </si>
  <si>
    <t>External Comms</t>
  </si>
  <si>
    <t>Q2 2025</t>
  </si>
  <si>
    <t>6 months - 1 year</t>
  </si>
  <si>
    <t>Marketing (Loylaty, CRM, Partnership, Go to market)</t>
  </si>
  <si>
    <t>UK Station</t>
  </si>
  <si>
    <r>
      <t xml:space="preserve">Fleet Management </t>
    </r>
    <r>
      <rPr>
        <i/>
        <sz val="11"/>
        <color theme="1"/>
        <rFont val="Arial"/>
        <family val="2"/>
        <scheme val="minor"/>
      </rPr>
      <t>(maintenance planning, train presentation, fleet control, supply chain)</t>
    </r>
  </si>
  <si>
    <t>Performance &amp; Complience (Eurostar Accademy; Continuous Imp., Planning &amp; Rostering, Business Continuity )</t>
  </si>
  <si>
    <t>Finance Accounting &amp; Control</t>
  </si>
  <si>
    <t>Corporate, HR and Finance Systems</t>
  </si>
  <si>
    <t>Continental HR Business Partnering</t>
  </si>
  <si>
    <t>Innovation</t>
  </si>
  <si>
    <t>Legal - General Councel (for both legal entities EIL &amp; THIF)</t>
  </si>
  <si>
    <t>D&amp;I</t>
  </si>
  <si>
    <t>Q3 2025</t>
  </si>
  <si>
    <t>1 year</t>
  </si>
  <si>
    <t xml:space="preserve">Digital Sales and  Experience </t>
  </si>
  <si>
    <t>ALL Stations</t>
  </si>
  <si>
    <t>Engineering</t>
  </si>
  <si>
    <t>Financial Strategy (Long term planning, Internal Audit &amp; Risk)</t>
  </si>
  <si>
    <t>Customer Systems (Loyalty, Cust Service, OBS  &amp; Stations)</t>
  </si>
  <si>
    <t>HR Legal &amp; Labour</t>
  </si>
  <si>
    <t>Integration &amp; Change Management</t>
  </si>
  <si>
    <t>Compliance and Data Protection</t>
  </si>
  <si>
    <t>2025 PILLARS</t>
  </si>
  <si>
    <t>STATUS</t>
  </si>
  <si>
    <t>1 to 2 years</t>
  </si>
  <si>
    <t>B2B &amp; Indirect Sales</t>
  </si>
  <si>
    <r>
      <t xml:space="preserve">Security &amp; Stakeholders </t>
    </r>
    <r>
      <rPr>
        <i/>
        <sz val="9"/>
        <color theme="1"/>
        <rFont val="Arial"/>
        <family val="2"/>
        <scheme val="minor"/>
      </rPr>
      <t>(PAF, FedPol, UKBF, Kmar, SPI Pass office...)</t>
    </r>
  </si>
  <si>
    <t>HSQE &amp; Training</t>
  </si>
  <si>
    <t>Procurement &amp; Property (Facility)</t>
  </si>
  <si>
    <t>Data &amp; Middleware</t>
  </si>
  <si>
    <t>HR Strategy &amp; Integration</t>
  </si>
  <si>
    <t>Brand Development</t>
  </si>
  <si>
    <t>Sustainability</t>
  </si>
  <si>
    <t>&gt;2 Years</t>
  </si>
  <si>
    <t>Cost</t>
  </si>
  <si>
    <t>Customer Service (Contact Centres)</t>
  </si>
  <si>
    <t>Amsterdam Route</t>
  </si>
  <si>
    <t>TSSSA Contract</t>
  </si>
  <si>
    <t>Tax</t>
  </si>
  <si>
    <t>Portfolio management and cross functional project</t>
  </si>
  <si>
    <t>HR Transformation</t>
  </si>
  <si>
    <t>New Fleet Programme</t>
  </si>
  <si>
    <t>Secretariat &amp; Project</t>
  </si>
  <si>
    <t>Customer Experience (incl. Customer satisfaction monitoring, Customer policy…)</t>
  </si>
  <si>
    <t>Station Experience &amp; Programme</t>
  </si>
  <si>
    <t>RS Strategic Project</t>
  </si>
  <si>
    <t>Treasury &amp; Insurance</t>
  </si>
  <si>
    <t>Sales System (Website, App, Inventory, Developers)</t>
  </si>
  <si>
    <t>At Risk</t>
  </si>
  <si>
    <t>TOTAL</t>
  </si>
  <si>
    <t>Commercial Change &amp; Employee Experience</t>
  </si>
  <si>
    <t>EES  (Border &amp; Checkin System)</t>
  </si>
  <si>
    <t>IT service (infrastructure, service desk, cloud…)</t>
  </si>
  <si>
    <t>2026 Q3</t>
  </si>
  <si>
    <t>2026 Q4</t>
  </si>
  <si>
    <t>Stopped in 2026</t>
  </si>
  <si>
    <t>Impact</t>
  </si>
  <si>
    <t>DEPT</t>
  </si>
  <si>
    <t>COM</t>
  </si>
  <si>
    <t>SAFETY</t>
  </si>
  <si>
    <t>Already Started</t>
  </si>
  <si>
    <t>RELIABLE</t>
  </si>
  <si>
    <t>CUSTOMERS AT HEART</t>
  </si>
  <si>
    <t>GROW, COMPETE</t>
  </si>
  <si>
    <t>Workload
HEAT MAP</t>
  </si>
  <si>
    <r>
      <t xml:space="preserve">POPULATION </t>
    </r>
    <r>
      <rPr>
        <b/>
        <sz val="22"/>
        <color theme="3"/>
        <rFont val="Arial"/>
        <family val="2"/>
        <scheme val="minor"/>
      </rPr>
      <t xml:space="preserve">CHANGE IMPACT </t>
    </r>
    <r>
      <rPr>
        <b/>
        <sz val="18"/>
        <color theme="3"/>
        <rFont val="Arial"/>
        <family val="2"/>
        <scheme val="minor"/>
      </rPr>
      <t xml:space="preserve">
HEAT MAP</t>
    </r>
  </si>
  <si>
    <t>impact is when project is delivered</t>
  </si>
  <si>
    <t>E* value (high value is big value)</t>
  </si>
  <si>
    <t>IS 2024 priority (low value is high priority)</t>
  </si>
  <si>
    <t>(Multiple Items)</t>
  </si>
  <si>
    <t>Count of Project</t>
  </si>
  <si>
    <t>Active Projects in 2025</t>
  </si>
  <si>
    <t>(blank)</t>
  </si>
  <si>
    <t>Total</t>
  </si>
  <si>
    <t>Nb projects</t>
  </si>
  <si>
    <t>Targeted Delivery</t>
  </si>
  <si>
    <t>Q1 or before</t>
  </si>
  <si>
    <t>2026+</t>
  </si>
  <si>
    <t>Projects ramp up</t>
  </si>
  <si>
    <t>complete projects</t>
  </si>
  <si>
    <t>Department</t>
  </si>
  <si>
    <t>Our Projects in 2025</t>
  </si>
  <si>
    <t>Projects without status</t>
  </si>
  <si>
    <t>Projects with status NOT STARTED but with Started date = Q1 2025</t>
  </si>
  <si>
    <t>Projects with status NOT STARTED but with Delivery date = Q1 2025</t>
  </si>
  <si>
    <t>Beacons and Delay  Integration (MASTERPLAN)</t>
  </si>
  <si>
    <t>COSMOS: Tigre Replacement with SPID SNCF</t>
  </si>
  <si>
    <t>Rolling stock analytics equinox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</si>
</sst>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;\-0;\-"/>
    <numFmt numFmtId="166" formatCode="_([$€-2]\ * #,##0.00_);_([$€-2]\ * \(#,##0.00\);_([$€-2]\ * &quot;-&quot;??_);_(@_)"/>
    <numFmt numFmtId="167" formatCode="_-* #,##0_-;\-* #,##0_-;_-* &quot;-&quot;??_-;_-@_-"/>
    <numFmt numFmtId="168" formatCode="_-* #,##0.0000_-;\-* #,##0.0000_-;_-* &quot;-&quot;??_-;_-@_-"/>
    <numFmt numFmtId="169" formatCode="_-* #,##0\ [$€-80C]_-;\-* #,##0\ [$€-80C]_-;_-* &quot;-&quot;??\ [$€-80C]_-;_-@_-"/>
  </numFmts>
  <fonts count="8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6"/>
      <color theme="1"/>
      <name val="Arial"/>
      <family val="2"/>
      <scheme val="minor"/>
    </font>
    <font>
      <b/>
      <sz val="26"/>
      <color theme="5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26"/>
      <color theme="3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theme="9"/>
      <name val="Arial"/>
      <family val="2"/>
      <scheme val="minor"/>
    </font>
    <font>
      <b/>
      <sz val="20"/>
      <color theme="0"/>
      <name val="Arial"/>
      <family val="2"/>
      <scheme val="minor"/>
    </font>
    <font>
      <sz val="8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8"/>
      <color theme="3"/>
      <name val="Arial"/>
      <family val="2"/>
      <scheme val="minor"/>
    </font>
    <font>
      <b/>
      <sz val="22"/>
      <color theme="3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6"/>
      <color theme="3"/>
      <name val="Arial"/>
      <family val="2"/>
      <scheme val="minor"/>
    </font>
    <font>
      <b/>
      <sz val="20"/>
      <color theme="3"/>
      <name val="Arial"/>
      <family val="2"/>
      <scheme val="minor"/>
    </font>
    <font>
      <b/>
      <i/>
      <sz val="2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i/>
      <sz val="8"/>
      <color theme="3"/>
      <name val="Arial"/>
      <family val="2"/>
      <scheme val="minor"/>
    </font>
    <font>
      <b/>
      <sz val="16"/>
      <color theme="5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24"/>
      <color theme="0"/>
      <name val="Arial"/>
      <family val="2"/>
      <scheme val="minor"/>
    </font>
    <font>
      <b/>
      <sz val="24"/>
      <color theme="1"/>
      <name val="Arial"/>
      <family val="2"/>
      <scheme val="minor"/>
    </font>
    <font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color indexed="81"/>
      <name val="Tahoma"/>
      <family val="2"/>
    </font>
    <font>
      <sz val="11"/>
      <color rgb="FF002869"/>
      <name val="Arial"/>
      <family val="2"/>
      <scheme val="minor"/>
    </font>
    <font>
      <b/>
      <sz val="11"/>
      <color rgb="FF002869"/>
      <name val="Arial"/>
      <family val="2"/>
      <scheme val="minor"/>
    </font>
    <font>
      <b/>
      <sz val="18"/>
      <color indexed="81"/>
      <name val="Tahoma"/>
      <family val="2"/>
    </font>
    <font>
      <b/>
      <i/>
      <sz val="14"/>
      <color rgb="FFFF0000"/>
      <name val="Arial"/>
      <family val="2"/>
      <scheme val="minor"/>
    </font>
    <font>
      <b/>
      <i/>
      <u/>
      <sz val="14"/>
      <color rgb="FFFF0000"/>
      <name val="Arial"/>
      <family val="2"/>
      <scheme val="minor"/>
    </font>
    <font>
      <b/>
      <sz val="24"/>
      <color rgb="FFFF0000"/>
      <name val="Arial"/>
      <family val="2"/>
      <scheme val="minor"/>
    </font>
    <font>
      <b/>
      <sz val="14"/>
      <color rgb="FF002869"/>
      <name val="Arial"/>
      <family val="2"/>
    </font>
    <font>
      <b/>
      <sz val="14"/>
      <color rgb="FFFFC305"/>
      <name val="Arial"/>
      <family val="2"/>
    </font>
    <font>
      <sz val="11"/>
      <color rgb="FF002869"/>
      <name val="Arial"/>
      <family val="2"/>
    </font>
    <font>
      <b/>
      <sz val="14"/>
      <color rgb="FF086263"/>
      <name val="Arial"/>
      <family val="2"/>
    </font>
    <font>
      <b/>
      <sz val="14"/>
      <color rgb="FFFFFFFF"/>
      <name val="Arial"/>
      <family val="2"/>
    </font>
    <font>
      <b/>
      <sz val="14"/>
      <color rgb="FF106DFF"/>
      <name val="Arial"/>
      <family val="2"/>
    </font>
    <font>
      <b/>
      <sz val="14"/>
      <color rgb="FFF0323A"/>
      <name val="Arial"/>
      <family val="2"/>
    </font>
    <font>
      <sz val="11"/>
      <color rgb="FF242424"/>
      <name val="Aptos Narrow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  <font>
      <b/>
      <sz val="16"/>
      <color theme="2"/>
      <name val="Arial"/>
      <family val="2"/>
      <scheme val="minor"/>
    </font>
    <font>
      <sz val="16"/>
      <color theme="3"/>
      <name val="Arial"/>
      <family val="2"/>
      <scheme val="minor"/>
    </font>
    <font>
      <i/>
      <sz val="16"/>
      <color theme="3"/>
      <name val="Arial"/>
      <family val="2"/>
      <scheme val="minor"/>
    </font>
    <font>
      <b/>
      <u/>
      <sz val="16"/>
      <color theme="3"/>
      <name val="Arial"/>
      <family val="2"/>
      <scheme val="minor"/>
    </font>
    <font>
      <sz val="14"/>
      <color rgb="FF002869"/>
      <name val="Arial"/>
      <family val="2"/>
    </font>
    <font>
      <sz val="14"/>
      <color rgb="FF002869"/>
      <name val="Aptos"/>
      <family val="2"/>
    </font>
    <font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u/>
      <sz val="18"/>
      <color theme="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name val="Arial"/>
      <family val="2"/>
    </font>
    <font>
      <b/>
      <sz val="14"/>
      <color theme="2"/>
      <name val="Arial"/>
      <family val="2"/>
      <scheme val="minor"/>
    </font>
    <font>
      <b/>
      <sz val="14"/>
      <color theme="0"/>
      <name val="Arial"/>
      <family val="2"/>
      <scheme val="minor"/>
    </font>
    <font>
      <i/>
      <sz val="14"/>
      <color theme="0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4"/>
      <color theme="2"/>
      <name val="Arial"/>
      <family val="2"/>
      <scheme val="minor"/>
    </font>
    <font>
      <b/>
      <sz val="8"/>
      <color theme="0"/>
      <name val="Arial"/>
      <family val="2"/>
      <scheme val="minor"/>
    </font>
    <font>
      <sz val="2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4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4"/>
      <color theme="0"/>
      <name val="Arial"/>
      <family val="2"/>
      <scheme val="minor"/>
    </font>
    <font>
      <b/>
      <sz val="9"/>
      <color indexed="81"/>
      <name val="Tahoma"/>
      <family val="2"/>
    </font>
    <font>
      <u/>
      <sz val="22"/>
      <color theme="10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dashed">
        <color theme="5"/>
      </left>
      <right/>
      <top/>
      <bottom/>
      <diagonal/>
    </border>
    <border>
      <left/>
      <right style="dashed">
        <color theme="5"/>
      </right>
      <top/>
      <bottom/>
      <diagonal/>
    </border>
    <border>
      <left/>
      <right/>
      <top style="thin">
        <color rgb="FF002869"/>
      </top>
      <bottom style="thin">
        <color rgb="FF00286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6" fillId="0" borderId="0"/>
    <xf numFmtId="0" fontId="1" fillId="0" borderId="0"/>
  </cellStyleXfs>
  <cellXfs count="252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9" fontId="0" fillId="0" borderId="0" xfId="1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9" fontId="8" fillId="0" borderId="0" xfId="1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8" fillId="0" borderId="0" xfId="0" applyNumberFormat="1" applyFont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9" fontId="0" fillId="0" borderId="0" xfId="1" applyFont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0" xfId="0" applyFill="1"/>
    <xf numFmtId="0" fontId="0" fillId="0" borderId="9" xfId="0" applyBorder="1"/>
    <xf numFmtId="0" fontId="0" fillId="0" borderId="10" xfId="0" applyBorder="1"/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2" xfId="0" quotePrefix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2" xfId="0" quotePrefix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9" fontId="11" fillId="0" borderId="8" xfId="1" applyFont="1" applyBorder="1" applyAlignment="1">
      <alignment horizontal="center" vertical="center"/>
    </xf>
    <xf numFmtId="9" fontId="11" fillId="0" borderId="8" xfId="1" quotePrefix="1" applyFont="1" applyBorder="1" applyAlignment="1">
      <alignment horizontal="center" vertical="center"/>
    </xf>
    <xf numFmtId="9" fontId="11" fillId="0" borderId="10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164" fontId="8" fillId="0" borderId="0" xfId="1" applyNumberFormat="1" applyFont="1" applyFill="1" applyAlignment="1" applyProtection="1">
      <alignment horizontal="center" vertical="center" wrapText="1"/>
      <protection locked="0"/>
    </xf>
    <xf numFmtId="0" fontId="0" fillId="6" borderId="0" xfId="0" applyFill="1"/>
    <xf numFmtId="0" fontId="16" fillId="3" borderId="5" xfId="0" applyFont="1" applyFill="1" applyBorder="1" applyAlignment="1">
      <alignment horizontal="center" vertical="center" textRotation="90" wrapText="1"/>
    </xf>
    <xf numFmtId="165" fontId="12" fillId="0" borderId="0" xfId="2" applyNumberFormat="1" applyFont="1" applyAlignment="1">
      <alignment horizontal="center" vertical="center"/>
    </xf>
    <xf numFmtId="0" fontId="19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8" fillId="3" borderId="5" xfId="0" applyFont="1" applyFill="1" applyBorder="1" applyAlignment="1">
      <alignment horizontal="center" vertical="center" textRotation="90" wrapText="1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165" fontId="29" fillId="0" borderId="0" xfId="2" applyNumberFormat="1" applyFont="1" applyAlignment="1">
      <alignment horizontal="center" vertical="center"/>
    </xf>
    <xf numFmtId="0" fontId="20" fillId="8" borderId="0" xfId="0" applyFont="1" applyFill="1"/>
    <xf numFmtId="0" fontId="20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38" fillId="0" borderId="0" xfId="0" applyFont="1" applyAlignment="1">
      <alignment horizontal="left" vertical="center" wrapText="1"/>
    </xf>
    <xf numFmtId="0" fontId="43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vertical="center"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0" fontId="49" fillId="0" borderId="0" xfId="0" applyFont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vertical="center" wrapText="1"/>
      <protection locked="0"/>
    </xf>
    <xf numFmtId="0" fontId="23" fillId="0" borderId="19" xfId="0" applyFont="1" applyBorder="1" applyAlignment="1" applyProtection="1">
      <alignment horizontal="center" vertical="center" wrapText="1"/>
      <protection locked="0"/>
    </xf>
    <xf numFmtId="0" fontId="44" fillId="0" borderId="19" xfId="0" applyFont="1" applyBorder="1" applyAlignment="1" applyProtection="1">
      <alignment vertical="center" wrapText="1"/>
      <protection locked="0"/>
    </xf>
    <xf numFmtId="0" fontId="44" fillId="0" borderId="19" xfId="0" applyFont="1" applyBorder="1" applyAlignment="1" applyProtection="1">
      <alignment horizontal="center" vertical="center" wrapText="1"/>
      <protection locked="0"/>
    </xf>
    <xf numFmtId="0" fontId="47" fillId="0" borderId="19" xfId="0" applyFont="1" applyBorder="1" applyAlignment="1" applyProtection="1">
      <alignment horizontal="center" vertical="center" wrapText="1"/>
      <protection locked="0"/>
    </xf>
    <xf numFmtId="0" fontId="46" fillId="0" borderId="19" xfId="0" applyFont="1" applyBorder="1" applyAlignment="1" applyProtection="1">
      <alignment vertical="center" wrapText="1"/>
      <protection locked="0"/>
    </xf>
    <xf numFmtId="0" fontId="49" fillId="0" borderId="19" xfId="0" applyFont="1" applyBorder="1" applyAlignment="1" applyProtection="1">
      <alignment horizontal="center" vertical="center" wrapText="1"/>
      <protection locked="0"/>
    </xf>
    <xf numFmtId="0" fontId="45" fillId="0" borderId="19" xfId="0" applyFont="1" applyBorder="1" applyAlignment="1" applyProtection="1">
      <alignment horizontal="center" vertical="center" wrapText="1"/>
      <protection locked="0"/>
    </xf>
    <xf numFmtId="0" fontId="48" fillId="0" borderId="19" xfId="0" applyFont="1" applyBorder="1" applyAlignment="1" applyProtection="1">
      <alignment horizontal="center" vertical="center" wrapText="1"/>
      <protection locked="0"/>
    </xf>
    <xf numFmtId="0" fontId="52" fillId="0" borderId="0" xfId="0" applyFont="1" applyAlignment="1" applyProtection="1">
      <alignment horizontal="center" vertical="center" wrapText="1"/>
      <protection locked="0"/>
    </xf>
    <xf numFmtId="0" fontId="9" fillId="0" borderId="20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53" fillId="0" borderId="0" xfId="0" applyFont="1" applyAlignment="1" applyProtection="1">
      <alignment horizontal="center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9" fillId="0" borderId="23" xfId="0" applyFont="1" applyBorder="1" applyAlignment="1">
      <alignment horizontal="center" vertical="center" wrapText="1"/>
    </xf>
    <xf numFmtId="0" fontId="0" fillId="0" borderId="23" xfId="0" applyBorder="1"/>
    <xf numFmtId="0" fontId="0" fillId="0" borderId="0" xfId="0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 wrapText="1"/>
      <protection locked="0"/>
    </xf>
    <xf numFmtId="0" fontId="5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58" fillId="0" borderId="0" xfId="0" applyFont="1" applyAlignment="1" applyProtection="1">
      <alignment horizontal="center" vertical="center" wrapText="1"/>
      <protection locked="0"/>
    </xf>
    <xf numFmtId="0" fontId="0" fillId="2" borderId="0" xfId="0" applyFill="1"/>
    <xf numFmtId="0" fontId="61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23" xfId="0" applyFill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60" fillId="14" borderId="23" xfId="0" applyFont="1" applyFill="1" applyBorder="1" applyAlignment="1">
      <alignment vertical="top" wrapText="1"/>
    </xf>
    <xf numFmtId="0" fontId="0" fillId="13" borderId="23" xfId="0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15" borderId="0" xfId="0" applyFill="1"/>
    <xf numFmtId="0" fontId="8" fillId="15" borderId="0" xfId="0" applyFont="1" applyFill="1" applyAlignment="1">
      <alignment horizontal="center" vertical="center" wrapText="1"/>
    </xf>
    <xf numFmtId="0" fontId="54" fillId="15" borderId="0" xfId="0" applyFont="1" applyFill="1" applyAlignment="1">
      <alignment horizontal="left" vertical="center" wrapText="1"/>
    </xf>
    <xf numFmtId="1" fontId="8" fillId="15" borderId="0" xfId="0" applyNumberFormat="1" applyFont="1" applyFill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58" fillId="0" borderId="0" xfId="0" applyFont="1" applyAlignment="1" applyProtection="1">
      <alignment vertical="center" wrapText="1"/>
      <protection locked="0"/>
    </xf>
    <xf numFmtId="14" fontId="0" fillId="0" borderId="0" xfId="0" applyNumberFormat="1"/>
    <xf numFmtId="14" fontId="8" fillId="0" borderId="0" xfId="0" applyNumberFormat="1" applyFont="1" applyAlignment="1" applyProtection="1">
      <alignment horizontal="center" vertical="center" wrapText="1"/>
      <protection locked="0"/>
    </xf>
    <xf numFmtId="14" fontId="0" fillId="6" borderId="0" xfId="0" applyNumberFormat="1" applyFill="1"/>
    <xf numFmtId="0" fontId="0" fillId="0" borderId="0" xfId="0" quotePrefix="1"/>
    <xf numFmtId="0" fontId="0" fillId="0" borderId="1" xfId="0" applyBorder="1"/>
    <xf numFmtId="0" fontId="0" fillId="0" borderId="4" xfId="0" applyBorder="1"/>
    <xf numFmtId="0" fontId="2" fillId="0" borderId="24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8" fillId="16" borderId="0" xfId="0" applyFont="1" applyFill="1" applyAlignment="1" applyProtection="1">
      <alignment horizontal="center" vertical="center" wrapText="1"/>
      <protection locked="0"/>
    </xf>
    <xf numFmtId="0" fontId="62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7" fillId="15" borderId="0" xfId="0" applyFont="1" applyFill="1" applyAlignment="1">
      <alignment horizontal="center" vertical="center" wrapText="1"/>
    </xf>
    <xf numFmtId="0" fontId="64" fillId="4" borderId="0" xfId="0" applyFont="1" applyFill="1" applyAlignment="1">
      <alignment horizontal="center" vertical="center" textRotation="90" wrapText="1"/>
    </xf>
    <xf numFmtId="0" fontId="64" fillId="16" borderId="0" xfId="0" applyFont="1" applyFill="1" applyAlignment="1">
      <alignment horizontal="center" vertical="center" textRotation="90" wrapText="1"/>
    </xf>
    <xf numFmtId="0" fontId="64" fillId="4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 textRotation="90" wrapText="1"/>
    </xf>
    <xf numFmtId="0" fontId="27" fillId="8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0" fontId="65" fillId="0" borderId="0" xfId="0" applyFont="1"/>
    <xf numFmtId="0" fontId="27" fillId="3" borderId="5" xfId="0" applyFont="1" applyFill="1" applyBorder="1" applyAlignment="1">
      <alignment horizontal="center" vertical="center" textRotation="90" wrapText="1"/>
    </xf>
    <xf numFmtId="0" fontId="21" fillId="7" borderId="0" xfId="0" applyFont="1" applyFill="1" applyAlignment="1">
      <alignment horizontal="center" vertical="center" textRotation="90"/>
    </xf>
    <xf numFmtId="0" fontId="64" fillId="0" borderId="0" xfId="0" applyFont="1" applyAlignment="1">
      <alignment horizontal="center" textRotation="90" wrapText="1"/>
    </xf>
    <xf numFmtId="0" fontId="0" fillId="0" borderId="0" xfId="0" pivotButton="1"/>
    <xf numFmtId="0" fontId="0" fillId="0" borderId="0" xfId="0" applyAlignment="1">
      <alignment vertical="center" wrapText="1"/>
    </xf>
    <xf numFmtId="164" fontId="8" fillId="0" borderId="0" xfId="0" applyNumberFormat="1" applyFont="1" applyAlignment="1">
      <alignment horizontal="center" vertical="center" wrapText="1"/>
    </xf>
    <xf numFmtId="0" fontId="0" fillId="18" borderId="3" xfId="0" applyFill="1" applyBorder="1" applyAlignment="1">
      <alignment horizontal="center" vertical="center"/>
    </xf>
    <xf numFmtId="0" fontId="11" fillId="2" borderId="0" xfId="0" applyFont="1" applyFill="1" applyAlignment="1">
      <alignment vertical="center" wrapText="1"/>
    </xf>
    <xf numFmtId="0" fontId="11" fillId="0" borderId="0" xfId="0" applyFont="1"/>
    <xf numFmtId="0" fontId="11" fillId="15" borderId="0" xfId="0" applyFont="1" applyFill="1"/>
    <xf numFmtId="0" fontId="61" fillId="0" borderId="0" xfId="0" applyFont="1" applyAlignment="1">
      <alignment horizontal="center" vertical="center" wrapText="1"/>
    </xf>
    <xf numFmtId="0" fontId="73" fillId="3" borderId="5" xfId="0" applyFont="1" applyFill="1" applyBorder="1" applyAlignment="1">
      <alignment horizontal="center" vertical="center" textRotation="90" wrapText="1"/>
    </xf>
    <xf numFmtId="0" fontId="53" fillId="0" borderId="0" xfId="0" pivotButton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 vertical="center" wrapText="1"/>
    </xf>
    <xf numFmtId="0" fontId="0" fillId="19" borderId="0" xfId="0" applyFill="1"/>
    <xf numFmtId="168" fontId="0" fillId="0" borderId="0" xfId="2" applyNumberFormat="1" applyFont="1"/>
    <xf numFmtId="166" fontId="8" fillId="0" borderId="0" xfId="0" applyNumberFormat="1" applyFont="1" applyAlignment="1" applyProtection="1">
      <alignment horizontal="center" vertical="center" wrapText="1"/>
      <protection locked="0"/>
    </xf>
    <xf numFmtId="167" fontId="8" fillId="0" borderId="0" xfId="2" applyNumberFormat="1" applyFont="1" applyFill="1" applyAlignment="1" applyProtection="1">
      <alignment horizontal="center" vertical="center" wrapText="1"/>
      <protection locked="0"/>
    </xf>
    <xf numFmtId="169" fontId="8" fillId="0" borderId="0" xfId="0" applyNumberFormat="1" applyFont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50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0" fillId="0" borderId="0" xfId="0" pivotButton="1" applyAlignment="1">
      <alignment vertical="center"/>
    </xf>
    <xf numFmtId="0" fontId="75" fillId="20" borderId="25" xfId="0" applyFont="1" applyFill="1" applyBorder="1"/>
    <xf numFmtId="0" fontId="77" fillId="0" borderId="0" xfId="0" applyFont="1" applyAlignment="1">
      <alignment horizontal="center" vertical="center" wrapText="1"/>
    </xf>
    <xf numFmtId="0" fontId="77" fillId="0" borderId="0" xfId="0" applyFont="1"/>
    <xf numFmtId="0" fontId="2" fillId="20" borderId="25" xfId="0" applyFont="1" applyFill="1" applyBorder="1"/>
    <xf numFmtId="0" fontId="2" fillId="20" borderId="26" xfId="0" applyFont="1" applyFill="1" applyBorder="1" applyAlignment="1">
      <alignment horizontal="center" vertical="center"/>
    </xf>
    <xf numFmtId="167" fontId="78" fillId="0" borderId="0" xfId="2" applyNumberFormat="1" applyFont="1" applyFill="1" applyAlignment="1" applyProtection="1">
      <alignment horizontal="center" vertical="center" wrapText="1"/>
      <protection locked="0"/>
    </xf>
    <xf numFmtId="0" fontId="79" fillId="0" borderId="0" xfId="0" applyFont="1" applyAlignment="1">
      <alignment horizontal="center" vertical="center" wrapText="1"/>
    </xf>
    <xf numFmtId="0" fontId="59" fillId="0" borderId="0" xfId="0" applyFont="1" applyAlignment="1" applyProtection="1">
      <alignment horizontal="center" vertical="center" wrapText="1"/>
      <protection locked="0"/>
    </xf>
    <xf numFmtId="167" fontId="8" fillId="0" borderId="0" xfId="2" applyNumberFormat="1" applyFont="1" applyAlignment="1" applyProtection="1">
      <alignment horizontal="center" vertical="center" wrapText="1"/>
      <protection locked="0"/>
    </xf>
    <xf numFmtId="1" fontId="0" fillId="0" borderId="0" xfId="0" applyNumberFormat="1"/>
    <xf numFmtId="1" fontId="27" fillId="0" borderId="0" xfId="0" applyNumberFormat="1" applyFont="1" applyAlignment="1">
      <alignment horizontal="center" vertical="center" wrapText="1"/>
    </xf>
    <xf numFmtId="1" fontId="0" fillId="6" borderId="0" xfId="0" applyNumberFormat="1" applyFill="1"/>
    <xf numFmtId="1" fontId="8" fillId="21" borderId="0" xfId="0" applyNumberFormat="1" applyFont="1" applyFill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69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0" fillId="0" borderId="3" xfId="0" applyBorder="1"/>
    <xf numFmtId="0" fontId="76" fillId="15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0" fillId="6" borderId="0" xfId="0" applyFont="1" applyFill="1" applyAlignment="1">
      <alignment horizontal="center" vertical="center" wrapText="1"/>
    </xf>
    <xf numFmtId="0" fontId="27" fillId="22" borderId="0" xfId="0" applyFont="1" applyFill="1" applyAlignment="1">
      <alignment horizontal="center" vertical="top" wrapText="1"/>
    </xf>
    <xf numFmtId="0" fontId="58" fillId="15" borderId="0" xfId="0" applyFont="1" applyFill="1" applyAlignment="1" applyProtection="1">
      <alignment vertical="center" wrapText="1"/>
      <protection locked="0"/>
    </xf>
    <xf numFmtId="0" fontId="59" fillId="15" borderId="0" xfId="0" applyFont="1" applyFill="1" applyAlignment="1" applyProtection="1">
      <alignment vertical="center" wrapText="1"/>
      <protection locked="0"/>
    </xf>
    <xf numFmtId="14" fontId="11" fillId="23" borderId="0" xfId="0" applyNumberFormat="1" applyFont="1" applyFill="1" applyAlignment="1" applyProtection="1">
      <alignment horizontal="center" vertical="center" wrapText="1"/>
      <protection locked="0"/>
    </xf>
    <xf numFmtId="166" fontId="8" fillId="0" borderId="0" xfId="2" applyNumberFormat="1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41" fillId="0" borderId="0" xfId="0" applyFont="1" applyAlignment="1">
      <alignment horizontal="right" vertical="center"/>
    </xf>
    <xf numFmtId="0" fontId="25" fillId="7" borderId="0" xfId="0" applyFont="1" applyFill="1" applyAlignment="1">
      <alignment horizontal="left" vertical="center" wrapText="1"/>
    </xf>
    <xf numFmtId="0" fontId="25" fillId="7" borderId="0" xfId="0" applyFont="1" applyFill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4" fillId="7" borderId="0" xfId="0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6" fillId="6" borderId="0" xfId="0" applyFont="1" applyFill="1" applyAlignment="1">
      <alignment horizontal="center" vertical="center"/>
    </xf>
    <xf numFmtId="0" fontId="81" fillId="2" borderId="17" xfId="3" applyFont="1" applyFill="1" applyBorder="1" applyAlignment="1">
      <alignment horizontal="left" vertical="center" wrapText="1"/>
    </xf>
    <xf numFmtId="0" fontId="81" fillId="2" borderId="0" xfId="3" applyFont="1" applyFill="1" applyAlignment="1">
      <alignment horizontal="left" vertical="center" wrapText="1"/>
    </xf>
    <xf numFmtId="0" fontId="81" fillId="2" borderId="18" xfId="3" applyFont="1" applyFill="1" applyBorder="1" applyAlignment="1">
      <alignment horizontal="left" vertical="center" wrapText="1"/>
    </xf>
    <xf numFmtId="0" fontId="25" fillId="0" borderId="16" xfId="0" applyFont="1" applyBorder="1" applyAlignment="1">
      <alignment horizontal="left"/>
    </xf>
    <xf numFmtId="0" fontId="68" fillId="8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69" fillId="4" borderId="0" xfId="0" applyFont="1" applyFill="1" applyAlignment="1">
      <alignment horizontal="left" vertical="center" wrapText="1"/>
    </xf>
    <xf numFmtId="0" fontId="32" fillId="6" borderId="0" xfId="3" applyFont="1" applyFill="1" applyAlignment="1">
      <alignment horizontal="center" textRotation="90"/>
    </xf>
    <xf numFmtId="0" fontId="33" fillId="6" borderId="0" xfId="0" applyFont="1" applyFill="1" applyAlignment="1">
      <alignment horizontal="center" textRotation="90"/>
    </xf>
    <xf numFmtId="0" fontId="33" fillId="2" borderId="0" xfId="0" applyFont="1" applyFill="1" applyAlignment="1">
      <alignment horizontal="left" vertical="center" wrapText="1"/>
    </xf>
    <xf numFmtId="0" fontId="74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60" fillId="14" borderId="0" xfId="0" applyFont="1" applyFill="1" applyAlignment="1">
      <alignment horizontal="center"/>
    </xf>
    <xf numFmtId="0" fontId="27" fillId="8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</cellXfs>
  <cellStyles count="9">
    <cellStyle name="Comma" xfId="2" builtinId="3"/>
    <cellStyle name="Comma 2" xfId="5" xr:uid="{6EB42EAE-A72D-4144-80B5-2AE95A9D6FC4}"/>
    <cellStyle name="Comma 3" xfId="6" xr:uid="{ADD15609-97BC-415C-8BA5-4EC6BD9EDFC1}"/>
    <cellStyle name="Hyperlink" xfId="3" builtinId="8"/>
    <cellStyle name="Normal" xfId="0" builtinId="0"/>
    <cellStyle name="Normal 2 2" xfId="7" xr:uid="{01563418-21F7-4788-AB6D-002AB9FF0DE9}"/>
    <cellStyle name="Normal 3" xfId="4" xr:uid="{B2D9A749-2C89-4694-ACA3-E0723AD640C1}"/>
    <cellStyle name="Normal 4" xfId="8" xr:uid="{F9D0AA45-BE8B-49F7-8D21-47E888B2E9FE}"/>
    <cellStyle name="Percent" xfId="1" builtinId="5"/>
  </cellStyles>
  <dxfs count="167">
    <dxf>
      <font>
        <color theme="5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ont>
        <color theme="2"/>
      </font>
      <fill>
        <patternFill>
          <bgColor theme="4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rgb="FFFF99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rgb="FFFF9900"/>
        </patternFill>
      </fill>
    </dxf>
    <dxf>
      <font>
        <color auto="1"/>
      </font>
      <fill>
        <patternFill>
          <bgColor theme="9"/>
        </patternFill>
      </fill>
    </dxf>
    <dxf>
      <font>
        <sz val="8"/>
      </font>
    </dxf>
    <dxf>
      <font>
        <b/>
      </font>
    </dxf>
    <dxf>
      <font>
        <sz val="48"/>
      </font>
    </dxf>
    <dxf>
      <fill>
        <patternFill patternType="solid">
          <bgColor theme="0"/>
        </patternFill>
      </fill>
    </dxf>
    <dxf>
      <font>
        <sz val="9"/>
      </font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font>
        <b/>
      </font>
    </dxf>
    <dxf>
      <font>
        <sz val="48"/>
      </font>
    </dxf>
    <dxf>
      <fill>
        <patternFill patternType="solid">
          <bgColor theme="0"/>
        </patternFill>
      </fill>
    </dxf>
    <dxf>
      <font>
        <sz val="9"/>
      </font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none">
          <fgColor indexed="64"/>
          <bgColor indexed="65"/>
        </patternFill>
      </fill>
    </dxf>
    <dxf>
      <font>
        <sz val="8"/>
      </font>
    </dxf>
    <dxf>
      <font>
        <b/>
      </font>
    </dxf>
    <dxf>
      <font>
        <sz val="48"/>
      </font>
    </dxf>
    <dxf>
      <fill>
        <patternFill patternType="solid">
          <bgColor theme="0"/>
        </patternFill>
      </fill>
    </dxf>
    <dxf>
      <font>
        <sz val="9"/>
      </font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6" formatCode="_([$€-2]\ * #,##0.00_);_([$€-2]\ * \(#,##0.00\);_([$€-2]\ * &quot;-&quot;??_);_(@_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9" formatCode="_-* #,##0\ [$€-80C]_-;\-* #,##0\ [$€-80C]_-;_-* &quot;-&quot;??\ [$€-80C]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9" formatCode="_-* #,##0\ [$€-80C]_-;\-* #,##0\ [$€-80C]_-;_-* &quot;-&quot;??\ [$€-80C]_-;_-@_-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9" formatCode="_-* #,##0\ [$€-80C]_-;\-* #,##0\ [$€-80C]_-;_-* &quot;-&quot;??\ [$€-80C]_-;_-@_-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9" formatCode="_-* #,##0\ [$€-80C]_-;\-* #,##0\ [$€-80C]_-;_-* &quot;-&quot;??\ [$€-80C]_-;_-@_-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70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61848144228754E-2"/>
          <c:y val="3.6844338652359032E-2"/>
          <c:w val="0.92960363409819269"/>
          <c:h val="0.9055412622431530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Input!$E$2</c:f>
              <c:strCache>
                <c:ptCount val="1"/>
                <c:pt idx="0">
                  <c:v>Project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3"/>
            <c:spPr>
              <a:solidFill>
                <a:schemeClr val="accent4"/>
              </a:solidFill>
              <a:ln w="41275">
                <a:solidFill>
                  <a:schemeClr val="accent1"/>
                </a:solidFill>
              </a:ln>
              <a:effectLst/>
            </c:spPr>
          </c:marker>
          <c:xVal>
            <c:numRef>
              <c:f>Input!$AS$3:$AS$206</c:f>
            </c:numRef>
          </c:xVal>
          <c:yVal>
            <c:numRef>
              <c:f>Input!$T$3:$T$206</c:f>
              <c:numCache>
                <c:formatCode>General</c:formatCode>
                <c:ptCount val="154"/>
                <c:pt idx="0" formatCode="0.0">
                  <c:v>6.5</c:v>
                </c:pt>
                <c:pt idx="1">
                  <c:v>1.5</c:v>
                </c:pt>
                <c:pt idx="2">
                  <c:v>3.8</c:v>
                </c:pt>
                <c:pt idx="3">
                  <c:v>2.6</c:v>
                </c:pt>
                <c:pt idx="4">
                  <c:v>0.5</c:v>
                </c:pt>
                <c:pt idx="5">
                  <c:v>4.9000000000000004</c:v>
                </c:pt>
                <c:pt idx="6">
                  <c:v>4.8000000000000007</c:v>
                </c:pt>
                <c:pt idx="7">
                  <c:v>2.1</c:v>
                </c:pt>
                <c:pt idx="8">
                  <c:v>4.6999999999999993</c:v>
                </c:pt>
                <c:pt idx="9" formatCode="0.0">
                  <c:v>1.5</c:v>
                </c:pt>
                <c:pt idx="10">
                  <c:v>4.6999999999999993</c:v>
                </c:pt>
                <c:pt idx="11">
                  <c:v>4.4000000000000004</c:v>
                </c:pt>
                <c:pt idx="12">
                  <c:v>5.6</c:v>
                </c:pt>
                <c:pt idx="13">
                  <c:v>1.6</c:v>
                </c:pt>
                <c:pt idx="14">
                  <c:v>0</c:v>
                </c:pt>
                <c:pt idx="15">
                  <c:v>4.2</c:v>
                </c:pt>
                <c:pt idx="16">
                  <c:v>3</c:v>
                </c:pt>
                <c:pt idx="17">
                  <c:v>3.7</c:v>
                </c:pt>
                <c:pt idx="18">
                  <c:v>3.6</c:v>
                </c:pt>
                <c:pt idx="19">
                  <c:v>3.1</c:v>
                </c:pt>
                <c:pt idx="20">
                  <c:v>2.6</c:v>
                </c:pt>
                <c:pt idx="21">
                  <c:v>1.8</c:v>
                </c:pt>
                <c:pt idx="22">
                  <c:v>4</c:v>
                </c:pt>
                <c:pt idx="23">
                  <c:v>5.6</c:v>
                </c:pt>
                <c:pt idx="24">
                  <c:v>2.9</c:v>
                </c:pt>
                <c:pt idx="25" formatCode="0.0">
                  <c:v>1.5</c:v>
                </c:pt>
                <c:pt idx="26">
                  <c:v>2.8</c:v>
                </c:pt>
                <c:pt idx="27">
                  <c:v>3.2</c:v>
                </c:pt>
                <c:pt idx="28">
                  <c:v>2.4</c:v>
                </c:pt>
                <c:pt idx="29">
                  <c:v>2.5</c:v>
                </c:pt>
                <c:pt idx="30">
                  <c:v>3.9</c:v>
                </c:pt>
                <c:pt idx="31">
                  <c:v>2.5</c:v>
                </c:pt>
                <c:pt idx="32">
                  <c:v>2.5</c:v>
                </c:pt>
                <c:pt idx="33">
                  <c:v>1.5</c:v>
                </c:pt>
                <c:pt idx="34">
                  <c:v>5</c:v>
                </c:pt>
                <c:pt idx="35">
                  <c:v>2.4000000000000004</c:v>
                </c:pt>
                <c:pt idx="36">
                  <c:v>2.4</c:v>
                </c:pt>
                <c:pt idx="37">
                  <c:v>4.2</c:v>
                </c:pt>
                <c:pt idx="38">
                  <c:v>3.6</c:v>
                </c:pt>
                <c:pt idx="39">
                  <c:v>2.4000000000000004</c:v>
                </c:pt>
                <c:pt idx="40">
                  <c:v>2</c:v>
                </c:pt>
                <c:pt idx="41">
                  <c:v>4.7</c:v>
                </c:pt>
                <c:pt idx="42">
                  <c:v>2.5</c:v>
                </c:pt>
                <c:pt idx="43">
                  <c:v>2</c:v>
                </c:pt>
                <c:pt idx="44">
                  <c:v>6.4</c:v>
                </c:pt>
                <c:pt idx="45">
                  <c:v>1.8</c:v>
                </c:pt>
                <c:pt idx="46">
                  <c:v>1.6</c:v>
                </c:pt>
                <c:pt idx="47">
                  <c:v>1.6</c:v>
                </c:pt>
                <c:pt idx="48">
                  <c:v>3.9</c:v>
                </c:pt>
                <c:pt idx="49">
                  <c:v>2.4</c:v>
                </c:pt>
                <c:pt idx="50">
                  <c:v>4.7</c:v>
                </c:pt>
                <c:pt idx="51">
                  <c:v>2.5</c:v>
                </c:pt>
                <c:pt idx="52">
                  <c:v>4.0999999999999996</c:v>
                </c:pt>
                <c:pt idx="53">
                  <c:v>1</c:v>
                </c:pt>
                <c:pt idx="54">
                  <c:v>0.5</c:v>
                </c:pt>
                <c:pt idx="55">
                  <c:v>0.5</c:v>
                </c:pt>
                <c:pt idx="56">
                  <c:v>3.6</c:v>
                </c:pt>
                <c:pt idx="57" formatCode="0.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D-4007-BA9C-20E3B2E42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185248"/>
        <c:axId val="1988189088"/>
      </c:scatterChart>
      <c:valAx>
        <c:axId val="19881852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>
                    <a:solidFill>
                      <a:schemeClr val="accent5"/>
                    </a:solidFill>
                  </a:rPr>
                  <a:t>EFFORT </a:t>
                </a:r>
              </a:p>
            </c:rich>
          </c:tx>
          <c:layout>
            <c:manualLayout>
              <c:xMode val="edge"/>
              <c:yMode val="edge"/>
              <c:x val="0.48808895658288715"/>
              <c:y val="0.95680246142001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crossAx val="1988189088"/>
        <c:crosses val="autoZero"/>
        <c:crossBetween val="midCat"/>
      </c:valAx>
      <c:valAx>
        <c:axId val="1988189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>
                    <a:solidFill>
                      <a:schemeClr val="accent4"/>
                    </a:solidFill>
                  </a:rPr>
                  <a:t>Strategic KPI Contribution</a:t>
                </a:r>
              </a:p>
            </c:rich>
          </c:tx>
          <c:layout>
            <c:manualLayout>
              <c:xMode val="edge"/>
              <c:yMode val="edge"/>
              <c:x val="1.2624239096816247E-2"/>
              <c:y val="0.31500614156371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crossAx val="198818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61848144228754E-2"/>
          <c:y val="3.6844338652359032E-2"/>
          <c:w val="0.92960363409819269"/>
          <c:h val="0.9055412622431530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Input!$BC$2</c:f>
              <c:strCache>
                <c:ptCount val="1"/>
                <c:pt idx="0">
                  <c:v>Total IS Budget (full project)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chemeClr val="accent4"/>
              </a:solidFill>
              <a:ln w="41275">
                <a:solidFill>
                  <a:schemeClr val="accent1"/>
                </a:solidFill>
              </a:ln>
              <a:effectLst/>
            </c:spPr>
          </c:marker>
          <c:xVal>
            <c:numRef>
              <c:f>Input!$T$3:$T$84</c:f>
              <c:numCache>
                <c:formatCode>General</c:formatCode>
                <c:ptCount val="47"/>
                <c:pt idx="0" formatCode="0.0">
                  <c:v>6.5</c:v>
                </c:pt>
                <c:pt idx="1">
                  <c:v>1.5</c:v>
                </c:pt>
                <c:pt idx="2">
                  <c:v>3.8</c:v>
                </c:pt>
                <c:pt idx="3">
                  <c:v>2.6</c:v>
                </c:pt>
                <c:pt idx="4">
                  <c:v>0.5</c:v>
                </c:pt>
                <c:pt idx="5">
                  <c:v>4.9000000000000004</c:v>
                </c:pt>
                <c:pt idx="6">
                  <c:v>4.8000000000000007</c:v>
                </c:pt>
                <c:pt idx="7">
                  <c:v>2.1</c:v>
                </c:pt>
                <c:pt idx="8">
                  <c:v>4.6999999999999993</c:v>
                </c:pt>
                <c:pt idx="9" formatCode="0.0">
                  <c:v>1.5</c:v>
                </c:pt>
                <c:pt idx="10">
                  <c:v>4.6999999999999993</c:v>
                </c:pt>
                <c:pt idx="11">
                  <c:v>4.4000000000000004</c:v>
                </c:pt>
                <c:pt idx="12">
                  <c:v>5.6</c:v>
                </c:pt>
                <c:pt idx="13">
                  <c:v>1.6</c:v>
                </c:pt>
                <c:pt idx="14">
                  <c:v>0</c:v>
                </c:pt>
                <c:pt idx="15">
                  <c:v>4.2</c:v>
                </c:pt>
                <c:pt idx="16">
                  <c:v>3</c:v>
                </c:pt>
                <c:pt idx="17">
                  <c:v>3.7</c:v>
                </c:pt>
                <c:pt idx="18">
                  <c:v>3.6</c:v>
                </c:pt>
                <c:pt idx="19">
                  <c:v>3.1</c:v>
                </c:pt>
                <c:pt idx="20">
                  <c:v>2.6</c:v>
                </c:pt>
                <c:pt idx="21">
                  <c:v>1.8</c:v>
                </c:pt>
                <c:pt idx="22">
                  <c:v>4</c:v>
                </c:pt>
                <c:pt idx="23">
                  <c:v>5.6</c:v>
                </c:pt>
                <c:pt idx="24">
                  <c:v>2.9</c:v>
                </c:pt>
                <c:pt idx="25" formatCode="0.0">
                  <c:v>1.5</c:v>
                </c:pt>
                <c:pt idx="26">
                  <c:v>2.8</c:v>
                </c:pt>
                <c:pt idx="27">
                  <c:v>3.2</c:v>
                </c:pt>
                <c:pt idx="28">
                  <c:v>2.4</c:v>
                </c:pt>
                <c:pt idx="29">
                  <c:v>2.5</c:v>
                </c:pt>
                <c:pt idx="30">
                  <c:v>3.9</c:v>
                </c:pt>
                <c:pt idx="31">
                  <c:v>2.5</c:v>
                </c:pt>
                <c:pt idx="32">
                  <c:v>2.5</c:v>
                </c:pt>
                <c:pt idx="33">
                  <c:v>1.5</c:v>
                </c:pt>
                <c:pt idx="34">
                  <c:v>5</c:v>
                </c:pt>
                <c:pt idx="35">
                  <c:v>2.4000000000000004</c:v>
                </c:pt>
                <c:pt idx="36">
                  <c:v>2.4</c:v>
                </c:pt>
                <c:pt idx="37">
                  <c:v>4.2</c:v>
                </c:pt>
                <c:pt idx="38">
                  <c:v>3.6</c:v>
                </c:pt>
                <c:pt idx="39">
                  <c:v>2.4000000000000004</c:v>
                </c:pt>
                <c:pt idx="40">
                  <c:v>2</c:v>
                </c:pt>
                <c:pt idx="41">
                  <c:v>4.7</c:v>
                </c:pt>
                <c:pt idx="42">
                  <c:v>2.5</c:v>
                </c:pt>
                <c:pt idx="43">
                  <c:v>2</c:v>
                </c:pt>
                <c:pt idx="44">
                  <c:v>6.4</c:v>
                </c:pt>
                <c:pt idx="45">
                  <c:v>1.8</c:v>
                </c:pt>
                <c:pt idx="46">
                  <c:v>1.6</c:v>
                </c:pt>
              </c:numCache>
            </c:numRef>
          </c:xVal>
          <c:yVal>
            <c:numRef>
              <c:f>Input!$BC$3:$BC$84</c:f>
              <c:numCache>
                <c:formatCode>_-* #,##0\ [$€-80C]_-;\-* #,##0\ [$€-80C]_-;_-* "-"??\ [$€-80C]_-;_-@_-</c:formatCode>
                <c:ptCount val="47"/>
                <c:pt idx="0">
                  <c:v>10000000</c:v>
                </c:pt>
                <c:pt idx="2">
                  <c:v>4100000</c:v>
                </c:pt>
                <c:pt idx="3">
                  <c:v>565927.20000000007</c:v>
                </c:pt>
                <c:pt idx="4">
                  <c:v>126000</c:v>
                </c:pt>
                <c:pt idx="5">
                  <c:v>350000</c:v>
                </c:pt>
                <c:pt idx="6">
                  <c:v>6000000</c:v>
                </c:pt>
                <c:pt idx="7">
                  <c:v>737622.46680000005</c:v>
                </c:pt>
                <c:pt idx="11">
                  <c:v>170460</c:v>
                </c:pt>
                <c:pt idx="12">
                  <c:v>443196.00000000006</c:v>
                </c:pt>
                <c:pt idx="13">
                  <c:v>0</c:v>
                </c:pt>
                <c:pt idx="14">
                  <c:v>150000</c:v>
                </c:pt>
                <c:pt idx="15">
                  <c:v>200000</c:v>
                </c:pt>
                <c:pt idx="16">
                  <c:v>158000</c:v>
                </c:pt>
                <c:pt idx="17">
                  <c:v>11000000</c:v>
                </c:pt>
                <c:pt idx="18">
                  <c:v>157500</c:v>
                </c:pt>
                <c:pt idx="19">
                  <c:v>150000</c:v>
                </c:pt>
                <c:pt idx="20">
                  <c:v>150000</c:v>
                </c:pt>
                <c:pt idx="21">
                  <c:v>142000</c:v>
                </c:pt>
                <c:pt idx="22">
                  <c:v>135000</c:v>
                </c:pt>
                <c:pt idx="24">
                  <c:v>0</c:v>
                </c:pt>
                <c:pt idx="27">
                  <c:v>110000</c:v>
                </c:pt>
                <c:pt idx="28">
                  <c:v>98000</c:v>
                </c:pt>
                <c:pt idx="29">
                  <c:v>25000</c:v>
                </c:pt>
                <c:pt idx="30">
                  <c:v>97500</c:v>
                </c:pt>
                <c:pt idx="31">
                  <c:v>150000</c:v>
                </c:pt>
                <c:pt idx="32">
                  <c:v>0</c:v>
                </c:pt>
                <c:pt idx="33">
                  <c:v>84000</c:v>
                </c:pt>
                <c:pt idx="34">
                  <c:v>76200</c:v>
                </c:pt>
                <c:pt idx="37">
                  <c:v>0</c:v>
                </c:pt>
                <c:pt idx="38">
                  <c:v>65000</c:v>
                </c:pt>
                <c:pt idx="39">
                  <c:v>52000</c:v>
                </c:pt>
                <c:pt idx="41">
                  <c:v>45000</c:v>
                </c:pt>
                <c:pt idx="42">
                  <c:v>0</c:v>
                </c:pt>
                <c:pt idx="43">
                  <c:v>227280</c:v>
                </c:pt>
                <c:pt idx="44">
                  <c:v>0</c:v>
                </c:pt>
                <c:pt idx="46">
                  <c:v>226002.68640000001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6FF-4709-A297-F001D602C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185248"/>
        <c:axId val="1988189088"/>
      </c:scatterChart>
      <c:valAx>
        <c:axId val="19881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>
                    <a:solidFill>
                      <a:schemeClr val="tx1">
                        <a:lumMod val="60000"/>
                        <a:lumOff val="40000"/>
                      </a:schemeClr>
                    </a:solidFill>
                  </a:rPr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89088"/>
        <c:crosses val="autoZero"/>
        <c:crossBetween val="midCat"/>
      </c:valAx>
      <c:valAx>
        <c:axId val="19881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1">
                    <a:solidFill>
                      <a:srgbClr val="FF0000"/>
                    </a:solidFill>
                  </a:rPr>
                  <a:t>COST</a:t>
                </a:r>
              </a:p>
            </c:rich>
          </c:tx>
          <c:layout>
            <c:manualLayout>
              <c:xMode val="edge"/>
              <c:yMode val="edge"/>
              <c:x val="1.2624247364285097E-2"/>
              <c:y val="0.35898536191211378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[$€-80C]_-;\-* #,##0\ [$€-80C]_-;_-* &quot;-&quot;??\ [$€-80C]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8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Input!$E$2</c:f>
              <c:strCache>
                <c:ptCount val="1"/>
                <c:pt idx="0">
                  <c:v>Project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Input!$J$3:$J$72</c:f>
              <c:strCache>
                <c:ptCount val="38"/>
                <c:pt idx="3">
                  <c:v>$$$</c:v>
                </c:pt>
                <c:pt idx="4">
                  <c:v>VALUE &lt; 2</c:v>
                </c:pt>
                <c:pt idx="7">
                  <c:v>$$$</c:v>
                </c:pt>
                <c:pt idx="9">
                  <c:v>VALUE &lt; 2</c:v>
                </c:pt>
                <c:pt idx="11">
                  <c:v>VALUE &lt; 2</c:v>
                </c:pt>
                <c:pt idx="12">
                  <c:v>TOP10 $$$</c:v>
                </c:pt>
                <c:pt idx="13">
                  <c:v>REGUL</c:v>
                </c:pt>
                <c:pt idx="14">
                  <c:v>REGUL</c:v>
                </c:pt>
                <c:pt idx="15">
                  <c:v>TOP10</c:v>
                </c:pt>
                <c:pt idx="16">
                  <c:v>RISK if not done</c:v>
                </c:pt>
                <c:pt idx="17">
                  <c:v>$$$</c:v>
                </c:pt>
                <c:pt idx="19">
                  <c:v>RISK if not done</c:v>
                </c:pt>
                <c:pt idx="21">
                  <c:v>RISK if not done</c:v>
                </c:pt>
                <c:pt idx="22">
                  <c:v>TOP10</c:v>
                </c:pt>
                <c:pt idx="23">
                  <c:v>TOP10 $$$</c:v>
                </c:pt>
                <c:pt idx="25">
                  <c:v>VALUE &lt; 2</c:v>
                </c:pt>
                <c:pt idx="28">
                  <c:v>no COMBOARD</c:v>
                </c:pt>
                <c:pt idx="29">
                  <c:v>no COMBOARD</c:v>
                </c:pt>
                <c:pt idx="33">
                  <c:v>VALUE &lt; 2</c:v>
                </c:pt>
                <c:pt idx="34">
                  <c:v>TOP10</c:v>
                </c:pt>
                <c:pt idx="35">
                  <c:v>RISK if not done</c:v>
                </c:pt>
                <c:pt idx="37">
                  <c:v>TOP10</c:v>
                </c:pt>
              </c:strCache>
            </c:strRef>
          </c:xVal>
          <c:yVal>
            <c:numRef>
              <c:f>Input!$T$3:$T$72</c:f>
              <c:numCache>
                <c:formatCode>General</c:formatCode>
                <c:ptCount val="39"/>
                <c:pt idx="0" formatCode="0.0">
                  <c:v>6.5</c:v>
                </c:pt>
                <c:pt idx="1">
                  <c:v>1.5</c:v>
                </c:pt>
                <c:pt idx="2">
                  <c:v>3.8</c:v>
                </c:pt>
                <c:pt idx="3">
                  <c:v>2.6</c:v>
                </c:pt>
                <c:pt idx="4">
                  <c:v>0.5</c:v>
                </c:pt>
                <c:pt idx="5">
                  <c:v>4.9000000000000004</c:v>
                </c:pt>
                <c:pt idx="6">
                  <c:v>4.8000000000000007</c:v>
                </c:pt>
                <c:pt idx="7">
                  <c:v>2.1</c:v>
                </c:pt>
                <c:pt idx="8">
                  <c:v>4.6999999999999993</c:v>
                </c:pt>
                <c:pt idx="9" formatCode="0.0">
                  <c:v>1.5</c:v>
                </c:pt>
                <c:pt idx="10">
                  <c:v>4.6999999999999993</c:v>
                </c:pt>
                <c:pt idx="11">
                  <c:v>4.4000000000000004</c:v>
                </c:pt>
                <c:pt idx="12">
                  <c:v>5.6</c:v>
                </c:pt>
                <c:pt idx="13">
                  <c:v>1.6</c:v>
                </c:pt>
                <c:pt idx="14">
                  <c:v>0</c:v>
                </c:pt>
                <c:pt idx="15">
                  <c:v>4.2</c:v>
                </c:pt>
                <c:pt idx="16">
                  <c:v>3</c:v>
                </c:pt>
                <c:pt idx="17">
                  <c:v>3.7</c:v>
                </c:pt>
                <c:pt idx="18">
                  <c:v>3.6</c:v>
                </c:pt>
                <c:pt idx="19">
                  <c:v>3.1</c:v>
                </c:pt>
                <c:pt idx="20">
                  <c:v>2.6</c:v>
                </c:pt>
                <c:pt idx="21">
                  <c:v>1.8</c:v>
                </c:pt>
                <c:pt idx="22">
                  <c:v>4</c:v>
                </c:pt>
                <c:pt idx="23">
                  <c:v>5.6</c:v>
                </c:pt>
                <c:pt idx="24">
                  <c:v>2.9</c:v>
                </c:pt>
                <c:pt idx="25" formatCode="0.0">
                  <c:v>1.5</c:v>
                </c:pt>
                <c:pt idx="26">
                  <c:v>2.8</c:v>
                </c:pt>
                <c:pt idx="27">
                  <c:v>3.2</c:v>
                </c:pt>
                <c:pt idx="28">
                  <c:v>2.4</c:v>
                </c:pt>
                <c:pt idx="29">
                  <c:v>2.5</c:v>
                </c:pt>
                <c:pt idx="30">
                  <c:v>3.9</c:v>
                </c:pt>
                <c:pt idx="31">
                  <c:v>2.5</c:v>
                </c:pt>
                <c:pt idx="32">
                  <c:v>2.5</c:v>
                </c:pt>
                <c:pt idx="33">
                  <c:v>1.5</c:v>
                </c:pt>
                <c:pt idx="34">
                  <c:v>5</c:v>
                </c:pt>
                <c:pt idx="35">
                  <c:v>2.4000000000000004</c:v>
                </c:pt>
                <c:pt idx="36">
                  <c:v>2.4</c:v>
                </c:pt>
                <c:pt idx="37">
                  <c:v>4.2</c:v>
                </c:pt>
                <c:pt idx="38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4-40BF-B956-1202D589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50688"/>
        <c:axId val="1822976144"/>
      </c:scatterChart>
      <c:valAx>
        <c:axId val="18219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76144"/>
        <c:crosses val="autoZero"/>
        <c:crossBetween val="midCat"/>
      </c:valAx>
      <c:valAx>
        <c:axId val="18229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ysClr val="windowText" lastClr="000000"/>
                </a:solidFill>
              </a:rPr>
              <a:t>Our projects and date of start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Metrix!$A$42</c:f>
              <c:strCache>
                <c:ptCount val="1"/>
                <c:pt idx="0">
                  <c:v>Projects ramp up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0"/>
              <c:layout>
                <c:manualLayout>
                  <c:x val="6.8387401889861948E-2"/>
                  <c:y val="2.06717456102870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07725248918785"/>
                      <c:h val="0.15868163645242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9EE-4A73-8B3E-84A69F633B91}"/>
                </c:ext>
              </c:extLst>
            </c:dLbl>
            <c:dLbl>
              <c:idx val="1"/>
              <c:layout>
                <c:manualLayout>
                  <c:x val="7.2799470549305093E-2"/>
                  <c:y val="-4.62962962962971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399869026960649E-2"/>
                      <c:h val="6.17825896762904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9EE-4A73-8B3E-84A69F633B91}"/>
                </c:ext>
              </c:extLst>
            </c:dLbl>
            <c:dLbl>
              <c:idx val="2"/>
              <c:layout>
                <c:manualLayout>
                  <c:x val="7.9417604235605635E-2"/>
                  <c:y val="-9.259259259259343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399869026960649E-2"/>
                      <c:h val="6.17825896762904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9EE-4A73-8B3E-84A69F633B91}"/>
                </c:ext>
              </c:extLst>
            </c:dLbl>
            <c:dLbl>
              <c:idx val="3"/>
              <c:layout>
                <c:manualLayout>
                  <c:x val="7.9417604235605566E-2"/>
                  <c:y val="-9.259259259259258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399869026960649E-2"/>
                      <c:h val="6.17825896762904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9EE-4A73-8B3E-84A69F633B91}"/>
                </c:ext>
              </c:extLst>
            </c:dLbl>
            <c:dLbl>
              <c:idx val="4"/>
              <c:layout>
                <c:manualLayout>
                  <c:x val="-9.8990530112243735E-3"/>
                  <c:y val="-0.4382665084742314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199361106739667E-2"/>
                      <c:h val="7.63172953671488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9EE-4A73-8B3E-84A69F633B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Metrix!$B$40:$F$40</c:f>
              <c:strCache>
                <c:ptCount val="5"/>
                <c:pt idx="0">
                  <c:v>Q1 or before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2026+</c:v>
                </c:pt>
              </c:strCache>
            </c:strRef>
          </c:cat>
          <c:val>
            <c:numRef>
              <c:f>Metrix!$B$42:$F$42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E-4A73-8B3E-84A69F633B91}"/>
            </c:ext>
          </c:extLst>
        </c:ser>
        <c:ser>
          <c:idx val="1"/>
          <c:order val="1"/>
          <c:tx>
            <c:strRef>
              <c:f>Metrix!$A$43</c:f>
              <c:strCache>
                <c:ptCount val="1"/>
                <c:pt idx="0">
                  <c:v>complete projects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strRef>
              <c:f>Metrix!$B$40:$F$40</c:f>
              <c:strCache>
                <c:ptCount val="5"/>
                <c:pt idx="0">
                  <c:v>Q1 or before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2026+</c:v>
                </c:pt>
              </c:strCache>
            </c:strRef>
          </c:cat>
          <c:val>
            <c:numRef>
              <c:f>Metrix!$B$43:$F$43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7-4803-ADE3-F44C3F41DC92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40440944"/>
        <c:axId val="140446224"/>
      </c:areaChart>
      <c:catAx>
        <c:axId val="140440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446224"/>
        <c:crosses val="autoZero"/>
        <c:auto val="1"/>
        <c:lblAlgn val="ctr"/>
        <c:lblOffset val="100"/>
        <c:noMultiLvlLbl val="0"/>
      </c:catAx>
      <c:valAx>
        <c:axId val="14044622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20000"/>
        <a:lumOff val="80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size">
        <cx:f dir="row">_xlchart.v1.5</cx:f>
      </cx:numDim>
    </cx:data>
  </cx:chartData>
  <cx:chart>
    <cx:title pos="t" align="ctr" overlay="0">
      <cx:tx>
        <cx:txData>
          <cx:v>Active projects per team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rial" panose="020B0604020202020204"/>
            </a:rPr>
            <a:t>Active projects per team</a:t>
          </a:r>
        </a:p>
      </cx:txPr>
    </cx:title>
    <cx:plotArea>
      <cx:plotAreaRegion>
        <cx:series layoutId="treemap" uniqueId="{5D63B3ED-13D9-46DE-B498-71FEDDBBDD94}">
          <cx:tx>
            <cx:txData>
              <cx:f>_xlchart.v1.3</cx:f>
              <cx:v>Nb projects</cx:v>
            </cx:txData>
          </cx:tx>
          <cx:spPr>
            <a:solidFill>
              <a:srgbClr val="00B050"/>
            </a:solidFill>
          </cx:spPr>
          <cx:dataPt idx="0">
            <cx:spPr>
              <a:solidFill>
                <a:srgbClr val="FF9933"/>
              </a:solidFill>
            </cx:spPr>
          </cx:dataPt>
          <cx:dataPt idx="1">
            <cx:spPr>
              <a:solidFill>
                <a:srgbClr val="002869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086263"/>
              </a:solidFill>
            </cx:spPr>
          </cx:dataPt>
          <cx:dataPt idx="3">
            <cx:spPr>
              <a:solidFill>
                <a:srgbClr val="106DFF">
                  <a:lumMod val="50000"/>
                </a:srgbClr>
              </a:solidFill>
            </cx:spPr>
          </cx:dataPt>
          <cx:dataPt idx="4">
            <cx:spPr>
              <a:solidFill>
                <a:srgbClr val="7030A0"/>
              </a:solidFill>
            </cx:spPr>
          </cx:dataPt>
          <cx:dataPt idx="5">
            <cx:spPr>
              <a:solidFill>
                <a:srgbClr val="F0323A">
                  <a:lumMod val="75000"/>
                </a:srgbClr>
              </a:solidFill>
            </cx:spPr>
          </cx:dataPt>
          <cx:dataPt idx="6">
            <cx:spPr>
              <a:solidFill>
                <a:srgbClr val="7C0552">
                  <a:lumMod val="40000"/>
                  <a:lumOff val="60000"/>
                </a:srgbClr>
              </a:solidFill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 </cx:separator>
            <cx:dataLabel idx="4">
              <cx:visibility seriesName="0" categoryName="1" value="1"/>
              <cx:separator>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_xlchart.v1.2</cx:f>
      </cx:numDim>
    </cx:data>
  </cx:chartData>
  <cx:chart>
    <cx:title pos="t" align="ctr" overlay="0">
      <cx:tx>
        <cx:txData>
          <cx:v>Nb of projects for each departement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rial" panose="020B0604020202020204"/>
            </a:rPr>
            <a:t>Nb of projects for each departement</a:t>
          </a:r>
        </a:p>
      </cx:txPr>
    </cx:title>
    <cx:plotArea>
      <cx:plotAreaRegion>
        <cx:series layoutId="treemap" uniqueId="{76774447-1E75-479E-B056-066931B75059}">
          <cx:tx>
            <cx:txData>
              <cx:f>_xlchart.v1.0</cx:f>
              <cx:v>Nb projects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ocumenttasks/documenttask1.xml><?xml version="1.0" encoding="utf-8"?>
<Tasks xmlns="http://schemas.microsoft.com/office/tasks/2019/documenttasks">
  <Task id="{935E690D-8DBF-4FCD-8983-C607D73AF5B7}">
    <Anchor>
      <Comment id="{09780494-4A1B-40E9-9193-D340725346A2}"/>
    </Anchor>
    <History>
      <Event time="2025-04-11T15:45:10.54" id="{670A071A-2EB3-4547-A05C-BEF5892C5AA6}">
        <Attribution userId="S::Blanche.Derkenne@eurostar.com::f7f27327-f697-452d-ba9b-0cbb5800eabf" userName="Blanche DERKENNE" userProvider="AD"/>
        <Anchor>
          <Comment id="{09780494-4A1B-40E9-9193-D340725346A2}"/>
        </Anchor>
        <Create/>
      </Event>
      <Event time="2025-04-11T15:45:10.54" id="{86BE50B3-EDED-441A-932F-31DAAF6402F6}">
        <Attribution userId="S::Blanche.Derkenne@eurostar.com::f7f27327-f697-452d-ba9b-0cbb5800eabf" userName="Blanche DERKENNE" userProvider="AD"/>
        <Anchor>
          <Comment id="{09780494-4A1B-40E9-9193-D340725346A2}"/>
        </Anchor>
        <Assign userId="S::Adam.Buckleyjones@eurostar.com::a41c40d6-19df-4cd1-996c-691b0669adf3" userName="Adam BUCKLEY-JONES" userProvider="AD"/>
      </Event>
      <Event time="2025-04-11T15:45:10.54" id="{5FB68BA4-70E7-456C-B111-B603631A1D5E}">
        <Attribution userId="S::Blanche.Derkenne@eurostar.com::f7f27327-f697-452d-ba9b-0cbb5800eabf" userName="Blanche DERKENNE" userProvider="AD"/>
        <Anchor>
          <Comment id="{09780494-4A1B-40E9-9193-D340725346A2}"/>
        </Anchor>
        <SetTitle title="@Adam BUCKLEY-JONES is the Belt Turnaround project complete ? (if yes, please update status, if not, please update Delivery Date 😉)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0</xdr:row>
      <xdr:rowOff>9525</xdr:rowOff>
    </xdr:from>
    <xdr:to>
      <xdr:col>9</xdr:col>
      <xdr:colOff>664844</xdr:colOff>
      <xdr:row>8</xdr:row>
      <xdr:rowOff>782955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9C789-1CA0-6C97-7247-1EE10E18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9525"/>
          <a:ext cx="4572000" cy="23812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60960</xdr:colOff>
      <xdr:row>0</xdr:row>
      <xdr:rowOff>1</xdr:rowOff>
    </xdr:from>
    <xdr:to>
      <xdr:col>54</xdr:col>
      <xdr:colOff>55880</xdr:colOff>
      <xdr:row>1</xdr:row>
      <xdr:rowOff>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D4BE1-F17A-5B29-BB17-0CBA3AE9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1560" y="1"/>
          <a:ext cx="3688080" cy="109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113348</xdr:colOff>
      <xdr:row>1</xdr:row>
      <xdr:rowOff>96931</xdr:rowOff>
    </xdr:from>
    <xdr:to>
      <xdr:col>18</xdr:col>
      <xdr:colOff>192519</xdr:colOff>
      <xdr:row>41</xdr:row>
      <xdr:rowOff>60623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2CFBF136-37FD-2D30-E918-970026CA4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613489</xdr:colOff>
      <xdr:row>3</xdr:row>
      <xdr:rowOff>36726</xdr:rowOff>
    </xdr:from>
    <xdr:ext cx="1500212" cy="5642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9056CCA-5254-E7AF-DF5E-A0F16779C065}"/>
            </a:ext>
          </a:extLst>
        </xdr:cNvPr>
        <xdr:cNvSpPr txBox="1"/>
      </xdr:nvSpPr>
      <xdr:spPr>
        <a:xfrm>
          <a:off x="1327864" y="572507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chemeClr val="accent4">
                  <a:lumMod val="75000"/>
                </a:schemeClr>
              </a:solidFill>
            </a:rPr>
            <a:t>HIGH Value</a:t>
          </a:r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 </a:t>
          </a:r>
          <a:endParaRPr lang="en-GB" sz="1600" b="0" baseline="0">
            <a:solidFill>
              <a:schemeClr val="accent4">
                <a:lumMod val="75000"/>
              </a:schemeClr>
            </a:solidFill>
          </a:endParaRPr>
        </a:p>
        <a:p>
          <a:pPr algn="ctr"/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LESS Effort</a:t>
          </a:r>
          <a:endParaRPr lang="en-GB" sz="16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596276</xdr:colOff>
      <xdr:row>35</xdr:row>
      <xdr:rowOff>116870</xdr:rowOff>
    </xdr:from>
    <xdr:ext cx="1500212" cy="5642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BDB15C6-4763-41D0-8832-801B6E09B4FA}"/>
            </a:ext>
          </a:extLst>
        </xdr:cNvPr>
        <xdr:cNvSpPr txBox="1"/>
      </xdr:nvSpPr>
      <xdr:spPr>
        <a:xfrm>
          <a:off x="1310651" y="6367651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LESS Value</a:t>
          </a:r>
          <a:r>
            <a:rPr lang="en-GB" sz="1600" b="1" baseline="0">
              <a:solidFill>
                <a:srgbClr val="FF0000"/>
              </a:solidFill>
            </a:rPr>
            <a:t> </a:t>
          </a:r>
          <a:endParaRPr lang="en-GB" sz="1600" b="0" baseline="0">
            <a:solidFill>
              <a:srgbClr val="FF0000"/>
            </a:solidFill>
          </a:endParaRPr>
        </a:p>
        <a:p>
          <a:pPr algn="ctr"/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LESS Effort</a:t>
          </a:r>
          <a:endParaRPr lang="en-GB" sz="16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oneCellAnchor>
    <xdr:from>
      <xdr:col>15</xdr:col>
      <xdr:colOff>617003</xdr:colOff>
      <xdr:row>35</xdr:row>
      <xdr:rowOff>105669</xdr:rowOff>
    </xdr:from>
    <xdr:ext cx="1500212" cy="564257"/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BFC3CDF7-2F28-4E2E-8FFF-F75DDAFC3316}"/>
            </a:ext>
          </a:extLst>
        </xdr:cNvPr>
        <xdr:cNvSpPr txBox="1"/>
      </xdr:nvSpPr>
      <xdr:spPr>
        <a:xfrm>
          <a:off x="11344534" y="6356450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LESS Value</a:t>
          </a:r>
          <a:r>
            <a:rPr lang="en-GB" sz="1600" b="1" baseline="0">
              <a:solidFill>
                <a:srgbClr val="FF0000"/>
              </a:solidFill>
            </a:rPr>
            <a:t> </a:t>
          </a:r>
          <a:endParaRPr lang="en-GB" sz="1600" b="0" baseline="0">
            <a:solidFill>
              <a:srgbClr val="FF0000"/>
            </a:solidFill>
          </a:endParaRPr>
        </a:p>
        <a:p>
          <a:pPr algn="ctr"/>
          <a:r>
            <a:rPr lang="en-GB" sz="1600" baseline="0">
              <a:solidFill>
                <a:schemeClr val="accent2"/>
              </a:solidFill>
            </a:rPr>
            <a:t> </a:t>
          </a:r>
          <a:r>
            <a:rPr lang="en-GB" sz="1600" b="1" baseline="0">
              <a:solidFill>
                <a:srgbClr val="FF0000"/>
              </a:solidFill>
            </a:rPr>
            <a:t>HIGH Effort</a:t>
          </a:r>
          <a:endParaRPr lang="en-GB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629097</xdr:colOff>
      <xdr:row>3</xdr:row>
      <xdr:rowOff>37634</xdr:rowOff>
    </xdr:from>
    <xdr:ext cx="1500212" cy="5642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2E87E52-D725-488F-91EC-E427C2213AE7}"/>
            </a:ext>
          </a:extLst>
        </xdr:cNvPr>
        <xdr:cNvSpPr txBox="1"/>
      </xdr:nvSpPr>
      <xdr:spPr>
        <a:xfrm>
          <a:off x="11264440" y="560148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chemeClr val="accent4">
                  <a:lumMod val="75000"/>
                </a:schemeClr>
              </a:solidFill>
            </a:rPr>
            <a:t>HIGH Value</a:t>
          </a:r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 </a:t>
          </a:r>
          <a:endParaRPr lang="en-GB" sz="1600" b="0" baseline="0">
            <a:solidFill>
              <a:schemeClr val="accent4">
                <a:lumMod val="75000"/>
              </a:schemeClr>
            </a:solidFill>
          </a:endParaRPr>
        </a:p>
        <a:p>
          <a:pPr algn="ctr"/>
          <a:r>
            <a:rPr lang="en-GB" sz="1600" baseline="0">
              <a:solidFill>
                <a:srgbClr val="FF0000"/>
              </a:solidFill>
            </a:rPr>
            <a:t> </a:t>
          </a:r>
          <a:r>
            <a:rPr lang="en-GB" sz="1600" b="1" baseline="0">
              <a:solidFill>
                <a:srgbClr val="FF0000"/>
              </a:solidFill>
            </a:rPr>
            <a:t>HIGH Effort</a:t>
          </a:r>
          <a:endParaRPr lang="en-GB" sz="1600" b="1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113348</xdr:colOff>
      <xdr:row>1</xdr:row>
      <xdr:rowOff>96931</xdr:rowOff>
    </xdr:from>
    <xdr:to>
      <xdr:col>18</xdr:col>
      <xdr:colOff>192519</xdr:colOff>
      <xdr:row>41</xdr:row>
      <xdr:rowOff>60623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1AAFE1C-7547-4FDD-92A1-B3773AF48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591718</xdr:colOff>
      <xdr:row>35</xdr:row>
      <xdr:rowOff>102040</xdr:rowOff>
    </xdr:from>
    <xdr:ext cx="1500212" cy="5642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381D34-FA78-49C8-B3CD-CCE3CF43AFC8}"/>
            </a:ext>
          </a:extLst>
        </xdr:cNvPr>
        <xdr:cNvSpPr txBox="1"/>
      </xdr:nvSpPr>
      <xdr:spPr>
        <a:xfrm>
          <a:off x="11074661" y="6198040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chemeClr val="accent4">
                  <a:lumMod val="75000"/>
                </a:schemeClr>
              </a:solidFill>
            </a:rPr>
            <a:t>HIGH Value</a:t>
          </a:r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 </a:t>
          </a:r>
          <a:endParaRPr lang="en-GB" sz="1600" b="0" baseline="0">
            <a:solidFill>
              <a:schemeClr val="accent4">
                <a:lumMod val="75000"/>
              </a:schemeClr>
            </a:solidFill>
          </a:endParaRPr>
        </a:p>
        <a:p>
          <a:pPr algn="ctr"/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LESS COST</a:t>
          </a:r>
          <a:endParaRPr lang="en-GB" sz="16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596276</xdr:colOff>
      <xdr:row>35</xdr:row>
      <xdr:rowOff>116870</xdr:rowOff>
    </xdr:from>
    <xdr:ext cx="1500212" cy="5642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07BA19-58EB-4818-8E79-1B8213D18EEA}"/>
            </a:ext>
          </a:extLst>
        </xdr:cNvPr>
        <xdr:cNvSpPr txBox="1"/>
      </xdr:nvSpPr>
      <xdr:spPr>
        <a:xfrm>
          <a:off x="1289696" y="6250970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LESS Value</a:t>
          </a:r>
          <a:r>
            <a:rPr lang="en-GB" sz="1600" b="1" baseline="0">
              <a:solidFill>
                <a:srgbClr val="FF0000"/>
              </a:solidFill>
            </a:rPr>
            <a:t> </a:t>
          </a:r>
          <a:endParaRPr lang="en-GB" sz="1600" b="0" baseline="0">
            <a:solidFill>
              <a:srgbClr val="FF0000"/>
            </a:solidFill>
          </a:endParaRPr>
        </a:p>
        <a:p>
          <a:pPr algn="ctr"/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LESS COST</a:t>
          </a:r>
          <a:endParaRPr lang="en-GB" sz="16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oneCellAnchor>
    <xdr:from>
      <xdr:col>2</xdr:col>
      <xdr:colOff>94490</xdr:colOff>
      <xdr:row>3</xdr:row>
      <xdr:rowOff>29469</xdr:rowOff>
    </xdr:from>
    <xdr:ext cx="1500212" cy="564257"/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C4E6158B-828A-4AD3-A0BF-DD1E35C4ACD7}"/>
            </a:ext>
          </a:extLst>
        </xdr:cNvPr>
        <xdr:cNvSpPr txBox="1"/>
      </xdr:nvSpPr>
      <xdr:spPr>
        <a:xfrm>
          <a:off x="1487861" y="551983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LESS Value</a:t>
          </a:r>
          <a:r>
            <a:rPr lang="en-GB" sz="1600" b="1" baseline="0">
              <a:solidFill>
                <a:srgbClr val="FF0000"/>
              </a:solidFill>
            </a:rPr>
            <a:t> </a:t>
          </a:r>
          <a:endParaRPr lang="en-GB" sz="1600" b="0" baseline="0">
            <a:solidFill>
              <a:srgbClr val="FF0000"/>
            </a:solidFill>
          </a:endParaRPr>
        </a:p>
        <a:p>
          <a:pPr algn="ctr"/>
          <a:r>
            <a:rPr lang="en-GB" sz="1600" baseline="0">
              <a:solidFill>
                <a:schemeClr val="accent2"/>
              </a:solidFill>
            </a:rPr>
            <a:t> </a:t>
          </a:r>
          <a:r>
            <a:rPr lang="en-GB" sz="1600" b="1" baseline="0">
              <a:solidFill>
                <a:srgbClr val="FF0000"/>
              </a:solidFill>
            </a:rPr>
            <a:t>HIGH COST</a:t>
          </a:r>
          <a:endParaRPr lang="en-GB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629097</xdr:colOff>
      <xdr:row>3</xdr:row>
      <xdr:rowOff>37634</xdr:rowOff>
    </xdr:from>
    <xdr:ext cx="1500212" cy="5642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EAF674-E1DB-4B64-B035-64D73968786C}"/>
            </a:ext>
          </a:extLst>
        </xdr:cNvPr>
        <xdr:cNvSpPr txBox="1"/>
      </xdr:nvSpPr>
      <xdr:spPr>
        <a:xfrm>
          <a:off x="11060877" y="563414"/>
          <a:ext cx="1500212" cy="564257"/>
        </a:xfrm>
        <a:prstGeom prst="rect">
          <a:avLst/>
        </a:prstGeom>
        <a:noFill/>
      </xdr:spPr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chemeClr val="accent4">
                  <a:lumMod val="75000"/>
                </a:schemeClr>
              </a:solidFill>
            </a:rPr>
            <a:t>HIGH Value</a:t>
          </a:r>
          <a:r>
            <a:rPr lang="en-GB" sz="1600" b="1" baseline="0">
              <a:solidFill>
                <a:schemeClr val="accent4">
                  <a:lumMod val="75000"/>
                </a:schemeClr>
              </a:solidFill>
            </a:rPr>
            <a:t> </a:t>
          </a:r>
          <a:endParaRPr lang="en-GB" sz="1600" b="0" baseline="0">
            <a:solidFill>
              <a:schemeClr val="accent4">
                <a:lumMod val="75000"/>
              </a:schemeClr>
            </a:solidFill>
          </a:endParaRPr>
        </a:p>
        <a:p>
          <a:pPr algn="ctr"/>
          <a:r>
            <a:rPr lang="en-GB" sz="1600" baseline="0">
              <a:solidFill>
                <a:srgbClr val="FF0000"/>
              </a:solidFill>
            </a:rPr>
            <a:t> </a:t>
          </a:r>
          <a:r>
            <a:rPr lang="en-GB" sz="1600" b="1" baseline="0">
              <a:solidFill>
                <a:srgbClr val="FF0000"/>
              </a:solidFill>
            </a:rPr>
            <a:t>HIGH COST</a:t>
          </a:r>
          <a:endParaRPr lang="en-GB" sz="1600" b="1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15240</xdr:rowOff>
    </xdr:from>
    <xdr:to>
      <xdr:col>14</xdr:col>
      <xdr:colOff>647700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0CDDB-840D-61FD-3592-05CDDEBA8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2</xdr:row>
      <xdr:rowOff>114300</xdr:rowOff>
    </xdr:from>
    <xdr:to>
      <xdr:col>14</xdr:col>
      <xdr:colOff>457200</xdr:colOff>
      <xdr:row>17</xdr:row>
      <xdr:rowOff>1188720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47EDBDF-488D-F41E-4BC7-A6A56C347445}"/>
            </a:ext>
          </a:extLst>
        </xdr:cNvPr>
        <xdr:cNvCxnSpPr/>
      </xdr:nvCxnSpPr>
      <xdr:spPr>
        <a:xfrm>
          <a:off x="640080" y="464820"/>
          <a:ext cx="8831580" cy="4107180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</xdr:colOff>
      <xdr:row>10</xdr:row>
      <xdr:rowOff>114300</xdr:rowOff>
    </xdr:from>
    <xdr:to>
      <xdr:col>17</xdr:col>
      <xdr:colOff>605790</xdr:colOff>
      <xdr:row>22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AAABA3-7CB6-F037-433C-D16F2B52F3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7915" y="3028950"/>
              <a:ext cx="4629150" cy="203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26670</xdr:colOff>
      <xdr:row>27</xdr:row>
      <xdr:rowOff>381000</xdr:rowOff>
    </xdr:from>
    <xdr:to>
      <xdr:col>17</xdr:col>
      <xdr:colOff>632460</xdr:colOff>
      <xdr:row>40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6B0A12-5E26-58F7-78B0-3ABBA22AB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19</xdr:col>
      <xdr:colOff>274320</xdr:colOff>
      <xdr:row>58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0047128-9F81-4F96-8A01-E9FCC69ED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9267825"/>
              <a:ext cx="4371975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urrent projects" id="{8D8ECD1C-49FB-418D-8360-22C7E228B40A}">
    <nsvFilter filterId="{467A53B2-465C-41BD-AC7E-8854157B43F0}" ref="A2:BE205" tableId="1">
      <columnFilter colId="6" id="{BC3FD2A3-7FC4-4563-B473-E2EC8E6D3699}">
        <filter colId="6">
          <x:filters blank="1">
            <x:filter val="Already Started"/>
            <x:filter val="Q1 2025"/>
            <x:filter val="Q2 2025"/>
            <x:filter val="Q3 2025"/>
            <x:filter val="Q4 2024"/>
            <x:filter val="Q4 2025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Wumi" id="{A3767F37-6CA5-4835-B669-56E79BA3B9D6}" userId="Wumi" providerId="None"/>
  <person displayName="Blanche DERKENNE" id="{14E36F3E-A64B-4075-94DB-EA56E5A123A3}" userId="Blanche.Derkenne@eurostar.com" providerId="PeoplePicker"/>
  <person displayName="Adam BUCKLEY-JONES" id="{BB2DBA40-4FFA-4E4E-AAED-14E77C72C144}" userId="Adam.Buckleyjones@eurostar.com" providerId="PeoplePicker"/>
  <person displayName="Laurent BELLAN" id="{7E6E8822-052F-45C7-9F01-983FFEF725E9}" userId="S::Laurent.Bellan@eurostar.com::68b8e04d-d8a4-4e42-a6a2-cb0d26365ca6" providerId="AD"/>
  <person displayName="Blanche DERKENNE" id="{3BA489A7-4A22-4A36-8398-B3CB5B06AD4C}" userId="S::Blanche.Derkenne@eurostar.com::f7f27327-f697-452d-ba9b-0cbb5800eabf" providerId="AD"/>
  <person displayName="Adam BUCKLEY-JONES" id="{E9ECAB90-ADC4-411F-9C92-1565CD995F63}" userId="S::adam.buckleyjones@eurostar.com::a41c40d6-19df-4cd1-996c-691b0669adf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nche DERKENNE" refreshedDate="45761.416533217591" createdVersion="8" refreshedVersion="8" minRefreshableVersion="3" recordCount="197" xr:uid="{C1DC089C-C6D4-489D-946E-9F02E7F2FE7C}">
  <cacheSource type="worksheet">
    <worksheetSource name="InputTable"/>
  </cacheSource>
  <cacheFields count="56">
    <cacheField name="main 2025 Strategic Pillar 2025" numFmtId="0">
      <sharedItems containsBlank="1"/>
    </cacheField>
    <cacheField name="Status" numFmtId="0">
      <sharedItems containsBlank="1" count="7">
        <s v="On Track"/>
        <s v="Not started"/>
        <s v="Stopped"/>
        <s v="Issues"/>
        <s v="Complete"/>
        <s v="At Risk"/>
        <m/>
      </sharedItems>
    </cacheField>
    <cacheField name="Team" numFmtId="0">
      <sharedItems containsBlank="1" count="9">
        <s v="SALES"/>
        <s v="OPERATIONS"/>
        <s v="CUST"/>
        <s v="DATA"/>
        <s v="CORPHRFIN"/>
        <s v="CYBER"/>
        <s v="PMO"/>
        <s v="INFRA"/>
        <m/>
      </sharedItems>
    </cacheField>
    <cacheField name="IS Portfolio Ref ID" numFmtId="0">
      <sharedItems containsBlank="1"/>
    </cacheField>
    <cacheField name="Project" numFmtId="0">
      <sharedItems containsBlank="1"/>
    </cacheField>
    <cacheField name="eurostar dpt Owner" numFmtId="0">
      <sharedItems containsBlank="1" count="11">
        <s v="COMMERCIAL"/>
        <s v="STRAT"/>
        <s v="OPERATIONS"/>
        <s v="STATION"/>
        <s v="ROLL STOCK"/>
        <s v="HR"/>
        <s v="IS"/>
        <s v="FIN"/>
        <s v="GEN SEC"/>
        <m/>
        <s v="CIAL" u="1"/>
      </sharedItems>
    </cacheField>
    <cacheField name="Starting Date" numFmtId="0">
      <sharedItems containsBlank="1" containsMixedTypes="1" containsNumber="1" containsInteger="1" minValue="2026" maxValue="2026" count="8">
        <s v="Q1 2025"/>
        <s v="Q3 2025"/>
        <s v="Q2 2025"/>
        <n v="2026"/>
        <s v="Already Started"/>
        <s v="Q4 2024"/>
        <s v="Q4 2025"/>
        <m/>
      </sharedItems>
    </cacheField>
    <cacheField name="Level of Certainty on Start Date" numFmtId="0">
      <sharedItems containsBlank="1"/>
    </cacheField>
    <cacheField name="Delivery Date" numFmtId="0">
      <sharedItems containsBlank="1" containsMixedTypes="1" containsNumber="1" containsInteger="1" minValue="2026" maxValue="2027" count="8">
        <s v="Q4 2025"/>
        <s v="2028 +"/>
        <s v="Q3 2025"/>
        <n v="2026"/>
        <s v="Q1 2025"/>
        <s v="Q2 2025"/>
        <n v="2027"/>
        <m/>
      </sharedItems>
    </cacheField>
    <cacheField name="IS 2025 Priority" numFmtId="0">
      <sharedItems containsBlank="1"/>
    </cacheField>
    <cacheField name="Duration" numFmtId="0">
      <sharedItems/>
    </cacheField>
    <cacheField name="Duration Score" numFmtId="0">
      <sharedItems containsMixedTypes="1" containsNumber="1" containsInteger="1" minValue="1" maxValue="13"/>
    </cacheField>
    <cacheField name="Column1" numFmtId="0">
      <sharedItems containsNonDate="0" containsString="0" containsBlank="1"/>
    </cacheField>
    <cacheField name="Safety" numFmtId="0">
      <sharedItems containsBlank="1"/>
    </cacheField>
    <cacheField name="NPS cust. Satisfaction" numFmtId="0">
      <sharedItems containsBlank="1"/>
    </cacheField>
    <cacheField name="Punctuality T15" numFmtId="0">
      <sharedItems containsBlank="1"/>
    </cacheField>
    <cacheField name="People Engagement" numFmtId="0">
      <sharedItems containsBlank="1"/>
    </cacheField>
    <cacheField name="EBITDA" numFmtId="0">
      <sharedItems containsBlank="1"/>
    </cacheField>
    <cacheField name="Regulatory" numFmtId="0">
      <sharedItems containsBlank="1"/>
    </cacheField>
    <cacheField name="Value Score" numFmtId="0">
      <sharedItems containsString="0" containsBlank="1" containsNumber="1" minValue="0" maxValue="6.5"/>
    </cacheField>
    <cacheField name="Column2" numFmtId="0">
      <sharedItems containsNonDate="0" containsString="0" containsBlank="1"/>
    </cacheField>
    <cacheField name="CORPHRFIN" numFmtId="0">
      <sharedItems containsBlank="1"/>
    </cacheField>
    <cacheField name="CUST" numFmtId="0">
      <sharedItems containsBlank="1"/>
    </cacheField>
    <cacheField name="CYBER" numFmtId="0">
      <sharedItems containsBlank="1"/>
    </cacheField>
    <cacheField name="DATA" numFmtId="0">
      <sharedItems containsBlank="1"/>
    </cacheField>
    <cacheField name="INFRA" numFmtId="0">
      <sharedItems containsBlank="1"/>
    </cacheField>
    <cacheField name="OPERATIONS" numFmtId="0">
      <sharedItems containsBlank="1"/>
    </cacheField>
    <cacheField name="PMO" numFmtId="0">
      <sharedItems containsBlank="1"/>
    </cacheField>
    <cacheField name="SALES" numFmtId="0">
      <sharedItems containsBlank="1"/>
    </cacheField>
    <cacheField name="Number of Team Involved" numFmtId="0">
      <sharedItems containsSemiMixedTypes="0" containsString="0" containsNumber="1" containsInteger="1" minValue="0" maxValue="7"/>
    </cacheField>
    <cacheField name="Resource Score" numFmtId="1">
      <sharedItems containsSemiMixedTypes="0" containsString="0" containsNumber="1" containsInteger="1" minValue="0" maxValue="47"/>
    </cacheField>
    <cacheField name="Column3" numFmtId="1">
      <sharedItems containsNonDate="0" containsString="0" containsBlank="1"/>
    </cacheField>
    <cacheField name="Impact on - CIAL" numFmtId="0">
      <sharedItems containsBlank="1"/>
    </cacheField>
    <cacheField name="Impact on - COM" numFmtId="0">
      <sharedItems containsBlank="1"/>
    </cacheField>
    <cacheField name="Impact on - FIN" numFmtId="0">
      <sharedItems containsBlank="1"/>
    </cacheField>
    <cacheField name="Impact on - GEN SEC" numFmtId="0">
      <sharedItems containsBlank="1"/>
    </cacheField>
    <cacheField name="Impact on - HR" numFmtId="0">
      <sharedItems containsBlank="1"/>
    </cacheField>
    <cacheField name="Impact on - IS" numFmtId="0">
      <sharedItems containsBlank="1"/>
    </cacheField>
    <cacheField name="Impact on - OPS" numFmtId="0">
      <sharedItems containsBlank="1"/>
    </cacheField>
    <cacheField name="Impact on - ROLL STOCK" numFmtId="0">
      <sharedItems containsBlank="1"/>
    </cacheField>
    <cacheField name="Impact on - SAFETY" numFmtId="0">
      <sharedItems containsBlank="1"/>
    </cacheField>
    <cacheField name="Impact on - STATION" numFmtId="0">
      <sharedItems containsBlank="1"/>
    </cacheField>
    <cacheField name="Impact on - STRAT" numFmtId="0">
      <sharedItems containsNonDate="0" containsString="0" containsBlank="1"/>
    </cacheField>
    <cacheField name="CHANGE Impact Score" numFmtId="1">
      <sharedItems containsSemiMixedTypes="0" containsString="0" containsNumber="1" containsInteger="1" minValue="0" maxValue="60"/>
    </cacheField>
    <cacheField name="EFFORT SCORE" numFmtId="1">
      <sharedItems containsMixedTypes="1" containsNumber="1" containsInteger="1" minValue="1" maxValue="55"/>
    </cacheField>
    <cacheField name="Overall Effort Score" numFmtId="1">
      <sharedItems containsMixedTypes="1" containsNumber="1" minValue="11.538461538461538" maxValue="92.307692307692307"/>
    </cacheField>
    <cacheField name="Ratio - Benefit / Effort" numFmtId="164">
      <sharedItems containsMixedTypes="1" containsNumber="1" minValue="0" maxValue="400"/>
    </cacheField>
    <cacheField name="Project ID" numFmtId="1">
      <sharedItems containsBlank="1"/>
    </cacheField>
    <cacheField name="Name of IS owner" numFmtId="1">
      <sharedItems containsBlank="1"/>
    </cacheField>
    <cacheField name="OK comBoard" numFmtId="14">
      <sharedItems containsBlank="1"/>
    </cacheField>
    <cacheField name="ORACLE/NAV/Fin project code" numFmtId="1">
      <sharedItems containsBlank="1" containsMixedTypes="1" containsNumber="1" containsInteger="1" minValue="1015" maxValue="1858"/>
    </cacheField>
    <cacheField name="Opex IS Budget (full project)" numFmtId="169">
      <sharedItems containsBlank="1" containsMixedTypes="1" containsNumber="1" minValue="0" maxValue="346033.80000000005"/>
    </cacheField>
    <cacheField name="Capex IS Budget (full project)" numFmtId="169">
      <sharedItems containsBlank="1" containsMixedTypes="1" containsNumber="1" minValue="0" maxValue="10795800"/>
    </cacheField>
    <cacheField name="Total IS Budget (full project)" numFmtId="169">
      <sharedItems containsString="0" containsBlank="1" containsNumber="1" minValue="0" maxValue="11000000"/>
    </cacheField>
    <cacheField name="Nb IS Employees implicated" numFmtId="0">
      <sharedItems containsString="0" containsBlank="1" containsNumber="1" containsInteger="1" minValue="0" maxValue="18"/>
    </cacheField>
    <cacheField name="Nb IS Contractors implicated" numFmtId="0">
      <sharedItems containsBlank="1" containsMixedTypes="1" containsNumber="1" containsInteger="1" minValue="1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m/>
    <x v="0"/>
    <x v="0"/>
    <s v="ISPRJ-1"/>
    <s v="Increase website and app conversion + indirect sales"/>
    <x v="0"/>
    <x v="0"/>
    <m/>
    <x v="0"/>
    <s v="TOP10"/>
    <s v="6 months - 1 year"/>
    <n v="3"/>
    <m/>
    <m/>
    <s v="H"/>
    <m/>
    <m/>
    <s v="H"/>
    <m/>
    <n v="6.5"/>
    <m/>
    <m/>
    <m/>
    <m/>
    <m/>
    <m/>
    <m/>
    <m/>
    <m/>
    <n v="0"/>
    <n v="0"/>
    <m/>
    <m/>
    <m/>
    <m/>
    <m/>
    <m/>
    <m/>
    <m/>
    <m/>
    <m/>
    <m/>
    <m/>
    <n v="0"/>
    <n v="3"/>
    <e v="#N/A"/>
    <n v="216.66666666666666"/>
    <m/>
    <s v="Xavier ROMANET"/>
    <s v="in Digital BC"/>
    <n v="1840"/>
    <m/>
    <n v="10795800"/>
    <n v="10795800"/>
    <n v="18"/>
    <n v="95"/>
  </r>
  <r>
    <s v="GROW COMPETE - Prepare fleet and stations for the future"/>
    <x v="1"/>
    <x v="1"/>
    <s v="ISPRJ-2"/>
    <s v="New Fleet"/>
    <x v="1"/>
    <x v="1"/>
    <s v="H"/>
    <x v="1"/>
    <m/>
    <s v="&gt;2 Years"/>
    <n v="13"/>
    <m/>
    <m/>
    <s v="L"/>
    <s v="L"/>
    <s v="L"/>
    <s v="H"/>
    <m/>
    <n v="6.4"/>
    <m/>
    <m/>
    <s v="L"/>
    <s v="L"/>
    <m/>
    <m/>
    <s v="L"/>
    <m/>
    <s v="L"/>
    <n v="4"/>
    <n v="20"/>
    <m/>
    <m/>
    <m/>
    <m/>
    <m/>
    <m/>
    <m/>
    <m/>
    <m/>
    <m/>
    <m/>
    <m/>
    <n v="0"/>
    <n v="33"/>
    <n v="46.153846153846153"/>
    <n v="19.393939393939394"/>
    <s v="Project 74"/>
    <s v="Hélène MBANGU"/>
    <m/>
    <n v="1015"/>
    <n v="0"/>
    <n v="0"/>
    <n v="0"/>
    <m/>
    <m/>
  </r>
  <r>
    <s v="RELIABLE - Produce better and safer"/>
    <x v="0"/>
    <x v="2"/>
    <s v="ISPRJ-5"/>
    <s v="Last Minute equipment change - automation of re-accommodations"/>
    <x v="2"/>
    <x v="2"/>
    <m/>
    <x v="2"/>
    <s v="TOP10"/>
    <s v="3 months - 6 months"/>
    <n v="2"/>
    <m/>
    <m/>
    <s v="M"/>
    <s v="M"/>
    <m/>
    <s v="M"/>
    <m/>
    <n v="5.6"/>
    <m/>
    <m/>
    <s v="M"/>
    <m/>
    <m/>
    <m/>
    <s v="L"/>
    <m/>
    <s v="H"/>
    <n v="3"/>
    <n v="26"/>
    <m/>
    <s v="M"/>
    <m/>
    <m/>
    <m/>
    <m/>
    <m/>
    <s v="L"/>
    <m/>
    <m/>
    <s v="M"/>
    <m/>
    <n v="21"/>
    <n v="28"/>
    <n v="67.692307692307708"/>
    <n v="20"/>
    <s v="Project 25"/>
    <s v="Maël DELMAS"/>
    <s v="approved #42+#239"/>
    <n v="1853"/>
    <n v="0"/>
    <n v="443196.00000000006"/>
    <n v="443196.00000000006"/>
    <n v="4"/>
    <n v="7"/>
  </r>
  <r>
    <s v="CUSTOMERS AT HEART - Delight to spark brand love"/>
    <x v="1"/>
    <x v="3"/>
    <s v="ISPRJ-3"/>
    <s v="Joint Customer Segmentation"/>
    <x v="0"/>
    <x v="3"/>
    <s v="M"/>
    <x v="3"/>
    <m/>
    <s v="1 to 2 years"/>
    <n v="8"/>
    <m/>
    <m/>
    <s v="H"/>
    <m/>
    <m/>
    <s v="M"/>
    <m/>
    <n v="5"/>
    <m/>
    <m/>
    <s v="L"/>
    <m/>
    <s v="H"/>
    <m/>
    <m/>
    <m/>
    <s v="L"/>
    <n v="3"/>
    <n v="23"/>
    <m/>
    <m/>
    <m/>
    <m/>
    <m/>
    <m/>
    <m/>
    <m/>
    <m/>
    <m/>
    <m/>
    <m/>
    <n v="0"/>
    <n v="31"/>
    <n v="46.92307692307692"/>
    <n v="16.129032258064516"/>
    <s v="Project 22"/>
    <s v="Adam BUCKLEY-JONES"/>
    <s v="Sent"/>
    <m/>
    <n v="0"/>
    <n v="0"/>
    <n v="0"/>
    <n v="1"/>
    <m/>
  </r>
  <r>
    <s v="GROW COMPETE - Prepare fleet and stations for the future"/>
    <x v="0"/>
    <x v="2"/>
    <s v="ISPRJ-6"/>
    <s v="New Amsterdam Station CIS"/>
    <x v="3"/>
    <x v="4"/>
    <s v="H"/>
    <x v="4"/>
    <s v="TOP10"/>
    <s v="3 months - 6 months"/>
    <n v="2"/>
    <m/>
    <m/>
    <s v="M"/>
    <s v="L"/>
    <m/>
    <s v="M"/>
    <m/>
    <n v="5"/>
    <m/>
    <m/>
    <s v="H"/>
    <m/>
    <s v="L"/>
    <s v="H"/>
    <m/>
    <m/>
    <m/>
    <n v="3"/>
    <n v="31"/>
    <m/>
    <m/>
    <m/>
    <m/>
    <m/>
    <m/>
    <s v="L"/>
    <m/>
    <m/>
    <m/>
    <s v="M"/>
    <m/>
    <n v="13"/>
    <n v="33"/>
    <n v="56.15384615384616"/>
    <n v="15.151515151515152"/>
    <s v="Project 29"/>
    <s v="Pascal ZAAIJER"/>
    <s v="accepted"/>
    <n v="1744"/>
    <n v="0"/>
    <n v="382000"/>
    <n v="382000"/>
    <n v="3"/>
    <n v="2"/>
  </r>
  <r>
    <s v="RELIABLE - STRENGTHEN rolling stock"/>
    <x v="0"/>
    <x v="3"/>
    <s v="ISPRJ-7"/>
    <s v="Wheels Analytics"/>
    <x v="4"/>
    <x v="0"/>
    <s v="H"/>
    <x v="5"/>
    <s v="TOP10"/>
    <s v="3 months - 6 months"/>
    <n v="2"/>
    <m/>
    <m/>
    <m/>
    <s v="H"/>
    <m/>
    <s v="M"/>
    <m/>
    <n v="5"/>
    <m/>
    <m/>
    <m/>
    <m/>
    <s v="H"/>
    <s v="L"/>
    <s v="L"/>
    <m/>
    <m/>
    <n v="3"/>
    <n v="23"/>
    <m/>
    <m/>
    <m/>
    <m/>
    <m/>
    <m/>
    <m/>
    <m/>
    <m/>
    <m/>
    <m/>
    <m/>
    <n v="0"/>
    <n v="25"/>
    <n v="37.692307692307693"/>
    <n v="20"/>
    <s v="Project 33"/>
    <s v="Adam BUCKLEY-JONES"/>
    <s v="approved #100"/>
    <m/>
    <n v="0"/>
    <n v="76200"/>
    <n v="76200"/>
    <n v="1"/>
    <n v="2"/>
  </r>
  <r>
    <s v="RELIABLE - Produce better and safer"/>
    <x v="1"/>
    <x v="2"/>
    <s v="ISPRJ-9"/>
    <s v="New Mobile Station Data solution (Spark / Station App) PHASE 2"/>
    <x v="3"/>
    <x v="1"/>
    <s v="H"/>
    <x v="0"/>
    <m/>
    <s v="3 months - 6 months"/>
    <n v="2"/>
    <m/>
    <m/>
    <s v="L"/>
    <s v="M"/>
    <s v="M"/>
    <s v="L"/>
    <m/>
    <n v="4.9000000000000004"/>
    <m/>
    <m/>
    <s v="M"/>
    <s v="L"/>
    <s v="M"/>
    <s v="M"/>
    <m/>
    <m/>
    <s v="M"/>
    <n v="5"/>
    <n v="37"/>
    <m/>
    <m/>
    <m/>
    <m/>
    <m/>
    <m/>
    <s v="L"/>
    <m/>
    <m/>
    <m/>
    <s v="H"/>
    <m/>
    <n v="18"/>
    <n v="39"/>
    <n v="63.846153846153854"/>
    <n v="12.564102564102564"/>
    <s v="Project 30"/>
    <s v="Luchano Bogdanov"/>
    <m/>
    <m/>
    <m/>
    <n v="350000"/>
    <n v="350000"/>
    <n v="7"/>
    <n v="4"/>
  </r>
  <r>
    <s v="RELIABLE - Produce better and safer"/>
    <x v="0"/>
    <x v="2"/>
    <s v="ISPRJ-8"/>
    <s v="New Mobile Station Data solution (Mobile devices + Spark / Station App) PHASE 1 (2024 approval)"/>
    <x v="3"/>
    <x v="4"/>
    <s v="H"/>
    <x v="5"/>
    <s v="TOP10"/>
    <s v="6 months - 1 year"/>
    <n v="3"/>
    <m/>
    <m/>
    <s v="L"/>
    <s v="M"/>
    <s v="M"/>
    <s v="L"/>
    <m/>
    <n v="4.9000000000000004"/>
    <m/>
    <m/>
    <s v="M"/>
    <s v="L"/>
    <s v="M"/>
    <s v="M"/>
    <m/>
    <m/>
    <s v="M"/>
    <n v="5"/>
    <n v="37"/>
    <m/>
    <m/>
    <m/>
    <m/>
    <m/>
    <m/>
    <s v="L"/>
    <m/>
    <m/>
    <m/>
    <s v="H"/>
    <m/>
    <n v="18"/>
    <n v="40"/>
    <n v="65.384615384615387"/>
    <n v="12.250000000000002"/>
    <s v="Project 30"/>
    <s v="Luchano Bogdanov"/>
    <s v="approved #70"/>
    <n v="1825"/>
    <n v="175005.6"/>
    <n v="606837.60000000009"/>
    <n v="781843.20000000007"/>
    <n v="7"/>
    <n v="4"/>
  </r>
  <r>
    <s v="RELIABLE - Produce better and safer"/>
    <x v="1"/>
    <x v="1"/>
    <s v="ISPRJ-10"/>
    <s v="Advanced Planning System APS (MASTERPLAN)"/>
    <x v="2"/>
    <x v="1"/>
    <m/>
    <x v="3"/>
    <m/>
    <s v="6 months - 1 year"/>
    <n v="3"/>
    <m/>
    <m/>
    <m/>
    <s v="M"/>
    <s v="M"/>
    <s v="M"/>
    <m/>
    <n v="4.8000000000000007"/>
    <m/>
    <m/>
    <m/>
    <m/>
    <s v="L"/>
    <s v="L"/>
    <s v="H"/>
    <m/>
    <m/>
    <n v="3"/>
    <n v="23"/>
    <m/>
    <m/>
    <m/>
    <m/>
    <m/>
    <m/>
    <m/>
    <m/>
    <m/>
    <m/>
    <m/>
    <m/>
    <n v="0"/>
    <n v="26"/>
    <n v="39.230769230769226"/>
    <n v="18.461538461538467"/>
    <s v="Project 1"/>
    <s v="Hélène MBANGU"/>
    <s v="approved MASTERPLAN #68"/>
    <m/>
    <n v="0"/>
    <n v="6000000"/>
    <n v="6000000"/>
    <m/>
    <m/>
  </r>
  <r>
    <s v="RELIABLE - Produce better and safer"/>
    <x v="0"/>
    <x v="3"/>
    <s v="ISPRJ-13"/>
    <s v="T15 by Passenger Analytics"/>
    <x v="2"/>
    <x v="2"/>
    <s v="M"/>
    <x v="5"/>
    <s v="TOP10"/>
    <s v="&lt;= 3 months"/>
    <n v="1"/>
    <m/>
    <m/>
    <s v="M"/>
    <s v="M"/>
    <m/>
    <s v="L"/>
    <m/>
    <n v="4.7"/>
    <m/>
    <m/>
    <m/>
    <m/>
    <s v="L"/>
    <m/>
    <s v="L"/>
    <m/>
    <m/>
    <n v="2"/>
    <n v="10"/>
    <m/>
    <m/>
    <m/>
    <m/>
    <m/>
    <m/>
    <m/>
    <m/>
    <m/>
    <m/>
    <m/>
    <m/>
    <n v="0"/>
    <n v="11"/>
    <n v="16.153846153846153"/>
    <n v="42.727272727272734"/>
    <s v="Project 32"/>
    <s v="Adam BUCKLEY-JONES"/>
    <s v="&lt; 250k€"/>
    <m/>
    <n v="0"/>
    <n v="45000"/>
    <n v="45000"/>
    <n v="1"/>
    <n v="2"/>
  </r>
  <r>
    <s v="RELIABLE - Produce better and safer"/>
    <x v="0"/>
    <x v="1"/>
    <s v="ISPRJ-11"/>
    <s v="Star (MASTERPLAN)"/>
    <x v="2"/>
    <x v="4"/>
    <s v="H"/>
    <x v="2"/>
    <s v="TOP10"/>
    <s v="1 year"/>
    <n v="5"/>
    <m/>
    <s v="M"/>
    <m/>
    <s v="H"/>
    <s v="L"/>
    <m/>
    <m/>
    <n v="4.7"/>
    <m/>
    <m/>
    <m/>
    <s v="L"/>
    <s v="H"/>
    <m/>
    <s v="H"/>
    <m/>
    <s v="M"/>
    <n v="4"/>
    <n v="39"/>
    <m/>
    <m/>
    <m/>
    <m/>
    <m/>
    <m/>
    <m/>
    <s v="M"/>
    <m/>
    <m/>
    <m/>
    <m/>
    <n v="8"/>
    <n v="44"/>
    <n v="56.92307692307692"/>
    <n v="10.681818181818183"/>
    <s v="Project 47"/>
    <s v="Andreea NICALAU"/>
    <s v="approved MASTERPLAN #68"/>
    <n v="1836"/>
    <n v="0"/>
    <n v="0"/>
    <n v="2000000"/>
    <n v="7"/>
    <n v="9"/>
  </r>
  <r>
    <s v="CUSTOMERS AT HEART - Meet essential needs"/>
    <x v="1"/>
    <x v="1"/>
    <s v="ISPRJ-17"/>
    <s v="PICXEL (MASTERPLAN)"/>
    <x v="2"/>
    <x v="2"/>
    <s v="H"/>
    <x v="3"/>
    <m/>
    <s v="1 to 2 years"/>
    <n v="8"/>
    <m/>
    <m/>
    <s v="H"/>
    <m/>
    <m/>
    <s v="L"/>
    <m/>
    <n v="4.0999999999999996"/>
    <m/>
    <m/>
    <m/>
    <s v="L"/>
    <s v="M"/>
    <m/>
    <s v="M"/>
    <m/>
    <s v="M"/>
    <n v="4"/>
    <n v="29"/>
    <m/>
    <m/>
    <m/>
    <m/>
    <m/>
    <m/>
    <m/>
    <m/>
    <m/>
    <m/>
    <m/>
    <m/>
    <n v="0"/>
    <n v="37"/>
    <n v="50"/>
    <n v="11.081081081081081"/>
    <s v="Project 54"/>
    <s v="Hélène MBANGU"/>
    <s v="approved MASTERPLAN #68"/>
    <m/>
    <n v="0"/>
    <n v="0"/>
    <n v="0"/>
    <m/>
    <m/>
  </r>
  <r>
    <s v="RELIABLE - STRENGTHEN rolling stock"/>
    <x v="2"/>
    <x v="1"/>
    <s v="ISPRJ-4"/>
    <s v="VESPA"/>
    <x v="4"/>
    <x v="4"/>
    <s v="H"/>
    <x v="3"/>
    <m/>
    <s v="1 to 2 years"/>
    <n v="8"/>
    <m/>
    <s v="M"/>
    <s v="L"/>
    <s v="L"/>
    <s v="L"/>
    <s v="L"/>
    <m/>
    <n v="5.6"/>
    <m/>
    <m/>
    <m/>
    <s v="L"/>
    <s v="H"/>
    <s v="L"/>
    <s v="M"/>
    <m/>
    <m/>
    <n v="4"/>
    <n v="31"/>
    <m/>
    <m/>
    <m/>
    <m/>
    <m/>
    <m/>
    <s v="L"/>
    <m/>
    <s v="H"/>
    <m/>
    <m/>
    <m/>
    <n v="18"/>
    <n v="39"/>
    <n v="68.461538461538467"/>
    <n v="14.358974358974358"/>
    <s v="Project 50"/>
    <s v="Vanessa HERNALSTEEN"/>
    <m/>
    <m/>
    <n v="0"/>
    <n v="253119"/>
    <n v="253119"/>
    <m/>
    <m/>
  </r>
  <r>
    <m/>
    <x v="1"/>
    <x v="3"/>
    <s v="ISPRJ-19"/>
    <s v="Train cancellation transport plan analytics"/>
    <x v="2"/>
    <x v="2"/>
    <m/>
    <x v="5"/>
    <m/>
    <s v="&lt;= 3 months"/>
    <n v="1"/>
    <m/>
    <m/>
    <m/>
    <s v="M"/>
    <m/>
    <s v="M"/>
    <m/>
    <n v="4"/>
    <m/>
    <m/>
    <m/>
    <m/>
    <m/>
    <m/>
    <m/>
    <m/>
    <m/>
    <n v="0"/>
    <n v="0"/>
    <m/>
    <m/>
    <m/>
    <m/>
    <m/>
    <m/>
    <m/>
    <m/>
    <m/>
    <m/>
    <m/>
    <m/>
    <n v="0"/>
    <n v="1"/>
    <e v="#N/A"/>
    <n v="400"/>
    <m/>
    <s v="Adam BUCKLEY-JONES"/>
    <s v="draft"/>
    <m/>
    <n v="0"/>
    <n v="0"/>
    <n v="0"/>
    <n v="1"/>
    <n v="2"/>
  </r>
  <r>
    <s v="GROW COMPETE - Simplify"/>
    <x v="0"/>
    <x v="4"/>
    <s v="ISPRJ-14"/>
    <s v="HR Digitisation"/>
    <x v="5"/>
    <x v="1"/>
    <s v="H"/>
    <x v="6"/>
    <s v="TOP10"/>
    <s v="1 to 2 years"/>
    <n v="8"/>
    <m/>
    <s v="L"/>
    <m/>
    <m/>
    <s v="H"/>
    <s v="M"/>
    <m/>
    <n v="4.6999999999999993"/>
    <m/>
    <s v="H"/>
    <m/>
    <s v="L"/>
    <s v="M"/>
    <s v="M"/>
    <s v="L"/>
    <s v="M"/>
    <m/>
    <n v="6"/>
    <n v="47"/>
    <m/>
    <m/>
    <m/>
    <m/>
    <m/>
    <s v="M"/>
    <m/>
    <m/>
    <m/>
    <m/>
    <m/>
    <m/>
    <n v="8"/>
    <n v="55"/>
    <n v="73.84615384615384"/>
    <n v="8.5454545454545432"/>
    <s v="Project 15"/>
    <s v="Kristof ACKE"/>
    <s v="waiting #89"/>
    <m/>
    <m/>
    <n v="0"/>
    <n v="4100000"/>
    <n v="3"/>
    <m/>
  </r>
  <r>
    <s v="CUSTOMERS AT HEART - Grow Traffic by leveraging our ext offer"/>
    <x v="0"/>
    <x v="0"/>
    <s v="ISPRJ-15"/>
    <s v="Expand Ai/ML developments and automations"/>
    <x v="6"/>
    <x v="4"/>
    <s v="H"/>
    <x v="2"/>
    <s v="TOP10"/>
    <s v="1 year"/>
    <n v="5"/>
    <m/>
    <m/>
    <s v="L"/>
    <m/>
    <s v="M"/>
    <s v="M"/>
    <m/>
    <n v="4.2"/>
    <m/>
    <m/>
    <m/>
    <m/>
    <m/>
    <m/>
    <m/>
    <m/>
    <s v="M"/>
    <n v="1"/>
    <n v="8"/>
    <m/>
    <s v="L"/>
    <m/>
    <m/>
    <m/>
    <m/>
    <m/>
    <m/>
    <m/>
    <m/>
    <m/>
    <m/>
    <n v="5"/>
    <n v="13"/>
    <n v="27.692307692307693"/>
    <n v="32.307692307692307"/>
    <s v="Project 40"/>
    <s v="Colin JAMES"/>
    <s v="some parts may"/>
    <n v="1841"/>
    <n v="0"/>
    <n v="67500"/>
    <n v="67500"/>
    <m/>
    <m/>
  </r>
  <r>
    <s v="RELIABLE - Produce better and safer"/>
    <x v="1"/>
    <x v="3"/>
    <s v="ISPRJ-23"/>
    <s v="Fraud Analytics &amp; Prevention System"/>
    <x v="7"/>
    <x v="2"/>
    <s v="M"/>
    <x v="0"/>
    <m/>
    <s v="6 months - 1 year"/>
    <n v="3"/>
    <m/>
    <m/>
    <m/>
    <m/>
    <m/>
    <s v="H"/>
    <m/>
    <n v="3.9"/>
    <m/>
    <m/>
    <m/>
    <m/>
    <s v="H"/>
    <m/>
    <m/>
    <m/>
    <m/>
    <n v="1"/>
    <n v="13"/>
    <m/>
    <m/>
    <m/>
    <m/>
    <m/>
    <m/>
    <m/>
    <m/>
    <m/>
    <m/>
    <m/>
    <m/>
    <n v="0"/>
    <n v="16"/>
    <n v="24.615384615384617"/>
    <n v="24.375"/>
    <s v="Project 11"/>
    <s v="Adam BUCKLEY-JONES"/>
    <s v="Sent"/>
    <m/>
    <n v="0"/>
    <n v="97500"/>
    <n v="97500"/>
    <n v="1"/>
    <n v="3"/>
  </r>
  <r>
    <s v="RELIABLE - Produce better and safer"/>
    <x v="3"/>
    <x v="5"/>
    <s v="ISPRJ-16"/>
    <s v="Information System Recovery assurance"/>
    <x v="6"/>
    <x v="4"/>
    <s v="H"/>
    <x v="5"/>
    <s v="TOP10"/>
    <s v="6 months - 1 year"/>
    <n v="3"/>
    <m/>
    <s v="M"/>
    <s v="L"/>
    <s v="M"/>
    <m/>
    <m/>
    <m/>
    <n v="4.2"/>
    <m/>
    <s v="L"/>
    <s v="L"/>
    <s v="L"/>
    <s v="L"/>
    <s v="L"/>
    <s v="L"/>
    <m/>
    <s v="L"/>
    <n v="7"/>
    <n v="35"/>
    <m/>
    <m/>
    <m/>
    <m/>
    <m/>
    <m/>
    <s v="L"/>
    <m/>
    <m/>
    <m/>
    <m/>
    <m/>
    <n v="5"/>
    <n v="38"/>
    <n v="61.53846153846154"/>
    <n v="11.05263157894737"/>
    <s v="Project 82"/>
    <s v="Olivier Lepretre"/>
    <m/>
    <m/>
    <n v="0"/>
    <n v="0"/>
    <n v="0"/>
    <n v="10"/>
    <m/>
  </r>
  <r>
    <s v="RELIABLE - STRENGTHEN rolling stock"/>
    <x v="0"/>
    <x v="1"/>
    <s v="ISPRJ-18"/>
    <s v="Engineering App : TMI app migration (study)"/>
    <x v="4"/>
    <x v="4"/>
    <s v="H"/>
    <x v="3"/>
    <m/>
    <s v="1 to 2 years"/>
    <n v="8"/>
    <m/>
    <s v="L"/>
    <m/>
    <s v="M"/>
    <m/>
    <s v="L"/>
    <m/>
    <n v="4.0999999999999996"/>
    <m/>
    <m/>
    <m/>
    <s v="L"/>
    <m/>
    <m/>
    <s v="L"/>
    <m/>
    <m/>
    <n v="2"/>
    <n v="10"/>
    <m/>
    <m/>
    <m/>
    <m/>
    <m/>
    <m/>
    <m/>
    <m/>
    <s v="M"/>
    <m/>
    <m/>
    <m/>
    <n v="8"/>
    <n v="18"/>
    <n v="38.46153846153846"/>
    <n v="22.777777777777775"/>
    <s v="Project 61"/>
    <s v="Shaun KILPATRICK"/>
    <s v="waiting #136"/>
    <n v="1846"/>
    <n v="0"/>
    <n v="150000"/>
    <n v="150000"/>
    <n v="2"/>
    <n v="3"/>
  </r>
  <r>
    <s v="RELIABLE - Produce better and safer"/>
    <x v="0"/>
    <x v="3"/>
    <s v="ISPRJ-21"/>
    <s v="Infra Manager &amp; referentiels (MASTERPLAN)"/>
    <x v="2"/>
    <x v="2"/>
    <m/>
    <x v="2"/>
    <m/>
    <s v="3 months - 6 months"/>
    <n v="2"/>
    <m/>
    <m/>
    <s v="L"/>
    <s v="L"/>
    <s v="L"/>
    <s v="L"/>
    <m/>
    <n v="4"/>
    <m/>
    <m/>
    <m/>
    <m/>
    <s v="H"/>
    <m/>
    <s v="M"/>
    <m/>
    <m/>
    <n v="2"/>
    <n v="21"/>
    <m/>
    <m/>
    <m/>
    <m/>
    <m/>
    <m/>
    <m/>
    <m/>
    <m/>
    <m/>
    <m/>
    <m/>
    <n v="0"/>
    <n v="23"/>
    <n v="36.153846153846153"/>
    <n v="17.391304347826086"/>
    <s v="Project 21"/>
    <s v="Yann GOURDEL"/>
    <s v="approved MASTERPLAN #68"/>
    <m/>
    <m/>
    <m/>
    <m/>
    <m/>
    <m/>
  </r>
  <r>
    <s v="RELIABLE - Produce better and safer"/>
    <x v="1"/>
    <x v="3"/>
    <s v="ISPRJ-26"/>
    <s v="NPS &amp; Operations Analytics"/>
    <x v="2"/>
    <x v="2"/>
    <s v="M"/>
    <x v="5"/>
    <m/>
    <s v="&lt;= 3 months"/>
    <n v="1"/>
    <m/>
    <m/>
    <s v="H"/>
    <s v="L"/>
    <m/>
    <m/>
    <m/>
    <n v="3.6"/>
    <m/>
    <m/>
    <m/>
    <m/>
    <s v="L"/>
    <m/>
    <s v="L"/>
    <m/>
    <m/>
    <n v="2"/>
    <n v="10"/>
    <m/>
    <m/>
    <m/>
    <m/>
    <m/>
    <m/>
    <m/>
    <m/>
    <m/>
    <m/>
    <m/>
    <m/>
    <n v="0"/>
    <n v="11"/>
    <n v="16.153846153846153"/>
    <n v="32.727272727272727"/>
    <s v="Project 32"/>
    <s v="Adam BUCKLEY-JONES"/>
    <s v="draft"/>
    <m/>
    <n v="0"/>
    <n v="0"/>
    <n v="0"/>
    <n v="1"/>
    <n v="2"/>
  </r>
  <r>
    <s v="CUSTOMERS AT HEART - Meet essential needs"/>
    <x v="0"/>
    <x v="0"/>
    <s v="ISPRJ-22"/>
    <s v="Mobile App improvements (part of Digital BC)"/>
    <x v="0"/>
    <x v="4"/>
    <s v="H"/>
    <x v="2"/>
    <m/>
    <s v="1 year"/>
    <n v="5"/>
    <m/>
    <m/>
    <s v="M"/>
    <m/>
    <m/>
    <s v="M"/>
    <m/>
    <n v="4"/>
    <m/>
    <m/>
    <m/>
    <m/>
    <m/>
    <m/>
    <m/>
    <m/>
    <s v="H"/>
    <n v="1"/>
    <n v="13"/>
    <m/>
    <s v="L"/>
    <m/>
    <m/>
    <m/>
    <m/>
    <m/>
    <m/>
    <m/>
    <m/>
    <m/>
    <m/>
    <n v="5"/>
    <n v="18"/>
    <n v="34.615384615384613"/>
    <n v="22.222222222222221"/>
    <s v="Project 27"/>
    <s v="Colin JAMES"/>
    <s v="in Digital BC"/>
    <n v="1840"/>
    <m/>
    <m/>
    <m/>
    <m/>
    <m/>
  </r>
  <r>
    <s v="RELIABLE - Ensure the basics for our teams"/>
    <x v="1"/>
    <x v="3"/>
    <s v="ISPRJ-29"/>
    <s v="Data Hub dev portal v2"/>
    <x v="6"/>
    <x v="2"/>
    <m/>
    <x v="5"/>
    <m/>
    <s v="&lt;= 3 months"/>
    <n v="1"/>
    <m/>
    <m/>
    <m/>
    <m/>
    <s v="M"/>
    <s v="M"/>
    <m/>
    <n v="3.2"/>
    <m/>
    <m/>
    <m/>
    <m/>
    <s v="M"/>
    <m/>
    <m/>
    <m/>
    <m/>
    <n v="1"/>
    <n v="8"/>
    <m/>
    <m/>
    <m/>
    <m/>
    <m/>
    <m/>
    <s v="M"/>
    <m/>
    <m/>
    <m/>
    <m/>
    <m/>
    <n v="8"/>
    <n v="9"/>
    <n v="26.153846153846153"/>
    <n v="35.555555555555557"/>
    <s v="Project 5"/>
    <s v="Yann GOURDEL"/>
    <m/>
    <m/>
    <n v="0"/>
    <n v="110000"/>
    <n v="110000"/>
    <m/>
    <m/>
  </r>
  <r>
    <s v="RELIABLE - Ensure the basics for our teams"/>
    <x v="1"/>
    <x v="3"/>
    <s v="ISPRJ-30"/>
    <s v="Finance DWH"/>
    <x v="7"/>
    <x v="1"/>
    <s v="M"/>
    <x v="3"/>
    <m/>
    <s v="6 months - 1 year"/>
    <n v="3"/>
    <m/>
    <m/>
    <m/>
    <m/>
    <s v="M"/>
    <s v="M"/>
    <m/>
    <n v="3.2"/>
    <m/>
    <s v="M"/>
    <m/>
    <s v="L"/>
    <s v="H"/>
    <m/>
    <m/>
    <m/>
    <m/>
    <n v="3"/>
    <n v="26"/>
    <m/>
    <m/>
    <m/>
    <s v="M"/>
    <m/>
    <m/>
    <s v="L"/>
    <m/>
    <m/>
    <m/>
    <m/>
    <m/>
    <n v="13"/>
    <n v="29"/>
    <n v="57.692307692307693"/>
    <n v="11.03448275862069"/>
    <s v="Project 12"/>
    <s v="Adam BUCKLEY-JONES"/>
    <s v="not started"/>
    <m/>
    <n v="0"/>
    <n v="0"/>
    <n v="0"/>
    <n v="1"/>
    <s v="?"/>
  </r>
  <r>
    <s v="CUSTOMERS AT HEART - Meet essential needs"/>
    <x v="1"/>
    <x v="1"/>
    <s v="ISPRJ-12"/>
    <s v="PIS trainset &amp; improvements"/>
    <x v="2"/>
    <x v="3"/>
    <s v="H"/>
    <x v="3"/>
    <m/>
    <s v="1 to 2 years"/>
    <n v="8"/>
    <m/>
    <s v="M"/>
    <s v="L"/>
    <s v="M"/>
    <s v="L"/>
    <m/>
    <m/>
    <n v="4.7"/>
    <m/>
    <m/>
    <m/>
    <s v="L"/>
    <m/>
    <m/>
    <s v="L"/>
    <m/>
    <m/>
    <n v="2"/>
    <n v="10"/>
    <m/>
    <m/>
    <m/>
    <m/>
    <m/>
    <m/>
    <m/>
    <m/>
    <m/>
    <m/>
    <m/>
    <m/>
    <n v="0"/>
    <n v="18"/>
    <n v="26.923076923076923"/>
    <n v="26.111111111111114"/>
    <s v="Project 36"/>
    <s v="Wumi AKINSEYE"/>
    <m/>
    <m/>
    <n v="0"/>
    <n v="300000"/>
    <n v="300000"/>
    <m/>
    <n v="1"/>
  </r>
  <r>
    <s v="GROW COMPETE - Simplify"/>
    <x v="0"/>
    <x v="6"/>
    <s v="ISPRJ-24"/>
    <s v="SIMPLIFY"/>
    <x v="1"/>
    <x v="5"/>
    <s v="H"/>
    <x v="0"/>
    <m/>
    <s v="1 year"/>
    <n v="5"/>
    <m/>
    <m/>
    <m/>
    <m/>
    <m/>
    <s v="H"/>
    <m/>
    <n v="3.9"/>
    <m/>
    <m/>
    <m/>
    <m/>
    <m/>
    <m/>
    <m/>
    <s v="M"/>
    <m/>
    <n v="1"/>
    <n v="8"/>
    <m/>
    <m/>
    <m/>
    <m/>
    <m/>
    <m/>
    <s v="L"/>
    <m/>
    <m/>
    <m/>
    <m/>
    <m/>
    <n v="5"/>
    <n v="13"/>
    <n v="27.692307692307693"/>
    <n v="30"/>
    <s v="Project 73"/>
    <s v="Blanche DERKENNE"/>
    <s v="no need"/>
    <m/>
    <n v="0"/>
    <n v="0"/>
    <n v="0"/>
    <n v="8"/>
    <n v="1"/>
  </r>
  <r>
    <s v="GROW COMPETE - Simplify"/>
    <x v="0"/>
    <x v="4"/>
    <s v="ISPRJ-25"/>
    <s v="Finance Automation / Digitisation"/>
    <x v="7"/>
    <x v="1"/>
    <s v="H"/>
    <x v="1"/>
    <m/>
    <s v="&gt;2 Years"/>
    <n v="13"/>
    <m/>
    <m/>
    <m/>
    <m/>
    <s v="H"/>
    <s v="M"/>
    <m/>
    <n v="3.7"/>
    <m/>
    <s v="H"/>
    <m/>
    <s v="L"/>
    <s v="M"/>
    <s v="M"/>
    <m/>
    <s v="M"/>
    <m/>
    <n v="5"/>
    <n v="42"/>
    <m/>
    <m/>
    <m/>
    <s v="M"/>
    <m/>
    <m/>
    <s v="L"/>
    <m/>
    <m/>
    <m/>
    <m/>
    <m/>
    <n v="13"/>
    <n v="55"/>
    <n v="80.769230769230774"/>
    <n v="6.7272727272727275"/>
    <s v="Project 10"/>
    <s v="Richard PARKER"/>
    <s v="waiting #89"/>
    <m/>
    <n v="0"/>
    <n v="0"/>
    <n v="11000000"/>
    <n v="1"/>
    <m/>
  </r>
  <r>
    <s v="GROW COMPETE - Simplify"/>
    <x v="0"/>
    <x v="3"/>
    <s v="ISPRJ-27"/>
    <s v="SVOT decommission step 1"/>
    <x v="6"/>
    <x v="4"/>
    <s v="H"/>
    <x v="5"/>
    <m/>
    <s v="6 months - 1 year"/>
    <n v="3"/>
    <m/>
    <m/>
    <m/>
    <s v="M"/>
    <s v="L"/>
    <s v="L"/>
    <m/>
    <n v="3.6"/>
    <m/>
    <m/>
    <m/>
    <m/>
    <s v="H"/>
    <m/>
    <s v="M"/>
    <m/>
    <m/>
    <n v="2"/>
    <n v="21"/>
    <m/>
    <m/>
    <m/>
    <m/>
    <m/>
    <m/>
    <m/>
    <m/>
    <m/>
    <m/>
    <m/>
    <m/>
    <n v="0"/>
    <n v="24"/>
    <n v="37.692307692307693"/>
    <n v="15"/>
    <s v="Project 48"/>
    <s v="Yann GOURDEL"/>
    <s v="&lt; 250k€"/>
    <s v="no"/>
    <n v="37500"/>
    <n v="0"/>
    <n v="37500"/>
    <m/>
    <m/>
  </r>
  <r>
    <s v="RELIABLE - Ensure the basics for our teams"/>
    <x v="0"/>
    <x v="1"/>
    <s v="ISPRJ-28"/>
    <s v="Migration of Euromap and Start on Time to DataHub"/>
    <x v="2"/>
    <x v="5"/>
    <s v="H"/>
    <x v="5"/>
    <m/>
    <s v="6 months - 1 year"/>
    <n v="3"/>
    <m/>
    <s v="L"/>
    <m/>
    <s v="L"/>
    <m/>
    <s v="L"/>
    <m/>
    <n v="3.5"/>
    <m/>
    <m/>
    <m/>
    <m/>
    <s v="H"/>
    <m/>
    <s v="M"/>
    <m/>
    <m/>
    <n v="2"/>
    <n v="21"/>
    <m/>
    <m/>
    <s v="M"/>
    <m/>
    <m/>
    <m/>
    <s v="H"/>
    <s v="H"/>
    <s v="M"/>
    <s v="L"/>
    <s v="H"/>
    <m/>
    <n v="60"/>
    <n v="24"/>
    <n v="67.692307692307708"/>
    <n v="14.583333333333334"/>
    <s v="Project 53"/>
    <s v="Gauthier DE LAVENNE"/>
    <s v="approved"/>
    <s v="no"/>
    <n v="0"/>
    <n v="250000"/>
    <n v="250000"/>
    <n v="2"/>
    <n v="3"/>
  </r>
  <r>
    <s v="GROW COMPETE - Produce bigger"/>
    <x v="1"/>
    <x v="7"/>
    <s v="ISPRJ-35"/>
    <s v="New Brussels/Paris Offices"/>
    <x v="7"/>
    <x v="3"/>
    <m/>
    <x v="3"/>
    <m/>
    <s v="1 to 2 years"/>
    <n v="8"/>
    <m/>
    <m/>
    <m/>
    <m/>
    <s v="L"/>
    <s v="M"/>
    <m/>
    <n v="2.9"/>
    <m/>
    <m/>
    <m/>
    <m/>
    <m/>
    <s v="L"/>
    <m/>
    <m/>
    <m/>
    <n v="1"/>
    <n v="5"/>
    <m/>
    <m/>
    <m/>
    <m/>
    <m/>
    <m/>
    <m/>
    <m/>
    <m/>
    <m/>
    <m/>
    <m/>
    <n v="0"/>
    <n v="13"/>
    <n v="20.76923076923077"/>
    <n v="22.307692307692307"/>
    <s v="Project 66"/>
    <s v="Mathieu BALLOUCHE"/>
    <m/>
    <m/>
    <n v="0"/>
    <n v="0"/>
    <n v="0"/>
    <m/>
    <m/>
  </r>
  <r>
    <s v="RELIABLE - Produce better and safer"/>
    <x v="1"/>
    <x v="3"/>
    <s v="ISPRJ-36"/>
    <s v="Polaris Reporting 2025"/>
    <x v="0"/>
    <x v="2"/>
    <s v="M"/>
    <x v="0"/>
    <m/>
    <s v="6 months - 1 year"/>
    <n v="3"/>
    <m/>
    <m/>
    <m/>
    <m/>
    <s v="L"/>
    <s v="M"/>
    <m/>
    <n v="2.9"/>
    <m/>
    <m/>
    <m/>
    <m/>
    <s v="H"/>
    <m/>
    <m/>
    <m/>
    <m/>
    <n v="1"/>
    <n v="13"/>
    <m/>
    <m/>
    <m/>
    <m/>
    <m/>
    <m/>
    <m/>
    <m/>
    <m/>
    <m/>
    <m/>
    <m/>
    <n v="0"/>
    <n v="16"/>
    <n v="24.615384615384617"/>
    <n v="18.125"/>
    <s v="Project 11"/>
    <s v="Alicja MATUSZAK"/>
    <s v="&lt; 250k€"/>
    <m/>
    <n v="0"/>
    <n v="97500"/>
    <n v="97500"/>
    <m/>
    <n v="2"/>
  </r>
  <r>
    <s v="RELIABLE - Ensure the basics for our teams"/>
    <x v="0"/>
    <x v="1"/>
    <s v="ISPRJ-31"/>
    <s v="Totem+ v2"/>
    <x v="2"/>
    <x v="4"/>
    <s v="H"/>
    <x v="5"/>
    <m/>
    <s v="6 months - 1 year"/>
    <n v="3"/>
    <m/>
    <m/>
    <m/>
    <s v="M"/>
    <m/>
    <s v="L"/>
    <m/>
    <n v="3.1"/>
    <m/>
    <m/>
    <m/>
    <m/>
    <s v="M"/>
    <s v="L"/>
    <s v="M"/>
    <m/>
    <m/>
    <n v="3"/>
    <n v="21"/>
    <m/>
    <m/>
    <m/>
    <m/>
    <m/>
    <m/>
    <m/>
    <m/>
    <m/>
    <m/>
    <m/>
    <m/>
    <n v="0"/>
    <n v="24"/>
    <n v="39.230769230769226"/>
    <n v="12.916666666666668"/>
    <s v="Project 49"/>
    <s v="Patricia SOUEID"/>
    <s v="approved #101"/>
    <s v="no"/>
    <n v="0"/>
    <n v="0"/>
    <n v="2825258"/>
    <n v="1"/>
    <n v="3"/>
  </r>
  <r>
    <s v="CUSTOMERS AT HEART - Delight to spark brand love"/>
    <x v="4"/>
    <x v="2"/>
    <s v="ISPRJ-40"/>
    <s v="Passport e-gate replacement (SPI)"/>
    <x v="3"/>
    <x v="4"/>
    <s v="H"/>
    <x v="4"/>
    <m/>
    <s v="3 months - 6 months"/>
    <n v="2"/>
    <m/>
    <m/>
    <s v="L"/>
    <s v="M"/>
    <m/>
    <m/>
    <m/>
    <n v="2.6"/>
    <m/>
    <m/>
    <s v="M"/>
    <m/>
    <m/>
    <m/>
    <m/>
    <m/>
    <m/>
    <n v="1"/>
    <n v="8"/>
    <m/>
    <m/>
    <m/>
    <m/>
    <m/>
    <m/>
    <m/>
    <m/>
    <m/>
    <m/>
    <s v="M"/>
    <m/>
    <n v="8"/>
    <n v="10"/>
    <n v="27.692307692307693"/>
    <n v="26"/>
    <s v="Project 35"/>
    <s v="Eric QIU"/>
    <m/>
    <n v="1761"/>
    <n v="0"/>
    <n v="2360000"/>
    <n v="2360000"/>
    <n v="1"/>
    <n v="1"/>
  </r>
  <r>
    <s v="RELIABLE - Produce better and safer"/>
    <x v="1"/>
    <x v="3"/>
    <s v="ISPRJ-39"/>
    <s v="H00 Operation Analytics"/>
    <x v="2"/>
    <x v="2"/>
    <s v="H"/>
    <x v="2"/>
    <m/>
    <s v="3 months - 6 months"/>
    <n v="2"/>
    <m/>
    <m/>
    <m/>
    <s v="H"/>
    <m/>
    <m/>
    <m/>
    <n v="2.6"/>
    <m/>
    <m/>
    <m/>
    <m/>
    <s v="M"/>
    <m/>
    <s v="M"/>
    <m/>
    <m/>
    <n v="2"/>
    <n v="16"/>
    <m/>
    <m/>
    <m/>
    <m/>
    <m/>
    <m/>
    <s v="L"/>
    <m/>
    <m/>
    <m/>
    <m/>
    <m/>
    <n v="5"/>
    <n v="18"/>
    <n v="31.538461538461533"/>
    <n v="14.444444444444446"/>
    <s v="Project 34"/>
    <s v="Adam BUCKLEY-JONES"/>
    <s v="not started"/>
    <m/>
    <n v="0"/>
    <n v="0"/>
    <n v="0"/>
    <n v="1"/>
    <n v="2"/>
  </r>
  <r>
    <s v="RELIABLE - Produce better and safer"/>
    <x v="0"/>
    <x v="2"/>
    <s v="ISPRJ-32"/>
    <s v="Stations Develop Mobile checkin (v2)"/>
    <x v="3"/>
    <x v="2"/>
    <m/>
    <x v="2"/>
    <m/>
    <s v="3 months - 6 months"/>
    <n v="2"/>
    <m/>
    <m/>
    <s v="L"/>
    <s v="M"/>
    <s v="L"/>
    <m/>
    <m/>
    <n v="3.1"/>
    <m/>
    <m/>
    <s v="M"/>
    <s v="L"/>
    <m/>
    <s v="L"/>
    <m/>
    <m/>
    <m/>
    <n v="3"/>
    <n v="18"/>
    <m/>
    <m/>
    <m/>
    <m/>
    <m/>
    <m/>
    <m/>
    <m/>
    <m/>
    <m/>
    <s v="M"/>
    <m/>
    <n v="8"/>
    <n v="20"/>
    <n v="37.692307692307693"/>
    <n v="15.5"/>
    <s v="Project 46"/>
    <s v="Kamran Raja"/>
    <s v="&lt; 250k€"/>
    <n v="1750"/>
    <n v="31582.828800000003"/>
    <n v="129140.49600000001"/>
    <n v="160723.3248"/>
    <n v="1"/>
    <m/>
  </r>
  <r>
    <s v="RELIABLE - Ensure the basics for our teams"/>
    <x v="0"/>
    <x v="7"/>
    <s v="ISPRJ-33"/>
    <s v="SPI ETRALI Replacement"/>
    <x v="3"/>
    <x v="4"/>
    <s v="H"/>
    <x v="2"/>
    <m/>
    <s v="1 year"/>
    <n v="5"/>
    <m/>
    <s v="M"/>
    <m/>
    <s v="L"/>
    <s v="L"/>
    <m/>
    <m/>
    <n v="3.1"/>
    <m/>
    <m/>
    <m/>
    <m/>
    <m/>
    <s v="H"/>
    <m/>
    <m/>
    <m/>
    <n v="1"/>
    <n v="13"/>
    <m/>
    <m/>
    <m/>
    <m/>
    <m/>
    <m/>
    <m/>
    <m/>
    <m/>
    <m/>
    <m/>
    <m/>
    <n v="0"/>
    <n v="18"/>
    <n v="27.692307692307686"/>
    <n v="17.222222222222221"/>
    <s v="Project 45"/>
    <s v="Mathieu BALLOUCHE"/>
    <s v="not yet"/>
    <m/>
    <n v="0"/>
    <n v="0"/>
    <n v="0"/>
    <m/>
    <m/>
  </r>
  <r>
    <s v="RELIABLE - Produce better and safer"/>
    <x v="1"/>
    <x v="2"/>
    <s v="ISPRJ-47"/>
    <s v="Merge Hotel/Taxi disruption tools (merge of DPAX and Self Service)"/>
    <x v="2"/>
    <x v="3"/>
    <m/>
    <x v="3"/>
    <m/>
    <s v="1 to 2 years"/>
    <n v="8"/>
    <m/>
    <m/>
    <s v="L"/>
    <m/>
    <m/>
    <s v="L"/>
    <m/>
    <n v="2.5"/>
    <m/>
    <s v="M"/>
    <s v="M"/>
    <s v="L"/>
    <m/>
    <m/>
    <m/>
    <m/>
    <m/>
    <n v="3"/>
    <n v="21"/>
    <m/>
    <m/>
    <m/>
    <m/>
    <m/>
    <m/>
    <m/>
    <s v="M"/>
    <m/>
    <m/>
    <m/>
    <m/>
    <n v="8"/>
    <n v="29"/>
    <n v="58.46153846153846"/>
    <n v="8.6206896551724146"/>
    <s v="Project 26"/>
    <s v="Maël DELMAS"/>
    <m/>
    <m/>
    <n v="0"/>
    <n v="0"/>
    <n v="0"/>
    <n v="3"/>
    <m/>
  </r>
  <r>
    <s v="RELIABLE - Produce better and safer"/>
    <x v="1"/>
    <x v="3"/>
    <s v="ISPRJ-45"/>
    <s v="Data Hub recovery automation"/>
    <x v="6"/>
    <x v="2"/>
    <m/>
    <x v="5"/>
    <m/>
    <s v="&lt;= 3 months"/>
    <n v="1"/>
    <m/>
    <m/>
    <m/>
    <s v="L"/>
    <m/>
    <s v="L"/>
    <m/>
    <n v="2.5"/>
    <m/>
    <m/>
    <m/>
    <s v="L"/>
    <s v="M"/>
    <m/>
    <m/>
    <m/>
    <m/>
    <n v="2"/>
    <n v="13"/>
    <m/>
    <m/>
    <m/>
    <m/>
    <m/>
    <m/>
    <s v="M"/>
    <m/>
    <m/>
    <m/>
    <m/>
    <m/>
    <n v="8"/>
    <n v="14"/>
    <n v="34.615384615384613"/>
    <n v="17.857142857142858"/>
    <s v="Project 6"/>
    <s v="Yann GOURDEL"/>
    <m/>
    <m/>
    <n v="0"/>
    <n v="150000"/>
    <n v="150000"/>
    <m/>
    <m/>
  </r>
  <r>
    <s v="CUSTOMERS AT HEART - Meet essential needs"/>
    <x v="1"/>
    <x v="2"/>
    <s v="ISPRJ-46"/>
    <s v="Improve TACT For Seat reallocation and Seat blockage"/>
    <x v="2"/>
    <x v="2"/>
    <s v="H"/>
    <x v="5"/>
    <m/>
    <s v="&lt;= 3 months"/>
    <n v="1"/>
    <m/>
    <m/>
    <s v="L"/>
    <s v="L"/>
    <s v="L"/>
    <m/>
    <m/>
    <n v="2.5"/>
    <m/>
    <m/>
    <s v="L"/>
    <m/>
    <m/>
    <m/>
    <m/>
    <m/>
    <m/>
    <n v="1"/>
    <n v="5"/>
    <m/>
    <m/>
    <m/>
    <m/>
    <m/>
    <m/>
    <m/>
    <s v="L"/>
    <m/>
    <m/>
    <m/>
    <m/>
    <n v="5"/>
    <n v="6"/>
    <n v="16.92307692307692"/>
    <n v="41.666666666666671"/>
    <s v="Project 20"/>
    <s v="Gauthier LANGLOIS"/>
    <m/>
    <m/>
    <n v="0"/>
    <n v="120000"/>
    <n v="120000"/>
    <n v="1"/>
    <m/>
  </r>
  <r>
    <s v="GROW COMPETE - Prepare fleet and stations for the future"/>
    <x v="5"/>
    <x v="7"/>
    <s v="ISPRJ-34"/>
    <s v="BMI new comms room &amp; recabling"/>
    <x v="6"/>
    <x v="4"/>
    <s v="H"/>
    <x v="5"/>
    <m/>
    <s v="6 months - 1 year"/>
    <n v="3"/>
    <m/>
    <s v="L"/>
    <s v="L"/>
    <s v="L"/>
    <m/>
    <m/>
    <m/>
    <n v="3"/>
    <m/>
    <m/>
    <m/>
    <m/>
    <m/>
    <s v="L"/>
    <m/>
    <m/>
    <m/>
    <n v="1"/>
    <n v="5"/>
    <m/>
    <m/>
    <m/>
    <m/>
    <m/>
    <m/>
    <s v="L"/>
    <m/>
    <m/>
    <m/>
    <m/>
    <m/>
    <n v="5"/>
    <n v="8"/>
    <n v="19.999999999999996"/>
    <n v="37.5"/>
    <s v="Project 4"/>
    <s v="Mathieu BALLOUCHE"/>
    <m/>
    <n v="1800"/>
    <n v="0"/>
    <n v="0"/>
    <n v="0"/>
    <m/>
    <m/>
  </r>
  <r>
    <s v="GROW COMPETE - Simplify"/>
    <x v="0"/>
    <x v="4"/>
    <s v="ISPRJ-37"/>
    <s v="Employee Exp Communication Platform (Workvivo)"/>
    <x v="5"/>
    <x v="4"/>
    <s v="H"/>
    <x v="5"/>
    <m/>
    <s v="6 months - 1 year"/>
    <n v="3"/>
    <m/>
    <m/>
    <m/>
    <m/>
    <s v="H"/>
    <s v="L"/>
    <m/>
    <n v="2.8"/>
    <m/>
    <s v="M"/>
    <m/>
    <s v="L"/>
    <s v="L"/>
    <m/>
    <s v="L"/>
    <s v="L"/>
    <m/>
    <n v="5"/>
    <n v="28"/>
    <m/>
    <m/>
    <s v="H"/>
    <m/>
    <m/>
    <m/>
    <m/>
    <m/>
    <m/>
    <m/>
    <m/>
    <m/>
    <n v="13"/>
    <n v="31"/>
    <n v="65.384615384615387"/>
    <n v="9.0322580645161281"/>
    <s v="Project 8"/>
    <s v="John ZIEBART"/>
    <s v="approved #88"/>
    <m/>
    <n v="0"/>
    <n v="136368"/>
    <n v="136368"/>
    <n v="1"/>
    <m/>
  </r>
  <r>
    <s v="RELIABLE - Produce better and safer"/>
    <x v="1"/>
    <x v="3"/>
    <s v="ISPRJ-42"/>
    <s v="e320 Availability Business Case"/>
    <x v="2"/>
    <x v="2"/>
    <s v="M"/>
    <x v="5"/>
    <m/>
    <s v="&lt;= 3 months"/>
    <n v="1"/>
    <m/>
    <m/>
    <m/>
    <s v="L"/>
    <m/>
    <s v="L"/>
    <m/>
    <n v="2.5"/>
    <m/>
    <m/>
    <m/>
    <m/>
    <s v="L"/>
    <m/>
    <s v="L"/>
    <m/>
    <m/>
    <n v="2"/>
    <n v="10"/>
    <m/>
    <m/>
    <m/>
    <m/>
    <m/>
    <m/>
    <m/>
    <m/>
    <m/>
    <m/>
    <m/>
    <m/>
    <n v="0"/>
    <n v="11"/>
    <n v="16.153846153846153"/>
    <n v="22.727272727272727"/>
    <s v="Project 32"/>
    <s v="Adam BUCKLEY-JONES"/>
    <s v="draft"/>
    <m/>
    <n v="0"/>
    <n v="0"/>
    <n v="0"/>
    <n v="1"/>
    <n v="2"/>
  </r>
  <r>
    <s v="CUSTOMERS AT HEART - Grow Traffic by leveraging our ext offer"/>
    <x v="1"/>
    <x v="0"/>
    <s v="ISPRJ-48"/>
    <s v="SNAP v3"/>
    <x v="0"/>
    <x v="2"/>
    <m/>
    <x v="5"/>
    <m/>
    <s v="&lt;= 3 months"/>
    <n v="1"/>
    <m/>
    <m/>
    <s v="L"/>
    <m/>
    <m/>
    <s v="L"/>
    <m/>
    <n v="2.5"/>
    <m/>
    <m/>
    <m/>
    <m/>
    <m/>
    <m/>
    <m/>
    <m/>
    <s v="M"/>
    <n v="1"/>
    <n v="8"/>
    <m/>
    <s v="L"/>
    <m/>
    <m/>
    <m/>
    <m/>
    <m/>
    <m/>
    <m/>
    <m/>
    <m/>
    <m/>
    <n v="5"/>
    <n v="9"/>
    <n v="21.53846153846154"/>
    <n v="27.777777777777779"/>
    <s v="Project 44"/>
    <s v="Colin JAMES"/>
    <m/>
    <m/>
    <n v="0"/>
    <n v="0"/>
    <n v="0"/>
    <m/>
    <m/>
  </r>
  <r>
    <s v="CUSTOMERS AT HEART - Grow Traffic by leveraging our ext offer"/>
    <x v="1"/>
    <x v="0"/>
    <s v="ISPRJ-44"/>
    <s v="Plusgrade v3 (seat upgrade) - Continental"/>
    <x v="0"/>
    <x v="1"/>
    <m/>
    <x v="2"/>
    <m/>
    <s v="&lt;= 3 months"/>
    <n v="1"/>
    <m/>
    <m/>
    <s v="L"/>
    <m/>
    <m/>
    <s v="L"/>
    <m/>
    <n v="2.5"/>
    <m/>
    <m/>
    <m/>
    <m/>
    <m/>
    <m/>
    <m/>
    <m/>
    <s v="H"/>
    <n v="1"/>
    <n v="13"/>
    <m/>
    <s v="L"/>
    <m/>
    <m/>
    <m/>
    <m/>
    <m/>
    <m/>
    <m/>
    <m/>
    <m/>
    <m/>
    <n v="5"/>
    <n v="14"/>
    <n v="28.46153846153846"/>
    <n v="17.857142857142858"/>
    <s v="Project 37"/>
    <s v="Colin JAMES"/>
    <m/>
    <m/>
    <n v="0"/>
    <n v="0"/>
    <n v="0"/>
    <m/>
    <m/>
  </r>
  <r>
    <s v="CUSTOMERS AT HEART - Meet essential needs"/>
    <x v="3"/>
    <x v="1"/>
    <s v="ISPRJ-38"/>
    <s v="Wifi on board POC"/>
    <x v="2"/>
    <x v="4"/>
    <s v="H"/>
    <x v="2"/>
    <m/>
    <s v="1 year"/>
    <n v="5"/>
    <m/>
    <m/>
    <s v="H"/>
    <m/>
    <m/>
    <m/>
    <m/>
    <n v="2.6"/>
    <m/>
    <m/>
    <m/>
    <s v="L"/>
    <m/>
    <s v="L"/>
    <s v="M"/>
    <m/>
    <m/>
    <n v="3"/>
    <n v="18"/>
    <m/>
    <m/>
    <m/>
    <m/>
    <m/>
    <m/>
    <m/>
    <m/>
    <s v="L"/>
    <m/>
    <m/>
    <m/>
    <n v="5"/>
    <n v="23"/>
    <n v="37.692307692307693"/>
    <n v="11.304347826086957"/>
    <s v="Project 51"/>
    <s v="Vrushik PATEL"/>
    <s v="22/1/2025 ongoing #73"/>
    <n v="1828"/>
    <n v="346033.80000000005"/>
    <n v="219893.40000000002"/>
    <n v="565927.20000000007"/>
    <n v="1"/>
    <n v="1"/>
  </r>
  <r>
    <s v="GROW COMPETE - Simplify"/>
    <x v="0"/>
    <x v="7"/>
    <s v="ISPRJ-41"/>
    <s v="Network Acces Control (Blue ISE)"/>
    <x v="6"/>
    <x v="4"/>
    <s v="H"/>
    <x v="5"/>
    <m/>
    <s v="6 months - 1 year"/>
    <n v="3"/>
    <m/>
    <s v="H"/>
    <m/>
    <m/>
    <m/>
    <m/>
    <m/>
    <n v="2.6"/>
    <m/>
    <m/>
    <m/>
    <s v="M"/>
    <m/>
    <s v="L"/>
    <m/>
    <m/>
    <m/>
    <n v="2"/>
    <n v="13"/>
    <m/>
    <m/>
    <m/>
    <m/>
    <s v="H"/>
    <m/>
    <m/>
    <m/>
    <m/>
    <m/>
    <m/>
    <m/>
    <n v="13"/>
    <n v="16"/>
    <n v="44.615384615384613"/>
    <n v="16.25"/>
    <s v="Project 28"/>
    <s v="Franck KOUDA"/>
    <s v="&lt; 250k€"/>
    <m/>
    <n v="0"/>
    <n v="0"/>
    <n v="0"/>
    <m/>
    <m/>
  </r>
  <r>
    <s v="CUSTOMERS AT HEART - Meet essential needs"/>
    <x v="4"/>
    <x v="2"/>
    <s v="ISPRJ-51"/>
    <s v="Revenue Management: new system (Cazyn)"/>
    <x v="0"/>
    <x v="0"/>
    <s v="H"/>
    <x v="4"/>
    <m/>
    <s v="&lt;= 3 months"/>
    <n v="1"/>
    <m/>
    <m/>
    <m/>
    <m/>
    <m/>
    <s v="M"/>
    <m/>
    <n v="2.4"/>
    <m/>
    <m/>
    <s v="M"/>
    <s v="L"/>
    <s v="L"/>
    <m/>
    <m/>
    <m/>
    <s v="L"/>
    <n v="4"/>
    <n v="23"/>
    <m/>
    <s v="M"/>
    <m/>
    <m/>
    <m/>
    <m/>
    <m/>
    <m/>
    <m/>
    <m/>
    <m/>
    <m/>
    <n v="8"/>
    <n v="24"/>
    <n v="50.769230769230766"/>
    <n v="10"/>
    <s v="Project 19"/>
    <s v="James HAYWARD"/>
    <s v="&lt; 250k€"/>
    <n v="1052"/>
    <n v="0"/>
    <n v="51656.198400000001"/>
    <n v="51656.198400000001"/>
    <n v="1"/>
    <m/>
  </r>
  <r>
    <s v="RELIABLE - Produce better and safer"/>
    <x v="1"/>
    <x v="3"/>
    <s v="ISPRJ-52"/>
    <s v="Polaris Technical 2025"/>
    <x v="0"/>
    <x v="1"/>
    <s v="M"/>
    <x v="0"/>
    <m/>
    <s v="3 months - 6 months"/>
    <n v="2"/>
    <m/>
    <m/>
    <m/>
    <m/>
    <m/>
    <s v="M"/>
    <m/>
    <n v="2.4"/>
    <m/>
    <m/>
    <m/>
    <m/>
    <s v="H"/>
    <m/>
    <m/>
    <m/>
    <m/>
    <n v="1"/>
    <n v="13"/>
    <m/>
    <m/>
    <m/>
    <m/>
    <m/>
    <m/>
    <m/>
    <m/>
    <m/>
    <m/>
    <m/>
    <m/>
    <n v="0"/>
    <n v="15"/>
    <n v="23.076923076923077"/>
    <n v="16"/>
    <s v="Project 11"/>
    <s v="Adam BUCKLEY-JONES"/>
    <s v="draft"/>
    <m/>
    <n v="0"/>
    <m/>
    <m/>
    <n v="1"/>
    <n v="3"/>
  </r>
  <r>
    <s v="GROW COMPETE - Simplify"/>
    <x v="1"/>
    <x v="7"/>
    <s v="ISPRJ-58"/>
    <s v="OneDrive Migration"/>
    <x v="6"/>
    <x v="2"/>
    <m/>
    <x v="0"/>
    <m/>
    <s v="6 months - 1 year"/>
    <n v="3"/>
    <m/>
    <m/>
    <m/>
    <m/>
    <s v="L"/>
    <s v="L"/>
    <m/>
    <n v="2"/>
    <m/>
    <s v="L"/>
    <m/>
    <m/>
    <m/>
    <s v="L"/>
    <s v="L"/>
    <m/>
    <m/>
    <n v="3"/>
    <n v="15"/>
    <m/>
    <m/>
    <m/>
    <m/>
    <m/>
    <m/>
    <m/>
    <m/>
    <m/>
    <m/>
    <m/>
    <m/>
    <n v="0"/>
    <n v="18"/>
    <n v="27.692307692307693"/>
    <n v="11.111111111111111"/>
    <s v="Project 63"/>
    <s v="Shafiq AHMED"/>
    <m/>
    <m/>
    <n v="0"/>
    <n v="335765.28960000002"/>
    <n v="335765.28960000002"/>
    <m/>
    <m/>
  </r>
  <r>
    <s v="RELIABLE - Ensure the basics for our teams"/>
    <x v="0"/>
    <x v="1"/>
    <s v="ISPRJ-43"/>
    <s v="Fiche Train v2"/>
    <x v="2"/>
    <x v="2"/>
    <s v="H"/>
    <x v="2"/>
    <m/>
    <s v="3 months - 6 months"/>
    <n v="2"/>
    <m/>
    <m/>
    <m/>
    <s v="L"/>
    <m/>
    <s v="L"/>
    <m/>
    <n v="2.5"/>
    <m/>
    <m/>
    <m/>
    <m/>
    <m/>
    <m/>
    <s v="L"/>
    <m/>
    <m/>
    <n v="1"/>
    <n v="5"/>
    <m/>
    <m/>
    <m/>
    <m/>
    <m/>
    <m/>
    <m/>
    <m/>
    <m/>
    <m/>
    <m/>
    <m/>
    <n v="0"/>
    <n v="7"/>
    <n v="11.538461538461538"/>
    <n v="35.714285714285715"/>
    <s v="Project 55"/>
    <s v="Marie PIRLOT"/>
    <s v="waiting  #144"/>
    <m/>
    <n v="0"/>
    <n v="250000"/>
    <n v="250000"/>
    <m/>
    <n v="1"/>
  </r>
  <r>
    <s v="CUSTOMERS AT HEART - Delight to spark brand love"/>
    <x v="0"/>
    <x v="3"/>
    <s v="ISPRJ-50"/>
    <s v="Customer Services KPI Analytics"/>
    <x v="0"/>
    <x v="0"/>
    <m/>
    <x v="5"/>
    <m/>
    <s v="3 months - 6 months"/>
    <n v="2"/>
    <m/>
    <m/>
    <s v="M"/>
    <m/>
    <s v="M"/>
    <m/>
    <m/>
    <n v="2.4000000000000004"/>
    <m/>
    <m/>
    <m/>
    <m/>
    <s v="M"/>
    <m/>
    <m/>
    <m/>
    <m/>
    <n v="1"/>
    <n v="8"/>
    <m/>
    <m/>
    <m/>
    <m/>
    <m/>
    <m/>
    <m/>
    <m/>
    <m/>
    <m/>
    <m/>
    <m/>
    <n v="0"/>
    <n v="10"/>
    <n v="16.153846153846153"/>
    <n v="24.000000000000004"/>
    <s v="Project 16"/>
    <s v="Adam BUCKLEY-JONES"/>
    <s v="no need"/>
    <m/>
    <n v="0"/>
    <n v="0"/>
    <n v="0"/>
    <n v="1"/>
    <n v="2"/>
  </r>
  <r>
    <s v="GROW COMPETE - Simplify"/>
    <x v="0"/>
    <x v="7"/>
    <s v="ISPRJ-49"/>
    <s v="SD WAN execution (RFP)"/>
    <x v="6"/>
    <x v="4"/>
    <s v="L"/>
    <x v="5"/>
    <s v="RISK if not done"/>
    <s v="6 months - 1 year"/>
    <n v="3"/>
    <m/>
    <s v="M"/>
    <m/>
    <m/>
    <s v="M"/>
    <m/>
    <s v="RISK if not done"/>
    <n v="2.4000000000000004"/>
    <m/>
    <m/>
    <m/>
    <s v="M"/>
    <m/>
    <s v="M"/>
    <m/>
    <m/>
    <m/>
    <n v="2"/>
    <n v="16"/>
    <m/>
    <m/>
    <m/>
    <m/>
    <m/>
    <m/>
    <s v="L"/>
    <m/>
    <m/>
    <m/>
    <m/>
    <m/>
    <n v="5"/>
    <n v="19"/>
    <n v="33.07692307692308"/>
    <n v="12.631578947368425"/>
    <s v="Project 41"/>
    <s v="Benoît RONVAUX"/>
    <s v="approved #151"/>
    <n v="1858"/>
    <n v="0"/>
    <n v="0"/>
    <n v="0"/>
    <n v="2"/>
    <m/>
  </r>
  <r>
    <s v="CUSTOMERS AT HEART - Meet essential needs"/>
    <x v="4"/>
    <x v="0"/>
    <s v="ISPRJ-57"/>
    <s v="EES"/>
    <x v="3"/>
    <x v="4"/>
    <s v="H"/>
    <x v="2"/>
    <s v="REGUL"/>
    <s v="1 year"/>
    <n v="5"/>
    <m/>
    <m/>
    <s v="L"/>
    <s v="L"/>
    <m/>
    <m/>
    <s v="YES"/>
    <n v="2"/>
    <m/>
    <m/>
    <s v="L"/>
    <m/>
    <m/>
    <m/>
    <m/>
    <m/>
    <s v="L"/>
    <n v="2"/>
    <n v="10"/>
    <m/>
    <m/>
    <m/>
    <m/>
    <m/>
    <m/>
    <m/>
    <m/>
    <m/>
    <m/>
    <s v="M"/>
    <m/>
    <n v="8"/>
    <n v="15"/>
    <n v="33.846153846153854"/>
    <n v="13.333333333333334"/>
    <s v="Project 7"/>
    <s v="Alasdair HAIGH"/>
    <m/>
    <n v="1789"/>
    <n v="0"/>
    <n v="0"/>
    <n v="0"/>
    <m/>
    <m/>
  </r>
  <r>
    <s v="GROW COMPETE - Simplify"/>
    <x v="0"/>
    <x v="7"/>
    <s v="ISPRJ-53"/>
    <s v="FINOPS cloud cost Mgt"/>
    <x v="6"/>
    <x v="4"/>
    <s v="H"/>
    <x v="0"/>
    <m/>
    <s v="1 to 2 years"/>
    <n v="8"/>
    <m/>
    <m/>
    <m/>
    <m/>
    <m/>
    <s v="M"/>
    <m/>
    <n v="2.4"/>
    <m/>
    <m/>
    <m/>
    <m/>
    <m/>
    <s v="M"/>
    <m/>
    <m/>
    <m/>
    <n v="1"/>
    <n v="8"/>
    <m/>
    <m/>
    <m/>
    <m/>
    <m/>
    <m/>
    <s v="M"/>
    <m/>
    <m/>
    <m/>
    <m/>
    <m/>
    <n v="8"/>
    <n v="16"/>
    <n v="36.92307692307692"/>
    <n v="15"/>
    <s v="Project 13"/>
    <s v="Benoît RONVAUX"/>
    <s v="no need"/>
    <s v="BAU"/>
    <n v="0"/>
    <n v="0"/>
    <n v="0"/>
    <m/>
    <m/>
  </r>
  <r>
    <s v="RELIABLE - Ensure the basics for our teams"/>
    <x v="0"/>
    <x v="4"/>
    <s v="ISPRJ-54"/>
    <s v="Genetec (Access Control)"/>
    <x v="8"/>
    <x v="4"/>
    <s v="H"/>
    <x v="5"/>
    <m/>
    <s v="6 months - 1 year"/>
    <n v="3"/>
    <m/>
    <s v="M"/>
    <m/>
    <m/>
    <s v="L"/>
    <m/>
    <m/>
    <n v="2.1"/>
    <m/>
    <s v="M"/>
    <m/>
    <s v="L"/>
    <s v="L"/>
    <m/>
    <s v="L"/>
    <s v="L"/>
    <m/>
    <n v="5"/>
    <n v="28"/>
    <m/>
    <m/>
    <m/>
    <s v="L"/>
    <m/>
    <m/>
    <m/>
    <m/>
    <m/>
    <m/>
    <m/>
    <m/>
    <n v="5"/>
    <n v="31"/>
    <n v="53.846153846153847"/>
    <n v="6.7741935483870979"/>
    <s v="Project 14"/>
    <s v="John ZIEBART"/>
    <s v="approved #64"/>
    <n v="1822"/>
    <n v="298464.09600000002"/>
    <n v="439158.37080000003"/>
    <n v="737622.46680000005"/>
    <n v="2"/>
    <n v="1"/>
  </r>
  <r>
    <s v="RELIABLE - Ensure the basics for our teams"/>
    <x v="2"/>
    <x v="1"/>
    <s v="ISPRJ-60"/>
    <s v="eROSTER+"/>
    <x v="2"/>
    <x v="4"/>
    <s v="H"/>
    <x v="0"/>
    <m/>
    <s v="1 to 2 years"/>
    <n v="8"/>
    <m/>
    <m/>
    <m/>
    <s v="M"/>
    <m/>
    <m/>
    <m/>
    <n v="1.6"/>
    <m/>
    <m/>
    <m/>
    <m/>
    <s v="L"/>
    <s v="L"/>
    <s v="H"/>
    <m/>
    <m/>
    <n v="3"/>
    <n v="23"/>
    <m/>
    <m/>
    <m/>
    <m/>
    <m/>
    <m/>
    <m/>
    <s v="M"/>
    <m/>
    <m/>
    <m/>
    <m/>
    <n v="8"/>
    <n v="31"/>
    <n v="58.46153846153846"/>
    <n v="5.161290322580645"/>
    <s v="Project 9"/>
    <s v="Patricia SOUEID"/>
    <m/>
    <s v="no"/>
    <n v="0"/>
    <n v="50004"/>
    <n v="50004"/>
    <m/>
    <m/>
  </r>
  <r>
    <s v="GROW COMPETE - Simplify"/>
    <x v="3"/>
    <x v="7"/>
    <s v="ISPRJ-55"/>
    <s v="Windows 11 Upgrade (Digital Workplace Transformation)"/>
    <x v="6"/>
    <x v="0"/>
    <s v="H"/>
    <x v="0"/>
    <s v="RISK if not done"/>
    <s v="6 months - 1 year"/>
    <n v="3"/>
    <m/>
    <m/>
    <m/>
    <m/>
    <s v="L"/>
    <s v="L"/>
    <s v="RISK if not done"/>
    <n v="2"/>
    <m/>
    <m/>
    <m/>
    <s v="L"/>
    <m/>
    <s v="L"/>
    <m/>
    <m/>
    <m/>
    <n v="2"/>
    <n v="10"/>
    <m/>
    <m/>
    <m/>
    <m/>
    <m/>
    <m/>
    <m/>
    <m/>
    <m/>
    <m/>
    <m/>
    <m/>
    <n v="0"/>
    <n v="13"/>
    <n v="19.23076923076923"/>
    <n v="15.384615384615385"/>
    <s v="Project 65"/>
    <s v="Nick BARKER"/>
    <s v="approved #145"/>
    <n v="1855"/>
    <m/>
    <n v="0"/>
    <n v="360000"/>
    <n v="1"/>
    <m/>
  </r>
  <r>
    <s v="CUSTOMERS AT HEART - Delight to spark brand love"/>
    <x v="0"/>
    <x v="2"/>
    <s v="ISPRJ-56"/>
    <s v="Marketing Cloud: enable A/B testing, leverage Gen AI, enable &quot;Control Cell&quot; campaign..."/>
    <x v="0"/>
    <x v="0"/>
    <m/>
    <x v="0"/>
    <m/>
    <s v="6 months - 1 year"/>
    <n v="3"/>
    <m/>
    <m/>
    <m/>
    <m/>
    <s v="L"/>
    <s v="L"/>
    <m/>
    <n v="2"/>
    <m/>
    <m/>
    <s v="M"/>
    <m/>
    <m/>
    <m/>
    <m/>
    <m/>
    <m/>
    <n v="1"/>
    <n v="8"/>
    <m/>
    <s v="M"/>
    <m/>
    <m/>
    <m/>
    <m/>
    <m/>
    <m/>
    <m/>
    <m/>
    <m/>
    <m/>
    <n v="8"/>
    <n v="11"/>
    <n v="29.23076923076923"/>
    <n v="18.181818181818183"/>
    <s v="Project 18"/>
    <s v="Edward BONILLA"/>
    <s v="&lt; 250k€"/>
    <s v="BAU"/>
    <n v="136368"/>
    <n v="0"/>
    <n v="136368"/>
    <n v="1"/>
    <m/>
  </r>
  <r>
    <s v="RELIABLE - Ensure the basics for our teams"/>
    <x v="4"/>
    <x v="3"/>
    <s v="ISPRJ-79"/>
    <s v="Datalakehouse Kickoff"/>
    <x v="6"/>
    <x v="4"/>
    <m/>
    <x v="5"/>
    <m/>
    <s v="6 months - 1 year"/>
    <n v="3"/>
    <m/>
    <m/>
    <m/>
    <m/>
    <m/>
    <s v="L"/>
    <m/>
    <n v="1.5"/>
    <m/>
    <m/>
    <m/>
    <s v="L"/>
    <m/>
    <m/>
    <s v="L"/>
    <m/>
    <m/>
    <n v="2"/>
    <n v="10"/>
    <m/>
    <m/>
    <m/>
    <m/>
    <m/>
    <m/>
    <m/>
    <m/>
    <m/>
    <m/>
    <m/>
    <m/>
    <n v="0"/>
    <n v="13"/>
    <n v="19.23076923076923"/>
    <n v="11.538461538461538"/>
    <s v="Project 59"/>
    <s v="Adam BUCKLEY-JONES"/>
    <s v="&lt; 250k€"/>
    <m/>
    <n v="0"/>
    <n v="90000"/>
    <n v="90000"/>
    <n v="1"/>
    <n v="2"/>
  </r>
  <r>
    <s v="RELIABLE - STRENGTHEN rolling stock"/>
    <x v="1"/>
    <x v="2"/>
    <s v="ISPRJ-67"/>
    <s v="TACT/iTM: align Continental and Cross-Channel apps (fault mgt process, reports…)"/>
    <x v="2"/>
    <x v="1"/>
    <s v="H"/>
    <x v="2"/>
    <m/>
    <s v="&lt;= 3 months"/>
    <n v="1"/>
    <m/>
    <m/>
    <m/>
    <s v="L"/>
    <s v="L"/>
    <m/>
    <m/>
    <n v="1.5"/>
    <m/>
    <m/>
    <s v="L"/>
    <m/>
    <m/>
    <m/>
    <m/>
    <m/>
    <m/>
    <n v="1"/>
    <n v="5"/>
    <m/>
    <m/>
    <m/>
    <m/>
    <m/>
    <m/>
    <m/>
    <s v="L"/>
    <s v="L"/>
    <m/>
    <m/>
    <m/>
    <n v="10"/>
    <n v="6"/>
    <n v="21.53846153846154"/>
    <n v="25"/>
    <s v="Project 23"/>
    <s v="Gauthier LANGLOIS"/>
    <s v="&lt; 250k€"/>
    <m/>
    <n v="0"/>
    <n v="170460"/>
    <n v="170460"/>
    <n v="1"/>
    <m/>
  </r>
  <r>
    <s v="RELIABLE - Produce better and safer"/>
    <x v="0"/>
    <x v="2"/>
    <s v="ISPRJ-59"/>
    <s v="iTM: iTM improvements for cross-channel TM"/>
    <x v="2"/>
    <x v="2"/>
    <m/>
    <x v="2"/>
    <m/>
    <s v="3 months - 6 months"/>
    <n v="2"/>
    <m/>
    <m/>
    <m/>
    <s v="L"/>
    <s v="M"/>
    <m/>
    <m/>
    <n v="1.8"/>
    <m/>
    <m/>
    <s v="M"/>
    <m/>
    <m/>
    <m/>
    <m/>
    <m/>
    <m/>
    <n v="1"/>
    <n v="8"/>
    <m/>
    <m/>
    <m/>
    <m/>
    <m/>
    <m/>
    <m/>
    <s v="L"/>
    <m/>
    <m/>
    <m/>
    <m/>
    <n v="5"/>
    <n v="10"/>
    <n v="23.076923076923077"/>
    <n v="18"/>
    <s v="Project 24"/>
    <s v="Maël DELMAS"/>
    <s v="&lt; 250k€"/>
    <m/>
    <n v="0"/>
    <n v="77484.297600000005"/>
    <n v="77484.297600000005"/>
    <n v="1"/>
    <m/>
  </r>
  <r>
    <s v="CUSTOMERS AT HEART - Meet essential needs"/>
    <x v="1"/>
    <x v="7"/>
    <s v="ISPRJ-69"/>
    <s v="PNO New Ticket Office Infra"/>
    <x v="3"/>
    <x v="2"/>
    <s v="L"/>
    <x v="0"/>
    <m/>
    <s v="6 months - 1 year"/>
    <n v="3"/>
    <m/>
    <m/>
    <s v="L"/>
    <m/>
    <m/>
    <m/>
    <m/>
    <n v="1"/>
    <m/>
    <m/>
    <m/>
    <m/>
    <m/>
    <m/>
    <m/>
    <m/>
    <m/>
    <n v="0"/>
    <n v="0"/>
    <m/>
    <m/>
    <m/>
    <m/>
    <m/>
    <m/>
    <m/>
    <m/>
    <m/>
    <m/>
    <m/>
    <m/>
    <n v="0"/>
    <n v="3"/>
    <e v="#N/A"/>
    <n v="33.333333333333329"/>
    <s v="Project 83"/>
    <s v="Ben Gbeve"/>
    <m/>
    <s v="rinaz sees in station cost"/>
    <n v="0"/>
    <n v="0"/>
    <n v="0"/>
    <m/>
    <m/>
  </r>
  <r>
    <s v="GROW COMPETE - Simplify"/>
    <x v="0"/>
    <x v="7"/>
    <s v="ISPRJ-61"/>
    <s v="TM/TD Phone &amp; Tablet Improvements"/>
    <x v="2"/>
    <x v="0"/>
    <m/>
    <x v="5"/>
    <m/>
    <s v="3 months - 6 months"/>
    <n v="2"/>
    <m/>
    <s v="L"/>
    <m/>
    <m/>
    <s v="M"/>
    <m/>
    <m/>
    <n v="1.8"/>
    <m/>
    <m/>
    <m/>
    <s v="L"/>
    <m/>
    <s v="L"/>
    <m/>
    <m/>
    <m/>
    <n v="2"/>
    <n v="10"/>
    <m/>
    <m/>
    <m/>
    <m/>
    <m/>
    <m/>
    <m/>
    <m/>
    <m/>
    <m/>
    <m/>
    <m/>
    <n v="0"/>
    <n v="12"/>
    <n v="17.69230769230769"/>
    <n v="15"/>
    <s v="Project 70"/>
    <s v="Shailendra SHARMA"/>
    <m/>
    <m/>
    <n v="0"/>
    <n v="0"/>
    <n v="0"/>
    <n v="1"/>
    <m/>
  </r>
  <r>
    <s v="RELIABLE - Produce better and safer"/>
    <x v="0"/>
    <x v="3"/>
    <s v="ISPRJ-64"/>
    <s v="Belt Belt Turnaround &amp; Parking Analytics"/>
    <x v="2"/>
    <x v="0"/>
    <s v="M"/>
    <x v="4"/>
    <m/>
    <s v="&lt;= 3 months"/>
    <n v="1"/>
    <m/>
    <m/>
    <m/>
    <s v="M"/>
    <m/>
    <m/>
    <m/>
    <n v="1.6"/>
    <m/>
    <m/>
    <m/>
    <m/>
    <s v="L"/>
    <m/>
    <s v="L"/>
    <m/>
    <m/>
    <n v="2"/>
    <n v="10"/>
    <m/>
    <m/>
    <m/>
    <m/>
    <m/>
    <m/>
    <m/>
    <m/>
    <m/>
    <m/>
    <m/>
    <m/>
    <n v="0"/>
    <n v="11"/>
    <n v="16.153846153846153"/>
    <n v="14.545454545454547"/>
    <s v="Project 32"/>
    <s v="Adam BUCKLEY-JONES"/>
    <s v="draft"/>
    <m/>
    <n v="0"/>
    <n v="0"/>
    <n v="0"/>
    <n v="1"/>
    <n v="2"/>
  </r>
  <r>
    <s v="RELIABLE - Produce better and safer"/>
    <x v="0"/>
    <x v="5"/>
    <s v="ISPRJ-65"/>
    <s v="NIS 2"/>
    <x v="6"/>
    <x v="4"/>
    <s v="H"/>
    <x v="3"/>
    <s v="REGUL"/>
    <s v="1 to 2 years"/>
    <n v="8"/>
    <m/>
    <s v="M"/>
    <m/>
    <m/>
    <m/>
    <m/>
    <s v="YES"/>
    <n v="1.6"/>
    <m/>
    <s v="L"/>
    <s v="L"/>
    <s v="M"/>
    <s v="L"/>
    <s v="M"/>
    <s v="M"/>
    <m/>
    <s v="L"/>
    <n v="7"/>
    <n v="44"/>
    <m/>
    <m/>
    <m/>
    <s v="L"/>
    <m/>
    <s v="L"/>
    <s v="H"/>
    <s v="L"/>
    <s v="L"/>
    <m/>
    <m/>
    <m/>
    <n v="33"/>
    <n v="52"/>
    <n v="92.307692307692307"/>
    <n v="3.0769230769230771"/>
    <s v="Project 31"/>
    <s v="Jérôme SOULIE"/>
    <s v="no need"/>
    <m/>
    <n v="0"/>
    <n v="0"/>
    <n v="20000"/>
    <n v="5"/>
    <n v="1"/>
  </r>
  <r>
    <s v="GROW COMPETE - Simplify"/>
    <x v="0"/>
    <x v="2"/>
    <s v="ISPRJ-66"/>
    <s v="Reduce Average Handling Time (AHT in Customer Services [Salesforce])"/>
    <x v="0"/>
    <x v="2"/>
    <m/>
    <x v="0"/>
    <m/>
    <s v="6 months - 1 year"/>
    <n v="3"/>
    <m/>
    <m/>
    <s v="L"/>
    <m/>
    <s v="L"/>
    <m/>
    <m/>
    <n v="1.5"/>
    <m/>
    <m/>
    <m/>
    <m/>
    <m/>
    <m/>
    <m/>
    <m/>
    <m/>
    <n v="0"/>
    <n v="0"/>
    <m/>
    <m/>
    <m/>
    <m/>
    <m/>
    <m/>
    <m/>
    <m/>
    <m/>
    <m/>
    <m/>
    <m/>
    <n v="0"/>
    <n v="3"/>
    <e v="#N/A"/>
    <n v="50"/>
    <s v="Project 85"/>
    <s v="Edward BONILLA"/>
    <s v="approved #150"/>
    <s v="rinaz"/>
    <n v="125004.00000000001"/>
    <n v="0"/>
    <n v="125004.00000000001"/>
    <n v="2"/>
    <n v="2"/>
  </r>
  <r>
    <s v="RELIABLE - Ensure the basics for our teams"/>
    <x v="0"/>
    <x v="5"/>
    <s v="ISPRJ-68"/>
    <s v="Privilege Access Mgt + IDAM"/>
    <x v="6"/>
    <x v="4"/>
    <m/>
    <x v="2"/>
    <m/>
    <s v="1 year"/>
    <n v="5"/>
    <m/>
    <s v="L"/>
    <m/>
    <m/>
    <s v="L"/>
    <m/>
    <m/>
    <n v="1.5"/>
    <m/>
    <m/>
    <m/>
    <s v="L"/>
    <m/>
    <s v="M"/>
    <m/>
    <m/>
    <m/>
    <n v="2"/>
    <n v="13"/>
    <m/>
    <m/>
    <m/>
    <m/>
    <m/>
    <m/>
    <s v="M"/>
    <m/>
    <m/>
    <m/>
    <m/>
    <m/>
    <n v="8"/>
    <n v="18"/>
    <n v="40.769230769230766"/>
    <n v="8.3333333333333321"/>
    <s v="Project 38"/>
    <s v="Sophie Veron"/>
    <s v="&lt; 250k€"/>
    <m/>
    <n v="84000"/>
    <n v="0"/>
    <n v="84000"/>
    <n v="10"/>
    <m/>
  </r>
  <r>
    <s v="RELIABLE - Ensure the basics for our teams"/>
    <x v="3"/>
    <x v="2"/>
    <s v="ISPRJ-79"/>
    <s v="Station Flow Prediction MVP"/>
    <x v="3"/>
    <x v="4"/>
    <m/>
    <x v="5"/>
    <m/>
    <s v="6 months - 1 year"/>
    <n v="3"/>
    <m/>
    <m/>
    <m/>
    <s v="L"/>
    <m/>
    <m/>
    <m/>
    <n v="1"/>
    <m/>
    <m/>
    <m/>
    <s v="L"/>
    <m/>
    <m/>
    <s v="L"/>
    <m/>
    <m/>
    <n v="2"/>
    <n v="10"/>
    <m/>
    <m/>
    <m/>
    <m/>
    <m/>
    <m/>
    <m/>
    <m/>
    <m/>
    <m/>
    <m/>
    <m/>
    <n v="0"/>
    <n v="13"/>
    <n v="19.23076923076923"/>
    <n v="7.6923076923076925"/>
    <s v="Project 59"/>
    <s v="Maël DELMAS"/>
    <m/>
    <n v="1803"/>
    <n v="0"/>
    <n v="0"/>
    <m/>
    <n v="0"/>
    <n v="1"/>
  </r>
  <r>
    <s v="RELIABLE - Produce better and safer"/>
    <x v="0"/>
    <x v="7"/>
    <s v="ISPRJ-70"/>
    <s v="Masergy security appliances upgrade (Rapid 7)"/>
    <x v="6"/>
    <x v="4"/>
    <s v="H"/>
    <x v="5"/>
    <m/>
    <s v="6 months - 1 year"/>
    <n v="3"/>
    <m/>
    <s v="L"/>
    <m/>
    <m/>
    <m/>
    <m/>
    <m/>
    <n v="1"/>
    <m/>
    <m/>
    <m/>
    <s v="L"/>
    <m/>
    <s v="L"/>
    <m/>
    <m/>
    <m/>
    <n v="2"/>
    <n v="10"/>
    <m/>
    <m/>
    <m/>
    <m/>
    <s v="M"/>
    <m/>
    <m/>
    <m/>
    <m/>
    <m/>
    <m/>
    <m/>
    <n v="8"/>
    <n v="13"/>
    <n v="30.76923076923077"/>
    <n v="7.6923076923076925"/>
    <s v="Project 68"/>
    <s v="Franck KOUDA"/>
    <s v="&lt; 250k€"/>
    <m/>
    <n v="0"/>
    <n v="0"/>
    <n v="0"/>
    <m/>
    <m/>
  </r>
  <r>
    <s v="RELIABLE - STRENGTHEN rolling stock"/>
    <x v="3"/>
    <x v="1"/>
    <s v="ISPRJ-75"/>
    <s v="Deferrals Equinox"/>
    <x v="2"/>
    <x v="4"/>
    <s v="H"/>
    <x v="0"/>
    <m/>
    <s v="1 to 2 years"/>
    <n v="8"/>
    <m/>
    <m/>
    <m/>
    <m/>
    <s v="L"/>
    <m/>
    <m/>
    <n v="0.5"/>
    <m/>
    <m/>
    <m/>
    <m/>
    <m/>
    <m/>
    <s v="L"/>
    <m/>
    <m/>
    <n v="1"/>
    <n v="5"/>
    <m/>
    <m/>
    <m/>
    <m/>
    <m/>
    <m/>
    <m/>
    <m/>
    <s v="L"/>
    <m/>
    <m/>
    <m/>
    <n v="5"/>
    <n v="13"/>
    <n v="27.692307692307693"/>
    <n v="3.8461538461538463"/>
    <s v="Project 58"/>
    <s v="Shaun KILPATRICK"/>
    <s v="&lt; 250k€"/>
    <m/>
    <n v="0"/>
    <n v="126000"/>
    <n v="126000"/>
    <n v="1"/>
    <m/>
  </r>
  <r>
    <s v="CUSTOMERS AT HEART - Meet essential needs"/>
    <x v="4"/>
    <x v="2"/>
    <s v="ISPRJ-72"/>
    <s v="Customer Service Milestones for Cases in Salesforce"/>
    <x v="0"/>
    <x v="0"/>
    <m/>
    <x v="5"/>
    <m/>
    <s v="3 months - 6 months"/>
    <n v="2"/>
    <m/>
    <m/>
    <m/>
    <m/>
    <s v="L"/>
    <m/>
    <m/>
    <n v="0.5"/>
    <m/>
    <m/>
    <m/>
    <m/>
    <m/>
    <m/>
    <m/>
    <m/>
    <m/>
    <n v="0"/>
    <n v="0"/>
    <m/>
    <m/>
    <m/>
    <m/>
    <m/>
    <m/>
    <m/>
    <m/>
    <m/>
    <m/>
    <m/>
    <m/>
    <n v="0"/>
    <n v="2"/>
    <e v="#N/A"/>
    <n v="25"/>
    <s v="Project 86"/>
    <s v="Edward BONILLA"/>
    <m/>
    <s v="rinaz"/>
    <n v="0"/>
    <n v="0"/>
    <n v="0"/>
    <n v="1"/>
    <n v="1"/>
  </r>
  <r>
    <s v="GROW COMPETE - Simplify"/>
    <x v="0"/>
    <x v="6"/>
    <s v="ISPRJ-71"/>
    <s v="Connect All v2"/>
    <x v="6"/>
    <x v="0"/>
    <s v="H"/>
    <x v="5"/>
    <m/>
    <s v="3 months - 6 months"/>
    <n v="2"/>
    <m/>
    <m/>
    <m/>
    <m/>
    <s v="L"/>
    <m/>
    <m/>
    <n v="0.5"/>
    <m/>
    <m/>
    <m/>
    <m/>
    <m/>
    <m/>
    <m/>
    <s v="H"/>
    <m/>
    <n v="1"/>
    <n v="13"/>
    <m/>
    <m/>
    <m/>
    <m/>
    <m/>
    <m/>
    <m/>
    <m/>
    <m/>
    <m/>
    <m/>
    <m/>
    <n v="0"/>
    <n v="15"/>
    <n v="23.076923076923077"/>
    <n v="3.3333333333333335"/>
    <s v="Project 72"/>
    <s v="Mathys SAFFRE"/>
    <s v="no need"/>
    <s v="no"/>
    <s v="x"/>
    <s v="x"/>
    <n v="0"/>
    <n v="2"/>
    <m/>
  </r>
  <r>
    <s v="GROW COMPETE - Simplify"/>
    <x v="0"/>
    <x v="7"/>
    <s v="ISPRJ-73"/>
    <s v="Common Printing"/>
    <x v="6"/>
    <x v="0"/>
    <m/>
    <x v="0"/>
    <m/>
    <s v="6 months - 1 year"/>
    <n v="3"/>
    <m/>
    <m/>
    <m/>
    <m/>
    <s v="L"/>
    <m/>
    <m/>
    <n v="0.5"/>
    <m/>
    <m/>
    <m/>
    <m/>
    <m/>
    <s v="L"/>
    <m/>
    <m/>
    <m/>
    <n v="1"/>
    <n v="5"/>
    <m/>
    <m/>
    <m/>
    <m/>
    <m/>
    <m/>
    <m/>
    <m/>
    <m/>
    <m/>
    <m/>
    <m/>
    <n v="0"/>
    <n v="8"/>
    <n v="13.076923076923077"/>
    <n v="6.25"/>
    <s v="Project 69"/>
    <s v="Shailendra SHARMA"/>
    <s v="approved"/>
    <s v="BAU"/>
    <n v="0"/>
    <n v="0"/>
    <n v="0"/>
    <n v="1"/>
    <m/>
  </r>
  <r>
    <s v="GROW COMPETE - Prepare fleet and stations for the future"/>
    <x v="0"/>
    <x v="7"/>
    <s v="ISPRJ-74"/>
    <s v="SPI Service Centre Refurbishment"/>
    <x v="3"/>
    <x v="4"/>
    <s v="H"/>
    <x v="5"/>
    <m/>
    <s v="6 months - 1 year"/>
    <n v="3"/>
    <m/>
    <m/>
    <m/>
    <m/>
    <s v="L"/>
    <m/>
    <m/>
    <n v="0.5"/>
    <m/>
    <m/>
    <m/>
    <m/>
    <m/>
    <m/>
    <m/>
    <m/>
    <m/>
    <n v="0"/>
    <n v="0"/>
    <m/>
    <m/>
    <m/>
    <m/>
    <m/>
    <m/>
    <m/>
    <m/>
    <m/>
    <m/>
    <s v="M"/>
    <m/>
    <n v="8"/>
    <n v="3"/>
    <e v="#N/A"/>
    <n v="16.666666666666664"/>
    <s v="Project 84"/>
    <s v="Franck KOUDA"/>
    <s v="approved"/>
    <n v="1829"/>
    <n v="0"/>
    <n v="0"/>
    <n v="0"/>
    <m/>
    <m/>
  </r>
  <r>
    <s v="GROW COMPETE - Simplify"/>
    <x v="0"/>
    <x v="0"/>
    <s v="ISPRJ-76"/>
    <s v="iAPI (Interactive Passenger Information)"/>
    <x v="8"/>
    <x v="4"/>
    <s v="H"/>
    <x v="4"/>
    <s v="REGUL"/>
    <s v="3 months - 6 months"/>
    <n v="2"/>
    <m/>
    <m/>
    <m/>
    <m/>
    <m/>
    <m/>
    <s v="YES"/>
    <n v="0"/>
    <m/>
    <m/>
    <m/>
    <s v="L"/>
    <m/>
    <m/>
    <m/>
    <m/>
    <s v="M"/>
    <n v="2"/>
    <n v="13"/>
    <m/>
    <m/>
    <m/>
    <m/>
    <m/>
    <m/>
    <m/>
    <m/>
    <m/>
    <m/>
    <m/>
    <m/>
    <n v="0"/>
    <n v="15"/>
    <n v="24.615384615384617"/>
    <n v="0"/>
    <s v="Project 56"/>
    <s v="Maël DELMAS"/>
    <s v="approved #107"/>
    <n v="1741"/>
    <n v="0"/>
    <n v="0"/>
    <n v="284000"/>
    <m/>
    <m/>
  </r>
  <r>
    <s v="RELIABLE - Ensure the basics for our teams"/>
    <x v="1"/>
    <x v="1"/>
    <s v="ISPRJ-77"/>
    <s v="&quot;Enchainement&quot; project"/>
    <x v="2"/>
    <x v="2"/>
    <m/>
    <x v="3"/>
    <s v="REGUL"/>
    <s v="1 to 2 years"/>
    <n v="8"/>
    <m/>
    <m/>
    <m/>
    <m/>
    <m/>
    <m/>
    <s v="YES"/>
    <n v="0"/>
    <m/>
    <m/>
    <m/>
    <m/>
    <m/>
    <m/>
    <s v="L"/>
    <m/>
    <m/>
    <n v="1"/>
    <n v="5"/>
    <m/>
    <m/>
    <m/>
    <m/>
    <m/>
    <m/>
    <m/>
    <m/>
    <m/>
    <m/>
    <m/>
    <m/>
    <n v="0"/>
    <n v="13"/>
    <n v="20.76923076923077"/>
    <n v="0"/>
    <s v="Project 60"/>
    <s v="Vladimir BRONNIKOV"/>
    <m/>
    <m/>
    <n v="0"/>
    <n v="200000"/>
    <n v="200000"/>
    <n v="1"/>
    <m/>
  </r>
  <r>
    <s v="RELIABLE - Produce better and safer"/>
    <x v="1"/>
    <x v="7"/>
    <s v="ISPRJ-62"/>
    <s v="SPI LAN Phase 2"/>
    <x v="3"/>
    <x v="1"/>
    <m/>
    <x v="0"/>
    <m/>
    <s v="3 months - 6 months"/>
    <n v="2"/>
    <m/>
    <s v="M"/>
    <m/>
    <m/>
    <m/>
    <m/>
    <m/>
    <n v="1.6"/>
    <m/>
    <m/>
    <m/>
    <s v="L"/>
    <m/>
    <s v="L"/>
    <m/>
    <m/>
    <m/>
    <n v="2"/>
    <n v="10"/>
    <m/>
    <m/>
    <m/>
    <m/>
    <m/>
    <m/>
    <m/>
    <m/>
    <m/>
    <m/>
    <m/>
    <m/>
    <n v="0"/>
    <n v="12"/>
    <n v="17.69230769230769"/>
    <n v="13.333333333333334"/>
    <s v="Project 64"/>
    <s v="Mathieu BALLOUCHE"/>
    <m/>
    <m/>
    <n v="0"/>
    <n v="226002.68640000001"/>
    <n v="226002.68640000001"/>
    <m/>
    <m/>
  </r>
  <r>
    <s v="RELIABLE - Produce better and safer"/>
    <x v="1"/>
    <x v="5"/>
    <s v="ISPRJ-63"/>
    <s v="Application security"/>
    <x v="6"/>
    <x v="1"/>
    <m/>
    <x v="3"/>
    <m/>
    <s v="6 months - 1 year"/>
    <n v="3"/>
    <m/>
    <s v="M"/>
    <m/>
    <m/>
    <m/>
    <m/>
    <m/>
    <n v="1.6"/>
    <m/>
    <m/>
    <m/>
    <s v="M"/>
    <m/>
    <s v="M"/>
    <m/>
    <m/>
    <m/>
    <n v="2"/>
    <n v="16"/>
    <m/>
    <m/>
    <m/>
    <m/>
    <m/>
    <m/>
    <s v="L"/>
    <m/>
    <m/>
    <m/>
    <m/>
    <m/>
    <n v="5"/>
    <n v="19"/>
    <n v="33.07692307692308"/>
    <n v="8.4210526315789469"/>
    <s v="Project 2"/>
    <s v="Sophie Veron"/>
    <m/>
    <m/>
    <n v="0"/>
    <n v="0"/>
    <n v="0"/>
    <n v="5"/>
    <m/>
  </r>
  <r>
    <s v="RELIABLE - Ensure the basics for our teams"/>
    <x v="1"/>
    <x v="1"/>
    <s v="ISPRJ-78"/>
    <s v="IC RNE platform migration"/>
    <x v="2"/>
    <x v="6"/>
    <m/>
    <x v="3"/>
    <s v="REGUL"/>
    <s v="6 months - 1 year"/>
    <n v="3"/>
    <m/>
    <m/>
    <m/>
    <m/>
    <m/>
    <m/>
    <s v="YES"/>
    <n v="0"/>
    <m/>
    <m/>
    <m/>
    <s v="L"/>
    <m/>
    <m/>
    <s v="L"/>
    <m/>
    <m/>
    <n v="2"/>
    <n v="10"/>
    <m/>
    <m/>
    <m/>
    <m/>
    <m/>
    <m/>
    <m/>
    <m/>
    <m/>
    <m/>
    <m/>
    <m/>
    <n v="0"/>
    <n v="13"/>
    <n v="19.23076923076923"/>
    <n v="0"/>
    <s v="Project 59"/>
    <s v="Vladimir BRONNIKOV"/>
    <m/>
    <m/>
    <n v="0"/>
    <n v="150000"/>
    <n v="150000"/>
    <n v="1"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8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0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6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8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m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8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1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3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8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5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4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5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2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6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66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67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4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7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89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0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1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2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3"/>
    <m/>
    <m/>
    <m/>
    <n v="0"/>
    <n v="0"/>
    <m/>
    <m/>
    <m/>
  </r>
  <r>
    <m/>
    <x v="6"/>
    <x v="8"/>
    <m/>
    <m/>
    <x v="9"/>
    <x v="7"/>
    <m/>
    <x v="7"/>
    <m/>
    <e v="#N/A"/>
    <e v="#N/A"/>
    <m/>
    <m/>
    <m/>
    <m/>
    <m/>
    <m/>
    <m/>
    <m/>
    <m/>
    <m/>
    <m/>
    <m/>
    <m/>
    <m/>
    <m/>
    <m/>
    <m/>
    <n v="0"/>
    <n v="0"/>
    <m/>
    <m/>
    <m/>
    <m/>
    <m/>
    <m/>
    <m/>
    <m/>
    <m/>
    <m/>
    <m/>
    <m/>
    <n v="0"/>
    <e v="#N/A"/>
    <e v="#N/A"/>
    <e v="#N/A"/>
    <s v="Project 94"/>
    <m/>
    <m/>
    <m/>
    <n v="0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F5ADF-1F7C-42EF-84DE-BFF25668ED54}" name="Nb Active projects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9" rowHeaderCaption="Targeted Delivery" colHeaderCaption="Department">
  <location ref="A8:A9" firstHeaderRow="1" firstDataRow="1" firstDataCol="0" rowPageCount="1" colPageCount="1"/>
  <pivotFields count="56">
    <pivotField showAll="0"/>
    <pivotField axis="axisPage" multipleItemSelectionAllowed="1" showAll="0">
      <items count="8">
        <item x="5"/>
        <item x="3"/>
        <item x="0"/>
        <item x="6"/>
        <item h="1" x="2"/>
        <item h="1"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Active Projects in 2025" fld="4" subtotal="count" baseField="0" baseItem="0"/>
  </dataFields>
  <formats count="13">
    <format dxfId="34">
      <pivotArea dataOnly="0" labelOnly="1" grandCol="1" outline="0" fieldPosition="0"/>
    </format>
    <format dxfId="33">
      <pivotArea dataOnly="0" labelOnly="1" grandCol="1" outline="0" fieldPosition="0"/>
    </format>
    <format dxfId="32">
      <pivotArea dataOnly="0" labelOnly="1" grandCol="1" outline="0" fieldPosition="0"/>
    </format>
    <format dxfId="31">
      <pivotArea type="origin" dataOnly="0" labelOnly="1" outline="0" fieldPosition="0"/>
    </format>
    <format dxfId="30">
      <pivotArea field="1" type="button" dataOnly="0" labelOnly="1" outline="0" axis="axisPage" fieldPosition="0"/>
    </format>
    <format dxfId="29">
      <pivotArea type="origin" dataOnly="0" labelOnly="1" outline="0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labelOnly="1" grandCol="1" outline="0" fieldPosition="0"/>
    </format>
    <format dxfId="25">
      <pivotArea grandCol="1" outline="0" collapsedLevelsAreSubtotals="1" fieldPosition="0"/>
    </format>
    <format dxfId="24">
      <pivotArea grandCol="1" outline="0" collapsedLevelsAreSubtotals="1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4B491-10B0-466E-A901-36F4F9DA0687}" name="PivotTable8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5" rowHeaderCaption="Targeted Delivery" colHeaderCaption="Status">
  <location ref="A27:B31" firstHeaderRow="1" firstDataRow="1" firstDataCol="1" rowPageCount="1" colPageCount="1"/>
  <pivotFields count="56">
    <pivotField showAll="0"/>
    <pivotField axis="axisPage" multipleItemSelectionAllowed="1" showAll="0">
      <items count="8">
        <item x="1"/>
        <item h="1" x="0"/>
        <item h="1" x="6"/>
        <item h="1" x="3"/>
        <item h="1" x="5"/>
        <item h="1" x="2"/>
        <item h="1" x="4"/>
        <item t="default"/>
      </items>
    </pivotField>
    <pivotField showAll="0"/>
    <pivotField showAll="0"/>
    <pivotField dataField="1" showAll="0"/>
    <pivotField showAll="0"/>
    <pivotField axis="axisRow" multipleItemSelectionAllowed="1" showAll="0">
      <items count="9">
        <item h="1" x="3"/>
        <item x="4"/>
        <item x="0"/>
        <item x="2"/>
        <item x="1"/>
        <item x="5"/>
        <item x="6"/>
        <item x="7"/>
        <item t="default"/>
      </items>
    </pivotField>
    <pivotField showAll="0"/>
    <pivotField showAll="0">
      <items count="9">
        <item x="3"/>
        <item x="6"/>
        <item x="1"/>
        <item x="4"/>
        <item x="5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3"/>
    </i>
    <i>
      <x v="4"/>
    </i>
    <i>
      <x v="6"/>
    </i>
    <i t="grand">
      <x/>
    </i>
  </rowItems>
  <colItems count="1">
    <i/>
  </colItems>
  <pageFields count="1">
    <pageField fld="1" hier="-1"/>
  </pageFields>
  <dataFields count="1">
    <dataField name="Nb projects" fld="4" subtotal="count" baseField="0" baseItem="0"/>
  </dataFields>
  <formats count="22">
    <format dxfId="56">
      <pivotArea type="origin" dataOnly="0" labelOnly="1" outline="0" fieldPosition="0"/>
    </format>
    <format dxfId="55">
      <pivotArea type="origin" dataOnly="0" labelOnly="1" outline="0" fieldPosition="0"/>
    </format>
    <format dxfId="54">
      <pivotArea field="1" type="button" dataOnly="0" labelOnly="1" outline="0" axis="axisPage" fieldPosition="0"/>
    </format>
    <format dxfId="53">
      <pivotArea type="topRight" dataOnly="0" labelOnly="1" outline="0" fieldPosition="0"/>
    </format>
    <format dxfId="52">
      <pivotArea dataOnly="0" labelOnly="1" grandCol="1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Page" fieldPosition="0"/>
    </format>
    <format dxfId="49">
      <pivotArea type="topRight" dataOnly="0" labelOnly="1" outline="0" fieldPosition="0"/>
    </format>
    <format dxfId="48">
      <pivotArea dataOnly="0" labelOnly="1" grandCol="1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Page" fieldPosition="0"/>
    </format>
    <format dxfId="45">
      <pivotArea type="topRight" dataOnly="0" labelOnly="1" outline="0" fieldPosition="0"/>
    </format>
    <format dxfId="44">
      <pivotArea dataOnly="0" labelOnly="1" grandCol="1" outline="0" fieldPosition="0"/>
    </format>
    <format dxfId="43">
      <pivotArea type="origin" dataOnly="0" labelOnly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" type="button" dataOnly="0" labelOnly="1" outline="0" axis="axisPage" fieldPosition="0"/>
    </format>
    <format dxfId="38">
      <pivotArea type="topRight" dataOnly="0" labelOnly="1" outline="0" fieldPosition="0"/>
    </format>
    <format dxfId="37">
      <pivotArea dataOnly="0" labelOnly="1" grandRow="1" outline="0" fieldPosition="0"/>
    </format>
    <format dxfId="36">
      <pivotArea dataOnly="0" labelOnly="1" grandCol="1" outline="0" fieldPosition="0"/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06EC8-C1F4-49C3-883C-10C69191A2E2}" name="Active projects per team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5" rowHeaderCaption="Targeted Delivery" colHeaderCaption="Status">
  <location ref="A14:K16" firstHeaderRow="1" firstDataRow="2" firstDataCol="1" rowPageCount="1" colPageCount="1"/>
  <pivotFields count="56">
    <pivotField showAll="0"/>
    <pivotField axis="axisPage" multipleItemSelectionAllowed="1" showAll="0">
      <items count="8">
        <item h="1" x="1"/>
        <item x="0"/>
        <item x="6"/>
        <item x="3"/>
        <item x="5"/>
        <item h="1" x="2"/>
        <item h="1" x="4"/>
        <item t="default"/>
      </items>
    </pivotField>
    <pivotField axis="axisCol" showAll="0">
      <items count="10">
        <item x="4"/>
        <item x="2"/>
        <item x="5"/>
        <item x="3"/>
        <item x="7"/>
        <item x="1"/>
        <item x="6"/>
        <item x="0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Nb projects" fld="4" subtotal="count" baseField="0" baseItem="0"/>
  </dataFields>
  <formats count="21">
    <format dxfId="77">
      <pivotArea type="origin" dataOnly="0" labelOnly="1" outline="0" fieldPosition="0"/>
    </format>
    <format dxfId="76">
      <pivotArea type="origin" dataOnly="0" labelOnly="1" outline="0" fieldPosition="0"/>
    </format>
    <format dxfId="75">
      <pivotArea field="1" type="button" dataOnly="0" labelOnly="1" outline="0" axis="axisPage" fieldPosition="0"/>
    </format>
    <format dxfId="74">
      <pivotArea type="topRight" dataOnly="0" labelOnly="1" outline="0" fieldPosition="0"/>
    </format>
    <format dxfId="73">
      <pivotArea dataOnly="0" labelOnly="1" grandCol="1" outline="0" fieldPosition="0"/>
    </format>
    <format dxfId="72">
      <pivotArea outline="0" collapsedLevelsAreSubtotals="1" fieldPosition="0"/>
    </format>
    <format dxfId="71">
      <pivotArea field="1" type="button" dataOnly="0" labelOnly="1" outline="0" axis="axisPage" fieldPosition="0"/>
    </format>
    <format dxfId="70">
      <pivotArea type="topRight" dataOnly="0" labelOnly="1" outline="0" fieldPosition="0"/>
    </format>
    <format dxfId="69">
      <pivotArea dataOnly="0" labelOnly="1" grandCol="1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Page" fieldPosition="0"/>
    </format>
    <format dxfId="66">
      <pivotArea type="topRight" dataOnly="0" labelOnly="1" outline="0" fieldPosition="0"/>
    </format>
    <format dxfId="65">
      <pivotArea dataOnly="0" labelOnly="1" grandCol="1" outline="0" fieldPosition="0"/>
    </format>
    <format dxfId="64">
      <pivotArea type="origin" dataOnly="0" labelOnly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1" type="button" dataOnly="0" labelOnly="1" outline="0" axis="axisPage" fieldPosition="0"/>
    </format>
    <format dxfId="59">
      <pivotArea type="topRight" dataOnly="0" labelOnly="1" outline="0" fieldPosition="0"/>
    </format>
    <format dxfId="58">
      <pivotArea dataOnly="0" labelOnly="1" grandRow="1" outline="0" fieldPosition="0"/>
    </format>
    <format dxfId="5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E5106-2788-4D3A-875F-BC83EED2EE06}" name="Nb projects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9" rowHeaderCaption="Targeted Delivery" colHeaderCaption="Department">
  <location ref="A3:A4" firstHeaderRow="1" firstDataRow="1" firstDataCol="0" rowPageCount="1" colPageCount="1"/>
  <pivotFields count="56">
    <pivotField showAll="0"/>
    <pivotField axis="axisPage" multipleItemSelectionAllowed="1" showAll="0">
      <items count="8">
        <item x="5"/>
        <item x="3"/>
        <item x="0"/>
        <item x="6"/>
        <item h="1" x="2"/>
        <item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Count of Project" fld="4" subtotal="count" baseField="0" baseItem="0"/>
  </dataFields>
  <formats count="12">
    <format dxfId="89">
      <pivotArea dataOnly="0" labelOnly="1" grandCol="1" outline="0" fieldPosition="0"/>
    </format>
    <format dxfId="88">
      <pivotArea dataOnly="0" labelOnly="1" grandCol="1" outline="0" fieldPosition="0"/>
    </format>
    <format dxfId="87">
      <pivotArea dataOnly="0" labelOnly="1" grandCol="1" outline="0" fieldPosition="0"/>
    </format>
    <format dxfId="86">
      <pivotArea type="origin" dataOnly="0" labelOnly="1" outline="0" fieldPosition="0"/>
    </format>
    <format dxfId="85">
      <pivotArea field="1" type="button" dataOnly="0" labelOnly="1" outline="0" axis="axisPage" fieldPosition="0"/>
    </format>
    <format dxfId="84">
      <pivotArea type="origin" dataOnly="0" labelOnly="1" outline="0" fieldPosition="0"/>
    </format>
    <format dxfId="83">
      <pivotArea outline="0" collapsedLevelsAreSubtotals="1" fieldPosition="0"/>
    </format>
    <format dxfId="82">
      <pivotArea outline="0" collapsedLevelsAreSubtotals="1" fieldPosition="0"/>
    </format>
    <format dxfId="81">
      <pivotArea dataOnly="0" labelOnly="1" grandCol="1" outline="0" fieldPosition="0"/>
    </format>
    <format dxfId="80">
      <pivotArea grandCol="1" outline="0" collapsedLevelsAreSubtotals="1" fieldPosition="0"/>
    </format>
    <format dxfId="79">
      <pivotArea grandCol="1" outline="0" collapsedLevelsAreSubtotals="1" fieldPosition="0"/>
    </format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2AE5C-F990-4CD1-BE7C-77A0EAA6EE09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9" rowHeaderCaption="Targeted Delivery" colHeaderCaption="Department">
  <location ref="A47:L49" firstHeaderRow="1" firstDataRow="2" firstDataCol="1" rowPageCount="1" colPageCount="1"/>
  <pivotFields count="56">
    <pivotField showAll="0"/>
    <pivotField axis="axisPage" multipleItemSelectionAllowed="1" showAll="0">
      <items count="8">
        <item x="5"/>
        <item x="3"/>
        <item x="0"/>
        <item x="6"/>
        <item h="1" x="2"/>
        <item h="1" x="1"/>
        <item h="1" x="4"/>
        <item t="default"/>
      </items>
    </pivotField>
    <pivotField showAll="0"/>
    <pivotField showAll="0"/>
    <pivotField dataField="1" showAll="0"/>
    <pivotField axis="axisCol" showAll="0">
      <items count="12">
        <item m="1" x="10"/>
        <item x="0"/>
        <item x="7"/>
        <item x="8"/>
        <item x="5"/>
        <item x="6"/>
        <item x="2"/>
        <item x="4"/>
        <item x="3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Our Projects in 2025" fld="4" subtotal="count" baseField="0" baseItem="0"/>
  </dataFields>
  <formats count="14">
    <format dxfId="103">
      <pivotArea dataOnly="0" labelOnly="1" grandCol="1" outline="0" fieldPosition="0"/>
    </format>
    <format dxfId="102">
      <pivotArea dataOnly="0" labelOnly="1" grandCol="1" outline="0" fieldPosition="0"/>
    </format>
    <format dxfId="101">
      <pivotArea dataOnly="0" labelOnly="1" grandCol="1" outline="0" fieldPosition="0"/>
    </format>
    <format dxfId="100">
      <pivotArea type="origin" dataOnly="0" labelOnly="1" outline="0" fieldPosition="0"/>
    </format>
    <format dxfId="99">
      <pivotArea field="1" type="button" dataOnly="0" labelOnly="1" outline="0" axis="axisPage" fieldPosition="0"/>
    </format>
    <format dxfId="98">
      <pivotArea type="origin" dataOnly="0" labelOnly="1" outline="0" fieldPosition="0"/>
    </format>
    <format dxfId="97">
      <pivotArea outline="0" collapsedLevelsAreSubtotals="1" fieldPosition="0"/>
    </format>
    <format dxfId="96">
      <pivotArea outline="0" collapsedLevelsAreSubtotals="1" fieldPosition="0"/>
    </format>
    <format dxfId="95">
      <pivotArea dataOnly="0" labelOnly="1" grandCol="1" outline="0" fieldPosition="0"/>
    </format>
    <format dxfId="94">
      <pivotArea grandCol="1" outline="0" collapsedLevelsAreSubtotals="1" fieldPosition="0"/>
    </format>
    <format dxfId="93">
      <pivotArea grandCol="1" outline="0" collapsedLevelsAreSubtotals="1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grandCol="1" outline="0" collapsedLevelsAreSubtotals="1" fieldPosition="0"/>
    </format>
  </format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9341BC-B1DD-4F7F-A373-01C128D0F222}" name="Table2" displayName="Table2" ref="A8:B13" totalsRowShown="0" headerRowDxfId="166" dataDxfId="165">
  <autoFilter ref="A8:B13" xr:uid="{D09341BC-B1DD-4F7F-A373-01C128D0F222}"/>
  <tableColumns count="2">
    <tableColumn id="1" xr3:uid="{B013E473-5EE0-4363-8FE3-9730273A0977}" name="Tab" dataDxfId="164"/>
    <tableColumn id="2" xr3:uid="{3E231E8F-E354-44EF-853F-0BB9C006904C}" name="Description" dataDxfId="1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A53B2-465C-41BD-AC7E-8854157B43F0}" name="InputTable" displayName="InputTable" ref="A2:BE205" totalsRowShown="0" headerRowDxfId="162" dataDxfId="161">
  <autoFilter ref="A2:BE205" xr:uid="{467A53B2-465C-41BD-AC7E-8854157B43F0}">
    <filterColumn colId="1">
      <filters blank="1">
        <filter val="Issues"/>
        <filter val="Not started"/>
        <filter val="On Track"/>
        <filter val="Stopped in 2026"/>
      </filters>
    </filterColumn>
  </autoFilter>
  <tableColumns count="57">
    <tableColumn id="1" xr3:uid="{84C92AF0-73FF-4D0E-AF41-BF7EF1A3414A}" name="main 2025 Strategic Pillar 2025" dataDxfId="160"/>
    <tableColumn id="62" xr3:uid="{8220AFEB-9E47-450A-B848-CEFECA748DB2}" name="Status" dataDxfId="159"/>
    <tableColumn id="2" xr3:uid="{61A3523A-7020-4293-BABE-2883E7AA864A}" name="Team" dataDxfId="158"/>
    <tableColumn id="26" xr3:uid="{D0A0F79D-648A-4A97-88F9-B1E40856A695}" name="IS Portfolio Ref ID" dataDxfId="157"/>
    <tableColumn id="3" xr3:uid="{6ABCE6D2-693E-499D-9D0B-08F7DA0745F6}" name="Project" dataDxfId="156"/>
    <tableColumn id="4" xr3:uid="{A9E72B9A-93B7-4FE8-845E-34EF41072F79}" name="eurostar dpt Owner" dataDxfId="155"/>
    <tableColumn id="5" xr3:uid="{BC3FD2A3-7FC4-4563-B473-E2EC8E6D3699}" name="Starting Date" dataDxfId="154"/>
    <tableColumn id="40" xr3:uid="{D4852D5D-96C1-4BAB-BCDF-ABCBFA6F2E21}" name="Level of Certainty on Start Date" dataDxfId="153"/>
    <tableColumn id="6" xr3:uid="{303D77BC-A5D0-4F6A-84C2-07F55C0E504E}" name="Delivery Date" dataDxfId="152"/>
    <tableColumn id="7" xr3:uid="{12B910E3-136D-4F60-84CF-230E55392B66}" name="IS 2025 Priority" dataDxfId="151"/>
    <tableColumn id="15" xr3:uid="{F0148B91-DCEA-49D2-AF75-0CEF84FD67AD}" name="Duration" dataDxfId="150">
      <calculatedColumnFormula>VLOOKUP((InputTable[[#This Row],[Starting Date]]&amp; " - " &amp;InputTable[[#This Row],[Delivery Date]]),'System List'!$F$40:$H$83,2,FALSE)</calculatedColumnFormula>
    </tableColumn>
    <tableColumn id="54" xr3:uid="{3C370B9C-AD43-4BA1-8D3E-57307B60B7E1}" name="Duration Score" dataDxfId="149">
      <calculatedColumnFormula>VLOOKUP(InputTable[[#This Row],[Duration]],Duration,2,FALSE)</calculatedColumnFormula>
    </tableColumn>
    <tableColumn id="57" xr3:uid="{76CDE7DC-E6DD-4F09-B738-5C334C08041C}" name="#Simplify" dataDxfId="148"/>
    <tableColumn id="8" xr3:uid="{C452F4AF-46C0-48BB-AB5C-5FDEC07FEBC3}" name="Safety" dataDxfId="147"/>
    <tableColumn id="9" xr3:uid="{422665FB-E0E4-4EFB-897E-508EB8C6F0F0}" name="NPS cust. Satisfaction" dataDxfId="146"/>
    <tableColumn id="10" xr3:uid="{E41396FC-CB13-42D5-96C4-EF163A9E1157}" name="Punctuality T15" dataDxfId="145"/>
    <tableColumn id="11" xr3:uid="{9551864B-AE56-4C82-98E8-441E1F82B662}" name="People Engagement" dataDxfId="144"/>
    <tableColumn id="12" xr3:uid="{D49D9784-BAEA-43E1-96A1-6A344A86DF88}" name="EBITDA" dataDxfId="143"/>
    <tableColumn id="13" xr3:uid="{FDC9D6F1-B290-4660-972F-E81624D9F868}" name="Regulatory" dataDxfId="142"/>
    <tableColumn id="14" xr3:uid="{2596A89A-7935-43E9-BBD3-AB013A3B9179}" name="Value Score" dataDxfId="141">
      <calculatedColumnFormula array="1" xml:space="preserve"> SUM(
  _xlfn.XLOOKUP(InputTable[[#This Row],[Safety]:[Regulatory]], 'System List'!$F$4:$F$7, 'System List'!$G$4:$G$7, 0) *
  _xlfn.XLOOKUP(InputTable[[#Headers],[Safety]:[Regulatory]], 'System List'!$Y$4:$Y$10, 'System List'!$Z$4:$Z$10, 0)
)</calculatedColumnFormula>
    </tableColumn>
    <tableColumn id="58" xr3:uid="{05EC3CD1-4448-4B02-B2A3-21713ECA6040}" name="Column2" dataDxfId="140"/>
    <tableColumn id="16" xr3:uid="{ED370A71-B21B-46D8-A18E-48D75408E017}" name="CORPHRFIN" dataDxfId="139"/>
    <tableColumn id="17" xr3:uid="{B8898F67-5200-42DC-9AE9-1BE9ACC448BF}" name="CUST" dataDxfId="138"/>
    <tableColumn id="18" xr3:uid="{DB847D36-8EE5-4C4B-8340-A27507CF8BA8}" name="CYBER" dataDxfId="137"/>
    <tableColumn id="19" xr3:uid="{F47F5329-C206-4559-8ECC-3CE8A0203BCA}" name="DATA" dataDxfId="136"/>
    <tableColumn id="20" xr3:uid="{3D5992D9-8BB1-43F8-AC41-71D59ED2E63F}" name="INFRA" dataDxfId="135"/>
    <tableColumn id="21" xr3:uid="{29A01DE7-2608-49B8-8BCA-6F7F9931F4AD}" name="OPERATIONS" dataDxfId="134"/>
    <tableColumn id="22" xr3:uid="{CCDF9B3A-FECF-484A-A3C7-651DF7AD3D8D}" name="PMO" dataDxfId="133"/>
    <tableColumn id="23" xr3:uid="{DF01B26F-E060-43BB-BF4F-4930C5D7D792}" name="SALES" dataDxfId="132"/>
    <tableColumn id="27" xr3:uid="{0A55FFBE-59BF-45C0-BAFB-4DA9009CBA0E}" name="Number of Team Involved" dataDxfId="131">
      <calculatedColumnFormula>COUNTA(InputTable[[#This Row],[CORPHRFIN]:[SALES]])</calculatedColumnFormula>
    </tableColumn>
    <tableColumn id="28" xr3:uid="{F198D0AF-F20D-48CD-ABC0-17C6BC169B90}" name="Resource Score" dataDxfId="130">
      <calculatedColumnFormula array="1">SUM(
_xlfn.XLOOKUP(InputTable[[#This Row],[CORPHRFIN]:[SALES]],'System List'!$F$4:$F$7,'System List'!$H$4:$H$7,0))</calculatedColumnFormula>
    </tableColumn>
    <tableColumn id="59" xr3:uid="{1BDD3EB5-D8E5-4C26-A5E5-A1FF24E2744F}" name="Column3" dataDxfId="129"/>
    <tableColumn id="29" xr3:uid="{23197D11-0170-49D1-95EA-660F8141EFEC}" name="Impact on - CIAL" dataDxfId="128"/>
    <tableColumn id="30" xr3:uid="{F0B15525-B650-40E5-AFEB-A8C5F5AFF38B}" name="Impact on - COM" dataDxfId="127"/>
    <tableColumn id="31" xr3:uid="{3105D1A2-144E-4638-B5C7-0408CEAF600F}" name="Impact on - FIN" dataDxfId="126"/>
    <tableColumn id="32" xr3:uid="{B441A667-9EF3-41E9-810A-D9872347B576}" name="Impact on - GEN SEC" dataDxfId="125"/>
    <tableColumn id="33" xr3:uid="{30742A7E-7401-43C2-8CE2-807A9E23FF92}" name="Impact on - HR" dataDxfId="124"/>
    <tableColumn id="34" xr3:uid="{9720F071-015A-4144-A79F-CCF47A859C36}" name="Impact on - IS" dataDxfId="123"/>
    <tableColumn id="35" xr3:uid="{D07CED05-11D6-43CF-AB4C-33E1A7002751}" name="Impact on - OPS" dataDxfId="122"/>
    <tableColumn id="36" xr3:uid="{155CBC7D-20B0-4450-A6CF-884FCA2028AE}" name="Impact on - ROLL STOCK" dataDxfId="121"/>
    <tableColumn id="37" xr3:uid="{03275D0C-B16B-4BA4-8FEA-81E935BEF628}" name="Impact on - SAFETY" dataDxfId="120"/>
    <tableColumn id="56" xr3:uid="{6A0A375E-0BA7-4456-94B6-C45BBEB9B445}" name="Impact on - STATION" dataDxfId="119"/>
    <tableColumn id="51" xr3:uid="{C6D7C7E5-0297-489F-B993-30A3DAE31F69}" name="Impact on - STRAT" dataDxfId="118"/>
    <tableColumn id="48" xr3:uid="{A5E4FEC5-F2CC-41C9-8509-57C04833D58A}" name="CHANGE Impact Score" dataDxfId="117">
      <calculatedColumnFormula array="1">SUM(
_xlfn.XLOOKUP(InputTable[[#This Row],[Impact on - CIAL]:[Impact on - STRAT]],'System List'!$F$4:$F$7,'System List'!$H$4:$H$7,0))</calculatedColumnFormula>
    </tableColumn>
    <tableColumn id="52" xr3:uid="{F383AD9A-A034-40BC-B122-29E981D39D06}" name="EFFORT SCORE" dataDxfId="116">
      <calculatedColumnFormula>VLOOKUP(InputTable[[#This Row],[Duration]],Duration,2,FALSE)+InputTable[[#This Row],[Resource Score]]</calculatedColumnFormula>
    </tableColumn>
    <tableColumn id="49" xr3:uid="{BBCE6505-FFF7-4EB5-8E9B-5C6BD5449017}" name="Overall Effort Score" dataDxfId="115">
      <calculatedColumnFormula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calculatedColumnFormula>
    </tableColumn>
    <tableColumn id="50" xr3:uid="{CB8FC253-AE7D-472C-9C13-2023A505381E}" name="Ratio - Benefit / Effort" dataDxfId="114">
      <calculatedColumnFormula>InputTable[[#This Row],[Value Score]]/InputTable[[#This Row],[EFFORT SCORE]]*100</calculatedColumnFormula>
    </tableColumn>
    <tableColumn id="55" xr3:uid="{458DB07A-62B0-4DB8-8157-082FF63F171D}" name="Project ID" dataDxfId="113"/>
    <tableColumn id="63" xr3:uid="{2B183AEE-C504-4082-8699-B22D18E2485A}" name="Name of IS owner" dataDxfId="112"/>
    <tableColumn id="60" xr3:uid="{D4649232-1B12-4592-BDB5-F40A2FA5EA03}" name="OK comBoard" dataDxfId="111"/>
    <tableColumn id="38" xr3:uid="{30BAA513-F2AC-4880-89C2-E252867131C5}" name="ORACLE/NAV/Fin project code" dataDxfId="110"/>
    <tableColumn id="64" xr3:uid="{57B0BBAF-D585-4D32-B58C-4857173874CF}" name="Opex IS Budget (full project)" dataDxfId="109"/>
    <tableColumn id="53" xr3:uid="{EF06DC40-02F4-4E26-B963-2C12160B6D72}" name="Capex IS Budget (full project)" dataDxfId="108"/>
    <tableColumn id="39" xr3:uid="{F2B730AB-FB8D-4A0A-8525-30D14FB6AF76}" name="mainly OPEX or CAPEX" dataDxfId="107"/>
    <tableColumn id="61" xr3:uid="{9ADCA2BA-6E65-4EB8-8AA3-501235051B60}" name="Total IS Budget (full project)" dataDxfId="106"/>
    <tableColumn id="24" xr3:uid="{B8AC5CD0-063F-4CE8-9BB6-93CC17230E00}" name="Nb IS Employees implicated" dataDxfId="105"/>
    <tableColumn id="25" xr3:uid="{44A8A57A-1D46-4C2B-ACFD-67C120507380}" name="Nb IS Contractors implicated" dataDxfId="10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New Eurostar">
  <a:themeElements>
    <a:clrScheme name="Eurostar 2023">
      <a:dk1>
        <a:srgbClr val="002869"/>
      </a:dk1>
      <a:lt1>
        <a:srgbClr val="FFFFFF"/>
      </a:lt1>
      <a:dk2>
        <a:srgbClr val="106DFF"/>
      </a:dk2>
      <a:lt2>
        <a:srgbClr val="FFFFFF"/>
      </a:lt2>
      <a:accent1>
        <a:srgbClr val="106DFF"/>
      </a:accent1>
      <a:accent2>
        <a:srgbClr val="7C0552"/>
      </a:accent2>
      <a:accent3>
        <a:srgbClr val="086263"/>
      </a:accent3>
      <a:accent4>
        <a:srgbClr val="00CC78"/>
      </a:accent4>
      <a:accent5>
        <a:srgbClr val="FFC305"/>
      </a:accent5>
      <a:accent6>
        <a:srgbClr val="F0323A"/>
      </a:accent6>
      <a:hlink>
        <a:srgbClr val="0432FF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 algn="l">
          <a:defRPr smtClean="0">
            <a:solidFill>
              <a:schemeClr val="accent2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New Eurostar Theme" id="{473DA9E0-132A-4CBF-B9A3-BA0D989F0C54}" vid="{D9526DF5-58F5-4710-AFFF-4C3F9313AF02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1-22T11:29:33.91" personId="{7E6E8822-052F-45C7-9F01-983FFEF725E9}" id="{4F86784E-67DC-4866-9C9E-2FEFEAD352D9}">
    <text>Stopped, study ongoing to review</text>
  </threadedComment>
  <threadedComment ref="E21" dT="2025-09-03T11:47:40.66" personId="{A3767F37-6CA5-4835-B669-56E79BA3B9D6}" id="{107DC18B-E7E4-4045-AFA9-79A8923B7C2F}">
    <text>@Blanche DERKENNE No project for PIS Improvements in 2026 has been budgeted or approved</text>
    <mentions>
      <mention mentionpersonId="{14E36F3E-A64B-4075-94DB-EA56E5A123A3}" mentionId="{6D5CB307-26F7-4BF2-92C0-A023AB52A187}" startIndex="0" length="17"/>
    </mentions>
  </threadedComment>
  <threadedComment ref="B25" dT="2026-01-22T11:39:49.23" personId="{7E6E8822-052F-45C7-9F01-983FFEF725E9}" id="{12EB2283-820E-40CA-86C0-4D99BA3B5D3A}">
    <text xml:space="preserve">New business cases ? Remove line
</text>
  </threadedComment>
  <threadedComment ref="B35" dT="2026-01-22T11:42:40.40" personId="{7E6E8822-052F-45C7-9F01-983FFEF725E9}" id="{256A404D-36F9-4241-9A16-7AFE9E3AA7E4}">
    <text xml:space="preserve">Make it a proper project is the plan
</text>
  </threadedComment>
  <threadedComment ref="I83" dT="2025-04-11T15:45:10.54" personId="{3BA489A7-4A22-4A36-8398-B3CB5B06AD4C}" id="{09780494-4A1B-40E9-9193-D340725346A2}">
    <text>@Adam BUCKLEY-JONES  is the Belt Turnaround project complete ? (if yes, please update status, if not, please update Delivery Date 😉)</text>
    <mentions>
      <mention mentionpersonId="{BB2DBA40-4FFA-4E4E-AAED-14E77C72C144}" mentionId="{2DD49ABB-DED3-4124-894C-22F8B59335A4}" startIndex="0" length="19"/>
    </mentions>
  </threadedComment>
  <threadedComment ref="I83" dT="2025-04-15T12:09:49.49" personId="{E9ECAB90-ADC4-411F-9C92-1565CD995F63}" id="{3E776E28-FCCF-4FCF-871B-CDD9C454AAC8}" parentId="{09780494-4A1B-40E9-9193-D340725346A2}">
    <text xml:space="preserve">yes it is due to finish this week or next week at the latest, I will update the status when it completed :)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9/04/relationships/documenttask" Target="../documenttasks/documenttask1.xml"/><Relationship Id="rId3" Type="http://schemas.openxmlformats.org/officeDocument/2006/relationships/drawing" Target="../drawings/drawing2.xml"/><Relationship Id="rId7" Type="http://schemas.microsoft.com/office/2017/10/relationships/threadedComment" Target="../threadedComments/threadedComment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powerbi.com/links/e670vwvznX?ctid=34dc47b4-7068-4e4c-9fd0-df28979f3c6b&amp;pbi_source=linkShare&amp;bookmarkGuid=e9662ec6-b055-49e5-95c8-dbe93f654861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1.vml"/><Relationship Id="rId9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FF97-7DBC-4160-BCF2-AD4ACECC2EAF}">
  <sheetPr codeName="Sheet1">
    <tabColor theme="5"/>
  </sheetPr>
  <dimension ref="A1:C13"/>
  <sheetViews>
    <sheetView topLeftCell="A4" zoomScale="85" zoomScaleNormal="85" workbookViewId="0">
      <selection activeCell="B9" sqref="B9"/>
    </sheetView>
  </sheetViews>
  <sheetFormatPr defaultColWidth="9" defaultRowHeight="13.8" x14ac:dyDescent="0.25"/>
  <cols>
    <col min="1" max="1" width="24" bestFit="1" customWidth="1"/>
    <col min="2" max="2" width="94.59765625" customWidth="1"/>
    <col min="3" max="3" width="8.59765625" customWidth="1"/>
  </cols>
  <sheetData>
    <row r="1" spans="1:3" ht="14.1" customHeight="1" x14ac:dyDescent="0.25">
      <c r="A1" s="221" t="s">
        <v>0</v>
      </c>
      <c r="B1" s="221"/>
    </row>
    <row r="2" spans="1:3" ht="14.1" customHeight="1" x14ac:dyDescent="0.25">
      <c r="A2" s="221"/>
      <c r="B2" s="221"/>
    </row>
    <row r="3" spans="1:3" ht="14.1" customHeight="1" x14ac:dyDescent="0.25">
      <c r="A3" s="221"/>
      <c r="B3" s="221"/>
    </row>
    <row r="4" spans="1:3" ht="14.1" customHeight="1" x14ac:dyDescent="0.25">
      <c r="A4" s="221"/>
      <c r="B4" s="221"/>
    </row>
    <row r="5" spans="1:3" ht="14.1" customHeight="1" x14ac:dyDescent="0.25">
      <c r="A5" s="221"/>
      <c r="B5" s="221"/>
    </row>
    <row r="6" spans="1:3" ht="23.25" customHeight="1" x14ac:dyDescent="0.25">
      <c r="A6" s="222" t="s">
        <v>1</v>
      </c>
      <c r="B6" s="222"/>
      <c r="C6" s="91" t="s">
        <v>2</v>
      </c>
    </row>
    <row r="8" spans="1:3" ht="21.6" customHeight="1" x14ac:dyDescent="0.25">
      <c r="A8" s="86" t="s">
        <v>3</v>
      </c>
      <c r="B8" s="87" t="s">
        <v>4</v>
      </c>
    </row>
    <row r="9" spans="1:3" ht="302.25" customHeight="1" x14ac:dyDescent="0.25">
      <c r="A9" s="20" t="s">
        <v>5</v>
      </c>
      <c r="B9" s="90" t="s">
        <v>6</v>
      </c>
    </row>
    <row r="10" spans="1:3" ht="40.35" customHeight="1" x14ac:dyDescent="0.25">
      <c r="A10" s="4" t="s">
        <v>7</v>
      </c>
      <c r="B10" s="85" t="s">
        <v>8</v>
      </c>
    </row>
    <row r="11" spans="1:3" ht="47.1" customHeight="1" x14ac:dyDescent="0.25">
      <c r="A11" s="4" t="s">
        <v>9</v>
      </c>
      <c r="B11" s="85" t="s">
        <v>10</v>
      </c>
    </row>
    <row r="12" spans="1:3" ht="44.1" customHeight="1" x14ac:dyDescent="0.25">
      <c r="A12" s="4" t="s">
        <v>11</v>
      </c>
      <c r="B12" s="85" t="s">
        <v>12</v>
      </c>
    </row>
    <row r="13" spans="1:3" ht="45.6" customHeight="1" x14ac:dyDescent="0.25">
      <c r="A13" s="4" t="s">
        <v>13</v>
      </c>
      <c r="B13" s="85" t="s">
        <v>14</v>
      </c>
    </row>
  </sheetData>
  <sheetProtection algorithmName="SHA-512" hashValue="bbYLjcBt/bXpB/uUzEOMv7qPpmxUUyYNb4N+jsK6J1T2TxzjBfZ6BagXFcn5tYeRD0q1B0byfTKU0O7r6OKDgA==" saltValue="ZSguLnccB1mpi8cn1zMMGA==" spinCount="100000" sheet="1" objects="1" scenarios="1"/>
  <mergeCells count="2">
    <mergeCell ref="A1:B5"/>
    <mergeCell ref="A6:B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CA9E-00D0-4B8F-A949-9A5B739C6E62}">
  <sheetPr codeName="Sheet2">
    <tabColor theme="8" tint="0.59999389629810485"/>
  </sheetPr>
  <dimension ref="B1:U26"/>
  <sheetViews>
    <sheetView zoomScale="88" zoomScaleNormal="88" workbookViewId="0">
      <selection activeCell="E6" sqref="E6"/>
    </sheetView>
  </sheetViews>
  <sheetFormatPr defaultColWidth="9" defaultRowHeight="13.8" x14ac:dyDescent="0.25"/>
  <cols>
    <col min="1" max="1" width="4" customWidth="1"/>
    <col min="12" max="12" width="20.5" customWidth="1"/>
    <col min="13" max="13" width="18.09765625" customWidth="1"/>
    <col min="18" max="18" width="6.09765625" customWidth="1"/>
    <col min="20" max="20" width="4" customWidth="1"/>
  </cols>
  <sheetData>
    <row r="1" spans="2:21" x14ac:dyDescent="0.25">
      <c r="B1" s="223" t="s">
        <v>15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2:21" ht="39.6" customHeight="1" x14ac:dyDescent="0.25"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2:21" ht="14.4" thickBot="1" x14ac:dyDescent="0.3"/>
    <row r="4" spans="2:21" ht="21" x14ac:dyDescent="0.4">
      <c r="B4" s="225"/>
      <c r="C4" s="227" t="s">
        <v>16</v>
      </c>
      <c r="D4" s="227"/>
      <c r="E4" s="227"/>
      <c r="F4" s="227"/>
      <c r="G4" s="227"/>
      <c r="H4" s="227"/>
      <c r="I4" s="227"/>
      <c r="J4" s="227"/>
      <c r="K4" s="227"/>
      <c r="L4" s="227"/>
      <c r="M4" s="73"/>
      <c r="N4" s="73"/>
      <c r="O4" s="73"/>
    </row>
    <row r="5" spans="2:21" ht="75.599999999999994" customHeight="1" thickBot="1" x14ac:dyDescent="0.3">
      <c r="B5" s="226"/>
      <c r="C5" s="228" t="s">
        <v>17</v>
      </c>
      <c r="D5" s="228"/>
      <c r="E5" s="228"/>
      <c r="F5" s="228"/>
      <c r="G5" s="228"/>
      <c r="H5" s="228"/>
      <c r="I5" s="228"/>
      <c r="J5" s="228"/>
      <c r="K5" s="228"/>
      <c r="L5" s="228"/>
      <c r="R5" s="74"/>
      <c r="S5" s="74"/>
      <c r="T5" s="74"/>
      <c r="U5" s="74"/>
    </row>
    <row r="7" spans="2:21" ht="14.4" thickBot="1" x14ac:dyDescent="0.3"/>
    <row r="8" spans="2:21" ht="21" x14ac:dyDescent="0.4">
      <c r="B8" s="225"/>
      <c r="C8" s="227" t="s">
        <v>18</v>
      </c>
      <c r="D8" s="227"/>
      <c r="E8" s="227"/>
      <c r="F8" s="227"/>
      <c r="G8" s="227"/>
      <c r="H8" s="227"/>
      <c r="I8" s="227"/>
      <c r="J8" s="227"/>
      <c r="K8" s="227"/>
      <c r="L8" s="227"/>
    </row>
    <row r="9" spans="2:21" ht="36.6" customHeight="1" thickBot="1" x14ac:dyDescent="0.3">
      <c r="B9" s="226"/>
      <c r="C9" s="229" t="s">
        <v>19</v>
      </c>
      <c r="D9" s="229"/>
      <c r="E9" s="229"/>
      <c r="F9" s="229"/>
      <c r="G9" s="229"/>
      <c r="H9" s="229"/>
      <c r="I9" s="229"/>
      <c r="J9" s="229"/>
      <c r="K9" s="229"/>
      <c r="L9" s="229"/>
    </row>
    <row r="11" spans="2:21" ht="14.4" thickBot="1" x14ac:dyDescent="0.3"/>
    <row r="12" spans="2:21" ht="21" x14ac:dyDescent="0.4">
      <c r="B12" s="225"/>
      <c r="C12" s="227" t="s">
        <v>20</v>
      </c>
      <c r="D12" s="227"/>
      <c r="E12" s="227"/>
      <c r="F12" s="227"/>
      <c r="G12" s="227"/>
      <c r="H12" s="227"/>
      <c r="I12" s="227"/>
      <c r="J12" s="227"/>
      <c r="K12" s="227"/>
      <c r="L12" s="227"/>
    </row>
    <row r="13" spans="2:21" ht="38.85" customHeight="1" thickBot="1" x14ac:dyDescent="0.3">
      <c r="B13" s="226"/>
      <c r="C13" s="229" t="s">
        <v>21</v>
      </c>
      <c r="D13" s="229"/>
      <c r="E13" s="229"/>
      <c r="F13" s="229"/>
      <c r="G13" s="229"/>
      <c r="H13" s="229"/>
      <c r="I13" s="229"/>
      <c r="J13" s="229"/>
      <c r="K13" s="229"/>
      <c r="L13" s="229"/>
    </row>
    <row r="15" spans="2:21" ht="14.4" thickBot="1" x14ac:dyDescent="0.3"/>
    <row r="16" spans="2:21" ht="21" x14ac:dyDescent="0.4">
      <c r="B16" s="225"/>
      <c r="C16" s="227" t="s">
        <v>22</v>
      </c>
      <c r="D16" s="227"/>
      <c r="E16" s="227"/>
      <c r="F16" s="227"/>
      <c r="G16" s="227"/>
      <c r="H16" s="227"/>
      <c r="I16" s="227"/>
      <c r="J16" s="227"/>
      <c r="K16" s="227"/>
      <c r="L16" s="227"/>
    </row>
    <row r="17" spans="2:17" s="75" customFormat="1" ht="44.1" customHeight="1" thickBot="1" x14ac:dyDescent="0.3">
      <c r="B17" s="226"/>
      <c r="C17" s="228" t="s">
        <v>23</v>
      </c>
      <c r="D17" s="228"/>
      <c r="E17" s="228"/>
      <c r="F17" s="228"/>
      <c r="G17" s="228"/>
      <c r="H17" s="228"/>
      <c r="I17" s="228"/>
      <c r="J17" s="228"/>
      <c r="K17" s="228"/>
      <c r="L17" s="228"/>
      <c r="M17"/>
      <c r="N17"/>
      <c r="O17"/>
      <c r="P17"/>
      <c r="Q17"/>
    </row>
    <row r="19" spans="2:17" ht="14.4" thickBot="1" x14ac:dyDescent="0.3"/>
    <row r="20" spans="2:17" ht="21" x14ac:dyDescent="0.4">
      <c r="B20" s="225"/>
      <c r="C20" s="227" t="s">
        <v>24</v>
      </c>
      <c r="D20" s="227"/>
      <c r="E20" s="227"/>
      <c r="F20" s="227"/>
      <c r="G20" s="227"/>
      <c r="H20" s="227"/>
      <c r="I20" s="227"/>
      <c r="J20" s="227"/>
      <c r="K20" s="227"/>
      <c r="L20" s="227"/>
    </row>
    <row r="21" spans="2:17" ht="44.1" customHeight="1" thickBot="1" x14ac:dyDescent="0.3">
      <c r="B21" s="226"/>
      <c r="C21" s="228" t="s">
        <v>25</v>
      </c>
      <c r="D21" s="228"/>
      <c r="E21" s="228"/>
      <c r="F21" s="228"/>
      <c r="G21" s="228"/>
      <c r="H21" s="228"/>
      <c r="I21" s="228"/>
      <c r="J21" s="228"/>
      <c r="K21" s="228"/>
      <c r="L21" s="228"/>
    </row>
    <row r="26" spans="2:17" x14ac:dyDescent="0.25">
      <c r="C26" s="8"/>
    </row>
  </sheetData>
  <sheetProtection algorithmName="SHA-512" hashValue="gzVxTIXyfPAPUGO99GZviDqodXDBlI0/jB+PPNyI0DZkSEdOPOnBrWb1Z27VgnhuEQg58KQDm6U87X8j/jDKmQ==" saltValue="QcTdb4qwOoh2NrhPm2razw==" spinCount="100000" sheet="1" objects="1" scenarios="1"/>
  <mergeCells count="16">
    <mergeCell ref="B20:B21"/>
    <mergeCell ref="C20:L20"/>
    <mergeCell ref="C21:L21"/>
    <mergeCell ref="B12:B13"/>
    <mergeCell ref="C12:L12"/>
    <mergeCell ref="C13:L13"/>
    <mergeCell ref="B16:B17"/>
    <mergeCell ref="C16:L16"/>
    <mergeCell ref="C17:L17"/>
    <mergeCell ref="B1:L2"/>
    <mergeCell ref="B4:B5"/>
    <mergeCell ref="C4:L4"/>
    <mergeCell ref="C5:L5"/>
    <mergeCell ref="B8:B9"/>
    <mergeCell ref="C8:L8"/>
    <mergeCell ref="C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7595-1C6C-4561-8EA7-8707912D47E6}">
  <sheetPr codeName="Sheet3">
    <tabColor theme="8"/>
  </sheetPr>
  <dimension ref="A1:KI234"/>
  <sheetViews>
    <sheetView tabSelected="1" zoomScale="60" zoomScaleNormal="60" workbookViewId="0">
      <pane xSplit="5" ySplit="2" topLeftCell="F48" activePane="bottomRight" state="frozen"/>
      <selection pane="topRight" activeCell="F1" sqref="F1"/>
      <selection pane="bottomLeft" activeCell="B3" sqref="B3"/>
      <selection pane="bottomRight" activeCell="E111" sqref="E111"/>
    </sheetView>
  </sheetViews>
  <sheetFormatPr defaultColWidth="9" defaultRowHeight="14.25" customHeight="1" outlineLevelRow="1" outlineLevelCol="1" x14ac:dyDescent="0.3"/>
  <cols>
    <col min="1" max="1" width="45.09765625" style="175" hidden="1" customWidth="1" outlineLevel="1"/>
    <col min="2" max="2" width="12.59765625" customWidth="1" collapsed="1"/>
    <col min="3" max="3" width="16.09765625" customWidth="1"/>
    <col min="4" max="4" width="16.09765625" customWidth="1" outlineLevel="1"/>
    <col min="5" max="5" width="58.59765625" customWidth="1"/>
    <col min="6" max="7" width="19" customWidth="1"/>
    <col min="8" max="8" width="25.5" hidden="1" customWidth="1"/>
    <col min="9" max="9" width="17.09765625" customWidth="1"/>
    <col min="10" max="10" width="17.59765625" customWidth="1"/>
    <col min="11" max="11" width="34.09765625" hidden="1" customWidth="1" outlineLevel="1"/>
    <col min="12" max="12" width="16.09765625" hidden="1" customWidth="1" outlineLevel="1"/>
    <col min="13" max="13" width="7.09765625" customWidth="1" collapsed="1"/>
    <col min="14" max="14" width="12.09765625" customWidth="1" outlineLevel="1" collapsed="1"/>
    <col min="15" max="20" width="12.09765625" customWidth="1" outlineLevel="1"/>
    <col min="21" max="21" width="2.5" customWidth="1"/>
    <col min="22" max="22" width="9" hidden="1" customWidth="1" outlineLevel="1"/>
    <col min="23" max="23" width="7.59765625" style="137" hidden="1" customWidth="1" outlineLevel="1"/>
    <col min="24" max="31" width="14" hidden="1" customWidth="1" outlineLevel="1"/>
    <col min="32" max="32" width="2.5" customWidth="1" collapsed="1"/>
    <col min="33" max="33" width="18.59765625" hidden="1" customWidth="1" outlineLevel="1"/>
    <col min="34" max="34" width="5.09765625" style="137" hidden="1" customWidth="1" outlineLevel="1"/>
    <col min="35" max="45" width="14.09765625" hidden="1" customWidth="1" outlineLevel="1"/>
    <col min="46" max="46" width="25.5" hidden="1" customWidth="1" outlineLevel="1"/>
    <col min="47" max="48" width="11.59765625" hidden="1" customWidth="1" outlineLevel="1"/>
    <col min="49" max="49" width="20.59765625" customWidth="1" collapsed="1"/>
    <col min="50" max="50" width="27.09765625" customWidth="1"/>
    <col min="51" max="51" width="16" style="204" hidden="1" customWidth="1" outlineLevel="1"/>
    <col min="52" max="52" width="16.5" hidden="1" customWidth="1" outlineLevel="1"/>
    <col min="53" max="54" width="16.5" style="143" hidden="1" customWidth="1" outlineLevel="1"/>
    <col min="55" max="55" width="16.5" style="143" customWidth="1" collapsed="1"/>
    <col min="56" max="57" width="14.5" style="190" customWidth="1"/>
    <col min="58" max="58" width="11" style="143" customWidth="1"/>
    <col min="59" max="59" width="18.59765625" bestFit="1" customWidth="1"/>
    <col min="60" max="60" width="8.59765625" style="70"/>
    <col min="61" max="61" width="8.59765625" customWidth="1" outlineLevel="1"/>
    <col min="62" max="72" width="7.09765625" customWidth="1" outlineLevel="1"/>
    <col min="73" max="73" width="8.59765625" customWidth="1" outlineLevel="1"/>
    <col min="74" max="76" width="5.09765625" customWidth="1" outlineLevel="1"/>
    <col min="77" max="77" width="7.59765625" customWidth="1" outlineLevel="1"/>
    <col min="78" max="81" width="5.09765625" customWidth="1" outlineLevel="1"/>
    <col min="82" max="82" width="8.59765625" customWidth="1" outlineLevel="1"/>
    <col min="83" max="91" width="5.09765625" customWidth="1" outlineLevel="1"/>
    <col min="92" max="93" width="8.59765625" customWidth="1" outlineLevel="1"/>
    <col min="94" max="99" width="4.09765625" customWidth="1" outlineLevel="1"/>
    <col min="100" max="100" width="7.09765625" customWidth="1" outlineLevel="1"/>
    <col min="101" max="101" width="5.69921875" customWidth="1" outlineLevel="1"/>
    <col min="102" max="102" width="7.796875" customWidth="1" outlineLevel="1"/>
    <col min="103" max="103" width="8.59765625" customWidth="1" outlineLevel="1"/>
    <col min="104" max="112" width="8.09765625" customWidth="1" outlineLevel="1"/>
    <col min="113" max="151" width="4" customWidth="1" outlineLevel="1"/>
    <col min="152" max="152" width="9.59765625" customWidth="1" outlineLevel="1"/>
    <col min="153" max="153" width="8.796875" customWidth="1" outlineLevel="1"/>
    <col min="154" max="154" width="9.09765625" customWidth="1" outlineLevel="1"/>
    <col min="155" max="155" width="9.59765625" customWidth="1" outlineLevel="1"/>
    <col min="156" max="156" width="7.796875" customWidth="1" outlineLevel="1"/>
    <col min="157" max="157" width="8.09765625" customWidth="1" outlineLevel="1"/>
    <col min="158" max="158" width="7.19921875" customWidth="1" outlineLevel="1"/>
    <col min="159" max="159" width="8.296875" customWidth="1" outlineLevel="1"/>
    <col min="160" max="160" width="8.5" customWidth="1" outlineLevel="1"/>
    <col min="161" max="183" width="4" customWidth="1" outlineLevel="1"/>
    <col min="184" max="185" width="8.59765625" customWidth="1" outlineLevel="1"/>
    <col min="186" max="215" width="3.5" customWidth="1" outlineLevel="1"/>
    <col min="216" max="224" width="5.09765625" customWidth="1" outlineLevel="1"/>
    <col min="225" max="295" width="3.5" customWidth="1" outlineLevel="1"/>
    <col min="296" max="296" width="8.59765625"/>
  </cols>
  <sheetData>
    <row r="1" spans="1:292" ht="86.85" customHeight="1" x14ac:dyDescent="0.4">
      <c r="A1" s="84"/>
      <c r="B1" s="240" t="s">
        <v>26</v>
      </c>
      <c r="C1" s="241"/>
      <c r="D1" s="241"/>
      <c r="E1" s="241"/>
      <c r="F1" s="84"/>
      <c r="G1" s="231" t="s">
        <v>27</v>
      </c>
      <c r="H1" s="232"/>
      <c r="I1" s="233"/>
      <c r="J1" s="174"/>
      <c r="K1" s="175"/>
      <c r="L1" s="175"/>
      <c r="M1" s="174"/>
      <c r="N1" s="237" t="s">
        <v>28</v>
      </c>
      <c r="O1" s="237"/>
      <c r="P1" s="237"/>
      <c r="Q1" s="237"/>
      <c r="R1" s="237"/>
      <c r="S1" s="237"/>
      <c r="T1" s="237"/>
      <c r="U1" s="176"/>
      <c r="V1" s="235" t="s">
        <v>29</v>
      </c>
      <c r="W1" s="235"/>
      <c r="X1" s="235"/>
      <c r="Y1" s="235"/>
      <c r="Z1" s="235"/>
      <c r="AA1" s="235"/>
      <c r="AB1" s="235"/>
      <c r="AC1" s="235"/>
      <c r="AD1" s="235"/>
      <c r="AE1" s="235"/>
      <c r="AF1" s="139"/>
      <c r="AG1" s="236" t="s">
        <v>30</v>
      </c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146" t="s">
        <v>31</v>
      </c>
      <c r="AX1" s="143"/>
      <c r="AZ1" s="186">
        <v>1.1364000000000001</v>
      </c>
      <c r="BA1" s="186">
        <v>1.1364000000000001</v>
      </c>
      <c r="BB1" s="186"/>
      <c r="BC1" s="186">
        <v>1.1364000000000001</v>
      </c>
      <c r="BD1" s="2"/>
      <c r="BE1" s="2"/>
      <c r="BF1" s="238" t="s">
        <v>32</v>
      </c>
      <c r="BH1" s="234" t="s">
        <v>33</v>
      </c>
      <c r="BI1" s="234"/>
      <c r="BJ1" s="234"/>
      <c r="BK1" s="234"/>
      <c r="BL1" s="234"/>
      <c r="BM1" s="234"/>
      <c r="BN1" s="234"/>
      <c r="BO1" s="234"/>
      <c r="BP1" s="234"/>
      <c r="BQ1" s="234"/>
      <c r="BR1" s="234"/>
      <c r="BT1" s="234" t="s">
        <v>34</v>
      </c>
      <c r="BU1" s="234"/>
      <c r="BV1" s="234"/>
      <c r="BW1" s="234"/>
      <c r="BX1" s="234"/>
      <c r="BY1" s="234"/>
      <c r="BZ1" s="234"/>
      <c r="CA1" s="234"/>
      <c r="CX1" s="76" t="str">
        <f>'System List'!$AB$5</f>
        <v>CORPHRFIN</v>
      </c>
      <c r="CY1" s="76" t="str">
        <f>'System List'!$AB$5</f>
        <v>CORPHRFIN</v>
      </c>
      <c r="CZ1" s="76" t="str">
        <f>'System List'!$AB$5</f>
        <v>CORPHRFIN</v>
      </c>
      <c r="DA1" s="76" t="str">
        <f>'System List'!$AB$5</f>
        <v>CORPHRFIN</v>
      </c>
      <c r="DB1" s="76" t="str">
        <f>'System List'!$AB$5</f>
        <v>CORPHRFIN</v>
      </c>
      <c r="DC1" s="76" t="str">
        <f>'System List'!$AB$5</f>
        <v>CORPHRFIN</v>
      </c>
      <c r="DD1" s="76" t="str">
        <f>'System List'!$AB$5</f>
        <v>CORPHRFIN</v>
      </c>
      <c r="DE1" s="76" t="str">
        <f>'System List'!$AB$5</f>
        <v>CORPHRFIN</v>
      </c>
      <c r="DF1" s="76" t="str">
        <f>'System List'!$AB$5</f>
        <v>CORPHRFIN</v>
      </c>
      <c r="DH1" s="71" t="str">
        <f>'System List'!$AB$6</f>
        <v>CUST</v>
      </c>
      <c r="DI1" s="71" t="str">
        <f>'System List'!$AB$6</f>
        <v>CUST</v>
      </c>
      <c r="DJ1" s="71" t="str">
        <f>'System List'!$AB$6</f>
        <v>CUST</v>
      </c>
      <c r="DK1" s="71" t="str">
        <f>'System List'!$AB$6</f>
        <v>CUST</v>
      </c>
      <c r="DL1" s="71" t="str">
        <f>'System List'!$AB$6</f>
        <v>CUST</v>
      </c>
      <c r="DM1" s="71" t="str">
        <f>'System List'!$AB$6</f>
        <v>CUST</v>
      </c>
      <c r="DN1" s="71" t="str">
        <f>'System List'!$AB$6</f>
        <v>CUST</v>
      </c>
      <c r="DO1" s="71" t="str">
        <f>'System List'!$AB$6</f>
        <v>CUST</v>
      </c>
      <c r="DP1" s="71" t="str">
        <f>'System List'!$AB$6</f>
        <v>CUST</v>
      </c>
      <c r="DR1" s="71" t="str">
        <f>'System List'!$AB$7</f>
        <v>CYBER</v>
      </c>
      <c r="DS1" s="71" t="str">
        <f>'System List'!$AB$7</f>
        <v>CYBER</v>
      </c>
      <c r="DT1" s="71" t="str">
        <f>'System List'!$AB$7</f>
        <v>CYBER</v>
      </c>
      <c r="DU1" s="71" t="str">
        <f>'System List'!$AB$7</f>
        <v>CYBER</v>
      </c>
      <c r="DV1" s="71" t="str">
        <f>'System List'!$AB$7</f>
        <v>CYBER</v>
      </c>
      <c r="DW1" s="71" t="str">
        <f>'System List'!$AB$7</f>
        <v>CYBER</v>
      </c>
      <c r="DX1" s="71" t="str">
        <f>'System List'!$AB$7</f>
        <v>CYBER</v>
      </c>
      <c r="DY1" s="71" t="str">
        <f>'System List'!$AB$7</f>
        <v>CYBER</v>
      </c>
      <c r="DZ1" s="71" t="str">
        <f>'System List'!$AB$7</f>
        <v>CYBER</v>
      </c>
      <c r="EB1" s="71" t="str">
        <f>'System List'!$AB$8</f>
        <v>DATA</v>
      </c>
      <c r="EC1" s="71" t="str">
        <f>'System List'!$AB$8</f>
        <v>DATA</v>
      </c>
      <c r="ED1" s="71" t="str">
        <f>'System List'!$AB$8</f>
        <v>DATA</v>
      </c>
      <c r="EE1" s="71" t="str">
        <f>'System List'!$AB$8</f>
        <v>DATA</v>
      </c>
      <c r="EF1" s="71" t="str">
        <f>'System List'!$AB$8</f>
        <v>DATA</v>
      </c>
      <c r="EG1" s="71" t="str">
        <f>'System List'!$AB$8</f>
        <v>DATA</v>
      </c>
      <c r="EH1" s="71" t="str">
        <f>'System List'!$AB$8</f>
        <v>DATA</v>
      </c>
      <c r="EI1" s="71" t="str">
        <f>'System List'!$AB$8</f>
        <v>DATA</v>
      </c>
      <c r="EJ1" s="71" t="str">
        <f>'System List'!$AB$8</f>
        <v>DATA</v>
      </c>
      <c r="EL1" s="71" t="str">
        <f>'System List'!$AB$10</f>
        <v>INFRA</v>
      </c>
      <c r="EM1" s="71" t="str">
        <f>'System List'!$AB$10</f>
        <v>INFRA</v>
      </c>
      <c r="EN1" s="71" t="str">
        <f>'System List'!$AB$10</f>
        <v>INFRA</v>
      </c>
      <c r="EO1" s="71" t="str">
        <f>'System List'!$AB$10</f>
        <v>INFRA</v>
      </c>
      <c r="EP1" s="71" t="str">
        <f>'System List'!$AB$10</f>
        <v>INFRA</v>
      </c>
      <c r="EQ1" s="71" t="str">
        <f>'System List'!$AB$10</f>
        <v>INFRA</v>
      </c>
      <c r="ER1" s="71" t="str">
        <f>'System List'!$AB$10</f>
        <v>INFRA</v>
      </c>
      <c r="ES1" s="71" t="str">
        <f>'System List'!$AB$10</f>
        <v>INFRA</v>
      </c>
      <c r="ET1" s="71" t="str">
        <f>'System List'!$AB$10</f>
        <v>INFRA</v>
      </c>
      <c r="EV1" s="71" t="str">
        <f>'System List'!$AB$11</f>
        <v>OPERATIONS</v>
      </c>
      <c r="EW1" s="71" t="str">
        <f>'System List'!$AB$11</f>
        <v>OPERATIONS</v>
      </c>
      <c r="EX1" s="71" t="str">
        <f>'System List'!$AB$11</f>
        <v>OPERATIONS</v>
      </c>
      <c r="EY1" s="71" t="str">
        <f>'System List'!$AB$11</f>
        <v>OPERATIONS</v>
      </c>
      <c r="EZ1" s="71" t="str">
        <f>'System List'!$AB$11</f>
        <v>OPERATIONS</v>
      </c>
      <c r="FA1" s="71" t="str">
        <f>'System List'!$AB$11</f>
        <v>OPERATIONS</v>
      </c>
      <c r="FB1" s="71" t="str">
        <f>'System List'!$AB$11</f>
        <v>OPERATIONS</v>
      </c>
      <c r="FC1" s="71" t="str">
        <f>'System List'!$AB$11</f>
        <v>OPERATIONS</v>
      </c>
      <c r="FD1" s="71" t="str">
        <f>'System List'!$AB$11</f>
        <v>OPERATIONS</v>
      </c>
      <c r="FF1" s="71" t="str">
        <f>'System List'!$AB$12</f>
        <v>PMO</v>
      </c>
      <c r="FG1" s="71" t="str">
        <f>'System List'!$AB$12</f>
        <v>PMO</v>
      </c>
      <c r="FH1" s="71" t="str">
        <f>'System List'!$AB$12</f>
        <v>PMO</v>
      </c>
      <c r="FI1" s="71" t="str">
        <f>'System List'!$AB$12</f>
        <v>PMO</v>
      </c>
      <c r="FJ1" s="71" t="str">
        <f>'System List'!$AB$12</f>
        <v>PMO</v>
      </c>
      <c r="FK1" s="71" t="str">
        <f>'System List'!$AB$12</f>
        <v>PMO</v>
      </c>
      <c r="FL1" s="71" t="str">
        <f>'System List'!$AB$12</f>
        <v>PMO</v>
      </c>
      <c r="FM1" s="71" t="str">
        <f>'System List'!$AB$12</f>
        <v>PMO</v>
      </c>
      <c r="FN1" s="71" t="str">
        <f>'System List'!$AB$12</f>
        <v>PMO</v>
      </c>
      <c r="FP1" s="71" t="e">
        <f>'System List'!#REF!</f>
        <v>#REF!</v>
      </c>
      <c r="FQ1" s="71" t="e">
        <f>'System List'!#REF!</f>
        <v>#REF!</v>
      </c>
      <c r="FR1" s="71" t="e">
        <f>'System List'!#REF!</f>
        <v>#REF!</v>
      </c>
      <c r="FS1" s="71" t="e">
        <f>'System List'!#REF!</f>
        <v>#REF!</v>
      </c>
      <c r="FT1" s="71" t="e">
        <f>'System List'!#REF!</f>
        <v>#REF!</v>
      </c>
      <c r="FU1" s="71" t="e">
        <f>'System List'!#REF!</f>
        <v>#REF!</v>
      </c>
      <c r="FV1" s="71" t="e">
        <f>'System List'!#REF!</f>
        <v>#REF!</v>
      </c>
      <c r="FW1" s="71" t="e">
        <f>'System List'!#REF!</f>
        <v>#REF!</v>
      </c>
      <c r="FX1" s="71" t="e">
        <f>'System List'!#REF!</f>
        <v>#REF!</v>
      </c>
      <c r="GB1" s="71" t="str">
        <f>BH2</f>
        <v>Impact on - CIAL</v>
      </c>
      <c r="GC1" s="71" t="str">
        <f>GB1</f>
        <v>Impact on - CIAL</v>
      </c>
      <c r="GD1" s="71" t="str">
        <f t="shared" ref="GD1:GJ1" si="0">GC1</f>
        <v>Impact on - CIAL</v>
      </c>
      <c r="GE1" s="71" t="str">
        <f t="shared" si="0"/>
        <v>Impact on - CIAL</v>
      </c>
      <c r="GF1" s="71" t="str">
        <f t="shared" si="0"/>
        <v>Impact on - CIAL</v>
      </c>
      <c r="GG1" s="71" t="str">
        <f t="shared" si="0"/>
        <v>Impact on - CIAL</v>
      </c>
      <c r="GH1" s="71" t="str">
        <f t="shared" si="0"/>
        <v>Impact on - CIAL</v>
      </c>
      <c r="GI1" s="71" t="str">
        <f t="shared" si="0"/>
        <v>Impact on - CIAL</v>
      </c>
      <c r="GJ1" s="71" t="str">
        <f t="shared" si="0"/>
        <v>Impact on - CIAL</v>
      </c>
      <c r="GL1" s="71" t="str">
        <f>BI2</f>
        <v>Impact on - COM</v>
      </c>
      <c r="GM1" s="71" t="str">
        <f t="shared" ref="GM1:GT1" si="1">GL1</f>
        <v>Impact on - COM</v>
      </c>
      <c r="GN1" s="71" t="str">
        <f t="shared" si="1"/>
        <v>Impact on - COM</v>
      </c>
      <c r="GO1" s="71" t="str">
        <f t="shared" si="1"/>
        <v>Impact on - COM</v>
      </c>
      <c r="GP1" s="71" t="str">
        <f t="shared" si="1"/>
        <v>Impact on - COM</v>
      </c>
      <c r="GQ1" s="71" t="str">
        <f t="shared" si="1"/>
        <v>Impact on - COM</v>
      </c>
      <c r="GR1" s="71" t="str">
        <f t="shared" si="1"/>
        <v>Impact on - COM</v>
      </c>
      <c r="GS1" s="71" t="str">
        <f t="shared" si="1"/>
        <v>Impact on - COM</v>
      </c>
      <c r="GT1" s="71" t="str">
        <f t="shared" si="1"/>
        <v>Impact on - COM</v>
      </c>
      <c r="GV1" s="71" t="str">
        <f>BJ2</f>
        <v>Impact on - FIN</v>
      </c>
      <c r="GW1" s="71" t="str">
        <f t="shared" ref="GW1:HD1" si="2">GV1</f>
        <v>Impact on - FIN</v>
      </c>
      <c r="GX1" s="71" t="str">
        <f t="shared" si="2"/>
        <v>Impact on - FIN</v>
      </c>
      <c r="GY1" s="71" t="str">
        <f t="shared" si="2"/>
        <v>Impact on - FIN</v>
      </c>
      <c r="GZ1" s="71" t="str">
        <f t="shared" si="2"/>
        <v>Impact on - FIN</v>
      </c>
      <c r="HA1" s="71" t="str">
        <f t="shared" si="2"/>
        <v>Impact on - FIN</v>
      </c>
      <c r="HB1" s="71" t="str">
        <f t="shared" si="2"/>
        <v>Impact on - FIN</v>
      </c>
      <c r="HC1" s="71" t="str">
        <f t="shared" si="2"/>
        <v>Impact on - FIN</v>
      </c>
      <c r="HD1" s="71" t="str">
        <f t="shared" si="2"/>
        <v>Impact on - FIN</v>
      </c>
      <c r="HF1" s="71" t="str">
        <f>BK2</f>
        <v>Impact on - GEN SEC</v>
      </c>
      <c r="HG1" s="71" t="str">
        <f t="shared" ref="HG1:HN1" si="3">HF1</f>
        <v>Impact on - GEN SEC</v>
      </c>
      <c r="HH1" s="71" t="str">
        <f t="shared" si="3"/>
        <v>Impact on - GEN SEC</v>
      </c>
      <c r="HI1" s="71" t="str">
        <f t="shared" si="3"/>
        <v>Impact on - GEN SEC</v>
      </c>
      <c r="HJ1" s="71" t="str">
        <f t="shared" si="3"/>
        <v>Impact on - GEN SEC</v>
      </c>
      <c r="HK1" s="71" t="str">
        <f t="shared" si="3"/>
        <v>Impact on - GEN SEC</v>
      </c>
      <c r="HL1" s="71" t="str">
        <f t="shared" si="3"/>
        <v>Impact on - GEN SEC</v>
      </c>
      <c r="HM1" s="71" t="str">
        <f t="shared" si="3"/>
        <v>Impact on - GEN SEC</v>
      </c>
      <c r="HN1" s="71" t="str">
        <f t="shared" si="3"/>
        <v>Impact on - GEN SEC</v>
      </c>
      <c r="HP1" s="71" t="str">
        <f>BL2</f>
        <v>Impact on - HR</v>
      </c>
      <c r="HQ1" s="71" t="str">
        <f t="shared" ref="HQ1:HX1" si="4">HP1</f>
        <v>Impact on - HR</v>
      </c>
      <c r="HR1" s="71" t="str">
        <f t="shared" si="4"/>
        <v>Impact on - HR</v>
      </c>
      <c r="HS1" s="71" t="str">
        <f t="shared" si="4"/>
        <v>Impact on - HR</v>
      </c>
      <c r="HT1" s="71" t="str">
        <f t="shared" si="4"/>
        <v>Impact on - HR</v>
      </c>
      <c r="HU1" s="71" t="str">
        <f t="shared" si="4"/>
        <v>Impact on - HR</v>
      </c>
      <c r="HV1" s="71" t="str">
        <f t="shared" si="4"/>
        <v>Impact on - HR</v>
      </c>
      <c r="HW1" s="71" t="str">
        <f t="shared" si="4"/>
        <v>Impact on - HR</v>
      </c>
      <c r="HX1" s="71" t="str">
        <f t="shared" si="4"/>
        <v>Impact on - HR</v>
      </c>
      <c r="HZ1" s="71" t="str">
        <f>BM2</f>
        <v>Impact on - IS</v>
      </c>
      <c r="IA1" s="71" t="str">
        <f t="shared" ref="IA1:IH1" si="5">HZ1</f>
        <v>Impact on - IS</v>
      </c>
      <c r="IB1" s="71" t="str">
        <f t="shared" si="5"/>
        <v>Impact on - IS</v>
      </c>
      <c r="IC1" s="71" t="str">
        <f t="shared" si="5"/>
        <v>Impact on - IS</v>
      </c>
      <c r="ID1" s="71" t="str">
        <f t="shared" si="5"/>
        <v>Impact on - IS</v>
      </c>
      <c r="IE1" s="71" t="str">
        <f t="shared" si="5"/>
        <v>Impact on - IS</v>
      </c>
      <c r="IF1" s="71" t="str">
        <f t="shared" si="5"/>
        <v>Impact on - IS</v>
      </c>
      <c r="IG1" s="71" t="str">
        <f t="shared" si="5"/>
        <v>Impact on - IS</v>
      </c>
      <c r="IH1" s="71" t="str">
        <f t="shared" si="5"/>
        <v>Impact on - IS</v>
      </c>
      <c r="IJ1" s="71" t="str">
        <f>BN2</f>
        <v>Impact on - OPS</v>
      </c>
      <c r="IK1" s="71" t="str">
        <f t="shared" ref="IK1:IR1" si="6">IJ1</f>
        <v>Impact on - OPS</v>
      </c>
      <c r="IL1" s="71" t="str">
        <f t="shared" si="6"/>
        <v>Impact on - OPS</v>
      </c>
      <c r="IM1" s="71" t="str">
        <f t="shared" si="6"/>
        <v>Impact on - OPS</v>
      </c>
      <c r="IN1" s="71" t="str">
        <f t="shared" si="6"/>
        <v>Impact on - OPS</v>
      </c>
      <c r="IO1" s="71" t="str">
        <f t="shared" si="6"/>
        <v>Impact on - OPS</v>
      </c>
      <c r="IP1" s="71" t="str">
        <f t="shared" si="6"/>
        <v>Impact on - OPS</v>
      </c>
      <c r="IQ1" s="71" t="str">
        <f t="shared" si="6"/>
        <v>Impact on - OPS</v>
      </c>
      <c r="IR1" s="71" t="str">
        <f t="shared" si="6"/>
        <v>Impact on - OPS</v>
      </c>
      <c r="IT1" s="71" t="str">
        <f>BO2</f>
        <v>Impact on - ROLL STOCK</v>
      </c>
      <c r="IU1" s="71" t="str">
        <f t="shared" ref="IU1:JB1" si="7">IT1</f>
        <v>Impact on - ROLL STOCK</v>
      </c>
      <c r="IV1" s="71" t="str">
        <f t="shared" si="7"/>
        <v>Impact on - ROLL STOCK</v>
      </c>
      <c r="IW1" s="71" t="str">
        <f t="shared" si="7"/>
        <v>Impact on - ROLL STOCK</v>
      </c>
      <c r="IX1" s="71" t="str">
        <f t="shared" si="7"/>
        <v>Impact on - ROLL STOCK</v>
      </c>
      <c r="IY1" s="71" t="str">
        <f t="shared" si="7"/>
        <v>Impact on - ROLL STOCK</v>
      </c>
      <c r="IZ1" s="71" t="str">
        <f t="shared" si="7"/>
        <v>Impact on - ROLL STOCK</v>
      </c>
      <c r="JA1" s="71" t="str">
        <f t="shared" si="7"/>
        <v>Impact on - ROLL STOCK</v>
      </c>
      <c r="JB1" s="71" t="str">
        <f t="shared" si="7"/>
        <v>Impact on - ROLL STOCK</v>
      </c>
      <c r="JD1" s="71" t="str">
        <f>BP2</f>
        <v>Impact on - SAFETY</v>
      </c>
      <c r="JE1" s="71" t="str">
        <f t="shared" ref="JE1:JL1" si="8">JD1</f>
        <v>Impact on - SAFETY</v>
      </c>
      <c r="JF1" s="71" t="str">
        <f t="shared" si="8"/>
        <v>Impact on - SAFETY</v>
      </c>
      <c r="JG1" s="71" t="str">
        <f t="shared" si="8"/>
        <v>Impact on - SAFETY</v>
      </c>
      <c r="JH1" s="71" t="str">
        <f t="shared" si="8"/>
        <v>Impact on - SAFETY</v>
      </c>
      <c r="JI1" s="71" t="str">
        <f t="shared" si="8"/>
        <v>Impact on - SAFETY</v>
      </c>
      <c r="JJ1" s="71" t="str">
        <f t="shared" si="8"/>
        <v>Impact on - SAFETY</v>
      </c>
      <c r="JK1" s="71" t="str">
        <f t="shared" si="8"/>
        <v>Impact on - SAFETY</v>
      </c>
      <c r="JL1" s="71" t="str">
        <f t="shared" si="8"/>
        <v>Impact on - SAFETY</v>
      </c>
      <c r="JN1" s="71" t="str">
        <f>BQ2</f>
        <v>Impact on - STATION</v>
      </c>
      <c r="JO1" s="71" t="str">
        <f t="shared" ref="JO1:JV1" si="9">JN1</f>
        <v>Impact on - STATION</v>
      </c>
      <c r="JP1" s="71" t="str">
        <f t="shared" si="9"/>
        <v>Impact on - STATION</v>
      </c>
      <c r="JQ1" s="71" t="str">
        <f t="shared" si="9"/>
        <v>Impact on - STATION</v>
      </c>
      <c r="JR1" s="71" t="str">
        <f t="shared" si="9"/>
        <v>Impact on - STATION</v>
      </c>
      <c r="JS1" s="71" t="str">
        <f t="shared" si="9"/>
        <v>Impact on - STATION</v>
      </c>
      <c r="JT1" s="71" t="str">
        <f t="shared" si="9"/>
        <v>Impact on - STATION</v>
      </c>
      <c r="JU1" s="71" t="str">
        <f t="shared" si="9"/>
        <v>Impact on - STATION</v>
      </c>
      <c r="JV1" s="71" t="str">
        <f t="shared" si="9"/>
        <v>Impact on - STATION</v>
      </c>
      <c r="JX1" s="178" t="str">
        <f>BR2</f>
        <v>Impact on - STRAT</v>
      </c>
      <c r="JY1" s="71" t="str">
        <f t="shared" ref="JY1:KF1" si="10">JX1</f>
        <v>Impact on - STRAT</v>
      </c>
      <c r="JZ1" s="71" t="str">
        <f t="shared" si="10"/>
        <v>Impact on - STRAT</v>
      </c>
      <c r="KA1" s="71" t="str">
        <f t="shared" si="10"/>
        <v>Impact on - STRAT</v>
      </c>
      <c r="KB1" s="71" t="str">
        <f t="shared" si="10"/>
        <v>Impact on - STRAT</v>
      </c>
      <c r="KC1" s="71" t="str">
        <f t="shared" si="10"/>
        <v>Impact on - STRAT</v>
      </c>
      <c r="KD1" s="71" t="str">
        <f t="shared" si="10"/>
        <v>Impact on - STRAT</v>
      </c>
      <c r="KE1" s="71" t="str">
        <f t="shared" si="10"/>
        <v>Impact on - STRAT</v>
      </c>
      <c r="KF1" s="71" t="str">
        <f t="shared" si="10"/>
        <v>Impact on - STRAT</v>
      </c>
    </row>
    <row r="2" spans="1:292" s="166" customFormat="1" ht="105" customHeight="1" x14ac:dyDescent="0.4">
      <c r="A2" s="154" t="s">
        <v>35</v>
      </c>
      <c r="B2" s="155" t="s">
        <v>36</v>
      </c>
      <c r="C2" s="155" t="s">
        <v>37</v>
      </c>
      <c r="D2" s="155" t="s">
        <v>38</v>
      </c>
      <c r="E2" s="156" t="s">
        <v>39</v>
      </c>
      <c r="F2" s="155" t="s">
        <v>40</v>
      </c>
      <c r="G2" s="155" t="s">
        <v>41</v>
      </c>
      <c r="H2" s="155" t="s">
        <v>42</v>
      </c>
      <c r="I2" s="155" t="s">
        <v>43</v>
      </c>
      <c r="J2" s="155" t="s">
        <v>44</v>
      </c>
      <c r="K2" s="155" t="s">
        <v>45</v>
      </c>
      <c r="L2" s="155" t="s">
        <v>46</v>
      </c>
      <c r="M2" s="216" t="s">
        <v>47</v>
      </c>
      <c r="N2" s="158" t="s">
        <v>48</v>
      </c>
      <c r="O2" s="158" t="s">
        <v>49</v>
      </c>
      <c r="P2" s="158" t="s">
        <v>50</v>
      </c>
      <c r="Q2" s="158" t="s">
        <v>51</v>
      </c>
      <c r="R2" s="158" t="s">
        <v>52</v>
      </c>
      <c r="S2" s="159" t="s">
        <v>53</v>
      </c>
      <c r="T2" s="160" t="s">
        <v>54</v>
      </c>
      <c r="U2" s="157" t="s">
        <v>55</v>
      </c>
      <c r="V2" s="161" t="s">
        <v>56</v>
      </c>
      <c r="W2" s="161" t="s">
        <v>57</v>
      </c>
      <c r="X2" s="161" t="s">
        <v>58</v>
      </c>
      <c r="Y2" s="161" t="s">
        <v>59</v>
      </c>
      <c r="Z2" s="161" t="s">
        <v>60</v>
      </c>
      <c r="AA2" s="161" t="s">
        <v>61</v>
      </c>
      <c r="AB2" s="161" t="s">
        <v>62</v>
      </c>
      <c r="AC2" s="161" t="s">
        <v>63</v>
      </c>
      <c r="AD2" s="155" t="s">
        <v>64</v>
      </c>
      <c r="AE2" s="162" t="s">
        <v>65</v>
      </c>
      <c r="AF2" s="157" t="s">
        <v>66</v>
      </c>
      <c r="AG2" s="163" t="s">
        <v>67</v>
      </c>
      <c r="AH2" s="163" t="s">
        <v>68</v>
      </c>
      <c r="AI2" s="163" t="s">
        <v>69</v>
      </c>
      <c r="AJ2" s="163" t="s">
        <v>70</v>
      </c>
      <c r="AK2" s="163" t="s">
        <v>71</v>
      </c>
      <c r="AL2" s="163" t="s">
        <v>72</v>
      </c>
      <c r="AM2" s="163" t="s">
        <v>73</v>
      </c>
      <c r="AN2" s="163" t="s">
        <v>74</v>
      </c>
      <c r="AO2" s="163" t="s">
        <v>75</v>
      </c>
      <c r="AP2" s="163" t="s">
        <v>76</v>
      </c>
      <c r="AQ2" s="163" t="s">
        <v>77</v>
      </c>
      <c r="AR2" s="164" t="s">
        <v>78</v>
      </c>
      <c r="AS2" s="155" t="s">
        <v>79</v>
      </c>
      <c r="AT2" s="155" t="s">
        <v>80</v>
      </c>
      <c r="AU2" s="155" t="s">
        <v>81</v>
      </c>
      <c r="AV2" s="155" t="s">
        <v>82</v>
      </c>
      <c r="AW2" s="155" t="s">
        <v>83</v>
      </c>
      <c r="AX2" s="165" t="s">
        <v>84</v>
      </c>
      <c r="AY2" s="205" t="s">
        <v>85</v>
      </c>
      <c r="AZ2" s="165" t="s">
        <v>86</v>
      </c>
      <c r="BA2" s="165" t="s">
        <v>87</v>
      </c>
      <c r="BB2" s="165" t="s">
        <v>88</v>
      </c>
      <c r="BC2" s="155" t="s">
        <v>89</v>
      </c>
      <c r="BD2" s="201" t="s">
        <v>90</v>
      </c>
      <c r="BE2" s="201" t="s">
        <v>91</v>
      </c>
      <c r="BF2" s="239"/>
      <c r="BH2" s="167" t="str">
        <f>InputTable[[#Headers],[Impact on - CIAL]]</f>
        <v>Impact on - CIAL</v>
      </c>
      <c r="BI2" s="167" t="str">
        <f>InputTable[[#Headers],[Impact on - COM]]</f>
        <v>Impact on - COM</v>
      </c>
      <c r="BJ2" s="167" t="str">
        <f>InputTable[[#Headers],[Impact on - FIN]]</f>
        <v>Impact on - FIN</v>
      </c>
      <c r="BK2" s="167" t="str">
        <f>InputTable[[#Headers],[Impact on - GEN SEC]]</f>
        <v>Impact on - GEN SEC</v>
      </c>
      <c r="BL2" s="167" t="str">
        <f>InputTable[[#Headers],[Impact on - HR]]</f>
        <v>Impact on - HR</v>
      </c>
      <c r="BM2" s="167" t="str">
        <f>InputTable[[#Headers],[Impact on - IS]]</f>
        <v>Impact on - IS</v>
      </c>
      <c r="BN2" s="167" t="str">
        <f>InputTable[[#Headers],[Impact on - OPS]]</f>
        <v>Impact on - OPS</v>
      </c>
      <c r="BO2" s="167" t="str">
        <f>InputTable[[#Headers],[Impact on - ROLL STOCK]]</f>
        <v>Impact on - ROLL STOCK</v>
      </c>
      <c r="BP2" s="167" t="str">
        <f>InputTable[[#Headers],[Impact on - SAFETY]]</f>
        <v>Impact on - SAFETY</v>
      </c>
      <c r="BQ2" s="167" t="str">
        <f>InputTable[[#Headers],[Impact on - STATION]]</f>
        <v>Impact on - STATION</v>
      </c>
      <c r="BR2" s="167" t="str">
        <f>InputTable[[#Headers],[Impact on - STRAT]]</f>
        <v>Impact on - STRAT</v>
      </c>
      <c r="BT2" s="167" t="str">
        <f>InputTable[[#Headers],[CORPHRFIN]]</f>
        <v>CORPHRFIN</v>
      </c>
      <c r="BU2" s="167" t="str">
        <f>InputTable[[#Headers],[CUST]]</f>
        <v>CUST</v>
      </c>
      <c r="BV2" s="167" t="str">
        <f>InputTable[[#Headers],[CYBER]]</f>
        <v>CYBER</v>
      </c>
      <c r="BW2" s="167" t="str">
        <f>InputTable[[#Headers],[DATA]]</f>
        <v>DATA</v>
      </c>
      <c r="BX2" s="167" t="str">
        <f>InputTable[[#Headers],[INFRA]]</f>
        <v>INFRA</v>
      </c>
      <c r="BY2" s="167" t="str">
        <f>InputTable[[#Headers],[OPERATIONS]]</f>
        <v>OPERATIONS</v>
      </c>
      <c r="BZ2" s="167" t="str">
        <f>InputTable[[#Headers],[PMO]]</f>
        <v>PMO</v>
      </c>
      <c r="CA2" s="167" t="str">
        <f>InputTable[[#Headers],[SALES]]</f>
        <v>SALES</v>
      </c>
      <c r="CC2" s="168" t="e">
        <f>'System List'!#REF!</f>
        <v>#REF!</v>
      </c>
      <c r="CD2" s="168" t="str">
        <f t="array" ref="CD2:CK2">TRANSPOSE('System List'!D5:D12)</f>
        <v>Q4 2024</v>
      </c>
      <c r="CE2" s="168" t="str">
        <v>Q1 2025</v>
      </c>
      <c r="CF2" s="168" t="str">
        <v>Q2 2025</v>
      </c>
      <c r="CG2" s="168" t="str">
        <v>Q3 2025</v>
      </c>
      <c r="CH2" s="168" t="str">
        <v>Q4 2025</v>
      </c>
      <c r="CI2" s="168">
        <v>2026</v>
      </c>
      <c r="CJ2" s="168">
        <v>2027</v>
      </c>
      <c r="CK2" s="168" t="str">
        <v>2028 +</v>
      </c>
      <c r="CN2" s="169" t="e">
        <f>'System List'!#REF!</f>
        <v>#REF!</v>
      </c>
      <c r="CO2" s="169">
        <f>'System List'!$B$5</f>
        <v>2024</v>
      </c>
      <c r="CP2" s="169" t="str">
        <f>'System List'!$B$6</f>
        <v>2025 Q1</v>
      </c>
      <c r="CQ2" s="169" t="str">
        <f>'System List'!$B$7</f>
        <v>2025 Q2</v>
      </c>
      <c r="CR2" s="169" t="str">
        <f>'System List'!$B$8</f>
        <v>2025 Q3</v>
      </c>
      <c r="CS2" s="169" t="str">
        <f>'System List'!$B$9</f>
        <v>2025 Q4</v>
      </c>
      <c r="CT2" s="169" t="str">
        <f>'System List'!$B$14</f>
        <v>2026 Q4</v>
      </c>
      <c r="CU2" s="169">
        <f>'System List'!$B$15</f>
        <v>2027</v>
      </c>
      <c r="CV2" s="169" t="str">
        <f>'System List'!$B$16</f>
        <v>2028 +</v>
      </c>
      <c r="CX2" s="169" t="e">
        <f>'System List'!#REF!</f>
        <v>#REF!</v>
      </c>
      <c r="CY2" s="169">
        <f>'System List'!$B$5</f>
        <v>2024</v>
      </c>
      <c r="CZ2" s="169" t="str">
        <f>'System List'!$B$6</f>
        <v>2025 Q1</v>
      </c>
      <c r="DA2" s="169" t="str">
        <f>'System List'!$B$7</f>
        <v>2025 Q2</v>
      </c>
      <c r="DB2" s="169" t="str">
        <f>'System List'!$B$8</f>
        <v>2025 Q3</v>
      </c>
      <c r="DC2" s="169" t="str">
        <f>'System List'!$B$9</f>
        <v>2025 Q4</v>
      </c>
      <c r="DD2" s="169" t="str">
        <f>'System List'!$B$14</f>
        <v>2026 Q4</v>
      </c>
      <c r="DE2" s="169">
        <f>'System List'!$B$15</f>
        <v>2027</v>
      </c>
      <c r="DF2" s="169" t="str">
        <f>'System List'!$B$16</f>
        <v>2028 +</v>
      </c>
      <c r="DH2" s="169" t="e">
        <f>'System List'!#REF!</f>
        <v>#REF!</v>
      </c>
      <c r="DI2" s="169">
        <f>'System List'!$B$5</f>
        <v>2024</v>
      </c>
      <c r="DJ2" s="169" t="str">
        <f>'System List'!$B$6</f>
        <v>2025 Q1</v>
      </c>
      <c r="DK2" s="169" t="str">
        <f>'System List'!$B$7</f>
        <v>2025 Q2</v>
      </c>
      <c r="DL2" s="169" t="str">
        <f>'System List'!$B$8</f>
        <v>2025 Q3</v>
      </c>
      <c r="DM2" s="169" t="str">
        <f>'System List'!$B$9</f>
        <v>2025 Q4</v>
      </c>
      <c r="DN2" s="169" t="str">
        <f>'System List'!$B$14</f>
        <v>2026 Q4</v>
      </c>
      <c r="DO2" s="169">
        <f>'System List'!$B$15</f>
        <v>2027</v>
      </c>
      <c r="DP2" s="169" t="str">
        <f>'System List'!$B$16</f>
        <v>2028 +</v>
      </c>
      <c r="DR2" s="169" t="e">
        <f>'System List'!#REF!</f>
        <v>#REF!</v>
      </c>
      <c r="DS2" s="169">
        <f>'System List'!$B$5</f>
        <v>2024</v>
      </c>
      <c r="DT2" s="169" t="str">
        <f>'System List'!$B$6</f>
        <v>2025 Q1</v>
      </c>
      <c r="DU2" s="169" t="str">
        <f>'System List'!$B$7</f>
        <v>2025 Q2</v>
      </c>
      <c r="DV2" s="169" t="str">
        <f>'System List'!$B$8</f>
        <v>2025 Q3</v>
      </c>
      <c r="DW2" s="169" t="str">
        <f>'System List'!$B$9</f>
        <v>2025 Q4</v>
      </c>
      <c r="DX2" s="169" t="str">
        <f>'System List'!$B$14</f>
        <v>2026 Q4</v>
      </c>
      <c r="DY2" s="169">
        <f>'System List'!$B$15</f>
        <v>2027</v>
      </c>
      <c r="DZ2" s="169" t="str">
        <f>'System List'!$B$16</f>
        <v>2028 +</v>
      </c>
      <c r="EB2" s="169" t="e">
        <f>'System List'!#REF!</f>
        <v>#REF!</v>
      </c>
      <c r="EC2" s="169">
        <f>'System List'!$B$5</f>
        <v>2024</v>
      </c>
      <c r="ED2" s="169" t="str">
        <f>'System List'!$B$6</f>
        <v>2025 Q1</v>
      </c>
      <c r="EE2" s="169" t="str">
        <f>'System List'!$B$7</f>
        <v>2025 Q2</v>
      </c>
      <c r="EF2" s="169" t="str">
        <f>'System List'!$B$8</f>
        <v>2025 Q3</v>
      </c>
      <c r="EG2" s="169" t="str">
        <f>'System List'!$B$9</f>
        <v>2025 Q4</v>
      </c>
      <c r="EH2" s="169" t="str">
        <f>'System List'!$B$14</f>
        <v>2026 Q4</v>
      </c>
      <c r="EI2" s="169">
        <f>'System List'!$B$15</f>
        <v>2027</v>
      </c>
      <c r="EJ2" s="169" t="str">
        <f>'System List'!$B$16</f>
        <v>2028 +</v>
      </c>
      <c r="EL2" s="169" t="e">
        <f>'System List'!#REF!</f>
        <v>#REF!</v>
      </c>
      <c r="EM2" s="169">
        <f>'System List'!$B$5</f>
        <v>2024</v>
      </c>
      <c r="EN2" s="169" t="str">
        <f>'System List'!$B$6</f>
        <v>2025 Q1</v>
      </c>
      <c r="EO2" s="169" t="str">
        <f>'System List'!$B$7</f>
        <v>2025 Q2</v>
      </c>
      <c r="EP2" s="169" t="str">
        <f>'System List'!$B$8</f>
        <v>2025 Q3</v>
      </c>
      <c r="EQ2" s="169" t="str">
        <f>'System List'!$B$9</f>
        <v>2025 Q4</v>
      </c>
      <c r="ER2" s="169" t="str">
        <f>'System List'!$B$14</f>
        <v>2026 Q4</v>
      </c>
      <c r="ES2" s="169">
        <f>'System List'!$B$15</f>
        <v>2027</v>
      </c>
      <c r="ET2" s="169" t="str">
        <f>'System List'!$B$16</f>
        <v>2028 +</v>
      </c>
      <c r="EV2" s="169" t="e">
        <f>'System List'!#REF!</f>
        <v>#REF!</v>
      </c>
      <c r="EW2" s="169">
        <f>'System List'!$B$5</f>
        <v>2024</v>
      </c>
      <c r="EX2" s="169" t="str">
        <f>'System List'!$B$6</f>
        <v>2025 Q1</v>
      </c>
      <c r="EY2" s="169" t="str">
        <f>'System List'!$B$7</f>
        <v>2025 Q2</v>
      </c>
      <c r="EZ2" s="169" t="str">
        <f>'System List'!$B$8</f>
        <v>2025 Q3</v>
      </c>
      <c r="FA2" s="169" t="str">
        <f>'System List'!$B$9</f>
        <v>2025 Q4</v>
      </c>
      <c r="FB2" s="169" t="str">
        <f>'System List'!$B$14</f>
        <v>2026 Q4</v>
      </c>
      <c r="FC2" s="169">
        <f>'System List'!$B$15</f>
        <v>2027</v>
      </c>
      <c r="FD2" s="169" t="str">
        <f>'System List'!$B$16</f>
        <v>2028 +</v>
      </c>
      <c r="FE2" s="169"/>
      <c r="FF2" s="169" t="e">
        <f>'System List'!#REF!</f>
        <v>#REF!</v>
      </c>
      <c r="FG2" s="169">
        <f>'System List'!$B$5</f>
        <v>2024</v>
      </c>
      <c r="FH2" s="169" t="str">
        <f>'System List'!$B$6</f>
        <v>2025 Q1</v>
      </c>
      <c r="FI2" s="169" t="str">
        <f>'System List'!$B$7</f>
        <v>2025 Q2</v>
      </c>
      <c r="FJ2" s="169" t="str">
        <f>'System List'!$B$8</f>
        <v>2025 Q3</v>
      </c>
      <c r="FK2" s="169" t="str">
        <f>'System List'!$B$9</f>
        <v>2025 Q4</v>
      </c>
      <c r="FL2" s="169" t="str">
        <f>'System List'!$B$14</f>
        <v>2026 Q4</v>
      </c>
      <c r="FM2" s="169">
        <f>'System List'!$B$15</f>
        <v>2027</v>
      </c>
      <c r="FN2" s="169" t="str">
        <f>'System List'!$B$16</f>
        <v>2028 +</v>
      </c>
      <c r="FP2" s="169" t="e">
        <f>'System List'!#REF!</f>
        <v>#REF!</v>
      </c>
      <c r="FQ2" s="169">
        <f>'System List'!$B$5</f>
        <v>2024</v>
      </c>
      <c r="FR2" s="169" t="str">
        <f>'System List'!$B$6</f>
        <v>2025 Q1</v>
      </c>
      <c r="FS2" s="169" t="str">
        <f>'System List'!$B$7</f>
        <v>2025 Q2</v>
      </c>
      <c r="FT2" s="169" t="str">
        <f>'System List'!$B$8</f>
        <v>2025 Q3</v>
      </c>
      <c r="FU2" s="169" t="str">
        <f>'System List'!$B$9</f>
        <v>2025 Q4</v>
      </c>
      <c r="FV2" s="169" t="str">
        <f>'System List'!$B$14</f>
        <v>2026 Q4</v>
      </c>
      <c r="FW2" s="169">
        <f>'System List'!$B$15</f>
        <v>2027</v>
      </c>
      <c r="FX2" s="169" t="str">
        <f>'System List'!$B$16</f>
        <v>2028 +</v>
      </c>
      <c r="GB2" s="169" t="e">
        <f>'System List'!#REF!</f>
        <v>#REF!</v>
      </c>
      <c r="GC2" s="169">
        <f>'System List'!$B$5</f>
        <v>2024</v>
      </c>
      <c r="GD2" s="169" t="str">
        <f>'System List'!$B$6</f>
        <v>2025 Q1</v>
      </c>
      <c r="GE2" s="169" t="str">
        <f>'System List'!$B$7</f>
        <v>2025 Q2</v>
      </c>
      <c r="GF2" s="169" t="str">
        <f>'System List'!$B$8</f>
        <v>2025 Q3</v>
      </c>
      <c r="GG2" s="169" t="str">
        <f>'System List'!$B$9</f>
        <v>2025 Q4</v>
      </c>
      <c r="GH2" s="169" t="str">
        <f>'System List'!$B$14</f>
        <v>2026 Q4</v>
      </c>
      <c r="GI2" s="169">
        <f>'System List'!$B$15</f>
        <v>2027</v>
      </c>
      <c r="GJ2" s="169" t="str">
        <f>'System List'!$B$16</f>
        <v>2028 +</v>
      </c>
      <c r="GL2" s="169" t="e">
        <f>'System List'!#REF!</f>
        <v>#REF!</v>
      </c>
      <c r="GM2" s="169">
        <f>'System List'!$B$5</f>
        <v>2024</v>
      </c>
      <c r="GN2" s="169" t="str">
        <f>'System List'!$B$6</f>
        <v>2025 Q1</v>
      </c>
      <c r="GO2" s="169" t="str">
        <f>'System List'!$B$7</f>
        <v>2025 Q2</v>
      </c>
      <c r="GP2" s="169" t="str">
        <f>'System List'!$B$8</f>
        <v>2025 Q3</v>
      </c>
      <c r="GQ2" s="169" t="str">
        <f>'System List'!$B$9</f>
        <v>2025 Q4</v>
      </c>
      <c r="GR2" s="169" t="str">
        <f>'System List'!$B$14</f>
        <v>2026 Q4</v>
      </c>
      <c r="GS2" s="169">
        <f>'System List'!$B$15</f>
        <v>2027</v>
      </c>
      <c r="GT2" s="169" t="str">
        <f>'System List'!$B$16</f>
        <v>2028 +</v>
      </c>
      <c r="GV2" s="169" t="e">
        <f>'System List'!#REF!</f>
        <v>#REF!</v>
      </c>
      <c r="GW2" s="169">
        <f>'System List'!$B$5</f>
        <v>2024</v>
      </c>
      <c r="GX2" s="169" t="str">
        <f>'System List'!$B$6</f>
        <v>2025 Q1</v>
      </c>
      <c r="GY2" s="169" t="str">
        <f>'System List'!$B$7</f>
        <v>2025 Q2</v>
      </c>
      <c r="GZ2" s="169" t="str">
        <f>'System List'!$B$8</f>
        <v>2025 Q3</v>
      </c>
      <c r="HA2" s="169" t="str">
        <f>'System List'!$B$9</f>
        <v>2025 Q4</v>
      </c>
      <c r="HB2" s="169" t="str">
        <f>'System List'!$B$14</f>
        <v>2026 Q4</v>
      </c>
      <c r="HC2" s="169">
        <f>'System List'!$B$15</f>
        <v>2027</v>
      </c>
      <c r="HD2" s="169" t="str">
        <f>'System List'!$B$16</f>
        <v>2028 +</v>
      </c>
      <c r="HF2" s="169" t="e">
        <f>'System List'!#REF!</f>
        <v>#REF!</v>
      </c>
      <c r="HG2" s="169">
        <f>'System List'!$B$5</f>
        <v>2024</v>
      </c>
      <c r="HH2" s="169" t="str">
        <f>'System List'!$B$6</f>
        <v>2025 Q1</v>
      </c>
      <c r="HI2" s="169" t="str">
        <f>'System List'!$B$7</f>
        <v>2025 Q2</v>
      </c>
      <c r="HJ2" s="169" t="str">
        <f>'System List'!$B$8</f>
        <v>2025 Q3</v>
      </c>
      <c r="HK2" s="169" t="str">
        <f>'System List'!$B$9</f>
        <v>2025 Q4</v>
      </c>
      <c r="HL2" s="169" t="str">
        <f>'System List'!$B$14</f>
        <v>2026 Q4</v>
      </c>
      <c r="HM2" s="169">
        <f>'System List'!$B$15</f>
        <v>2027</v>
      </c>
      <c r="HN2" s="169" t="str">
        <f>'System List'!$B$16</f>
        <v>2028 +</v>
      </c>
      <c r="HP2" s="169" t="e">
        <f>'System List'!#REF!</f>
        <v>#REF!</v>
      </c>
      <c r="HQ2" s="169">
        <f>'System List'!$B$5</f>
        <v>2024</v>
      </c>
      <c r="HR2" s="169" t="str">
        <f>'System List'!$B$6</f>
        <v>2025 Q1</v>
      </c>
      <c r="HS2" s="169" t="str">
        <f>'System List'!$B$7</f>
        <v>2025 Q2</v>
      </c>
      <c r="HT2" s="169" t="str">
        <f>'System List'!$B$8</f>
        <v>2025 Q3</v>
      </c>
      <c r="HU2" s="169" t="str">
        <f>'System List'!$B$9</f>
        <v>2025 Q4</v>
      </c>
      <c r="HV2" s="169" t="str">
        <f>'System List'!$B$14</f>
        <v>2026 Q4</v>
      </c>
      <c r="HW2" s="169">
        <f>'System List'!$B$15</f>
        <v>2027</v>
      </c>
      <c r="HX2" s="169" t="str">
        <f>'System List'!$B$16</f>
        <v>2028 +</v>
      </c>
      <c r="HZ2" s="169" t="e">
        <f>'System List'!#REF!</f>
        <v>#REF!</v>
      </c>
      <c r="IA2" s="169">
        <f>'System List'!$B$5</f>
        <v>2024</v>
      </c>
      <c r="IB2" s="169" t="str">
        <f>'System List'!$B$6</f>
        <v>2025 Q1</v>
      </c>
      <c r="IC2" s="169" t="str">
        <f>'System List'!$B$7</f>
        <v>2025 Q2</v>
      </c>
      <c r="ID2" s="169" t="str">
        <f>'System List'!$B$8</f>
        <v>2025 Q3</v>
      </c>
      <c r="IE2" s="169" t="str">
        <f>'System List'!$B$9</f>
        <v>2025 Q4</v>
      </c>
      <c r="IF2" s="169" t="str">
        <f>'System List'!$B$14</f>
        <v>2026 Q4</v>
      </c>
      <c r="IG2" s="169">
        <f>'System List'!$B$15</f>
        <v>2027</v>
      </c>
      <c r="IH2" s="169" t="str">
        <f>'System List'!$B$16</f>
        <v>2028 +</v>
      </c>
      <c r="II2" s="169"/>
      <c r="IJ2" s="169" t="e">
        <f>'System List'!#REF!</f>
        <v>#REF!</v>
      </c>
      <c r="IK2" s="169">
        <f>'System List'!$B$5</f>
        <v>2024</v>
      </c>
      <c r="IL2" s="169" t="str">
        <f>'System List'!$B$6</f>
        <v>2025 Q1</v>
      </c>
      <c r="IM2" s="169" t="str">
        <f>'System List'!$B$7</f>
        <v>2025 Q2</v>
      </c>
      <c r="IN2" s="169" t="str">
        <f>'System List'!$B$8</f>
        <v>2025 Q3</v>
      </c>
      <c r="IO2" s="169" t="str">
        <f>'System List'!$B$9</f>
        <v>2025 Q4</v>
      </c>
      <c r="IP2" s="169" t="str">
        <f>'System List'!$B$14</f>
        <v>2026 Q4</v>
      </c>
      <c r="IQ2" s="169">
        <f>'System List'!$B$15</f>
        <v>2027</v>
      </c>
      <c r="IR2" s="169" t="str">
        <f>'System List'!$B$16</f>
        <v>2028 +</v>
      </c>
      <c r="IT2" s="169" t="e">
        <f>'System List'!#REF!</f>
        <v>#REF!</v>
      </c>
      <c r="IU2" s="169">
        <f>'System List'!$B$5</f>
        <v>2024</v>
      </c>
      <c r="IV2" s="169" t="str">
        <f>'System List'!$B$6</f>
        <v>2025 Q1</v>
      </c>
      <c r="IW2" s="169" t="str">
        <f>'System List'!$B$7</f>
        <v>2025 Q2</v>
      </c>
      <c r="IX2" s="169" t="str">
        <f>'System List'!$B$8</f>
        <v>2025 Q3</v>
      </c>
      <c r="IY2" s="169" t="str">
        <f>'System List'!$B$9</f>
        <v>2025 Q4</v>
      </c>
      <c r="IZ2" s="169" t="str">
        <f>'System List'!$B$14</f>
        <v>2026 Q4</v>
      </c>
      <c r="JA2" s="169">
        <f>'System List'!$B$15</f>
        <v>2027</v>
      </c>
      <c r="JB2" s="169" t="str">
        <f>'System List'!$B$16</f>
        <v>2028 +</v>
      </c>
      <c r="JD2" s="169" t="e">
        <f>'System List'!#REF!</f>
        <v>#REF!</v>
      </c>
      <c r="JE2" s="169">
        <f>'System List'!$B$5</f>
        <v>2024</v>
      </c>
      <c r="JF2" s="169" t="str">
        <f>'System List'!$B$6</f>
        <v>2025 Q1</v>
      </c>
      <c r="JG2" s="169" t="str">
        <f>'System List'!$B$7</f>
        <v>2025 Q2</v>
      </c>
      <c r="JH2" s="169" t="str">
        <f>'System List'!$B$8</f>
        <v>2025 Q3</v>
      </c>
      <c r="JI2" s="169" t="str">
        <f>'System List'!$B$9</f>
        <v>2025 Q4</v>
      </c>
      <c r="JJ2" s="169" t="str">
        <f>'System List'!$B$14</f>
        <v>2026 Q4</v>
      </c>
      <c r="JK2" s="169">
        <f>'System List'!$B$15</f>
        <v>2027</v>
      </c>
      <c r="JL2" s="169" t="str">
        <f>'System List'!$B$16</f>
        <v>2028 +</v>
      </c>
      <c r="JN2" s="169" t="e">
        <f>'System List'!#REF!</f>
        <v>#REF!</v>
      </c>
      <c r="JO2" s="169">
        <f>'System List'!$B$5</f>
        <v>2024</v>
      </c>
      <c r="JP2" s="169" t="str">
        <f>'System List'!$B$6</f>
        <v>2025 Q1</v>
      </c>
      <c r="JQ2" s="169" t="str">
        <f>'System List'!$B$7</f>
        <v>2025 Q2</v>
      </c>
      <c r="JR2" s="169" t="str">
        <f>'System List'!$B$8</f>
        <v>2025 Q3</v>
      </c>
      <c r="JS2" s="169" t="str">
        <f>'System List'!$B$9</f>
        <v>2025 Q4</v>
      </c>
      <c r="JT2" s="169" t="str">
        <f>'System List'!$B$14</f>
        <v>2026 Q4</v>
      </c>
      <c r="JU2" s="169">
        <f>'System List'!$B$15</f>
        <v>2027</v>
      </c>
      <c r="JV2" s="169" t="str">
        <f>'System List'!$B$16</f>
        <v>2028 +</v>
      </c>
      <c r="JX2" s="169" t="e">
        <f>'System List'!#REF!</f>
        <v>#REF!</v>
      </c>
      <c r="JY2" s="169">
        <f>'System List'!$B$5</f>
        <v>2024</v>
      </c>
      <c r="JZ2" s="169" t="str">
        <f>'System List'!$B$6</f>
        <v>2025 Q1</v>
      </c>
      <c r="KA2" s="169" t="str">
        <f>'System List'!$B$7</f>
        <v>2025 Q2</v>
      </c>
      <c r="KB2" s="169" t="str">
        <f>'System List'!$B$8</f>
        <v>2025 Q3</v>
      </c>
      <c r="KC2" s="169" t="str">
        <f>'System List'!$B$9</f>
        <v>2025 Q4</v>
      </c>
      <c r="KD2" s="169" t="str">
        <f>'System List'!$B$14</f>
        <v>2026 Q4</v>
      </c>
      <c r="KE2" s="169">
        <f>'System List'!$B$15</f>
        <v>2027</v>
      </c>
      <c r="KF2" s="169" t="str">
        <f>'System List'!$B$16</f>
        <v>2028 +</v>
      </c>
    </row>
    <row r="3" spans="1:292" ht="39.6" hidden="1" customHeight="1" x14ac:dyDescent="0.25">
      <c r="A3" s="141"/>
      <c r="B3" s="141" t="s">
        <v>156</v>
      </c>
      <c r="C3" s="92" t="s">
        <v>93</v>
      </c>
      <c r="D3" s="125" t="s">
        <v>94</v>
      </c>
      <c r="E3" s="193" t="s">
        <v>95</v>
      </c>
      <c r="F3" s="92" t="s">
        <v>96</v>
      </c>
      <c r="G3" s="92" t="s">
        <v>97</v>
      </c>
      <c r="H3" s="92"/>
      <c r="I3" s="92" t="s">
        <v>98</v>
      </c>
      <c r="J3" s="125" t="s">
        <v>99</v>
      </c>
      <c r="K3" s="95" t="e">
        <f>VLOOKUP((InputTable[[#This Row],[Starting Date]]&amp; " - " &amp;InputTable[[#This Row],[Delivery Date]]),'System List'!$F$40:$H$83,2,FALSE)</f>
        <v>#N/A</v>
      </c>
      <c r="L3" s="95" t="e">
        <f>VLOOKUP(InputTable[[#This Row],[Duration]],Duration,2,FALSE)</f>
        <v>#N/A</v>
      </c>
      <c r="M3" s="125"/>
      <c r="N3" s="92"/>
      <c r="O3" s="92" t="s">
        <v>100</v>
      </c>
      <c r="P3" s="92"/>
      <c r="Q3" s="92"/>
      <c r="R3" s="92" t="s">
        <v>100</v>
      </c>
      <c r="S3" s="92"/>
      <c r="T3" s="95" cm="1">
        <f t="array" ref="T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6.5</v>
      </c>
      <c r="U3" s="138"/>
      <c r="V3" s="92"/>
      <c r="W3" s="92"/>
      <c r="X3" s="92"/>
      <c r="Y3" s="92"/>
      <c r="Z3" s="92"/>
      <c r="AA3" s="92"/>
      <c r="AB3" s="92"/>
      <c r="AC3" s="98"/>
      <c r="AD3" s="92">
        <f>COUNTA(InputTable[[#This Row],[CORPHRFIN]:[SALES]])</f>
        <v>0</v>
      </c>
      <c r="AE3" s="88" cm="1">
        <f t="array" ref="AE3">SUM(
_xlfn.XLOOKUP(InputTable[[#This Row],[CORPHRFIN]:[SALES]],'System List'!$F$4:$F$7,'System List'!$H$4:$H$7,0))</f>
        <v>0</v>
      </c>
      <c r="AF3" s="140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88" cm="1">
        <f t="array" ref="AR3">SUM(
_xlfn.XLOOKUP(InputTable[[#This Row],[Impact on - CIAL]:[Impact on - STRAT]],'System List'!$F$4:$F$7,'System List'!$H$4:$H$7,0))</f>
        <v>0</v>
      </c>
      <c r="AS3" s="88" t="e">
        <f>VLOOKUP(InputTable[[#This Row],[Duration]],Duration,2,FALSE)+InputTable[[#This Row],[Resource Score]]</f>
        <v>#N/A</v>
      </c>
      <c r="AT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" s="24" t="e">
        <f>InputTable[[#This Row],[Value Score]]/InputTable[[#This Row],[EFFORT SCORE]]*100</f>
        <v>#N/A</v>
      </c>
      <c r="AV3" s="25" t="str">
        <f>InputTable[[#This Row],[IS Portfolio Ref ID]]</f>
        <v>ISPRJ-1</v>
      </c>
      <c r="AW3" s="25" t="s">
        <v>101</v>
      </c>
      <c r="AX3" s="208" t="s">
        <v>102</v>
      </c>
      <c r="AY3" s="207">
        <v>1840</v>
      </c>
      <c r="AZ3" s="209"/>
      <c r="BA3" s="209">
        <f>9500000*$BA$1</f>
        <v>10795800</v>
      </c>
      <c r="BB3" s="209" t="s">
        <v>103</v>
      </c>
      <c r="BC3" s="189">
        <f>InputTable[[#This Row],[Capex IS Budget (full project)]]+InputTable[[#This Row],[Opex IS Budget (full project)]]</f>
        <v>10795800</v>
      </c>
      <c r="BD3" s="188">
        <v>18</v>
      </c>
      <c r="BE3" s="188">
        <v>76</v>
      </c>
      <c r="BF3" s="70"/>
      <c r="BH3" s="2">
        <f>IFERROR(VLOOKUP(InputTable[[#This Row],[Impact on - CIAL]],'System List'!$F$4:$H$7,3,FALSE),0)</f>
        <v>0</v>
      </c>
      <c r="BI3" s="2">
        <f>IFERROR(VLOOKUP(InputTable[[#This Row],[Impact on - COM]],'System List'!$F$4:$H$7,3,FALSE),0)</f>
        <v>0</v>
      </c>
      <c r="BJ3" s="2">
        <f>IFERROR(VLOOKUP(InputTable[[#This Row],[Impact on - FIN]],'System List'!$F$4:$H$7,3,FALSE),0)</f>
        <v>0</v>
      </c>
      <c r="BK3" s="2">
        <f>IFERROR(VLOOKUP(InputTable[[#This Row],[Impact on - GEN SEC]],'System List'!$F$4:$H$7,3,FALSE),0)</f>
        <v>0</v>
      </c>
      <c r="BL3" s="2">
        <f>IFERROR(VLOOKUP(InputTable[[#This Row],[Impact on - HR]],'System List'!$F$4:$H$7,3,FALSE),0)</f>
        <v>0</v>
      </c>
      <c r="BM3" s="2">
        <f>IFERROR(VLOOKUP(InputTable[[#This Row],[Impact on - IS]],'System List'!$F$4:$H$7,3,FALSE),0)</f>
        <v>0</v>
      </c>
      <c r="BN3" s="2">
        <f>IFERROR(VLOOKUP(InputTable[[#This Row],[Impact on - OPS]],'System List'!$F$4:$H$7,3,FALSE),0)</f>
        <v>0</v>
      </c>
      <c r="BO3" s="2">
        <f>IFERROR(VLOOKUP(InputTable[[#This Row],[Impact on - ROLL STOCK]],'System List'!$F$4:$H$7,3,FALSE),0)</f>
        <v>0</v>
      </c>
      <c r="BP3" s="2">
        <f>IFERROR(VLOOKUP(InputTable[[#This Row],[Impact on - SAFETY]],'System List'!$F$4:$H$7,3,FALSE),0)</f>
        <v>0</v>
      </c>
      <c r="BQ3" s="2">
        <f>IFERROR(VLOOKUP(InputTable[[#This Row],[Impact on - STATION]],'System List'!$F$4:$H$7,3,FALSE),0)</f>
        <v>0</v>
      </c>
      <c r="BR3" s="2">
        <f>IFERROR(VLOOKUP(InputTable[[#This Row],[Impact on - STRAT]],'System List'!$F$4:$H$7,3,FALSE),0)</f>
        <v>0</v>
      </c>
      <c r="BT3" s="2">
        <f>IFERROR(VLOOKUP(InputTable[[#This Row],[CORPHRFIN]],'System List'!$F$4:$H$7,3,FALSE),0)</f>
        <v>0</v>
      </c>
      <c r="BU3" s="2">
        <f>IFERROR(VLOOKUP(InputTable[[#This Row],[CUST]],'System List'!$F$4:$H$7,3,FALSE),0)</f>
        <v>0</v>
      </c>
      <c r="BV3" s="2">
        <f>IFERROR(VLOOKUP(InputTable[[#This Row],[CYBER]],'System List'!$F$4:$H$7,3,FALSE),0)</f>
        <v>0</v>
      </c>
      <c r="BW3" s="2">
        <f>IFERROR(VLOOKUP(InputTable[[#This Row],[DATA]],'System List'!$F$4:$H$7,3,FALSE),0)</f>
        <v>0</v>
      </c>
      <c r="BX3" s="2">
        <f>IFERROR(VLOOKUP(InputTable[[#This Row],[INFRA]],'System List'!$F$4:$H$7,3,FALSE),0)</f>
        <v>0</v>
      </c>
      <c r="BY3" s="2">
        <f>IFERROR(VLOOKUP(InputTable[[#This Row],[OPERATIONS]],'System List'!$F$4:$H$7,3,FALSE),0)</f>
        <v>0</v>
      </c>
      <c r="BZ3" s="2">
        <f>IFERROR(VLOOKUP(InputTable[[#This Row],[PMO]],'System List'!$F$4:$H$7,3,FALSE),0)</f>
        <v>0</v>
      </c>
      <c r="CA3" s="2">
        <f>IFERROR(VLOOKUP(InputTable[[#This Row],[SALES]],'System List'!$F$4:$H$7,3,FALSE),0)</f>
        <v>0</v>
      </c>
      <c r="CC3" s="2" cm="1">
        <f t="array" ref="CC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" s="2" cm="1">
        <f t="array" ref="CD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" s="2" cm="1">
        <f t="array" ref="CE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" s="2" cm="1">
        <f t="array" ref="CF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" s="2" cm="1">
        <f t="array" ref="CG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" s="2" cm="1">
        <f t="array" ref="CH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" s="2" cm="1">
        <f t="array" ref="CI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" s="2" cm="1">
        <f t="array" ref="CJ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" s="2" cm="1">
        <f t="array" ref="CK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" s="26">
        <f>$CN3*_xlfn.XLOOKUP(CX$1,$BT$2:$CA$2,$BT3:$CA3,0)</f>
        <v>0</v>
      </c>
      <c r="CY3" s="26">
        <f>$CO3*_xlfn.XLOOKUP(CY$1,$BT$2:$CA$2,$BT3:$CA3,0)</f>
        <v>0</v>
      </c>
      <c r="CZ3" s="26">
        <f>$CP3*_xlfn.XLOOKUP(CZ$1,$BT$2:$CA$2,$BT3:$CA3,0)</f>
        <v>0</v>
      </c>
      <c r="DA3" s="26">
        <f>$CQ3*_xlfn.XLOOKUP(DA$1,$BT$2:$CA$2,$BT3:$CA3,0)</f>
        <v>0</v>
      </c>
      <c r="DB3" s="26">
        <f>$CR3*_xlfn.XLOOKUP(DB$1,$BT$2:$CA$2,$BT3:$CA3,0)</f>
        <v>0</v>
      </c>
      <c r="DC3" s="26">
        <f>$CS3*_xlfn.XLOOKUP(DC$1,$BT$2:$CA$2,$BT3:$CA3,0)</f>
        <v>0</v>
      </c>
      <c r="DD3" s="26">
        <f>$CT3*_xlfn.XLOOKUP(DD$1,$BT$2:$CA$2,$BT3:$CA3,0)</f>
        <v>0</v>
      </c>
      <c r="DE3" s="26">
        <f>$CU3*_xlfn.XLOOKUP(DE$1,$BT$2:$CA$2,$BT3:$CA3,0)</f>
        <v>0</v>
      </c>
      <c r="DF3" s="26">
        <f>$CV3*_xlfn.XLOOKUP(DF$1,$BT$2:$CA$2,$BT3:$CA3,0)</f>
        <v>0</v>
      </c>
      <c r="DH3" s="26">
        <f t="shared" ref="DH3:DH12" si="11">$CN3*_xlfn.XLOOKUP(DH$1,$BT$2:$CA$2,$BT3:$CA3,0)</f>
        <v>0</v>
      </c>
      <c r="DI3" s="26">
        <f t="shared" ref="DI3:DI12" si="12">$CO3*_xlfn.XLOOKUP(DI$1,$BT$2:$CA$2,$BT3:$CA3,0)</f>
        <v>0</v>
      </c>
      <c r="DJ3" s="26">
        <f t="shared" ref="DJ3:DJ12" si="13">$CP3*_xlfn.XLOOKUP(DJ$1,$BT$2:$CA$2,$BT3:$CA3,0)</f>
        <v>0</v>
      </c>
      <c r="DK3" s="26">
        <f t="shared" ref="DK3:DK12" si="14">$CQ3*_xlfn.XLOOKUP(DK$1,$BT$2:$CA$2,$BT3:$CA3,0)</f>
        <v>0</v>
      </c>
      <c r="DL3" s="26">
        <f t="shared" ref="DL3:DL12" si="15">$CR3*_xlfn.XLOOKUP(DL$1,$BT$2:$CA$2,$BT3:$CA3,0)</f>
        <v>0</v>
      </c>
      <c r="DM3" s="26">
        <f t="shared" ref="DM3:DM12" si="16">$CS3*_xlfn.XLOOKUP(DM$1,$BT$2:$CA$2,$BT3:$CA3,0)</f>
        <v>0</v>
      </c>
      <c r="DN3" s="26">
        <f t="shared" ref="DN3:DN12" si="17">$CT3*_xlfn.XLOOKUP(DN$1,$BT$2:$CA$2,$BT3:$CA3,0)</f>
        <v>0</v>
      </c>
      <c r="DO3" s="26">
        <f t="shared" ref="DO3:DO12" si="18">$CU3*_xlfn.XLOOKUP(DO$1,$BT$2:$CA$2,$BT3:$CA3,0)</f>
        <v>0</v>
      </c>
      <c r="DP3" s="26">
        <f t="shared" ref="DP3:DP12" si="19">$CV3*_xlfn.XLOOKUP(DP$1,$BT$2:$CA$2,$BT3:$CA3,0)</f>
        <v>0</v>
      </c>
      <c r="DR3" s="26">
        <f t="shared" ref="DR3:DR12" si="20">$CN3*_xlfn.XLOOKUP(DR$1,$BT$2:$CA$2,$BT3:$CA3,0)</f>
        <v>0</v>
      </c>
      <c r="DS3" s="26">
        <f t="shared" ref="DS3:DS12" si="21">$CO3*_xlfn.XLOOKUP(DS$1,$BT$2:$CA$2,$BT3:$CA3,0)</f>
        <v>0</v>
      </c>
      <c r="DT3" s="26">
        <f t="shared" ref="DT3:DT12" si="22">$CP3*_xlfn.XLOOKUP(DT$1,$BT$2:$CA$2,$BT3:$CA3,0)</f>
        <v>0</v>
      </c>
      <c r="DU3" s="26">
        <f t="shared" ref="DU3:DU12" si="23">$CQ3*_xlfn.XLOOKUP(DU$1,$BT$2:$CA$2,$BT3:$CA3,0)</f>
        <v>0</v>
      </c>
      <c r="DV3" s="26">
        <f t="shared" ref="DV3:DV12" si="24">$CR3*_xlfn.XLOOKUP(DV$1,$BT$2:$CA$2,$BT3:$CA3,0)</f>
        <v>0</v>
      </c>
      <c r="DW3" s="26">
        <f t="shared" ref="DW3:DW12" si="25">$CS3*_xlfn.XLOOKUP(DW$1,$BT$2:$CA$2,$BT3:$CA3,0)</f>
        <v>0</v>
      </c>
      <c r="DX3" s="26">
        <f t="shared" ref="DX3:DX12" si="26">$CT3*_xlfn.XLOOKUP(DX$1,$BT$2:$CA$2,$BT3:$CA3,0)</f>
        <v>0</v>
      </c>
      <c r="DY3" s="26">
        <f t="shared" ref="DY3:DY12" si="27">$CU3*_xlfn.XLOOKUP(DY$1,$BT$2:$CA$2,$BT3:$CA3,0)</f>
        <v>0</v>
      </c>
      <c r="DZ3" s="26">
        <f t="shared" ref="DZ3:DZ12" si="28">$CV3*_xlfn.XLOOKUP(DZ$1,$BT$2:$CA$2,$BT3:$CA3,0)</f>
        <v>0</v>
      </c>
      <c r="EB3" s="26">
        <f t="shared" ref="EB3:EB12" si="29">$CN3*_xlfn.XLOOKUP(EB$1,$BT$2:$CA$2,$BT3:$CA3,0)</f>
        <v>0</v>
      </c>
      <c r="EC3" s="26">
        <f t="shared" ref="EC3:EC12" si="30">$CO3*_xlfn.XLOOKUP(EC$1,$BT$2:$CA$2,$BT3:$CA3,0)</f>
        <v>0</v>
      </c>
      <c r="ED3" s="26">
        <f t="shared" ref="ED3:ED12" si="31">$CP3*_xlfn.XLOOKUP(ED$1,$BT$2:$CA$2,$BT3:$CA3,0)</f>
        <v>0</v>
      </c>
      <c r="EE3" s="26">
        <f t="shared" ref="EE3:EE12" si="32">$CQ3*_xlfn.XLOOKUP(EE$1,$BT$2:$CA$2,$BT3:$CA3,0)</f>
        <v>0</v>
      </c>
      <c r="EF3" s="26">
        <f t="shared" ref="EF3:EF12" si="33">$CR3*_xlfn.XLOOKUP(EF$1,$BT$2:$CA$2,$BT3:$CA3,0)</f>
        <v>0</v>
      </c>
      <c r="EG3" s="26">
        <f t="shared" ref="EG3:EG12" si="34">$CS3*_xlfn.XLOOKUP(EG$1,$BT$2:$CA$2,$BT3:$CA3,0)</f>
        <v>0</v>
      </c>
      <c r="EH3" s="26">
        <f t="shared" ref="EH3:EH12" si="35">$CT3*_xlfn.XLOOKUP(EH$1,$BT$2:$CA$2,$BT3:$CA3,0)</f>
        <v>0</v>
      </c>
      <c r="EI3" s="26">
        <f t="shared" ref="EI3:EI12" si="36">$CU3*_xlfn.XLOOKUP(EI$1,$BT$2:$CA$2,$BT3:$CA3,0)</f>
        <v>0</v>
      </c>
      <c r="EJ3" s="26">
        <f t="shared" ref="EJ3:EJ12" si="37">$CV3*_xlfn.XLOOKUP(EJ$1,$BT$2:$CA$2,$BT3:$CA3,0)</f>
        <v>0</v>
      </c>
      <c r="EL3" s="26">
        <f t="shared" ref="EL3:EL12" si="38">$CN3*_xlfn.XLOOKUP(EL$1,$BT$2:$CA$2,$BT3:$CA3,0)</f>
        <v>0</v>
      </c>
      <c r="EM3" s="26">
        <f t="shared" ref="EM3:EM12" si="39">$CO3*_xlfn.XLOOKUP(EM$1,$BT$2:$CA$2,$BT3:$CA3,0)</f>
        <v>0</v>
      </c>
      <c r="EN3" s="26">
        <f t="shared" ref="EN3:EN12" si="40">$CP3*_xlfn.XLOOKUP(EN$1,$BT$2:$CA$2,$BT3:$CA3,0)</f>
        <v>0</v>
      </c>
      <c r="EO3" s="26">
        <f t="shared" ref="EO3:EO12" si="41">$CQ3*_xlfn.XLOOKUP(EO$1,$BT$2:$CA$2,$BT3:$CA3,0)</f>
        <v>0</v>
      </c>
      <c r="EP3" s="26">
        <f t="shared" ref="EP3:EP12" si="42">$CR3*_xlfn.XLOOKUP(EP$1,$BT$2:$CA$2,$BT3:$CA3,0)</f>
        <v>0</v>
      </c>
      <c r="EQ3" s="26">
        <f t="shared" ref="EQ3:EQ12" si="43">$CS3*_xlfn.XLOOKUP(EQ$1,$BT$2:$CA$2,$BT3:$CA3,0)</f>
        <v>0</v>
      </c>
      <c r="ER3" s="26">
        <f t="shared" ref="ER3:ER12" si="44">$CT3*_xlfn.XLOOKUP(ER$1,$BT$2:$CA$2,$BT3:$CA3,0)</f>
        <v>0</v>
      </c>
      <c r="ES3" s="26">
        <f t="shared" ref="ES3:ES12" si="45">$CU3*_xlfn.XLOOKUP(ES$1,$BT$2:$CA$2,$BT3:$CA3,0)</f>
        <v>0</v>
      </c>
      <c r="ET3" s="26">
        <f t="shared" ref="ET3:ET12" si="46">$CV3*_xlfn.XLOOKUP(ET$1,$BT$2:$CA$2,$BT3:$CA3,0)</f>
        <v>0</v>
      </c>
      <c r="EV3" s="26">
        <f t="shared" ref="EV3:EV12" si="47">$CN3*_xlfn.XLOOKUP(EV$1,$BT$2:$CA$2,$BT3:$CA3,0)</f>
        <v>0</v>
      </c>
      <c r="EW3" s="26">
        <f t="shared" ref="EW3:EW12" si="48">$CO3*_xlfn.XLOOKUP(EW$1,$BT$2:$CA$2,$BT3:$CA3,0)</f>
        <v>0</v>
      </c>
      <c r="EX3" s="26">
        <f t="shared" ref="EX3:EX12" si="49">$CP3*_xlfn.XLOOKUP(EX$1,$BT$2:$CA$2,$BT3:$CA3,0)</f>
        <v>0</v>
      </c>
      <c r="EY3" s="26">
        <f t="shared" ref="EY3:EY12" si="50">$CQ3*_xlfn.XLOOKUP(EY$1,$BT$2:$CA$2,$BT3:$CA3,0)</f>
        <v>0</v>
      </c>
      <c r="EZ3" s="26">
        <f t="shared" ref="EZ3:EZ12" si="51">$CR3*_xlfn.XLOOKUP(EZ$1,$BT$2:$CA$2,$BT3:$CA3,0)</f>
        <v>0</v>
      </c>
      <c r="FA3" s="26">
        <f t="shared" ref="FA3:FA12" si="52">$CS3*_xlfn.XLOOKUP(FA$1,$BT$2:$CA$2,$BT3:$CA3,0)</f>
        <v>0</v>
      </c>
      <c r="FB3" s="26">
        <f t="shared" ref="FB3:FB12" si="53">$CT3*_xlfn.XLOOKUP(FB$1,$BT$2:$CA$2,$BT3:$CA3,0)</f>
        <v>0</v>
      </c>
      <c r="FC3" s="26">
        <f t="shared" ref="FC3:FC12" si="54">$CU3*_xlfn.XLOOKUP(FC$1,$BT$2:$CA$2,$BT3:$CA3,0)</f>
        <v>0</v>
      </c>
      <c r="FD3" s="26">
        <f t="shared" ref="FD3:FD12" si="55">$CV3*_xlfn.XLOOKUP(FD$1,$BT$2:$CA$2,$BT3:$CA3,0)</f>
        <v>0</v>
      </c>
      <c r="FF3" s="26">
        <f t="shared" ref="FF3:FF12" si="56">$CN3*_xlfn.XLOOKUP(FF$1,$BT$2:$CA$2,$BT3:$CA3,0)</f>
        <v>0</v>
      </c>
      <c r="FG3" s="26">
        <f t="shared" ref="FG3:FG12" si="57">$CO3*_xlfn.XLOOKUP(FG$1,$BT$2:$CA$2,$BT3:$CA3,0)</f>
        <v>0</v>
      </c>
      <c r="FH3" s="26">
        <f t="shared" ref="FH3:FH12" si="58">$CP3*_xlfn.XLOOKUP(FH$1,$BT$2:$CA$2,$BT3:$CA3,0)</f>
        <v>0</v>
      </c>
      <c r="FI3" s="26">
        <f t="shared" ref="FI3:FI12" si="59">$CQ3*_xlfn.XLOOKUP(FI$1,$BT$2:$CA$2,$BT3:$CA3,0)</f>
        <v>0</v>
      </c>
      <c r="FJ3" s="26">
        <f t="shared" ref="FJ3:FJ12" si="60">$CR3*_xlfn.XLOOKUP(FJ$1,$BT$2:$CA$2,$BT3:$CA3,0)</f>
        <v>0</v>
      </c>
      <c r="FK3" s="26">
        <f t="shared" ref="FK3:FK12" si="61">$CS3*_xlfn.XLOOKUP(FK$1,$BT$2:$CA$2,$BT3:$CA3,0)</f>
        <v>0</v>
      </c>
      <c r="FL3" s="26">
        <f t="shared" ref="FL3:FL12" si="62">$CT3*_xlfn.XLOOKUP(FL$1,$BT$2:$CA$2,$BT3:$CA3,0)</f>
        <v>0</v>
      </c>
      <c r="FM3" s="26">
        <f t="shared" ref="FM3:FM12" si="63">$CU3*_xlfn.XLOOKUP(FM$1,$BT$2:$CA$2,$BT3:$CA3,0)</f>
        <v>0</v>
      </c>
      <c r="FN3" s="26">
        <f t="shared" ref="FN3:FN12" si="64">$CV3*_xlfn.XLOOKUP(FN$1,$BT$2:$CA$2,$BT3:$CA3,0)</f>
        <v>0</v>
      </c>
      <c r="FP3" s="26" t="e">
        <f t="shared" ref="FP3:FP12" si="65">$CN3*_xlfn.XLOOKUP(FP$1,$BT$2:$CA$2,$BT3:$CA3,0)</f>
        <v>#REF!</v>
      </c>
      <c r="FQ3" s="26" t="e">
        <f t="shared" ref="FQ3:FQ12" si="66">$CO3*_xlfn.XLOOKUP(FQ$1,$BT$2:$CA$2,$BT3:$CA3,0)</f>
        <v>#REF!</v>
      </c>
      <c r="FR3" s="26" t="e">
        <f t="shared" ref="FR3:FR12" si="67">$CP3*_xlfn.XLOOKUP(FR$1,$BT$2:$CA$2,$BT3:$CA3,0)</f>
        <v>#REF!</v>
      </c>
      <c r="FS3" s="26" t="e">
        <f t="shared" ref="FS3:FS12" si="68">$CQ3*_xlfn.XLOOKUP(FS$1,$BT$2:$CA$2,$BT3:$CA3,0)</f>
        <v>#REF!</v>
      </c>
      <c r="FT3" s="26" t="e">
        <f t="shared" ref="FT3:FT12" si="69">$CR3*_xlfn.XLOOKUP(FT$1,$BT$2:$CA$2,$BT3:$CA3,0)</f>
        <v>#REF!</v>
      </c>
      <c r="FU3" s="26" t="e">
        <f t="shared" ref="FU3:FU12" si="70">$CS3*_xlfn.XLOOKUP(FU$1,$BT$2:$CA$2,$BT3:$CA3,0)</f>
        <v>#REF!</v>
      </c>
      <c r="FV3" s="26" t="e">
        <f t="shared" ref="FV3:FV12" si="71">$CT3*_xlfn.XLOOKUP(FV$1,$BT$2:$CA$2,$BT3:$CA3,0)</f>
        <v>#REF!</v>
      </c>
      <c r="FW3" s="26" t="e">
        <f t="shared" ref="FW3:FW12" si="72">$CU3*_xlfn.XLOOKUP(FW$1,$BT$2:$CA$2,$BT3:$CA3,0)</f>
        <v>#REF!</v>
      </c>
      <c r="FX3" s="26" t="e">
        <f t="shared" ref="FX3:FX12" si="73">$CV3*_xlfn.XLOOKUP(FX$1,$BT$2:$CA$2,$BT3:$CA3,0)</f>
        <v>#REF!</v>
      </c>
      <c r="GB3" s="26" t="e">
        <f>IF(GB$2=InputTable[[#This Row],[Delivery Date]],_xlfn.XLOOKUP(GB$1,$BH$2:$BR$2,$BH3:$BR3,0),0)</f>
        <v>#REF!</v>
      </c>
      <c r="GC3" s="26">
        <f>IF(GC$2=InputTable[[#This Row],[Delivery Date]],_xlfn.XLOOKUP(GC$1,$BH$2:$BR$2,$BH3:$BR3,0),0)</f>
        <v>0</v>
      </c>
      <c r="GD3" s="26">
        <f>IF(GD$2=InputTable[[#This Row],[Delivery Date]],_xlfn.XLOOKUP(GD$1,$BH$2:$BR$2,$BH3:$BR3,0),0)</f>
        <v>0</v>
      </c>
      <c r="GE3" s="26">
        <f>IF(GE$2=InputTable[[#This Row],[Delivery Date]],_xlfn.XLOOKUP(GE$1,$BH$2:$BR$2,$BH3:$BR3,0),0)</f>
        <v>0</v>
      </c>
      <c r="GF3" s="26">
        <f>IF(GF$2=InputTable[[#This Row],[Delivery Date]],_xlfn.XLOOKUP(GF$1,$BH$2:$BR$2,$BH3:$BR3,0),0)</f>
        <v>0</v>
      </c>
      <c r="GG3" s="26">
        <f>IF(GG$2=InputTable[[#This Row],[Delivery Date]],_xlfn.XLOOKUP(GG$1,$BH$2:$BR$2,$BH3:$BR3,0),0)</f>
        <v>0</v>
      </c>
      <c r="GH3" s="26">
        <f>IF(GH$2=InputTable[[#This Row],[Delivery Date]],_xlfn.XLOOKUP(GH$1,$BH$2:$BR$2,$BH3:$BR3,0),0)</f>
        <v>0</v>
      </c>
      <c r="GI3" s="26">
        <f>IF(GI$2=InputTable[[#This Row],[Delivery Date]],_xlfn.XLOOKUP(GI$1,$BH$2:$BR$2,$BH3:$BR3,0),0)</f>
        <v>0</v>
      </c>
      <c r="GJ3" s="26">
        <f>IF(GJ$2=InputTable[[#This Row],[Delivery Date]],_xlfn.XLOOKUP(GJ$1,$BH$2:$BR$2,$BH3:$BR3,0),0)</f>
        <v>0</v>
      </c>
      <c r="GL3" s="26" t="e">
        <f>IF(GL$2=InputTable[[#This Row],[Delivery Date]],_xlfn.XLOOKUP(GL$1,$BH$2:$BR$2,$BH3:$BR3,0),0)</f>
        <v>#REF!</v>
      </c>
      <c r="GM3" s="26">
        <f>IF(GM$2=InputTable[[#This Row],[Delivery Date]],_xlfn.XLOOKUP(GM$1,$BH$2:$BR$2,$BH3:$BR3,0),0)</f>
        <v>0</v>
      </c>
      <c r="GN3" s="26">
        <f>IF(GN$2=InputTable[[#This Row],[Delivery Date]],_xlfn.XLOOKUP(GN$1,$BH$2:$BR$2,$BH3:$BR3,0),0)</f>
        <v>0</v>
      </c>
      <c r="GO3" s="26">
        <f>IF(GO$2=InputTable[[#This Row],[Delivery Date]],_xlfn.XLOOKUP(GO$1,$BH$2:$BR$2,$BH3:$BR3,0),0)</f>
        <v>0</v>
      </c>
      <c r="GP3" s="26">
        <f>IF(GP$2=InputTable[[#This Row],[Delivery Date]],_xlfn.XLOOKUP(GP$1,$BH$2:$BR$2,$BH3:$BR3,0),0)</f>
        <v>0</v>
      </c>
      <c r="GQ3" s="26">
        <f>IF(GQ$2=InputTable[[#This Row],[Delivery Date]],_xlfn.XLOOKUP(GQ$1,$BH$2:$BR$2,$BH3:$BR3,0),0)</f>
        <v>0</v>
      </c>
      <c r="GR3" s="26">
        <f>IF(GR$2=InputTable[[#This Row],[Delivery Date]],_xlfn.XLOOKUP(GR$1,$BH$2:$BR$2,$BH3:$BR3,0),0)</f>
        <v>0</v>
      </c>
      <c r="GS3" s="26">
        <f>IF(GS$2=InputTable[[#This Row],[Delivery Date]],_xlfn.XLOOKUP(GS$1,$BH$2:$BR$2,$BH3:$BR3,0),0)</f>
        <v>0</v>
      </c>
      <c r="GT3" s="26">
        <f>IF(GT$2=InputTable[[#This Row],[Delivery Date]],_xlfn.XLOOKUP(GT$1,$BH$2:$BR$2,$BH3:$BR3,0),0)</f>
        <v>0</v>
      </c>
      <c r="GV3" s="26" t="e">
        <f>IF(GV$2=InputTable[[#This Row],[Delivery Date]],_xlfn.XLOOKUP(GV$1,$BH$2:$BR$2,$BH3:$BR3,0),0)</f>
        <v>#REF!</v>
      </c>
      <c r="GW3" s="26">
        <f>IF(GW$2=InputTable[[#This Row],[Delivery Date]],_xlfn.XLOOKUP(GW$1,$BH$2:$BR$2,$BH3:$BR3,0),0)</f>
        <v>0</v>
      </c>
      <c r="GX3" s="26">
        <f>IF(GX$2=InputTable[[#This Row],[Delivery Date]],_xlfn.XLOOKUP(GX$1,$BH$2:$BR$2,$BH3:$BR3,0),0)</f>
        <v>0</v>
      </c>
      <c r="GY3" s="26">
        <f>IF(GY$2=InputTable[[#This Row],[Delivery Date]],_xlfn.XLOOKUP(GY$1,$BH$2:$BR$2,$BH3:$BR3,0),0)</f>
        <v>0</v>
      </c>
      <c r="GZ3" s="26">
        <f>IF(GZ$2=InputTable[[#This Row],[Delivery Date]],_xlfn.XLOOKUP(GZ$1,$BH$2:$BR$2,$BH3:$BR3,0),0)</f>
        <v>0</v>
      </c>
      <c r="HA3" s="26">
        <f>IF(HA$2=InputTable[[#This Row],[Delivery Date]],_xlfn.XLOOKUP(HA$1,$BH$2:$BR$2,$BH3:$BR3,0),0)</f>
        <v>0</v>
      </c>
      <c r="HB3" s="26">
        <f>IF(HB$2=InputTable[[#This Row],[Delivery Date]],_xlfn.XLOOKUP(HB$1,$BH$2:$BR$2,$BH3:$BR3,0),0)</f>
        <v>0</v>
      </c>
      <c r="HC3" s="26">
        <f>IF(HC$2=InputTable[[#This Row],[Delivery Date]],_xlfn.XLOOKUP(HC$1,$BH$2:$BR$2,$BH3:$BR3,0),0)</f>
        <v>0</v>
      </c>
      <c r="HD3" s="26">
        <f>IF(HD$2=InputTable[[#This Row],[Delivery Date]],_xlfn.XLOOKUP(HD$1,$BH$2:$BR$2,$BH3:$BR3,0),0)</f>
        <v>0</v>
      </c>
      <c r="HF3" s="26" t="e">
        <f>IF(HF$2=InputTable[[#This Row],[Delivery Date]],_xlfn.XLOOKUP(HF$1,$BH$2:$BR$2,$BH3:$BR3,0),0)</f>
        <v>#REF!</v>
      </c>
      <c r="HG3" s="26">
        <f>IF(HG$2=InputTable[[#This Row],[Delivery Date]],_xlfn.XLOOKUP(HG$1,$BH$2:$BR$2,$BH3:$BR3,0),0)</f>
        <v>0</v>
      </c>
      <c r="HH3" s="26">
        <f>IF(HH$2=InputTable[[#This Row],[Delivery Date]],_xlfn.XLOOKUP(HH$1,$BH$2:$BR$2,$BH3:$BR3,0),0)</f>
        <v>0</v>
      </c>
      <c r="HI3" s="26">
        <f>IF(HI$2=InputTable[[#This Row],[Delivery Date]],_xlfn.XLOOKUP(HI$1,$BH$2:$BR$2,$BH3:$BR3,0),0)</f>
        <v>0</v>
      </c>
      <c r="HJ3" s="26">
        <f>IF(HJ$2=InputTable[[#This Row],[Delivery Date]],_xlfn.XLOOKUP(HJ$1,$BH$2:$BR$2,$BH3:$BR3,0),0)</f>
        <v>0</v>
      </c>
      <c r="HK3" s="26">
        <f>IF(HK$2=InputTable[[#This Row],[Delivery Date]],_xlfn.XLOOKUP(HK$1,$BH$2:$BR$2,$BH3:$BR3,0),0)</f>
        <v>0</v>
      </c>
      <c r="HL3" s="26">
        <f>IF(HL$2=InputTable[[#This Row],[Delivery Date]],_xlfn.XLOOKUP(HL$1,$BH$2:$BR$2,$BH3:$BR3,0),0)</f>
        <v>0</v>
      </c>
      <c r="HM3" s="26">
        <f>IF(HM$2=InputTable[[#This Row],[Delivery Date]],_xlfn.XLOOKUP(HM$1,$BH$2:$BR$2,$BH3:$BR3,0),0)</f>
        <v>0</v>
      </c>
      <c r="HN3" s="26">
        <f>IF(HN$2=InputTable[[#This Row],[Delivery Date]],_xlfn.XLOOKUP(HN$1,$BH$2:$BR$2,$BH3:$BR3,0),0)</f>
        <v>0</v>
      </c>
      <c r="HP3" s="26" t="e">
        <f>IF(HP$2=InputTable[[#This Row],[Delivery Date]],_xlfn.XLOOKUP(HP$1,$BH$2:$BR$2,$BH3:$BR3,0),0)</f>
        <v>#REF!</v>
      </c>
      <c r="HQ3" s="26">
        <f>IF(HQ$2=InputTable[[#This Row],[Delivery Date]],_xlfn.XLOOKUP(HQ$1,$BH$2:$BR$2,$BH3:$BR3,0),0)</f>
        <v>0</v>
      </c>
      <c r="HR3" s="26">
        <f>IF(HR$2=InputTable[[#This Row],[Delivery Date]],_xlfn.XLOOKUP(HR$1,$BH$2:$BR$2,$BH3:$BR3,0),0)</f>
        <v>0</v>
      </c>
      <c r="HS3" s="26">
        <f>IF(HS$2=InputTable[[#This Row],[Delivery Date]],_xlfn.XLOOKUP(HS$1,$BH$2:$BR$2,$BH3:$BR3,0),0)</f>
        <v>0</v>
      </c>
      <c r="HT3" s="26">
        <f>IF(HT$2=InputTable[[#This Row],[Delivery Date]],_xlfn.XLOOKUP(HT$1,$BH$2:$BR$2,$BH3:$BR3,0),0)</f>
        <v>0</v>
      </c>
      <c r="HU3" s="26">
        <f>IF(HU$2=InputTable[[#This Row],[Delivery Date]],_xlfn.XLOOKUP(HU$1,$BH$2:$BR$2,$BH3:$BR3,0),0)</f>
        <v>0</v>
      </c>
      <c r="HV3" s="26">
        <f>IF(HV$2=InputTable[[#This Row],[Delivery Date]],_xlfn.XLOOKUP(HV$1,$BH$2:$BR$2,$BH3:$BR3,0),0)</f>
        <v>0</v>
      </c>
      <c r="HW3" s="26">
        <f>IF(HW$2=InputTable[[#This Row],[Delivery Date]],_xlfn.XLOOKUP(HW$1,$BH$2:$BR$2,$BH3:$BR3,0),0)</f>
        <v>0</v>
      </c>
      <c r="HX3" s="26">
        <f>IF(HX$2=InputTable[[#This Row],[Delivery Date]],_xlfn.XLOOKUP(HX$1,$BH$2:$BR$2,$BH3:$BR3,0),0)</f>
        <v>0</v>
      </c>
      <c r="HZ3" s="26" t="e">
        <f>IF(HZ$2=InputTable[[#This Row],[Delivery Date]],_xlfn.XLOOKUP(HZ$1,$BH$2:$BR$2,$BH3:$BR3,0),0)</f>
        <v>#REF!</v>
      </c>
      <c r="IA3" s="26">
        <f>IF(IA$2=InputTable[[#This Row],[Delivery Date]],_xlfn.XLOOKUP(IA$1,$BH$2:$BR$2,$BH3:$BR3,0),0)</f>
        <v>0</v>
      </c>
      <c r="IB3" s="26">
        <f>IF(IB$2=InputTable[[#This Row],[Delivery Date]],_xlfn.XLOOKUP(IB$1,$BH$2:$BR$2,$BH3:$BR3,0),0)</f>
        <v>0</v>
      </c>
      <c r="IC3" s="26">
        <f>IF(IC$2=InputTable[[#This Row],[Delivery Date]],_xlfn.XLOOKUP(IC$1,$BH$2:$BR$2,$BH3:$BR3,0),0)</f>
        <v>0</v>
      </c>
      <c r="ID3" s="26">
        <f>IF(ID$2=InputTable[[#This Row],[Delivery Date]],_xlfn.XLOOKUP(ID$1,$BH$2:$BR$2,$BH3:$BR3,0),0)</f>
        <v>0</v>
      </c>
      <c r="IE3" s="26">
        <f>IF(IE$2=InputTable[[#This Row],[Delivery Date]],_xlfn.XLOOKUP(IE$1,$BH$2:$BR$2,$BH3:$BR3,0),0)</f>
        <v>0</v>
      </c>
      <c r="IF3" s="26">
        <f>IF(IF$2=InputTable[[#This Row],[Delivery Date]],_xlfn.XLOOKUP(IF$1,$BH$2:$BR$2,$BH3:$BR3,0),0)</f>
        <v>0</v>
      </c>
      <c r="IG3" s="26">
        <f>IF(IG$2=InputTable[[#This Row],[Delivery Date]],_xlfn.XLOOKUP(IG$1,$BH$2:$BR$2,$BH3:$BR3,0),0)</f>
        <v>0</v>
      </c>
      <c r="IH3" s="26">
        <f>IF(IH$2=InputTable[[#This Row],[Delivery Date]],_xlfn.XLOOKUP(IH$1,$BH$2:$BR$2,$BH3:$BR3,0),0)</f>
        <v>0</v>
      </c>
      <c r="IJ3" s="26" t="e">
        <f>IF(IJ$2=InputTable[[#This Row],[Delivery Date]],_xlfn.XLOOKUP(IJ$1,$BH$2:$BR$2,$BH3:$BR3,0),0)</f>
        <v>#REF!</v>
      </c>
      <c r="IK3" s="26">
        <f>IF(IK$2=InputTable[[#This Row],[Delivery Date]],_xlfn.XLOOKUP(IK$1,$BH$2:$BR$2,$BH3:$BR3,0),0)</f>
        <v>0</v>
      </c>
      <c r="IL3" s="26">
        <f>IF(IL$2=InputTable[[#This Row],[Delivery Date]],_xlfn.XLOOKUP(IL$1,$BH$2:$BR$2,$BH3:$BR3,0),0)</f>
        <v>0</v>
      </c>
      <c r="IM3" s="26">
        <f>IF(IM$2=InputTable[[#This Row],[Delivery Date]],_xlfn.XLOOKUP(IM$1,$BH$2:$BR$2,$BH3:$BR3,0),0)</f>
        <v>0</v>
      </c>
      <c r="IN3" s="26">
        <f>IF(IN$2=InputTable[[#This Row],[Delivery Date]],_xlfn.XLOOKUP(IN$1,$BH$2:$BR$2,$BH3:$BR3,0),0)</f>
        <v>0</v>
      </c>
      <c r="IO3" s="26">
        <f>IF(IO$2=InputTable[[#This Row],[Delivery Date]],_xlfn.XLOOKUP(IO$1,$BH$2:$BR$2,$BH3:$BR3,0),0)</f>
        <v>0</v>
      </c>
      <c r="IP3" s="26">
        <f>IF(IP$2=InputTable[[#This Row],[Delivery Date]],_xlfn.XLOOKUP(IP$1,$BH$2:$BR$2,$BH3:$BR3,0),0)</f>
        <v>0</v>
      </c>
      <c r="IQ3" s="26">
        <f>IF(IQ$2=InputTable[[#This Row],[Delivery Date]],_xlfn.XLOOKUP(IQ$1,$BH$2:$BR$2,$BH3:$BR3,0),0)</f>
        <v>0</v>
      </c>
      <c r="IR3" s="26">
        <f>IF(IR$2=InputTable[[#This Row],[Delivery Date]],_xlfn.XLOOKUP(IR$1,$BH$2:$BR$2,$BH3:$BR3,0),0)</f>
        <v>0</v>
      </c>
      <c r="IT3" s="26" t="e">
        <f>IF(IT$2=InputTable[[#This Row],[Delivery Date]],_xlfn.XLOOKUP(IT$1,$BH$2:$BR$2,$BH3:$BR3,0),0)</f>
        <v>#REF!</v>
      </c>
      <c r="IU3" s="26">
        <f>IF(IU$2=InputTable[[#This Row],[Delivery Date]],_xlfn.XLOOKUP(IU$1,$BH$2:$BR$2,$BH3:$BR3,0),0)</f>
        <v>0</v>
      </c>
      <c r="IV3" s="26">
        <f>IF(IV$2=InputTable[[#This Row],[Delivery Date]],_xlfn.XLOOKUP(IV$1,$BH$2:$BR$2,$BH3:$BR3,0),0)</f>
        <v>0</v>
      </c>
      <c r="IW3" s="26">
        <f>IF(IW$2=InputTable[[#This Row],[Delivery Date]],_xlfn.XLOOKUP(IW$1,$BH$2:$BR$2,$BH3:$BR3,0),0)</f>
        <v>0</v>
      </c>
      <c r="IX3" s="26">
        <f>IF(IX$2=InputTable[[#This Row],[Delivery Date]],_xlfn.XLOOKUP(IX$1,$BH$2:$BR$2,$BH3:$BR3,0),0)</f>
        <v>0</v>
      </c>
      <c r="IY3" s="26">
        <f>IF(IY$2=InputTable[[#This Row],[Delivery Date]],_xlfn.XLOOKUP(IY$1,$BH$2:$BR$2,$BH3:$BR3,0),0)</f>
        <v>0</v>
      </c>
      <c r="IZ3" s="26">
        <f>IF(IZ$2=InputTable[[#This Row],[Delivery Date]],_xlfn.XLOOKUP(IZ$1,$BH$2:$BR$2,$BH3:$BR3,0),0)</f>
        <v>0</v>
      </c>
      <c r="JA3" s="26">
        <f>IF(JA$2=InputTable[[#This Row],[Delivery Date]],_xlfn.XLOOKUP(JA$1,$BH$2:$BR$2,$BH3:$BR3,0),0)</f>
        <v>0</v>
      </c>
      <c r="JB3" s="26">
        <f>IF(JB$2=InputTable[[#This Row],[Delivery Date]],_xlfn.XLOOKUP(JB$1,$BH$2:$BR$2,$BH3:$BR3,0),0)</f>
        <v>0</v>
      </c>
      <c r="JD3" s="26" t="e">
        <f>IF(JD$2=InputTable[[#This Row],[Delivery Date]],_xlfn.XLOOKUP(JD$1,$BH$2:$BR$2,$BH3:$BR3,0),0)</f>
        <v>#REF!</v>
      </c>
      <c r="JE3" s="26">
        <f>IF(JE$2=InputTable[[#This Row],[Delivery Date]],_xlfn.XLOOKUP(JE$1,$BH$2:$BR$2,$BH3:$BR3,0),0)</f>
        <v>0</v>
      </c>
      <c r="JF3" s="26">
        <f>IF(JF$2=InputTable[[#This Row],[Delivery Date]],_xlfn.XLOOKUP(JF$1,$BH$2:$BR$2,$BH3:$BR3,0),0)</f>
        <v>0</v>
      </c>
      <c r="JG3" s="26">
        <f>IF(JG$2=InputTable[[#This Row],[Delivery Date]],_xlfn.XLOOKUP(JG$1,$BH$2:$BR$2,$BH3:$BR3,0),0)</f>
        <v>0</v>
      </c>
      <c r="JH3" s="26">
        <f>IF(JH$2=InputTable[[#This Row],[Delivery Date]],_xlfn.XLOOKUP(JH$1,$BH$2:$BR$2,$BH3:$BR3,0),0)</f>
        <v>0</v>
      </c>
      <c r="JI3" s="26">
        <f>IF(JI$2=InputTable[[#This Row],[Delivery Date]],_xlfn.XLOOKUP(JI$1,$BH$2:$BR$2,$BH3:$BR3,0),0)</f>
        <v>0</v>
      </c>
      <c r="JJ3" s="26">
        <f>IF(JJ$2=InputTable[[#This Row],[Delivery Date]],_xlfn.XLOOKUP(JJ$1,$BH$2:$BR$2,$BH3:$BR3,0),0)</f>
        <v>0</v>
      </c>
      <c r="JK3" s="26">
        <f>IF(JK$2=InputTable[[#This Row],[Delivery Date]],_xlfn.XLOOKUP(JK$1,$BH$2:$BR$2,$BH3:$BR3,0),0)</f>
        <v>0</v>
      </c>
      <c r="JL3" s="26">
        <f>IF(JL$2=InputTable[[#This Row],[Delivery Date]],_xlfn.XLOOKUP(JL$1,$BH$2:$BR$2,$BH3:$BR3,0),0)</f>
        <v>0</v>
      </c>
      <c r="JN3" s="26" t="e">
        <f>IF(JN$2=InputTable[[#This Row],[Delivery Date]],_xlfn.XLOOKUP(JN$1,$BH$2:$BR$2,$BH3:$BR3,0),0)</f>
        <v>#REF!</v>
      </c>
      <c r="JO3" s="26">
        <f>IF(JO$2=InputTable[[#This Row],[Delivery Date]],_xlfn.XLOOKUP(JO$1,$BH$2:$BR$2,$BH3:$BR3,0),0)</f>
        <v>0</v>
      </c>
      <c r="JP3" s="26">
        <f>IF(JP$2=InputTable[[#This Row],[Delivery Date]],_xlfn.XLOOKUP(JP$1,$BH$2:$BR$2,$BH3:$BR3,0),0)</f>
        <v>0</v>
      </c>
      <c r="JQ3" s="26">
        <f>IF(JQ$2=InputTable[[#This Row],[Delivery Date]],_xlfn.XLOOKUP(JQ$1,$BH$2:$BR$2,$BH3:$BR3,0),0)</f>
        <v>0</v>
      </c>
      <c r="JR3" s="26">
        <f>IF(JR$2=InputTable[[#This Row],[Delivery Date]],_xlfn.XLOOKUP(JR$1,$BH$2:$BR$2,$BH3:$BR3,0),0)</f>
        <v>0</v>
      </c>
      <c r="JS3" s="26">
        <f>IF(JS$2=InputTable[[#This Row],[Delivery Date]],_xlfn.XLOOKUP(JS$1,$BH$2:$BR$2,$BH3:$BR3,0),0)</f>
        <v>0</v>
      </c>
      <c r="JT3" s="26">
        <f>IF(JT$2=InputTable[[#This Row],[Delivery Date]],_xlfn.XLOOKUP(JT$1,$BH$2:$BR$2,$BH3:$BR3,0),0)</f>
        <v>0</v>
      </c>
      <c r="JU3" s="26">
        <f>IF(JU$2=InputTable[[#This Row],[Delivery Date]],_xlfn.XLOOKUP(JU$1,$BH$2:$BR$2,$BH3:$BR3,0),0)</f>
        <v>0</v>
      </c>
      <c r="JV3" s="26">
        <f>IF(JV$2=InputTable[[#This Row],[Delivery Date]],_xlfn.XLOOKUP(JV$1,$BH$2:$BR$2,$BH3:$BR3,0),0)</f>
        <v>0</v>
      </c>
      <c r="JX3" s="26" t="e">
        <f>IF(JX$2=InputTable[[#This Row],[Delivery Date]],_xlfn.XLOOKUP(JX$1,$BH$2:$BR$2,$BH3:$BR3,0),0)</f>
        <v>#REF!</v>
      </c>
      <c r="JY3" s="26">
        <f>IF(JY$2=InputTable[[#This Row],[Delivery Date]],_xlfn.XLOOKUP(JY$1,$BH$2:$BR$2,$BH3:$BR3,0),0)</f>
        <v>0</v>
      </c>
      <c r="JZ3" s="26">
        <f>IF(JZ$2=InputTable[[#This Row],[Delivery Date]],_xlfn.XLOOKUP(JZ$1,$BH$2:$BR$2,$BH3:$BR3,0),0)</f>
        <v>0</v>
      </c>
      <c r="KA3" s="26">
        <f>IF(KA$2=InputTable[[#This Row],[Delivery Date]],_xlfn.XLOOKUP(KA$1,$BH$2:$BR$2,$BH3:$BR3,0),0)</f>
        <v>0</v>
      </c>
      <c r="KB3" s="26">
        <f>IF(KB$2=InputTable[[#This Row],[Delivery Date]],_xlfn.XLOOKUP(KB$1,$BH$2:$BR$2,$BH3:$BR3,0),0)</f>
        <v>0</v>
      </c>
      <c r="KC3" s="26">
        <f>IF(KC$2=InputTable[[#This Row],[Delivery Date]],_xlfn.XLOOKUP(KC$1,$BH$2:$BR$2,$BH3:$BR3,0),0)</f>
        <v>0</v>
      </c>
      <c r="KD3" s="26">
        <f>IF(KD$2=InputTable[[#This Row],[Delivery Date]],_xlfn.XLOOKUP(KD$1,$BH$2:$BR$2,$BH3:$BR3,0),0)</f>
        <v>0</v>
      </c>
      <c r="KE3" s="26">
        <f>IF(KE$2=InputTable[[#This Row],[Delivery Date]],_xlfn.XLOOKUP(KE$1,$BH$2:$BR$2,$BH3:$BR3,0),0)</f>
        <v>0</v>
      </c>
      <c r="KF3" s="26">
        <f>IF(KF$2=InputTable[[#This Row],[Delivery Date]],_xlfn.XLOOKUP(KF$1,$BH$2:$BR$2,$BH3:$BR3,0),0)</f>
        <v>0</v>
      </c>
    </row>
    <row r="4" spans="1:292" ht="39.6" customHeight="1" x14ac:dyDescent="0.25">
      <c r="A4" s="141"/>
      <c r="B4" s="141" t="s">
        <v>92</v>
      </c>
      <c r="C4" s="92" t="s">
        <v>93</v>
      </c>
      <c r="D4" s="125" t="s">
        <v>105</v>
      </c>
      <c r="E4" s="193" t="s">
        <v>106</v>
      </c>
      <c r="F4" s="92" t="s">
        <v>96</v>
      </c>
      <c r="G4" s="92">
        <v>2026</v>
      </c>
      <c r="H4" s="92"/>
      <c r="I4" s="92">
        <v>2026</v>
      </c>
      <c r="J4" s="122"/>
      <c r="K4" s="95" t="str">
        <f>VLOOKUP((InputTable[[#This Row],[Starting Date]]&amp; " - " &amp;InputTable[[#This Row],[Delivery Date]]),'System List'!$F$40:$H$83,2,FALSE)</f>
        <v>1 to 2 years</v>
      </c>
      <c r="L4" s="95">
        <f>VLOOKUP(InputTable[[#This Row],[Duration]],Duration,2,FALSE)</f>
        <v>8</v>
      </c>
      <c r="M4" s="122"/>
      <c r="N4" s="92"/>
      <c r="O4" s="92" t="s">
        <v>100</v>
      </c>
      <c r="P4" s="92"/>
      <c r="Q4" s="92"/>
      <c r="R4" s="92" t="s">
        <v>100</v>
      </c>
      <c r="S4" s="92"/>
      <c r="T4" s="172" cm="1">
        <f t="array" ref="T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6.5</v>
      </c>
      <c r="U4" s="138"/>
      <c r="V4" s="92"/>
      <c r="W4" s="92"/>
      <c r="X4" s="92"/>
      <c r="Y4" s="92"/>
      <c r="Z4" s="92"/>
      <c r="AA4" s="92"/>
      <c r="AB4" s="92"/>
      <c r="AC4" s="92"/>
      <c r="AD4" s="92">
        <f>COUNTA(InputTable[[#This Row],[CORPHRFIN]:[SALES]])</f>
        <v>0</v>
      </c>
      <c r="AE4" s="88" cm="1">
        <f t="array" ref="AE4">SUM(
_xlfn.XLOOKUP(InputTable[[#This Row],[CORPHRFIN]:[SALES]],'System List'!$F$4:$F$7,'System List'!$H$4:$H$7,0))</f>
        <v>0</v>
      </c>
      <c r="AF4" s="140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88" cm="1">
        <f t="array" ref="AR4">SUM(
_xlfn.XLOOKUP(InputTable[[#This Row],[Impact on - CIAL]:[Impact on - STRAT]],'System List'!$F$4:$F$7,'System List'!$H$4:$H$7,0))</f>
        <v>0</v>
      </c>
      <c r="AS4" s="88">
        <f>VLOOKUP(InputTable[[#This Row],[Duration]],Duration,2,FALSE)+InputTable[[#This Row],[Resource Score]]</f>
        <v>8</v>
      </c>
      <c r="AT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" s="24">
        <f>InputTable[[#This Row],[Value Score]]/InputTable[[#This Row],[EFFORT SCORE]]*100</f>
        <v>81.25</v>
      </c>
      <c r="AV4" s="25"/>
      <c r="AW4" s="25" t="s">
        <v>101</v>
      </c>
      <c r="AX4" s="208"/>
      <c r="AY4" s="25"/>
      <c r="AZ4" s="209">
        <v>0</v>
      </c>
      <c r="BA4" s="209">
        <v>0</v>
      </c>
      <c r="BB4" s="209"/>
      <c r="BC4" s="189">
        <v>10000000</v>
      </c>
      <c r="BD4" s="188"/>
      <c r="BE4" s="188"/>
      <c r="BF4" s="70"/>
      <c r="BH4" s="2">
        <f>IFERROR(VLOOKUP(InputTable[[#This Row],[Impact on - CIAL]],'System List'!$F$4:$H$7,3,FALSE),0)</f>
        <v>0</v>
      </c>
      <c r="BI4" s="2">
        <f>IFERROR(VLOOKUP(InputTable[[#This Row],[Impact on - COM]],'System List'!$F$4:$H$7,3,FALSE),0)</f>
        <v>0</v>
      </c>
      <c r="BJ4" s="2">
        <f>IFERROR(VLOOKUP(InputTable[[#This Row],[Impact on - FIN]],'System List'!$F$4:$H$7,3,FALSE),0)</f>
        <v>0</v>
      </c>
      <c r="BK4" s="2">
        <f>IFERROR(VLOOKUP(InputTable[[#This Row],[Impact on - GEN SEC]],'System List'!$F$4:$H$7,3,FALSE),0)</f>
        <v>0</v>
      </c>
      <c r="BL4" s="2">
        <f>IFERROR(VLOOKUP(InputTable[[#This Row],[Impact on - HR]],'System List'!$F$4:$H$7,3,FALSE),0)</f>
        <v>0</v>
      </c>
      <c r="BM4" s="2">
        <f>IFERROR(VLOOKUP(InputTable[[#This Row],[Impact on - IS]],'System List'!$F$4:$H$7,3,FALSE),0)</f>
        <v>0</v>
      </c>
      <c r="BN4" s="2">
        <f>IFERROR(VLOOKUP(InputTable[[#This Row],[Impact on - OPS]],'System List'!$F$4:$H$7,3,FALSE),0)</f>
        <v>0</v>
      </c>
      <c r="BO4" s="2">
        <f>IFERROR(VLOOKUP(InputTable[[#This Row],[Impact on - ROLL STOCK]],'System List'!$F$4:$H$7,3,FALSE),0)</f>
        <v>0</v>
      </c>
      <c r="BP4" s="2">
        <f>IFERROR(VLOOKUP(InputTable[[#This Row],[Impact on - SAFETY]],'System List'!$F$4:$H$7,3,FALSE),0)</f>
        <v>0</v>
      </c>
      <c r="BQ4" s="2">
        <f>IFERROR(VLOOKUP(InputTable[[#This Row],[Impact on - STATION]],'System List'!$F$4:$H$7,3,FALSE),0)</f>
        <v>0</v>
      </c>
      <c r="BR4" s="2">
        <f>IFERROR(VLOOKUP(InputTable[[#This Row],[Impact on - STRAT]],'System List'!$F$4:$H$7,3,FALSE),0)</f>
        <v>0</v>
      </c>
      <c r="BT4" s="2">
        <f>IFERROR(VLOOKUP(InputTable[[#This Row],[CORPHRFIN]],'System List'!$F$4:$H$7,3,FALSE),0)</f>
        <v>0</v>
      </c>
      <c r="BU4" s="2">
        <f>IFERROR(VLOOKUP(InputTable[[#This Row],[CUST]],'System List'!$F$4:$H$7,3,FALSE),0)</f>
        <v>0</v>
      </c>
      <c r="BV4" s="2">
        <f>IFERROR(VLOOKUP(InputTable[[#This Row],[CYBER]],'System List'!$F$4:$H$7,3,FALSE),0)</f>
        <v>0</v>
      </c>
      <c r="BW4" s="2">
        <f>IFERROR(VLOOKUP(InputTable[[#This Row],[DATA]],'System List'!$F$4:$H$7,3,FALSE),0)</f>
        <v>0</v>
      </c>
      <c r="BX4" s="2">
        <f>IFERROR(VLOOKUP(InputTable[[#This Row],[INFRA]],'System List'!$F$4:$H$7,3,FALSE),0)</f>
        <v>0</v>
      </c>
      <c r="BY4" s="2">
        <f>IFERROR(VLOOKUP(InputTable[[#This Row],[OPERATIONS]],'System List'!$F$4:$H$7,3,FALSE),0)</f>
        <v>0</v>
      </c>
      <c r="BZ4" s="2">
        <f>IFERROR(VLOOKUP(InputTable[[#This Row],[PMO]],'System List'!$F$4:$H$7,3,FALSE),0)</f>
        <v>0</v>
      </c>
      <c r="CA4" s="2">
        <f>IFERROR(VLOOKUP(InputTable[[#This Row],[SALES]],'System List'!$F$4:$H$7,3,FALSE),0)</f>
        <v>0</v>
      </c>
      <c r="CC4" s="2" cm="1">
        <f t="array" ref="CC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" s="2" cm="1">
        <f t="array" ref="CD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" s="2" cm="1">
        <f t="array" ref="CE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" s="2" cm="1">
        <f t="array" ref="CF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" s="2" cm="1">
        <f t="array" ref="CG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" s="2" cm="1">
        <f t="array" ref="CH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" s="2" cm="1">
        <f t="array" ref="CI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" s="2" cm="1">
        <f t="array" ref="CJ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" s="2" cm="1">
        <f t="array" ref="CK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" s="26">
        <f>$CN4*_xlfn.XLOOKUP(CX$1,$BT$2:$CA$2,$BT4:$CA4,0)</f>
        <v>0</v>
      </c>
      <c r="CY4" s="26">
        <f>$CO4*_xlfn.XLOOKUP(CY$1,$BT$2:$CA$2,$BT4:$CA4,0)</f>
        <v>0</v>
      </c>
      <c r="CZ4" s="26">
        <f>$CP4*_xlfn.XLOOKUP(CZ$1,$BT$2:$CA$2,$BT4:$CA4,0)</f>
        <v>0</v>
      </c>
      <c r="DA4" s="26">
        <f>$CQ4*_xlfn.XLOOKUP(DA$1,$BT$2:$CA$2,$BT4:$CA4,0)</f>
        <v>0</v>
      </c>
      <c r="DB4" s="26">
        <f>$CR4*_xlfn.XLOOKUP(DB$1,$BT$2:$CA$2,$BT4:$CA4,0)</f>
        <v>0</v>
      </c>
      <c r="DC4" s="26">
        <f>$CS4*_xlfn.XLOOKUP(DC$1,$BT$2:$CA$2,$BT4:$CA4,0)</f>
        <v>0</v>
      </c>
      <c r="DD4" s="26">
        <f>$CT4*_xlfn.XLOOKUP(DD$1,$BT$2:$CA$2,$BT4:$CA4,0)</f>
        <v>0</v>
      </c>
      <c r="DE4" s="26">
        <f>$CU4*_xlfn.XLOOKUP(DE$1,$BT$2:$CA$2,$BT4:$CA4,0)</f>
        <v>0</v>
      </c>
      <c r="DF4" s="26">
        <f>$CV4*_xlfn.XLOOKUP(DF$1,$BT$2:$CA$2,$BT4:$CA4,0)</f>
        <v>0</v>
      </c>
      <c r="DH4" s="26">
        <f t="shared" si="11"/>
        <v>0</v>
      </c>
      <c r="DI4" s="26">
        <f t="shared" si="12"/>
        <v>0</v>
      </c>
      <c r="DJ4" s="26">
        <f t="shared" si="13"/>
        <v>0</v>
      </c>
      <c r="DK4" s="26">
        <f t="shared" si="14"/>
        <v>0</v>
      </c>
      <c r="DL4" s="26">
        <f t="shared" si="15"/>
        <v>0</v>
      </c>
      <c r="DM4" s="26">
        <f t="shared" si="16"/>
        <v>0</v>
      </c>
      <c r="DN4" s="26">
        <f t="shared" si="17"/>
        <v>0</v>
      </c>
      <c r="DO4" s="26">
        <f t="shared" si="18"/>
        <v>0</v>
      </c>
      <c r="DP4" s="26">
        <f t="shared" si="19"/>
        <v>0</v>
      </c>
      <c r="DR4" s="26">
        <f t="shared" si="20"/>
        <v>0</v>
      </c>
      <c r="DS4" s="26">
        <f t="shared" si="21"/>
        <v>0</v>
      </c>
      <c r="DT4" s="26">
        <f t="shared" si="22"/>
        <v>0</v>
      </c>
      <c r="DU4" s="26">
        <f t="shared" si="23"/>
        <v>0</v>
      </c>
      <c r="DV4" s="26">
        <f t="shared" si="24"/>
        <v>0</v>
      </c>
      <c r="DW4" s="26">
        <f t="shared" si="25"/>
        <v>0</v>
      </c>
      <c r="DX4" s="26">
        <f t="shared" si="26"/>
        <v>0</v>
      </c>
      <c r="DY4" s="26">
        <f t="shared" si="27"/>
        <v>0</v>
      </c>
      <c r="DZ4" s="26">
        <f t="shared" si="28"/>
        <v>0</v>
      </c>
      <c r="EB4" s="26">
        <f t="shared" si="29"/>
        <v>0</v>
      </c>
      <c r="EC4" s="26">
        <f t="shared" si="30"/>
        <v>0</v>
      </c>
      <c r="ED4" s="26">
        <f t="shared" si="31"/>
        <v>0</v>
      </c>
      <c r="EE4" s="26">
        <f t="shared" si="32"/>
        <v>0</v>
      </c>
      <c r="EF4" s="26">
        <f t="shared" si="33"/>
        <v>0</v>
      </c>
      <c r="EG4" s="26">
        <f t="shared" si="34"/>
        <v>0</v>
      </c>
      <c r="EH4" s="26">
        <f t="shared" si="35"/>
        <v>0</v>
      </c>
      <c r="EI4" s="26">
        <f t="shared" si="36"/>
        <v>0</v>
      </c>
      <c r="EJ4" s="26">
        <f t="shared" si="37"/>
        <v>0</v>
      </c>
      <c r="EL4" s="26">
        <f t="shared" si="38"/>
        <v>0</v>
      </c>
      <c r="EM4" s="26">
        <f t="shared" si="39"/>
        <v>0</v>
      </c>
      <c r="EN4" s="26">
        <f t="shared" si="40"/>
        <v>0</v>
      </c>
      <c r="EO4" s="26">
        <f t="shared" si="41"/>
        <v>0</v>
      </c>
      <c r="EP4" s="26">
        <f t="shared" si="42"/>
        <v>0</v>
      </c>
      <c r="EQ4" s="26">
        <f t="shared" si="43"/>
        <v>0</v>
      </c>
      <c r="ER4" s="26">
        <f t="shared" si="44"/>
        <v>0</v>
      </c>
      <c r="ES4" s="26">
        <f t="shared" si="45"/>
        <v>0</v>
      </c>
      <c r="ET4" s="26">
        <f t="shared" si="46"/>
        <v>0</v>
      </c>
      <c r="EV4" s="26">
        <f t="shared" si="47"/>
        <v>0</v>
      </c>
      <c r="EW4" s="26">
        <f t="shared" si="48"/>
        <v>0</v>
      </c>
      <c r="EX4" s="26">
        <f t="shared" si="49"/>
        <v>0</v>
      </c>
      <c r="EY4" s="26">
        <f t="shared" si="50"/>
        <v>0</v>
      </c>
      <c r="EZ4" s="26">
        <f t="shared" si="51"/>
        <v>0</v>
      </c>
      <c r="FA4" s="26">
        <f t="shared" si="52"/>
        <v>0</v>
      </c>
      <c r="FB4" s="26">
        <f t="shared" si="53"/>
        <v>0</v>
      </c>
      <c r="FC4" s="26">
        <f t="shared" si="54"/>
        <v>0</v>
      </c>
      <c r="FD4" s="26">
        <f t="shared" si="55"/>
        <v>0</v>
      </c>
      <c r="FF4" s="26">
        <f t="shared" si="56"/>
        <v>0</v>
      </c>
      <c r="FG4" s="26">
        <f t="shared" si="57"/>
        <v>0</v>
      </c>
      <c r="FH4" s="26">
        <f t="shared" si="58"/>
        <v>0</v>
      </c>
      <c r="FI4" s="26">
        <f t="shared" si="59"/>
        <v>0</v>
      </c>
      <c r="FJ4" s="26">
        <f t="shared" si="60"/>
        <v>0</v>
      </c>
      <c r="FK4" s="26">
        <f t="shared" si="61"/>
        <v>0</v>
      </c>
      <c r="FL4" s="26">
        <f t="shared" si="62"/>
        <v>0</v>
      </c>
      <c r="FM4" s="26">
        <f t="shared" si="63"/>
        <v>0</v>
      </c>
      <c r="FN4" s="26">
        <f t="shared" si="64"/>
        <v>0</v>
      </c>
      <c r="FP4" s="26" t="e">
        <f t="shared" si="65"/>
        <v>#REF!</v>
      </c>
      <c r="FQ4" s="26" t="e">
        <f t="shared" si="66"/>
        <v>#REF!</v>
      </c>
      <c r="FR4" s="26" t="e">
        <f t="shared" si="67"/>
        <v>#REF!</v>
      </c>
      <c r="FS4" s="26" t="e">
        <f t="shared" si="68"/>
        <v>#REF!</v>
      </c>
      <c r="FT4" s="26" t="e">
        <f t="shared" si="69"/>
        <v>#REF!</v>
      </c>
      <c r="FU4" s="26" t="e">
        <f t="shared" si="70"/>
        <v>#REF!</v>
      </c>
      <c r="FV4" s="26" t="e">
        <f t="shared" si="71"/>
        <v>#REF!</v>
      </c>
      <c r="FW4" s="26" t="e">
        <f t="shared" si="72"/>
        <v>#REF!</v>
      </c>
      <c r="FX4" s="26" t="e">
        <f t="shared" si="73"/>
        <v>#REF!</v>
      </c>
      <c r="GB4" s="26" t="e">
        <f>IF(GB$2=InputTable[[#This Row],[Delivery Date]],_xlfn.XLOOKUP(GB$1,$BH$2:$BR$2,$BH4:$BR4,0),0)</f>
        <v>#REF!</v>
      </c>
      <c r="GC4" s="26">
        <f>IF(GC$2=InputTable[[#This Row],[Delivery Date]],_xlfn.XLOOKUP(GC$1,$BH$2:$BR$2,$BH4:$BR4,0),0)</f>
        <v>0</v>
      </c>
      <c r="GD4" s="26">
        <f>IF(GD$2=InputTable[[#This Row],[Delivery Date]],_xlfn.XLOOKUP(GD$1,$BH$2:$BR$2,$BH4:$BR4,0),0)</f>
        <v>0</v>
      </c>
      <c r="GE4" s="26">
        <f>IF(GE$2=InputTable[[#This Row],[Delivery Date]],_xlfn.XLOOKUP(GE$1,$BH$2:$BR$2,$BH4:$BR4,0),0)</f>
        <v>0</v>
      </c>
      <c r="GF4" s="26">
        <f>IF(GF$2=InputTable[[#This Row],[Delivery Date]],_xlfn.XLOOKUP(GF$1,$BH$2:$BR$2,$BH4:$BR4,0),0)</f>
        <v>0</v>
      </c>
      <c r="GG4" s="26">
        <f>IF(GG$2=InputTable[[#This Row],[Delivery Date]],_xlfn.XLOOKUP(GG$1,$BH$2:$BR$2,$BH4:$BR4,0),0)</f>
        <v>0</v>
      </c>
      <c r="GH4" s="26">
        <f>IF(GH$2=InputTable[[#This Row],[Delivery Date]],_xlfn.XLOOKUP(GH$1,$BH$2:$BR$2,$BH4:$BR4,0),0)</f>
        <v>0</v>
      </c>
      <c r="GI4" s="26">
        <f>IF(GI$2=InputTable[[#This Row],[Delivery Date]],_xlfn.XLOOKUP(GI$1,$BH$2:$BR$2,$BH4:$BR4,0),0)</f>
        <v>0</v>
      </c>
      <c r="GJ4" s="26">
        <f>IF(GJ$2=InputTable[[#This Row],[Delivery Date]],_xlfn.XLOOKUP(GJ$1,$BH$2:$BR$2,$BH4:$BR4,0),0)</f>
        <v>0</v>
      </c>
      <c r="GL4" s="26" t="e">
        <f>IF(GL$2=InputTable[[#This Row],[Delivery Date]],_xlfn.XLOOKUP(GL$1,$BH$2:$BR$2,$BH4:$BR4,0),0)</f>
        <v>#REF!</v>
      </c>
      <c r="GM4" s="26">
        <f>IF(GM$2=InputTable[[#This Row],[Delivery Date]],_xlfn.XLOOKUP(GM$1,$BH$2:$BR$2,$BH4:$BR4,0),0)</f>
        <v>0</v>
      </c>
      <c r="GN4" s="26">
        <f>IF(GN$2=InputTable[[#This Row],[Delivery Date]],_xlfn.XLOOKUP(GN$1,$BH$2:$BR$2,$BH4:$BR4,0),0)</f>
        <v>0</v>
      </c>
      <c r="GO4" s="26">
        <f>IF(GO$2=InputTable[[#This Row],[Delivery Date]],_xlfn.XLOOKUP(GO$1,$BH$2:$BR$2,$BH4:$BR4,0),0)</f>
        <v>0</v>
      </c>
      <c r="GP4" s="26">
        <f>IF(GP$2=InputTable[[#This Row],[Delivery Date]],_xlfn.XLOOKUP(GP$1,$BH$2:$BR$2,$BH4:$BR4,0),0)</f>
        <v>0</v>
      </c>
      <c r="GQ4" s="26">
        <f>IF(GQ$2=InputTable[[#This Row],[Delivery Date]],_xlfn.XLOOKUP(GQ$1,$BH$2:$BR$2,$BH4:$BR4,0),0)</f>
        <v>0</v>
      </c>
      <c r="GR4" s="26">
        <f>IF(GR$2=InputTable[[#This Row],[Delivery Date]],_xlfn.XLOOKUP(GR$1,$BH$2:$BR$2,$BH4:$BR4,0),0)</f>
        <v>0</v>
      </c>
      <c r="GS4" s="26">
        <f>IF(GS$2=InputTable[[#This Row],[Delivery Date]],_xlfn.XLOOKUP(GS$1,$BH$2:$BR$2,$BH4:$BR4,0),0)</f>
        <v>0</v>
      </c>
      <c r="GT4" s="26">
        <f>IF(GT$2=InputTable[[#This Row],[Delivery Date]],_xlfn.XLOOKUP(GT$1,$BH$2:$BR$2,$BH4:$BR4,0),0)</f>
        <v>0</v>
      </c>
      <c r="GV4" s="26" t="e">
        <f>IF(GV$2=InputTable[[#This Row],[Delivery Date]],_xlfn.XLOOKUP(GV$1,$BH$2:$BR$2,$BH4:$BR4,0),0)</f>
        <v>#REF!</v>
      </c>
      <c r="GW4" s="26">
        <f>IF(GW$2=InputTable[[#This Row],[Delivery Date]],_xlfn.XLOOKUP(GW$1,$BH$2:$BR$2,$BH4:$BR4,0),0)</f>
        <v>0</v>
      </c>
      <c r="GX4" s="26">
        <f>IF(GX$2=InputTable[[#This Row],[Delivery Date]],_xlfn.XLOOKUP(GX$1,$BH$2:$BR$2,$BH4:$BR4,0),0)</f>
        <v>0</v>
      </c>
      <c r="GY4" s="26">
        <f>IF(GY$2=InputTable[[#This Row],[Delivery Date]],_xlfn.XLOOKUP(GY$1,$BH$2:$BR$2,$BH4:$BR4,0),0)</f>
        <v>0</v>
      </c>
      <c r="GZ4" s="26">
        <f>IF(GZ$2=InputTable[[#This Row],[Delivery Date]],_xlfn.XLOOKUP(GZ$1,$BH$2:$BR$2,$BH4:$BR4,0),0)</f>
        <v>0</v>
      </c>
      <c r="HA4" s="26">
        <f>IF(HA$2=InputTable[[#This Row],[Delivery Date]],_xlfn.XLOOKUP(HA$1,$BH$2:$BR$2,$BH4:$BR4,0),0)</f>
        <v>0</v>
      </c>
      <c r="HB4" s="26">
        <f>IF(HB$2=InputTable[[#This Row],[Delivery Date]],_xlfn.XLOOKUP(HB$1,$BH$2:$BR$2,$BH4:$BR4,0),0)</f>
        <v>0</v>
      </c>
      <c r="HC4" s="26">
        <f>IF(HC$2=InputTable[[#This Row],[Delivery Date]],_xlfn.XLOOKUP(HC$1,$BH$2:$BR$2,$BH4:$BR4,0),0)</f>
        <v>0</v>
      </c>
      <c r="HD4" s="26">
        <f>IF(HD$2=InputTable[[#This Row],[Delivery Date]],_xlfn.XLOOKUP(HD$1,$BH$2:$BR$2,$BH4:$BR4,0),0)</f>
        <v>0</v>
      </c>
      <c r="HF4" s="26" t="e">
        <f>IF(HF$2=InputTable[[#This Row],[Delivery Date]],_xlfn.XLOOKUP(HF$1,$BH$2:$BR$2,$BH4:$BR4,0),0)</f>
        <v>#REF!</v>
      </c>
      <c r="HG4" s="26">
        <f>IF(HG$2=InputTable[[#This Row],[Delivery Date]],_xlfn.XLOOKUP(HG$1,$BH$2:$BR$2,$BH4:$BR4,0),0)</f>
        <v>0</v>
      </c>
      <c r="HH4" s="26">
        <f>IF(HH$2=InputTable[[#This Row],[Delivery Date]],_xlfn.XLOOKUP(HH$1,$BH$2:$BR$2,$BH4:$BR4,0),0)</f>
        <v>0</v>
      </c>
      <c r="HI4" s="26">
        <f>IF(HI$2=InputTable[[#This Row],[Delivery Date]],_xlfn.XLOOKUP(HI$1,$BH$2:$BR$2,$BH4:$BR4,0),0)</f>
        <v>0</v>
      </c>
      <c r="HJ4" s="26">
        <f>IF(HJ$2=InputTable[[#This Row],[Delivery Date]],_xlfn.XLOOKUP(HJ$1,$BH$2:$BR$2,$BH4:$BR4,0),0)</f>
        <v>0</v>
      </c>
      <c r="HK4" s="26">
        <f>IF(HK$2=InputTable[[#This Row],[Delivery Date]],_xlfn.XLOOKUP(HK$1,$BH$2:$BR$2,$BH4:$BR4,0),0)</f>
        <v>0</v>
      </c>
      <c r="HL4" s="26">
        <f>IF(HL$2=InputTable[[#This Row],[Delivery Date]],_xlfn.XLOOKUP(HL$1,$BH$2:$BR$2,$BH4:$BR4,0),0)</f>
        <v>0</v>
      </c>
      <c r="HM4" s="26">
        <f>IF(HM$2=InputTable[[#This Row],[Delivery Date]],_xlfn.XLOOKUP(HM$1,$BH$2:$BR$2,$BH4:$BR4,0),0)</f>
        <v>0</v>
      </c>
      <c r="HN4" s="26">
        <f>IF(HN$2=InputTable[[#This Row],[Delivery Date]],_xlfn.XLOOKUP(HN$1,$BH$2:$BR$2,$BH4:$BR4,0),0)</f>
        <v>0</v>
      </c>
      <c r="HP4" s="26" t="e">
        <f>IF(HP$2=InputTable[[#This Row],[Delivery Date]],_xlfn.XLOOKUP(HP$1,$BH$2:$BR$2,$BH4:$BR4,0),0)</f>
        <v>#REF!</v>
      </c>
      <c r="HQ4" s="26">
        <f>IF(HQ$2=InputTable[[#This Row],[Delivery Date]],_xlfn.XLOOKUP(HQ$1,$BH$2:$BR$2,$BH4:$BR4,0),0)</f>
        <v>0</v>
      </c>
      <c r="HR4" s="26">
        <f>IF(HR$2=InputTable[[#This Row],[Delivery Date]],_xlfn.XLOOKUP(HR$1,$BH$2:$BR$2,$BH4:$BR4,0),0)</f>
        <v>0</v>
      </c>
      <c r="HS4" s="26">
        <f>IF(HS$2=InputTable[[#This Row],[Delivery Date]],_xlfn.XLOOKUP(HS$1,$BH$2:$BR$2,$BH4:$BR4,0),0)</f>
        <v>0</v>
      </c>
      <c r="HT4" s="26">
        <f>IF(HT$2=InputTable[[#This Row],[Delivery Date]],_xlfn.XLOOKUP(HT$1,$BH$2:$BR$2,$BH4:$BR4,0),0)</f>
        <v>0</v>
      </c>
      <c r="HU4" s="26">
        <f>IF(HU$2=InputTable[[#This Row],[Delivery Date]],_xlfn.XLOOKUP(HU$1,$BH$2:$BR$2,$BH4:$BR4,0),0)</f>
        <v>0</v>
      </c>
      <c r="HV4" s="26">
        <f>IF(HV$2=InputTable[[#This Row],[Delivery Date]],_xlfn.XLOOKUP(HV$1,$BH$2:$BR$2,$BH4:$BR4,0),0)</f>
        <v>0</v>
      </c>
      <c r="HW4" s="26">
        <f>IF(HW$2=InputTable[[#This Row],[Delivery Date]],_xlfn.XLOOKUP(HW$1,$BH$2:$BR$2,$BH4:$BR4,0),0)</f>
        <v>0</v>
      </c>
      <c r="HX4" s="26">
        <f>IF(HX$2=InputTable[[#This Row],[Delivery Date]],_xlfn.XLOOKUP(HX$1,$BH$2:$BR$2,$BH4:$BR4,0),0)</f>
        <v>0</v>
      </c>
      <c r="HZ4" s="26" t="e">
        <f>IF(HZ$2=InputTable[[#This Row],[Delivery Date]],_xlfn.XLOOKUP(HZ$1,$BH$2:$BR$2,$BH4:$BR4,0),0)</f>
        <v>#REF!</v>
      </c>
      <c r="IA4" s="26">
        <f>IF(IA$2=InputTable[[#This Row],[Delivery Date]],_xlfn.XLOOKUP(IA$1,$BH$2:$BR$2,$BH4:$BR4,0),0)</f>
        <v>0</v>
      </c>
      <c r="IB4" s="26">
        <f>IF(IB$2=InputTable[[#This Row],[Delivery Date]],_xlfn.XLOOKUP(IB$1,$BH$2:$BR$2,$BH4:$BR4,0),0)</f>
        <v>0</v>
      </c>
      <c r="IC4" s="26">
        <f>IF(IC$2=InputTable[[#This Row],[Delivery Date]],_xlfn.XLOOKUP(IC$1,$BH$2:$BR$2,$BH4:$BR4,0),0)</f>
        <v>0</v>
      </c>
      <c r="ID4" s="26">
        <f>IF(ID$2=InputTable[[#This Row],[Delivery Date]],_xlfn.XLOOKUP(ID$1,$BH$2:$BR$2,$BH4:$BR4,0),0)</f>
        <v>0</v>
      </c>
      <c r="IE4" s="26">
        <f>IF(IE$2=InputTable[[#This Row],[Delivery Date]],_xlfn.XLOOKUP(IE$1,$BH$2:$BR$2,$BH4:$BR4,0),0)</f>
        <v>0</v>
      </c>
      <c r="IF4" s="26">
        <f>IF(IF$2=InputTable[[#This Row],[Delivery Date]],_xlfn.XLOOKUP(IF$1,$BH$2:$BR$2,$BH4:$BR4,0),0)</f>
        <v>0</v>
      </c>
      <c r="IG4" s="26">
        <f>IF(IG$2=InputTable[[#This Row],[Delivery Date]],_xlfn.XLOOKUP(IG$1,$BH$2:$BR$2,$BH4:$BR4,0),0)</f>
        <v>0</v>
      </c>
      <c r="IH4" s="26">
        <f>IF(IH$2=InputTable[[#This Row],[Delivery Date]],_xlfn.XLOOKUP(IH$1,$BH$2:$BR$2,$BH4:$BR4,0),0)</f>
        <v>0</v>
      </c>
      <c r="IJ4" s="26" t="e">
        <f>IF(IJ$2=InputTable[[#This Row],[Delivery Date]],_xlfn.XLOOKUP(IJ$1,$BH$2:$BR$2,$BH4:$BR4,0),0)</f>
        <v>#REF!</v>
      </c>
      <c r="IK4" s="26">
        <f>IF(IK$2=InputTable[[#This Row],[Delivery Date]],_xlfn.XLOOKUP(IK$1,$BH$2:$BR$2,$BH4:$BR4,0),0)</f>
        <v>0</v>
      </c>
      <c r="IL4" s="26">
        <f>IF(IL$2=InputTable[[#This Row],[Delivery Date]],_xlfn.XLOOKUP(IL$1,$BH$2:$BR$2,$BH4:$BR4,0),0)</f>
        <v>0</v>
      </c>
      <c r="IM4" s="26">
        <f>IF(IM$2=InputTable[[#This Row],[Delivery Date]],_xlfn.XLOOKUP(IM$1,$BH$2:$BR$2,$BH4:$BR4,0),0)</f>
        <v>0</v>
      </c>
      <c r="IN4" s="26">
        <f>IF(IN$2=InputTable[[#This Row],[Delivery Date]],_xlfn.XLOOKUP(IN$1,$BH$2:$BR$2,$BH4:$BR4,0),0)</f>
        <v>0</v>
      </c>
      <c r="IO4" s="26">
        <f>IF(IO$2=InputTable[[#This Row],[Delivery Date]],_xlfn.XLOOKUP(IO$1,$BH$2:$BR$2,$BH4:$BR4,0),0)</f>
        <v>0</v>
      </c>
      <c r="IP4" s="26">
        <f>IF(IP$2=InputTable[[#This Row],[Delivery Date]],_xlfn.XLOOKUP(IP$1,$BH$2:$BR$2,$BH4:$BR4,0),0)</f>
        <v>0</v>
      </c>
      <c r="IQ4" s="26">
        <f>IF(IQ$2=InputTable[[#This Row],[Delivery Date]],_xlfn.XLOOKUP(IQ$1,$BH$2:$BR$2,$BH4:$BR4,0),0)</f>
        <v>0</v>
      </c>
      <c r="IR4" s="26">
        <f>IF(IR$2=InputTable[[#This Row],[Delivery Date]],_xlfn.XLOOKUP(IR$1,$BH$2:$BR$2,$BH4:$BR4,0),0)</f>
        <v>0</v>
      </c>
      <c r="IT4" s="26" t="e">
        <f>IF(IT$2=InputTable[[#This Row],[Delivery Date]],_xlfn.XLOOKUP(IT$1,$BH$2:$BR$2,$BH4:$BR4,0),0)</f>
        <v>#REF!</v>
      </c>
      <c r="IU4" s="26">
        <f>IF(IU$2=InputTable[[#This Row],[Delivery Date]],_xlfn.XLOOKUP(IU$1,$BH$2:$BR$2,$BH4:$BR4,0),0)</f>
        <v>0</v>
      </c>
      <c r="IV4" s="26">
        <f>IF(IV$2=InputTable[[#This Row],[Delivery Date]],_xlfn.XLOOKUP(IV$1,$BH$2:$BR$2,$BH4:$BR4,0),0)</f>
        <v>0</v>
      </c>
      <c r="IW4" s="26">
        <f>IF(IW$2=InputTable[[#This Row],[Delivery Date]],_xlfn.XLOOKUP(IW$1,$BH$2:$BR$2,$BH4:$BR4,0),0)</f>
        <v>0</v>
      </c>
      <c r="IX4" s="26">
        <f>IF(IX$2=InputTable[[#This Row],[Delivery Date]],_xlfn.XLOOKUP(IX$1,$BH$2:$BR$2,$BH4:$BR4,0),0)</f>
        <v>0</v>
      </c>
      <c r="IY4" s="26">
        <f>IF(IY$2=InputTable[[#This Row],[Delivery Date]],_xlfn.XLOOKUP(IY$1,$BH$2:$BR$2,$BH4:$BR4,0),0)</f>
        <v>0</v>
      </c>
      <c r="IZ4" s="26">
        <f>IF(IZ$2=InputTable[[#This Row],[Delivery Date]],_xlfn.XLOOKUP(IZ$1,$BH$2:$BR$2,$BH4:$BR4,0),0)</f>
        <v>0</v>
      </c>
      <c r="JA4" s="26">
        <f>IF(JA$2=InputTable[[#This Row],[Delivery Date]],_xlfn.XLOOKUP(JA$1,$BH$2:$BR$2,$BH4:$BR4,0),0)</f>
        <v>0</v>
      </c>
      <c r="JB4" s="26">
        <f>IF(JB$2=InputTable[[#This Row],[Delivery Date]],_xlfn.XLOOKUP(JB$1,$BH$2:$BR$2,$BH4:$BR4,0),0)</f>
        <v>0</v>
      </c>
      <c r="JD4" s="26" t="e">
        <f>IF(JD$2=InputTable[[#This Row],[Delivery Date]],_xlfn.XLOOKUP(JD$1,$BH$2:$BR$2,$BH4:$BR4,0),0)</f>
        <v>#REF!</v>
      </c>
      <c r="JE4" s="26">
        <f>IF(JE$2=InputTable[[#This Row],[Delivery Date]],_xlfn.XLOOKUP(JE$1,$BH$2:$BR$2,$BH4:$BR4,0),0)</f>
        <v>0</v>
      </c>
      <c r="JF4" s="26">
        <f>IF(JF$2=InputTable[[#This Row],[Delivery Date]],_xlfn.XLOOKUP(JF$1,$BH$2:$BR$2,$BH4:$BR4,0),0)</f>
        <v>0</v>
      </c>
      <c r="JG4" s="26">
        <f>IF(JG$2=InputTable[[#This Row],[Delivery Date]],_xlfn.XLOOKUP(JG$1,$BH$2:$BR$2,$BH4:$BR4,0),0)</f>
        <v>0</v>
      </c>
      <c r="JH4" s="26">
        <f>IF(JH$2=InputTable[[#This Row],[Delivery Date]],_xlfn.XLOOKUP(JH$1,$BH$2:$BR$2,$BH4:$BR4,0),0)</f>
        <v>0</v>
      </c>
      <c r="JI4" s="26">
        <f>IF(JI$2=InputTable[[#This Row],[Delivery Date]],_xlfn.XLOOKUP(JI$1,$BH$2:$BR$2,$BH4:$BR4,0),0)</f>
        <v>0</v>
      </c>
      <c r="JJ4" s="26">
        <f>IF(JJ$2=InputTable[[#This Row],[Delivery Date]],_xlfn.XLOOKUP(JJ$1,$BH$2:$BR$2,$BH4:$BR4,0),0)</f>
        <v>0</v>
      </c>
      <c r="JK4" s="26">
        <f>IF(JK$2=InputTable[[#This Row],[Delivery Date]],_xlfn.XLOOKUP(JK$1,$BH$2:$BR$2,$BH4:$BR4,0),0)</f>
        <v>0</v>
      </c>
      <c r="JL4" s="26">
        <f>IF(JL$2=InputTable[[#This Row],[Delivery Date]],_xlfn.XLOOKUP(JL$1,$BH$2:$BR$2,$BH4:$BR4,0),0)</f>
        <v>0</v>
      </c>
      <c r="JN4" s="26" t="e">
        <f>IF(JN$2=InputTable[[#This Row],[Delivery Date]],_xlfn.XLOOKUP(JN$1,$BH$2:$BR$2,$BH4:$BR4,0),0)</f>
        <v>#REF!</v>
      </c>
      <c r="JO4" s="26">
        <f>IF(JO$2=InputTable[[#This Row],[Delivery Date]],_xlfn.XLOOKUP(JO$1,$BH$2:$BR$2,$BH4:$BR4,0),0)</f>
        <v>0</v>
      </c>
      <c r="JP4" s="26">
        <f>IF(JP$2=InputTable[[#This Row],[Delivery Date]],_xlfn.XLOOKUP(JP$1,$BH$2:$BR$2,$BH4:$BR4,0),0)</f>
        <v>0</v>
      </c>
      <c r="JQ4" s="26">
        <f>IF(JQ$2=InputTable[[#This Row],[Delivery Date]],_xlfn.XLOOKUP(JQ$1,$BH$2:$BR$2,$BH4:$BR4,0),0)</f>
        <v>0</v>
      </c>
      <c r="JR4" s="26">
        <f>IF(JR$2=InputTable[[#This Row],[Delivery Date]],_xlfn.XLOOKUP(JR$1,$BH$2:$BR$2,$BH4:$BR4,0),0)</f>
        <v>0</v>
      </c>
      <c r="JS4" s="26">
        <f>IF(JS$2=InputTable[[#This Row],[Delivery Date]],_xlfn.XLOOKUP(JS$1,$BH$2:$BR$2,$BH4:$BR4,0),0)</f>
        <v>0</v>
      </c>
      <c r="JT4" s="26">
        <f>IF(JT$2=InputTable[[#This Row],[Delivery Date]],_xlfn.XLOOKUP(JT$1,$BH$2:$BR$2,$BH4:$BR4,0),0)</f>
        <v>0</v>
      </c>
      <c r="JU4" s="26">
        <f>IF(JU$2=InputTable[[#This Row],[Delivery Date]],_xlfn.XLOOKUP(JU$1,$BH$2:$BR$2,$BH4:$BR4,0),0)</f>
        <v>0</v>
      </c>
      <c r="JV4" s="26">
        <f>IF(JV$2=InputTable[[#This Row],[Delivery Date]],_xlfn.XLOOKUP(JV$1,$BH$2:$BR$2,$BH4:$BR4,0),0)</f>
        <v>0</v>
      </c>
      <c r="JX4" s="26" t="e">
        <f>IF(JX$2=InputTable[[#This Row],[Delivery Date]],_xlfn.XLOOKUP(JX$1,$BH$2:$BR$2,$BH4:$BR4,0),0)</f>
        <v>#REF!</v>
      </c>
      <c r="JY4" s="26">
        <f>IF(JY$2=InputTable[[#This Row],[Delivery Date]],_xlfn.XLOOKUP(JY$1,$BH$2:$BR$2,$BH4:$BR4,0),0)</f>
        <v>0</v>
      </c>
      <c r="JZ4" s="26">
        <f>IF(JZ$2=InputTable[[#This Row],[Delivery Date]],_xlfn.XLOOKUP(JZ$1,$BH$2:$BR$2,$BH4:$BR4,0),0)</f>
        <v>0</v>
      </c>
      <c r="KA4" s="26">
        <f>IF(KA$2=InputTable[[#This Row],[Delivery Date]],_xlfn.XLOOKUP(KA$1,$BH$2:$BR$2,$BH4:$BR4,0),0)</f>
        <v>0</v>
      </c>
      <c r="KB4" s="26">
        <f>IF(KB$2=InputTable[[#This Row],[Delivery Date]],_xlfn.XLOOKUP(KB$1,$BH$2:$BR$2,$BH4:$BR4,0),0)</f>
        <v>0</v>
      </c>
      <c r="KC4" s="26">
        <f>IF(KC$2=InputTable[[#This Row],[Delivery Date]],_xlfn.XLOOKUP(KC$1,$BH$2:$BR$2,$BH4:$BR4,0),0)</f>
        <v>0</v>
      </c>
      <c r="KD4" s="26">
        <f>IF(KD$2=InputTable[[#This Row],[Delivery Date]],_xlfn.XLOOKUP(KD$1,$BH$2:$BR$2,$BH4:$BR4,0),0)</f>
        <v>0</v>
      </c>
      <c r="KE4" s="26">
        <f>IF(KE$2=InputTable[[#This Row],[Delivery Date]],_xlfn.XLOOKUP(KE$1,$BH$2:$BR$2,$BH4:$BR4,0),0)</f>
        <v>0</v>
      </c>
      <c r="KF4" s="26">
        <f>IF(KF$2=InputTable[[#This Row],[Delivery Date]],_xlfn.XLOOKUP(KF$1,$BH$2:$BR$2,$BH4:$BR4,0),0)</f>
        <v>0</v>
      </c>
    </row>
    <row r="5" spans="1:292" ht="39.6" customHeight="1" x14ac:dyDescent="0.25">
      <c r="A5" s="125"/>
      <c r="B5" s="141" t="s">
        <v>599</v>
      </c>
      <c r="C5" s="92" t="s">
        <v>61</v>
      </c>
      <c r="D5" s="125" t="s">
        <v>108</v>
      </c>
      <c r="E5" s="193" t="s">
        <v>109</v>
      </c>
      <c r="F5" s="92" t="s">
        <v>61</v>
      </c>
      <c r="G5" s="92" t="s">
        <v>98</v>
      </c>
      <c r="H5" s="92"/>
      <c r="I5" s="92">
        <v>2026</v>
      </c>
      <c r="J5" s="142"/>
      <c r="K5" s="92" t="e">
        <f>VLOOKUP((InputTable[[#This Row],[Starting Date]]&amp; " - " &amp;InputTable[[#This Row],[Delivery Date]]),'System List'!$F$40:$H$83,2,FALSE)</f>
        <v>#N/A</v>
      </c>
      <c r="L5" s="92" t="e">
        <f>VLOOKUP(InputTable[[#This Row],[Duration]],Duration,2,FALSE)</f>
        <v>#N/A</v>
      </c>
      <c r="M5" s="122" t="s">
        <v>110</v>
      </c>
      <c r="N5" s="92"/>
      <c r="O5" s="92"/>
      <c r="P5" s="92"/>
      <c r="Q5" s="92"/>
      <c r="R5" s="92" t="s">
        <v>111</v>
      </c>
      <c r="S5" s="92"/>
      <c r="T5" s="95" cm="1">
        <f t="array" ref="T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5" s="138"/>
      <c r="V5" s="92"/>
      <c r="W5" s="92"/>
      <c r="X5" s="92"/>
      <c r="Y5" s="92"/>
      <c r="Z5" s="92"/>
      <c r="AA5" s="92"/>
      <c r="AB5" s="92"/>
      <c r="AC5" s="92"/>
      <c r="AD5" s="92">
        <f>COUNTA(InputTable[[#This Row],[CORPHRFIN]:[SALES]])</f>
        <v>0</v>
      </c>
      <c r="AE5" s="88" cm="1">
        <f t="array" ref="AE5">SUM(
_xlfn.XLOOKUP(InputTable[[#This Row],[CORPHRFIN]:[SALES]],'System List'!$F$4:$F$7,'System List'!$H$4:$H$7,0))</f>
        <v>0</v>
      </c>
      <c r="AF5" s="140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88" cm="1">
        <f t="array" ref="AR5">SUM(
_xlfn.XLOOKUP(InputTable[[#This Row],[Impact on - CIAL]:[Impact on - STRAT]],'System List'!$F$4:$F$7,'System List'!$H$4:$H$7,0))</f>
        <v>0</v>
      </c>
      <c r="AS5" s="88" t="e">
        <f>VLOOKUP(InputTable[[#This Row],[Duration]],Duration,2,FALSE)+InputTable[[#This Row],[Resource Score]]</f>
        <v>#N/A</v>
      </c>
      <c r="AT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" s="24" t="e">
        <f>InputTable[[#This Row],[Value Score]]/InputTable[[#This Row],[EFFORT SCORE]]*100</f>
        <v>#N/A</v>
      </c>
      <c r="AV5" s="25"/>
      <c r="AW5" s="25" t="s">
        <v>112</v>
      </c>
      <c r="AX5" s="208" t="s">
        <v>113</v>
      </c>
      <c r="AY5" s="25"/>
      <c r="AZ5" s="189"/>
      <c r="BA5" s="189"/>
      <c r="BB5" s="189"/>
      <c r="BC5" s="189"/>
      <c r="BD5" s="188"/>
      <c r="BE5" s="220"/>
      <c r="BF5" s="70"/>
      <c r="BH5" s="2">
        <f>IFERROR(VLOOKUP(InputTable[[#This Row],[Impact on - CIAL]],'System List'!$F$4:$H$7,3,FALSE),0)</f>
        <v>0</v>
      </c>
      <c r="BI5" s="2">
        <f>IFERROR(VLOOKUP(InputTable[[#This Row],[Impact on - COM]],'System List'!$F$4:$H$7,3,FALSE),0)</f>
        <v>0</v>
      </c>
      <c r="BJ5" s="2">
        <f>IFERROR(VLOOKUP(InputTable[[#This Row],[Impact on - FIN]],'System List'!$F$4:$H$7,3,FALSE),0)</f>
        <v>0</v>
      </c>
      <c r="BK5" s="2">
        <f>IFERROR(VLOOKUP(InputTable[[#This Row],[Impact on - GEN SEC]],'System List'!$F$4:$H$7,3,FALSE),0)</f>
        <v>0</v>
      </c>
      <c r="BL5" s="2">
        <f>IFERROR(VLOOKUP(InputTable[[#This Row],[Impact on - HR]],'System List'!$F$4:$H$7,3,FALSE),0)</f>
        <v>0</v>
      </c>
      <c r="BM5" s="2">
        <f>IFERROR(VLOOKUP(InputTable[[#This Row],[Impact on - IS]],'System List'!$F$4:$H$7,3,FALSE),0)</f>
        <v>0</v>
      </c>
      <c r="BN5" s="2">
        <f>IFERROR(VLOOKUP(InputTable[[#This Row],[Impact on - OPS]],'System List'!$F$4:$H$7,3,FALSE),0)</f>
        <v>0</v>
      </c>
      <c r="BO5" s="2">
        <f>IFERROR(VLOOKUP(InputTable[[#This Row],[Impact on - ROLL STOCK]],'System List'!$F$4:$H$7,3,FALSE),0)</f>
        <v>0</v>
      </c>
      <c r="BP5" s="2">
        <f>IFERROR(VLOOKUP(InputTable[[#This Row],[Impact on - SAFETY]],'System List'!$F$4:$H$7,3,FALSE),0)</f>
        <v>0</v>
      </c>
      <c r="BQ5" s="2">
        <f>IFERROR(VLOOKUP(InputTable[[#This Row],[Impact on - STATION]],'System List'!$F$4:$H$7,3,FALSE),0)</f>
        <v>0</v>
      </c>
      <c r="BR5" s="2">
        <f>IFERROR(VLOOKUP(InputTable[[#This Row],[Impact on - STRAT]],'System List'!$F$4:$H$7,3,FALSE),0)</f>
        <v>0</v>
      </c>
      <c r="BT5" s="2">
        <f>IFERROR(VLOOKUP(InputTable[[#This Row],[CORPHRFIN]],'System List'!$F$4:$H$7,3,FALSE),0)</f>
        <v>0</v>
      </c>
      <c r="BU5" s="2">
        <f>IFERROR(VLOOKUP(InputTable[[#This Row],[CUST]],'System List'!$F$4:$H$7,3,FALSE),0)</f>
        <v>0</v>
      </c>
      <c r="BV5" s="2">
        <f>IFERROR(VLOOKUP(InputTable[[#This Row],[CYBER]],'System List'!$F$4:$H$7,3,FALSE),0)</f>
        <v>0</v>
      </c>
      <c r="BW5" s="2">
        <f>IFERROR(VLOOKUP(InputTable[[#This Row],[DATA]],'System List'!$F$4:$H$7,3,FALSE),0)</f>
        <v>0</v>
      </c>
      <c r="BX5" s="2">
        <f>IFERROR(VLOOKUP(InputTable[[#This Row],[INFRA]],'System List'!$F$4:$H$7,3,FALSE),0)</f>
        <v>0</v>
      </c>
      <c r="BY5" s="2">
        <f>IFERROR(VLOOKUP(InputTable[[#This Row],[OPERATIONS]],'System List'!$F$4:$H$7,3,FALSE),0)</f>
        <v>0</v>
      </c>
      <c r="BZ5" s="2">
        <f>IFERROR(VLOOKUP(InputTable[[#This Row],[PMO]],'System List'!$F$4:$H$7,3,FALSE),0)</f>
        <v>0</v>
      </c>
      <c r="CA5" s="2">
        <f>IFERROR(VLOOKUP(InputTable[[#This Row],[SALES]],'System List'!$F$4:$H$7,3,FALSE),0)</f>
        <v>0</v>
      </c>
      <c r="CC5" s="2" cm="1">
        <f t="array" ref="CC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" s="2" cm="1">
        <f t="array" ref="CD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" s="2" cm="1">
        <f t="array" ref="CE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" s="2" cm="1">
        <f t="array" ref="CF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" s="2" cm="1">
        <f t="array" ref="CG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" s="2" cm="1">
        <f t="array" ref="CH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" s="2" cm="1">
        <f t="array" ref="CI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" s="2" cm="1">
        <f t="array" ref="CJ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" s="2" cm="1">
        <f t="array" ref="CK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" s="26">
        <f t="shared" ref="CX5:DF12" si="74">CN5*_xlfn.XLOOKUP(CX$1,$BT$2:$CA$2,$BT5:$CA5,0)</f>
        <v>0</v>
      </c>
      <c r="CY5" s="26">
        <f t="shared" si="74"/>
        <v>0</v>
      </c>
      <c r="CZ5" s="26">
        <f t="shared" si="74"/>
        <v>0</v>
      </c>
      <c r="DA5" s="26">
        <f t="shared" si="74"/>
        <v>0</v>
      </c>
      <c r="DB5" s="26">
        <f t="shared" si="74"/>
        <v>0</v>
      </c>
      <c r="DC5" s="26">
        <f t="shared" si="74"/>
        <v>0</v>
      </c>
      <c r="DD5" s="26">
        <f t="shared" si="74"/>
        <v>0</v>
      </c>
      <c r="DE5" s="26">
        <f t="shared" si="74"/>
        <v>0</v>
      </c>
      <c r="DF5" s="26">
        <f t="shared" si="74"/>
        <v>0</v>
      </c>
      <c r="DH5" s="26">
        <f t="shared" si="11"/>
        <v>0</v>
      </c>
      <c r="DI5" s="26">
        <f t="shared" si="12"/>
        <v>0</v>
      </c>
      <c r="DJ5" s="26">
        <f t="shared" si="13"/>
        <v>0</v>
      </c>
      <c r="DK5" s="26">
        <f t="shared" si="14"/>
        <v>0</v>
      </c>
      <c r="DL5" s="26">
        <f t="shared" si="15"/>
        <v>0</v>
      </c>
      <c r="DM5" s="26">
        <f t="shared" si="16"/>
        <v>0</v>
      </c>
      <c r="DN5" s="26">
        <f t="shared" si="17"/>
        <v>0</v>
      </c>
      <c r="DO5" s="26">
        <f t="shared" si="18"/>
        <v>0</v>
      </c>
      <c r="DP5" s="26">
        <f t="shared" si="19"/>
        <v>0</v>
      </c>
      <c r="DR5" s="26">
        <f t="shared" si="20"/>
        <v>0</v>
      </c>
      <c r="DS5" s="26">
        <f t="shared" si="21"/>
        <v>0</v>
      </c>
      <c r="DT5" s="26">
        <f t="shared" si="22"/>
        <v>0</v>
      </c>
      <c r="DU5" s="26">
        <f t="shared" si="23"/>
        <v>0</v>
      </c>
      <c r="DV5" s="26">
        <f t="shared" si="24"/>
        <v>0</v>
      </c>
      <c r="DW5" s="26">
        <f t="shared" si="25"/>
        <v>0</v>
      </c>
      <c r="DX5" s="26">
        <f t="shared" si="26"/>
        <v>0</v>
      </c>
      <c r="DY5" s="26">
        <f t="shared" si="27"/>
        <v>0</v>
      </c>
      <c r="DZ5" s="26">
        <f t="shared" si="28"/>
        <v>0</v>
      </c>
      <c r="EB5" s="26">
        <f t="shared" si="29"/>
        <v>0</v>
      </c>
      <c r="EC5" s="26">
        <f t="shared" si="30"/>
        <v>0</v>
      </c>
      <c r="ED5" s="26">
        <f t="shared" si="31"/>
        <v>0</v>
      </c>
      <c r="EE5" s="26">
        <f t="shared" si="32"/>
        <v>0</v>
      </c>
      <c r="EF5" s="26">
        <f t="shared" si="33"/>
        <v>0</v>
      </c>
      <c r="EG5" s="26">
        <f t="shared" si="34"/>
        <v>0</v>
      </c>
      <c r="EH5" s="26">
        <f t="shared" si="35"/>
        <v>0</v>
      </c>
      <c r="EI5" s="26">
        <f t="shared" si="36"/>
        <v>0</v>
      </c>
      <c r="EJ5" s="26">
        <f t="shared" si="37"/>
        <v>0</v>
      </c>
      <c r="EL5" s="26">
        <f t="shared" si="38"/>
        <v>0</v>
      </c>
      <c r="EM5" s="26">
        <f t="shared" si="39"/>
        <v>0</v>
      </c>
      <c r="EN5" s="26">
        <f t="shared" si="40"/>
        <v>0</v>
      </c>
      <c r="EO5" s="26">
        <f t="shared" si="41"/>
        <v>0</v>
      </c>
      <c r="EP5" s="26">
        <f t="shared" si="42"/>
        <v>0</v>
      </c>
      <c r="EQ5" s="26">
        <f t="shared" si="43"/>
        <v>0</v>
      </c>
      <c r="ER5" s="26">
        <f t="shared" si="44"/>
        <v>0</v>
      </c>
      <c r="ES5" s="26">
        <f t="shared" si="45"/>
        <v>0</v>
      </c>
      <c r="ET5" s="26">
        <f t="shared" si="46"/>
        <v>0</v>
      </c>
      <c r="EV5" s="26">
        <f t="shared" si="47"/>
        <v>0</v>
      </c>
      <c r="EW5" s="26">
        <f t="shared" si="48"/>
        <v>0</v>
      </c>
      <c r="EX5" s="26">
        <f t="shared" si="49"/>
        <v>0</v>
      </c>
      <c r="EY5" s="26">
        <f t="shared" si="50"/>
        <v>0</v>
      </c>
      <c r="EZ5" s="26">
        <f t="shared" si="51"/>
        <v>0</v>
      </c>
      <c r="FA5" s="26">
        <f t="shared" si="52"/>
        <v>0</v>
      </c>
      <c r="FB5" s="26">
        <f t="shared" si="53"/>
        <v>0</v>
      </c>
      <c r="FC5" s="26">
        <f t="shared" si="54"/>
        <v>0</v>
      </c>
      <c r="FD5" s="26">
        <f t="shared" si="55"/>
        <v>0</v>
      </c>
      <c r="FF5" s="26">
        <f t="shared" si="56"/>
        <v>0</v>
      </c>
      <c r="FG5" s="26">
        <f t="shared" si="57"/>
        <v>0</v>
      </c>
      <c r="FH5" s="26">
        <f t="shared" si="58"/>
        <v>0</v>
      </c>
      <c r="FI5" s="26">
        <f t="shared" si="59"/>
        <v>0</v>
      </c>
      <c r="FJ5" s="26">
        <f t="shared" si="60"/>
        <v>0</v>
      </c>
      <c r="FK5" s="26">
        <f t="shared" si="61"/>
        <v>0</v>
      </c>
      <c r="FL5" s="26">
        <f t="shared" si="62"/>
        <v>0</v>
      </c>
      <c r="FM5" s="26">
        <f t="shared" si="63"/>
        <v>0</v>
      </c>
      <c r="FN5" s="26">
        <f t="shared" si="64"/>
        <v>0</v>
      </c>
      <c r="FP5" s="26" t="e">
        <f t="shared" si="65"/>
        <v>#REF!</v>
      </c>
      <c r="FQ5" s="26" t="e">
        <f t="shared" si="66"/>
        <v>#REF!</v>
      </c>
      <c r="FR5" s="26" t="e">
        <f t="shared" si="67"/>
        <v>#REF!</v>
      </c>
      <c r="FS5" s="26" t="e">
        <f t="shared" si="68"/>
        <v>#REF!</v>
      </c>
      <c r="FT5" s="26" t="e">
        <f t="shared" si="69"/>
        <v>#REF!</v>
      </c>
      <c r="FU5" s="26" t="e">
        <f t="shared" si="70"/>
        <v>#REF!</v>
      </c>
      <c r="FV5" s="26" t="e">
        <f t="shared" si="71"/>
        <v>#REF!</v>
      </c>
      <c r="FW5" s="26" t="e">
        <f t="shared" si="72"/>
        <v>#REF!</v>
      </c>
      <c r="FX5" s="26" t="e">
        <f t="shared" si="73"/>
        <v>#REF!</v>
      </c>
      <c r="GB5" s="26" t="e">
        <f>IF(GB$2=InputTable[[#This Row],[Delivery Date]],_xlfn.XLOOKUP(GB$1,$BH$2:$BR$2,$BH5:$BR5,0),0)</f>
        <v>#REF!</v>
      </c>
      <c r="GC5" s="26">
        <f>IF(GC$2=InputTable[[#This Row],[Delivery Date]],_xlfn.XLOOKUP(GC$1,$BH$2:$BR$2,$BH5:$BR5,0),0)</f>
        <v>0</v>
      </c>
      <c r="GD5" s="26">
        <f>IF(GD$2=InputTable[[#This Row],[Delivery Date]],_xlfn.XLOOKUP(GD$1,$BH$2:$BR$2,$BH5:$BR5,0),0)</f>
        <v>0</v>
      </c>
      <c r="GE5" s="26">
        <f>IF(GE$2=InputTable[[#This Row],[Delivery Date]],_xlfn.XLOOKUP(GE$1,$BH$2:$BR$2,$BH5:$BR5,0),0)</f>
        <v>0</v>
      </c>
      <c r="GF5" s="26">
        <f>IF(GF$2=InputTable[[#This Row],[Delivery Date]],_xlfn.XLOOKUP(GF$1,$BH$2:$BR$2,$BH5:$BR5,0),0)</f>
        <v>0</v>
      </c>
      <c r="GG5" s="26">
        <f>IF(GG$2=InputTable[[#This Row],[Delivery Date]],_xlfn.XLOOKUP(GG$1,$BH$2:$BR$2,$BH5:$BR5,0),0)</f>
        <v>0</v>
      </c>
      <c r="GH5" s="26">
        <f>IF(GH$2=InputTable[[#This Row],[Delivery Date]],_xlfn.XLOOKUP(GH$1,$BH$2:$BR$2,$BH5:$BR5,0),0)</f>
        <v>0</v>
      </c>
      <c r="GI5" s="26">
        <f>IF(GI$2=InputTable[[#This Row],[Delivery Date]],_xlfn.XLOOKUP(GI$1,$BH$2:$BR$2,$BH5:$BR5,0),0)</f>
        <v>0</v>
      </c>
      <c r="GJ5" s="26">
        <f>IF(GJ$2=InputTable[[#This Row],[Delivery Date]],_xlfn.XLOOKUP(GJ$1,$BH$2:$BR$2,$BH5:$BR5,0),0)</f>
        <v>0</v>
      </c>
      <c r="GL5" s="26" t="e">
        <f>IF(GL$2=InputTable[[#This Row],[Delivery Date]],_xlfn.XLOOKUP(GL$1,$BH$2:$BR$2,$BH5:$BR5,0),0)</f>
        <v>#REF!</v>
      </c>
      <c r="GM5" s="26">
        <f>IF(GM$2=InputTable[[#This Row],[Delivery Date]],_xlfn.XLOOKUP(GM$1,$BH$2:$BR$2,$BH5:$BR5,0),0)</f>
        <v>0</v>
      </c>
      <c r="GN5" s="26">
        <f>IF(GN$2=InputTable[[#This Row],[Delivery Date]],_xlfn.XLOOKUP(GN$1,$BH$2:$BR$2,$BH5:$BR5,0),0)</f>
        <v>0</v>
      </c>
      <c r="GO5" s="26">
        <f>IF(GO$2=InputTable[[#This Row],[Delivery Date]],_xlfn.XLOOKUP(GO$1,$BH$2:$BR$2,$BH5:$BR5,0),0)</f>
        <v>0</v>
      </c>
      <c r="GP5" s="26">
        <f>IF(GP$2=InputTable[[#This Row],[Delivery Date]],_xlfn.XLOOKUP(GP$1,$BH$2:$BR$2,$BH5:$BR5,0),0)</f>
        <v>0</v>
      </c>
      <c r="GQ5" s="26">
        <f>IF(GQ$2=InputTable[[#This Row],[Delivery Date]],_xlfn.XLOOKUP(GQ$1,$BH$2:$BR$2,$BH5:$BR5,0),0)</f>
        <v>0</v>
      </c>
      <c r="GR5" s="26">
        <f>IF(GR$2=InputTable[[#This Row],[Delivery Date]],_xlfn.XLOOKUP(GR$1,$BH$2:$BR$2,$BH5:$BR5,0),0)</f>
        <v>0</v>
      </c>
      <c r="GS5" s="26">
        <f>IF(GS$2=InputTable[[#This Row],[Delivery Date]],_xlfn.XLOOKUP(GS$1,$BH$2:$BR$2,$BH5:$BR5,0),0)</f>
        <v>0</v>
      </c>
      <c r="GT5" s="26">
        <f>IF(GT$2=InputTable[[#This Row],[Delivery Date]],_xlfn.XLOOKUP(GT$1,$BH$2:$BR$2,$BH5:$BR5,0),0)</f>
        <v>0</v>
      </c>
      <c r="GV5" s="26" t="e">
        <f>IF(GV$2=InputTable[[#This Row],[Delivery Date]],_xlfn.XLOOKUP(GV$1,$BH$2:$BR$2,$BH5:$BR5,0),0)</f>
        <v>#REF!</v>
      </c>
      <c r="GW5" s="26">
        <f>IF(GW$2=InputTable[[#This Row],[Delivery Date]],_xlfn.XLOOKUP(GW$1,$BH$2:$BR$2,$BH5:$BR5,0),0)</f>
        <v>0</v>
      </c>
      <c r="GX5" s="26">
        <f>IF(GX$2=InputTable[[#This Row],[Delivery Date]],_xlfn.XLOOKUP(GX$1,$BH$2:$BR$2,$BH5:$BR5,0),0)</f>
        <v>0</v>
      </c>
      <c r="GY5" s="26">
        <f>IF(GY$2=InputTable[[#This Row],[Delivery Date]],_xlfn.XLOOKUP(GY$1,$BH$2:$BR$2,$BH5:$BR5,0),0)</f>
        <v>0</v>
      </c>
      <c r="GZ5" s="26">
        <f>IF(GZ$2=InputTable[[#This Row],[Delivery Date]],_xlfn.XLOOKUP(GZ$1,$BH$2:$BR$2,$BH5:$BR5,0),0)</f>
        <v>0</v>
      </c>
      <c r="HA5" s="26">
        <f>IF(HA$2=InputTable[[#This Row],[Delivery Date]],_xlfn.XLOOKUP(HA$1,$BH$2:$BR$2,$BH5:$BR5,0),0)</f>
        <v>0</v>
      </c>
      <c r="HB5" s="26">
        <f>IF(HB$2=InputTable[[#This Row],[Delivery Date]],_xlfn.XLOOKUP(HB$1,$BH$2:$BR$2,$BH5:$BR5,0),0)</f>
        <v>0</v>
      </c>
      <c r="HC5" s="26">
        <f>IF(HC$2=InputTable[[#This Row],[Delivery Date]],_xlfn.XLOOKUP(HC$1,$BH$2:$BR$2,$BH5:$BR5,0),0)</f>
        <v>0</v>
      </c>
      <c r="HD5" s="26">
        <f>IF(HD$2=InputTable[[#This Row],[Delivery Date]],_xlfn.XLOOKUP(HD$1,$BH$2:$BR$2,$BH5:$BR5,0),0)</f>
        <v>0</v>
      </c>
      <c r="HF5" s="26" t="e">
        <f>IF(HF$2=InputTable[[#This Row],[Delivery Date]],_xlfn.XLOOKUP(HF$1,$BH$2:$BR$2,$BH5:$BR5,0),0)</f>
        <v>#REF!</v>
      </c>
      <c r="HG5" s="26">
        <f>IF(HG$2=InputTable[[#This Row],[Delivery Date]],_xlfn.XLOOKUP(HG$1,$BH$2:$BR$2,$BH5:$BR5,0),0)</f>
        <v>0</v>
      </c>
      <c r="HH5" s="26">
        <f>IF(HH$2=InputTable[[#This Row],[Delivery Date]],_xlfn.XLOOKUP(HH$1,$BH$2:$BR$2,$BH5:$BR5,0),0)</f>
        <v>0</v>
      </c>
      <c r="HI5" s="26">
        <f>IF(HI$2=InputTable[[#This Row],[Delivery Date]],_xlfn.XLOOKUP(HI$1,$BH$2:$BR$2,$BH5:$BR5,0),0)</f>
        <v>0</v>
      </c>
      <c r="HJ5" s="26">
        <f>IF(HJ$2=InputTable[[#This Row],[Delivery Date]],_xlfn.XLOOKUP(HJ$1,$BH$2:$BR$2,$BH5:$BR5,0),0)</f>
        <v>0</v>
      </c>
      <c r="HK5" s="26">
        <f>IF(HK$2=InputTable[[#This Row],[Delivery Date]],_xlfn.XLOOKUP(HK$1,$BH$2:$BR$2,$BH5:$BR5,0),0)</f>
        <v>0</v>
      </c>
      <c r="HL5" s="26">
        <f>IF(HL$2=InputTable[[#This Row],[Delivery Date]],_xlfn.XLOOKUP(HL$1,$BH$2:$BR$2,$BH5:$BR5,0),0)</f>
        <v>0</v>
      </c>
      <c r="HM5" s="26">
        <f>IF(HM$2=InputTable[[#This Row],[Delivery Date]],_xlfn.XLOOKUP(HM$1,$BH$2:$BR$2,$BH5:$BR5,0),0)</f>
        <v>0</v>
      </c>
      <c r="HN5" s="26">
        <f>IF(HN$2=InputTable[[#This Row],[Delivery Date]],_xlfn.XLOOKUP(HN$1,$BH$2:$BR$2,$BH5:$BR5,0),0)</f>
        <v>0</v>
      </c>
      <c r="HP5" s="26" t="e">
        <f>IF(HP$2=InputTable[[#This Row],[Delivery Date]],_xlfn.XLOOKUP(HP$1,$BH$2:$BR$2,$BH5:$BR5,0),0)</f>
        <v>#REF!</v>
      </c>
      <c r="HQ5" s="26">
        <f>IF(HQ$2=InputTable[[#This Row],[Delivery Date]],_xlfn.XLOOKUP(HQ$1,$BH$2:$BR$2,$BH5:$BR5,0),0)</f>
        <v>0</v>
      </c>
      <c r="HR5" s="26">
        <f>IF(HR$2=InputTable[[#This Row],[Delivery Date]],_xlfn.XLOOKUP(HR$1,$BH$2:$BR$2,$BH5:$BR5,0),0)</f>
        <v>0</v>
      </c>
      <c r="HS5" s="26">
        <f>IF(HS$2=InputTable[[#This Row],[Delivery Date]],_xlfn.XLOOKUP(HS$1,$BH$2:$BR$2,$BH5:$BR5,0),0)</f>
        <v>0</v>
      </c>
      <c r="HT5" s="26">
        <f>IF(HT$2=InputTable[[#This Row],[Delivery Date]],_xlfn.XLOOKUP(HT$1,$BH$2:$BR$2,$BH5:$BR5,0),0)</f>
        <v>0</v>
      </c>
      <c r="HU5" s="26">
        <f>IF(HU$2=InputTable[[#This Row],[Delivery Date]],_xlfn.XLOOKUP(HU$1,$BH$2:$BR$2,$BH5:$BR5,0),0)</f>
        <v>0</v>
      </c>
      <c r="HV5" s="26">
        <f>IF(HV$2=InputTable[[#This Row],[Delivery Date]],_xlfn.XLOOKUP(HV$1,$BH$2:$BR$2,$BH5:$BR5,0),0)</f>
        <v>0</v>
      </c>
      <c r="HW5" s="26">
        <f>IF(HW$2=InputTable[[#This Row],[Delivery Date]],_xlfn.XLOOKUP(HW$1,$BH$2:$BR$2,$BH5:$BR5,0),0)</f>
        <v>0</v>
      </c>
      <c r="HX5" s="26">
        <f>IF(HX$2=InputTable[[#This Row],[Delivery Date]],_xlfn.XLOOKUP(HX$1,$BH$2:$BR$2,$BH5:$BR5,0),0)</f>
        <v>0</v>
      </c>
      <c r="HZ5" s="26" t="e">
        <f>IF(HZ$2=InputTable[[#This Row],[Delivery Date]],_xlfn.XLOOKUP(HZ$1,$BH$2:$BR$2,$BH5:$BR5,0),0)</f>
        <v>#REF!</v>
      </c>
      <c r="IA5" s="26">
        <f>IF(IA$2=InputTable[[#This Row],[Delivery Date]],_xlfn.XLOOKUP(IA$1,$BH$2:$BR$2,$BH5:$BR5,0),0)</f>
        <v>0</v>
      </c>
      <c r="IB5" s="26">
        <f>IF(IB$2=InputTable[[#This Row],[Delivery Date]],_xlfn.XLOOKUP(IB$1,$BH$2:$BR$2,$BH5:$BR5,0),0)</f>
        <v>0</v>
      </c>
      <c r="IC5" s="26">
        <f>IF(IC$2=InputTable[[#This Row],[Delivery Date]],_xlfn.XLOOKUP(IC$1,$BH$2:$BR$2,$BH5:$BR5,0),0)</f>
        <v>0</v>
      </c>
      <c r="ID5" s="26">
        <f>IF(ID$2=InputTable[[#This Row],[Delivery Date]],_xlfn.XLOOKUP(ID$1,$BH$2:$BR$2,$BH5:$BR5,0),0)</f>
        <v>0</v>
      </c>
      <c r="IE5" s="26">
        <f>IF(IE$2=InputTable[[#This Row],[Delivery Date]],_xlfn.XLOOKUP(IE$1,$BH$2:$BR$2,$BH5:$BR5,0),0)</f>
        <v>0</v>
      </c>
      <c r="IF5" s="26">
        <f>IF(IF$2=InputTable[[#This Row],[Delivery Date]],_xlfn.XLOOKUP(IF$1,$BH$2:$BR$2,$BH5:$BR5,0),0)</f>
        <v>0</v>
      </c>
      <c r="IG5" s="26">
        <f>IF(IG$2=InputTable[[#This Row],[Delivery Date]],_xlfn.XLOOKUP(IG$1,$BH$2:$BR$2,$BH5:$BR5,0),0)</f>
        <v>0</v>
      </c>
      <c r="IH5" s="26">
        <f>IF(IH$2=InputTable[[#This Row],[Delivery Date]],_xlfn.XLOOKUP(IH$1,$BH$2:$BR$2,$BH5:$BR5,0),0)</f>
        <v>0</v>
      </c>
      <c r="IJ5" s="26" t="e">
        <f>IF(IJ$2=InputTable[[#This Row],[Delivery Date]],_xlfn.XLOOKUP(IJ$1,$BH$2:$BR$2,$BH5:$BR5,0),0)</f>
        <v>#REF!</v>
      </c>
      <c r="IK5" s="26">
        <f>IF(IK$2=InputTable[[#This Row],[Delivery Date]],_xlfn.XLOOKUP(IK$1,$BH$2:$BR$2,$BH5:$BR5,0),0)</f>
        <v>0</v>
      </c>
      <c r="IL5" s="26">
        <f>IF(IL$2=InputTable[[#This Row],[Delivery Date]],_xlfn.XLOOKUP(IL$1,$BH$2:$BR$2,$BH5:$BR5,0),0)</f>
        <v>0</v>
      </c>
      <c r="IM5" s="26">
        <f>IF(IM$2=InputTable[[#This Row],[Delivery Date]],_xlfn.XLOOKUP(IM$1,$BH$2:$BR$2,$BH5:$BR5,0),0)</f>
        <v>0</v>
      </c>
      <c r="IN5" s="26">
        <f>IF(IN$2=InputTable[[#This Row],[Delivery Date]],_xlfn.XLOOKUP(IN$1,$BH$2:$BR$2,$BH5:$BR5,0),0)</f>
        <v>0</v>
      </c>
      <c r="IO5" s="26">
        <f>IF(IO$2=InputTable[[#This Row],[Delivery Date]],_xlfn.XLOOKUP(IO$1,$BH$2:$BR$2,$BH5:$BR5,0),0)</f>
        <v>0</v>
      </c>
      <c r="IP5" s="26">
        <f>IF(IP$2=InputTable[[#This Row],[Delivery Date]],_xlfn.XLOOKUP(IP$1,$BH$2:$BR$2,$BH5:$BR5,0),0)</f>
        <v>0</v>
      </c>
      <c r="IQ5" s="26">
        <f>IF(IQ$2=InputTable[[#This Row],[Delivery Date]],_xlfn.XLOOKUP(IQ$1,$BH$2:$BR$2,$BH5:$BR5,0),0)</f>
        <v>0</v>
      </c>
      <c r="IR5" s="26">
        <f>IF(IR$2=InputTable[[#This Row],[Delivery Date]],_xlfn.XLOOKUP(IR$1,$BH$2:$BR$2,$BH5:$BR5,0),0)</f>
        <v>0</v>
      </c>
      <c r="IT5" s="26" t="e">
        <f>IF(IT$2=InputTable[[#This Row],[Delivery Date]],_xlfn.XLOOKUP(IT$1,$BH$2:$BR$2,$BH5:$BR5,0),0)</f>
        <v>#REF!</v>
      </c>
      <c r="IU5" s="26">
        <f>IF(IU$2=InputTable[[#This Row],[Delivery Date]],_xlfn.XLOOKUP(IU$1,$BH$2:$BR$2,$BH5:$BR5,0),0)</f>
        <v>0</v>
      </c>
      <c r="IV5" s="26">
        <f>IF(IV$2=InputTable[[#This Row],[Delivery Date]],_xlfn.XLOOKUP(IV$1,$BH$2:$BR$2,$BH5:$BR5,0),0)</f>
        <v>0</v>
      </c>
      <c r="IW5" s="26">
        <f>IF(IW$2=InputTable[[#This Row],[Delivery Date]],_xlfn.XLOOKUP(IW$1,$BH$2:$BR$2,$BH5:$BR5,0),0)</f>
        <v>0</v>
      </c>
      <c r="IX5" s="26">
        <f>IF(IX$2=InputTable[[#This Row],[Delivery Date]],_xlfn.XLOOKUP(IX$1,$BH$2:$BR$2,$BH5:$BR5,0),0)</f>
        <v>0</v>
      </c>
      <c r="IY5" s="26">
        <f>IF(IY$2=InputTable[[#This Row],[Delivery Date]],_xlfn.XLOOKUP(IY$1,$BH$2:$BR$2,$BH5:$BR5,0),0)</f>
        <v>0</v>
      </c>
      <c r="IZ5" s="26">
        <f>IF(IZ$2=InputTable[[#This Row],[Delivery Date]],_xlfn.XLOOKUP(IZ$1,$BH$2:$BR$2,$BH5:$BR5,0),0)</f>
        <v>0</v>
      </c>
      <c r="JA5" s="26">
        <f>IF(JA$2=InputTable[[#This Row],[Delivery Date]],_xlfn.XLOOKUP(JA$1,$BH$2:$BR$2,$BH5:$BR5,0),0)</f>
        <v>0</v>
      </c>
      <c r="JB5" s="26">
        <f>IF(JB$2=InputTable[[#This Row],[Delivery Date]],_xlfn.XLOOKUP(JB$1,$BH$2:$BR$2,$BH5:$BR5,0),0)</f>
        <v>0</v>
      </c>
      <c r="JD5" s="26" t="e">
        <f>IF(JD$2=InputTable[[#This Row],[Delivery Date]],_xlfn.XLOOKUP(JD$1,$BH$2:$BR$2,$BH5:$BR5,0),0)</f>
        <v>#REF!</v>
      </c>
      <c r="JE5" s="26">
        <f>IF(JE$2=InputTable[[#This Row],[Delivery Date]],_xlfn.XLOOKUP(JE$1,$BH$2:$BR$2,$BH5:$BR5,0),0)</f>
        <v>0</v>
      </c>
      <c r="JF5" s="26">
        <f>IF(JF$2=InputTable[[#This Row],[Delivery Date]],_xlfn.XLOOKUP(JF$1,$BH$2:$BR$2,$BH5:$BR5,0),0)</f>
        <v>0</v>
      </c>
      <c r="JG5" s="26">
        <f>IF(JG$2=InputTable[[#This Row],[Delivery Date]],_xlfn.XLOOKUP(JG$1,$BH$2:$BR$2,$BH5:$BR5,0),0)</f>
        <v>0</v>
      </c>
      <c r="JH5" s="26">
        <f>IF(JH$2=InputTable[[#This Row],[Delivery Date]],_xlfn.XLOOKUP(JH$1,$BH$2:$BR$2,$BH5:$BR5,0),0)</f>
        <v>0</v>
      </c>
      <c r="JI5" s="26">
        <f>IF(JI$2=InputTable[[#This Row],[Delivery Date]],_xlfn.XLOOKUP(JI$1,$BH$2:$BR$2,$BH5:$BR5,0),0)</f>
        <v>0</v>
      </c>
      <c r="JJ5" s="26">
        <f>IF(JJ$2=InputTable[[#This Row],[Delivery Date]],_xlfn.XLOOKUP(JJ$1,$BH$2:$BR$2,$BH5:$BR5,0),0)</f>
        <v>0</v>
      </c>
      <c r="JK5" s="26">
        <f>IF(JK$2=InputTable[[#This Row],[Delivery Date]],_xlfn.XLOOKUP(JK$1,$BH$2:$BR$2,$BH5:$BR5,0),0)</f>
        <v>0</v>
      </c>
      <c r="JL5" s="26">
        <f>IF(JL$2=InputTable[[#This Row],[Delivery Date]],_xlfn.XLOOKUP(JL$1,$BH$2:$BR$2,$BH5:$BR5,0),0)</f>
        <v>0</v>
      </c>
      <c r="JN5" s="26" t="e">
        <f>IF(JN$2=InputTable[[#This Row],[Delivery Date]],_xlfn.XLOOKUP(JN$1,$BH$2:$BR$2,$BH5:$BR5,0),0)</f>
        <v>#REF!</v>
      </c>
      <c r="JO5" s="26">
        <f>IF(JO$2=InputTable[[#This Row],[Delivery Date]],_xlfn.XLOOKUP(JO$1,$BH$2:$BR$2,$BH5:$BR5,0),0)</f>
        <v>0</v>
      </c>
      <c r="JP5" s="26">
        <f>IF(JP$2=InputTable[[#This Row],[Delivery Date]],_xlfn.XLOOKUP(JP$1,$BH$2:$BR$2,$BH5:$BR5,0),0)</f>
        <v>0</v>
      </c>
      <c r="JQ5" s="26">
        <f>IF(JQ$2=InputTable[[#This Row],[Delivery Date]],_xlfn.XLOOKUP(JQ$1,$BH$2:$BR$2,$BH5:$BR5,0),0)</f>
        <v>0</v>
      </c>
      <c r="JR5" s="26">
        <f>IF(JR$2=InputTable[[#This Row],[Delivery Date]],_xlfn.XLOOKUP(JR$1,$BH$2:$BR$2,$BH5:$BR5,0),0)</f>
        <v>0</v>
      </c>
      <c r="JS5" s="26">
        <f>IF(JS$2=InputTable[[#This Row],[Delivery Date]],_xlfn.XLOOKUP(JS$1,$BH$2:$BR$2,$BH5:$BR5,0),0)</f>
        <v>0</v>
      </c>
      <c r="JT5" s="26">
        <f>IF(JT$2=InputTable[[#This Row],[Delivery Date]],_xlfn.XLOOKUP(JT$1,$BH$2:$BR$2,$BH5:$BR5,0),0)</f>
        <v>0</v>
      </c>
      <c r="JU5" s="26">
        <f>IF(JU$2=InputTable[[#This Row],[Delivery Date]],_xlfn.XLOOKUP(JU$1,$BH$2:$BR$2,$BH5:$BR5,0),0)</f>
        <v>0</v>
      </c>
      <c r="JV5" s="26">
        <f>IF(JV$2=InputTable[[#This Row],[Delivery Date]],_xlfn.XLOOKUP(JV$1,$BH$2:$BR$2,$BH5:$BR5,0),0)</f>
        <v>0</v>
      </c>
      <c r="JX5" s="26" t="e">
        <f>IF(JX$2=InputTable[[#This Row],[Delivery Date]],_xlfn.XLOOKUP(JX$1,$BH$2:$BR$2,$BH5:$BR5,0),0)</f>
        <v>#REF!</v>
      </c>
      <c r="JY5" s="26">
        <f>IF(JY$2=InputTable[[#This Row],[Delivery Date]],_xlfn.XLOOKUP(JY$1,$BH$2:$BR$2,$BH5:$BR5,0),0)</f>
        <v>0</v>
      </c>
      <c r="JZ5" s="26">
        <f>IF(JZ$2=InputTable[[#This Row],[Delivery Date]],_xlfn.XLOOKUP(JZ$1,$BH$2:$BR$2,$BH5:$BR5,0),0)</f>
        <v>0</v>
      </c>
      <c r="KA5" s="26">
        <f>IF(KA$2=InputTable[[#This Row],[Delivery Date]],_xlfn.XLOOKUP(KA$1,$BH$2:$BR$2,$BH5:$BR5,0),0)</f>
        <v>0</v>
      </c>
      <c r="KB5" s="26">
        <f>IF(KB$2=InputTable[[#This Row],[Delivery Date]],_xlfn.XLOOKUP(KB$1,$BH$2:$BR$2,$BH5:$BR5,0),0)</f>
        <v>0</v>
      </c>
      <c r="KC5" s="26">
        <f>IF(KC$2=InputTable[[#This Row],[Delivery Date]],_xlfn.XLOOKUP(KC$1,$BH$2:$BR$2,$BH5:$BR5,0),0)</f>
        <v>0</v>
      </c>
      <c r="KD5" s="26">
        <f>IF(KD$2=InputTable[[#This Row],[Delivery Date]],_xlfn.XLOOKUP(KD$1,$BH$2:$BR$2,$BH5:$BR5,0),0)</f>
        <v>0</v>
      </c>
      <c r="KE5" s="26">
        <f>IF(KE$2=InputTable[[#This Row],[Delivery Date]],_xlfn.XLOOKUP(KE$1,$BH$2:$BR$2,$BH5:$BR5,0),0)</f>
        <v>0</v>
      </c>
      <c r="KF5" s="26">
        <f>IF(KF$2=InputTable[[#This Row],[Delivery Date]],_xlfn.XLOOKUP(KF$1,$BH$2:$BR$2,$BH5:$BR5,0),0)</f>
        <v>0</v>
      </c>
    </row>
    <row r="6" spans="1:292" ht="39.6" hidden="1" customHeight="1" x14ac:dyDescent="0.25">
      <c r="A6" s="141"/>
      <c r="B6" s="141" t="s">
        <v>114</v>
      </c>
      <c r="C6" s="92" t="s">
        <v>93</v>
      </c>
      <c r="D6" s="125" t="s">
        <v>115</v>
      </c>
      <c r="E6" s="193" t="s">
        <v>116</v>
      </c>
      <c r="F6" s="92" t="s">
        <v>96</v>
      </c>
      <c r="G6" s="92" t="s">
        <v>97</v>
      </c>
      <c r="H6" s="92"/>
      <c r="I6" s="92" t="s">
        <v>98</v>
      </c>
      <c r="J6" s="122"/>
      <c r="K6" s="95" t="e">
        <f>VLOOKUP((InputTable[[#This Row],[Starting Date]]&amp; " - " &amp;InputTable[[#This Row],[Delivery Date]]),'System List'!$F$40:$H$83,2,FALSE)</f>
        <v>#N/A</v>
      </c>
      <c r="L6" s="95" t="e">
        <f>VLOOKUP(InputTable[[#This Row],[Duration]],Duration,2,FALSE)</f>
        <v>#N/A</v>
      </c>
      <c r="M6" s="122" t="s">
        <v>110</v>
      </c>
      <c r="N6" s="92"/>
      <c r="O6" s="92"/>
      <c r="P6" s="92"/>
      <c r="Q6" s="92"/>
      <c r="R6" s="92" t="s">
        <v>111</v>
      </c>
      <c r="S6" s="92"/>
      <c r="T6" s="95" cm="1">
        <f t="array" ref="T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6" s="138"/>
      <c r="V6" s="92"/>
      <c r="W6" s="92"/>
      <c r="X6" s="92"/>
      <c r="Y6" s="92"/>
      <c r="Z6" s="92"/>
      <c r="AA6" s="92"/>
      <c r="AB6" s="92"/>
      <c r="AC6" s="92"/>
      <c r="AD6" s="92">
        <f>COUNTA(InputTable[[#This Row],[CORPHRFIN]:[SALES]])</f>
        <v>0</v>
      </c>
      <c r="AE6" s="88" cm="1">
        <f t="array" ref="AE6">SUM(
_xlfn.XLOOKUP(InputTable[[#This Row],[CORPHRFIN]:[SALES]],'System List'!$F$4:$F$7,'System List'!$H$4:$H$7,0))</f>
        <v>0</v>
      </c>
      <c r="AF6" s="140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88" cm="1">
        <f t="array" ref="AR6">SUM(
_xlfn.XLOOKUP(InputTable[[#This Row],[Impact on - CIAL]:[Impact on - STRAT]],'System List'!$F$4:$F$7,'System List'!$H$4:$H$7,0))</f>
        <v>0</v>
      </c>
      <c r="AS6" s="88" t="e">
        <f>VLOOKUP(InputTable[[#This Row],[Duration]],Duration,2,FALSE)+InputTable[[#This Row],[Resource Score]]</f>
        <v>#N/A</v>
      </c>
      <c r="AT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" s="24" t="e">
        <f>InputTable[[#This Row],[Value Score]]/InputTable[[#This Row],[EFFORT SCORE]]*100</f>
        <v>#N/A</v>
      </c>
      <c r="AV6" s="25"/>
      <c r="AW6" s="25" t="s">
        <v>101</v>
      </c>
      <c r="AX6" s="208"/>
      <c r="AY6" s="25"/>
      <c r="AZ6" s="209">
        <v>0</v>
      </c>
      <c r="BA6" s="209">
        <v>0</v>
      </c>
      <c r="BB6" s="209"/>
      <c r="BC6" s="189"/>
      <c r="BD6" s="188"/>
      <c r="BE6" s="188"/>
      <c r="BF6" s="70"/>
      <c r="BH6" s="2">
        <f>IFERROR(VLOOKUP(InputTable[[#This Row],[Impact on - CIAL]],'System List'!$F$4:$H$7,3,FALSE),0)</f>
        <v>0</v>
      </c>
      <c r="BI6" s="2">
        <f>IFERROR(VLOOKUP(InputTable[[#This Row],[Impact on - COM]],'System List'!$F$4:$H$7,3,FALSE),0)</f>
        <v>0</v>
      </c>
      <c r="BJ6" s="2">
        <f>IFERROR(VLOOKUP(InputTable[[#This Row],[Impact on - FIN]],'System List'!$F$4:$H$7,3,FALSE),0)</f>
        <v>0</v>
      </c>
      <c r="BK6" s="2">
        <f>IFERROR(VLOOKUP(InputTable[[#This Row],[Impact on - GEN SEC]],'System List'!$F$4:$H$7,3,FALSE),0)</f>
        <v>0</v>
      </c>
      <c r="BL6" s="2">
        <f>IFERROR(VLOOKUP(InputTable[[#This Row],[Impact on - HR]],'System List'!$F$4:$H$7,3,FALSE),0)</f>
        <v>0</v>
      </c>
      <c r="BM6" s="2">
        <f>IFERROR(VLOOKUP(InputTable[[#This Row],[Impact on - IS]],'System List'!$F$4:$H$7,3,FALSE),0)</f>
        <v>0</v>
      </c>
      <c r="BN6" s="2">
        <f>IFERROR(VLOOKUP(InputTable[[#This Row],[Impact on - OPS]],'System List'!$F$4:$H$7,3,FALSE),0)</f>
        <v>0</v>
      </c>
      <c r="BO6" s="2">
        <f>IFERROR(VLOOKUP(InputTable[[#This Row],[Impact on - ROLL STOCK]],'System List'!$F$4:$H$7,3,FALSE),0)</f>
        <v>0</v>
      </c>
      <c r="BP6" s="2">
        <f>IFERROR(VLOOKUP(InputTable[[#This Row],[Impact on - SAFETY]],'System List'!$F$4:$H$7,3,FALSE),0)</f>
        <v>0</v>
      </c>
      <c r="BQ6" s="2">
        <f>IFERROR(VLOOKUP(InputTable[[#This Row],[Impact on - STATION]],'System List'!$F$4:$H$7,3,FALSE),0)</f>
        <v>0</v>
      </c>
      <c r="BR6" s="2">
        <f>IFERROR(VLOOKUP(InputTable[[#This Row],[Impact on - STRAT]],'System List'!$F$4:$H$7,3,FALSE),0)</f>
        <v>0</v>
      </c>
      <c r="BT6" s="2">
        <f>IFERROR(VLOOKUP(InputTable[[#This Row],[CORPHRFIN]],'System List'!$F$4:$H$7,3,FALSE),0)</f>
        <v>0</v>
      </c>
      <c r="BU6" s="2">
        <f>IFERROR(VLOOKUP(InputTable[[#This Row],[CUST]],'System List'!$F$4:$H$7,3,FALSE),0)</f>
        <v>0</v>
      </c>
      <c r="BV6" s="2">
        <f>IFERROR(VLOOKUP(InputTable[[#This Row],[CYBER]],'System List'!$F$4:$H$7,3,FALSE),0)</f>
        <v>0</v>
      </c>
      <c r="BW6" s="2">
        <f>IFERROR(VLOOKUP(InputTable[[#This Row],[DATA]],'System List'!$F$4:$H$7,3,FALSE),0)</f>
        <v>0</v>
      </c>
      <c r="BX6" s="2">
        <f>IFERROR(VLOOKUP(InputTable[[#This Row],[INFRA]],'System List'!$F$4:$H$7,3,FALSE),0)</f>
        <v>0</v>
      </c>
      <c r="BY6" s="2">
        <f>IFERROR(VLOOKUP(InputTable[[#This Row],[OPERATIONS]],'System List'!$F$4:$H$7,3,FALSE),0)</f>
        <v>0</v>
      </c>
      <c r="BZ6" s="2">
        <f>IFERROR(VLOOKUP(InputTable[[#This Row],[PMO]],'System List'!$F$4:$H$7,3,FALSE),0)</f>
        <v>0</v>
      </c>
      <c r="CA6" s="2">
        <f>IFERROR(VLOOKUP(InputTable[[#This Row],[SALES]],'System List'!$F$4:$H$7,3,FALSE),0)</f>
        <v>0</v>
      </c>
      <c r="CC6" s="2" cm="1">
        <f t="array" ref="CC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" s="2" cm="1">
        <f t="array" ref="CD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" s="2" cm="1">
        <f t="array" ref="CE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" s="2" cm="1">
        <f t="array" ref="CF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" s="2" cm="1">
        <f t="array" ref="CG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" s="2" cm="1">
        <f t="array" ref="CH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" s="2" cm="1">
        <f t="array" ref="CI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" s="2" cm="1">
        <f t="array" ref="CJ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" s="2" cm="1">
        <f t="array" ref="CK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" s="26">
        <f t="shared" si="74"/>
        <v>0</v>
      </c>
      <c r="CY6" s="26">
        <f t="shared" si="74"/>
        <v>0</v>
      </c>
      <c r="CZ6" s="26">
        <f t="shared" si="74"/>
        <v>0</v>
      </c>
      <c r="DA6" s="26">
        <f t="shared" si="74"/>
        <v>0</v>
      </c>
      <c r="DB6" s="26">
        <f t="shared" si="74"/>
        <v>0</v>
      </c>
      <c r="DC6" s="26">
        <f t="shared" si="74"/>
        <v>0</v>
      </c>
      <c r="DD6" s="26">
        <f t="shared" si="74"/>
        <v>0</v>
      </c>
      <c r="DE6" s="26">
        <f t="shared" si="74"/>
        <v>0</v>
      </c>
      <c r="DF6" s="26">
        <f t="shared" si="74"/>
        <v>0</v>
      </c>
      <c r="DH6" s="26">
        <f t="shared" si="11"/>
        <v>0</v>
      </c>
      <c r="DI6" s="26">
        <f t="shared" si="12"/>
        <v>0</v>
      </c>
      <c r="DJ6" s="26">
        <f t="shared" si="13"/>
        <v>0</v>
      </c>
      <c r="DK6" s="26">
        <f t="shared" si="14"/>
        <v>0</v>
      </c>
      <c r="DL6" s="26">
        <f t="shared" si="15"/>
        <v>0</v>
      </c>
      <c r="DM6" s="26">
        <f t="shared" si="16"/>
        <v>0</v>
      </c>
      <c r="DN6" s="26">
        <f t="shared" si="17"/>
        <v>0</v>
      </c>
      <c r="DO6" s="26">
        <f t="shared" si="18"/>
        <v>0</v>
      </c>
      <c r="DP6" s="26">
        <f t="shared" si="19"/>
        <v>0</v>
      </c>
      <c r="DR6" s="26">
        <f t="shared" si="20"/>
        <v>0</v>
      </c>
      <c r="DS6" s="26">
        <f t="shared" si="21"/>
        <v>0</v>
      </c>
      <c r="DT6" s="26">
        <f t="shared" si="22"/>
        <v>0</v>
      </c>
      <c r="DU6" s="26">
        <f t="shared" si="23"/>
        <v>0</v>
      </c>
      <c r="DV6" s="26">
        <f t="shared" si="24"/>
        <v>0</v>
      </c>
      <c r="DW6" s="26">
        <f t="shared" si="25"/>
        <v>0</v>
      </c>
      <c r="DX6" s="26">
        <f t="shared" si="26"/>
        <v>0</v>
      </c>
      <c r="DY6" s="26">
        <f t="shared" si="27"/>
        <v>0</v>
      </c>
      <c r="DZ6" s="26">
        <f t="shared" si="28"/>
        <v>0</v>
      </c>
      <c r="EB6" s="26">
        <f t="shared" si="29"/>
        <v>0</v>
      </c>
      <c r="EC6" s="26">
        <f t="shared" si="30"/>
        <v>0</v>
      </c>
      <c r="ED6" s="26">
        <f t="shared" si="31"/>
        <v>0</v>
      </c>
      <c r="EE6" s="26">
        <f t="shared" si="32"/>
        <v>0</v>
      </c>
      <c r="EF6" s="26">
        <f t="shared" si="33"/>
        <v>0</v>
      </c>
      <c r="EG6" s="26">
        <f t="shared" si="34"/>
        <v>0</v>
      </c>
      <c r="EH6" s="26">
        <f t="shared" si="35"/>
        <v>0</v>
      </c>
      <c r="EI6" s="26">
        <f t="shared" si="36"/>
        <v>0</v>
      </c>
      <c r="EJ6" s="26">
        <f t="shared" si="37"/>
        <v>0</v>
      </c>
      <c r="EL6" s="26">
        <f t="shared" si="38"/>
        <v>0</v>
      </c>
      <c r="EM6" s="26">
        <f t="shared" si="39"/>
        <v>0</v>
      </c>
      <c r="EN6" s="26">
        <f t="shared" si="40"/>
        <v>0</v>
      </c>
      <c r="EO6" s="26">
        <f t="shared" si="41"/>
        <v>0</v>
      </c>
      <c r="EP6" s="26">
        <f t="shared" si="42"/>
        <v>0</v>
      </c>
      <c r="EQ6" s="26">
        <f t="shared" si="43"/>
        <v>0</v>
      </c>
      <c r="ER6" s="26">
        <f t="shared" si="44"/>
        <v>0</v>
      </c>
      <c r="ES6" s="26">
        <f t="shared" si="45"/>
        <v>0</v>
      </c>
      <c r="ET6" s="26">
        <f t="shared" si="46"/>
        <v>0</v>
      </c>
      <c r="EV6" s="26">
        <f t="shared" si="47"/>
        <v>0</v>
      </c>
      <c r="EW6" s="26">
        <f t="shared" si="48"/>
        <v>0</v>
      </c>
      <c r="EX6" s="26">
        <f t="shared" si="49"/>
        <v>0</v>
      </c>
      <c r="EY6" s="26">
        <f t="shared" si="50"/>
        <v>0</v>
      </c>
      <c r="EZ6" s="26">
        <f t="shared" si="51"/>
        <v>0</v>
      </c>
      <c r="FA6" s="26">
        <f t="shared" si="52"/>
        <v>0</v>
      </c>
      <c r="FB6" s="26">
        <f t="shared" si="53"/>
        <v>0</v>
      </c>
      <c r="FC6" s="26">
        <f t="shared" si="54"/>
        <v>0</v>
      </c>
      <c r="FD6" s="26">
        <f t="shared" si="55"/>
        <v>0</v>
      </c>
      <c r="FF6" s="26">
        <f t="shared" si="56"/>
        <v>0</v>
      </c>
      <c r="FG6" s="26">
        <f t="shared" si="57"/>
        <v>0</v>
      </c>
      <c r="FH6" s="26">
        <f t="shared" si="58"/>
        <v>0</v>
      </c>
      <c r="FI6" s="26">
        <f t="shared" si="59"/>
        <v>0</v>
      </c>
      <c r="FJ6" s="26">
        <f t="shared" si="60"/>
        <v>0</v>
      </c>
      <c r="FK6" s="26">
        <f t="shared" si="61"/>
        <v>0</v>
      </c>
      <c r="FL6" s="26">
        <f t="shared" si="62"/>
        <v>0</v>
      </c>
      <c r="FM6" s="26">
        <f t="shared" si="63"/>
        <v>0</v>
      </c>
      <c r="FN6" s="26">
        <f t="shared" si="64"/>
        <v>0</v>
      </c>
      <c r="FP6" s="26" t="e">
        <f t="shared" si="65"/>
        <v>#REF!</v>
      </c>
      <c r="FQ6" s="26" t="e">
        <f t="shared" si="66"/>
        <v>#REF!</v>
      </c>
      <c r="FR6" s="26" t="e">
        <f t="shared" si="67"/>
        <v>#REF!</v>
      </c>
      <c r="FS6" s="26" t="e">
        <f t="shared" si="68"/>
        <v>#REF!</v>
      </c>
      <c r="FT6" s="26" t="e">
        <f t="shared" si="69"/>
        <v>#REF!</v>
      </c>
      <c r="FU6" s="26" t="e">
        <f t="shared" si="70"/>
        <v>#REF!</v>
      </c>
      <c r="FV6" s="26" t="e">
        <f t="shared" si="71"/>
        <v>#REF!</v>
      </c>
      <c r="FW6" s="26" t="e">
        <f t="shared" si="72"/>
        <v>#REF!</v>
      </c>
      <c r="FX6" s="26" t="e">
        <f t="shared" si="73"/>
        <v>#REF!</v>
      </c>
      <c r="GB6" s="26" t="e">
        <f>IF(GB$2=InputTable[[#This Row],[Delivery Date]],_xlfn.XLOOKUP(GB$1,$BH$2:$BR$2,$BH6:$BR6,0),0)</f>
        <v>#REF!</v>
      </c>
      <c r="GC6" s="26">
        <f>IF(GC$2=InputTable[[#This Row],[Delivery Date]],_xlfn.XLOOKUP(GC$1,$BH$2:$BR$2,$BH6:$BR6,0),0)</f>
        <v>0</v>
      </c>
      <c r="GD6" s="26">
        <f>IF(GD$2=InputTable[[#This Row],[Delivery Date]],_xlfn.XLOOKUP(GD$1,$BH$2:$BR$2,$BH6:$BR6,0),0)</f>
        <v>0</v>
      </c>
      <c r="GE6" s="26">
        <f>IF(GE$2=InputTable[[#This Row],[Delivery Date]],_xlfn.XLOOKUP(GE$1,$BH$2:$BR$2,$BH6:$BR6,0),0)</f>
        <v>0</v>
      </c>
      <c r="GF6" s="26">
        <f>IF(GF$2=InputTable[[#This Row],[Delivery Date]],_xlfn.XLOOKUP(GF$1,$BH$2:$BR$2,$BH6:$BR6,0),0)</f>
        <v>0</v>
      </c>
      <c r="GG6" s="26">
        <f>IF(GG$2=InputTable[[#This Row],[Delivery Date]],_xlfn.XLOOKUP(GG$1,$BH$2:$BR$2,$BH6:$BR6,0),0)</f>
        <v>0</v>
      </c>
      <c r="GH6" s="26">
        <f>IF(GH$2=InputTable[[#This Row],[Delivery Date]],_xlfn.XLOOKUP(GH$1,$BH$2:$BR$2,$BH6:$BR6,0),0)</f>
        <v>0</v>
      </c>
      <c r="GI6" s="26">
        <f>IF(GI$2=InputTable[[#This Row],[Delivery Date]],_xlfn.XLOOKUP(GI$1,$BH$2:$BR$2,$BH6:$BR6,0),0)</f>
        <v>0</v>
      </c>
      <c r="GJ6" s="26">
        <f>IF(GJ$2=InputTable[[#This Row],[Delivery Date]],_xlfn.XLOOKUP(GJ$1,$BH$2:$BR$2,$BH6:$BR6,0),0)</f>
        <v>0</v>
      </c>
      <c r="GL6" s="26" t="e">
        <f>IF(GL$2=InputTable[[#This Row],[Delivery Date]],_xlfn.XLOOKUP(GL$1,$BH$2:$BR$2,$BH6:$BR6,0),0)</f>
        <v>#REF!</v>
      </c>
      <c r="GM6" s="26">
        <f>IF(GM$2=InputTable[[#This Row],[Delivery Date]],_xlfn.XLOOKUP(GM$1,$BH$2:$BR$2,$BH6:$BR6,0),0)</f>
        <v>0</v>
      </c>
      <c r="GN6" s="26">
        <f>IF(GN$2=InputTable[[#This Row],[Delivery Date]],_xlfn.XLOOKUP(GN$1,$BH$2:$BR$2,$BH6:$BR6,0),0)</f>
        <v>0</v>
      </c>
      <c r="GO6" s="26">
        <f>IF(GO$2=InputTable[[#This Row],[Delivery Date]],_xlfn.XLOOKUP(GO$1,$BH$2:$BR$2,$BH6:$BR6,0),0)</f>
        <v>0</v>
      </c>
      <c r="GP6" s="26">
        <f>IF(GP$2=InputTable[[#This Row],[Delivery Date]],_xlfn.XLOOKUP(GP$1,$BH$2:$BR$2,$BH6:$BR6,0),0)</f>
        <v>0</v>
      </c>
      <c r="GQ6" s="26">
        <f>IF(GQ$2=InputTable[[#This Row],[Delivery Date]],_xlfn.XLOOKUP(GQ$1,$BH$2:$BR$2,$BH6:$BR6,0),0)</f>
        <v>0</v>
      </c>
      <c r="GR6" s="26">
        <f>IF(GR$2=InputTable[[#This Row],[Delivery Date]],_xlfn.XLOOKUP(GR$1,$BH$2:$BR$2,$BH6:$BR6,0),0)</f>
        <v>0</v>
      </c>
      <c r="GS6" s="26">
        <f>IF(GS$2=InputTable[[#This Row],[Delivery Date]],_xlfn.XLOOKUP(GS$1,$BH$2:$BR$2,$BH6:$BR6,0),0)</f>
        <v>0</v>
      </c>
      <c r="GT6" s="26">
        <f>IF(GT$2=InputTable[[#This Row],[Delivery Date]],_xlfn.XLOOKUP(GT$1,$BH$2:$BR$2,$BH6:$BR6,0),0)</f>
        <v>0</v>
      </c>
      <c r="GV6" s="26" t="e">
        <f>IF(GV$2=InputTable[[#This Row],[Delivery Date]],_xlfn.XLOOKUP(GV$1,$BH$2:$BR$2,$BH6:$BR6,0),0)</f>
        <v>#REF!</v>
      </c>
      <c r="GW6" s="26">
        <f>IF(GW$2=InputTable[[#This Row],[Delivery Date]],_xlfn.XLOOKUP(GW$1,$BH$2:$BR$2,$BH6:$BR6,0),0)</f>
        <v>0</v>
      </c>
      <c r="GX6" s="26">
        <f>IF(GX$2=InputTable[[#This Row],[Delivery Date]],_xlfn.XLOOKUP(GX$1,$BH$2:$BR$2,$BH6:$BR6,0),0)</f>
        <v>0</v>
      </c>
      <c r="GY6" s="26">
        <f>IF(GY$2=InputTable[[#This Row],[Delivery Date]],_xlfn.XLOOKUP(GY$1,$BH$2:$BR$2,$BH6:$BR6,0),0)</f>
        <v>0</v>
      </c>
      <c r="GZ6" s="26">
        <f>IF(GZ$2=InputTable[[#This Row],[Delivery Date]],_xlfn.XLOOKUP(GZ$1,$BH$2:$BR$2,$BH6:$BR6,0),0)</f>
        <v>0</v>
      </c>
      <c r="HA6" s="26">
        <f>IF(HA$2=InputTable[[#This Row],[Delivery Date]],_xlfn.XLOOKUP(HA$1,$BH$2:$BR$2,$BH6:$BR6,0),0)</f>
        <v>0</v>
      </c>
      <c r="HB6" s="26">
        <f>IF(HB$2=InputTable[[#This Row],[Delivery Date]],_xlfn.XLOOKUP(HB$1,$BH$2:$BR$2,$BH6:$BR6,0),0)</f>
        <v>0</v>
      </c>
      <c r="HC6" s="26">
        <f>IF(HC$2=InputTable[[#This Row],[Delivery Date]],_xlfn.XLOOKUP(HC$1,$BH$2:$BR$2,$BH6:$BR6,0),0)</f>
        <v>0</v>
      </c>
      <c r="HD6" s="26">
        <f>IF(HD$2=InputTable[[#This Row],[Delivery Date]],_xlfn.XLOOKUP(HD$1,$BH$2:$BR$2,$BH6:$BR6,0),0)</f>
        <v>0</v>
      </c>
      <c r="HF6" s="26" t="e">
        <f>IF(HF$2=InputTable[[#This Row],[Delivery Date]],_xlfn.XLOOKUP(HF$1,$BH$2:$BR$2,$BH6:$BR6,0),0)</f>
        <v>#REF!</v>
      </c>
      <c r="HG6" s="26">
        <f>IF(HG$2=InputTable[[#This Row],[Delivery Date]],_xlfn.XLOOKUP(HG$1,$BH$2:$BR$2,$BH6:$BR6,0),0)</f>
        <v>0</v>
      </c>
      <c r="HH6" s="26">
        <f>IF(HH$2=InputTable[[#This Row],[Delivery Date]],_xlfn.XLOOKUP(HH$1,$BH$2:$BR$2,$BH6:$BR6,0),0)</f>
        <v>0</v>
      </c>
      <c r="HI6" s="26">
        <f>IF(HI$2=InputTable[[#This Row],[Delivery Date]],_xlfn.XLOOKUP(HI$1,$BH$2:$BR$2,$BH6:$BR6,0),0)</f>
        <v>0</v>
      </c>
      <c r="HJ6" s="26">
        <f>IF(HJ$2=InputTable[[#This Row],[Delivery Date]],_xlfn.XLOOKUP(HJ$1,$BH$2:$BR$2,$BH6:$BR6,0),0)</f>
        <v>0</v>
      </c>
      <c r="HK6" s="26">
        <f>IF(HK$2=InputTable[[#This Row],[Delivery Date]],_xlfn.XLOOKUP(HK$1,$BH$2:$BR$2,$BH6:$BR6,0),0)</f>
        <v>0</v>
      </c>
      <c r="HL6" s="26">
        <f>IF(HL$2=InputTable[[#This Row],[Delivery Date]],_xlfn.XLOOKUP(HL$1,$BH$2:$BR$2,$BH6:$BR6,0),0)</f>
        <v>0</v>
      </c>
      <c r="HM6" s="26">
        <f>IF(HM$2=InputTable[[#This Row],[Delivery Date]],_xlfn.XLOOKUP(HM$1,$BH$2:$BR$2,$BH6:$BR6,0),0)</f>
        <v>0</v>
      </c>
      <c r="HN6" s="26">
        <f>IF(HN$2=InputTable[[#This Row],[Delivery Date]],_xlfn.XLOOKUP(HN$1,$BH$2:$BR$2,$BH6:$BR6,0),0)</f>
        <v>0</v>
      </c>
      <c r="HP6" s="26" t="e">
        <f>IF(HP$2=InputTable[[#This Row],[Delivery Date]],_xlfn.XLOOKUP(HP$1,$BH$2:$BR$2,$BH6:$BR6,0),0)</f>
        <v>#REF!</v>
      </c>
      <c r="HQ6" s="26">
        <f>IF(HQ$2=InputTable[[#This Row],[Delivery Date]],_xlfn.XLOOKUP(HQ$1,$BH$2:$BR$2,$BH6:$BR6,0),0)</f>
        <v>0</v>
      </c>
      <c r="HR6" s="26">
        <f>IF(HR$2=InputTable[[#This Row],[Delivery Date]],_xlfn.XLOOKUP(HR$1,$BH$2:$BR$2,$BH6:$BR6,0),0)</f>
        <v>0</v>
      </c>
      <c r="HS6" s="26">
        <f>IF(HS$2=InputTable[[#This Row],[Delivery Date]],_xlfn.XLOOKUP(HS$1,$BH$2:$BR$2,$BH6:$BR6,0),0)</f>
        <v>0</v>
      </c>
      <c r="HT6" s="26">
        <f>IF(HT$2=InputTable[[#This Row],[Delivery Date]],_xlfn.XLOOKUP(HT$1,$BH$2:$BR$2,$BH6:$BR6,0),0)</f>
        <v>0</v>
      </c>
      <c r="HU6" s="26">
        <f>IF(HU$2=InputTable[[#This Row],[Delivery Date]],_xlfn.XLOOKUP(HU$1,$BH$2:$BR$2,$BH6:$BR6,0),0)</f>
        <v>0</v>
      </c>
      <c r="HV6" s="26">
        <f>IF(HV$2=InputTable[[#This Row],[Delivery Date]],_xlfn.XLOOKUP(HV$1,$BH$2:$BR$2,$BH6:$BR6,0),0)</f>
        <v>0</v>
      </c>
      <c r="HW6" s="26">
        <f>IF(HW$2=InputTable[[#This Row],[Delivery Date]],_xlfn.XLOOKUP(HW$1,$BH$2:$BR$2,$BH6:$BR6,0),0)</f>
        <v>0</v>
      </c>
      <c r="HX6" s="26">
        <f>IF(HX$2=InputTable[[#This Row],[Delivery Date]],_xlfn.XLOOKUP(HX$1,$BH$2:$BR$2,$BH6:$BR6,0),0)</f>
        <v>0</v>
      </c>
      <c r="HZ6" s="26" t="e">
        <f>IF(HZ$2=InputTable[[#This Row],[Delivery Date]],_xlfn.XLOOKUP(HZ$1,$BH$2:$BR$2,$BH6:$BR6,0),0)</f>
        <v>#REF!</v>
      </c>
      <c r="IA6" s="26">
        <f>IF(IA$2=InputTable[[#This Row],[Delivery Date]],_xlfn.XLOOKUP(IA$1,$BH$2:$BR$2,$BH6:$BR6,0),0)</f>
        <v>0</v>
      </c>
      <c r="IB6" s="26">
        <f>IF(IB$2=InputTable[[#This Row],[Delivery Date]],_xlfn.XLOOKUP(IB$1,$BH$2:$BR$2,$BH6:$BR6,0),0)</f>
        <v>0</v>
      </c>
      <c r="IC6" s="26">
        <f>IF(IC$2=InputTable[[#This Row],[Delivery Date]],_xlfn.XLOOKUP(IC$1,$BH$2:$BR$2,$BH6:$BR6,0),0)</f>
        <v>0</v>
      </c>
      <c r="ID6" s="26">
        <f>IF(ID$2=InputTable[[#This Row],[Delivery Date]],_xlfn.XLOOKUP(ID$1,$BH$2:$BR$2,$BH6:$BR6,0),0)</f>
        <v>0</v>
      </c>
      <c r="IE6" s="26">
        <f>IF(IE$2=InputTable[[#This Row],[Delivery Date]],_xlfn.XLOOKUP(IE$1,$BH$2:$BR$2,$BH6:$BR6,0),0)</f>
        <v>0</v>
      </c>
      <c r="IF6" s="26">
        <f>IF(IF$2=InputTable[[#This Row],[Delivery Date]],_xlfn.XLOOKUP(IF$1,$BH$2:$BR$2,$BH6:$BR6,0),0)</f>
        <v>0</v>
      </c>
      <c r="IG6" s="26">
        <f>IF(IG$2=InputTable[[#This Row],[Delivery Date]],_xlfn.XLOOKUP(IG$1,$BH$2:$BR$2,$BH6:$BR6,0),0)</f>
        <v>0</v>
      </c>
      <c r="IH6" s="26">
        <f>IF(IH$2=InputTable[[#This Row],[Delivery Date]],_xlfn.XLOOKUP(IH$1,$BH$2:$BR$2,$BH6:$BR6,0),0)</f>
        <v>0</v>
      </c>
      <c r="IJ6" s="26" t="e">
        <f>IF(IJ$2=InputTable[[#This Row],[Delivery Date]],_xlfn.XLOOKUP(IJ$1,$BH$2:$BR$2,$BH6:$BR6,0),0)</f>
        <v>#REF!</v>
      </c>
      <c r="IK6" s="26">
        <f>IF(IK$2=InputTable[[#This Row],[Delivery Date]],_xlfn.XLOOKUP(IK$1,$BH$2:$BR$2,$BH6:$BR6,0),0)</f>
        <v>0</v>
      </c>
      <c r="IL6" s="26">
        <f>IF(IL$2=InputTable[[#This Row],[Delivery Date]],_xlfn.XLOOKUP(IL$1,$BH$2:$BR$2,$BH6:$BR6,0),0)</f>
        <v>0</v>
      </c>
      <c r="IM6" s="26">
        <f>IF(IM$2=InputTable[[#This Row],[Delivery Date]],_xlfn.XLOOKUP(IM$1,$BH$2:$BR$2,$BH6:$BR6,0),0)</f>
        <v>0</v>
      </c>
      <c r="IN6" s="26">
        <f>IF(IN$2=InputTable[[#This Row],[Delivery Date]],_xlfn.XLOOKUP(IN$1,$BH$2:$BR$2,$BH6:$BR6,0),0)</f>
        <v>0</v>
      </c>
      <c r="IO6" s="26">
        <f>IF(IO$2=InputTable[[#This Row],[Delivery Date]],_xlfn.XLOOKUP(IO$1,$BH$2:$BR$2,$BH6:$BR6,0),0)</f>
        <v>0</v>
      </c>
      <c r="IP6" s="26">
        <f>IF(IP$2=InputTable[[#This Row],[Delivery Date]],_xlfn.XLOOKUP(IP$1,$BH$2:$BR$2,$BH6:$BR6,0),0)</f>
        <v>0</v>
      </c>
      <c r="IQ6" s="26">
        <f>IF(IQ$2=InputTable[[#This Row],[Delivery Date]],_xlfn.XLOOKUP(IQ$1,$BH$2:$BR$2,$BH6:$BR6,0),0)</f>
        <v>0</v>
      </c>
      <c r="IR6" s="26">
        <f>IF(IR$2=InputTable[[#This Row],[Delivery Date]],_xlfn.XLOOKUP(IR$1,$BH$2:$BR$2,$BH6:$BR6,0),0)</f>
        <v>0</v>
      </c>
      <c r="IT6" s="26" t="e">
        <f>IF(IT$2=InputTable[[#This Row],[Delivery Date]],_xlfn.XLOOKUP(IT$1,$BH$2:$BR$2,$BH6:$BR6,0),0)</f>
        <v>#REF!</v>
      </c>
      <c r="IU6" s="26">
        <f>IF(IU$2=InputTable[[#This Row],[Delivery Date]],_xlfn.XLOOKUP(IU$1,$BH$2:$BR$2,$BH6:$BR6,0),0)</f>
        <v>0</v>
      </c>
      <c r="IV6" s="26">
        <f>IF(IV$2=InputTable[[#This Row],[Delivery Date]],_xlfn.XLOOKUP(IV$1,$BH$2:$BR$2,$BH6:$BR6,0),0)</f>
        <v>0</v>
      </c>
      <c r="IW6" s="26">
        <f>IF(IW$2=InputTable[[#This Row],[Delivery Date]],_xlfn.XLOOKUP(IW$1,$BH$2:$BR$2,$BH6:$BR6,0),0)</f>
        <v>0</v>
      </c>
      <c r="IX6" s="26">
        <f>IF(IX$2=InputTable[[#This Row],[Delivery Date]],_xlfn.XLOOKUP(IX$1,$BH$2:$BR$2,$BH6:$BR6,0),0)</f>
        <v>0</v>
      </c>
      <c r="IY6" s="26">
        <f>IF(IY$2=InputTable[[#This Row],[Delivery Date]],_xlfn.XLOOKUP(IY$1,$BH$2:$BR$2,$BH6:$BR6,0),0)</f>
        <v>0</v>
      </c>
      <c r="IZ6" s="26">
        <f>IF(IZ$2=InputTable[[#This Row],[Delivery Date]],_xlfn.XLOOKUP(IZ$1,$BH$2:$BR$2,$BH6:$BR6,0),0)</f>
        <v>0</v>
      </c>
      <c r="JA6" s="26">
        <f>IF(JA$2=InputTable[[#This Row],[Delivery Date]],_xlfn.XLOOKUP(JA$1,$BH$2:$BR$2,$BH6:$BR6,0),0)</f>
        <v>0</v>
      </c>
      <c r="JB6" s="26">
        <f>IF(JB$2=InputTable[[#This Row],[Delivery Date]],_xlfn.XLOOKUP(JB$1,$BH$2:$BR$2,$BH6:$BR6,0),0)</f>
        <v>0</v>
      </c>
      <c r="JD6" s="26" t="e">
        <f>IF(JD$2=InputTable[[#This Row],[Delivery Date]],_xlfn.XLOOKUP(JD$1,$BH$2:$BR$2,$BH6:$BR6,0),0)</f>
        <v>#REF!</v>
      </c>
      <c r="JE6" s="26">
        <f>IF(JE$2=InputTable[[#This Row],[Delivery Date]],_xlfn.XLOOKUP(JE$1,$BH$2:$BR$2,$BH6:$BR6,0),0)</f>
        <v>0</v>
      </c>
      <c r="JF6" s="26">
        <f>IF(JF$2=InputTable[[#This Row],[Delivery Date]],_xlfn.XLOOKUP(JF$1,$BH$2:$BR$2,$BH6:$BR6,0),0)</f>
        <v>0</v>
      </c>
      <c r="JG6" s="26">
        <f>IF(JG$2=InputTable[[#This Row],[Delivery Date]],_xlfn.XLOOKUP(JG$1,$BH$2:$BR$2,$BH6:$BR6,0),0)</f>
        <v>0</v>
      </c>
      <c r="JH6" s="26">
        <f>IF(JH$2=InputTable[[#This Row],[Delivery Date]],_xlfn.XLOOKUP(JH$1,$BH$2:$BR$2,$BH6:$BR6,0),0)</f>
        <v>0</v>
      </c>
      <c r="JI6" s="26">
        <f>IF(JI$2=InputTable[[#This Row],[Delivery Date]],_xlfn.XLOOKUP(JI$1,$BH$2:$BR$2,$BH6:$BR6,0),0)</f>
        <v>0</v>
      </c>
      <c r="JJ6" s="26">
        <f>IF(JJ$2=InputTable[[#This Row],[Delivery Date]],_xlfn.XLOOKUP(JJ$1,$BH$2:$BR$2,$BH6:$BR6,0),0)</f>
        <v>0</v>
      </c>
      <c r="JK6" s="26">
        <f>IF(JK$2=InputTable[[#This Row],[Delivery Date]],_xlfn.XLOOKUP(JK$1,$BH$2:$BR$2,$BH6:$BR6,0),0)</f>
        <v>0</v>
      </c>
      <c r="JL6" s="26">
        <f>IF(JL$2=InputTable[[#This Row],[Delivery Date]],_xlfn.XLOOKUP(JL$1,$BH$2:$BR$2,$BH6:$BR6,0),0)</f>
        <v>0</v>
      </c>
      <c r="JN6" s="26" t="e">
        <f>IF(JN$2=InputTable[[#This Row],[Delivery Date]],_xlfn.XLOOKUP(JN$1,$BH$2:$BR$2,$BH6:$BR6,0),0)</f>
        <v>#REF!</v>
      </c>
      <c r="JO6" s="26">
        <f>IF(JO$2=InputTable[[#This Row],[Delivery Date]],_xlfn.XLOOKUP(JO$1,$BH$2:$BR$2,$BH6:$BR6,0),0)</f>
        <v>0</v>
      </c>
      <c r="JP6" s="26">
        <f>IF(JP$2=InputTable[[#This Row],[Delivery Date]],_xlfn.XLOOKUP(JP$1,$BH$2:$BR$2,$BH6:$BR6,0),0)</f>
        <v>0</v>
      </c>
      <c r="JQ6" s="26">
        <f>IF(JQ$2=InputTable[[#This Row],[Delivery Date]],_xlfn.XLOOKUP(JQ$1,$BH$2:$BR$2,$BH6:$BR6,0),0)</f>
        <v>0</v>
      </c>
      <c r="JR6" s="26">
        <f>IF(JR$2=InputTable[[#This Row],[Delivery Date]],_xlfn.XLOOKUP(JR$1,$BH$2:$BR$2,$BH6:$BR6,0),0)</f>
        <v>0</v>
      </c>
      <c r="JS6" s="26">
        <f>IF(JS$2=InputTable[[#This Row],[Delivery Date]],_xlfn.XLOOKUP(JS$1,$BH$2:$BR$2,$BH6:$BR6,0),0)</f>
        <v>0</v>
      </c>
      <c r="JT6" s="26">
        <f>IF(JT$2=InputTable[[#This Row],[Delivery Date]],_xlfn.XLOOKUP(JT$1,$BH$2:$BR$2,$BH6:$BR6,0),0)</f>
        <v>0</v>
      </c>
      <c r="JU6" s="26">
        <f>IF(JU$2=InputTable[[#This Row],[Delivery Date]],_xlfn.XLOOKUP(JU$1,$BH$2:$BR$2,$BH6:$BR6,0),0)</f>
        <v>0</v>
      </c>
      <c r="JV6" s="26">
        <f>IF(JV$2=InputTable[[#This Row],[Delivery Date]],_xlfn.XLOOKUP(JV$1,$BH$2:$BR$2,$BH6:$BR6,0),0)</f>
        <v>0</v>
      </c>
      <c r="JX6" s="26" t="e">
        <f>IF(JX$2=InputTable[[#This Row],[Delivery Date]],_xlfn.XLOOKUP(JX$1,$BH$2:$BR$2,$BH6:$BR6,0),0)</f>
        <v>#REF!</v>
      </c>
      <c r="JY6" s="26">
        <f>IF(JY$2=InputTable[[#This Row],[Delivery Date]],_xlfn.XLOOKUP(JY$1,$BH$2:$BR$2,$BH6:$BR6,0),0)</f>
        <v>0</v>
      </c>
      <c r="JZ6" s="26">
        <f>IF(JZ$2=InputTable[[#This Row],[Delivery Date]],_xlfn.XLOOKUP(JZ$1,$BH$2:$BR$2,$BH6:$BR6,0),0)</f>
        <v>0</v>
      </c>
      <c r="KA6" s="26">
        <f>IF(KA$2=InputTable[[#This Row],[Delivery Date]],_xlfn.XLOOKUP(KA$1,$BH$2:$BR$2,$BH6:$BR6,0),0)</f>
        <v>0</v>
      </c>
      <c r="KB6" s="26">
        <f>IF(KB$2=InputTable[[#This Row],[Delivery Date]],_xlfn.XLOOKUP(KB$1,$BH$2:$BR$2,$BH6:$BR6,0),0)</f>
        <v>0</v>
      </c>
      <c r="KC6" s="26">
        <f>IF(KC$2=InputTable[[#This Row],[Delivery Date]],_xlfn.XLOOKUP(KC$1,$BH$2:$BR$2,$BH6:$BR6,0),0)</f>
        <v>0</v>
      </c>
      <c r="KD6" s="26">
        <f>IF(KD$2=InputTable[[#This Row],[Delivery Date]],_xlfn.XLOOKUP(KD$1,$BH$2:$BR$2,$BH6:$BR6,0),0)</f>
        <v>0</v>
      </c>
      <c r="KE6" s="26">
        <f>IF(KE$2=InputTable[[#This Row],[Delivery Date]],_xlfn.XLOOKUP(KE$1,$BH$2:$BR$2,$BH6:$BR6,0),0)</f>
        <v>0</v>
      </c>
      <c r="KF6" s="26">
        <f>IF(KF$2=InputTable[[#This Row],[Delivery Date]],_xlfn.XLOOKUP(KF$1,$BH$2:$BR$2,$BH6:$BR6,0),0)</f>
        <v>0</v>
      </c>
    </row>
    <row r="7" spans="1:292" ht="39.6" hidden="1" customHeight="1" x14ac:dyDescent="0.25">
      <c r="A7" s="141"/>
      <c r="B7" s="141" t="s">
        <v>114</v>
      </c>
      <c r="C7" s="92" t="s">
        <v>93</v>
      </c>
      <c r="D7" s="125" t="s">
        <v>117</v>
      </c>
      <c r="E7" s="193" t="s">
        <v>118</v>
      </c>
      <c r="F7" s="92" t="s">
        <v>96</v>
      </c>
      <c r="G7" s="92" t="s">
        <v>97</v>
      </c>
      <c r="H7" s="92"/>
      <c r="I7" s="92" t="s">
        <v>98</v>
      </c>
      <c r="J7" s="122"/>
      <c r="K7" s="95" t="e">
        <f>VLOOKUP((InputTable[[#This Row],[Starting Date]]&amp; " - " &amp;InputTable[[#This Row],[Delivery Date]]),'System List'!$F$40:$H$83,2,FALSE)</f>
        <v>#N/A</v>
      </c>
      <c r="L7" s="95" t="e">
        <f>VLOOKUP(InputTable[[#This Row],[Duration]],Duration,2,FALSE)</f>
        <v>#N/A</v>
      </c>
      <c r="M7" s="122" t="s">
        <v>110</v>
      </c>
      <c r="N7" s="92"/>
      <c r="O7" s="92" t="s">
        <v>111</v>
      </c>
      <c r="P7" s="92"/>
      <c r="Q7" s="92"/>
      <c r="R7" s="92"/>
      <c r="S7" s="92"/>
      <c r="T7" s="95" cm="1">
        <f t="array" ref="T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7" s="138"/>
      <c r="V7" s="92"/>
      <c r="W7" s="92"/>
      <c r="X7" s="92"/>
      <c r="Y7" s="92"/>
      <c r="Z7" s="92"/>
      <c r="AA7" s="92"/>
      <c r="AB7" s="92"/>
      <c r="AC7" s="92"/>
      <c r="AD7" s="92">
        <f>COUNTA(InputTable[[#This Row],[CORPHRFIN]:[SALES]])</f>
        <v>0</v>
      </c>
      <c r="AE7" s="88" cm="1">
        <f t="array" ref="AE7">SUM(
_xlfn.XLOOKUP(InputTable[[#This Row],[CORPHRFIN]:[SALES]],'System List'!$F$4:$F$7,'System List'!$H$4:$H$7,0))</f>
        <v>0</v>
      </c>
      <c r="AF7" s="140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88" cm="1">
        <f t="array" ref="AR7">SUM(
_xlfn.XLOOKUP(InputTable[[#This Row],[Impact on - CIAL]:[Impact on - STRAT]],'System List'!$F$4:$F$7,'System List'!$H$4:$H$7,0))</f>
        <v>0</v>
      </c>
      <c r="AS7" s="88" t="e">
        <f>VLOOKUP(InputTable[[#This Row],[Duration]],Duration,2,FALSE)+InputTable[[#This Row],[Resource Score]]</f>
        <v>#N/A</v>
      </c>
      <c r="AT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" s="24" t="e">
        <f>InputTable[[#This Row],[Value Score]]/InputTable[[#This Row],[EFFORT SCORE]]*100</f>
        <v>#N/A</v>
      </c>
      <c r="AV7" s="25" t="str">
        <f>InputTable[[#This Row],[IS Portfolio Ref ID]]</f>
        <v>ISPRJ-101</v>
      </c>
      <c r="AW7" s="25" t="s">
        <v>101</v>
      </c>
      <c r="AX7" s="208"/>
      <c r="AY7" s="25"/>
      <c r="AZ7" s="209">
        <v>0</v>
      </c>
      <c r="BA7" s="209">
        <v>0</v>
      </c>
      <c r="BB7" s="209"/>
      <c r="BC7" s="189"/>
      <c r="BD7" s="188"/>
      <c r="BE7" s="188"/>
      <c r="BF7" s="70"/>
      <c r="BH7" s="2">
        <f>IFERROR(VLOOKUP(InputTable[[#This Row],[Impact on - CIAL]],'System List'!$F$4:$H$7,3,FALSE),0)</f>
        <v>0</v>
      </c>
      <c r="BI7" s="2">
        <f>IFERROR(VLOOKUP(InputTable[[#This Row],[Impact on - COM]],'System List'!$F$4:$H$7,3,FALSE),0)</f>
        <v>0</v>
      </c>
      <c r="BJ7" s="2">
        <f>IFERROR(VLOOKUP(InputTable[[#This Row],[Impact on - FIN]],'System List'!$F$4:$H$7,3,FALSE),0)</f>
        <v>0</v>
      </c>
      <c r="BK7" s="2">
        <f>IFERROR(VLOOKUP(InputTable[[#This Row],[Impact on - GEN SEC]],'System List'!$F$4:$H$7,3,FALSE),0)</f>
        <v>0</v>
      </c>
      <c r="BL7" s="2">
        <f>IFERROR(VLOOKUP(InputTable[[#This Row],[Impact on - HR]],'System List'!$F$4:$H$7,3,FALSE),0)</f>
        <v>0</v>
      </c>
      <c r="BM7" s="2">
        <f>IFERROR(VLOOKUP(InputTable[[#This Row],[Impact on - IS]],'System List'!$F$4:$H$7,3,FALSE),0)</f>
        <v>0</v>
      </c>
      <c r="BN7" s="2">
        <f>IFERROR(VLOOKUP(InputTable[[#This Row],[Impact on - OPS]],'System List'!$F$4:$H$7,3,FALSE),0)</f>
        <v>0</v>
      </c>
      <c r="BO7" s="2">
        <f>IFERROR(VLOOKUP(InputTable[[#This Row],[Impact on - ROLL STOCK]],'System List'!$F$4:$H$7,3,FALSE),0)</f>
        <v>0</v>
      </c>
      <c r="BP7" s="2">
        <f>IFERROR(VLOOKUP(InputTable[[#This Row],[Impact on - SAFETY]],'System List'!$F$4:$H$7,3,FALSE),0)</f>
        <v>0</v>
      </c>
      <c r="BQ7" s="2">
        <f>IFERROR(VLOOKUP(InputTable[[#This Row],[Impact on - STATION]],'System List'!$F$4:$H$7,3,FALSE),0)</f>
        <v>0</v>
      </c>
      <c r="BR7" s="2">
        <f>IFERROR(VLOOKUP(InputTable[[#This Row],[Impact on - STRAT]],'System List'!$F$4:$H$7,3,FALSE),0)</f>
        <v>0</v>
      </c>
      <c r="BT7" s="2">
        <f>IFERROR(VLOOKUP(InputTable[[#This Row],[CORPHRFIN]],'System List'!$F$4:$H$7,3,FALSE),0)</f>
        <v>0</v>
      </c>
      <c r="BU7" s="2">
        <f>IFERROR(VLOOKUP(InputTable[[#This Row],[CUST]],'System List'!$F$4:$H$7,3,FALSE),0)</f>
        <v>0</v>
      </c>
      <c r="BV7" s="2">
        <f>IFERROR(VLOOKUP(InputTable[[#This Row],[CYBER]],'System List'!$F$4:$H$7,3,FALSE),0)</f>
        <v>0</v>
      </c>
      <c r="BW7" s="2">
        <f>IFERROR(VLOOKUP(InputTable[[#This Row],[DATA]],'System List'!$F$4:$H$7,3,FALSE),0)</f>
        <v>0</v>
      </c>
      <c r="BX7" s="2">
        <f>IFERROR(VLOOKUP(InputTable[[#This Row],[INFRA]],'System List'!$F$4:$H$7,3,FALSE),0)</f>
        <v>0</v>
      </c>
      <c r="BY7" s="2">
        <f>IFERROR(VLOOKUP(InputTable[[#This Row],[OPERATIONS]],'System List'!$F$4:$H$7,3,FALSE),0)</f>
        <v>0</v>
      </c>
      <c r="BZ7" s="2">
        <f>IFERROR(VLOOKUP(InputTable[[#This Row],[PMO]],'System List'!$F$4:$H$7,3,FALSE),0)</f>
        <v>0</v>
      </c>
      <c r="CA7" s="2">
        <f>IFERROR(VLOOKUP(InputTable[[#This Row],[SALES]],'System List'!$F$4:$H$7,3,FALSE),0)</f>
        <v>0</v>
      </c>
      <c r="CC7" s="2" cm="1">
        <f t="array" ref="CC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" s="2" cm="1">
        <f t="array" ref="CD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" s="2" cm="1">
        <f t="array" ref="CE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" s="2" cm="1">
        <f t="array" ref="CF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" s="2" cm="1">
        <f t="array" ref="CG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" s="2" cm="1">
        <f t="array" ref="CH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" s="2" cm="1">
        <f t="array" ref="CI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" s="2" cm="1">
        <f t="array" ref="CJ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" s="2" cm="1">
        <f t="array" ref="CK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" s="26">
        <f t="shared" si="74"/>
        <v>0</v>
      </c>
      <c r="CY7" s="26">
        <f t="shared" si="74"/>
        <v>0</v>
      </c>
      <c r="CZ7" s="26">
        <f t="shared" si="74"/>
        <v>0</v>
      </c>
      <c r="DA7" s="26">
        <f t="shared" si="74"/>
        <v>0</v>
      </c>
      <c r="DB7" s="26">
        <f t="shared" si="74"/>
        <v>0</v>
      </c>
      <c r="DC7" s="26">
        <f t="shared" si="74"/>
        <v>0</v>
      </c>
      <c r="DD7" s="26">
        <f t="shared" si="74"/>
        <v>0</v>
      </c>
      <c r="DE7" s="26">
        <f t="shared" si="74"/>
        <v>0</v>
      </c>
      <c r="DF7" s="26">
        <f t="shared" si="74"/>
        <v>0</v>
      </c>
      <c r="DH7" s="26">
        <f t="shared" si="11"/>
        <v>0</v>
      </c>
      <c r="DI7" s="26">
        <f t="shared" si="12"/>
        <v>0</v>
      </c>
      <c r="DJ7" s="26">
        <f t="shared" si="13"/>
        <v>0</v>
      </c>
      <c r="DK7" s="26">
        <f t="shared" si="14"/>
        <v>0</v>
      </c>
      <c r="DL7" s="26">
        <f t="shared" si="15"/>
        <v>0</v>
      </c>
      <c r="DM7" s="26">
        <f t="shared" si="16"/>
        <v>0</v>
      </c>
      <c r="DN7" s="26">
        <f t="shared" si="17"/>
        <v>0</v>
      </c>
      <c r="DO7" s="26">
        <f t="shared" si="18"/>
        <v>0</v>
      </c>
      <c r="DP7" s="26">
        <f t="shared" si="19"/>
        <v>0</v>
      </c>
      <c r="DR7" s="26">
        <f t="shared" si="20"/>
        <v>0</v>
      </c>
      <c r="DS7" s="26">
        <f t="shared" si="21"/>
        <v>0</v>
      </c>
      <c r="DT7" s="26">
        <f t="shared" si="22"/>
        <v>0</v>
      </c>
      <c r="DU7" s="26">
        <f t="shared" si="23"/>
        <v>0</v>
      </c>
      <c r="DV7" s="26">
        <f t="shared" si="24"/>
        <v>0</v>
      </c>
      <c r="DW7" s="26">
        <f t="shared" si="25"/>
        <v>0</v>
      </c>
      <c r="DX7" s="26">
        <f t="shared" si="26"/>
        <v>0</v>
      </c>
      <c r="DY7" s="26">
        <f t="shared" si="27"/>
        <v>0</v>
      </c>
      <c r="DZ7" s="26">
        <f t="shared" si="28"/>
        <v>0</v>
      </c>
      <c r="EB7" s="26">
        <f t="shared" si="29"/>
        <v>0</v>
      </c>
      <c r="EC7" s="26">
        <f t="shared" si="30"/>
        <v>0</v>
      </c>
      <c r="ED7" s="26">
        <f t="shared" si="31"/>
        <v>0</v>
      </c>
      <c r="EE7" s="26">
        <f t="shared" si="32"/>
        <v>0</v>
      </c>
      <c r="EF7" s="26">
        <f t="shared" si="33"/>
        <v>0</v>
      </c>
      <c r="EG7" s="26">
        <f t="shared" si="34"/>
        <v>0</v>
      </c>
      <c r="EH7" s="26">
        <f t="shared" si="35"/>
        <v>0</v>
      </c>
      <c r="EI7" s="26">
        <f t="shared" si="36"/>
        <v>0</v>
      </c>
      <c r="EJ7" s="26">
        <f t="shared" si="37"/>
        <v>0</v>
      </c>
      <c r="EL7" s="26">
        <f t="shared" si="38"/>
        <v>0</v>
      </c>
      <c r="EM7" s="26">
        <f t="shared" si="39"/>
        <v>0</v>
      </c>
      <c r="EN7" s="26">
        <f t="shared" si="40"/>
        <v>0</v>
      </c>
      <c r="EO7" s="26">
        <f t="shared" si="41"/>
        <v>0</v>
      </c>
      <c r="EP7" s="26">
        <f t="shared" si="42"/>
        <v>0</v>
      </c>
      <c r="EQ7" s="26">
        <f t="shared" si="43"/>
        <v>0</v>
      </c>
      <c r="ER7" s="26">
        <f t="shared" si="44"/>
        <v>0</v>
      </c>
      <c r="ES7" s="26">
        <f t="shared" si="45"/>
        <v>0</v>
      </c>
      <c r="ET7" s="26">
        <f t="shared" si="46"/>
        <v>0</v>
      </c>
      <c r="EV7" s="26">
        <f t="shared" si="47"/>
        <v>0</v>
      </c>
      <c r="EW7" s="26">
        <f t="shared" si="48"/>
        <v>0</v>
      </c>
      <c r="EX7" s="26">
        <f t="shared" si="49"/>
        <v>0</v>
      </c>
      <c r="EY7" s="26">
        <f t="shared" si="50"/>
        <v>0</v>
      </c>
      <c r="EZ7" s="26">
        <f t="shared" si="51"/>
        <v>0</v>
      </c>
      <c r="FA7" s="26">
        <f t="shared" si="52"/>
        <v>0</v>
      </c>
      <c r="FB7" s="26">
        <f t="shared" si="53"/>
        <v>0</v>
      </c>
      <c r="FC7" s="26">
        <f t="shared" si="54"/>
        <v>0</v>
      </c>
      <c r="FD7" s="26">
        <f t="shared" si="55"/>
        <v>0</v>
      </c>
      <c r="FF7" s="26">
        <f t="shared" si="56"/>
        <v>0</v>
      </c>
      <c r="FG7" s="26">
        <f t="shared" si="57"/>
        <v>0</v>
      </c>
      <c r="FH7" s="26">
        <f t="shared" si="58"/>
        <v>0</v>
      </c>
      <c r="FI7" s="26">
        <f t="shared" si="59"/>
        <v>0</v>
      </c>
      <c r="FJ7" s="26">
        <f t="shared" si="60"/>
        <v>0</v>
      </c>
      <c r="FK7" s="26">
        <f t="shared" si="61"/>
        <v>0</v>
      </c>
      <c r="FL7" s="26">
        <f t="shared" si="62"/>
        <v>0</v>
      </c>
      <c r="FM7" s="26">
        <f t="shared" si="63"/>
        <v>0</v>
      </c>
      <c r="FN7" s="26">
        <f t="shared" si="64"/>
        <v>0</v>
      </c>
      <c r="FP7" s="26" t="e">
        <f t="shared" si="65"/>
        <v>#REF!</v>
      </c>
      <c r="FQ7" s="26" t="e">
        <f t="shared" si="66"/>
        <v>#REF!</v>
      </c>
      <c r="FR7" s="26" t="e">
        <f t="shared" si="67"/>
        <v>#REF!</v>
      </c>
      <c r="FS7" s="26" t="e">
        <f t="shared" si="68"/>
        <v>#REF!</v>
      </c>
      <c r="FT7" s="26" t="e">
        <f t="shared" si="69"/>
        <v>#REF!</v>
      </c>
      <c r="FU7" s="26" t="e">
        <f t="shared" si="70"/>
        <v>#REF!</v>
      </c>
      <c r="FV7" s="26" t="e">
        <f t="shared" si="71"/>
        <v>#REF!</v>
      </c>
      <c r="FW7" s="26" t="e">
        <f t="shared" si="72"/>
        <v>#REF!</v>
      </c>
      <c r="FX7" s="26" t="e">
        <f t="shared" si="73"/>
        <v>#REF!</v>
      </c>
      <c r="GB7" s="26" t="e">
        <f>IF(GB$2=InputTable[[#This Row],[Delivery Date]],_xlfn.XLOOKUP(GB$1,$BH$2:$BR$2,$BH7:$BR7,0),0)</f>
        <v>#REF!</v>
      </c>
      <c r="GC7" s="26">
        <f>IF(GC$2=InputTable[[#This Row],[Delivery Date]],_xlfn.XLOOKUP(GC$1,$BH$2:$BR$2,$BH7:$BR7,0),0)</f>
        <v>0</v>
      </c>
      <c r="GD7" s="26">
        <f>IF(GD$2=InputTable[[#This Row],[Delivery Date]],_xlfn.XLOOKUP(GD$1,$BH$2:$BR$2,$BH7:$BR7,0),0)</f>
        <v>0</v>
      </c>
      <c r="GE7" s="26">
        <f>IF(GE$2=InputTable[[#This Row],[Delivery Date]],_xlfn.XLOOKUP(GE$1,$BH$2:$BR$2,$BH7:$BR7,0),0)</f>
        <v>0</v>
      </c>
      <c r="GF7" s="26">
        <f>IF(GF$2=InputTable[[#This Row],[Delivery Date]],_xlfn.XLOOKUP(GF$1,$BH$2:$BR$2,$BH7:$BR7,0),0)</f>
        <v>0</v>
      </c>
      <c r="GG7" s="26">
        <f>IF(GG$2=InputTable[[#This Row],[Delivery Date]],_xlfn.XLOOKUP(GG$1,$BH$2:$BR$2,$BH7:$BR7,0),0)</f>
        <v>0</v>
      </c>
      <c r="GH7" s="26">
        <f>IF(GH$2=InputTable[[#This Row],[Delivery Date]],_xlfn.XLOOKUP(GH$1,$BH$2:$BR$2,$BH7:$BR7,0),0)</f>
        <v>0</v>
      </c>
      <c r="GI7" s="26">
        <f>IF(GI$2=InputTable[[#This Row],[Delivery Date]],_xlfn.XLOOKUP(GI$1,$BH$2:$BR$2,$BH7:$BR7,0),0)</f>
        <v>0</v>
      </c>
      <c r="GJ7" s="26">
        <f>IF(GJ$2=InputTable[[#This Row],[Delivery Date]],_xlfn.XLOOKUP(GJ$1,$BH$2:$BR$2,$BH7:$BR7,0),0)</f>
        <v>0</v>
      </c>
      <c r="GL7" s="26" t="e">
        <f>IF(GL$2=InputTable[[#This Row],[Delivery Date]],_xlfn.XLOOKUP(GL$1,$BH$2:$BR$2,$BH7:$BR7,0),0)</f>
        <v>#REF!</v>
      </c>
      <c r="GM7" s="26">
        <f>IF(GM$2=InputTable[[#This Row],[Delivery Date]],_xlfn.XLOOKUP(GM$1,$BH$2:$BR$2,$BH7:$BR7,0),0)</f>
        <v>0</v>
      </c>
      <c r="GN7" s="26">
        <f>IF(GN$2=InputTable[[#This Row],[Delivery Date]],_xlfn.XLOOKUP(GN$1,$BH$2:$BR$2,$BH7:$BR7,0),0)</f>
        <v>0</v>
      </c>
      <c r="GO7" s="26">
        <f>IF(GO$2=InputTable[[#This Row],[Delivery Date]],_xlfn.XLOOKUP(GO$1,$BH$2:$BR$2,$BH7:$BR7,0),0)</f>
        <v>0</v>
      </c>
      <c r="GP7" s="26">
        <f>IF(GP$2=InputTable[[#This Row],[Delivery Date]],_xlfn.XLOOKUP(GP$1,$BH$2:$BR$2,$BH7:$BR7,0),0)</f>
        <v>0</v>
      </c>
      <c r="GQ7" s="26">
        <f>IF(GQ$2=InputTable[[#This Row],[Delivery Date]],_xlfn.XLOOKUP(GQ$1,$BH$2:$BR$2,$BH7:$BR7,0),0)</f>
        <v>0</v>
      </c>
      <c r="GR7" s="26">
        <f>IF(GR$2=InputTable[[#This Row],[Delivery Date]],_xlfn.XLOOKUP(GR$1,$BH$2:$BR$2,$BH7:$BR7,0),0)</f>
        <v>0</v>
      </c>
      <c r="GS7" s="26">
        <f>IF(GS$2=InputTable[[#This Row],[Delivery Date]],_xlfn.XLOOKUP(GS$1,$BH$2:$BR$2,$BH7:$BR7,0),0)</f>
        <v>0</v>
      </c>
      <c r="GT7" s="26">
        <f>IF(GT$2=InputTable[[#This Row],[Delivery Date]],_xlfn.XLOOKUP(GT$1,$BH$2:$BR$2,$BH7:$BR7,0),0)</f>
        <v>0</v>
      </c>
      <c r="GV7" s="26" t="e">
        <f>IF(GV$2=InputTable[[#This Row],[Delivery Date]],_xlfn.XLOOKUP(GV$1,$BH$2:$BR$2,$BH7:$BR7,0),0)</f>
        <v>#REF!</v>
      </c>
      <c r="GW7" s="26">
        <f>IF(GW$2=InputTable[[#This Row],[Delivery Date]],_xlfn.XLOOKUP(GW$1,$BH$2:$BR$2,$BH7:$BR7,0),0)</f>
        <v>0</v>
      </c>
      <c r="GX7" s="26">
        <f>IF(GX$2=InputTable[[#This Row],[Delivery Date]],_xlfn.XLOOKUP(GX$1,$BH$2:$BR$2,$BH7:$BR7,0),0)</f>
        <v>0</v>
      </c>
      <c r="GY7" s="26">
        <f>IF(GY$2=InputTable[[#This Row],[Delivery Date]],_xlfn.XLOOKUP(GY$1,$BH$2:$BR$2,$BH7:$BR7,0),0)</f>
        <v>0</v>
      </c>
      <c r="GZ7" s="26">
        <f>IF(GZ$2=InputTable[[#This Row],[Delivery Date]],_xlfn.XLOOKUP(GZ$1,$BH$2:$BR$2,$BH7:$BR7,0),0)</f>
        <v>0</v>
      </c>
      <c r="HA7" s="26">
        <f>IF(HA$2=InputTable[[#This Row],[Delivery Date]],_xlfn.XLOOKUP(HA$1,$BH$2:$BR$2,$BH7:$BR7,0),0)</f>
        <v>0</v>
      </c>
      <c r="HB7" s="26">
        <f>IF(HB$2=InputTable[[#This Row],[Delivery Date]],_xlfn.XLOOKUP(HB$1,$BH$2:$BR$2,$BH7:$BR7,0),0)</f>
        <v>0</v>
      </c>
      <c r="HC7" s="26">
        <f>IF(HC$2=InputTable[[#This Row],[Delivery Date]],_xlfn.XLOOKUP(HC$1,$BH$2:$BR$2,$BH7:$BR7,0),0)</f>
        <v>0</v>
      </c>
      <c r="HD7" s="26">
        <f>IF(HD$2=InputTable[[#This Row],[Delivery Date]],_xlfn.XLOOKUP(HD$1,$BH$2:$BR$2,$BH7:$BR7,0),0)</f>
        <v>0</v>
      </c>
      <c r="HF7" s="26" t="e">
        <f>IF(HF$2=InputTable[[#This Row],[Delivery Date]],_xlfn.XLOOKUP(HF$1,$BH$2:$BR$2,$BH7:$BR7,0),0)</f>
        <v>#REF!</v>
      </c>
      <c r="HG7" s="26">
        <f>IF(HG$2=InputTable[[#This Row],[Delivery Date]],_xlfn.XLOOKUP(HG$1,$BH$2:$BR$2,$BH7:$BR7,0),0)</f>
        <v>0</v>
      </c>
      <c r="HH7" s="26">
        <f>IF(HH$2=InputTable[[#This Row],[Delivery Date]],_xlfn.XLOOKUP(HH$1,$BH$2:$BR$2,$BH7:$BR7,0),0)</f>
        <v>0</v>
      </c>
      <c r="HI7" s="26">
        <f>IF(HI$2=InputTable[[#This Row],[Delivery Date]],_xlfn.XLOOKUP(HI$1,$BH$2:$BR$2,$BH7:$BR7,0),0)</f>
        <v>0</v>
      </c>
      <c r="HJ7" s="26">
        <f>IF(HJ$2=InputTable[[#This Row],[Delivery Date]],_xlfn.XLOOKUP(HJ$1,$BH$2:$BR$2,$BH7:$BR7,0),0)</f>
        <v>0</v>
      </c>
      <c r="HK7" s="26">
        <f>IF(HK$2=InputTable[[#This Row],[Delivery Date]],_xlfn.XLOOKUP(HK$1,$BH$2:$BR$2,$BH7:$BR7,0),0)</f>
        <v>0</v>
      </c>
      <c r="HL7" s="26">
        <f>IF(HL$2=InputTable[[#This Row],[Delivery Date]],_xlfn.XLOOKUP(HL$1,$BH$2:$BR$2,$BH7:$BR7,0),0)</f>
        <v>0</v>
      </c>
      <c r="HM7" s="26">
        <f>IF(HM$2=InputTable[[#This Row],[Delivery Date]],_xlfn.XLOOKUP(HM$1,$BH$2:$BR$2,$BH7:$BR7,0),0)</f>
        <v>0</v>
      </c>
      <c r="HN7" s="26">
        <f>IF(HN$2=InputTable[[#This Row],[Delivery Date]],_xlfn.XLOOKUP(HN$1,$BH$2:$BR$2,$BH7:$BR7,0),0)</f>
        <v>0</v>
      </c>
      <c r="HP7" s="26" t="e">
        <f>IF(HP$2=InputTable[[#This Row],[Delivery Date]],_xlfn.XLOOKUP(HP$1,$BH$2:$BR$2,$BH7:$BR7,0),0)</f>
        <v>#REF!</v>
      </c>
      <c r="HQ7" s="26">
        <f>IF(HQ$2=InputTable[[#This Row],[Delivery Date]],_xlfn.XLOOKUP(HQ$1,$BH$2:$BR$2,$BH7:$BR7,0),0)</f>
        <v>0</v>
      </c>
      <c r="HR7" s="26">
        <f>IF(HR$2=InputTable[[#This Row],[Delivery Date]],_xlfn.XLOOKUP(HR$1,$BH$2:$BR$2,$BH7:$BR7,0),0)</f>
        <v>0</v>
      </c>
      <c r="HS7" s="26">
        <f>IF(HS$2=InputTable[[#This Row],[Delivery Date]],_xlfn.XLOOKUP(HS$1,$BH$2:$BR$2,$BH7:$BR7,0),0)</f>
        <v>0</v>
      </c>
      <c r="HT7" s="26">
        <f>IF(HT$2=InputTable[[#This Row],[Delivery Date]],_xlfn.XLOOKUP(HT$1,$BH$2:$BR$2,$BH7:$BR7,0),0)</f>
        <v>0</v>
      </c>
      <c r="HU7" s="26">
        <f>IF(HU$2=InputTable[[#This Row],[Delivery Date]],_xlfn.XLOOKUP(HU$1,$BH$2:$BR$2,$BH7:$BR7,0),0)</f>
        <v>0</v>
      </c>
      <c r="HV7" s="26">
        <f>IF(HV$2=InputTable[[#This Row],[Delivery Date]],_xlfn.XLOOKUP(HV$1,$BH$2:$BR$2,$BH7:$BR7,0),0)</f>
        <v>0</v>
      </c>
      <c r="HW7" s="26">
        <f>IF(HW$2=InputTable[[#This Row],[Delivery Date]],_xlfn.XLOOKUP(HW$1,$BH$2:$BR$2,$BH7:$BR7,0),0)</f>
        <v>0</v>
      </c>
      <c r="HX7" s="26">
        <f>IF(HX$2=InputTable[[#This Row],[Delivery Date]],_xlfn.XLOOKUP(HX$1,$BH$2:$BR$2,$BH7:$BR7,0),0)</f>
        <v>0</v>
      </c>
      <c r="HZ7" s="26" t="e">
        <f>IF(HZ$2=InputTable[[#This Row],[Delivery Date]],_xlfn.XLOOKUP(HZ$1,$BH$2:$BR$2,$BH7:$BR7,0),0)</f>
        <v>#REF!</v>
      </c>
      <c r="IA7" s="26">
        <f>IF(IA$2=InputTable[[#This Row],[Delivery Date]],_xlfn.XLOOKUP(IA$1,$BH$2:$BR$2,$BH7:$BR7,0),0)</f>
        <v>0</v>
      </c>
      <c r="IB7" s="26">
        <f>IF(IB$2=InputTable[[#This Row],[Delivery Date]],_xlfn.XLOOKUP(IB$1,$BH$2:$BR$2,$BH7:$BR7,0),0)</f>
        <v>0</v>
      </c>
      <c r="IC7" s="26">
        <f>IF(IC$2=InputTable[[#This Row],[Delivery Date]],_xlfn.XLOOKUP(IC$1,$BH$2:$BR$2,$BH7:$BR7,0),0)</f>
        <v>0</v>
      </c>
      <c r="ID7" s="26">
        <f>IF(ID$2=InputTable[[#This Row],[Delivery Date]],_xlfn.XLOOKUP(ID$1,$BH$2:$BR$2,$BH7:$BR7,0),0)</f>
        <v>0</v>
      </c>
      <c r="IE7" s="26">
        <f>IF(IE$2=InputTable[[#This Row],[Delivery Date]],_xlfn.XLOOKUP(IE$1,$BH$2:$BR$2,$BH7:$BR7,0),0)</f>
        <v>0</v>
      </c>
      <c r="IF7" s="26">
        <f>IF(IF$2=InputTable[[#This Row],[Delivery Date]],_xlfn.XLOOKUP(IF$1,$BH$2:$BR$2,$BH7:$BR7,0),0)</f>
        <v>0</v>
      </c>
      <c r="IG7" s="26">
        <f>IF(IG$2=InputTable[[#This Row],[Delivery Date]],_xlfn.XLOOKUP(IG$1,$BH$2:$BR$2,$BH7:$BR7,0),0)</f>
        <v>0</v>
      </c>
      <c r="IH7" s="26">
        <f>IF(IH$2=InputTable[[#This Row],[Delivery Date]],_xlfn.XLOOKUP(IH$1,$BH$2:$BR$2,$BH7:$BR7,0),0)</f>
        <v>0</v>
      </c>
      <c r="IJ7" s="26" t="e">
        <f>IF(IJ$2=InputTable[[#This Row],[Delivery Date]],_xlfn.XLOOKUP(IJ$1,$BH$2:$BR$2,$BH7:$BR7,0),0)</f>
        <v>#REF!</v>
      </c>
      <c r="IK7" s="26">
        <f>IF(IK$2=InputTable[[#This Row],[Delivery Date]],_xlfn.XLOOKUP(IK$1,$BH$2:$BR$2,$BH7:$BR7,0),0)</f>
        <v>0</v>
      </c>
      <c r="IL7" s="26">
        <f>IF(IL$2=InputTable[[#This Row],[Delivery Date]],_xlfn.XLOOKUP(IL$1,$BH$2:$BR$2,$BH7:$BR7,0),0)</f>
        <v>0</v>
      </c>
      <c r="IM7" s="26">
        <f>IF(IM$2=InputTable[[#This Row],[Delivery Date]],_xlfn.XLOOKUP(IM$1,$BH$2:$BR$2,$BH7:$BR7,0),0)</f>
        <v>0</v>
      </c>
      <c r="IN7" s="26">
        <f>IF(IN$2=InputTable[[#This Row],[Delivery Date]],_xlfn.XLOOKUP(IN$1,$BH$2:$BR$2,$BH7:$BR7,0),0)</f>
        <v>0</v>
      </c>
      <c r="IO7" s="26">
        <f>IF(IO$2=InputTable[[#This Row],[Delivery Date]],_xlfn.XLOOKUP(IO$1,$BH$2:$BR$2,$BH7:$BR7,0),0)</f>
        <v>0</v>
      </c>
      <c r="IP7" s="26">
        <f>IF(IP$2=InputTable[[#This Row],[Delivery Date]],_xlfn.XLOOKUP(IP$1,$BH$2:$BR$2,$BH7:$BR7,0),0)</f>
        <v>0</v>
      </c>
      <c r="IQ7" s="26">
        <f>IF(IQ$2=InputTable[[#This Row],[Delivery Date]],_xlfn.XLOOKUP(IQ$1,$BH$2:$BR$2,$BH7:$BR7,0),0)</f>
        <v>0</v>
      </c>
      <c r="IR7" s="26">
        <f>IF(IR$2=InputTable[[#This Row],[Delivery Date]],_xlfn.XLOOKUP(IR$1,$BH$2:$BR$2,$BH7:$BR7,0),0)</f>
        <v>0</v>
      </c>
      <c r="IT7" s="26" t="e">
        <f>IF(IT$2=InputTable[[#This Row],[Delivery Date]],_xlfn.XLOOKUP(IT$1,$BH$2:$BR$2,$BH7:$BR7,0),0)</f>
        <v>#REF!</v>
      </c>
      <c r="IU7" s="26">
        <f>IF(IU$2=InputTable[[#This Row],[Delivery Date]],_xlfn.XLOOKUP(IU$1,$BH$2:$BR$2,$BH7:$BR7,0),0)</f>
        <v>0</v>
      </c>
      <c r="IV7" s="26">
        <f>IF(IV$2=InputTable[[#This Row],[Delivery Date]],_xlfn.XLOOKUP(IV$1,$BH$2:$BR$2,$BH7:$BR7,0),0)</f>
        <v>0</v>
      </c>
      <c r="IW7" s="26">
        <f>IF(IW$2=InputTable[[#This Row],[Delivery Date]],_xlfn.XLOOKUP(IW$1,$BH$2:$BR$2,$BH7:$BR7,0),0)</f>
        <v>0</v>
      </c>
      <c r="IX7" s="26">
        <f>IF(IX$2=InputTable[[#This Row],[Delivery Date]],_xlfn.XLOOKUP(IX$1,$BH$2:$BR$2,$BH7:$BR7,0),0)</f>
        <v>0</v>
      </c>
      <c r="IY7" s="26">
        <f>IF(IY$2=InputTable[[#This Row],[Delivery Date]],_xlfn.XLOOKUP(IY$1,$BH$2:$BR$2,$BH7:$BR7,0),0)</f>
        <v>0</v>
      </c>
      <c r="IZ7" s="26">
        <f>IF(IZ$2=InputTable[[#This Row],[Delivery Date]],_xlfn.XLOOKUP(IZ$1,$BH$2:$BR$2,$BH7:$BR7,0),0)</f>
        <v>0</v>
      </c>
      <c r="JA7" s="26">
        <f>IF(JA$2=InputTable[[#This Row],[Delivery Date]],_xlfn.XLOOKUP(JA$1,$BH$2:$BR$2,$BH7:$BR7,0),0)</f>
        <v>0</v>
      </c>
      <c r="JB7" s="26">
        <f>IF(JB$2=InputTable[[#This Row],[Delivery Date]],_xlfn.XLOOKUP(JB$1,$BH$2:$BR$2,$BH7:$BR7,0),0)</f>
        <v>0</v>
      </c>
      <c r="JD7" s="26" t="e">
        <f>IF(JD$2=InputTable[[#This Row],[Delivery Date]],_xlfn.XLOOKUP(JD$1,$BH$2:$BR$2,$BH7:$BR7,0),0)</f>
        <v>#REF!</v>
      </c>
      <c r="JE7" s="26">
        <f>IF(JE$2=InputTable[[#This Row],[Delivery Date]],_xlfn.XLOOKUP(JE$1,$BH$2:$BR$2,$BH7:$BR7,0),0)</f>
        <v>0</v>
      </c>
      <c r="JF7" s="26">
        <f>IF(JF$2=InputTable[[#This Row],[Delivery Date]],_xlfn.XLOOKUP(JF$1,$BH$2:$BR$2,$BH7:$BR7,0),0)</f>
        <v>0</v>
      </c>
      <c r="JG7" s="26">
        <f>IF(JG$2=InputTable[[#This Row],[Delivery Date]],_xlfn.XLOOKUP(JG$1,$BH$2:$BR$2,$BH7:$BR7,0),0)</f>
        <v>0</v>
      </c>
      <c r="JH7" s="26">
        <f>IF(JH$2=InputTable[[#This Row],[Delivery Date]],_xlfn.XLOOKUP(JH$1,$BH$2:$BR$2,$BH7:$BR7,0),0)</f>
        <v>0</v>
      </c>
      <c r="JI7" s="26">
        <f>IF(JI$2=InputTable[[#This Row],[Delivery Date]],_xlfn.XLOOKUP(JI$1,$BH$2:$BR$2,$BH7:$BR7,0),0)</f>
        <v>0</v>
      </c>
      <c r="JJ7" s="26">
        <f>IF(JJ$2=InputTable[[#This Row],[Delivery Date]],_xlfn.XLOOKUP(JJ$1,$BH$2:$BR$2,$BH7:$BR7,0),0)</f>
        <v>0</v>
      </c>
      <c r="JK7" s="26">
        <f>IF(JK$2=InputTable[[#This Row],[Delivery Date]],_xlfn.XLOOKUP(JK$1,$BH$2:$BR$2,$BH7:$BR7,0),0)</f>
        <v>0</v>
      </c>
      <c r="JL7" s="26">
        <f>IF(JL$2=InputTable[[#This Row],[Delivery Date]],_xlfn.XLOOKUP(JL$1,$BH$2:$BR$2,$BH7:$BR7,0),0)</f>
        <v>0</v>
      </c>
      <c r="JN7" s="26" t="e">
        <f>IF(JN$2=InputTable[[#This Row],[Delivery Date]],_xlfn.XLOOKUP(JN$1,$BH$2:$BR$2,$BH7:$BR7,0),0)</f>
        <v>#REF!</v>
      </c>
      <c r="JO7" s="26">
        <f>IF(JO$2=InputTable[[#This Row],[Delivery Date]],_xlfn.XLOOKUP(JO$1,$BH$2:$BR$2,$BH7:$BR7,0),0)</f>
        <v>0</v>
      </c>
      <c r="JP7" s="26">
        <f>IF(JP$2=InputTable[[#This Row],[Delivery Date]],_xlfn.XLOOKUP(JP$1,$BH$2:$BR$2,$BH7:$BR7,0),0)</f>
        <v>0</v>
      </c>
      <c r="JQ7" s="26">
        <f>IF(JQ$2=InputTable[[#This Row],[Delivery Date]],_xlfn.XLOOKUP(JQ$1,$BH$2:$BR$2,$BH7:$BR7,0),0)</f>
        <v>0</v>
      </c>
      <c r="JR7" s="26">
        <f>IF(JR$2=InputTable[[#This Row],[Delivery Date]],_xlfn.XLOOKUP(JR$1,$BH$2:$BR$2,$BH7:$BR7,0),0)</f>
        <v>0</v>
      </c>
      <c r="JS7" s="26">
        <f>IF(JS$2=InputTable[[#This Row],[Delivery Date]],_xlfn.XLOOKUP(JS$1,$BH$2:$BR$2,$BH7:$BR7,0),0)</f>
        <v>0</v>
      </c>
      <c r="JT7" s="26">
        <f>IF(JT$2=InputTable[[#This Row],[Delivery Date]],_xlfn.XLOOKUP(JT$1,$BH$2:$BR$2,$BH7:$BR7,0),0)</f>
        <v>0</v>
      </c>
      <c r="JU7" s="26">
        <f>IF(JU$2=InputTable[[#This Row],[Delivery Date]],_xlfn.XLOOKUP(JU$1,$BH$2:$BR$2,$BH7:$BR7,0),0)</f>
        <v>0</v>
      </c>
      <c r="JV7" s="26">
        <f>IF(JV$2=InputTable[[#This Row],[Delivery Date]],_xlfn.XLOOKUP(JV$1,$BH$2:$BR$2,$BH7:$BR7,0),0)</f>
        <v>0</v>
      </c>
      <c r="JX7" s="26" t="e">
        <f>IF(JX$2=InputTable[[#This Row],[Delivery Date]],_xlfn.XLOOKUP(JX$1,$BH$2:$BR$2,$BH7:$BR7,0),0)</f>
        <v>#REF!</v>
      </c>
      <c r="JY7" s="26">
        <f>IF(JY$2=InputTable[[#This Row],[Delivery Date]],_xlfn.XLOOKUP(JY$1,$BH$2:$BR$2,$BH7:$BR7,0),0)</f>
        <v>0</v>
      </c>
      <c r="JZ7" s="26">
        <f>IF(JZ$2=InputTable[[#This Row],[Delivery Date]],_xlfn.XLOOKUP(JZ$1,$BH$2:$BR$2,$BH7:$BR7,0),0)</f>
        <v>0</v>
      </c>
      <c r="KA7" s="26">
        <f>IF(KA$2=InputTable[[#This Row],[Delivery Date]],_xlfn.XLOOKUP(KA$1,$BH$2:$BR$2,$BH7:$BR7,0),0)</f>
        <v>0</v>
      </c>
      <c r="KB7" s="26">
        <f>IF(KB$2=InputTable[[#This Row],[Delivery Date]],_xlfn.XLOOKUP(KB$1,$BH$2:$BR$2,$BH7:$BR7,0),0)</f>
        <v>0</v>
      </c>
      <c r="KC7" s="26">
        <f>IF(KC$2=InputTable[[#This Row],[Delivery Date]],_xlfn.XLOOKUP(KC$1,$BH$2:$BR$2,$BH7:$BR7,0),0)</f>
        <v>0</v>
      </c>
      <c r="KD7" s="26">
        <f>IF(KD$2=InputTable[[#This Row],[Delivery Date]],_xlfn.XLOOKUP(KD$1,$BH$2:$BR$2,$BH7:$BR7,0),0)</f>
        <v>0</v>
      </c>
      <c r="KE7" s="26">
        <f>IF(KE$2=InputTable[[#This Row],[Delivery Date]],_xlfn.XLOOKUP(KE$1,$BH$2:$BR$2,$BH7:$BR7,0),0)</f>
        <v>0</v>
      </c>
      <c r="KF7" s="26">
        <f>IF(KF$2=InputTable[[#This Row],[Delivery Date]],_xlfn.XLOOKUP(KF$1,$BH$2:$BR$2,$BH7:$BR7,0),0)</f>
        <v>0</v>
      </c>
    </row>
    <row r="8" spans="1:292" ht="39.6" hidden="1" customHeight="1" x14ac:dyDescent="0.25">
      <c r="A8" s="141"/>
      <c r="B8" s="141" t="s">
        <v>114</v>
      </c>
      <c r="C8" s="92" t="s">
        <v>93</v>
      </c>
      <c r="D8" s="125" t="s">
        <v>119</v>
      </c>
      <c r="E8" s="193" t="s">
        <v>120</v>
      </c>
      <c r="F8" s="92" t="s">
        <v>96</v>
      </c>
      <c r="G8" s="92" t="s">
        <v>97</v>
      </c>
      <c r="H8" s="92"/>
      <c r="I8" s="92" t="s">
        <v>98</v>
      </c>
      <c r="J8" s="122"/>
      <c r="K8" s="95" t="e">
        <f>VLOOKUP((InputTable[[#This Row],[Starting Date]]&amp; " - " &amp;InputTable[[#This Row],[Delivery Date]]),'System List'!$F$40:$H$83,2,FALSE)</f>
        <v>#N/A</v>
      </c>
      <c r="L8" s="95" t="e">
        <f>VLOOKUP(InputTable[[#This Row],[Duration]],Duration,2,FALSE)</f>
        <v>#N/A</v>
      </c>
      <c r="M8" s="122" t="s">
        <v>110</v>
      </c>
      <c r="N8" s="92"/>
      <c r="O8" s="92" t="s">
        <v>111</v>
      </c>
      <c r="P8" s="92"/>
      <c r="Q8" s="92"/>
      <c r="R8" s="92"/>
      <c r="S8" s="92"/>
      <c r="T8" s="95" cm="1">
        <f t="array" ref="T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8" s="138"/>
      <c r="V8" s="92"/>
      <c r="W8" s="92"/>
      <c r="X8" s="92"/>
      <c r="Y8" s="92"/>
      <c r="Z8" s="92"/>
      <c r="AA8" s="92"/>
      <c r="AB8" s="92"/>
      <c r="AC8" s="92"/>
      <c r="AD8" s="92">
        <f>COUNTA(InputTable[[#This Row],[CORPHRFIN]:[SALES]])</f>
        <v>0</v>
      </c>
      <c r="AE8" s="88" cm="1">
        <f t="array" ref="AE8">SUM(
_xlfn.XLOOKUP(InputTable[[#This Row],[CORPHRFIN]:[SALES]],'System List'!$F$4:$F$7,'System List'!$H$4:$H$7,0))</f>
        <v>0</v>
      </c>
      <c r="AF8" s="140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88" cm="1">
        <f t="array" ref="AR8">SUM(
_xlfn.XLOOKUP(InputTable[[#This Row],[Impact on - CIAL]:[Impact on - STRAT]],'System List'!$F$4:$F$7,'System List'!$H$4:$H$7,0))</f>
        <v>0</v>
      </c>
      <c r="AS8" s="88" t="e">
        <f>VLOOKUP(InputTable[[#This Row],[Duration]],Duration,2,FALSE)+InputTable[[#This Row],[Resource Score]]</f>
        <v>#N/A</v>
      </c>
      <c r="AT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" s="24" t="e">
        <f>InputTable[[#This Row],[Value Score]]/InputTable[[#This Row],[EFFORT SCORE]]*100</f>
        <v>#N/A</v>
      </c>
      <c r="AV8" s="25"/>
      <c r="AW8" s="25" t="s">
        <v>101</v>
      </c>
      <c r="AX8" s="208"/>
      <c r="AY8" s="25"/>
      <c r="AZ8" s="209">
        <v>0</v>
      </c>
      <c r="BA8" s="209">
        <v>0</v>
      </c>
      <c r="BB8" s="209"/>
      <c r="BC8" s="189"/>
      <c r="BD8" s="188"/>
      <c r="BE8" s="188"/>
      <c r="BF8" s="70"/>
      <c r="BH8" s="2">
        <f>IFERROR(VLOOKUP(InputTable[[#This Row],[Impact on - CIAL]],'System List'!$F$4:$H$7,3,FALSE),0)</f>
        <v>0</v>
      </c>
      <c r="BI8" s="2">
        <f>IFERROR(VLOOKUP(InputTable[[#This Row],[Impact on - COM]],'System List'!$F$4:$H$7,3,FALSE),0)</f>
        <v>0</v>
      </c>
      <c r="BJ8" s="2">
        <f>IFERROR(VLOOKUP(InputTable[[#This Row],[Impact on - FIN]],'System List'!$F$4:$H$7,3,FALSE),0)</f>
        <v>0</v>
      </c>
      <c r="BK8" s="2">
        <f>IFERROR(VLOOKUP(InputTable[[#This Row],[Impact on - GEN SEC]],'System List'!$F$4:$H$7,3,FALSE),0)</f>
        <v>0</v>
      </c>
      <c r="BL8" s="2">
        <f>IFERROR(VLOOKUP(InputTable[[#This Row],[Impact on - HR]],'System List'!$F$4:$H$7,3,FALSE),0)</f>
        <v>0</v>
      </c>
      <c r="BM8" s="2">
        <f>IFERROR(VLOOKUP(InputTable[[#This Row],[Impact on - IS]],'System List'!$F$4:$H$7,3,FALSE),0)</f>
        <v>0</v>
      </c>
      <c r="BN8" s="2">
        <f>IFERROR(VLOOKUP(InputTable[[#This Row],[Impact on - OPS]],'System List'!$F$4:$H$7,3,FALSE),0)</f>
        <v>0</v>
      </c>
      <c r="BO8" s="2">
        <f>IFERROR(VLOOKUP(InputTable[[#This Row],[Impact on - ROLL STOCK]],'System List'!$F$4:$H$7,3,FALSE),0)</f>
        <v>0</v>
      </c>
      <c r="BP8" s="2">
        <f>IFERROR(VLOOKUP(InputTable[[#This Row],[Impact on - SAFETY]],'System List'!$F$4:$H$7,3,FALSE),0)</f>
        <v>0</v>
      </c>
      <c r="BQ8" s="2">
        <f>IFERROR(VLOOKUP(InputTable[[#This Row],[Impact on - STATION]],'System List'!$F$4:$H$7,3,FALSE),0)</f>
        <v>0</v>
      </c>
      <c r="BR8" s="2">
        <f>IFERROR(VLOOKUP(InputTable[[#This Row],[Impact on - STRAT]],'System List'!$F$4:$H$7,3,FALSE),0)</f>
        <v>0</v>
      </c>
      <c r="BT8" s="2">
        <f>IFERROR(VLOOKUP(InputTable[[#This Row],[CORPHRFIN]],'System List'!$F$4:$H$7,3,FALSE),0)</f>
        <v>0</v>
      </c>
      <c r="BU8" s="2">
        <f>IFERROR(VLOOKUP(InputTable[[#This Row],[CUST]],'System List'!$F$4:$H$7,3,FALSE),0)</f>
        <v>0</v>
      </c>
      <c r="BV8" s="2">
        <f>IFERROR(VLOOKUP(InputTable[[#This Row],[CYBER]],'System List'!$F$4:$H$7,3,FALSE),0)</f>
        <v>0</v>
      </c>
      <c r="BW8" s="2">
        <f>IFERROR(VLOOKUP(InputTable[[#This Row],[DATA]],'System List'!$F$4:$H$7,3,FALSE),0)</f>
        <v>0</v>
      </c>
      <c r="BX8" s="2">
        <f>IFERROR(VLOOKUP(InputTable[[#This Row],[INFRA]],'System List'!$F$4:$H$7,3,FALSE),0)</f>
        <v>0</v>
      </c>
      <c r="BY8" s="2">
        <f>IFERROR(VLOOKUP(InputTable[[#This Row],[OPERATIONS]],'System List'!$F$4:$H$7,3,FALSE),0)</f>
        <v>0</v>
      </c>
      <c r="BZ8" s="2">
        <f>IFERROR(VLOOKUP(InputTable[[#This Row],[PMO]],'System List'!$F$4:$H$7,3,FALSE),0)</f>
        <v>0</v>
      </c>
      <c r="CA8" s="2">
        <f>IFERROR(VLOOKUP(InputTable[[#This Row],[SALES]],'System List'!$F$4:$H$7,3,FALSE),0)</f>
        <v>0</v>
      </c>
      <c r="CC8" s="2" cm="1">
        <f t="array" ref="CC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" s="2" cm="1">
        <f t="array" ref="CD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" s="2" cm="1">
        <f t="array" ref="CE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" s="2" cm="1">
        <f t="array" ref="CF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" s="2" cm="1">
        <f t="array" ref="CG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" s="2" cm="1">
        <f t="array" ref="CH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" s="2" cm="1">
        <f t="array" ref="CI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" s="2" cm="1">
        <f t="array" ref="CJ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" s="2" cm="1">
        <f t="array" ref="CK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" s="26">
        <f t="shared" si="74"/>
        <v>0</v>
      </c>
      <c r="CY8" s="26">
        <f t="shared" si="74"/>
        <v>0</v>
      </c>
      <c r="CZ8" s="26">
        <f t="shared" si="74"/>
        <v>0</v>
      </c>
      <c r="DA8" s="26">
        <f t="shared" si="74"/>
        <v>0</v>
      </c>
      <c r="DB8" s="26">
        <f t="shared" si="74"/>
        <v>0</v>
      </c>
      <c r="DC8" s="26">
        <f t="shared" si="74"/>
        <v>0</v>
      </c>
      <c r="DD8" s="26">
        <f t="shared" si="74"/>
        <v>0</v>
      </c>
      <c r="DE8" s="26">
        <f t="shared" si="74"/>
        <v>0</v>
      </c>
      <c r="DF8" s="26">
        <f t="shared" si="74"/>
        <v>0</v>
      </c>
      <c r="DH8" s="26">
        <f t="shared" si="11"/>
        <v>0</v>
      </c>
      <c r="DI8" s="26">
        <f t="shared" si="12"/>
        <v>0</v>
      </c>
      <c r="DJ8" s="26">
        <f t="shared" si="13"/>
        <v>0</v>
      </c>
      <c r="DK8" s="26">
        <f t="shared" si="14"/>
        <v>0</v>
      </c>
      <c r="DL8" s="26">
        <f t="shared" si="15"/>
        <v>0</v>
      </c>
      <c r="DM8" s="26">
        <f t="shared" si="16"/>
        <v>0</v>
      </c>
      <c r="DN8" s="26">
        <f t="shared" si="17"/>
        <v>0</v>
      </c>
      <c r="DO8" s="26">
        <f t="shared" si="18"/>
        <v>0</v>
      </c>
      <c r="DP8" s="26">
        <f t="shared" si="19"/>
        <v>0</v>
      </c>
      <c r="DR8" s="26">
        <f t="shared" si="20"/>
        <v>0</v>
      </c>
      <c r="DS8" s="26">
        <f t="shared" si="21"/>
        <v>0</v>
      </c>
      <c r="DT8" s="26">
        <f t="shared" si="22"/>
        <v>0</v>
      </c>
      <c r="DU8" s="26">
        <f t="shared" si="23"/>
        <v>0</v>
      </c>
      <c r="DV8" s="26">
        <f t="shared" si="24"/>
        <v>0</v>
      </c>
      <c r="DW8" s="26">
        <f t="shared" si="25"/>
        <v>0</v>
      </c>
      <c r="DX8" s="26">
        <f t="shared" si="26"/>
        <v>0</v>
      </c>
      <c r="DY8" s="26">
        <f t="shared" si="27"/>
        <v>0</v>
      </c>
      <c r="DZ8" s="26">
        <f t="shared" si="28"/>
        <v>0</v>
      </c>
      <c r="EB8" s="26">
        <f t="shared" si="29"/>
        <v>0</v>
      </c>
      <c r="EC8" s="26">
        <f t="shared" si="30"/>
        <v>0</v>
      </c>
      <c r="ED8" s="26">
        <f t="shared" si="31"/>
        <v>0</v>
      </c>
      <c r="EE8" s="26">
        <f t="shared" si="32"/>
        <v>0</v>
      </c>
      <c r="EF8" s="26">
        <f t="shared" si="33"/>
        <v>0</v>
      </c>
      <c r="EG8" s="26">
        <f t="shared" si="34"/>
        <v>0</v>
      </c>
      <c r="EH8" s="26">
        <f t="shared" si="35"/>
        <v>0</v>
      </c>
      <c r="EI8" s="26">
        <f t="shared" si="36"/>
        <v>0</v>
      </c>
      <c r="EJ8" s="26">
        <f t="shared" si="37"/>
        <v>0</v>
      </c>
      <c r="EL8" s="26">
        <f t="shared" si="38"/>
        <v>0</v>
      </c>
      <c r="EM8" s="26">
        <f t="shared" si="39"/>
        <v>0</v>
      </c>
      <c r="EN8" s="26">
        <f t="shared" si="40"/>
        <v>0</v>
      </c>
      <c r="EO8" s="26">
        <f t="shared" si="41"/>
        <v>0</v>
      </c>
      <c r="EP8" s="26">
        <f t="shared" si="42"/>
        <v>0</v>
      </c>
      <c r="EQ8" s="26">
        <f t="shared" si="43"/>
        <v>0</v>
      </c>
      <c r="ER8" s="26">
        <f t="shared" si="44"/>
        <v>0</v>
      </c>
      <c r="ES8" s="26">
        <f t="shared" si="45"/>
        <v>0</v>
      </c>
      <c r="ET8" s="26">
        <f t="shared" si="46"/>
        <v>0</v>
      </c>
      <c r="EV8" s="26">
        <f t="shared" si="47"/>
        <v>0</v>
      </c>
      <c r="EW8" s="26">
        <f t="shared" si="48"/>
        <v>0</v>
      </c>
      <c r="EX8" s="26">
        <f t="shared" si="49"/>
        <v>0</v>
      </c>
      <c r="EY8" s="26">
        <f t="shared" si="50"/>
        <v>0</v>
      </c>
      <c r="EZ8" s="26">
        <f t="shared" si="51"/>
        <v>0</v>
      </c>
      <c r="FA8" s="26">
        <f t="shared" si="52"/>
        <v>0</v>
      </c>
      <c r="FB8" s="26">
        <f t="shared" si="53"/>
        <v>0</v>
      </c>
      <c r="FC8" s="26">
        <f t="shared" si="54"/>
        <v>0</v>
      </c>
      <c r="FD8" s="26">
        <f t="shared" si="55"/>
        <v>0</v>
      </c>
      <c r="FF8" s="26">
        <f t="shared" si="56"/>
        <v>0</v>
      </c>
      <c r="FG8" s="26">
        <f t="shared" si="57"/>
        <v>0</v>
      </c>
      <c r="FH8" s="26">
        <f t="shared" si="58"/>
        <v>0</v>
      </c>
      <c r="FI8" s="26">
        <f t="shared" si="59"/>
        <v>0</v>
      </c>
      <c r="FJ8" s="26">
        <f t="shared" si="60"/>
        <v>0</v>
      </c>
      <c r="FK8" s="26">
        <f t="shared" si="61"/>
        <v>0</v>
      </c>
      <c r="FL8" s="26">
        <f t="shared" si="62"/>
        <v>0</v>
      </c>
      <c r="FM8" s="26">
        <f t="shared" si="63"/>
        <v>0</v>
      </c>
      <c r="FN8" s="26">
        <f t="shared" si="64"/>
        <v>0</v>
      </c>
      <c r="FP8" s="26" t="e">
        <f t="shared" si="65"/>
        <v>#REF!</v>
      </c>
      <c r="FQ8" s="26" t="e">
        <f t="shared" si="66"/>
        <v>#REF!</v>
      </c>
      <c r="FR8" s="26" t="e">
        <f t="shared" si="67"/>
        <v>#REF!</v>
      </c>
      <c r="FS8" s="26" t="e">
        <f t="shared" si="68"/>
        <v>#REF!</v>
      </c>
      <c r="FT8" s="26" t="e">
        <f t="shared" si="69"/>
        <v>#REF!</v>
      </c>
      <c r="FU8" s="26" t="e">
        <f t="shared" si="70"/>
        <v>#REF!</v>
      </c>
      <c r="FV8" s="26" t="e">
        <f t="shared" si="71"/>
        <v>#REF!</v>
      </c>
      <c r="FW8" s="26" t="e">
        <f t="shared" si="72"/>
        <v>#REF!</v>
      </c>
      <c r="FX8" s="26" t="e">
        <f t="shared" si="73"/>
        <v>#REF!</v>
      </c>
      <c r="GB8" s="26" t="e">
        <f>IF(GB$2=InputTable[[#This Row],[Delivery Date]],_xlfn.XLOOKUP(GB$1,$BH$2:$BR$2,$BH8:$BR8,0),0)</f>
        <v>#REF!</v>
      </c>
      <c r="GC8" s="26">
        <f>IF(GC$2=InputTable[[#This Row],[Delivery Date]],_xlfn.XLOOKUP(GC$1,$BH$2:$BR$2,$BH8:$BR8,0),0)</f>
        <v>0</v>
      </c>
      <c r="GD8" s="26">
        <f>IF(GD$2=InputTable[[#This Row],[Delivery Date]],_xlfn.XLOOKUP(GD$1,$BH$2:$BR$2,$BH8:$BR8,0),0)</f>
        <v>0</v>
      </c>
      <c r="GE8" s="26">
        <f>IF(GE$2=InputTable[[#This Row],[Delivery Date]],_xlfn.XLOOKUP(GE$1,$BH$2:$BR$2,$BH8:$BR8,0),0)</f>
        <v>0</v>
      </c>
      <c r="GF8" s="26">
        <f>IF(GF$2=InputTable[[#This Row],[Delivery Date]],_xlfn.XLOOKUP(GF$1,$BH$2:$BR$2,$BH8:$BR8,0),0)</f>
        <v>0</v>
      </c>
      <c r="GG8" s="26">
        <f>IF(GG$2=InputTable[[#This Row],[Delivery Date]],_xlfn.XLOOKUP(GG$1,$BH$2:$BR$2,$BH8:$BR8,0),0)</f>
        <v>0</v>
      </c>
      <c r="GH8" s="26">
        <f>IF(GH$2=InputTable[[#This Row],[Delivery Date]],_xlfn.XLOOKUP(GH$1,$BH$2:$BR$2,$BH8:$BR8,0),0)</f>
        <v>0</v>
      </c>
      <c r="GI8" s="26">
        <f>IF(GI$2=InputTable[[#This Row],[Delivery Date]],_xlfn.XLOOKUP(GI$1,$BH$2:$BR$2,$BH8:$BR8,0),0)</f>
        <v>0</v>
      </c>
      <c r="GJ8" s="26">
        <f>IF(GJ$2=InputTable[[#This Row],[Delivery Date]],_xlfn.XLOOKUP(GJ$1,$BH$2:$BR$2,$BH8:$BR8,0),0)</f>
        <v>0</v>
      </c>
      <c r="GL8" s="26" t="e">
        <f>IF(GL$2=InputTable[[#This Row],[Delivery Date]],_xlfn.XLOOKUP(GL$1,$BH$2:$BR$2,$BH8:$BR8,0),0)</f>
        <v>#REF!</v>
      </c>
      <c r="GM8" s="26">
        <f>IF(GM$2=InputTable[[#This Row],[Delivery Date]],_xlfn.XLOOKUP(GM$1,$BH$2:$BR$2,$BH8:$BR8,0),0)</f>
        <v>0</v>
      </c>
      <c r="GN8" s="26">
        <f>IF(GN$2=InputTable[[#This Row],[Delivery Date]],_xlfn.XLOOKUP(GN$1,$BH$2:$BR$2,$BH8:$BR8,0),0)</f>
        <v>0</v>
      </c>
      <c r="GO8" s="26">
        <f>IF(GO$2=InputTable[[#This Row],[Delivery Date]],_xlfn.XLOOKUP(GO$1,$BH$2:$BR$2,$BH8:$BR8,0),0)</f>
        <v>0</v>
      </c>
      <c r="GP8" s="26">
        <f>IF(GP$2=InputTable[[#This Row],[Delivery Date]],_xlfn.XLOOKUP(GP$1,$BH$2:$BR$2,$BH8:$BR8,0),0)</f>
        <v>0</v>
      </c>
      <c r="GQ8" s="26">
        <f>IF(GQ$2=InputTable[[#This Row],[Delivery Date]],_xlfn.XLOOKUP(GQ$1,$BH$2:$BR$2,$BH8:$BR8,0),0)</f>
        <v>0</v>
      </c>
      <c r="GR8" s="26">
        <f>IF(GR$2=InputTable[[#This Row],[Delivery Date]],_xlfn.XLOOKUP(GR$1,$BH$2:$BR$2,$BH8:$BR8,0),0)</f>
        <v>0</v>
      </c>
      <c r="GS8" s="26">
        <f>IF(GS$2=InputTable[[#This Row],[Delivery Date]],_xlfn.XLOOKUP(GS$1,$BH$2:$BR$2,$BH8:$BR8,0),0)</f>
        <v>0</v>
      </c>
      <c r="GT8" s="26">
        <f>IF(GT$2=InputTable[[#This Row],[Delivery Date]],_xlfn.XLOOKUP(GT$1,$BH$2:$BR$2,$BH8:$BR8,0),0)</f>
        <v>0</v>
      </c>
      <c r="GV8" s="26" t="e">
        <f>IF(GV$2=InputTable[[#This Row],[Delivery Date]],_xlfn.XLOOKUP(GV$1,$BH$2:$BR$2,$BH8:$BR8,0),0)</f>
        <v>#REF!</v>
      </c>
      <c r="GW8" s="26">
        <f>IF(GW$2=InputTable[[#This Row],[Delivery Date]],_xlfn.XLOOKUP(GW$1,$BH$2:$BR$2,$BH8:$BR8,0),0)</f>
        <v>0</v>
      </c>
      <c r="GX8" s="26">
        <f>IF(GX$2=InputTable[[#This Row],[Delivery Date]],_xlfn.XLOOKUP(GX$1,$BH$2:$BR$2,$BH8:$BR8,0),0)</f>
        <v>0</v>
      </c>
      <c r="GY8" s="26">
        <f>IF(GY$2=InputTable[[#This Row],[Delivery Date]],_xlfn.XLOOKUP(GY$1,$BH$2:$BR$2,$BH8:$BR8,0),0)</f>
        <v>0</v>
      </c>
      <c r="GZ8" s="26">
        <f>IF(GZ$2=InputTable[[#This Row],[Delivery Date]],_xlfn.XLOOKUP(GZ$1,$BH$2:$BR$2,$BH8:$BR8,0),0)</f>
        <v>0</v>
      </c>
      <c r="HA8" s="26">
        <f>IF(HA$2=InputTable[[#This Row],[Delivery Date]],_xlfn.XLOOKUP(HA$1,$BH$2:$BR$2,$BH8:$BR8,0),0)</f>
        <v>0</v>
      </c>
      <c r="HB8" s="26">
        <f>IF(HB$2=InputTable[[#This Row],[Delivery Date]],_xlfn.XLOOKUP(HB$1,$BH$2:$BR$2,$BH8:$BR8,0),0)</f>
        <v>0</v>
      </c>
      <c r="HC8" s="26">
        <f>IF(HC$2=InputTable[[#This Row],[Delivery Date]],_xlfn.XLOOKUP(HC$1,$BH$2:$BR$2,$BH8:$BR8,0),0)</f>
        <v>0</v>
      </c>
      <c r="HD8" s="26">
        <f>IF(HD$2=InputTable[[#This Row],[Delivery Date]],_xlfn.XLOOKUP(HD$1,$BH$2:$BR$2,$BH8:$BR8,0),0)</f>
        <v>0</v>
      </c>
      <c r="HF8" s="26" t="e">
        <f>IF(HF$2=InputTable[[#This Row],[Delivery Date]],_xlfn.XLOOKUP(HF$1,$BH$2:$BR$2,$BH8:$BR8,0),0)</f>
        <v>#REF!</v>
      </c>
      <c r="HG8" s="26">
        <f>IF(HG$2=InputTable[[#This Row],[Delivery Date]],_xlfn.XLOOKUP(HG$1,$BH$2:$BR$2,$BH8:$BR8,0),0)</f>
        <v>0</v>
      </c>
      <c r="HH8" s="26">
        <f>IF(HH$2=InputTable[[#This Row],[Delivery Date]],_xlfn.XLOOKUP(HH$1,$BH$2:$BR$2,$BH8:$BR8,0),0)</f>
        <v>0</v>
      </c>
      <c r="HI8" s="26">
        <f>IF(HI$2=InputTable[[#This Row],[Delivery Date]],_xlfn.XLOOKUP(HI$1,$BH$2:$BR$2,$BH8:$BR8,0),0)</f>
        <v>0</v>
      </c>
      <c r="HJ8" s="26">
        <f>IF(HJ$2=InputTable[[#This Row],[Delivery Date]],_xlfn.XLOOKUP(HJ$1,$BH$2:$BR$2,$BH8:$BR8,0),0)</f>
        <v>0</v>
      </c>
      <c r="HK8" s="26">
        <f>IF(HK$2=InputTable[[#This Row],[Delivery Date]],_xlfn.XLOOKUP(HK$1,$BH$2:$BR$2,$BH8:$BR8,0),0)</f>
        <v>0</v>
      </c>
      <c r="HL8" s="26">
        <f>IF(HL$2=InputTable[[#This Row],[Delivery Date]],_xlfn.XLOOKUP(HL$1,$BH$2:$BR$2,$BH8:$BR8,0),0)</f>
        <v>0</v>
      </c>
      <c r="HM8" s="26">
        <f>IF(HM$2=InputTable[[#This Row],[Delivery Date]],_xlfn.XLOOKUP(HM$1,$BH$2:$BR$2,$BH8:$BR8,0),0)</f>
        <v>0</v>
      </c>
      <c r="HN8" s="26">
        <f>IF(HN$2=InputTable[[#This Row],[Delivery Date]],_xlfn.XLOOKUP(HN$1,$BH$2:$BR$2,$BH8:$BR8,0),0)</f>
        <v>0</v>
      </c>
      <c r="HP8" s="26" t="e">
        <f>IF(HP$2=InputTable[[#This Row],[Delivery Date]],_xlfn.XLOOKUP(HP$1,$BH$2:$BR$2,$BH8:$BR8,0),0)</f>
        <v>#REF!</v>
      </c>
      <c r="HQ8" s="26">
        <f>IF(HQ$2=InputTable[[#This Row],[Delivery Date]],_xlfn.XLOOKUP(HQ$1,$BH$2:$BR$2,$BH8:$BR8,0),0)</f>
        <v>0</v>
      </c>
      <c r="HR8" s="26">
        <f>IF(HR$2=InputTable[[#This Row],[Delivery Date]],_xlfn.XLOOKUP(HR$1,$BH$2:$BR$2,$BH8:$BR8,0),0)</f>
        <v>0</v>
      </c>
      <c r="HS8" s="26">
        <f>IF(HS$2=InputTable[[#This Row],[Delivery Date]],_xlfn.XLOOKUP(HS$1,$BH$2:$BR$2,$BH8:$BR8,0),0)</f>
        <v>0</v>
      </c>
      <c r="HT8" s="26">
        <f>IF(HT$2=InputTable[[#This Row],[Delivery Date]],_xlfn.XLOOKUP(HT$1,$BH$2:$BR$2,$BH8:$BR8,0),0)</f>
        <v>0</v>
      </c>
      <c r="HU8" s="26">
        <f>IF(HU$2=InputTable[[#This Row],[Delivery Date]],_xlfn.XLOOKUP(HU$1,$BH$2:$BR$2,$BH8:$BR8,0),0)</f>
        <v>0</v>
      </c>
      <c r="HV8" s="26">
        <f>IF(HV$2=InputTable[[#This Row],[Delivery Date]],_xlfn.XLOOKUP(HV$1,$BH$2:$BR$2,$BH8:$BR8,0),0)</f>
        <v>0</v>
      </c>
      <c r="HW8" s="26">
        <f>IF(HW$2=InputTable[[#This Row],[Delivery Date]],_xlfn.XLOOKUP(HW$1,$BH$2:$BR$2,$BH8:$BR8,0),0)</f>
        <v>0</v>
      </c>
      <c r="HX8" s="26">
        <f>IF(HX$2=InputTable[[#This Row],[Delivery Date]],_xlfn.XLOOKUP(HX$1,$BH$2:$BR$2,$BH8:$BR8,0),0)</f>
        <v>0</v>
      </c>
      <c r="HZ8" s="26" t="e">
        <f>IF(HZ$2=InputTable[[#This Row],[Delivery Date]],_xlfn.XLOOKUP(HZ$1,$BH$2:$BR$2,$BH8:$BR8,0),0)</f>
        <v>#REF!</v>
      </c>
      <c r="IA8" s="26">
        <f>IF(IA$2=InputTable[[#This Row],[Delivery Date]],_xlfn.XLOOKUP(IA$1,$BH$2:$BR$2,$BH8:$BR8,0),0)</f>
        <v>0</v>
      </c>
      <c r="IB8" s="26">
        <f>IF(IB$2=InputTable[[#This Row],[Delivery Date]],_xlfn.XLOOKUP(IB$1,$BH$2:$BR$2,$BH8:$BR8,0),0)</f>
        <v>0</v>
      </c>
      <c r="IC8" s="26">
        <f>IF(IC$2=InputTable[[#This Row],[Delivery Date]],_xlfn.XLOOKUP(IC$1,$BH$2:$BR$2,$BH8:$BR8,0),0)</f>
        <v>0</v>
      </c>
      <c r="ID8" s="26">
        <f>IF(ID$2=InputTable[[#This Row],[Delivery Date]],_xlfn.XLOOKUP(ID$1,$BH$2:$BR$2,$BH8:$BR8,0),0)</f>
        <v>0</v>
      </c>
      <c r="IE8" s="26">
        <f>IF(IE$2=InputTable[[#This Row],[Delivery Date]],_xlfn.XLOOKUP(IE$1,$BH$2:$BR$2,$BH8:$BR8,0),0)</f>
        <v>0</v>
      </c>
      <c r="IF8" s="26">
        <f>IF(IF$2=InputTable[[#This Row],[Delivery Date]],_xlfn.XLOOKUP(IF$1,$BH$2:$BR$2,$BH8:$BR8,0),0)</f>
        <v>0</v>
      </c>
      <c r="IG8" s="26">
        <f>IF(IG$2=InputTable[[#This Row],[Delivery Date]],_xlfn.XLOOKUP(IG$1,$BH$2:$BR$2,$BH8:$BR8,0),0)</f>
        <v>0</v>
      </c>
      <c r="IH8" s="26">
        <f>IF(IH$2=InputTable[[#This Row],[Delivery Date]],_xlfn.XLOOKUP(IH$1,$BH$2:$BR$2,$BH8:$BR8,0),0)</f>
        <v>0</v>
      </c>
      <c r="IJ8" s="26" t="e">
        <f>IF(IJ$2=InputTable[[#This Row],[Delivery Date]],_xlfn.XLOOKUP(IJ$1,$BH$2:$BR$2,$BH8:$BR8,0),0)</f>
        <v>#REF!</v>
      </c>
      <c r="IK8" s="26">
        <f>IF(IK$2=InputTable[[#This Row],[Delivery Date]],_xlfn.XLOOKUP(IK$1,$BH$2:$BR$2,$BH8:$BR8,0),0)</f>
        <v>0</v>
      </c>
      <c r="IL8" s="26">
        <f>IF(IL$2=InputTable[[#This Row],[Delivery Date]],_xlfn.XLOOKUP(IL$1,$BH$2:$BR$2,$BH8:$BR8,0),0)</f>
        <v>0</v>
      </c>
      <c r="IM8" s="26">
        <f>IF(IM$2=InputTable[[#This Row],[Delivery Date]],_xlfn.XLOOKUP(IM$1,$BH$2:$BR$2,$BH8:$BR8,0),0)</f>
        <v>0</v>
      </c>
      <c r="IN8" s="26">
        <f>IF(IN$2=InputTable[[#This Row],[Delivery Date]],_xlfn.XLOOKUP(IN$1,$BH$2:$BR$2,$BH8:$BR8,0),0)</f>
        <v>0</v>
      </c>
      <c r="IO8" s="26">
        <f>IF(IO$2=InputTable[[#This Row],[Delivery Date]],_xlfn.XLOOKUP(IO$1,$BH$2:$BR$2,$BH8:$BR8,0),0)</f>
        <v>0</v>
      </c>
      <c r="IP8" s="26">
        <f>IF(IP$2=InputTable[[#This Row],[Delivery Date]],_xlfn.XLOOKUP(IP$1,$BH$2:$BR$2,$BH8:$BR8,0),0)</f>
        <v>0</v>
      </c>
      <c r="IQ8" s="26">
        <f>IF(IQ$2=InputTable[[#This Row],[Delivery Date]],_xlfn.XLOOKUP(IQ$1,$BH$2:$BR$2,$BH8:$BR8,0),0)</f>
        <v>0</v>
      </c>
      <c r="IR8" s="26">
        <f>IF(IR$2=InputTable[[#This Row],[Delivery Date]],_xlfn.XLOOKUP(IR$1,$BH$2:$BR$2,$BH8:$BR8,0),0)</f>
        <v>0</v>
      </c>
      <c r="IT8" s="26" t="e">
        <f>IF(IT$2=InputTable[[#This Row],[Delivery Date]],_xlfn.XLOOKUP(IT$1,$BH$2:$BR$2,$BH8:$BR8,0),0)</f>
        <v>#REF!</v>
      </c>
      <c r="IU8" s="26">
        <f>IF(IU$2=InputTable[[#This Row],[Delivery Date]],_xlfn.XLOOKUP(IU$1,$BH$2:$BR$2,$BH8:$BR8,0),0)</f>
        <v>0</v>
      </c>
      <c r="IV8" s="26">
        <f>IF(IV$2=InputTable[[#This Row],[Delivery Date]],_xlfn.XLOOKUP(IV$1,$BH$2:$BR$2,$BH8:$BR8,0),0)</f>
        <v>0</v>
      </c>
      <c r="IW8" s="26">
        <f>IF(IW$2=InputTable[[#This Row],[Delivery Date]],_xlfn.XLOOKUP(IW$1,$BH$2:$BR$2,$BH8:$BR8,0),0)</f>
        <v>0</v>
      </c>
      <c r="IX8" s="26">
        <f>IF(IX$2=InputTable[[#This Row],[Delivery Date]],_xlfn.XLOOKUP(IX$1,$BH$2:$BR$2,$BH8:$BR8,0),0)</f>
        <v>0</v>
      </c>
      <c r="IY8" s="26">
        <f>IF(IY$2=InputTable[[#This Row],[Delivery Date]],_xlfn.XLOOKUP(IY$1,$BH$2:$BR$2,$BH8:$BR8,0),0)</f>
        <v>0</v>
      </c>
      <c r="IZ8" s="26">
        <f>IF(IZ$2=InputTable[[#This Row],[Delivery Date]],_xlfn.XLOOKUP(IZ$1,$BH$2:$BR$2,$BH8:$BR8,0),0)</f>
        <v>0</v>
      </c>
      <c r="JA8" s="26">
        <f>IF(JA$2=InputTable[[#This Row],[Delivery Date]],_xlfn.XLOOKUP(JA$1,$BH$2:$BR$2,$BH8:$BR8,0),0)</f>
        <v>0</v>
      </c>
      <c r="JB8" s="26">
        <f>IF(JB$2=InputTable[[#This Row],[Delivery Date]],_xlfn.XLOOKUP(JB$1,$BH$2:$BR$2,$BH8:$BR8,0),0)</f>
        <v>0</v>
      </c>
      <c r="JD8" s="26" t="e">
        <f>IF(JD$2=InputTable[[#This Row],[Delivery Date]],_xlfn.XLOOKUP(JD$1,$BH$2:$BR$2,$BH8:$BR8,0),0)</f>
        <v>#REF!</v>
      </c>
      <c r="JE8" s="26">
        <f>IF(JE$2=InputTable[[#This Row],[Delivery Date]],_xlfn.XLOOKUP(JE$1,$BH$2:$BR$2,$BH8:$BR8,0),0)</f>
        <v>0</v>
      </c>
      <c r="JF8" s="26">
        <f>IF(JF$2=InputTable[[#This Row],[Delivery Date]],_xlfn.XLOOKUP(JF$1,$BH$2:$BR$2,$BH8:$BR8,0),0)</f>
        <v>0</v>
      </c>
      <c r="JG8" s="26">
        <f>IF(JG$2=InputTable[[#This Row],[Delivery Date]],_xlfn.XLOOKUP(JG$1,$BH$2:$BR$2,$BH8:$BR8,0),0)</f>
        <v>0</v>
      </c>
      <c r="JH8" s="26">
        <f>IF(JH$2=InputTable[[#This Row],[Delivery Date]],_xlfn.XLOOKUP(JH$1,$BH$2:$BR$2,$BH8:$BR8,0),0)</f>
        <v>0</v>
      </c>
      <c r="JI8" s="26">
        <f>IF(JI$2=InputTable[[#This Row],[Delivery Date]],_xlfn.XLOOKUP(JI$1,$BH$2:$BR$2,$BH8:$BR8,0),0)</f>
        <v>0</v>
      </c>
      <c r="JJ8" s="26">
        <f>IF(JJ$2=InputTable[[#This Row],[Delivery Date]],_xlfn.XLOOKUP(JJ$1,$BH$2:$BR$2,$BH8:$BR8,0),0)</f>
        <v>0</v>
      </c>
      <c r="JK8" s="26">
        <f>IF(JK$2=InputTable[[#This Row],[Delivery Date]],_xlfn.XLOOKUP(JK$1,$BH$2:$BR$2,$BH8:$BR8,0),0)</f>
        <v>0</v>
      </c>
      <c r="JL8" s="26">
        <f>IF(JL$2=InputTable[[#This Row],[Delivery Date]],_xlfn.XLOOKUP(JL$1,$BH$2:$BR$2,$BH8:$BR8,0),0)</f>
        <v>0</v>
      </c>
      <c r="JN8" s="26" t="e">
        <f>IF(JN$2=InputTable[[#This Row],[Delivery Date]],_xlfn.XLOOKUP(JN$1,$BH$2:$BR$2,$BH8:$BR8,0),0)</f>
        <v>#REF!</v>
      </c>
      <c r="JO8" s="26">
        <f>IF(JO$2=InputTable[[#This Row],[Delivery Date]],_xlfn.XLOOKUP(JO$1,$BH$2:$BR$2,$BH8:$BR8,0),0)</f>
        <v>0</v>
      </c>
      <c r="JP8" s="26">
        <f>IF(JP$2=InputTable[[#This Row],[Delivery Date]],_xlfn.XLOOKUP(JP$1,$BH$2:$BR$2,$BH8:$BR8,0),0)</f>
        <v>0</v>
      </c>
      <c r="JQ8" s="26">
        <f>IF(JQ$2=InputTable[[#This Row],[Delivery Date]],_xlfn.XLOOKUP(JQ$1,$BH$2:$BR$2,$BH8:$BR8,0),0)</f>
        <v>0</v>
      </c>
      <c r="JR8" s="26">
        <f>IF(JR$2=InputTable[[#This Row],[Delivery Date]],_xlfn.XLOOKUP(JR$1,$BH$2:$BR$2,$BH8:$BR8,0),0)</f>
        <v>0</v>
      </c>
      <c r="JS8" s="26">
        <f>IF(JS$2=InputTable[[#This Row],[Delivery Date]],_xlfn.XLOOKUP(JS$1,$BH$2:$BR$2,$BH8:$BR8,0),0)</f>
        <v>0</v>
      </c>
      <c r="JT8" s="26">
        <f>IF(JT$2=InputTable[[#This Row],[Delivery Date]],_xlfn.XLOOKUP(JT$1,$BH$2:$BR$2,$BH8:$BR8,0),0)</f>
        <v>0</v>
      </c>
      <c r="JU8" s="26">
        <f>IF(JU$2=InputTable[[#This Row],[Delivery Date]],_xlfn.XLOOKUP(JU$1,$BH$2:$BR$2,$BH8:$BR8,0),0)</f>
        <v>0</v>
      </c>
      <c r="JV8" s="26">
        <f>IF(JV$2=InputTable[[#This Row],[Delivery Date]],_xlfn.XLOOKUP(JV$1,$BH$2:$BR$2,$BH8:$BR8,0),0)</f>
        <v>0</v>
      </c>
      <c r="JX8" s="26" t="e">
        <f>IF(JX$2=InputTable[[#This Row],[Delivery Date]],_xlfn.XLOOKUP(JX$1,$BH$2:$BR$2,$BH8:$BR8,0),0)</f>
        <v>#REF!</v>
      </c>
      <c r="JY8" s="26">
        <f>IF(JY$2=InputTable[[#This Row],[Delivery Date]],_xlfn.XLOOKUP(JY$1,$BH$2:$BR$2,$BH8:$BR8,0),0)</f>
        <v>0</v>
      </c>
      <c r="JZ8" s="26">
        <f>IF(JZ$2=InputTable[[#This Row],[Delivery Date]],_xlfn.XLOOKUP(JZ$1,$BH$2:$BR$2,$BH8:$BR8,0),0)</f>
        <v>0</v>
      </c>
      <c r="KA8" s="26">
        <f>IF(KA$2=InputTable[[#This Row],[Delivery Date]],_xlfn.XLOOKUP(KA$1,$BH$2:$BR$2,$BH8:$BR8,0),0)</f>
        <v>0</v>
      </c>
      <c r="KB8" s="26">
        <f>IF(KB$2=InputTable[[#This Row],[Delivery Date]],_xlfn.XLOOKUP(KB$1,$BH$2:$BR$2,$BH8:$BR8,0),0)</f>
        <v>0</v>
      </c>
      <c r="KC8" s="26">
        <f>IF(KC$2=InputTable[[#This Row],[Delivery Date]],_xlfn.XLOOKUP(KC$1,$BH$2:$BR$2,$BH8:$BR8,0),0)</f>
        <v>0</v>
      </c>
      <c r="KD8" s="26">
        <f>IF(KD$2=InputTable[[#This Row],[Delivery Date]],_xlfn.XLOOKUP(KD$1,$BH$2:$BR$2,$BH8:$BR8,0),0)</f>
        <v>0</v>
      </c>
      <c r="KE8" s="26">
        <f>IF(KE$2=InputTable[[#This Row],[Delivery Date]],_xlfn.XLOOKUP(KE$1,$BH$2:$BR$2,$BH8:$BR8,0),0)</f>
        <v>0</v>
      </c>
      <c r="KF8" s="26">
        <f>IF(KF$2=InputTable[[#This Row],[Delivery Date]],_xlfn.XLOOKUP(KF$1,$BH$2:$BR$2,$BH8:$BR8,0),0)</f>
        <v>0</v>
      </c>
    </row>
    <row r="9" spans="1:292" ht="39.6" hidden="1" customHeight="1" x14ac:dyDescent="0.25">
      <c r="A9" s="141"/>
      <c r="B9" s="141" t="s">
        <v>114</v>
      </c>
      <c r="C9" s="92" t="s">
        <v>93</v>
      </c>
      <c r="D9" s="125" t="s">
        <v>121</v>
      </c>
      <c r="E9" s="193" t="s">
        <v>122</v>
      </c>
      <c r="F9" s="92" t="s">
        <v>96</v>
      </c>
      <c r="G9" s="92" t="s">
        <v>97</v>
      </c>
      <c r="H9" s="92" t="s">
        <v>123</v>
      </c>
      <c r="I9" s="92" t="s">
        <v>98</v>
      </c>
      <c r="J9" s="122"/>
      <c r="K9" s="95" t="e">
        <f>VLOOKUP((InputTable[[#This Row],[Starting Date]]&amp; " - " &amp;InputTable[[#This Row],[Delivery Date]]),'System List'!$F$40:$H$83,2,FALSE)</f>
        <v>#N/A</v>
      </c>
      <c r="L9" s="95" t="e">
        <f>VLOOKUP(InputTable[[#This Row],[Duration]],Duration,2,FALSE)</f>
        <v>#N/A</v>
      </c>
      <c r="M9" s="122" t="s">
        <v>110</v>
      </c>
      <c r="N9" s="92"/>
      <c r="O9" s="92" t="s">
        <v>111</v>
      </c>
      <c r="P9" s="92"/>
      <c r="Q9" s="92"/>
      <c r="R9" s="92"/>
      <c r="S9" s="92"/>
      <c r="T9" s="95" cm="1">
        <f t="array" ref="T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9" s="138"/>
      <c r="V9" s="92"/>
      <c r="W9" s="92"/>
      <c r="X9" s="92"/>
      <c r="Y9" s="92"/>
      <c r="Z9" s="92"/>
      <c r="AA9" s="92"/>
      <c r="AB9" s="92"/>
      <c r="AC9" s="92"/>
      <c r="AD9" s="92">
        <f>COUNTA(InputTable[[#This Row],[CORPHRFIN]:[SALES]])</f>
        <v>0</v>
      </c>
      <c r="AE9" s="88" cm="1">
        <f t="array" ref="AE9">SUM(
_xlfn.XLOOKUP(InputTable[[#This Row],[CORPHRFIN]:[SALES]],'System List'!$F$4:$F$7,'System List'!$H$4:$H$7,0))</f>
        <v>0</v>
      </c>
      <c r="AF9" s="140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88" cm="1">
        <f t="array" ref="AR9">SUM(
_xlfn.XLOOKUP(InputTable[[#This Row],[Impact on - CIAL]:[Impact on - STRAT]],'System List'!$F$4:$F$7,'System List'!$H$4:$H$7,0))</f>
        <v>0</v>
      </c>
      <c r="AS9" s="88" t="e">
        <f>VLOOKUP(InputTable[[#This Row],[Duration]],Duration,2,FALSE)+InputTable[[#This Row],[Resource Score]]</f>
        <v>#N/A</v>
      </c>
      <c r="AT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" s="24" t="e">
        <f>InputTable[[#This Row],[Value Score]]/InputTable[[#This Row],[EFFORT SCORE]]*100</f>
        <v>#N/A</v>
      </c>
      <c r="AV9" s="25"/>
      <c r="AW9" s="25" t="s">
        <v>101</v>
      </c>
      <c r="AX9" s="208"/>
      <c r="AY9" s="25"/>
      <c r="AZ9" s="209">
        <v>0</v>
      </c>
      <c r="BA9" s="209">
        <v>0</v>
      </c>
      <c r="BB9" s="209"/>
      <c r="BC9" s="189"/>
      <c r="BD9" s="188"/>
      <c r="BE9" s="188"/>
      <c r="BF9" s="7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T9" s="2"/>
      <c r="BU9" s="2"/>
      <c r="BV9" s="2"/>
      <c r="BW9" s="2"/>
      <c r="BX9" s="2"/>
      <c r="BY9" s="2"/>
      <c r="BZ9" s="2"/>
      <c r="CA9" s="2"/>
      <c r="CC9" s="2"/>
      <c r="CD9" s="2"/>
      <c r="CE9" s="2"/>
      <c r="CF9" s="2"/>
      <c r="CG9" s="2"/>
      <c r="CH9" s="2"/>
      <c r="CI9" s="2"/>
      <c r="CJ9" s="2"/>
      <c r="CK9" s="2"/>
      <c r="CN9" s="2"/>
      <c r="CO9" s="2"/>
      <c r="CP9" s="2"/>
      <c r="CQ9" s="2"/>
      <c r="CR9" s="2"/>
      <c r="CS9" s="2"/>
      <c r="CT9" s="2"/>
      <c r="CU9" s="2"/>
      <c r="CV9" s="2"/>
      <c r="CX9" s="26"/>
      <c r="CY9" s="26"/>
      <c r="CZ9" s="26"/>
      <c r="DA9" s="26"/>
      <c r="DB9" s="26"/>
      <c r="DC9" s="26"/>
      <c r="DD9" s="26"/>
      <c r="DE9" s="26"/>
      <c r="DF9" s="26"/>
      <c r="DH9" s="26"/>
      <c r="DI9" s="26"/>
      <c r="DJ9" s="26"/>
      <c r="DK9" s="26"/>
      <c r="DL9" s="26"/>
      <c r="DM9" s="26"/>
      <c r="DN9" s="26"/>
      <c r="DO9" s="26"/>
      <c r="DP9" s="26"/>
      <c r="DR9" s="26"/>
      <c r="DS9" s="26"/>
      <c r="DT9" s="26"/>
      <c r="DU9" s="26"/>
      <c r="DV9" s="26"/>
      <c r="DW9" s="26"/>
      <c r="DX9" s="26"/>
      <c r="DY9" s="26"/>
      <c r="DZ9" s="26"/>
      <c r="EB9" s="26"/>
      <c r="EC9" s="26"/>
      <c r="ED9" s="26"/>
      <c r="EE9" s="26"/>
      <c r="EF9" s="26"/>
      <c r="EG9" s="26"/>
      <c r="EH9" s="26"/>
      <c r="EI9" s="26"/>
      <c r="EJ9" s="26"/>
      <c r="EL9" s="26"/>
      <c r="EM9" s="26"/>
      <c r="EN9" s="26"/>
      <c r="EO9" s="26"/>
      <c r="EP9" s="26"/>
      <c r="EQ9" s="26"/>
      <c r="ER9" s="26"/>
      <c r="ES9" s="26"/>
      <c r="ET9" s="26"/>
      <c r="EV9" s="26"/>
      <c r="EW9" s="26"/>
      <c r="EX9" s="26"/>
      <c r="EY9" s="26"/>
      <c r="EZ9" s="26"/>
      <c r="FA9" s="26"/>
      <c r="FB9" s="26"/>
      <c r="FC9" s="26"/>
      <c r="FD9" s="26"/>
      <c r="FF9" s="26"/>
      <c r="FG9" s="26"/>
      <c r="FH9" s="26"/>
      <c r="FI9" s="26"/>
      <c r="FJ9" s="26"/>
      <c r="FK9" s="26"/>
      <c r="FL9" s="26"/>
      <c r="FM9" s="26"/>
      <c r="FN9" s="26"/>
      <c r="FP9" s="26"/>
      <c r="FQ9" s="26"/>
      <c r="FR9" s="26"/>
      <c r="FS9" s="26"/>
      <c r="FT9" s="26"/>
      <c r="FU9" s="26"/>
      <c r="FV9" s="26"/>
      <c r="FW9" s="26"/>
      <c r="FX9" s="26"/>
      <c r="GB9" s="26"/>
      <c r="GC9" s="26"/>
      <c r="GD9" s="26"/>
      <c r="GE9" s="26"/>
      <c r="GF9" s="26"/>
      <c r="GG9" s="26"/>
      <c r="GH9" s="26"/>
      <c r="GI9" s="26"/>
      <c r="GJ9" s="26"/>
      <c r="GL9" s="26"/>
      <c r="GM9" s="26"/>
      <c r="GN9" s="26"/>
      <c r="GO9" s="26"/>
      <c r="GP9" s="26"/>
      <c r="GQ9" s="26"/>
      <c r="GR9" s="26"/>
      <c r="GS9" s="26"/>
      <c r="GT9" s="26"/>
      <c r="GV9" s="26"/>
      <c r="GW9" s="26"/>
      <c r="GX9" s="26"/>
      <c r="GY9" s="26"/>
      <c r="GZ9" s="26"/>
      <c r="HA9" s="26"/>
      <c r="HB9" s="26"/>
      <c r="HC9" s="26"/>
      <c r="HD9" s="26"/>
      <c r="HF9" s="26"/>
      <c r="HG9" s="26"/>
      <c r="HH9" s="26"/>
      <c r="HI9" s="26"/>
      <c r="HJ9" s="26"/>
      <c r="HK9" s="26"/>
      <c r="HL9" s="26"/>
      <c r="HM9" s="26"/>
      <c r="HN9" s="26"/>
      <c r="HP9" s="26"/>
      <c r="HQ9" s="26"/>
      <c r="HR9" s="26"/>
      <c r="HS9" s="26"/>
      <c r="HT9" s="26"/>
      <c r="HU9" s="26"/>
      <c r="HV9" s="26"/>
      <c r="HW9" s="26"/>
      <c r="HX9" s="26"/>
      <c r="HZ9" s="26"/>
      <c r="IA9" s="26"/>
      <c r="IB9" s="26"/>
      <c r="IC9" s="26"/>
      <c r="ID9" s="26"/>
      <c r="IE9" s="26"/>
      <c r="IF9" s="26"/>
      <c r="IG9" s="26"/>
      <c r="IH9" s="26"/>
      <c r="IJ9" s="26"/>
      <c r="IK9" s="26"/>
      <c r="IL9" s="26"/>
      <c r="IM9" s="26"/>
      <c r="IN9" s="26"/>
      <c r="IO9" s="26"/>
      <c r="IP9" s="26"/>
      <c r="IQ9" s="26"/>
      <c r="IR9" s="26"/>
      <c r="IT9" s="26"/>
      <c r="IU9" s="26"/>
      <c r="IV9" s="26"/>
      <c r="IW9" s="26"/>
      <c r="IX9" s="26"/>
      <c r="IY9" s="26"/>
      <c r="IZ9" s="26"/>
      <c r="JA9" s="26"/>
      <c r="JB9" s="26"/>
      <c r="JD9" s="26"/>
      <c r="JE9" s="26"/>
      <c r="JF9" s="26"/>
      <c r="JG9" s="26"/>
      <c r="JH9" s="26"/>
      <c r="JI9" s="26"/>
      <c r="JJ9" s="26"/>
      <c r="JK9" s="26"/>
      <c r="JL9" s="26"/>
      <c r="JN9" s="26"/>
      <c r="JO9" s="26"/>
      <c r="JP9" s="26"/>
      <c r="JQ9" s="26"/>
      <c r="JR9" s="26"/>
      <c r="JS9" s="26"/>
      <c r="JT9" s="26"/>
      <c r="JU9" s="26"/>
      <c r="JV9" s="26"/>
      <c r="JX9" s="26"/>
      <c r="JY9" s="26"/>
      <c r="JZ9" s="26"/>
      <c r="KA9" s="26"/>
      <c r="KB9" s="26"/>
      <c r="KC9" s="26"/>
      <c r="KD9" s="26"/>
      <c r="KE9" s="26"/>
      <c r="KF9" s="26"/>
    </row>
    <row r="10" spans="1:292" ht="39.6" hidden="1" customHeight="1" x14ac:dyDescent="0.25">
      <c r="A10" s="141"/>
      <c r="B10" s="141" t="s">
        <v>114</v>
      </c>
      <c r="C10" s="92" t="s">
        <v>93</v>
      </c>
      <c r="D10" s="125" t="s">
        <v>124</v>
      </c>
      <c r="E10" s="193" t="s">
        <v>125</v>
      </c>
      <c r="F10" s="92" t="s">
        <v>96</v>
      </c>
      <c r="G10" s="92" t="s">
        <v>97</v>
      </c>
      <c r="H10" s="92"/>
      <c r="I10" s="92" t="s">
        <v>98</v>
      </c>
      <c r="J10" s="122"/>
      <c r="K10" s="95" t="e">
        <f>VLOOKUP((InputTable[[#This Row],[Starting Date]]&amp; " - " &amp;InputTable[[#This Row],[Delivery Date]]),'System List'!$F$40:$H$83,2,FALSE)</f>
        <v>#N/A</v>
      </c>
      <c r="L10" s="95" t="e">
        <f>VLOOKUP(InputTable[[#This Row],[Duration]],Duration,2,FALSE)</f>
        <v>#N/A</v>
      </c>
      <c r="M10" s="122" t="s">
        <v>110</v>
      </c>
      <c r="N10" s="92"/>
      <c r="O10" s="92" t="s">
        <v>111</v>
      </c>
      <c r="P10" s="92"/>
      <c r="Q10" s="92"/>
      <c r="R10" s="92"/>
      <c r="S10" s="92"/>
      <c r="T10" s="95" cm="1">
        <f t="array" ref="T1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10" s="138"/>
      <c r="V10" s="92"/>
      <c r="W10" s="92"/>
      <c r="X10" s="92"/>
      <c r="Y10" s="92"/>
      <c r="Z10" s="92"/>
      <c r="AA10" s="92"/>
      <c r="AB10" s="92"/>
      <c r="AC10" s="92"/>
      <c r="AD10" s="92">
        <f>COUNTA(InputTable[[#This Row],[CORPHRFIN]:[SALES]])</f>
        <v>0</v>
      </c>
      <c r="AE10" s="88" cm="1">
        <f t="array" ref="AE10">SUM(
_xlfn.XLOOKUP(InputTable[[#This Row],[CORPHRFIN]:[SALES]],'System List'!$F$4:$F$7,'System List'!$H$4:$H$7,0))</f>
        <v>0</v>
      </c>
      <c r="AF10" s="140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88" cm="1">
        <f t="array" ref="AR10">SUM(
_xlfn.XLOOKUP(InputTable[[#This Row],[Impact on - CIAL]:[Impact on - STRAT]],'System List'!$F$4:$F$7,'System List'!$H$4:$H$7,0))</f>
        <v>0</v>
      </c>
      <c r="AS10" s="88" t="e">
        <f>VLOOKUP(InputTable[[#This Row],[Duration]],Duration,2,FALSE)+InputTable[[#This Row],[Resource Score]]</f>
        <v>#N/A</v>
      </c>
      <c r="AT1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" s="24" t="e">
        <f>InputTable[[#This Row],[Value Score]]/InputTable[[#This Row],[EFFORT SCORE]]*100</f>
        <v>#N/A</v>
      </c>
      <c r="AV10" s="25"/>
      <c r="AW10" s="25" t="s">
        <v>101</v>
      </c>
      <c r="AX10" s="208"/>
      <c r="AY10" s="25"/>
      <c r="AZ10" s="209">
        <v>0</v>
      </c>
      <c r="BA10" s="209">
        <v>0</v>
      </c>
      <c r="BB10" s="209"/>
      <c r="BC10" s="189"/>
      <c r="BD10" s="188"/>
      <c r="BE10" s="188"/>
      <c r="BF10" s="70"/>
      <c r="BH10" s="2">
        <f>IFERROR(VLOOKUP(InputTable[[#This Row],[Impact on - CIAL]],'System List'!$F$4:$H$7,3,FALSE),0)</f>
        <v>0</v>
      </c>
      <c r="BI10" s="2">
        <f>IFERROR(VLOOKUP(InputTable[[#This Row],[Impact on - COM]],'System List'!$F$4:$H$7,3,FALSE),0)</f>
        <v>0</v>
      </c>
      <c r="BJ10" s="2">
        <f>IFERROR(VLOOKUP(InputTable[[#This Row],[Impact on - FIN]],'System List'!$F$4:$H$7,3,FALSE),0)</f>
        <v>0</v>
      </c>
      <c r="BK10" s="2">
        <f>IFERROR(VLOOKUP(InputTable[[#This Row],[Impact on - GEN SEC]],'System List'!$F$4:$H$7,3,FALSE),0)</f>
        <v>0</v>
      </c>
      <c r="BL10" s="2">
        <f>IFERROR(VLOOKUP(InputTable[[#This Row],[Impact on - HR]],'System List'!$F$4:$H$7,3,FALSE),0)</f>
        <v>0</v>
      </c>
      <c r="BM10" s="2">
        <f>IFERROR(VLOOKUP(InputTable[[#This Row],[Impact on - IS]],'System List'!$F$4:$H$7,3,FALSE),0)</f>
        <v>0</v>
      </c>
      <c r="BN10" s="2">
        <f>IFERROR(VLOOKUP(InputTable[[#This Row],[Impact on - OPS]],'System List'!$F$4:$H$7,3,FALSE),0)</f>
        <v>0</v>
      </c>
      <c r="BO10" s="2">
        <f>IFERROR(VLOOKUP(InputTable[[#This Row],[Impact on - ROLL STOCK]],'System List'!$F$4:$H$7,3,FALSE),0)</f>
        <v>0</v>
      </c>
      <c r="BP10" s="2">
        <f>IFERROR(VLOOKUP(InputTable[[#This Row],[Impact on - SAFETY]],'System List'!$F$4:$H$7,3,FALSE),0)</f>
        <v>0</v>
      </c>
      <c r="BQ10" s="2">
        <f>IFERROR(VLOOKUP(InputTable[[#This Row],[Impact on - STATION]],'System List'!$F$4:$H$7,3,FALSE),0)</f>
        <v>0</v>
      </c>
      <c r="BR10" s="2">
        <f>IFERROR(VLOOKUP(InputTable[[#This Row],[Impact on - STRAT]],'System List'!$F$4:$H$7,3,FALSE),0)</f>
        <v>0</v>
      </c>
      <c r="BT10" s="2">
        <f>IFERROR(VLOOKUP(InputTable[[#This Row],[CORPHRFIN]],'System List'!$F$4:$H$7,3,FALSE),0)</f>
        <v>0</v>
      </c>
      <c r="BU10" s="2">
        <f>IFERROR(VLOOKUP(InputTable[[#This Row],[CUST]],'System List'!$F$4:$H$7,3,FALSE),0)</f>
        <v>0</v>
      </c>
      <c r="BV10" s="2">
        <f>IFERROR(VLOOKUP(InputTable[[#This Row],[CYBER]],'System List'!$F$4:$H$7,3,FALSE),0)</f>
        <v>0</v>
      </c>
      <c r="BW10" s="2">
        <f>IFERROR(VLOOKUP(InputTable[[#This Row],[DATA]],'System List'!$F$4:$H$7,3,FALSE),0)</f>
        <v>0</v>
      </c>
      <c r="BX10" s="2">
        <f>IFERROR(VLOOKUP(InputTable[[#This Row],[INFRA]],'System List'!$F$4:$H$7,3,FALSE),0)</f>
        <v>0</v>
      </c>
      <c r="BY10" s="2">
        <f>IFERROR(VLOOKUP(InputTable[[#This Row],[OPERATIONS]],'System List'!$F$4:$H$7,3,FALSE),0)</f>
        <v>0</v>
      </c>
      <c r="BZ10" s="2">
        <f>IFERROR(VLOOKUP(InputTable[[#This Row],[PMO]],'System List'!$F$4:$H$7,3,FALSE),0)</f>
        <v>0</v>
      </c>
      <c r="CA10" s="2">
        <f>IFERROR(VLOOKUP(InputTable[[#This Row],[SALES]],'System List'!$F$4:$H$7,3,FALSE),0)</f>
        <v>0</v>
      </c>
      <c r="CC10" s="2" cm="1">
        <f t="array" ref="CC1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" s="2" cm="1">
        <f t="array" ref="CD1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" s="2" cm="1">
        <f t="array" ref="CE1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" s="2" cm="1">
        <f t="array" ref="CF1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" s="2" cm="1">
        <f t="array" ref="CG1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" s="2" cm="1">
        <f t="array" ref="CH1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" s="2" cm="1">
        <f t="array" ref="CI1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" s="2" cm="1">
        <f t="array" ref="CJ1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" s="2" cm="1">
        <f t="array" ref="CK1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" s="26">
        <f t="shared" si="74"/>
        <v>0</v>
      </c>
      <c r="CY10" s="26">
        <f t="shared" si="74"/>
        <v>0</v>
      </c>
      <c r="CZ10" s="26">
        <f t="shared" si="74"/>
        <v>0</v>
      </c>
      <c r="DA10" s="26">
        <f t="shared" si="74"/>
        <v>0</v>
      </c>
      <c r="DB10" s="26">
        <f t="shared" si="74"/>
        <v>0</v>
      </c>
      <c r="DC10" s="26">
        <f t="shared" si="74"/>
        <v>0</v>
      </c>
      <c r="DD10" s="26">
        <f t="shared" si="74"/>
        <v>0</v>
      </c>
      <c r="DE10" s="26">
        <f t="shared" si="74"/>
        <v>0</v>
      </c>
      <c r="DF10" s="26">
        <f t="shared" si="74"/>
        <v>0</v>
      </c>
      <c r="DH10" s="26">
        <f t="shared" si="11"/>
        <v>0</v>
      </c>
      <c r="DI10" s="26">
        <f t="shared" si="12"/>
        <v>0</v>
      </c>
      <c r="DJ10" s="26">
        <f t="shared" si="13"/>
        <v>0</v>
      </c>
      <c r="DK10" s="26">
        <f t="shared" si="14"/>
        <v>0</v>
      </c>
      <c r="DL10" s="26">
        <f t="shared" si="15"/>
        <v>0</v>
      </c>
      <c r="DM10" s="26">
        <f t="shared" si="16"/>
        <v>0</v>
      </c>
      <c r="DN10" s="26">
        <f t="shared" si="17"/>
        <v>0</v>
      </c>
      <c r="DO10" s="26">
        <f t="shared" si="18"/>
        <v>0</v>
      </c>
      <c r="DP10" s="26">
        <f t="shared" si="19"/>
        <v>0</v>
      </c>
      <c r="DR10" s="26">
        <f t="shared" si="20"/>
        <v>0</v>
      </c>
      <c r="DS10" s="26">
        <f t="shared" si="21"/>
        <v>0</v>
      </c>
      <c r="DT10" s="26">
        <f t="shared" si="22"/>
        <v>0</v>
      </c>
      <c r="DU10" s="26">
        <f t="shared" si="23"/>
        <v>0</v>
      </c>
      <c r="DV10" s="26">
        <f t="shared" si="24"/>
        <v>0</v>
      </c>
      <c r="DW10" s="26">
        <f t="shared" si="25"/>
        <v>0</v>
      </c>
      <c r="DX10" s="26">
        <f t="shared" si="26"/>
        <v>0</v>
      </c>
      <c r="DY10" s="26">
        <f t="shared" si="27"/>
        <v>0</v>
      </c>
      <c r="DZ10" s="26">
        <f t="shared" si="28"/>
        <v>0</v>
      </c>
      <c r="EB10" s="26">
        <f t="shared" si="29"/>
        <v>0</v>
      </c>
      <c r="EC10" s="26">
        <f t="shared" si="30"/>
        <v>0</v>
      </c>
      <c r="ED10" s="26">
        <f t="shared" si="31"/>
        <v>0</v>
      </c>
      <c r="EE10" s="26">
        <f t="shared" si="32"/>
        <v>0</v>
      </c>
      <c r="EF10" s="26">
        <f t="shared" si="33"/>
        <v>0</v>
      </c>
      <c r="EG10" s="26">
        <f t="shared" si="34"/>
        <v>0</v>
      </c>
      <c r="EH10" s="26">
        <f t="shared" si="35"/>
        <v>0</v>
      </c>
      <c r="EI10" s="26">
        <f t="shared" si="36"/>
        <v>0</v>
      </c>
      <c r="EJ10" s="26">
        <f t="shared" si="37"/>
        <v>0</v>
      </c>
      <c r="EL10" s="26">
        <f t="shared" si="38"/>
        <v>0</v>
      </c>
      <c r="EM10" s="26">
        <f t="shared" si="39"/>
        <v>0</v>
      </c>
      <c r="EN10" s="26">
        <f t="shared" si="40"/>
        <v>0</v>
      </c>
      <c r="EO10" s="26">
        <f t="shared" si="41"/>
        <v>0</v>
      </c>
      <c r="EP10" s="26">
        <f t="shared" si="42"/>
        <v>0</v>
      </c>
      <c r="EQ10" s="26">
        <f t="shared" si="43"/>
        <v>0</v>
      </c>
      <c r="ER10" s="26">
        <f t="shared" si="44"/>
        <v>0</v>
      </c>
      <c r="ES10" s="26">
        <f t="shared" si="45"/>
        <v>0</v>
      </c>
      <c r="ET10" s="26">
        <f t="shared" si="46"/>
        <v>0</v>
      </c>
      <c r="EV10" s="26">
        <f t="shared" si="47"/>
        <v>0</v>
      </c>
      <c r="EW10" s="26">
        <f t="shared" si="48"/>
        <v>0</v>
      </c>
      <c r="EX10" s="26">
        <f t="shared" si="49"/>
        <v>0</v>
      </c>
      <c r="EY10" s="26">
        <f t="shared" si="50"/>
        <v>0</v>
      </c>
      <c r="EZ10" s="26">
        <f t="shared" si="51"/>
        <v>0</v>
      </c>
      <c r="FA10" s="26">
        <f t="shared" si="52"/>
        <v>0</v>
      </c>
      <c r="FB10" s="26">
        <f t="shared" si="53"/>
        <v>0</v>
      </c>
      <c r="FC10" s="26">
        <f t="shared" si="54"/>
        <v>0</v>
      </c>
      <c r="FD10" s="26">
        <f t="shared" si="55"/>
        <v>0</v>
      </c>
      <c r="FF10" s="26">
        <f t="shared" si="56"/>
        <v>0</v>
      </c>
      <c r="FG10" s="26">
        <f t="shared" si="57"/>
        <v>0</v>
      </c>
      <c r="FH10" s="26">
        <f t="shared" si="58"/>
        <v>0</v>
      </c>
      <c r="FI10" s="26">
        <f t="shared" si="59"/>
        <v>0</v>
      </c>
      <c r="FJ10" s="26">
        <f t="shared" si="60"/>
        <v>0</v>
      </c>
      <c r="FK10" s="26">
        <f t="shared" si="61"/>
        <v>0</v>
      </c>
      <c r="FL10" s="26">
        <f t="shared" si="62"/>
        <v>0</v>
      </c>
      <c r="FM10" s="26">
        <f t="shared" si="63"/>
        <v>0</v>
      </c>
      <c r="FN10" s="26">
        <f t="shared" si="64"/>
        <v>0</v>
      </c>
      <c r="FP10" s="26" t="e">
        <f t="shared" si="65"/>
        <v>#REF!</v>
      </c>
      <c r="FQ10" s="26" t="e">
        <f t="shared" si="66"/>
        <v>#REF!</v>
      </c>
      <c r="FR10" s="26" t="e">
        <f t="shared" si="67"/>
        <v>#REF!</v>
      </c>
      <c r="FS10" s="26" t="e">
        <f t="shared" si="68"/>
        <v>#REF!</v>
      </c>
      <c r="FT10" s="26" t="e">
        <f t="shared" si="69"/>
        <v>#REF!</v>
      </c>
      <c r="FU10" s="26" t="e">
        <f t="shared" si="70"/>
        <v>#REF!</v>
      </c>
      <c r="FV10" s="26" t="e">
        <f t="shared" si="71"/>
        <v>#REF!</v>
      </c>
      <c r="FW10" s="26" t="e">
        <f t="shared" si="72"/>
        <v>#REF!</v>
      </c>
      <c r="FX10" s="26" t="e">
        <f t="shared" si="73"/>
        <v>#REF!</v>
      </c>
      <c r="GB10" s="26" t="e">
        <f>IF(GB$2=InputTable[[#This Row],[Delivery Date]],_xlfn.XLOOKUP(GB$1,$BH$2:$BR$2,$BH10:$BR10,0),0)</f>
        <v>#REF!</v>
      </c>
      <c r="GC10" s="26">
        <f>IF(GC$2=InputTable[[#This Row],[Delivery Date]],_xlfn.XLOOKUP(GC$1,$BH$2:$BR$2,$BH10:$BR10,0),0)</f>
        <v>0</v>
      </c>
      <c r="GD10" s="26">
        <f>IF(GD$2=InputTable[[#This Row],[Delivery Date]],_xlfn.XLOOKUP(GD$1,$BH$2:$BR$2,$BH10:$BR10,0),0)</f>
        <v>0</v>
      </c>
      <c r="GE10" s="26">
        <f>IF(GE$2=InputTable[[#This Row],[Delivery Date]],_xlfn.XLOOKUP(GE$1,$BH$2:$BR$2,$BH10:$BR10,0),0)</f>
        <v>0</v>
      </c>
      <c r="GF10" s="26">
        <f>IF(GF$2=InputTable[[#This Row],[Delivery Date]],_xlfn.XLOOKUP(GF$1,$BH$2:$BR$2,$BH10:$BR10,0),0)</f>
        <v>0</v>
      </c>
      <c r="GG10" s="26">
        <f>IF(GG$2=InputTable[[#This Row],[Delivery Date]],_xlfn.XLOOKUP(GG$1,$BH$2:$BR$2,$BH10:$BR10,0),0)</f>
        <v>0</v>
      </c>
      <c r="GH10" s="26">
        <f>IF(GH$2=InputTable[[#This Row],[Delivery Date]],_xlfn.XLOOKUP(GH$1,$BH$2:$BR$2,$BH10:$BR10,0),0)</f>
        <v>0</v>
      </c>
      <c r="GI10" s="26">
        <f>IF(GI$2=InputTable[[#This Row],[Delivery Date]],_xlfn.XLOOKUP(GI$1,$BH$2:$BR$2,$BH10:$BR10,0),0)</f>
        <v>0</v>
      </c>
      <c r="GJ10" s="26">
        <f>IF(GJ$2=InputTable[[#This Row],[Delivery Date]],_xlfn.XLOOKUP(GJ$1,$BH$2:$BR$2,$BH10:$BR10,0),0)</f>
        <v>0</v>
      </c>
      <c r="GL10" s="26" t="e">
        <f>IF(GL$2=InputTable[[#This Row],[Delivery Date]],_xlfn.XLOOKUP(GL$1,$BH$2:$BR$2,$BH10:$BR10,0),0)</f>
        <v>#REF!</v>
      </c>
      <c r="GM10" s="26">
        <f>IF(GM$2=InputTable[[#This Row],[Delivery Date]],_xlfn.XLOOKUP(GM$1,$BH$2:$BR$2,$BH10:$BR10,0),0)</f>
        <v>0</v>
      </c>
      <c r="GN10" s="26">
        <f>IF(GN$2=InputTable[[#This Row],[Delivery Date]],_xlfn.XLOOKUP(GN$1,$BH$2:$BR$2,$BH10:$BR10,0),0)</f>
        <v>0</v>
      </c>
      <c r="GO10" s="26">
        <f>IF(GO$2=InputTable[[#This Row],[Delivery Date]],_xlfn.XLOOKUP(GO$1,$BH$2:$BR$2,$BH10:$BR10,0),0)</f>
        <v>0</v>
      </c>
      <c r="GP10" s="26">
        <f>IF(GP$2=InputTable[[#This Row],[Delivery Date]],_xlfn.XLOOKUP(GP$1,$BH$2:$BR$2,$BH10:$BR10,0),0)</f>
        <v>0</v>
      </c>
      <c r="GQ10" s="26">
        <f>IF(GQ$2=InputTable[[#This Row],[Delivery Date]],_xlfn.XLOOKUP(GQ$1,$BH$2:$BR$2,$BH10:$BR10,0),0)</f>
        <v>0</v>
      </c>
      <c r="GR10" s="26">
        <f>IF(GR$2=InputTable[[#This Row],[Delivery Date]],_xlfn.XLOOKUP(GR$1,$BH$2:$BR$2,$BH10:$BR10,0),0)</f>
        <v>0</v>
      </c>
      <c r="GS10" s="26">
        <f>IF(GS$2=InputTable[[#This Row],[Delivery Date]],_xlfn.XLOOKUP(GS$1,$BH$2:$BR$2,$BH10:$BR10,0),0)</f>
        <v>0</v>
      </c>
      <c r="GT10" s="26">
        <f>IF(GT$2=InputTable[[#This Row],[Delivery Date]],_xlfn.XLOOKUP(GT$1,$BH$2:$BR$2,$BH10:$BR10,0),0)</f>
        <v>0</v>
      </c>
      <c r="GV10" s="26" t="e">
        <f>IF(GV$2=InputTable[[#This Row],[Delivery Date]],_xlfn.XLOOKUP(GV$1,$BH$2:$BR$2,$BH10:$BR10,0),0)</f>
        <v>#REF!</v>
      </c>
      <c r="GW10" s="26">
        <f>IF(GW$2=InputTable[[#This Row],[Delivery Date]],_xlfn.XLOOKUP(GW$1,$BH$2:$BR$2,$BH10:$BR10,0),0)</f>
        <v>0</v>
      </c>
      <c r="GX10" s="26">
        <f>IF(GX$2=InputTable[[#This Row],[Delivery Date]],_xlfn.XLOOKUP(GX$1,$BH$2:$BR$2,$BH10:$BR10,0),0)</f>
        <v>0</v>
      </c>
      <c r="GY10" s="26">
        <f>IF(GY$2=InputTable[[#This Row],[Delivery Date]],_xlfn.XLOOKUP(GY$1,$BH$2:$BR$2,$BH10:$BR10,0),0)</f>
        <v>0</v>
      </c>
      <c r="GZ10" s="26">
        <f>IF(GZ$2=InputTable[[#This Row],[Delivery Date]],_xlfn.XLOOKUP(GZ$1,$BH$2:$BR$2,$BH10:$BR10,0),0)</f>
        <v>0</v>
      </c>
      <c r="HA10" s="26">
        <f>IF(HA$2=InputTable[[#This Row],[Delivery Date]],_xlfn.XLOOKUP(HA$1,$BH$2:$BR$2,$BH10:$BR10,0),0)</f>
        <v>0</v>
      </c>
      <c r="HB10" s="26">
        <f>IF(HB$2=InputTable[[#This Row],[Delivery Date]],_xlfn.XLOOKUP(HB$1,$BH$2:$BR$2,$BH10:$BR10,0),0)</f>
        <v>0</v>
      </c>
      <c r="HC10" s="26">
        <f>IF(HC$2=InputTable[[#This Row],[Delivery Date]],_xlfn.XLOOKUP(HC$1,$BH$2:$BR$2,$BH10:$BR10,0),0)</f>
        <v>0</v>
      </c>
      <c r="HD10" s="26">
        <f>IF(HD$2=InputTable[[#This Row],[Delivery Date]],_xlfn.XLOOKUP(HD$1,$BH$2:$BR$2,$BH10:$BR10,0),0)</f>
        <v>0</v>
      </c>
      <c r="HF10" s="26" t="e">
        <f>IF(HF$2=InputTable[[#This Row],[Delivery Date]],_xlfn.XLOOKUP(HF$1,$BH$2:$BR$2,$BH10:$BR10,0),0)</f>
        <v>#REF!</v>
      </c>
      <c r="HG10" s="26">
        <f>IF(HG$2=InputTable[[#This Row],[Delivery Date]],_xlfn.XLOOKUP(HG$1,$BH$2:$BR$2,$BH10:$BR10,0),0)</f>
        <v>0</v>
      </c>
      <c r="HH10" s="26">
        <f>IF(HH$2=InputTable[[#This Row],[Delivery Date]],_xlfn.XLOOKUP(HH$1,$BH$2:$BR$2,$BH10:$BR10,0),0)</f>
        <v>0</v>
      </c>
      <c r="HI10" s="26">
        <f>IF(HI$2=InputTable[[#This Row],[Delivery Date]],_xlfn.XLOOKUP(HI$1,$BH$2:$BR$2,$BH10:$BR10,0),0)</f>
        <v>0</v>
      </c>
      <c r="HJ10" s="26">
        <f>IF(HJ$2=InputTable[[#This Row],[Delivery Date]],_xlfn.XLOOKUP(HJ$1,$BH$2:$BR$2,$BH10:$BR10,0),0)</f>
        <v>0</v>
      </c>
      <c r="HK10" s="26">
        <f>IF(HK$2=InputTable[[#This Row],[Delivery Date]],_xlfn.XLOOKUP(HK$1,$BH$2:$BR$2,$BH10:$BR10,0),0)</f>
        <v>0</v>
      </c>
      <c r="HL10" s="26">
        <f>IF(HL$2=InputTable[[#This Row],[Delivery Date]],_xlfn.XLOOKUP(HL$1,$BH$2:$BR$2,$BH10:$BR10,0),0)</f>
        <v>0</v>
      </c>
      <c r="HM10" s="26">
        <f>IF(HM$2=InputTable[[#This Row],[Delivery Date]],_xlfn.XLOOKUP(HM$1,$BH$2:$BR$2,$BH10:$BR10,0),0)</f>
        <v>0</v>
      </c>
      <c r="HN10" s="26">
        <f>IF(HN$2=InputTable[[#This Row],[Delivery Date]],_xlfn.XLOOKUP(HN$1,$BH$2:$BR$2,$BH10:$BR10,0),0)</f>
        <v>0</v>
      </c>
      <c r="HP10" s="26" t="e">
        <f>IF(HP$2=InputTable[[#This Row],[Delivery Date]],_xlfn.XLOOKUP(HP$1,$BH$2:$BR$2,$BH10:$BR10,0),0)</f>
        <v>#REF!</v>
      </c>
      <c r="HQ10" s="26">
        <f>IF(HQ$2=InputTable[[#This Row],[Delivery Date]],_xlfn.XLOOKUP(HQ$1,$BH$2:$BR$2,$BH10:$BR10,0),0)</f>
        <v>0</v>
      </c>
      <c r="HR10" s="26">
        <f>IF(HR$2=InputTable[[#This Row],[Delivery Date]],_xlfn.XLOOKUP(HR$1,$BH$2:$BR$2,$BH10:$BR10,0),0)</f>
        <v>0</v>
      </c>
      <c r="HS10" s="26">
        <f>IF(HS$2=InputTable[[#This Row],[Delivery Date]],_xlfn.XLOOKUP(HS$1,$BH$2:$BR$2,$BH10:$BR10,0),0)</f>
        <v>0</v>
      </c>
      <c r="HT10" s="26">
        <f>IF(HT$2=InputTable[[#This Row],[Delivery Date]],_xlfn.XLOOKUP(HT$1,$BH$2:$BR$2,$BH10:$BR10,0),0)</f>
        <v>0</v>
      </c>
      <c r="HU10" s="26">
        <f>IF(HU$2=InputTable[[#This Row],[Delivery Date]],_xlfn.XLOOKUP(HU$1,$BH$2:$BR$2,$BH10:$BR10,0),0)</f>
        <v>0</v>
      </c>
      <c r="HV10" s="26">
        <f>IF(HV$2=InputTable[[#This Row],[Delivery Date]],_xlfn.XLOOKUP(HV$1,$BH$2:$BR$2,$BH10:$BR10,0),0)</f>
        <v>0</v>
      </c>
      <c r="HW10" s="26">
        <f>IF(HW$2=InputTable[[#This Row],[Delivery Date]],_xlfn.XLOOKUP(HW$1,$BH$2:$BR$2,$BH10:$BR10,0),0)</f>
        <v>0</v>
      </c>
      <c r="HX10" s="26">
        <f>IF(HX$2=InputTable[[#This Row],[Delivery Date]],_xlfn.XLOOKUP(HX$1,$BH$2:$BR$2,$BH10:$BR10,0),0)</f>
        <v>0</v>
      </c>
      <c r="HZ10" s="26" t="e">
        <f>IF(HZ$2=InputTable[[#This Row],[Delivery Date]],_xlfn.XLOOKUP(HZ$1,$BH$2:$BR$2,$BH10:$BR10,0),0)</f>
        <v>#REF!</v>
      </c>
      <c r="IA10" s="26">
        <f>IF(IA$2=InputTable[[#This Row],[Delivery Date]],_xlfn.XLOOKUP(IA$1,$BH$2:$BR$2,$BH10:$BR10,0),0)</f>
        <v>0</v>
      </c>
      <c r="IB10" s="26">
        <f>IF(IB$2=InputTable[[#This Row],[Delivery Date]],_xlfn.XLOOKUP(IB$1,$BH$2:$BR$2,$BH10:$BR10,0),0)</f>
        <v>0</v>
      </c>
      <c r="IC10" s="26">
        <f>IF(IC$2=InputTable[[#This Row],[Delivery Date]],_xlfn.XLOOKUP(IC$1,$BH$2:$BR$2,$BH10:$BR10,0),0)</f>
        <v>0</v>
      </c>
      <c r="ID10" s="26">
        <f>IF(ID$2=InputTable[[#This Row],[Delivery Date]],_xlfn.XLOOKUP(ID$1,$BH$2:$BR$2,$BH10:$BR10,0),0)</f>
        <v>0</v>
      </c>
      <c r="IE10" s="26">
        <f>IF(IE$2=InputTable[[#This Row],[Delivery Date]],_xlfn.XLOOKUP(IE$1,$BH$2:$BR$2,$BH10:$BR10,0),0)</f>
        <v>0</v>
      </c>
      <c r="IF10" s="26">
        <f>IF(IF$2=InputTable[[#This Row],[Delivery Date]],_xlfn.XLOOKUP(IF$1,$BH$2:$BR$2,$BH10:$BR10,0),0)</f>
        <v>0</v>
      </c>
      <c r="IG10" s="26">
        <f>IF(IG$2=InputTable[[#This Row],[Delivery Date]],_xlfn.XLOOKUP(IG$1,$BH$2:$BR$2,$BH10:$BR10,0),0)</f>
        <v>0</v>
      </c>
      <c r="IH10" s="26">
        <f>IF(IH$2=InputTable[[#This Row],[Delivery Date]],_xlfn.XLOOKUP(IH$1,$BH$2:$BR$2,$BH10:$BR10,0),0)</f>
        <v>0</v>
      </c>
      <c r="IJ10" s="26" t="e">
        <f>IF(IJ$2=InputTable[[#This Row],[Delivery Date]],_xlfn.XLOOKUP(IJ$1,$BH$2:$BR$2,$BH10:$BR10,0),0)</f>
        <v>#REF!</v>
      </c>
      <c r="IK10" s="26">
        <f>IF(IK$2=InputTable[[#This Row],[Delivery Date]],_xlfn.XLOOKUP(IK$1,$BH$2:$BR$2,$BH10:$BR10,0),0)</f>
        <v>0</v>
      </c>
      <c r="IL10" s="26">
        <f>IF(IL$2=InputTable[[#This Row],[Delivery Date]],_xlfn.XLOOKUP(IL$1,$BH$2:$BR$2,$BH10:$BR10,0),0)</f>
        <v>0</v>
      </c>
      <c r="IM10" s="26">
        <f>IF(IM$2=InputTable[[#This Row],[Delivery Date]],_xlfn.XLOOKUP(IM$1,$BH$2:$BR$2,$BH10:$BR10,0),0)</f>
        <v>0</v>
      </c>
      <c r="IN10" s="26">
        <f>IF(IN$2=InputTable[[#This Row],[Delivery Date]],_xlfn.XLOOKUP(IN$1,$BH$2:$BR$2,$BH10:$BR10,0),0)</f>
        <v>0</v>
      </c>
      <c r="IO10" s="26">
        <f>IF(IO$2=InputTable[[#This Row],[Delivery Date]],_xlfn.XLOOKUP(IO$1,$BH$2:$BR$2,$BH10:$BR10,0),0)</f>
        <v>0</v>
      </c>
      <c r="IP10" s="26">
        <f>IF(IP$2=InputTable[[#This Row],[Delivery Date]],_xlfn.XLOOKUP(IP$1,$BH$2:$BR$2,$BH10:$BR10,0),0)</f>
        <v>0</v>
      </c>
      <c r="IQ10" s="26">
        <f>IF(IQ$2=InputTable[[#This Row],[Delivery Date]],_xlfn.XLOOKUP(IQ$1,$BH$2:$BR$2,$BH10:$BR10,0),0)</f>
        <v>0</v>
      </c>
      <c r="IR10" s="26">
        <f>IF(IR$2=InputTable[[#This Row],[Delivery Date]],_xlfn.XLOOKUP(IR$1,$BH$2:$BR$2,$BH10:$BR10,0),0)</f>
        <v>0</v>
      </c>
      <c r="IT10" s="26" t="e">
        <f>IF(IT$2=InputTable[[#This Row],[Delivery Date]],_xlfn.XLOOKUP(IT$1,$BH$2:$BR$2,$BH10:$BR10,0),0)</f>
        <v>#REF!</v>
      </c>
      <c r="IU10" s="26">
        <f>IF(IU$2=InputTable[[#This Row],[Delivery Date]],_xlfn.XLOOKUP(IU$1,$BH$2:$BR$2,$BH10:$BR10,0),0)</f>
        <v>0</v>
      </c>
      <c r="IV10" s="26">
        <f>IF(IV$2=InputTable[[#This Row],[Delivery Date]],_xlfn.XLOOKUP(IV$1,$BH$2:$BR$2,$BH10:$BR10,0),0)</f>
        <v>0</v>
      </c>
      <c r="IW10" s="26">
        <f>IF(IW$2=InputTable[[#This Row],[Delivery Date]],_xlfn.XLOOKUP(IW$1,$BH$2:$BR$2,$BH10:$BR10,0),0)</f>
        <v>0</v>
      </c>
      <c r="IX10" s="26">
        <f>IF(IX$2=InputTable[[#This Row],[Delivery Date]],_xlfn.XLOOKUP(IX$1,$BH$2:$BR$2,$BH10:$BR10,0),0)</f>
        <v>0</v>
      </c>
      <c r="IY10" s="26">
        <f>IF(IY$2=InputTable[[#This Row],[Delivery Date]],_xlfn.XLOOKUP(IY$1,$BH$2:$BR$2,$BH10:$BR10,0),0)</f>
        <v>0</v>
      </c>
      <c r="IZ10" s="26">
        <f>IF(IZ$2=InputTable[[#This Row],[Delivery Date]],_xlfn.XLOOKUP(IZ$1,$BH$2:$BR$2,$BH10:$BR10,0),0)</f>
        <v>0</v>
      </c>
      <c r="JA10" s="26">
        <f>IF(JA$2=InputTable[[#This Row],[Delivery Date]],_xlfn.XLOOKUP(JA$1,$BH$2:$BR$2,$BH10:$BR10,0),0)</f>
        <v>0</v>
      </c>
      <c r="JB10" s="26">
        <f>IF(JB$2=InputTable[[#This Row],[Delivery Date]],_xlfn.XLOOKUP(JB$1,$BH$2:$BR$2,$BH10:$BR10,0),0)</f>
        <v>0</v>
      </c>
      <c r="JD10" s="26" t="e">
        <f>IF(JD$2=InputTable[[#This Row],[Delivery Date]],_xlfn.XLOOKUP(JD$1,$BH$2:$BR$2,$BH10:$BR10,0),0)</f>
        <v>#REF!</v>
      </c>
      <c r="JE10" s="26">
        <f>IF(JE$2=InputTable[[#This Row],[Delivery Date]],_xlfn.XLOOKUP(JE$1,$BH$2:$BR$2,$BH10:$BR10,0),0)</f>
        <v>0</v>
      </c>
      <c r="JF10" s="26">
        <f>IF(JF$2=InputTable[[#This Row],[Delivery Date]],_xlfn.XLOOKUP(JF$1,$BH$2:$BR$2,$BH10:$BR10,0),0)</f>
        <v>0</v>
      </c>
      <c r="JG10" s="26">
        <f>IF(JG$2=InputTable[[#This Row],[Delivery Date]],_xlfn.XLOOKUP(JG$1,$BH$2:$BR$2,$BH10:$BR10,0),0)</f>
        <v>0</v>
      </c>
      <c r="JH10" s="26">
        <f>IF(JH$2=InputTable[[#This Row],[Delivery Date]],_xlfn.XLOOKUP(JH$1,$BH$2:$BR$2,$BH10:$BR10,0),0)</f>
        <v>0</v>
      </c>
      <c r="JI10" s="26">
        <f>IF(JI$2=InputTable[[#This Row],[Delivery Date]],_xlfn.XLOOKUP(JI$1,$BH$2:$BR$2,$BH10:$BR10,0),0)</f>
        <v>0</v>
      </c>
      <c r="JJ10" s="26">
        <f>IF(JJ$2=InputTable[[#This Row],[Delivery Date]],_xlfn.XLOOKUP(JJ$1,$BH$2:$BR$2,$BH10:$BR10,0),0)</f>
        <v>0</v>
      </c>
      <c r="JK10" s="26">
        <f>IF(JK$2=InputTable[[#This Row],[Delivery Date]],_xlfn.XLOOKUP(JK$1,$BH$2:$BR$2,$BH10:$BR10,0),0)</f>
        <v>0</v>
      </c>
      <c r="JL10" s="26">
        <f>IF(JL$2=InputTable[[#This Row],[Delivery Date]],_xlfn.XLOOKUP(JL$1,$BH$2:$BR$2,$BH10:$BR10,0),0)</f>
        <v>0</v>
      </c>
      <c r="JN10" s="26" t="e">
        <f>IF(JN$2=InputTable[[#This Row],[Delivery Date]],_xlfn.XLOOKUP(JN$1,$BH$2:$BR$2,$BH10:$BR10,0),0)</f>
        <v>#REF!</v>
      </c>
      <c r="JO10" s="26">
        <f>IF(JO$2=InputTable[[#This Row],[Delivery Date]],_xlfn.XLOOKUP(JO$1,$BH$2:$BR$2,$BH10:$BR10,0),0)</f>
        <v>0</v>
      </c>
      <c r="JP10" s="26">
        <f>IF(JP$2=InputTable[[#This Row],[Delivery Date]],_xlfn.XLOOKUP(JP$1,$BH$2:$BR$2,$BH10:$BR10,0),0)</f>
        <v>0</v>
      </c>
      <c r="JQ10" s="26">
        <f>IF(JQ$2=InputTable[[#This Row],[Delivery Date]],_xlfn.XLOOKUP(JQ$1,$BH$2:$BR$2,$BH10:$BR10,0),0)</f>
        <v>0</v>
      </c>
      <c r="JR10" s="26">
        <f>IF(JR$2=InputTable[[#This Row],[Delivery Date]],_xlfn.XLOOKUP(JR$1,$BH$2:$BR$2,$BH10:$BR10,0),0)</f>
        <v>0</v>
      </c>
      <c r="JS10" s="26">
        <f>IF(JS$2=InputTable[[#This Row],[Delivery Date]],_xlfn.XLOOKUP(JS$1,$BH$2:$BR$2,$BH10:$BR10,0),0)</f>
        <v>0</v>
      </c>
      <c r="JT10" s="26">
        <f>IF(JT$2=InputTable[[#This Row],[Delivery Date]],_xlfn.XLOOKUP(JT$1,$BH$2:$BR$2,$BH10:$BR10,0),0)</f>
        <v>0</v>
      </c>
      <c r="JU10" s="26">
        <f>IF(JU$2=InputTable[[#This Row],[Delivery Date]],_xlfn.XLOOKUP(JU$1,$BH$2:$BR$2,$BH10:$BR10,0),0)</f>
        <v>0</v>
      </c>
      <c r="JV10" s="26">
        <f>IF(JV$2=InputTable[[#This Row],[Delivery Date]],_xlfn.XLOOKUP(JV$1,$BH$2:$BR$2,$BH10:$BR10,0),0)</f>
        <v>0</v>
      </c>
      <c r="JX10" s="26" t="e">
        <f>IF(JX$2=InputTable[[#This Row],[Delivery Date]],_xlfn.XLOOKUP(JX$1,$BH$2:$BR$2,$BH10:$BR10,0),0)</f>
        <v>#REF!</v>
      </c>
      <c r="JY10" s="26">
        <f>IF(JY$2=InputTable[[#This Row],[Delivery Date]],_xlfn.XLOOKUP(JY$1,$BH$2:$BR$2,$BH10:$BR10,0),0)</f>
        <v>0</v>
      </c>
      <c r="JZ10" s="26">
        <f>IF(JZ$2=InputTable[[#This Row],[Delivery Date]],_xlfn.XLOOKUP(JZ$1,$BH$2:$BR$2,$BH10:$BR10,0),0)</f>
        <v>0</v>
      </c>
      <c r="KA10" s="26">
        <f>IF(KA$2=InputTable[[#This Row],[Delivery Date]],_xlfn.XLOOKUP(KA$1,$BH$2:$BR$2,$BH10:$BR10,0),0)</f>
        <v>0</v>
      </c>
      <c r="KB10" s="26">
        <f>IF(KB$2=InputTable[[#This Row],[Delivery Date]],_xlfn.XLOOKUP(KB$1,$BH$2:$BR$2,$BH10:$BR10,0),0)</f>
        <v>0</v>
      </c>
      <c r="KC10" s="26">
        <f>IF(KC$2=InputTable[[#This Row],[Delivery Date]],_xlfn.XLOOKUP(KC$1,$BH$2:$BR$2,$BH10:$BR10,0),0)</f>
        <v>0</v>
      </c>
      <c r="KD10" s="26">
        <f>IF(KD$2=InputTable[[#This Row],[Delivery Date]],_xlfn.XLOOKUP(KD$1,$BH$2:$BR$2,$BH10:$BR10,0),0)</f>
        <v>0</v>
      </c>
      <c r="KE10" s="26">
        <f>IF(KE$2=InputTable[[#This Row],[Delivery Date]],_xlfn.XLOOKUP(KE$1,$BH$2:$BR$2,$BH10:$BR10,0),0)</f>
        <v>0</v>
      </c>
      <c r="KF10" s="26">
        <f>IF(KF$2=InputTable[[#This Row],[Delivery Date]],_xlfn.XLOOKUP(KF$1,$BH$2:$BR$2,$BH10:$BR10,0),0)</f>
        <v>0</v>
      </c>
    </row>
    <row r="11" spans="1:292" ht="39.6" hidden="1" customHeight="1" x14ac:dyDescent="0.25">
      <c r="A11" s="141"/>
      <c r="B11" s="141" t="s">
        <v>114</v>
      </c>
      <c r="C11" s="92" t="s">
        <v>59</v>
      </c>
      <c r="D11" s="125" t="s">
        <v>126</v>
      </c>
      <c r="E11" s="193" t="s">
        <v>127</v>
      </c>
      <c r="F11" s="92" t="s">
        <v>24</v>
      </c>
      <c r="G11" s="92" t="s">
        <v>97</v>
      </c>
      <c r="H11" s="92"/>
      <c r="I11" s="92" t="s">
        <v>98</v>
      </c>
      <c r="J11" s="122"/>
      <c r="K11" s="95" t="e">
        <f>VLOOKUP((InputTable[[#This Row],[Starting Date]]&amp; " - " &amp;InputTable[[#This Row],[Delivery Date]]),'System List'!$F$40:$H$83,2,FALSE)</f>
        <v>#N/A</v>
      </c>
      <c r="L11" s="95" t="e">
        <f>VLOOKUP(InputTable[[#This Row],[Duration]],Duration,2,FALSE)</f>
        <v>#N/A</v>
      </c>
      <c r="M11" s="122" t="s">
        <v>110</v>
      </c>
      <c r="N11" s="92"/>
      <c r="O11" s="92"/>
      <c r="P11" s="92"/>
      <c r="Q11" s="92" t="s">
        <v>111</v>
      </c>
      <c r="R11" s="92"/>
      <c r="S11" s="92"/>
      <c r="T11" s="95" cm="1">
        <f t="array" ref="T1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1" s="138"/>
      <c r="V11" s="92"/>
      <c r="W11" s="92"/>
      <c r="X11" s="92"/>
      <c r="Y11" s="92"/>
      <c r="Z11" s="92"/>
      <c r="AA11" s="92"/>
      <c r="AB11" s="92"/>
      <c r="AC11" s="92"/>
      <c r="AD11" s="92">
        <f>COUNTA(InputTable[[#This Row],[CORPHRFIN]:[SALES]])</f>
        <v>0</v>
      </c>
      <c r="AE11" s="88" cm="1">
        <f t="array" ref="AE11">SUM(
_xlfn.XLOOKUP(InputTable[[#This Row],[CORPHRFIN]:[SALES]],'System List'!$F$4:$F$7,'System List'!$H$4:$H$7,0))</f>
        <v>0</v>
      </c>
      <c r="AF11" s="140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88" cm="1">
        <f t="array" ref="AR11">SUM(
_xlfn.XLOOKUP(InputTable[[#This Row],[Impact on - CIAL]:[Impact on - STRAT]],'System List'!$F$4:$F$7,'System List'!$H$4:$H$7,0))</f>
        <v>0</v>
      </c>
      <c r="AS11" s="88" t="e">
        <f>VLOOKUP(InputTable[[#This Row],[Duration]],Duration,2,FALSE)+InputTable[[#This Row],[Resource Score]]</f>
        <v>#N/A</v>
      </c>
      <c r="AT1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" s="24" t="e">
        <f>InputTable[[#This Row],[Value Score]]/InputTable[[#This Row],[EFFORT SCORE]]*100</f>
        <v>#N/A</v>
      </c>
      <c r="AV11" s="25" t="str">
        <f>InputTable[[#This Row],[IS Portfolio Ref ID]]</f>
        <v>ISPRJ-105</v>
      </c>
      <c r="AW11" s="25" t="s">
        <v>128</v>
      </c>
      <c r="AX11" s="208"/>
      <c r="AY11" s="25"/>
      <c r="AZ11" s="209">
        <v>0</v>
      </c>
      <c r="BA11" s="209">
        <v>0</v>
      </c>
      <c r="BB11" s="209"/>
      <c r="BC11" s="189"/>
      <c r="BD11" s="188"/>
      <c r="BE11" s="188"/>
      <c r="BF11" s="70"/>
      <c r="BH11" s="2">
        <f>IFERROR(VLOOKUP(InputTable[[#This Row],[Impact on - CIAL]],'System List'!$F$4:$H$7,3,FALSE),0)</f>
        <v>0</v>
      </c>
      <c r="BI11" s="2">
        <f>IFERROR(VLOOKUP(InputTable[[#This Row],[Impact on - COM]],'System List'!$F$4:$H$7,3,FALSE),0)</f>
        <v>0</v>
      </c>
      <c r="BJ11" s="2">
        <f>IFERROR(VLOOKUP(InputTable[[#This Row],[Impact on - FIN]],'System List'!$F$4:$H$7,3,FALSE),0)</f>
        <v>0</v>
      </c>
      <c r="BK11" s="2">
        <f>IFERROR(VLOOKUP(InputTable[[#This Row],[Impact on - GEN SEC]],'System List'!$F$4:$H$7,3,FALSE),0)</f>
        <v>0</v>
      </c>
      <c r="BL11" s="2">
        <f>IFERROR(VLOOKUP(InputTable[[#This Row],[Impact on - HR]],'System List'!$F$4:$H$7,3,FALSE),0)</f>
        <v>0</v>
      </c>
      <c r="BM11" s="2">
        <f>IFERROR(VLOOKUP(InputTable[[#This Row],[Impact on - IS]],'System List'!$F$4:$H$7,3,FALSE),0)</f>
        <v>0</v>
      </c>
      <c r="BN11" s="2">
        <f>IFERROR(VLOOKUP(InputTable[[#This Row],[Impact on - OPS]],'System List'!$F$4:$H$7,3,FALSE),0)</f>
        <v>0</v>
      </c>
      <c r="BO11" s="2">
        <f>IFERROR(VLOOKUP(InputTable[[#This Row],[Impact on - ROLL STOCK]],'System List'!$F$4:$H$7,3,FALSE),0)</f>
        <v>0</v>
      </c>
      <c r="BP11" s="2">
        <f>IFERROR(VLOOKUP(InputTable[[#This Row],[Impact on - SAFETY]],'System List'!$F$4:$H$7,3,FALSE),0)</f>
        <v>0</v>
      </c>
      <c r="BQ11" s="2">
        <f>IFERROR(VLOOKUP(InputTable[[#This Row],[Impact on - STATION]],'System List'!$F$4:$H$7,3,FALSE),0)</f>
        <v>0</v>
      </c>
      <c r="BR11" s="2">
        <f>IFERROR(VLOOKUP(InputTable[[#This Row],[Impact on - STRAT]],'System List'!$F$4:$H$7,3,FALSE),0)</f>
        <v>0</v>
      </c>
      <c r="BT11" s="2">
        <f>IFERROR(VLOOKUP(InputTable[[#This Row],[CORPHRFIN]],'System List'!$F$4:$H$7,3,FALSE),0)</f>
        <v>0</v>
      </c>
      <c r="BU11" s="2">
        <f>IFERROR(VLOOKUP(InputTable[[#This Row],[CUST]],'System List'!$F$4:$H$7,3,FALSE),0)</f>
        <v>0</v>
      </c>
      <c r="BV11" s="2">
        <f>IFERROR(VLOOKUP(InputTable[[#This Row],[CYBER]],'System List'!$F$4:$H$7,3,FALSE),0)</f>
        <v>0</v>
      </c>
      <c r="BW11" s="2">
        <f>IFERROR(VLOOKUP(InputTable[[#This Row],[DATA]],'System List'!$F$4:$H$7,3,FALSE),0)</f>
        <v>0</v>
      </c>
      <c r="BX11" s="2">
        <f>IFERROR(VLOOKUP(InputTable[[#This Row],[INFRA]],'System List'!$F$4:$H$7,3,FALSE),0)</f>
        <v>0</v>
      </c>
      <c r="BY11" s="2">
        <f>IFERROR(VLOOKUP(InputTable[[#This Row],[OPERATIONS]],'System List'!$F$4:$H$7,3,FALSE),0)</f>
        <v>0</v>
      </c>
      <c r="BZ11" s="2">
        <f>IFERROR(VLOOKUP(InputTable[[#This Row],[PMO]],'System List'!$F$4:$H$7,3,FALSE),0)</f>
        <v>0</v>
      </c>
      <c r="CA11" s="2">
        <f>IFERROR(VLOOKUP(InputTable[[#This Row],[SALES]],'System List'!$F$4:$H$7,3,FALSE),0)</f>
        <v>0</v>
      </c>
      <c r="CC11" s="2" cm="1">
        <f t="array" ref="CC1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" s="2" cm="1">
        <f t="array" ref="CD1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" s="2" cm="1">
        <f t="array" ref="CE1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" s="2" cm="1">
        <f t="array" ref="CF1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" s="2" cm="1">
        <f t="array" ref="CG1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" s="2" cm="1">
        <f t="array" ref="CH1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" s="2" cm="1">
        <f t="array" ref="CI1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" s="2" cm="1">
        <f t="array" ref="CJ1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" s="2" cm="1">
        <f t="array" ref="CK1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" s="26">
        <f t="shared" si="74"/>
        <v>0</v>
      </c>
      <c r="CY11" s="26">
        <f t="shared" si="74"/>
        <v>0</v>
      </c>
      <c r="CZ11" s="26">
        <f t="shared" si="74"/>
        <v>0</v>
      </c>
      <c r="DA11" s="26">
        <f t="shared" si="74"/>
        <v>0</v>
      </c>
      <c r="DB11" s="26">
        <f t="shared" si="74"/>
        <v>0</v>
      </c>
      <c r="DC11" s="26">
        <f t="shared" si="74"/>
        <v>0</v>
      </c>
      <c r="DD11" s="26">
        <f t="shared" si="74"/>
        <v>0</v>
      </c>
      <c r="DE11" s="26">
        <f t="shared" si="74"/>
        <v>0</v>
      </c>
      <c r="DF11" s="26">
        <f t="shared" si="74"/>
        <v>0</v>
      </c>
      <c r="DH11" s="26">
        <f t="shared" si="11"/>
        <v>0</v>
      </c>
      <c r="DI11" s="26">
        <f t="shared" si="12"/>
        <v>0</v>
      </c>
      <c r="DJ11" s="26">
        <f t="shared" si="13"/>
        <v>0</v>
      </c>
      <c r="DK11" s="26">
        <f t="shared" si="14"/>
        <v>0</v>
      </c>
      <c r="DL11" s="26">
        <f t="shared" si="15"/>
        <v>0</v>
      </c>
      <c r="DM11" s="26">
        <f t="shared" si="16"/>
        <v>0</v>
      </c>
      <c r="DN11" s="26">
        <f t="shared" si="17"/>
        <v>0</v>
      </c>
      <c r="DO11" s="26">
        <f t="shared" si="18"/>
        <v>0</v>
      </c>
      <c r="DP11" s="26">
        <f t="shared" si="19"/>
        <v>0</v>
      </c>
      <c r="DR11" s="26">
        <f t="shared" si="20"/>
        <v>0</v>
      </c>
      <c r="DS11" s="26">
        <f t="shared" si="21"/>
        <v>0</v>
      </c>
      <c r="DT11" s="26">
        <f t="shared" si="22"/>
        <v>0</v>
      </c>
      <c r="DU11" s="26">
        <f t="shared" si="23"/>
        <v>0</v>
      </c>
      <c r="DV11" s="26">
        <f t="shared" si="24"/>
        <v>0</v>
      </c>
      <c r="DW11" s="26">
        <f t="shared" si="25"/>
        <v>0</v>
      </c>
      <c r="DX11" s="26">
        <f t="shared" si="26"/>
        <v>0</v>
      </c>
      <c r="DY11" s="26">
        <f t="shared" si="27"/>
        <v>0</v>
      </c>
      <c r="DZ11" s="26">
        <f t="shared" si="28"/>
        <v>0</v>
      </c>
      <c r="EB11" s="26">
        <f t="shared" si="29"/>
        <v>0</v>
      </c>
      <c r="EC11" s="26">
        <f t="shared" si="30"/>
        <v>0</v>
      </c>
      <c r="ED11" s="26">
        <f t="shared" si="31"/>
        <v>0</v>
      </c>
      <c r="EE11" s="26">
        <f t="shared" si="32"/>
        <v>0</v>
      </c>
      <c r="EF11" s="26">
        <f t="shared" si="33"/>
        <v>0</v>
      </c>
      <c r="EG11" s="26">
        <f t="shared" si="34"/>
        <v>0</v>
      </c>
      <c r="EH11" s="26">
        <f t="shared" si="35"/>
        <v>0</v>
      </c>
      <c r="EI11" s="26">
        <f t="shared" si="36"/>
        <v>0</v>
      </c>
      <c r="EJ11" s="26">
        <f t="shared" si="37"/>
        <v>0</v>
      </c>
      <c r="EL11" s="26">
        <f t="shared" si="38"/>
        <v>0</v>
      </c>
      <c r="EM11" s="26">
        <f t="shared" si="39"/>
        <v>0</v>
      </c>
      <c r="EN11" s="26">
        <f t="shared" si="40"/>
        <v>0</v>
      </c>
      <c r="EO11" s="26">
        <f t="shared" si="41"/>
        <v>0</v>
      </c>
      <c r="EP11" s="26">
        <f t="shared" si="42"/>
        <v>0</v>
      </c>
      <c r="EQ11" s="26">
        <f t="shared" si="43"/>
        <v>0</v>
      </c>
      <c r="ER11" s="26">
        <f t="shared" si="44"/>
        <v>0</v>
      </c>
      <c r="ES11" s="26">
        <f t="shared" si="45"/>
        <v>0</v>
      </c>
      <c r="ET11" s="26">
        <f t="shared" si="46"/>
        <v>0</v>
      </c>
      <c r="EV11" s="26">
        <f t="shared" si="47"/>
        <v>0</v>
      </c>
      <c r="EW11" s="26">
        <f t="shared" si="48"/>
        <v>0</v>
      </c>
      <c r="EX11" s="26">
        <f t="shared" si="49"/>
        <v>0</v>
      </c>
      <c r="EY11" s="26">
        <f t="shared" si="50"/>
        <v>0</v>
      </c>
      <c r="EZ11" s="26">
        <f t="shared" si="51"/>
        <v>0</v>
      </c>
      <c r="FA11" s="26">
        <f t="shared" si="52"/>
        <v>0</v>
      </c>
      <c r="FB11" s="26">
        <f t="shared" si="53"/>
        <v>0</v>
      </c>
      <c r="FC11" s="26">
        <f t="shared" si="54"/>
        <v>0</v>
      </c>
      <c r="FD11" s="26">
        <f t="shared" si="55"/>
        <v>0</v>
      </c>
      <c r="FF11" s="26">
        <f t="shared" si="56"/>
        <v>0</v>
      </c>
      <c r="FG11" s="26">
        <f t="shared" si="57"/>
        <v>0</v>
      </c>
      <c r="FH11" s="26">
        <f t="shared" si="58"/>
        <v>0</v>
      </c>
      <c r="FI11" s="26">
        <f t="shared" si="59"/>
        <v>0</v>
      </c>
      <c r="FJ11" s="26">
        <f t="shared" si="60"/>
        <v>0</v>
      </c>
      <c r="FK11" s="26">
        <f t="shared" si="61"/>
        <v>0</v>
      </c>
      <c r="FL11" s="26">
        <f t="shared" si="62"/>
        <v>0</v>
      </c>
      <c r="FM11" s="26">
        <f t="shared" si="63"/>
        <v>0</v>
      </c>
      <c r="FN11" s="26">
        <f t="shared" si="64"/>
        <v>0</v>
      </c>
      <c r="FP11" s="26" t="e">
        <f t="shared" si="65"/>
        <v>#REF!</v>
      </c>
      <c r="FQ11" s="26" t="e">
        <f t="shared" si="66"/>
        <v>#REF!</v>
      </c>
      <c r="FR11" s="26" t="e">
        <f t="shared" si="67"/>
        <v>#REF!</v>
      </c>
      <c r="FS11" s="26" t="e">
        <f t="shared" si="68"/>
        <v>#REF!</v>
      </c>
      <c r="FT11" s="26" t="e">
        <f t="shared" si="69"/>
        <v>#REF!</v>
      </c>
      <c r="FU11" s="26" t="e">
        <f t="shared" si="70"/>
        <v>#REF!</v>
      </c>
      <c r="FV11" s="26" t="e">
        <f t="shared" si="71"/>
        <v>#REF!</v>
      </c>
      <c r="FW11" s="26" t="e">
        <f t="shared" si="72"/>
        <v>#REF!</v>
      </c>
      <c r="FX11" s="26" t="e">
        <f t="shared" si="73"/>
        <v>#REF!</v>
      </c>
      <c r="GB11" s="26" t="e">
        <f>IF(GB$2=InputTable[[#This Row],[Delivery Date]],_xlfn.XLOOKUP(GB$1,$BH$2:$BR$2,$BH11:$BR11,0),0)</f>
        <v>#REF!</v>
      </c>
      <c r="GC11" s="26">
        <f>IF(GC$2=InputTable[[#This Row],[Delivery Date]],_xlfn.XLOOKUP(GC$1,$BH$2:$BR$2,$BH11:$BR11,0),0)</f>
        <v>0</v>
      </c>
      <c r="GD11" s="26">
        <f>IF(GD$2=InputTable[[#This Row],[Delivery Date]],_xlfn.XLOOKUP(GD$1,$BH$2:$BR$2,$BH11:$BR11,0),0)</f>
        <v>0</v>
      </c>
      <c r="GE11" s="26">
        <f>IF(GE$2=InputTable[[#This Row],[Delivery Date]],_xlfn.XLOOKUP(GE$1,$BH$2:$BR$2,$BH11:$BR11,0),0)</f>
        <v>0</v>
      </c>
      <c r="GF11" s="26">
        <f>IF(GF$2=InputTable[[#This Row],[Delivery Date]],_xlfn.XLOOKUP(GF$1,$BH$2:$BR$2,$BH11:$BR11,0),0)</f>
        <v>0</v>
      </c>
      <c r="GG11" s="26">
        <f>IF(GG$2=InputTable[[#This Row],[Delivery Date]],_xlfn.XLOOKUP(GG$1,$BH$2:$BR$2,$BH11:$BR11,0),0)</f>
        <v>0</v>
      </c>
      <c r="GH11" s="26">
        <f>IF(GH$2=InputTable[[#This Row],[Delivery Date]],_xlfn.XLOOKUP(GH$1,$BH$2:$BR$2,$BH11:$BR11,0),0)</f>
        <v>0</v>
      </c>
      <c r="GI11" s="26">
        <f>IF(GI$2=InputTable[[#This Row],[Delivery Date]],_xlfn.XLOOKUP(GI$1,$BH$2:$BR$2,$BH11:$BR11,0),0)</f>
        <v>0</v>
      </c>
      <c r="GJ11" s="26">
        <f>IF(GJ$2=InputTable[[#This Row],[Delivery Date]],_xlfn.XLOOKUP(GJ$1,$BH$2:$BR$2,$BH11:$BR11,0),0)</f>
        <v>0</v>
      </c>
      <c r="GL11" s="26" t="e">
        <f>IF(GL$2=InputTable[[#This Row],[Delivery Date]],_xlfn.XLOOKUP(GL$1,$BH$2:$BR$2,$BH11:$BR11,0),0)</f>
        <v>#REF!</v>
      </c>
      <c r="GM11" s="26">
        <f>IF(GM$2=InputTable[[#This Row],[Delivery Date]],_xlfn.XLOOKUP(GM$1,$BH$2:$BR$2,$BH11:$BR11,0),0)</f>
        <v>0</v>
      </c>
      <c r="GN11" s="26">
        <f>IF(GN$2=InputTable[[#This Row],[Delivery Date]],_xlfn.XLOOKUP(GN$1,$BH$2:$BR$2,$BH11:$BR11,0),0)</f>
        <v>0</v>
      </c>
      <c r="GO11" s="26">
        <f>IF(GO$2=InputTable[[#This Row],[Delivery Date]],_xlfn.XLOOKUP(GO$1,$BH$2:$BR$2,$BH11:$BR11,0),0)</f>
        <v>0</v>
      </c>
      <c r="GP11" s="26">
        <f>IF(GP$2=InputTable[[#This Row],[Delivery Date]],_xlfn.XLOOKUP(GP$1,$BH$2:$BR$2,$BH11:$BR11,0),0)</f>
        <v>0</v>
      </c>
      <c r="GQ11" s="26">
        <f>IF(GQ$2=InputTable[[#This Row],[Delivery Date]],_xlfn.XLOOKUP(GQ$1,$BH$2:$BR$2,$BH11:$BR11,0),0)</f>
        <v>0</v>
      </c>
      <c r="GR11" s="26">
        <f>IF(GR$2=InputTable[[#This Row],[Delivery Date]],_xlfn.XLOOKUP(GR$1,$BH$2:$BR$2,$BH11:$BR11,0),0)</f>
        <v>0</v>
      </c>
      <c r="GS11" s="26">
        <f>IF(GS$2=InputTable[[#This Row],[Delivery Date]],_xlfn.XLOOKUP(GS$1,$BH$2:$BR$2,$BH11:$BR11,0),0)</f>
        <v>0</v>
      </c>
      <c r="GT11" s="26">
        <f>IF(GT$2=InputTable[[#This Row],[Delivery Date]],_xlfn.XLOOKUP(GT$1,$BH$2:$BR$2,$BH11:$BR11,0),0)</f>
        <v>0</v>
      </c>
      <c r="GV11" s="26" t="e">
        <f>IF(GV$2=InputTable[[#This Row],[Delivery Date]],_xlfn.XLOOKUP(GV$1,$BH$2:$BR$2,$BH11:$BR11,0),0)</f>
        <v>#REF!</v>
      </c>
      <c r="GW11" s="26">
        <f>IF(GW$2=InputTable[[#This Row],[Delivery Date]],_xlfn.XLOOKUP(GW$1,$BH$2:$BR$2,$BH11:$BR11,0),0)</f>
        <v>0</v>
      </c>
      <c r="GX11" s="26">
        <f>IF(GX$2=InputTable[[#This Row],[Delivery Date]],_xlfn.XLOOKUP(GX$1,$BH$2:$BR$2,$BH11:$BR11,0),0)</f>
        <v>0</v>
      </c>
      <c r="GY11" s="26">
        <f>IF(GY$2=InputTable[[#This Row],[Delivery Date]],_xlfn.XLOOKUP(GY$1,$BH$2:$BR$2,$BH11:$BR11,0),0)</f>
        <v>0</v>
      </c>
      <c r="GZ11" s="26">
        <f>IF(GZ$2=InputTable[[#This Row],[Delivery Date]],_xlfn.XLOOKUP(GZ$1,$BH$2:$BR$2,$BH11:$BR11,0),0)</f>
        <v>0</v>
      </c>
      <c r="HA11" s="26">
        <f>IF(HA$2=InputTable[[#This Row],[Delivery Date]],_xlfn.XLOOKUP(HA$1,$BH$2:$BR$2,$BH11:$BR11,0),0)</f>
        <v>0</v>
      </c>
      <c r="HB11" s="26">
        <f>IF(HB$2=InputTable[[#This Row],[Delivery Date]],_xlfn.XLOOKUP(HB$1,$BH$2:$BR$2,$BH11:$BR11,0),0)</f>
        <v>0</v>
      </c>
      <c r="HC11" s="26">
        <f>IF(HC$2=InputTable[[#This Row],[Delivery Date]],_xlfn.XLOOKUP(HC$1,$BH$2:$BR$2,$BH11:$BR11,0),0)</f>
        <v>0</v>
      </c>
      <c r="HD11" s="26">
        <f>IF(HD$2=InputTable[[#This Row],[Delivery Date]],_xlfn.XLOOKUP(HD$1,$BH$2:$BR$2,$BH11:$BR11,0),0)</f>
        <v>0</v>
      </c>
      <c r="HF11" s="26" t="e">
        <f>IF(HF$2=InputTable[[#This Row],[Delivery Date]],_xlfn.XLOOKUP(HF$1,$BH$2:$BR$2,$BH11:$BR11,0),0)</f>
        <v>#REF!</v>
      </c>
      <c r="HG11" s="26">
        <f>IF(HG$2=InputTable[[#This Row],[Delivery Date]],_xlfn.XLOOKUP(HG$1,$BH$2:$BR$2,$BH11:$BR11,0),0)</f>
        <v>0</v>
      </c>
      <c r="HH11" s="26">
        <f>IF(HH$2=InputTable[[#This Row],[Delivery Date]],_xlfn.XLOOKUP(HH$1,$BH$2:$BR$2,$BH11:$BR11,0),0)</f>
        <v>0</v>
      </c>
      <c r="HI11" s="26">
        <f>IF(HI$2=InputTable[[#This Row],[Delivery Date]],_xlfn.XLOOKUP(HI$1,$BH$2:$BR$2,$BH11:$BR11,0),0)</f>
        <v>0</v>
      </c>
      <c r="HJ11" s="26">
        <f>IF(HJ$2=InputTable[[#This Row],[Delivery Date]],_xlfn.XLOOKUP(HJ$1,$BH$2:$BR$2,$BH11:$BR11,0),0)</f>
        <v>0</v>
      </c>
      <c r="HK11" s="26">
        <f>IF(HK$2=InputTable[[#This Row],[Delivery Date]],_xlfn.XLOOKUP(HK$1,$BH$2:$BR$2,$BH11:$BR11,0),0)</f>
        <v>0</v>
      </c>
      <c r="HL11" s="26">
        <f>IF(HL$2=InputTable[[#This Row],[Delivery Date]],_xlfn.XLOOKUP(HL$1,$BH$2:$BR$2,$BH11:$BR11,0),0)</f>
        <v>0</v>
      </c>
      <c r="HM11" s="26">
        <f>IF(HM$2=InputTable[[#This Row],[Delivery Date]],_xlfn.XLOOKUP(HM$1,$BH$2:$BR$2,$BH11:$BR11,0),0)</f>
        <v>0</v>
      </c>
      <c r="HN11" s="26">
        <f>IF(HN$2=InputTable[[#This Row],[Delivery Date]],_xlfn.XLOOKUP(HN$1,$BH$2:$BR$2,$BH11:$BR11,0),0)</f>
        <v>0</v>
      </c>
      <c r="HP11" s="26" t="e">
        <f>IF(HP$2=InputTable[[#This Row],[Delivery Date]],_xlfn.XLOOKUP(HP$1,$BH$2:$BR$2,$BH11:$BR11,0),0)</f>
        <v>#REF!</v>
      </c>
      <c r="HQ11" s="26">
        <f>IF(HQ$2=InputTable[[#This Row],[Delivery Date]],_xlfn.XLOOKUP(HQ$1,$BH$2:$BR$2,$BH11:$BR11,0),0)</f>
        <v>0</v>
      </c>
      <c r="HR11" s="26">
        <f>IF(HR$2=InputTable[[#This Row],[Delivery Date]],_xlfn.XLOOKUP(HR$1,$BH$2:$BR$2,$BH11:$BR11,0),0)</f>
        <v>0</v>
      </c>
      <c r="HS11" s="26">
        <f>IF(HS$2=InputTable[[#This Row],[Delivery Date]],_xlfn.XLOOKUP(HS$1,$BH$2:$BR$2,$BH11:$BR11,0),0)</f>
        <v>0</v>
      </c>
      <c r="HT11" s="26">
        <f>IF(HT$2=InputTable[[#This Row],[Delivery Date]],_xlfn.XLOOKUP(HT$1,$BH$2:$BR$2,$BH11:$BR11,0),0)</f>
        <v>0</v>
      </c>
      <c r="HU11" s="26">
        <f>IF(HU$2=InputTable[[#This Row],[Delivery Date]],_xlfn.XLOOKUP(HU$1,$BH$2:$BR$2,$BH11:$BR11,0),0)</f>
        <v>0</v>
      </c>
      <c r="HV11" s="26">
        <f>IF(HV$2=InputTable[[#This Row],[Delivery Date]],_xlfn.XLOOKUP(HV$1,$BH$2:$BR$2,$BH11:$BR11,0),0)</f>
        <v>0</v>
      </c>
      <c r="HW11" s="26">
        <f>IF(HW$2=InputTable[[#This Row],[Delivery Date]],_xlfn.XLOOKUP(HW$1,$BH$2:$BR$2,$BH11:$BR11,0),0)</f>
        <v>0</v>
      </c>
      <c r="HX11" s="26">
        <f>IF(HX$2=InputTable[[#This Row],[Delivery Date]],_xlfn.XLOOKUP(HX$1,$BH$2:$BR$2,$BH11:$BR11,0),0)</f>
        <v>0</v>
      </c>
      <c r="HZ11" s="26" t="e">
        <f>IF(HZ$2=InputTable[[#This Row],[Delivery Date]],_xlfn.XLOOKUP(HZ$1,$BH$2:$BR$2,$BH11:$BR11,0),0)</f>
        <v>#REF!</v>
      </c>
      <c r="IA11" s="26">
        <f>IF(IA$2=InputTable[[#This Row],[Delivery Date]],_xlfn.XLOOKUP(IA$1,$BH$2:$BR$2,$BH11:$BR11,0),0)</f>
        <v>0</v>
      </c>
      <c r="IB11" s="26">
        <f>IF(IB$2=InputTable[[#This Row],[Delivery Date]],_xlfn.XLOOKUP(IB$1,$BH$2:$BR$2,$BH11:$BR11,0),0)</f>
        <v>0</v>
      </c>
      <c r="IC11" s="26">
        <f>IF(IC$2=InputTable[[#This Row],[Delivery Date]],_xlfn.XLOOKUP(IC$1,$BH$2:$BR$2,$BH11:$BR11,0),0)</f>
        <v>0</v>
      </c>
      <c r="ID11" s="26">
        <f>IF(ID$2=InputTable[[#This Row],[Delivery Date]],_xlfn.XLOOKUP(ID$1,$BH$2:$BR$2,$BH11:$BR11,0),0)</f>
        <v>0</v>
      </c>
      <c r="IE11" s="26">
        <f>IF(IE$2=InputTable[[#This Row],[Delivery Date]],_xlfn.XLOOKUP(IE$1,$BH$2:$BR$2,$BH11:$BR11,0),0)</f>
        <v>0</v>
      </c>
      <c r="IF11" s="26">
        <f>IF(IF$2=InputTable[[#This Row],[Delivery Date]],_xlfn.XLOOKUP(IF$1,$BH$2:$BR$2,$BH11:$BR11,0),0)</f>
        <v>0</v>
      </c>
      <c r="IG11" s="26">
        <f>IF(IG$2=InputTable[[#This Row],[Delivery Date]],_xlfn.XLOOKUP(IG$1,$BH$2:$BR$2,$BH11:$BR11,0),0)</f>
        <v>0</v>
      </c>
      <c r="IH11" s="26">
        <f>IF(IH$2=InputTable[[#This Row],[Delivery Date]],_xlfn.XLOOKUP(IH$1,$BH$2:$BR$2,$BH11:$BR11,0),0)</f>
        <v>0</v>
      </c>
      <c r="IJ11" s="26" t="e">
        <f>IF(IJ$2=InputTable[[#This Row],[Delivery Date]],_xlfn.XLOOKUP(IJ$1,$BH$2:$BR$2,$BH11:$BR11,0),0)</f>
        <v>#REF!</v>
      </c>
      <c r="IK11" s="26">
        <f>IF(IK$2=InputTable[[#This Row],[Delivery Date]],_xlfn.XLOOKUP(IK$1,$BH$2:$BR$2,$BH11:$BR11,0),0)</f>
        <v>0</v>
      </c>
      <c r="IL11" s="26">
        <f>IF(IL$2=InputTable[[#This Row],[Delivery Date]],_xlfn.XLOOKUP(IL$1,$BH$2:$BR$2,$BH11:$BR11,0),0)</f>
        <v>0</v>
      </c>
      <c r="IM11" s="26">
        <f>IF(IM$2=InputTable[[#This Row],[Delivery Date]],_xlfn.XLOOKUP(IM$1,$BH$2:$BR$2,$BH11:$BR11,0),0)</f>
        <v>0</v>
      </c>
      <c r="IN11" s="26">
        <f>IF(IN$2=InputTable[[#This Row],[Delivery Date]],_xlfn.XLOOKUP(IN$1,$BH$2:$BR$2,$BH11:$BR11,0),0)</f>
        <v>0</v>
      </c>
      <c r="IO11" s="26">
        <f>IF(IO$2=InputTable[[#This Row],[Delivery Date]],_xlfn.XLOOKUP(IO$1,$BH$2:$BR$2,$BH11:$BR11,0),0)</f>
        <v>0</v>
      </c>
      <c r="IP11" s="26">
        <f>IF(IP$2=InputTable[[#This Row],[Delivery Date]],_xlfn.XLOOKUP(IP$1,$BH$2:$BR$2,$BH11:$BR11,0),0)</f>
        <v>0</v>
      </c>
      <c r="IQ11" s="26">
        <f>IF(IQ$2=InputTable[[#This Row],[Delivery Date]],_xlfn.XLOOKUP(IQ$1,$BH$2:$BR$2,$BH11:$BR11,0),0)</f>
        <v>0</v>
      </c>
      <c r="IR11" s="26">
        <f>IF(IR$2=InputTable[[#This Row],[Delivery Date]],_xlfn.XLOOKUP(IR$1,$BH$2:$BR$2,$BH11:$BR11,0),0)</f>
        <v>0</v>
      </c>
      <c r="IT11" s="26" t="e">
        <f>IF(IT$2=InputTable[[#This Row],[Delivery Date]],_xlfn.XLOOKUP(IT$1,$BH$2:$BR$2,$BH11:$BR11,0),0)</f>
        <v>#REF!</v>
      </c>
      <c r="IU11" s="26">
        <f>IF(IU$2=InputTable[[#This Row],[Delivery Date]],_xlfn.XLOOKUP(IU$1,$BH$2:$BR$2,$BH11:$BR11,0),0)</f>
        <v>0</v>
      </c>
      <c r="IV11" s="26">
        <f>IF(IV$2=InputTable[[#This Row],[Delivery Date]],_xlfn.XLOOKUP(IV$1,$BH$2:$BR$2,$BH11:$BR11,0),0)</f>
        <v>0</v>
      </c>
      <c r="IW11" s="26">
        <f>IF(IW$2=InputTable[[#This Row],[Delivery Date]],_xlfn.XLOOKUP(IW$1,$BH$2:$BR$2,$BH11:$BR11,0),0)</f>
        <v>0</v>
      </c>
      <c r="IX11" s="26">
        <f>IF(IX$2=InputTable[[#This Row],[Delivery Date]],_xlfn.XLOOKUP(IX$1,$BH$2:$BR$2,$BH11:$BR11,0),0)</f>
        <v>0</v>
      </c>
      <c r="IY11" s="26">
        <f>IF(IY$2=InputTable[[#This Row],[Delivery Date]],_xlfn.XLOOKUP(IY$1,$BH$2:$BR$2,$BH11:$BR11,0),0)</f>
        <v>0</v>
      </c>
      <c r="IZ11" s="26">
        <f>IF(IZ$2=InputTable[[#This Row],[Delivery Date]],_xlfn.XLOOKUP(IZ$1,$BH$2:$BR$2,$BH11:$BR11,0),0)</f>
        <v>0</v>
      </c>
      <c r="JA11" s="26">
        <f>IF(JA$2=InputTable[[#This Row],[Delivery Date]],_xlfn.XLOOKUP(JA$1,$BH$2:$BR$2,$BH11:$BR11,0),0)</f>
        <v>0</v>
      </c>
      <c r="JB11" s="26">
        <f>IF(JB$2=InputTable[[#This Row],[Delivery Date]],_xlfn.XLOOKUP(JB$1,$BH$2:$BR$2,$BH11:$BR11,0),0)</f>
        <v>0</v>
      </c>
      <c r="JD11" s="26" t="e">
        <f>IF(JD$2=InputTable[[#This Row],[Delivery Date]],_xlfn.XLOOKUP(JD$1,$BH$2:$BR$2,$BH11:$BR11,0),0)</f>
        <v>#REF!</v>
      </c>
      <c r="JE11" s="26">
        <f>IF(JE$2=InputTable[[#This Row],[Delivery Date]],_xlfn.XLOOKUP(JE$1,$BH$2:$BR$2,$BH11:$BR11,0),0)</f>
        <v>0</v>
      </c>
      <c r="JF11" s="26">
        <f>IF(JF$2=InputTable[[#This Row],[Delivery Date]],_xlfn.XLOOKUP(JF$1,$BH$2:$BR$2,$BH11:$BR11,0),0)</f>
        <v>0</v>
      </c>
      <c r="JG11" s="26">
        <f>IF(JG$2=InputTable[[#This Row],[Delivery Date]],_xlfn.XLOOKUP(JG$1,$BH$2:$BR$2,$BH11:$BR11,0),0)</f>
        <v>0</v>
      </c>
      <c r="JH11" s="26">
        <f>IF(JH$2=InputTable[[#This Row],[Delivery Date]],_xlfn.XLOOKUP(JH$1,$BH$2:$BR$2,$BH11:$BR11,0),0)</f>
        <v>0</v>
      </c>
      <c r="JI11" s="26">
        <f>IF(JI$2=InputTable[[#This Row],[Delivery Date]],_xlfn.XLOOKUP(JI$1,$BH$2:$BR$2,$BH11:$BR11,0),0)</f>
        <v>0</v>
      </c>
      <c r="JJ11" s="26">
        <f>IF(JJ$2=InputTable[[#This Row],[Delivery Date]],_xlfn.XLOOKUP(JJ$1,$BH$2:$BR$2,$BH11:$BR11,0),0)</f>
        <v>0</v>
      </c>
      <c r="JK11" s="26">
        <f>IF(JK$2=InputTable[[#This Row],[Delivery Date]],_xlfn.XLOOKUP(JK$1,$BH$2:$BR$2,$BH11:$BR11,0),0)</f>
        <v>0</v>
      </c>
      <c r="JL11" s="26">
        <f>IF(JL$2=InputTable[[#This Row],[Delivery Date]],_xlfn.XLOOKUP(JL$1,$BH$2:$BR$2,$BH11:$BR11,0),0)</f>
        <v>0</v>
      </c>
      <c r="JN11" s="26" t="e">
        <f>IF(JN$2=InputTable[[#This Row],[Delivery Date]],_xlfn.XLOOKUP(JN$1,$BH$2:$BR$2,$BH11:$BR11,0),0)</f>
        <v>#REF!</v>
      </c>
      <c r="JO11" s="26">
        <f>IF(JO$2=InputTable[[#This Row],[Delivery Date]],_xlfn.XLOOKUP(JO$1,$BH$2:$BR$2,$BH11:$BR11,0),0)</f>
        <v>0</v>
      </c>
      <c r="JP11" s="26">
        <f>IF(JP$2=InputTable[[#This Row],[Delivery Date]],_xlfn.XLOOKUP(JP$1,$BH$2:$BR$2,$BH11:$BR11,0),0)</f>
        <v>0</v>
      </c>
      <c r="JQ11" s="26">
        <f>IF(JQ$2=InputTable[[#This Row],[Delivery Date]],_xlfn.XLOOKUP(JQ$1,$BH$2:$BR$2,$BH11:$BR11,0),0)</f>
        <v>0</v>
      </c>
      <c r="JR11" s="26">
        <f>IF(JR$2=InputTable[[#This Row],[Delivery Date]],_xlfn.XLOOKUP(JR$1,$BH$2:$BR$2,$BH11:$BR11,0),0)</f>
        <v>0</v>
      </c>
      <c r="JS11" s="26">
        <f>IF(JS$2=InputTable[[#This Row],[Delivery Date]],_xlfn.XLOOKUP(JS$1,$BH$2:$BR$2,$BH11:$BR11,0),0)</f>
        <v>0</v>
      </c>
      <c r="JT11" s="26">
        <f>IF(JT$2=InputTable[[#This Row],[Delivery Date]],_xlfn.XLOOKUP(JT$1,$BH$2:$BR$2,$BH11:$BR11,0),0)</f>
        <v>0</v>
      </c>
      <c r="JU11" s="26">
        <f>IF(JU$2=InputTable[[#This Row],[Delivery Date]],_xlfn.XLOOKUP(JU$1,$BH$2:$BR$2,$BH11:$BR11,0),0)</f>
        <v>0</v>
      </c>
      <c r="JV11" s="26">
        <f>IF(JV$2=InputTable[[#This Row],[Delivery Date]],_xlfn.XLOOKUP(JV$1,$BH$2:$BR$2,$BH11:$BR11,0),0)</f>
        <v>0</v>
      </c>
      <c r="JX11" s="26" t="e">
        <f>IF(JX$2=InputTable[[#This Row],[Delivery Date]],_xlfn.XLOOKUP(JX$1,$BH$2:$BR$2,$BH11:$BR11,0),0)</f>
        <v>#REF!</v>
      </c>
      <c r="JY11" s="26">
        <f>IF(JY$2=InputTable[[#This Row],[Delivery Date]],_xlfn.XLOOKUP(JY$1,$BH$2:$BR$2,$BH11:$BR11,0),0)</f>
        <v>0</v>
      </c>
      <c r="JZ11" s="26">
        <f>IF(JZ$2=InputTable[[#This Row],[Delivery Date]],_xlfn.XLOOKUP(JZ$1,$BH$2:$BR$2,$BH11:$BR11,0),0)</f>
        <v>0</v>
      </c>
      <c r="KA11" s="26">
        <f>IF(KA$2=InputTable[[#This Row],[Delivery Date]],_xlfn.XLOOKUP(KA$1,$BH$2:$BR$2,$BH11:$BR11,0),0)</f>
        <v>0</v>
      </c>
      <c r="KB11" s="26">
        <f>IF(KB$2=InputTable[[#This Row],[Delivery Date]],_xlfn.XLOOKUP(KB$1,$BH$2:$BR$2,$BH11:$BR11,0),0)</f>
        <v>0</v>
      </c>
      <c r="KC11" s="26">
        <f>IF(KC$2=InputTable[[#This Row],[Delivery Date]],_xlfn.XLOOKUP(KC$1,$BH$2:$BR$2,$BH11:$BR11,0),0)</f>
        <v>0</v>
      </c>
      <c r="KD11" s="26">
        <f>IF(KD$2=InputTable[[#This Row],[Delivery Date]],_xlfn.XLOOKUP(KD$1,$BH$2:$BR$2,$BH11:$BR11,0),0)</f>
        <v>0</v>
      </c>
      <c r="KE11" s="26">
        <f>IF(KE$2=InputTable[[#This Row],[Delivery Date]],_xlfn.XLOOKUP(KE$1,$BH$2:$BR$2,$BH11:$BR11,0),0)</f>
        <v>0</v>
      </c>
      <c r="KF11" s="26">
        <f>IF(KF$2=InputTable[[#This Row],[Delivery Date]],_xlfn.XLOOKUP(KF$1,$BH$2:$BR$2,$BH11:$BR11,0),0)</f>
        <v>0</v>
      </c>
    </row>
    <row r="12" spans="1:292" ht="39.6" hidden="1" customHeight="1" x14ac:dyDescent="0.25">
      <c r="A12" s="141"/>
      <c r="B12" s="141" t="s">
        <v>114</v>
      </c>
      <c r="C12" s="92" t="s">
        <v>57</v>
      </c>
      <c r="D12" s="125" t="s">
        <v>129</v>
      </c>
      <c r="E12" s="193" t="s">
        <v>130</v>
      </c>
      <c r="F12" s="92" t="s">
        <v>96</v>
      </c>
      <c r="G12" s="92" t="s">
        <v>97</v>
      </c>
      <c r="H12" s="92"/>
      <c r="I12" s="92" t="s">
        <v>98</v>
      </c>
      <c r="J12" s="122"/>
      <c r="K12" s="95" t="e">
        <f>VLOOKUP((InputTable[[#This Row],[Starting Date]]&amp; " - " &amp;InputTable[[#This Row],[Delivery Date]]),'System List'!$F$40:$H$83,2,FALSE)</f>
        <v>#N/A</v>
      </c>
      <c r="L12" s="95" t="e">
        <f>VLOOKUP(InputTable[[#This Row],[Duration]],Duration,2,FALSE)</f>
        <v>#N/A</v>
      </c>
      <c r="M12" s="122" t="s">
        <v>110</v>
      </c>
      <c r="N12" s="92"/>
      <c r="O12" s="92"/>
      <c r="P12" s="92"/>
      <c r="Q12" s="92" t="s">
        <v>111</v>
      </c>
      <c r="R12" s="92"/>
      <c r="S12" s="92"/>
      <c r="T12" s="95" cm="1">
        <f t="array" ref="T1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2" s="138"/>
      <c r="V12" s="92"/>
      <c r="W12" s="92"/>
      <c r="X12" s="92"/>
      <c r="Y12" s="92"/>
      <c r="Z12" s="92"/>
      <c r="AA12" s="92"/>
      <c r="AB12" s="92"/>
      <c r="AC12" s="92"/>
      <c r="AD12" s="92">
        <f>COUNTA(InputTable[[#This Row],[CORPHRFIN]:[SALES]])</f>
        <v>0</v>
      </c>
      <c r="AE12" s="88" cm="1">
        <f t="array" ref="AE12">SUM(
_xlfn.XLOOKUP(InputTable[[#This Row],[CORPHRFIN]:[SALES]],'System List'!$F$4:$F$7,'System List'!$H$4:$H$7,0))</f>
        <v>0</v>
      </c>
      <c r="AF12" s="140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88" cm="1">
        <f t="array" ref="AR12">SUM(
_xlfn.XLOOKUP(InputTable[[#This Row],[Impact on - CIAL]:[Impact on - STRAT]],'System List'!$F$4:$F$7,'System List'!$H$4:$H$7,0))</f>
        <v>0</v>
      </c>
      <c r="AS12" s="88" t="e">
        <f>VLOOKUP(InputTable[[#This Row],[Duration]],Duration,2,FALSE)+InputTable[[#This Row],[Resource Score]]</f>
        <v>#N/A</v>
      </c>
      <c r="AT1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" s="24" t="e">
        <f>InputTable[[#This Row],[Value Score]]/InputTable[[#This Row],[EFFORT SCORE]]*100</f>
        <v>#N/A</v>
      </c>
      <c r="AV12" s="25" t="str">
        <f>InputTable[[#This Row],[IS Portfolio Ref ID]]</f>
        <v>ISPRJ-106</v>
      </c>
      <c r="AW12" s="25" t="s">
        <v>131</v>
      </c>
      <c r="AX12" s="208"/>
      <c r="AY12" s="25"/>
      <c r="AZ12" s="209">
        <v>0</v>
      </c>
      <c r="BA12" s="209">
        <v>0</v>
      </c>
      <c r="BB12" s="209"/>
      <c r="BC12" s="189"/>
      <c r="BD12" s="188"/>
      <c r="BE12" s="188"/>
      <c r="BF12" s="70"/>
      <c r="BH12" s="2">
        <f>IFERROR(VLOOKUP(InputTable[[#This Row],[Impact on - CIAL]],'System List'!$F$4:$H$7,3,FALSE),0)</f>
        <v>0</v>
      </c>
      <c r="BI12" s="2">
        <f>IFERROR(VLOOKUP(InputTable[[#This Row],[Impact on - COM]],'System List'!$F$4:$H$7,3,FALSE),0)</f>
        <v>0</v>
      </c>
      <c r="BJ12" s="2">
        <f>IFERROR(VLOOKUP(InputTable[[#This Row],[Impact on - FIN]],'System List'!$F$4:$H$7,3,FALSE),0)</f>
        <v>0</v>
      </c>
      <c r="BK12" s="2">
        <f>IFERROR(VLOOKUP(InputTable[[#This Row],[Impact on - GEN SEC]],'System List'!$F$4:$H$7,3,FALSE),0)</f>
        <v>0</v>
      </c>
      <c r="BL12" s="2">
        <f>IFERROR(VLOOKUP(InputTable[[#This Row],[Impact on - HR]],'System List'!$F$4:$H$7,3,FALSE),0)</f>
        <v>0</v>
      </c>
      <c r="BM12" s="2">
        <f>IFERROR(VLOOKUP(InputTable[[#This Row],[Impact on - IS]],'System List'!$F$4:$H$7,3,FALSE),0)</f>
        <v>0</v>
      </c>
      <c r="BN12" s="2">
        <f>IFERROR(VLOOKUP(InputTable[[#This Row],[Impact on - OPS]],'System List'!$F$4:$H$7,3,FALSE),0)</f>
        <v>0</v>
      </c>
      <c r="BO12" s="2">
        <f>IFERROR(VLOOKUP(InputTable[[#This Row],[Impact on - ROLL STOCK]],'System List'!$F$4:$H$7,3,FALSE),0)</f>
        <v>0</v>
      </c>
      <c r="BP12" s="2">
        <f>IFERROR(VLOOKUP(InputTable[[#This Row],[Impact on - SAFETY]],'System List'!$F$4:$H$7,3,FALSE),0)</f>
        <v>0</v>
      </c>
      <c r="BQ12" s="2">
        <f>IFERROR(VLOOKUP(InputTable[[#This Row],[Impact on - STATION]],'System List'!$F$4:$H$7,3,FALSE),0)</f>
        <v>0</v>
      </c>
      <c r="BR12" s="2">
        <f>IFERROR(VLOOKUP(InputTable[[#This Row],[Impact on - STRAT]],'System List'!$F$4:$H$7,3,FALSE),0)</f>
        <v>0</v>
      </c>
      <c r="BT12" s="2">
        <f>IFERROR(VLOOKUP(InputTable[[#This Row],[CORPHRFIN]],'System List'!$F$4:$H$7,3,FALSE),0)</f>
        <v>0</v>
      </c>
      <c r="BU12" s="2">
        <f>IFERROR(VLOOKUP(InputTable[[#This Row],[CUST]],'System List'!$F$4:$H$7,3,FALSE),0)</f>
        <v>0</v>
      </c>
      <c r="BV12" s="2">
        <f>IFERROR(VLOOKUP(InputTable[[#This Row],[CYBER]],'System List'!$F$4:$H$7,3,FALSE),0)</f>
        <v>0</v>
      </c>
      <c r="BW12" s="2">
        <f>IFERROR(VLOOKUP(InputTable[[#This Row],[DATA]],'System List'!$F$4:$H$7,3,FALSE),0)</f>
        <v>0</v>
      </c>
      <c r="BX12" s="2">
        <f>IFERROR(VLOOKUP(InputTable[[#This Row],[INFRA]],'System List'!$F$4:$H$7,3,FALSE),0)</f>
        <v>0</v>
      </c>
      <c r="BY12" s="2">
        <f>IFERROR(VLOOKUP(InputTable[[#This Row],[OPERATIONS]],'System List'!$F$4:$H$7,3,FALSE),0)</f>
        <v>0</v>
      </c>
      <c r="BZ12" s="2">
        <f>IFERROR(VLOOKUP(InputTable[[#This Row],[PMO]],'System List'!$F$4:$H$7,3,FALSE),0)</f>
        <v>0</v>
      </c>
      <c r="CA12" s="2">
        <f>IFERROR(VLOOKUP(InputTable[[#This Row],[SALES]],'System List'!$F$4:$H$7,3,FALSE),0)</f>
        <v>0</v>
      </c>
      <c r="CC12" s="2" cm="1">
        <f t="array" ref="CC1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" s="2" cm="1">
        <f t="array" ref="CD1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" s="2" cm="1">
        <f t="array" ref="CE1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" s="2" cm="1">
        <f t="array" ref="CF1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" s="2" cm="1">
        <f t="array" ref="CG1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" s="2" cm="1">
        <f t="array" ref="CH1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" s="2" cm="1">
        <f t="array" ref="CI1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" s="2" cm="1">
        <f t="array" ref="CJ1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" s="2" cm="1">
        <f t="array" ref="CK1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" s="26">
        <f t="shared" si="74"/>
        <v>0</v>
      </c>
      <c r="CY12" s="26">
        <f t="shared" si="74"/>
        <v>0</v>
      </c>
      <c r="CZ12" s="26">
        <f t="shared" si="74"/>
        <v>0</v>
      </c>
      <c r="DA12" s="26">
        <f t="shared" si="74"/>
        <v>0</v>
      </c>
      <c r="DB12" s="26">
        <f t="shared" si="74"/>
        <v>0</v>
      </c>
      <c r="DC12" s="26">
        <f t="shared" si="74"/>
        <v>0</v>
      </c>
      <c r="DD12" s="26">
        <f t="shared" si="74"/>
        <v>0</v>
      </c>
      <c r="DE12" s="26">
        <f t="shared" si="74"/>
        <v>0</v>
      </c>
      <c r="DF12" s="26">
        <f t="shared" si="74"/>
        <v>0</v>
      </c>
      <c r="DH12" s="26">
        <f t="shared" si="11"/>
        <v>0</v>
      </c>
      <c r="DI12" s="26">
        <f t="shared" si="12"/>
        <v>0</v>
      </c>
      <c r="DJ12" s="26">
        <f t="shared" si="13"/>
        <v>0</v>
      </c>
      <c r="DK12" s="26">
        <f t="shared" si="14"/>
        <v>0</v>
      </c>
      <c r="DL12" s="26">
        <f t="shared" si="15"/>
        <v>0</v>
      </c>
      <c r="DM12" s="26">
        <f t="shared" si="16"/>
        <v>0</v>
      </c>
      <c r="DN12" s="26">
        <f t="shared" si="17"/>
        <v>0</v>
      </c>
      <c r="DO12" s="26">
        <f t="shared" si="18"/>
        <v>0</v>
      </c>
      <c r="DP12" s="26">
        <f t="shared" si="19"/>
        <v>0</v>
      </c>
      <c r="DR12" s="26">
        <f t="shared" si="20"/>
        <v>0</v>
      </c>
      <c r="DS12" s="26">
        <f t="shared" si="21"/>
        <v>0</v>
      </c>
      <c r="DT12" s="26">
        <f t="shared" si="22"/>
        <v>0</v>
      </c>
      <c r="DU12" s="26">
        <f t="shared" si="23"/>
        <v>0</v>
      </c>
      <c r="DV12" s="26">
        <f t="shared" si="24"/>
        <v>0</v>
      </c>
      <c r="DW12" s="26">
        <f t="shared" si="25"/>
        <v>0</v>
      </c>
      <c r="DX12" s="26">
        <f t="shared" si="26"/>
        <v>0</v>
      </c>
      <c r="DY12" s="26">
        <f t="shared" si="27"/>
        <v>0</v>
      </c>
      <c r="DZ12" s="26">
        <f t="shared" si="28"/>
        <v>0</v>
      </c>
      <c r="EB12" s="26">
        <f t="shared" si="29"/>
        <v>0</v>
      </c>
      <c r="EC12" s="26">
        <f t="shared" si="30"/>
        <v>0</v>
      </c>
      <c r="ED12" s="26">
        <f t="shared" si="31"/>
        <v>0</v>
      </c>
      <c r="EE12" s="26">
        <f t="shared" si="32"/>
        <v>0</v>
      </c>
      <c r="EF12" s="26">
        <f t="shared" si="33"/>
        <v>0</v>
      </c>
      <c r="EG12" s="26">
        <f t="shared" si="34"/>
        <v>0</v>
      </c>
      <c r="EH12" s="26">
        <f t="shared" si="35"/>
        <v>0</v>
      </c>
      <c r="EI12" s="26">
        <f t="shared" si="36"/>
        <v>0</v>
      </c>
      <c r="EJ12" s="26">
        <f t="shared" si="37"/>
        <v>0</v>
      </c>
      <c r="EL12" s="26">
        <f t="shared" si="38"/>
        <v>0</v>
      </c>
      <c r="EM12" s="26">
        <f t="shared" si="39"/>
        <v>0</v>
      </c>
      <c r="EN12" s="26">
        <f t="shared" si="40"/>
        <v>0</v>
      </c>
      <c r="EO12" s="26">
        <f t="shared" si="41"/>
        <v>0</v>
      </c>
      <c r="EP12" s="26">
        <f t="shared" si="42"/>
        <v>0</v>
      </c>
      <c r="EQ12" s="26">
        <f t="shared" si="43"/>
        <v>0</v>
      </c>
      <c r="ER12" s="26">
        <f t="shared" si="44"/>
        <v>0</v>
      </c>
      <c r="ES12" s="26">
        <f t="shared" si="45"/>
        <v>0</v>
      </c>
      <c r="ET12" s="26">
        <f t="shared" si="46"/>
        <v>0</v>
      </c>
      <c r="EV12" s="26">
        <f t="shared" si="47"/>
        <v>0</v>
      </c>
      <c r="EW12" s="26">
        <f t="shared" si="48"/>
        <v>0</v>
      </c>
      <c r="EX12" s="26">
        <f t="shared" si="49"/>
        <v>0</v>
      </c>
      <c r="EY12" s="26">
        <f t="shared" si="50"/>
        <v>0</v>
      </c>
      <c r="EZ12" s="26">
        <f t="shared" si="51"/>
        <v>0</v>
      </c>
      <c r="FA12" s="26">
        <f t="shared" si="52"/>
        <v>0</v>
      </c>
      <c r="FB12" s="26">
        <f t="shared" si="53"/>
        <v>0</v>
      </c>
      <c r="FC12" s="26">
        <f t="shared" si="54"/>
        <v>0</v>
      </c>
      <c r="FD12" s="26">
        <f t="shared" si="55"/>
        <v>0</v>
      </c>
      <c r="FF12" s="26">
        <f t="shared" si="56"/>
        <v>0</v>
      </c>
      <c r="FG12" s="26">
        <f t="shared" si="57"/>
        <v>0</v>
      </c>
      <c r="FH12" s="26">
        <f t="shared" si="58"/>
        <v>0</v>
      </c>
      <c r="FI12" s="26">
        <f t="shared" si="59"/>
        <v>0</v>
      </c>
      <c r="FJ12" s="26">
        <f t="shared" si="60"/>
        <v>0</v>
      </c>
      <c r="FK12" s="26">
        <f t="shared" si="61"/>
        <v>0</v>
      </c>
      <c r="FL12" s="26">
        <f t="shared" si="62"/>
        <v>0</v>
      </c>
      <c r="FM12" s="26">
        <f t="shared" si="63"/>
        <v>0</v>
      </c>
      <c r="FN12" s="26">
        <f t="shared" si="64"/>
        <v>0</v>
      </c>
      <c r="FP12" s="26" t="e">
        <f t="shared" si="65"/>
        <v>#REF!</v>
      </c>
      <c r="FQ12" s="26" t="e">
        <f t="shared" si="66"/>
        <v>#REF!</v>
      </c>
      <c r="FR12" s="26" t="e">
        <f t="shared" si="67"/>
        <v>#REF!</v>
      </c>
      <c r="FS12" s="26" t="e">
        <f t="shared" si="68"/>
        <v>#REF!</v>
      </c>
      <c r="FT12" s="26" t="e">
        <f t="shared" si="69"/>
        <v>#REF!</v>
      </c>
      <c r="FU12" s="26" t="e">
        <f t="shared" si="70"/>
        <v>#REF!</v>
      </c>
      <c r="FV12" s="26" t="e">
        <f t="shared" si="71"/>
        <v>#REF!</v>
      </c>
      <c r="FW12" s="26" t="e">
        <f t="shared" si="72"/>
        <v>#REF!</v>
      </c>
      <c r="FX12" s="26" t="e">
        <f t="shared" si="73"/>
        <v>#REF!</v>
      </c>
      <c r="GB12" s="26" t="e">
        <f>IF(GB$2=InputTable[[#This Row],[Delivery Date]],_xlfn.XLOOKUP(GB$1,$BH$2:$BR$2,$BH12:$BR12,0),0)</f>
        <v>#REF!</v>
      </c>
      <c r="GC12" s="26">
        <f>IF(GC$2=InputTable[[#This Row],[Delivery Date]],_xlfn.XLOOKUP(GC$1,$BH$2:$BR$2,$BH12:$BR12,0),0)</f>
        <v>0</v>
      </c>
      <c r="GD12" s="26">
        <f>IF(GD$2=InputTable[[#This Row],[Delivery Date]],_xlfn.XLOOKUP(GD$1,$BH$2:$BR$2,$BH12:$BR12,0),0)</f>
        <v>0</v>
      </c>
      <c r="GE12" s="26">
        <f>IF(GE$2=InputTable[[#This Row],[Delivery Date]],_xlfn.XLOOKUP(GE$1,$BH$2:$BR$2,$BH12:$BR12,0),0)</f>
        <v>0</v>
      </c>
      <c r="GF12" s="26">
        <f>IF(GF$2=InputTable[[#This Row],[Delivery Date]],_xlfn.XLOOKUP(GF$1,$BH$2:$BR$2,$BH12:$BR12,0),0)</f>
        <v>0</v>
      </c>
      <c r="GG12" s="26">
        <f>IF(GG$2=InputTable[[#This Row],[Delivery Date]],_xlfn.XLOOKUP(GG$1,$BH$2:$BR$2,$BH12:$BR12,0),0)</f>
        <v>0</v>
      </c>
      <c r="GH12" s="26">
        <f>IF(GH$2=InputTable[[#This Row],[Delivery Date]],_xlfn.XLOOKUP(GH$1,$BH$2:$BR$2,$BH12:$BR12,0),0)</f>
        <v>0</v>
      </c>
      <c r="GI12" s="26">
        <f>IF(GI$2=InputTable[[#This Row],[Delivery Date]],_xlfn.XLOOKUP(GI$1,$BH$2:$BR$2,$BH12:$BR12,0),0)</f>
        <v>0</v>
      </c>
      <c r="GJ12" s="26">
        <f>IF(GJ$2=InputTable[[#This Row],[Delivery Date]],_xlfn.XLOOKUP(GJ$1,$BH$2:$BR$2,$BH12:$BR12,0),0)</f>
        <v>0</v>
      </c>
      <c r="GL12" s="26" t="e">
        <f>IF(GL$2=InputTable[[#This Row],[Delivery Date]],_xlfn.XLOOKUP(GL$1,$BH$2:$BR$2,$BH12:$BR12,0),0)</f>
        <v>#REF!</v>
      </c>
      <c r="GM12" s="26">
        <f>IF(GM$2=InputTable[[#This Row],[Delivery Date]],_xlfn.XLOOKUP(GM$1,$BH$2:$BR$2,$BH12:$BR12,0),0)</f>
        <v>0</v>
      </c>
      <c r="GN12" s="26">
        <f>IF(GN$2=InputTable[[#This Row],[Delivery Date]],_xlfn.XLOOKUP(GN$1,$BH$2:$BR$2,$BH12:$BR12,0),0)</f>
        <v>0</v>
      </c>
      <c r="GO12" s="26">
        <f>IF(GO$2=InputTable[[#This Row],[Delivery Date]],_xlfn.XLOOKUP(GO$1,$BH$2:$BR$2,$BH12:$BR12,0),0)</f>
        <v>0</v>
      </c>
      <c r="GP12" s="26">
        <f>IF(GP$2=InputTable[[#This Row],[Delivery Date]],_xlfn.XLOOKUP(GP$1,$BH$2:$BR$2,$BH12:$BR12,0),0)</f>
        <v>0</v>
      </c>
      <c r="GQ12" s="26">
        <f>IF(GQ$2=InputTable[[#This Row],[Delivery Date]],_xlfn.XLOOKUP(GQ$1,$BH$2:$BR$2,$BH12:$BR12,0),0)</f>
        <v>0</v>
      </c>
      <c r="GR12" s="26">
        <f>IF(GR$2=InputTable[[#This Row],[Delivery Date]],_xlfn.XLOOKUP(GR$1,$BH$2:$BR$2,$BH12:$BR12,0),0)</f>
        <v>0</v>
      </c>
      <c r="GS12" s="26">
        <f>IF(GS$2=InputTable[[#This Row],[Delivery Date]],_xlfn.XLOOKUP(GS$1,$BH$2:$BR$2,$BH12:$BR12,0),0)</f>
        <v>0</v>
      </c>
      <c r="GT12" s="26">
        <f>IF(GT$2=InputTable[[#This Row],[Delivery Date]],_xlfn.XLOOKUP(GT$1,$BH$2:$BR$2,$BH12:$BR12,0),0)</f>
        <v>0</v>
      </c>
      <c r="GV12" s="26" t="e">
        <f>IF(GV$2=InputTable[[#This Row],[Delivery Date]],_xlfn.XLOOKUP(GV$1,$BH$2:$BR$2,$BH12:$BR12,0),0)</f>
        <v>#REF!</v>
      </c>
      <c r="GW12" s="26">
        <f>IF(GW$2=InputTable[[#This Row],[Delivery Date]],_xlfn.XLOOKUP(GW$1,$BH$2:$BR$2,$BH12:$BR12,0),0)</f>
        <v>0</v>
      </c>
      <c r="GX12" s="26">
        <f>IF(GX$2=InputTable[[#This Row],[Delivery Date]],_xlfn.XLOOKUP(GX$1,$BH$2:$BR$2,$BH12:$BR12,0),0)</f>
        <v>0</v>
      </c>
      <c r="GY12" s="26">
        <f>IF(GY$2=InputTable[[#This Row],[Delivery Date]],_xlfn.XLOOKUP(GY$1,$BH$2:$BR$2,$BH12:$BR12,0),0)</f>
        <v>0</v>
      </c>
      <c r="GZ12" s="26">
        <f>IF(GZ$2=InputTable[[#This Row],[Delivery Date]],_xlfn.XLOOKUP(GZ$1,$BH$2:$BR$2,$BH12:$BR12,0),0)</f>
        <v>0</v>
      </c>
      <c r="HA12" s="26">
        <f>IF(HA$2=InputTable[[#This Row],[Delivery Date]],_xlfn.XLOOKUP(HA$1,$BH$2:$BR$2,$BH12:$BR12,0),0)</f>
        <v>0</v>
      </c>
      <c r="HB12" s="26">
        <f>IF(HB$2=InputTable[[#This Row],[Delivery Date]],_xlfn.XLOOKUP(HB$1,$BH$2:$BR$2,$BH12:$BR12,0),0)</f>
        <v>0</v>
      </c>
      <c r="HC12" s="26">
        <f>IF(HC$2=InputTable[[#This Row],[Delivery Date]],_xlfn.XLOOKUP(HC$1,$BH$2:$BR$2,$BH12:$BR12,0),0)</f>
        <v>0</v>
      </c>
      <c r="HD12" s="26">
        <f>IF(HD$2=InputTable[[#This Row],[Delivery Date]],_xlfn.XLOOKUP(HD$1,$BH$2:$BR$2,$BH12:$BR12,0),0)</f>
        <v>0</v>
      </c>
      <c r="HF12" s="26" t="e">
        <f>IF(HF$2=InputTable[[#This Row],[Delivery Date]],_xlfn.XLOOKUP(HF$1,$BH$2:$BR$2,$BH12:$BR12,0),0)</f>
        <v>#REF!</v>
      </c>
      <c r="HG12" s="26">
        <f>IF(HG$2=InputTable[[#This Row],[Delivery Date]],_xlfn.XLOOKUP(HG$1,$BH$2:$BR$2,$BH12:$BR12,0),0)</f>
        <v>0</v>
      </c>
      <c r="HH12" s="26">
        <f>IF(HH$2=InputTable[[#This Row],[Delivery Date]],_xlfn.XLOOKUP(HH$1,$BH$2:$BR$2,$BH12:$BR12,0),0)</f>
        <v>0</v>
      </c>
      <c r="HI12" s="26">
        <f>IF(HI$2=InputTable[[#This Row],[Delivery Date]],_xlfn.XLOOKUP(HI$1,$BH$2:$BR$2,$BH12:$BR12,0),0)</f>
        <v>0</v>
      </c>
      <c r="HJ12" s="26">
        <f>IF(HJ$2=InputTable[[#This Row],[Delivery Date]],_xlfn.XLOOKUP(HJ$1,$BH$2:$BR$2,$BH12:$BR12,0),0)</f>
        <v>0</v>
      </c>
      <c r="HK12" s="26">
        <f>IF(HK$2=InputTable[[#This Row],[Delivery Date]],_xlfn.XLOOKUP(HK$1,$BH$2:$BR$2,$BH12:$BR12,0),0)</f>
        <v>0</v>
      </c>
      <c r="HL12" s="26">
        <f>IF(HL$2=InputTable[[#This Row],[Delivery Date]],_xlfn.XLOOKUP(HL$1,$BH$2:$BR$2,$BH12:$BR12,0),0)</f>
        <v>0</v>
      </c>
      <c r="HM12" s="26">
        <f>IF(HM$2=InputTable[[#This Row],[Delivery Date]],_xlfn.XLOOKUP(HM$1,$BH$2:$BR$2,$BH12:$BR12,0),0)</f>
        <v>0</v>
      </c>
      <c r="HN12" s="26">
        <f>IF(HN$2=InputTable[[#This Row],[Delivery Date]],_xlfn.XLOOKUP(HN$1,$BH$2:$BR$2,$BH12:$BR12,0),0)</f>
        <v>0</v>
      </c>
      <c r="HP12" s="26" t="e">
        <f>IF(HP$2=InputTable[[#This Row],[Delivery Date]],_xlfn.XLOOKUP(HP$1,$BH$2:$BR$2,$BH12:$BR12,0),0)</f>
        <v>#REF!</v>
      </c>
      <c r="HQ12" s="26">
        <f>IF(HQ$2=InputTable[[#This Row],[Delivery Date]],_xlfn.XLOOKUP(HQ$1,$BH$2:$BR$2,$BH12:$BR12,0),0)</f>
        <v>0</v>
      </c>
      <c r="HR12" s="26">
        <f>IF(HR$2=InputTable[[#This Row],[Delivery Date]],_xlfn.XLOOKUP(HR$1,$BH$2:$BR$2,$BH12:$BR12,0),0)</f>
        <v>0</v>
      </c>
      <c r="HS12" s="26">
        <f>IF(HS$2=InputTable[[#This Row],[Delivery Date]],_xlfn.XLOOKUP(HS$1,$BH$2:$BR$2,$BH12:$BR12,0),0)</f>
        <v>0</v>
      </c>
      <c r="HT12" s="26">
        <f>IF(HT$2=InputTable[[#This Row],[Delivery Date]],_xlfn.XLOOKUP(HT$1,$BH$2:$BR$2,$BH12:$BR12,0),0)</f>
        <v>0</v>
      </c>
      <c r="HU12" s="26">
        <f>IF(HU$2=InputTable[[#This Row],[Delivery Date]],_xlfn.XLOOKUP(HU$1,$BH$2:$BR$2,$BH12:$BR12,0),0)</f>
        <v>0</v>
      </c>
      <c r="HV12" s="26">
        <f>IF(HV$2=InputTable[[#This Row],[Delivery Date]],_xlfn.XLOOKUP(HV$1,$BH$2:$BR$2,$BH12:$BR12,0),0)</f>
        <v>0</v>
      </c>
      <c r="HW12" s="26">
        <f>IF(HW$2=InputTable[[#This Row],[Delivery Date]],_xlfn.XLOOKUP(HW$1,$BH$2:$BR$2,$BH12:$BR12,0),0)</f>
        <v>0</v>
      </c>
      <c r="HX12" s="26">
        <f>IF(HX$2=InputTable[[#This Row],[Delivery Date]],_xlfn.XLOOKUP(HX$1,$BH$2:$BR$2,$BH12:$BR12,0),0)</f>
        <v>0</v>
      </c>
      <c r="HZ12" s="26" t="e">
        <f>IF(HZ$2=InputTable[[#This Row],[Delivery Date]],_xlfn.XLOOKUP(HZ$1,$BH$2:$BR$2,$BH12:$BR12,0),0)</f>
        <v>#REF!</v>
      </c>
      <c r="IA12" s="26">
        <f>IF(IA$2=InputTable[[#This Row],[Delivery Date]],_xlfn.XLOOKUP(IA$1,$BH$2:$BR$2,$BH12:$BR12,0),0)</f>
        <v>0</v>
      </c>
      <c r="IB12" s="26">
        <f>IF(IB$2=InputTable[[#This Row],[Delivery Date]],_xlfn.XLOOKUP(IB$1,$BH$2:$BR$2,$BH12:$BR12,0),0)</f>
        <v>0</v>
      </c>
      <c r="IC12" s="26">
        <f>IF(IC$2=InputTable[[#This Row],[Delivery Date]],_xlfn.XLOOKUP(IC$1,$BH$2:$BR$2,$BH12:$BR12,0),0)</f>
        <v>0</v>
      </c>
      <c r="ID12" s="26">
        <f>IF(ID$2=InputTable[[#This Row],[Delivery Date]],_xlfn.XLOOKUP(ID$1,$BH$2:$BR$2,$BH12:$BR12,0),0)</f>
        <v>0</v>
      </c>
      <c r="IE12" s="26">
        <f>IF(IE$2=InputTable[[#This Row],[Delivery Date]],_xlfn.XLOOKUP(IE$1,$BH$2:$BR$2,$BH12:$BR12,0),0)</f>
        <v>0</v>
      </c>
      <c r="IF12" s="26">
        <f>IF(IF$2=InputTable[[#This Row],[Delivery Date]],_xlfn.XLOOKUP(IF$1,$BH$2:$BR$2,$BH12:$BR12,0),0)</f>
        <v>0</v>
      </c>
      <c r="IG12" s="26">
        <f>IF(IG$2=InputTable[[#This Row],[Delivery Date]],_xlfn.XLOOKUP(IG$1,$BH$2:$BR$2,$BH12:$BR12,0),0)</f>
        <v>0</v>
      </c>
      <c r="IH12" s="26">
        <f>IF(IH$2=InputTable[[#This Row],[Delivery Date]],_xlfn.XLOOKUP(IH$1,$BH$2:$BR$2,$BH12:$BR12,0),0)</f>
        <v>0</v>
      </c>
      <c r="IJ12" s="26" t="e">
        <f>IF(IJ$2=InputTable[[#This Row],[Delivery Date]],_xlfn.XLOOKUP(IJ$1,$BH$2:$BR$2,$BH12:$BR12,0),0)</f>
        <v>#REF!</v>
      </c>
      <c r="IK12" s="26">
        <f>IF(IK$2=InputTable[[#This Row],[Delivery Date]],_xlfn.XLOOKUP(IK$1,$BH$2:$BR$2,$BH12:$BR12,0),0)</f>
        <v>0</v>
      </c>
      <c r="IL12" s="26">
        <f>IF(IL$2=InputTable[[#This Row],[Delivery Date]],_xlfn.XLOOKUP(IL$1,$BH$2:$BR$2,$BH12:$BR12,0),0)</f>
        <v>0</v>
      </c>
      <c r="IM12" s="26">
        <f>IF(IM$2=InputTable[[#This Row],[Delivery Date]],_xlfn.XLOOKUP(IM$1,$BH$2:$BR$2,$BH12:$BR12,0),0)</f>
        <v>0</v>
      </c>
      <c r="IN12" s="26">
        <f>IF(IN$2=InputTable[[#This Row],[Delivery Date]],_xlfn.XLOOKUP(IN$1,$BH$2:$BR$2,$BH12:$BR12,0),0)</f>
        <v>0</v>
      </c>
      <c r="IO12" s="26">
        <f>IF(IO$2=InputTable[[#This Row],[Delivery Date]],_xlfn.XLOOKUP(IO$1,$BH$2:$BR$2,$BH12:$BR12,0),0)</f>
        <v>0</v>
      </c>
      <c r="IP12" s="26">
        <f>IF(IP$2=InputTable[[#This Row],[Delivery Date]],_xlfn.XLOOKUP(IP$1,$BH$2:$BR$2,$BH12:$BR12,0),0)</f>
        <v>0</v>
      </c>
      <c r="IQ12" s="26">
        <f>IF(IQ$2=InputTable[[#This Row],[Delivery Date]],_xlfn.XLOOKUP(IQ$1,$BH$2:$BR$2,$BH12:$BR12,0),0)</f>
        <v>0</v>
      </c>
      <c r="IR12" s="26">
        <f>IF(IR$2=InputTable[[#This Row],[Delivery Date]],_xlfn.XLOOKUP(IR$1,$BH$2:$BR$2,$BH12:$BR12,0),0)</f>
        <v>0</v>
      </c>
      <c r="IT12" s="26" t="e">
        <f>IF(IT$2=InputTable[[#This Row],[Delivery Date]],_xlfn.XLOOKUP(IT$1,$BH$2:$BR$2,$BH12:$BR12,0),0)</f>
        <v>#REF!</v>
      </c>
      <c r="IU12" s="26">
        <f>IF(IU$2=InputTable[[#This Row],[Delivery Date]],_xlfn.XLOOKUP(IU$1,$BH$2:$BR$2,$BH12:$BR12,0),0)</f>
        <v>0</v>
      </c>
      <c r="IV12" s="26">
        <f>IF(IV$2=InputTable[[#This Row],[Delivery Date]],_xlfn.XLOOKUP(IV$1,$BH$2:$BR$2,$BH12:$BR12,0),0)</f>
        <v>0</v>
      </c>
      <c r="IW12" s="26">
        <f>IF(IW$2=InputTable[[#This Row],[Delivery Date]],_xlfn.XLOOKUP(IW$1,$BH$2:$BR$2,$BH12:$BR12,0),0)</f>
        <v>0</v>
      </c>
      <c r="IX12" s="26">
        <f>IF(IX$2=InputTable[[#This Row],[Delivery Date]],_xlfn.XLOOKUP(IX$1,$BH$2:$BR$2,$BH12:$BR12,0),0)</f>
        <v>0</v>
      </c>
      <c r="IY12" s="26">
        <f>IF(IY$2=InputTable[[#This Row],[Delivery Date]],_xlfn.XLOOKUP(IY$1,$BH$2:$BR$2,$BH12:$BR12,0),0)</f>
        <v>0</v>
      </c>
      <c r="IZ12" s="26">
        <f>IF(IZ$2=InputTable[[#This Row],[Delivery Date]],_xlfn.XLOOKUP(IZ$1,$BH$2:$BR$2,$BH12:$BR12,0),0)</f>
        <v>0</v>
      </c>
      <c r="JA12" s="26">
        <f>IF(JA$2=InputTable[[#This Row],[Delivery Date]],_xlfn.XLOOKUP(JA$1,$BH$2:$BR$2,$BH12:$BR12,0),0)</f>
        <v>0</v>
      </c>
      <c r="JB12" s="26">
        <f>IF(JB$2=InputTable[[#This Row],[Delivery Date]],_xlfn.XLOOKUP(JB$1,$BH$2:$BR$2,$BH12:$BR12,0),0)</f>
        <v>0</v>
      </c>
      <c r="JD12" s="26" t="e">
        <f>IF(JD$2=InputTable[[#This Row],[Delivery Date]],_xlfn.XLOOKUP(JD$1,$BH$2:$BR$2,$BH12:$BR12,0),0)</f>
        <v>#REF!</v>
      </c>
      <c r="JE12" s="26">
        <f>IF(JE$2=InputTable[[#This Row],[Delivery Date]],_xlfn.XLOOKUP(JE$1,$BH$2:$BR$2,$BH12:$BR12,0),0)</f>
        <v>0</v>
      </c>
      <c r="JF12" s="26">
        <f>IF(JF$2=InputTable[[#This Row],[Delivery Date]],_xlfn.XLOOKUP(JF$1,$BH$2:$BR$2,$BH12:$BR12,0),0)</f>
        <v>0</v>
      </c>
      <c r="JG12" s="26">
        <f>IF(JG$2=InputTable[[#This Row],[Delivery Date]],_xlfn.XLOOKUP(JG$1,$BH$2:$BR$2,$BH12:$BR12,0),0)</f>
        <v>0</v>
      </c>
      <c r="JH12" s="26">
        <f>IF(JH$2=InputTable[[#This Row],[Delivery Date]],_xlfn.XLOOKUP(JH$1,$BH$2:$BR$2,$BH12:$BR12,0),0)</f>
        <v>0</v>
      </c>
      <c r="JI12" s="26">
        <f>IF(JI$2=InputTable[[#This Row],[Delivery Date]],_xlfn.XLOOKUP(JI$1,$BH$2:$BR$2,$BH12:$BR12,0),0)</f>
        <v>0</v>
      </c>
      <c r="JJ12" s="26">
        <f>IF(JJ$2=InputTable[[#This Row],[Delivery Date]],_xlfn.XLOOKUP(JJ$1,$BH$2:$BR$2,$BH12:$BR12,0),0)</f>
        <v>0</v>
      </c>
      <c r="JK12" s="26">
        <f>IF(JK$2=InputTable[[#This Row],[Delivery Date]],_xlfn.XLOOKUP(JK$1,$BH$2:$BR$2,$BH12:$BR12,0),0)</f>
        <v>0</v>
      </c>
      <c r="JL12" s="26">
        <f>IF(JL$2=InputTable[[#This Row],[Delivery Date]],_xlfn.XLOOKUP(JL$1,$BH$2:$BR$2,$BH12:$BR12,0),0)</f>
        <v>0</v>
      </c>
      <c r="JN12" s="26" t="e">
        <f>IF(JN$2=InputTable[[#This Row],[Delivery Date]],_xlfn.XLOOKUP(JN$1,$BH$2:$BR$2,$BH12:$BR12,0),0)</f>
        <v>#REF!</v>
      </c>
      <c r="JO12" s="26">
        <f>IF(JO$2=InputTable[[#This Row],[Delivery Date]],_xlfn.XLOOKUP(JO$1,$BH$2:$BR$2,$BH12:$BR12,0),0)</f>
        <v>0</v>
      </c>
      <c r="JP12" s="26">
        <f>IF(JP$2=InputTable[[#This Row],[Delivery Date]],_xlfn.XLOOKUP(JP$1,$BH$2:$BR$2,$BH12:$BR12,0),0)</f>
        <v>0</v>
      </c>
      <c r="JQ12" s="26">
        <f>IF(JQ$2=InputTable[[#This Row],[Delivery Date]],_xlfn.XLOOKUP(JQ$1,$BH$2:$BR$2,$BH12:$BR12,0),0)</f>
        <v>0</v>
      </c>
      <c r="JR12" s="26">
        <f>IF(JR$2=InputTable[[#This Row],[Delivery Date]],_xlfn.XLOOKUP(JR$1,$BH$2:$BR$2,$BH12:$BR12,0),0)</f>
        <v>0</v>
      </c>
      <c r="JS12" s="26">
        <f>IF(JS$2=InputTable[[#This Row],[Delivery Date]],_xlfn.XLOOKUP(JS$1,$BH$2:$BR$2,$BH12:$BR12,0),0)</f>
        <v>0</v>
      </c>
      <c r="JT12" s="26">
        <f>IF(JT$2=InputTable[[#This Row],[Delivery Date]],_xlfn.XLOOKUP(JT$1,$BH$2:$BR$2,$BH12:$BR12,0),0)</f>
        <v>0</v>
      </c>
      <c r="JU12" s="26">
        <f>IF(JU$2=InputTable[[#This Row],[Delivery Date]],_xlfn.XLOOKUP(JU$1,$BH$2:$BR$2,$BH12:$BR12,0),0)</f>
        <v>0</v>
      </c>
      <c r="JV12" s="26">
        <f>IF(JV$2=InputTable[[#This Row],[Delivery Date]],_xlfn.XLOOKUP(JV$1,$BH$2:$BR$2,$BH12:$BR12,0),0)</f>
        <v>0</v>
      </c>
      <c r="JX12" s="26" t="e">
        <f>IF(JX$2=InputTable[[#This Row],[Delivery Date]],_xlfn.XLOOKUP(JX$1,$BH$2:$BR$2,$BH12:$BR12,0),0)</f>
        <v>#REF!</v>
      </c>
      <c r="JY12" s="26">
        <f>IF(JY$2=InputTable[[#This Row],[Delivery Date]],_xlfn.XLOOKUP(JY$1,$BH$2:$BR$2,$BH12:$BR12,0),0)</f>
        <v>0</v>
      </c>
      <c r="JZ12" s="26">
        <f>IF(JZ$2=InputTable[[#This Row],[Delivery Date]],_xlfn.XLOOKUP(JZ$1,$BH$2:$BR$2,$BH12:$BR12,0),0)</f>
        <v>0</v>
      </c>
      <c r="KA12" s="26">
        <f>IF(KA$2=InputTable[[#This Row],[Delivery Date]],_xlfn.XLOOKUP(KA$1,$BH$2:$BR$2,$BH12:$BR12,0),0)</f>
        <v>0</v>
      </c>
      <c r="KB12" s="26">
        <f>IF(KB$2=InputTable[[#This Row],[Delivery Date]],_xlfn.XLOOKUP(KB$1,$BH$2:$BR$2,$BH12:$BR12,0),0)</f>
        <v>0</v>
      </c>
      <c r="KC12" s="26">
        <f>IF(KC$2=InputTable[[#This Row],[Delivery Date]],_xlfn.XLOOKUP(KC$1,$BH$2:$BR$2,$BH12:$BR12,0),0)</f>
        <v>0</v>
      </c>
      <c r="KD12" s="26">
        <f>IF(KD$2=InputTable[[#This Row],[Delivery Date]],_xlfn.XLOOKUP(KD$1,$BH$2:$BR$2,$BH12:$BR12,0),0)</f>
        <v>0</v>
      </c>
      <c r="KE12" s="26">
        <f>IF(KE$2=InputTable[[#This Row],[Delivery Date]],_xlfn.XLOOKUP(KE$1,$BH$2:$BR$2,$BH12:$BR12,0),0)</f>
        <v>0</v>
      </c>
      <c r="KF12" s="26">
        <f>IF(KF$2=InputTable[[#This Row],[Delivery Date]],_xlfn.XLOOKUP(KF$1,$BH$2:$BR$2,$BH12:$BR12,0),0)</f>
        <v>0</v>
      </c>
    </row>
    <row r="13" spans="1:292" ht="39.6" hidden="1" customHeight="1" x14ac:dyDescent="0.25">
      <c r="A13" s="141"/>
      <c r="B13" s="141" t="s">
        <v>114</v>
      </c>
      <c r="C13" s="92" t="s">
        <v>57</v>
      </c>
      <c r="D13" s="125" t="s">
        <v>132</v>
      </c>
      <c r="E13" s="193" t="s">
        <v>133</v>
      </c>
      <c r="F13" s="92" t="s">
        <v>96</v>
      </c>
      <c r="G13" s="92" t="s">
        <v>97</v>
      </c>
      <c r="H13" s="92"/>
      <c r="I13" s="92" t="s">
        <v>98</v>
      </c>
      <c r="J13" s="122"/>
      <c r="K13" s="95" t="e">
        <f>VLOOKUP((InputTable[[#This Row],[Starting Date]]&amp; " - " &amp;InputTable[[#This Row],[Delivery Date]]),'System List'!$F$40:$H$83,2,FALSE)</f>
        <v>#N/A</v>
      </c>
      <c r="L13" s="95" t="e">
        <f>VLOOKUP(InputTable[[#This Row],[Duration]],Duration,2,FALSE)</f>
        <v>#N/A</v>
      </c>
      <c r="M13" s="122" t="s">
        <v>110</v>
      </c>
      <c r="N13" s="92"/>
      <c r="O13" s="92"/>
      <c r="P13" s="92"/>
      <c r="Q13" s="92" t="s">
        <v>111</v>
      </c>
      <c r="R13" s="92"/>
      <c r="S13" s="92"/>
      <c r="T13" s="95" cm="1">
        <f t="array" ref="T1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3" s="138"/>
      <c r="V13" s="92"/>
      <c r="W13" s="92"/>
      <c r="X13" s="92"/>
      <c r="Y13" s="92"/>
      <c r="Z13" s="92"/>
      <c r="AA13" s="92"/>
      <c r="AB13" s="92"/>
      <c r="AC13" s="92"/>
      <c r="AD13" s="92">
        <f>COUNTA(InputTable[[#This Row],[CORPHRFIN]:[SALES]])</f>
        <v>0</v>
      </c>
      <c r="AE13" s="88" cm="1">
        <f t="array" ref="AE13">SUM(
_xlfn.XLOOKUP(InputTable[[#This Row],[CORPHRFIN]:[SALES]],'System List'!$F$4:$F$7,'System List'!$H$4:$H$7,0))</f>
        <v>0</v>
      </c>
      <c r="AF13" s="140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88" cm="1">
        <f t="array" ref="AR13">SUM(
_xlfn.XLOOKUP(InputTable[[#This Row],[Impact on - CIAL]:[Impact on - STRAT]],'System List'!$F$4:$F$7,'System List'!$H$4:$H$7,0))</f>
        <v>0</v>
      </c>
      <c r="AS13" s="88" t="e">
        <f>VLOOKUP(InputTable[[#This Row],[Duration]],Duration,2,FALSE)+InputTable[[#This Row],[Resource Score]]</f>
        <v>#N/A</v>
      </c>
      <c r="AT1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" s="24" t="e">
        <f>InputTable[[#This Row],[Value Score]]/InputTable[[#This Row],[EFFORT SCORE]]*100</f>
        <v>#N/A</v>
      </c>
      <c r="AV13" s="25" t="str">
        <f>InputTable[[#This Row],[IS Portfolio Ref ID]]</f>
        <v>ISPRJ-107</v>
      </c>
      <c r="AW13" s="25" t="s">
        <v>131</v>
      </c>
      <c r="AX13" s="208"/>
      <c r="AY13" s="25"/>
      <c r="AZ13" s="209">
        <v>0</v>
      </c>
      <c r="BA13" s="209">
        <v>0</v>
      </c>
      <c r="BB13" s="209"/>
      <c r="BC13" s="189"/>
      <c r="BD13" s="188"/>
      <c r="BE13" s="188"/>
      <c r="BF13" s="70"/>
      <c r="BH13" s="2">
        <f>IFERROR(VLOOKUP(InputTable[[#This Row],[Impact on - CIAL]],'System List'!$F$4:$H$7,3,FALSE),0)</f>
        <v>0</v>
      </c>
      <c r="BI13" s="2">
        <f>IFERROR(VLOOKUP(InputTable[[#This Row],[Impact on - COM]],'System List'!$F$4:$H$7,3,FALSE),0)</f>
        <v>0</v>
      </c>
      <c r="BJ13" s="2">
        <f>IFERROR(VLOOKUP(InputTable[[#This Row],[Impact on - FIN]],'System List'!$F$4:$H$7,3,FALSE),0)</f>
        <v>0</v>
      </c>
      <c r="BK13" s="2">
        <f>IFERROR(VLOOKUP(InputTable[[#This Row],[Impact on - GEN SEC]],'System List'!$F$4:$H$7,3,FALSE),0)</f>
        <v>0</v>
      </c>
      <c r="BL13" s="2">
        <f>IFERROR(VLOOKUP(InputTable[[#This Row],[Impact on - HR]],'System List'!$F$4:$H$7,3,FALSE),0)</f>
        <v>0</v>
      </c>
      <c r="BM13" s="2">
        <f>IFERROR(VLOOKUP(InputTable[[#This Row],[Impact on - IS]],'System List'!$F$4:$H$7,3,FALSE),0)</f>
        <v>0</v>
      </c>
      <c r="BN13" s="2">
        <f>IFERROR(VLOOKUP(InputTable[[#This Row],[Impact on - OPS]],'System List'!$F$4:$H$7,3,FALSE),0)</f>
        <v>0</v>
      </c>
      <c r="BO13" s="2">
        <f>IFERROR(VLOOKUP(InputTable[[#This Row],[Impact on - ROLL STOCK]],'System List'!$F$4:$H$7,3,FALSE),0)</f>
        <v>0</v>
      </c>
      <c r="BP13" s="2">
        <f>IFERROR(VLOOKUP(InputTable[[#This Row],[Impact on - SAFETY]],'System List'!$F$4:$H$7,3,FALSE),0)</f>
        <v>0</v>
      </c>
      <c r="BQ13" s="2">
        <f>IFERROR(VLOOKUP(InputTable[[#This Row],[Impact on - STATION]],'System List'!$F$4:$H$7,3,FALSE),0)</f>
        <v>0</v>
      </c>
      <c r="BR13" s="2">
        <f>IFERROR(VLOOKUP(InputTable[[#This Row],[Impact on - STRAT]],'System List'!$F$4:$H$7,3,FALSE),0)</f>
        <v>0</v>
      </c>
      <c r="BT13" s="2">
        <f>IFERROR(VLOOKUP(InputTable[[#This Row],[CORPHRFIN]],'System List'!$F$4:$H$7,3,FALSE),0)</f>
        <v>0</v>
      </c>
      <c r="BU13" s="2">
        <f>IFERROR(VLOOKUP(InputTable[[#This Row],[CUST]],'System List'!$F$4:$H$7,3,FALSE),0)</f>
        <v>0</v>
      </c>
      <c r="BV13" s="2">
        <f>IFERROR(VLOOKUP(InputTable[[#This Row],[CYBER]],'System List'!$F$4:$H$7,3,FALSE),0)</f>
        <v>0</v>
      </c>
      <c r="BW13" s="2">
        <f>IFERROR(VLOOKUP(InputTable[[#This Row],[DATA]],'System List'!$F$4:$H$7,3,FALSE),0)</f>
        <v>0</v>
      </c>
      <c r="BX13" s="2">
        <f>IFERROR(VLOOKUP(InputTable[[#This Row],[INFRA]],'System List'!$F$4:$H$7,3,FALSE),0)</f>
        <v>0</v>
      </c>
      <c r="BY13" s="2">
        <f>IFERROR(VLOOKUP(InputTable[[#This Row],[OPERATIONS]],'System List'!$F$4:$H$7,3,FALSE),0)</f>
        <v>0</v>
      </c>
      <c r="BZ13" s="2">
        <f>IFERROR(VLOOKUP(InputTable[[#This Row],[PMO]],'System List'!$F$4:$H$7,3,FALSE),0)</f>
        <v>0</v>
      </c>
      <c r="CA13" s="2">
        <f>IFERROR(VLOOKUP(InputTable[[#This Row],[SALES]],'System List'!$F$4:$H$7,3,FALSE),0)</f>
        <v>0</v>
      </c>
      <c r="CC13" s="2" cm="1">
        <f t="array" ref="CC1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" s="2" cm="1">
        <f t="array" ref="CD1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" s="2" cm="1">
        <f t="array" ref="CE1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" s="2" cm="1">
        <f t="array" ref="CF1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" s="2" cm="1">
        <f t="array" ref="CG1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" s="2" cm="1">
        <f t="array" ref="CH1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" s="2" cm="1">
        <f t="array" ref="CI1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" s="2" cm="1">
        <f t="array" ref="CJ1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" s="2" cm="1">
        <f t="array" ref="CK1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" s="26">
        <f t="shared" ref="CX13:DF13" si="75">CN13*_xlfn.XLOOKUP(CX$1,$BT$2:$CA$2,$BT13:$CA13,0)</f>
        <v>0</v>
      </c>
      <c r="CY13" s="26">
        <f t="shared" si="75"/>
        <v>0</v>
      </c>
      <c r="CZ13" s="26">
        <f t="shared" si="75"/>
        <v>0</v>
      </c>
      <c r="DA13" s="26">
        <f t="shared" si="75"/>
        <v>0</v>
      </c>
      <c r="DB13" s="26">
        <f t="shared" si="75"/>
        <v>0</v>
      </c>
      <c r="DC13" s="26">
        <f t="shared" si="75"/>
        <v>0</v>
      </c>
      <c r="DD13" s="26">
        <f t="shared" si="75"/>
        <v>0</v>
      </c>
      <c r="DE13" s="26">
        <f t="shared" si="75"/>
        <v>0</v>
      </c>
      <c r="DF13" s="26">
        <f t="shared" si="75"/>
        <v>0</v>
      </c>
      <c r="DH13" s="26">
        <f>$CN13*_xlfn.XLOOKUP(DH$1,$BT$2:$CA$2,$BT13:$CA13,0)</f>
        <v>0</v>
      </c>
      <c r="DI13" s="26">
        <f>$CO13*_xlfn.XLOOKUP(DI$1,$BT$2:$CA$2,$BT13:$CA13,0)</f>
        <v>0</v>
      </c>
      <c r="DJ13" s="26">
        <f>$CP13*_xlfn.XLOOKUP(DJ$1,$BT$2:$CA$2,$BT13:$CA13,0)</f>
        <v>0</v>
      </c>
      <c r="DK13" s="26">
        <f>$CQ13*_xlfn.XLOOKUP(DK$1,$BT$2:$CA$2,$BT13:$CA13,0)</f>
        <v>0</v>
      </c>
      <c r="DL13" s="26">
        <f>$CR13*_xlfn.XLOOKUP(DL$1,$BT$2:$CA$2,$BT13:$CA13,0)</f>
        <v>0</v>
      </c>
      <c r="DM13" s="26">
        <f>$CS13*_xlfn.XLOOKUP(DM$1,$BT$2:$CA$2,$BT13:$CA13,0)</f>
        <v>0</v>
      </c>
      <c r="DN13" s="26">
        <f>$CT13*_xlfn.XLOOKUP(DN$1,$BT$2:$CA$2,$BT13:$CA13,0)</f>
        <v>0</v>
      </c>
      <c r="DO13" s="26">
        <f>$CU13*_xlfn.XLOOKUP(DO$1,$BT$2:$CA$2,$BT13:$CA13,0)</f>
        <v>0</v>
      </c>
      <c r="DP13" s="26">
        <f>$CV13*_xlfn.XLOOKUP(DP$1,$BT$2:$CA$2,$BT13:$CA13,0)</f>
        <v>0</v>
      </c>
      <c r="DR13" s="26">
        <f>$CN13*_xlfn.XLOOKUP(DR$1,$BT$2:$CA$2,$BT13:$CA13,0)</f>
        <v>0</v>
      </c>
      <c r="DS13" s="26">
        <f>$CO13*_xlfn.XLOOKUP(DS$1,$BT$2:$CA$2,$BT13:$CA13,0)</f>
        <v>0</v>
      </c>
      <c r="DT13" s="26">
        <f>$CP13*_xlfn.XLOOKUP(DT$1,$BT$2:$CA$2,$BT13:$CA13,0)</f>
        <v>0</v>
      </c>
      <c r="DU13" s="26">
        <f>$CQ13*_xlfn.XLOOKUP(DU$1,$BT$2:$CA$2,$BT13:$CA13,0)</f>
        <v>0</v>
      </c>
      <c r="DV13" s="26">
        <f>$CR13*_xlfn.XLOOKUP(DV$1,$BT$2:$CA$2,$BT13:$CA13,0)</f>
        <v>0</v>
      </c>
      <c r="DW13" s="26">
        <f>$CS13*_xlfn.XLOOKUP(DW$1,$BT$2:$CA$2,$BT13:$CA13,0)</f>
        <v>0</v>
      </c>
      <c r="DX13" s="26">
        <f>$CT13*_xlfn.XLOOKUP(DX$1,$BT$2:$CA$2,$BT13:$CA13,0)</f>
        <v>0</v>
      </c>
      <c r="DY13" s="26">
        <f>$CU13*_xlfn.XLOOKUP(DY$1,$BT$2:$CA$2,$BT13:$CA13,0)</f>
        <v>0</v>
      </c>
      <c r="DZ13" s="26">
        <f>$CV13*_xlfn.XLOOKUP(DZ$1,$BT$2:$CA$2,$BT13:$CA13,0)</f>
        <v>0</v>
      </c>
      <c r="EB13" s="26">
        <f>$CN13*_xlfn.XLOOKUP(EB$1,$BT$2:$CA$2,$BT13:$CA13,0)</f>
        <v>0</v>
      </c>
      <c r="EC13" s="26">
        <f>$CO13*_xlfn.XLOOKUP(EC$1,$BT$2:$CA$2,$BT13:$CA13,0)</f>
        <v>0</v>
      </c>
      <c r="ED13" s="26">
        <f>$CP13*_xlfn.XLOOKUP(ED$1,$BT$2:$CA$2,$BT13:$CA13,0)</f>
        <v>0</v>
      </c>
      <c r="EE13" s="26">
        <f>$CQ13*_xlfn.XLOOKUP(EE$1,$BT$2:$CA$2,$BT13:$CA13,0)</f>
        <v>0</v>
      </c>
      <c r="EF13" s="26">
        <f>$CR13*_xlfn.XLOOKUP(EF$1,$BT$2:$CA$2,$BT13:$CA13,0)</f>
        <v>0</v>
      </c>
      <c r="EG13" s="26">
        <f>$CS13*_xlfn.XLOOKUP(EG$1,$BT$2:$CA$2,$BT13:$CA13,0)</f>
        <v>0</v>
      </c>
      <c r="EH13" s="26">
        <f>$CT13*_xlfn.XLOOKUP(EH$1,$BT$2:$CA$2,$BT13:$CA13,0)</f>
        <v>0</v>
      </c>
      <c r="EI13" s="26">
        <f>$CU13*_xlfn.XLOOKUP(EI$1,$BT$2:$CA$2,$BT13:$CA13,0)</f>
        <v>0</v>
      </c>
      <c r="EJ13" s="26">
        <f>$CV13*_xlfn.XLOOKUP(EJ$1,$BT$2:$CA$2,$BT13:$CA13,0)</f>
        <v>0</v>
      </c>
      <c r="EL13" s="26">
        <f>$CN13*_xlfn.XLOOKUP(EL$1,$BT$2:$CA$2,$BT13:$CA13,0)</f>
        <v>0</v>
      </c>
      <c r="EM13" s="26">
        <f>$CO13*_xlfn.XLOOKUP(EM$1,$BT$2:$CA$2,$BT13:$CA13,0)</f>
        <v>0</v>
      </c>
      <c r="EN13" s="26">
        <f>$CP13*_xlfn.XLOOKUP(EN$1,$BT$2:$CA$2,$BT13:$CA13,0)</f>
        <v>0</v>
      </c>
      <c r="EO13" s="26">
        <f>$CQ13*_xlfn.XLOOKUP(EO$1,$BT$2:$CA$2,$BT13:$CA13,0)</f>
        <v>0</v>
      </c>
      <c r="EP13" s="26">
        <f>$CR13*_xlfn.XLOOKUP(EP$1,$BT$2:$CA$2,$BT13:$CA13,0)</f>
        <v>0</v>
      </c>
      <c r="EQ13" s="26">
        <f>$CS13*_xlfn.XLOOKUP(EQ$1,$BT$2:$CA$2,$BT13:$CA13,0)</f>
        <v>0</v>
      </c>
      <c r="ER13" s="26">
        <f>$CT13*_xlfn.XLOOKUP(ER$1,$BT$2:$CA$2,$BT13:$CA13,0)</f>
        <v>0</v>
      </c>
      <c r="ES13" s="26">
        <f>$CU13*_xlfn.XLOOKUP(ES$1,$BT$2:$CA$2,$BT13:$CA13,0)</f>
        <v>0</v>
      </c>
      <c r="ET13" s="26">
        <f>$CV13*_xlfn.XLOOKUP(ET$1,$BT$2:$CA$2,$BT13:$CA13,0)</f>
        <v>0</v>
      </c>
      <c r="EV13" s="26">
        <f>$CN13*_xlfn.XLOOKUP(EV$1,$BT$2:$CA$2,$BT13:$CA13,0)</f>
        <v>0</v>
      </c>
      <c r="EW13" s="26">
        <f>$CO13*_xlfn.XLOOKUP(EW$1,$BT$2:$CA$2,$BT13:$CA13,0)</f>
        <v>0</v>
      </c>
      <c r="EX13" s="26">
        <f>$CP13*_xlfn.XLOOKUP(EX$1,$BT$2:$CA$2,$BT13:$CA13,0)</f>
        <v>0</v>
      </c>
      <c r="EY13" s="26">
        <f>$CQ13*_xlfn.XLOOKUP(EY$1,$BT$2:$CA$2,$BT13:$CA13,0)</f>
        <v>0</v>
      </c>
      <c r="EZ13" s="26">
        <f>$CR13*_xlfn.XLOOKUP(EZ$1,$BT$2:$CA$2,$BT13:$CA13,0)</f>
        <v>0</v>
      </c>
      <c r="FA13" s="26">
        <f>$CS13*_xlfn.XLOOKUP(FA$1,$BT$2:$CA$2,$BT13:$CA13,0)</f>
        <v>0</v>
      </c>
      <c r="FB13" s="26">
        <f>$CT13*_xlfn.XLOOKUP(FB$1,$BT$2:$CA$2,$BT13:$CA13,0)</f>
        <v>0</v>
      </c>
      <c r="FC13" s="26">
        <f>$CU13*_xlfn.XLOOKUP(FC$1,$BT$2:$CA$2,$BT13:$CA13,0)</f>
        <v>0</v>
      </c>
      <c r="FD13" s="26">
        <f>$CV13*_xlfn.XLOOKUP(FD$1,$BT$2:$CA$2,$BT13:$CA13,0)</f>
        <v>0</v>
      </c>
      <c r="FF13" s="26">
        <f>$CN13*_xlfn.XLOOKUP(FF$1,$BT$2:$CA$2,$BT13:$CA13,0)</f>
        <v>0</v>
      </c>
      <c r="FG13" s="26">
        <f>$CO13*_xlfn.XLOOKUP(FG$1,$BT$2:$CA$2,$BT13:$CA13,0)</f>
        <v>0</v>
      </c>
      <c r="FH13" s="26">
        <f>$CP13*_xlfn.XLOOKUP(FH$1,$BT$2:$CA$2,$BT13:$CA13,0)</f>
        <v>0</v>
      </c>
      <c r="FI13" s="26">
        <f>$CQ13*_xlfn.XLOOKUP(FI$1,$BT$2:$CA$2,$BT13:$CA13,0)</f>
        <v>0</v>
      </c>
      <c r="FJ13" s="26">
        <f>$CR13*_xlfn.XLOOKUP(FJ$1,$BT$2:$CA$2,$BT13:$CA13,0)</f>
        <v>0</v>
      </c>
      <c r="FK13" s="26">
        <f>$CS13*_xlfn.XLOOKUP(FK$1,$BT$2:$CA$2,$BT13:$CA13,0)</f>
        <v>0</v>
      </c>
      <c r="FL13" s="26">
        <f>$CT13*_xlfn.XLOOKUP(FL$1,$BT$2:$CA$2,$BT13:$CA13,0)</f>
        <v>0</v>
      </c>
      <c r="FM13" s="26">
        <f>$CU13*_xlfn.XLOOKUP(FM$1,$BT$2:$CA$2,$BT13:$CA13,0)</f>
        <v>0</v>
      </c>
      <c r="FN13" s="26">
        <f>$CV13*_xlfn.XLOOKUP(FN$1,$BT$2:$CA$2,$BT13:$CA13,0)</f>
        <v>0</v>
      </c>
      <c r="FP13" s="26" t="e">
        <f>$CN13*_xlfn.XLOOKUP(FP$1,$BT$2:$CA$2,$BT13:$CA13,0)</f>
        <v>#REF!</v>
      </c>
      <c r="FQ13" s="26" t="e">
        <f>$CO13*_xlfn.XLOOKUP(FQ$1,$BT$2:$CA$2,$BT13:$CA13,0)</f>
        <v>#REF!</v>
      </c>
      <c r="FR13" s="26" t="e">
        <f>$CP13*_xlfn.XLOOKUP(FR$1,$BT$2:$CA$2,$BT13:$CA13,0)</f>
        <v>#REF!</v>
      </c>
      <c r="FS13" s="26" t="e">
        <f>$CQ13*_xlfn.XLOOKUP(FS$1,$BT$2:$CA$2,$BT13:$CA13,0)</f>
        <v>#REF!</v>
      </c>
      <c r="FT13" s="26" t="e">
        <f>$CR13*_xlfn.XLOOKUP(FT$1,$BT$2:$CA$2,$BT13:$CA13,0)</f>
        <v>#REF!</v>
      </c>
      <c r="FU13" s="26" t="e">
        <f>$CS13*_xlfn.XLOOKUP(FU$1,$BT$2:$CA$2,$BT13:$CA13,0)</f>
        <v>#REF!</v>
      </c>
      <c r="FV13" s="26" t="e">
        <f>$CT13*_xlfn.XLOOKUP(FV$1,$BT$2:$CA$2,$BT13:$CA13,0)</f>
        <v>#REF!</v>
      </c>
      <c r="FW13" s="26" t="e">
        <f>$CU13*_xlfn.XLOOKUP(FW$1,$BT$2:$CA$2,$BT13:$CA13,0)</f>
        <v>#REF!</v>
      </c>
      <c r="FX13" s="26" t="e">
        <f>$CV13*_xlfn.XLOOKUP(FX$1,$BT$2:$CA$2,$BT13:$CA13,0)</f>
        <v>#REF!</v>
      </c>
      <c r="GB13" s="26" t="e">
        <f>IF(GB$2=InputTable[[#This Row],[Delivery Date]],_xlfn.XLOOKUP(GB$1,$BH$2:$BR$2,$BH13:$BR13,0),0)</f>
        <v>#REF!</v>
      </c>
      <c r="GC13" s="26">
        <f>IF(GC$2=InputTable[[#This Row],[Delivery Date]],_xlfn.XLOOKUP(GC$1,$BH$2:$BR$2,$BH13:$BR13,0),0)</f>
        <v>0</v>
      </c>
      <c r="GD13" s="26">
        <f>IF(GD$2=InputTable[[#This Row],[Delivery Date]],_xlfn.XLOOKUP(GD$1,$BH$2:$BR$2,$BH13:$BR13,0),0)</f>
        <v>0</v>
      </c>
      <c r="GE13" s="26">
        <f>IF(GE$2=InputTable[[#This Row],[Delivery Date]],_xlfn.XLOOKUP(GE$1,$BH$2:$BR$2,$BH13:$BR13,0),0)</f>
        <v>0</v>
      </c>
      <c r="GF13" s="26">
        <f>IF(GF$2=InputTable[[#This Row],[Delivery Date]],_xlfn.XLOOKUP(GF$1,$BH$2:$BR$2,$BH13:$BR13,0),0)</f>
        <v>0</v>
      </c>
      <c r="GG13" s="26">
        <f>IF(GG$2=InputTable[[#This Row],[Delivery Date]],_xlfn.XLOOKUP(GG$1,$BH$2:$BR$2,$BH13:$BR13,0),0)</f>
        <v>0</v>
      </c>
      <c r="GH13" s="26">
        <f>IF(GH$2=InputTable[[#This Row],[Delivery Date]],_xlfn.XLOOKUP(GH$1,$BH$2:$BR$2,$BH13:$BR13,0),0)</f>
        <v>0</v>
      </c>
      <c r="GI13" s="26">
        <f>IF(GI$2=InputTable[[#This Row],[Delivery Date]],_xlfn.XLOOKUP(GI$1,$BH$2:$BR$2,$BH13:$BR13,0),0)</f>
        <v>0</v>
      </c>
      <c r="GJ13" s="26">
        <f>IF(GJ$2=InputTable[[#This Row],[Delivery Date]],_xlfn.XLOOKUP(GJ$1,$BH$2:$BR$2,$BH13:$BR13,0),0)</f>
        <v>0</v>
      </c>
      <c r="GL13" s="26" t="e">
        <f>IF(GL$2=InputTable[[#This Row],[Delivery Date]],_xlfn.XLOOKUP(GL$1,$BH$2:$BR$2,$BH13:$BR13,0),0)</f>
        <v>#REF!</v>
      </c>
      <c r="GM13" s="26">
        <f>IF(GM$2=InputTable[[#This Row],[Delivery Date]],_xlfn.XLOOKUP(GM$1,$BH$2:$BR$2,$BH13:$BR13,0),0)</f>
        <v>0</v>
      </c>
      <c r="GN13" s="26">
        <f>IF(GN$2=InputTable[[#This Row],[Delivery Date]],_xlfn.XLOOKUP(GN$1,$BH$2:$BR$2,$BH13:$BR13,0),0)</f>
        <v>0</v>
      </c>
      <c r="GO13" s="26">
        <f>IF(GO$2=InputTable[[#This Row],[Delivery Date]],_xlfn.XLOOKUP(GO$1,$BH$2:$BR$2,$BH13:$BR13,0),0)</f>
        <v>0</v>
      </c>
      <c r="GP13" s="26">
        <f>IF(GP$2=InputTable[[#This Row],[Delivery Date]],_xlfn.XLOOKUP(GP$1,$BH$2:$BR$2,$BH13:$BR13,0),0)</f>
        <v>0</v>
      </c>
      <c r="GQ13" s="26">
        <f>IF(GQ$2=InputTable[[#This Row],[Delivery Date]],_xlfn.XLOOKUP(GQ$1,$BH$2:$BR$2,$BH13:$BR13,0),0)</f>
        <v>0</v>
      </c>
      <c r="GR13" s="26">
        <f>IF(GR$2=InputTable[[#This Row],[Delivery Date]],_xlfn.XLOOKUP(GR$1,$BH$2:$BR$2,$BH13:$BR13,0),0)</f>
        <v>0</v>
      </c>
      <c r="GS13" s="26">
        <f>IF(GS$2=InputTable[[#This Row],[Delivery Date]],_xlfn.XLOOKUP(GS$1,$BH$2:$BR$2,$BH13:$BR13,0),0)</f>
        <v>0</v>
      </c>
      <c r="GT13" s="26">
        <f>IF(GT$2=InputTable[[#This Row],[Delivery Date]],_xlfn.XLOOKUP(GT$1,$BH$2:$BR$2,$BH13:$BR13,0),0)</f>
        <v>0</v>
      </c>
      <c r="GV13" s="26" t="e">
        <f>IF(GV$2=InputTable[[#This Row],[Delivery Date]],_xlfn.XLOOKUP(GV$1,$BH$2:$BR$2,$BH13:$BR13,0),0)</f>
        <v>#REF!</v>
      </c>
      <c r="GW13" s="26">
        <f>IF(GW$2=InputTable[[#This Row],[Delivery Date]],_xlfn.XLOOKUP(GW$1,$BH$2:$BR$2,$BH13:$BR13,0),0)</f>
        <v>0</v>
      </c>
      <c r="GX13" s="26">
        <f>IF(GX$2=InputTable[[#This Row],[Delivery Date]],_xlfn.XLOOKUP(GX$1,$BH$2:$BR$2,$BH13:$BR13,0),0)</f>
        <v>0</v>
      </c>
      <c r="GY13" s="26">
        <f>IF(GY$2=InputTable[[#This Row],[Delivery Date]],_xlfn.XLOOKUP(GY$1,$BH$2:$BR$2,$BH13:$BR13,0),0)</f>
        <v>0</v>
      </c>
      <c r="GZ13" s="26">
        <f>IF(GZ$2=InputTable[[#This Row],[Delivery Date]],_xlfn.XLOOKUP(GZ$1,$BH$2:$BR$2,$BH13:$BR13,0),0)</f>
        <v>0</v>
      </c>
      <c r="HA13" s="26">
        <f>IF(HA$2=InputTable[[#This Row],[Delivery Date]],_xlfn.XLOOKUP(HA$1,$BH$2:$BR$2,$BH13:$BR13,0),0)</f>
        <v>0</v>
      </c>
      <c r="HB13" s="26">
        <f>IF(HB$2=InputTable[[#This Row],[Delivery Date]],_xlfn.XLOOKUP(HB$1,$BH$2:$BR$2,$BH13:$BR13,0),0)</f>
        <v>0</v>
      </c>
      <c r="HC13" s="26">
        <f>IF(HC$2=InputTable[[#This Row],[Delivery Date]],_xlfn.XLOOKUP(HC$1,$BH$2:$BR$2,$BH13:$BR13,0),0)</f>
        <v>0</v>
      </c>
      <c r="HD13" s="26">
        <f>IF(HD$2=InputTable[[#This Row],[Delivery Date]],_xlfn.XLOOKUP(HD$1,$BH$2:$BR$2,$BH13:$BR13,0),0)</f>
        <v>0</v>
      </c>
      <c r="HF13" s="26" t="e">
        <f>IF(HF$2=InputTable[[#This Row],[Delivery Date]],_xlfn.XLOOKUP(HF$1,$BH$2:$BR$2,$BH13:$BR13,0),0)</f>
        <v>#REF!</v>
      </c>
      <c r="HG13" s="26">
        <f>IF(HG$2=InputTable[[#This Row],[Delivery Date]],_xlfn.XLOOKUP(HG$1,$BH$2:$BR$2,$BH13:$BR13,0),0)</f>
        <v>0</v>
      </c>
      <c r="HH13" s="26">
        <f>IF(HH$2=InputTable[[#This Row],[Delivery Date]],_xlfn.XLOOKUP(HH$1,$BH$2:$BR$2,$BH13:$BR13,0),0)</f>
        <v>0</v>
      </c>
      <c r="HI13" s="26">
        <f>IF(HI$2=InputTable[[#This Row],[Delivery Date]],_xlfn.XLOOKUP(HI$1,$BH$2:$BR$2,$BH13:$BR13,0),0)</f>
        <v>0</v>
      </c>
      <c r="HJ13" s="26">
        <f>IF(HJ$2=InputTable[[#This Row],[Delivery Date]],_xlfn.XLOOKUP(HJ$1,$BH$2:$BR$2,$BH13:$BR13,0),0)</f>
        <v>0</v>
      </c>
      <c r="HK13" s="26">
        <f>IF(HK$2=InputTable[[#This Row],[Delivery Date]],_xlfn.XLOOKUP(HK$1,$BH$2:$BR$2,$BH13:$BR13,0),0)</f>
        <v>0</v>
      </c>
      <c r="HL13" s="26">
        <f>IF(HL$2=InputTable[[#This Row],[Delivery Date]],_xlfn.XLOOKUP(HL$1,$BH$2:$BR$2,$BH13:$BR13,0),0)</f>
        <v>0</v>
      </c>
      <c r="HM13" s="26">
        <f>IF(HM$2=InputTable[[#This Row],[Delivery Date]],_xlfn.XLOOKUP(HM$1,$BH$2:$BR$2,$BH13:$BR13,0),0)</f>
        <v>0</v>
      </c>
      <c r="HN13" s="26">
        <f>IF(HN$2=InputTable[[#This Row],[Delivery Date]],_xlfn.XLOOKUP(HN$1,$BH$2:$BR$2,$BH13:$BR13,0),0)</f>
        <v>0</v>
      </c>
      <c r="HP13" s="26" t="e">
        <f>IF(HP$2=InputTable[[#This Row],[Delivery Date]],_xlfn.XLOOKUP(HP$1,$BH$2:$BR$2,$BH13:$BR13,0),0)</f>
        <v>#REF!</v>
      </c>
      <c r="HQ13" s="26">
        <f>IF(HQ$2=InputTable[[#This Row],[Delivery Date]],_xlfn.XLOOKUP(HQ$1,$BH$2:$BR$2,$BH13:$BR13,0),0)</f>
        <v>0</v>
      </c>
      <c r="HR13" s="26">
        <f>IF(HR$2=InputTable[[#This Row],[Delivery Date]],_xlfn.XLOOKUP(HR$1,$BH$2:$BR$2,$BH13:$BR13,0),0)</f>
        <v>0</v>
      </c>
      <c r="HS13" s="26">
        <f>IF(HS$2=InputTable[[#This Row],[Delivery Date]],_xlfn.XLOOKUP(HS$1,$BH$2:$BR$2,$BH13:$BR13,0),0)</f>
        <v>0</v>
      </c>
      <c r="HT13" s="26">
        <f>IF(HT$2=InputTable[[#This Row],[Delivery Date]],_xlfn.XLOOKUP(HT$1,$BH$2:$BR$2,$BH13:$BR13,0),0)</f>
        <v>0</v>
      </c>
      <c r="HU13" s="26">
        <f>IF(HU$2=InputTable[[#This Row],[Delivery Date]],_xlfn.XLOOKUP(HU$1,$BH$2:$BR$2,$BH13:$BR13,0),0)</f>
        <v>0</v>
      </c>
      <c r="HV13" s="26">
        <f>IF(HV$2=InputTable[[#This Row],[Delivery Date]],_xlfn.XLOOKUP(HV$1,$BH$2:$BR$2,$BH13:$BR13,0),0)</f>
        <v>0</v>
      </c>
      <c r="HW13" s="26">
        <f>IF(HW$2=InputTable[[#This Row],[Delivery Date]],_xlfn.XLOOKUP(HW$1,$BH$2:$BR$2,$BH13:$BR13,0),0)</f>
        <v>0</v>
      </c>
      <c r="HX13" s="26">
        <f>IF(HX$2=InputTable[[#This Row],[Delivery Date]],_xlfn.XLOOKUP(HX$1,$BH$2:$BR$2,$BH13:$BR13,0),0)</f>
        <v>0</v>
      </c>
      <c r="HZ13" s="26" t="e">
        <f>IF(HZ$2=InputTable[[#This Row],[Delivery Date]],_xlfn.XLOOKUP(HZ$1,$BH$2:$BR$2,$BH13:$BR13,0),0)</f>
        <v>#REF!</v>
      </c>
      <c r="IA13" s="26">
        <f>IF(IA$2=InputTable[[#This Row],[Delivery Date]],_xlfn.XLOOKUP(IA$1,$BH$2:$BR$2,$BH13:$BR13,0),0)</f>
        <v>0</v>
      </c>
      <c r="IB13" s="26">
        <f>IF(IB$2=InputTable[[#This Row],[Delivery Date]],_xlfn.XLOOKUP(IB$1,$BH$2:$BR$2,$BH13:$BR13,0),0)</f>
        <v>0</v>
      </c>
      <c r="IC13" s="26">
        <f>IF(IC$2=InputTable[[#This Row],[Delivery Date]],_xlfn.XLOOKUP(IC$1,$BH$2:$BR$2,$BH13:$BR13,0),0)</f>
        <v>0</v>
      </c>
      <c r="ID13" s="26">
        <f>IF(ID$2=InputTable[[#This Row],[Delivery Date]],_xlfn.XLOOKUP(ID$1,$BH$2:$BR$2,$BH13:$BR13,0),0)</f>
        <v>0</v>
      </c>
      <c r="IE13" s="26">
        <f>IF(IE$2=InputTable[[#This Row],[Delivery Date]],_xlfn.XLOOKUP(IE$1,$BH$2:$BR$2,$BH13:$BR13,0),0)</f>
        <v>0</v>
      </c>
      <c r="IF13" s="26">
        <f>IF(IF$2=InputTable[[#This Row],[Delivery Date]],_xlfn.XLOOKUP(IF$1,$BH$2:$BR$2,$BH13:$BR13,0),0)</f>
        <v>0</v>
      </c>
      <c r="IG13" s="26">
        <f>IF(IG$2=InputTable[[#This Row],[Delivery Date]],_xlfn.XLOOKUP(IG$1,$BH$2:$BR$2,$BH13:$BR13,0),0)</f>
        <v>0</v>
      </c>
      <c r="IH13" s="26">
        <f>IF(IH$2=InputTable[[#This Row],[Delivery Date]],_xlfn.XLOOKUP(IH$1,$BH$2:$BR$2,$BH13:$BR13,0),0)</f>
        <v>0</v>
      </c>
      <c r="IJ13" s="26" t="e">
        <f>IF(IJ$2=InputTable[[#This Row],[Delivery Date]],_xlfn.XLOOKUP(IJ$1,$BH$2:$BR$2,$BH13:$BR13,0),0)</f>
        <v>#REF!</v>
      </c>
      <c r="IK13" s="26">
        <f>IF(IK$2=InputTable[[#This Row],[Delivery Date]],_xlfn.XLOOKUP(IK$1,$BH$2:$BR$2,$BH13:$BR13,0),0)</f>
        <v>0</v>
      </c>
      <c r="IL13" s="26">
        <f>IF(IL$2=InputTable[[#This Row],[Delivery Date]],_xlfn.XLOOKUP(IL$1,$BH$2:$BR$2,$BH13:$BR13,0),0)</f>
        <v>0</v>
      </c>
      <c r="IM13" s="26">
        <f>IF(IM$2=InputTable[[#This Row],[Delivery Date]],_xlfn.XLOOKUP(IM$1,$BH$2:$BR$2,$BH13:$BR13,0),0)</f>
        <v>0</v>
      </c>
      <c r="IN13" s="26">
        <f>IF(IN$2=InputTable[[#This Row],[Delivery Date]],_xlfn.XLOOKUP(IN$1,$BH$2:$BR$2,$BH13:$BR13,0),0)</f>
        <v>0</v>
      </c>
      <c r="IO13" s="26">
        <f>IF(IO$2=InputTable[[#This Row],[Delivery Date]],_xlfn.XLOOKUP(IO$1,$BH$2:$BR$2,$BH13:$BR13,0),0)</f>
        <v>0</v>
      </c>
      <c r="IP13" s="26">
        <f>IF(IP$2=InputTable[[#This Row],[Delivery Date]],_xlfn.XLOOKUP(IP$1,$BH$2:$BR$2,$BH13:$BR13,0),0)</f>
        <v>0</v>
      </c>
      <c r="IQ13" s="26">
        <f>IF(IQ$2=InputTable[[#This Row],[Delivery Date]],_xlfn.XLOOKUP(IQ$1,$BH$2:$BR$2,$BH13:$BR13,0),0)</f>
        <v>0</v>
      </c>
      <c r="IR13" s="26">
        <f>IF(IR$2=InputTable[[#This Row],[Delivery Date]],_xlfn.XLOOKUP(IR$1,$BH$2:$BR$2,$BH13:$BR13,0),0)</f>
        <v>0</v>
      </c>
      <c r="IT13" s="26" t="e">
        <f>IF(IT$2=InputTable[[#This Row],[Delivery Date]],_xlfn.XLOOKUP(IT$1,$BH$2:$BR$2,$BH13:$BR13,0),0)</f>
        <v>#REF!</v>
      </c>
      <c r="IU13" s="26">
        <f>IF(IU$2=InputTable[[#This Row],[Delivery Date]],_xlfn.XLOOKUP(IU$1,$BH$2:$BR$2,$BH13:$BR13,0),0)</f>
        <v>0</v>
      </c>
      <c r="IV13" s="26">
        <f>IF(IV$2=InputTable[[#This Row],[Delivery Date]],_xlfn.XLOOKUP(IV$1,$BH$2:$BR$2,$BH13:$BR13,0),0)</f>
        <v>0</v>
      </c>
      <c r="IW13" s="26">
        <f>IF(IW$2=InputTable[[#This Row],[Delivery Date]],_xlfn.XLOOKUP(IW$1,$BH$2:$BR$2,$BH13:$BR13,0),0)</f>
        <v>0</v>
      </c>
      <c r="IX13" s="26">
        <f>IF(IX$2=InputTable[[#This Row],[Delivery Date]],_xlfn.XLOOKUP(IX$1,$BH$2:$BR$2,$BH13:$BR13,0),0)</f>
        <v>0</v>
      </c>
      <c r="IY13" s="26">
        <f>IF(IY$2=InputTable[[#This Row],[Delivery Date]],_xlfn.XLOOKUP(IY$1,$BH$2:$BR$2,$BH13:$BR13,0),0)</f>
        <v>0</v>
      </c>
      <c r="IZ13" s="26">
        <f>IF(IZ$2=InputTable[[#This Row],[Delivery Date]],_xlfn.XLOOKUP(IZ$1,$BH$2:$BR$2,$BH13:$BR13,0),0)</f>
        <v>0</v>
      </c>
      <c r="JA13" s="26">
        <f>IF(JA$2=InputTable[[#This Row],[Delivery Date]],_xlfn.XLOOKUP(JA$1,$BH$2:$BR$2,$BH13:$BR13,0),0)</f>
        <v>0</v>
      </c>
      <c r="JB13" s="26">
        <f>IF(JB$2=InputTable[[#This Row],[Delivery Date]],_xlfn.XLOOKUP(JB$1,$BH$2:$BR$2,$BH13:$BR13,0),0)</f>
        <v>0</v>
      </c>
      <c r="JD13" s="26" t="e">
        <f>IF(JD$2=InputTable[[#This Row],[Delivery Date]],_xlfn.XLOOKUP(JD$1,$BH$2:$BR$2,$BH13:$BR13,0),0)</f>
        <v>#REF!</v>
      </c>
      <c r="JE13" s="26">
        <f>IF(JE$2=InputTable[[#This Row],[Delivery Date]],_xlfn.XLOOKUP(JE$1,$BH$2:$BR$2,$BH13:$BR13,0),0)</f>
        <v>0</v>
      </c>
      <c r="JF13" s="26">
        <f>IF(JF$2=InputTable[[#This Row],[Delivery Date]],_xlfn.XLOOKUP(JF$1,$BH$2:$BR$2,$BH13:$BR13,0),0)</f>
        <v>0</v>
      </c>
      <c r="JG13" s="26">
        <f>IF(JG$2=InputTable[[#This Row],[Delivery Date]],_xlfn.XLOOKUP(JG$1,$BH$2:$BR$2,$BH13:$BR13,0),0)</f>
        <v>0</v>
      </c>
      <c r="JH13" s="26">
        <f>IF(JH$2=InputTable[[#This Row],[Delivery Date]],_xlfn.XLOOKUP(JH$1,$BH$2:$BR$2,$BH13:$BR13,0),0)</f>
        <v>0</v>
      </c>
      <c r="JI13" s="26">
        <f>IF(JI$2=InputTable[[#This Row],[Delivery Date]],_xlfn.XLOOKUP(JI$1,$BH$2:$BR$2,$BH13:$BR13,0),0)</f>
        <v>0</v>
      </c>
      <c r="JJ13" s="26">
        <f>IF(JJ$2=InputTable[[#This Row],[Delivery Date]],_xlfn.XLOOKUP(JJ$1,$BH$2:$BR$2,$BH13:$BR13,0),0)</f>
        <v>0</v>
      </c>
      <c r="JK13" s="26">
        <f>IF(JK$2=InputTable[[#This Row],[Delivery Date]],_xlfn.XLOOKUP(JK$1,$BH$2:$BR$2,$BH13:$BR13,0),0)</f>
        <v>0</v>
      </c>
      <c r="JL13" s="26">
        <f>IF(JL$2=InputTable[[#This Row],[Delivery Date]],_xlfn.XLOOKUP(JL$1,$BH$2:$BR$2,$BH13:$BR13,0),0)</f>
        <v>0</v>
      </c>
      <c r="JN13" s="26" t="e">
        <f>IF(JN$2=InputTable[[#This Row],[Delivery Date]],_xlfn.XLOOKUP(JN$1,$BH$2:$BR$2,$BH13:$BR13,0),0)</f>
        <v>#REF!</v>
      </c>
      <c r="JO13" s="26">
        <f>IF(JO$2=InputTable[[#This Row],[Delivery Date]],_xlfn.XLOOKUP(JO$1,$BH$2:$BR$2,$BH13:$BR13,0),0)</f>
        <v>0</v>
      </c>
      <c r="JP13" s="26">
        <f>IF(JP$2=InputTable[[#This Row],[Delivery Date]],_xlfn.XLOOKUP(JP$1,$BH$2:$BR$2,$BH13:$BR13,0),0)</f>
        <v>0</v>
      </c>
      <c r="JQ13" s="26">
        <f>IF(JQ$2=InputTable[[#This Row],[Delivery Date]],_xlfn.XLOOKUP(JQ$1,$BH$2:$BR$2,$BH13:$BR13,0),0)</f>
        <v>0</v>
      </c>
      <c r="JR13" s="26">
        <f>IF(JR$2=InputTable[[#This Row],[Delivery Date]],_xlfn.XLOOKUP(JR$1,$BH$2:$BR$2,$BH13:$BR13,0),0)</f>
        <v>0</v>
      </c>
      <c r="JS13" s="26">
        <f>IF(JS$2=InputTable[[#This Row],[Delivery Date]],_xlfn.XLOOKUP(JS$1,$BH$2:$BR$2,$BH13:$BR13,0),0)</f>
        <v>0</v>
      </c>
      <c r="JT13" s="26">
        <f>IF(JT$2=InputTable[[#This Row],[Delivery Date]],_xlfn.XLOOKUP(JT$1,$BH$2:$BR$2,$BH13:$BR13,0),0)</f>
        <v>0</v>
      </c>
      <c r="JU13" s="26">
        <f>IF(JU$2=InputTable[[#This Row],[Delivery Date]],_xlfn.XLOOKUP(JU$1,$BH$2:$BR$2,$BH13:$BR13,0),0)</f>
        <v>0</v>
      </c>
      <c r="JV13" s="26">
        <f>IF(JV$2=InputTable[[#This Row],[Delivery Date]],_xlfn.XLOOKUP(JV$1,$BH$2:$BR$2,$BH13:$BR13,0),0)</f>
        <v>0</v>
      </c>
      <c r="JX13" s="26" t="e">
        <f>IF(JX$2=InputTable[[#This Row],[Delivery Date]],_xlfn.XLOOKUP(JX$1,$BH$2:$BR$2,$BH13:$BR13,0),0)</f>
        <v>#REF!</v>
      </c>
      <c r="JY13" s="26">
        <f>IF(JY$2=InputTable[[#This Row],[Delivery Date]],_xlfn.XLOOKUP(JY$1,$BH$2:$BR$2,$BH13:$BR13,0),0)</f>
        <v>0</v>
      </c>
      <c r="JZ13" s="26">
        <f>IF(JZ$2=InputTable[[#This Row],[Delivery Date]],_xlfn.XLOOKUP(JZ$1,$BH$2:$BR$2,$BH13:$BR13,0),0)</f>
        <v>0</v>
      </c>
      <c r="KA13" s="26">
        <f>IF(KA$2=InputTable[[#This Row],[Delivery Date]],_xlfn.XLOOKUP(KA$1,$BH$2:$BR$2,$BH13:$BR13,0),0)</f>
        <v>0</v>
      </c>
      <c r="KB13" s="26">
        <f>IF(KB$2=InputTable[[#This Row],[Delivery Date]],_xlfn.XLOOKUP(KB$1,$BH$2:$BR$2,$BH13:$BR13,0),0)</f>
        <v>0</v>
      </c>
      <c r="KC13" s="26">
        <f>IF(KC$2=InputTable[[#This Row],[Delivery Date]],_xlfn.XLOOKUP(KC$1,$BH$2:$BR$2,$BH13:$BR13,0),0)</f>
        <v>0</v>
      </c>
      <c r="KD13" s="26">
        <f>IF(KD$2=InputTable[[#This Row],[Delivery Date]],_xlfn.XLOOKUP(KD$1,$BH$2:$BR$2,$BH13:$BR13,0),0)</f>
        <v>0</v>
      </c>
      <c r="KE13" s="26">
        <f>IF(KE$2=InputTable[[#This Row],[Delivery Date]],_xlfn.XLOOKUP(KE$1,$BH$2:$BR$2,$BH13:$BR13,0),0)</f>
        <v>0</v>
      </c>
      <c r="KF13" s="26">
        <f>IF(KF$2=InputTable[[#This Row],[Delivery Date]],_xlfn.XLOOKUP(KF$1,$BH$2:$BR$2,$BH13:$BR13,0),0)</f>
        <v>0</v>
      </c>
    </row>
    <row r="14" spans="1:292" ht="39.6" customHeight="1" x14ac:dyDescent="0.25">
      <c r="A14" s="141" t="s">
        <v>134</v>
      </c>
      <c r="B14" s="141" t="s">
        <v>92</v>
      </c>
      <c r="C14" s="92" t="s">
        <v>56</v>
      </c>
      <c r="D14" s="125" t="s">
        <v>135</v>
      </c>
      <c r="E14" s="142" t="s">
        <v>136</v>
      </c>
      <c r="F14" s="98" t="s">
        <v>16</v>
      </c>
      <c r="G14" s="114" t="s">
        <v>137</v>
      </c>
      <c r="H14" s="102" t="s">
        <v>100</v>
      </c>
      <c r="I14" s="98">
        <v>2026</v>
      </c>
      <c r="J14" s="125"/>
      <c r="K14" s="95" t="e">
        <f>VLOOKUP((InputTable[[#This Row],[Starting Date]]&amp; " - " &amp;InputTable[[#This Row],[Delivery Date]]),'System List'!$F$40:$H$83,2,FALSE)</f>
        <v>#N/A</v>
      </c>
      <c r="L14" s="95" t="e">
        <f>VLOOKUP(InputTable[[#This Row],[Duration]],Duration,2,FALSE)</f>
        <v>#N/A</v>
      </c>
      <c r="M14" s="125" t="s">
        <v>138</v>
      </c>
      <c r="N14" s="98" t="s">
        <v>111</v>
      </c>
      <c r="O14" s="98"/>
      <c r="P14" s="98"/>
      <c r="Q14" s="98" t="s">
        <v>100</v>
      </c>
      <c r="R14" s="98" t="s">
        <v>111</v>
      </c>
      <c r="S14" s="92"/>
      <c r="T14" s="95" cm="1">
        <f t="array" ref="T1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3.8</v>
      </c>
      <c r="U14" s="138"/>
      <c r="V14" s="98" t="s">
        <v>100</v>
      </c>
      <c r="W14" s="100"/>
      <c r="X14" s="100" t="s">
        <v>111</v>
      </c>
      <c r="Y14" s="98" t="s">
        <v>139</v>
      </c>
      <c r="Z14" s="100" t="s">
        <v>139</v>
      </c>
      <c r="AA14" s="98" t="s">
        <v>111</v>
      </c>
      <c r="AB14" s="98" t="s">
        <v>139</v>
      </c>
      <c r="AC14" s="100"/>
      <c r="AD14" s="92">
        <f>COUNTA(InputTable[[#This Row],[CORPHRFIN]:[SALES]])</f>
        <v>6</v>
      </c>
      <c r="AE14" s="88" cm="1">
        <f t="array" ref="AE14">SUM(
_xlfn.XLOOKUP(InputTable[[#This Row],[CORPHRFIN]:[SALES]],'System List'!$F$4:$F$7,'System List'!$H$4:$H$7,0))</f>
        <v>47</v>
      </c>
      <c r="AF14" s="140"/>
      <c r="AG14" s="101"/>
      <c r="AH14" s="101"/>
      <c r="AI14" s="101"/>
      <c r="AJ14" s="101"/>
      <c r="AK14" s="101" t="s">
        <v>139</v>
      </c>
      <c r="AL14" s="101"/>
      <c r="AM14" s="101"/>
      <c r="AN14" s="101"/>
      <c r="AO14" s="101"/>
      <c r="AP14" s="101"/>
      <c r="AQ14" s="101"/>
      <c r="AR14" s="88" cm="1">
        <f t="array" ref="AR14">SUM(
_xlfn.XLOOKUP(InputTable[[#This Row],[Impact on - CIAL]:[Impact on - STRAT]],'System List'!$F$4:$F$7,'System List'!$H$4:$H$7,0))</f>
        <v>8</v>
      </c>
      <c r="AS14" s="88" t="e">
        <f>VLOOKUP(InputTable[[#This Row],[Duration]],Duration,2,FALSE)+InputTable[[#This Row],[Resource Score]]</f>
        <v>#N/A</v>
      </c>
      <c r="AT1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" s="24" t="e">
        <f>InputTable[[#This Row],[Value Score]]/InputTable[[#This Row],[EFFORT SCORE]]*100</f>
        <v>#N/A</v>
      </c>
      <c r="AV14" s="25" t="str">
        <f>InputTable[[#This Row],[IS Portfolio Ref ID]]</f>
        <v>ISPRJ-14</v>
      </c>
      <c r="AW14" s="25" t="s">
        <v>140</v>
      </c>
      <c r="AX14" s="208" t="s">
        <v>141</v>
      </c>
      <c r="AY14" s="25"/>
      <c r="AZ14" s="209"/>
      <c r="BA14" s="209">
        <v>0</v>
      </c>
      <c r="BB14" s="209"/>
      <c r="BC14" s="189">
        <v>4100000</v>
      </c>
      <c r="BD14" s="188">
        <v>3</v>
      </c>
      <c r="BE14" s="188"/>
      <c r="BF14" s="7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T14" s="2"/>
      <c r="BU14" s="2"/>
      <c r="BV14" s="2"/>
      <c r="BW14" s="2"/>
      <c r="BX14" s="2"/>
      <c r="BY14" s="2"/>
      <c r="BZ14" s="2"/>
      <c r="CA14" s="2"/>
      <c r="CC14" s="2"/>
      <c r="CD14" s="2"/>
      <c r="CE14" s="2"/>
      <c r="CF14" s="2"/>
      <c r="CG14" s="2"/>
      <c r="CH14" s="2"/>
      <c r="CI14" s="2"/>
      <c r="CJ14" s="2"/>
      <c r="CK14" s="2"/>
      <c r="CN14" s="2"/>
      <c r="CO14" s="2"/>
      <c r="CP14" s="2"/>
      <c r="CQ14" s="2"/>
      <c r="CR14" s="2"/>
      <c r="CS14" s="2"/>
      <c r="CT14" s="2"/>
      <c r="CU14" s="2"/>
      <c r="CV14" s="2"/>
      <c r="CX14" s="26"/>
      <c r="CY14" s="26"/>
      <c r="CZ14" s="26"/>
      <c r="DA14" s="26"/>
      <c r="DB14" s="26"/>
      <c r="DC14" s="26"/>
      <c r="DD14" s="26"/>
      <c r="DE14" s="26"/>
      <c r="DF14" s="26"/>
      <c r="DH14" s="26"/>
      <c r="DI14" s="26"/>
      <c r="DJ14" s="26"/>
      <c r="DK14" s="26"/>
      <c r="DL14" s="26"/>
      <c r="DM14" s="26"/>
      <c r="DN14" s="26"/>
      <c r="DO14" s="26"/>
      <c r="DP14" s="26"/>
      <c r="DR14" s="26"/>
      <c r="DS14" s="26"/>
      <c r="DT14" s="26"/>
      <c r="DU14" s="26"/>
      <c r="DV14" s="26"/>
      <c r="DW14" s="26"/>
      <c r="DX14" s="26"/>
      <c r="DY14" s="26"/>
      <c r="DZ14" s="26"/>
      <c r="EB14" s="26"/>
      <c r="EC14" s="26"/>
      <c r="ED14" s="26"/>
      <c r="EE14" s="26"/>
      <c r="EF14" s="26"/>
      <c r="EG14" s="26"/>
      <c r="EH14" s="26"/>
      <c r="EI14" s="26"/>
      <c r="EJ14" s="26"/>
      <c r="EL14" s="26"/>
      <c r="EM14" s="26"/>
      <c r="EN14" s="26"/>
      <c r="EO14" s="26"/>
      <c r="EP14" s="26"/>
      <c r="EQ14" s="26"/>
      <c r="ER14" s="26"/>
      <c r="ES14" s="26"/>
      <c r="ET14" s="26"/>
      <c r="EV14" s="26"/>
      <c r="EW14" s="26"/>
      <c r="EX14" s="26"/>
      <c r="EY14" s="26"/>
      <c r="EZ14" s="26"/>
      <c r="FA14" s="26"/>
      <c r="FB14" s="26"/>
      <c r="FC14" s="26"/>
      <c r="FD14" s="26"/>
      <c r="FF14" s="26"/>
      <c r="FG14" s="26"/>
      <c r="FH14" s="26"/>
      <c r="FI14" s="26"/>
      <c r="FJ14" s="26"/>
      <c r="FK14" s="26"/>
      <c r="FL14" s="26"/>
      <c r="FM14" s="26"/>
      <c r="FN14" s="26"/>
      <c r="FP14" s="26"/>
      <c r="FQ14" s="26"/>
      <c r="FR14" s="26"/>
      <c r="FS14" s="26"/>
      <c r="FT14" s="26"/>
      <c r="FU14" s="26"/>
      <c r="FV14" s="26"/>
      <c r="FW14" s="26"/>
      <c r="FX14" s="26"/>
      <c r="GB14" s="26"/>
      <c r="GC14" s="26"/>
      <c r="GD14" s="26"/>
      <c r="GE14" s="26"/>
      <c r="GF14" s="26"/>
      <c r="GG14" s="26"/>
      <c r="GH14" s="26"/>
      <c r="GI14" s="26"/>
      <c r="GJ14" s="26"/>
      <c r="GL14" s="26"/>
      <c r="GM14" s="26"/>
      <c r="GN14" s="26"/>
      <c r="GO14" s="26"/>
      <c r="GP14" s="26"/>
      <c r="GQ14" s="26"/>
      <c r="GR14" s="26"/>
      <c r="GS14" s="26"/>
      <c r="GT14" s="26"/>
      <c r="GV14" s="26"/>
      <c r="GW14" s="26"/>
      <c r="GX14" s="26"/>
      <c r="GY14" s="26"/>
      <c r="GZ14" s="26"/>
      <c r="HA14" s="26"/>
      <c r="HB14" s="26"/>
      <c r="HC14" s="26"/>
      <c r="HD14" s="26"/>
      <c r="HF14" s="26"/>
      <c r="HG14" s="26"/>
      <c r="HH14" s="26"/>
      <c r="HI14" s="26"/>
      <c r="HJ14" s="26"/>
      <c r="HK14" s="26"/>
      <c r="HL14" s="26"/>
      <c r="HM14" s="26"/>
      <c r="HN14" s="26"/>
      <c r="HP14" s="26"/>
      <c r="HQ14" s="26"/>
      <c r="HR14" s="26"/>
      <c r="HS14" s="26"/>
      <c r="HT14" s="26"/>
      <c r="HU14" s="26"/>
      <c r="HV14" s="26"/>
      <c r="HW14" s="26"/>
      <c r="HX14" s="26"/>
      <c r="HZ14" s="26"/>
      <c r="IA14" s="26"/>
      <c r="IB14" s="26"/>
      <c r="IC14" s="26"/>
      <c r="ID14" s="26"/>
      <c r="IE14" s="26"/>
      <c r="IF14" s="26"/>
      <c r="IG14" s="26"/>
      <c r="IH14" s="26"/>
      <c r="IJ14" s="26"/>
      <c r="IK14" s="26"/>
      <c r="IL14" s="26"/>
      <c r="IM14" s="26"/>
      <c r="IN14" s="26"/>
      <c r="IO14" s="26"/>
      <c r="IP14" s="26"/>
      <c r="IQ14" s="26"/>
      <c r="IR14" s="26"/>
      <c r="IT14" s="26"/>
      <c r="IU14" s="26"/>
      <c r="IV14" s="26"/>
      <c r="IW14" s="26"/>
      <c r="IX14" s="26"/>
      <c r="IY14" s="26"/>
      <c r="IZ14" s="26"/>
      <c r="JA14" s="26"/>
      <c r="JB14" s="26"/>
      <c r="JD14" s="26"/>
      <c r="JE14" s="26"/>
      <c r="JF14" s="26"/>
      <c r="JG14" s="26"/>
      <c r="JH14" s="26"/>
      <c r="JI14" s="26"/>
      <c r="JJ14" s="26"/>
      <c r="JK14" s="26"/>
      <c r="JL14" s="26"/>
      <c r="JN14" s="26"/>
      <c r="JO14" s="26"/>
      <c r="JP14" s="26"/>
      <c r="JQ14" s="26"/>
      <c r="JR14" s="26"/>
      <c r="JS14" s="26"/>
      <c r="JT14" s="26"/>
      <c r="JU14" s="26"/>
      <c r="JV14" s="26"/>
      <c r="JX14" s="26"/>
      <c r="JY14" s="26"/>
      <c r="JZ14" s="26"/>
      <c r="KA14" s="26"/>
      <c r="KB14" s="26"/>
      <c r="KC14" s="26"/>
      <c r="KD14" s="26"/>
      <c r="KE14" s="26"/>
      <c r="KF14" s="26"/>
    </row>
    <row r="15" spans="1:292" ht="39.6" customHeight="1" x14ac:dyDescent="0.25">
      <c r="A15" s="141" t="s">
        <v>142</v>
      </c>
      <c r="B15" s="141" t="s">
        <v>107</v>
      </c>
      <c r="C15" s="92" t="s">
        <v>61</v>
      </c>
      <c r="D15" s="125" t="s">
        <v>143</v>
      </c>
      <c r="E15" s="193" t="s">
        <v>144</v>
      </c>
      <c r="F15" s="92" t="s">
        <v>61</v>
      </c>
      <c r="G15" s="92">
        <v>2024</v>
      </c>
      <c r="H15" s="92" t="s">
        <v>100</v>
      </c>
      <c r="I15" s="92" t="s">
        <v>98</v>
      </c>
      <c r="J15" s="125" t="s">
        <v>145</v>
      </c>
      <c r="K15" s="95" t="e">
        <f>VLOOKUP((InputTable[[#This Row],[Starting Date]]&amp; " - " &amp;InputTable[[#This Row],[Delivery Date]]),'System List'!$F$40:$H$83,2,FALSE)</f>
        <v>#N/A</v>
      </c>
      <c r="L15" s="95" t="e">
        <f>VLOOKUP(InputTable[[#This Row],[Duration]],Duration,2,FALSE)</f>
        <v>#N/A</v>
      </c>
      <c r="M15" s="125"/>
      <c r="N15" s="92"/>
      <c r="O15" s="92" t="s">
        <v>100</v>
      </c>
      <c r="P15" s="92"/>
      <c r="Q15" s="92"/>
      <c r="R15" s="92"/>
      <c r="S15" s="92"/>
      <c r="T15" s="95" cm="1">
        <f t="array" ref="T1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2.6</v>
      </c>
      <c r="U15" s="138"/>
      <c r="V15" s="92"/>
      <c r="W15" s="92"/>
      <c r="X15" s="92" t="s">
        <v>111</v>
      </c>
      <c r="Y15" s="92"/>
      <c r="Z15" s="92" t="s">
        <v>111</v>
      </c>
      <c r="AA15" s="92" t="s">
        <v>139</v>
      </c>
      <c r="AB15" s="92"/>
      <c r="AC15" s="92"/>
      <c r="AD15" s="92">
        <f>COUNTA(InputTable[[#This Row],[CORPHRFIN]:[SALES]])</f>
        <v>3</v>
      </c>
      <c r="AE15" s="88" cm="1">
        <f t="array" ref="AE15">SUM(
_xlfn.XLOOKUP(InputTable[[#This Row],[CORPHRFIN]:[SALES]],'System List'!$F$4:$F$7,'System List'!$H$4:$H$7,0))</f>
        <v>18</v>
      </c>
      <c r="AF15" s="140"/>
      <c r="AG15" s="96"/>
      <c r="AH15" s="96"/>
      <c r="AI15" s="96"/>
      <c r="AJ15" s="96"/>
      <c r="AK15" s="96"/>
      <c r="AL15" s="96"/>
      <c r="AM15" s="96"/>
      <c r="AN15" s="96" t="s">
        <v>111</v>
      </c>
      <c r="AO15" s="96"/>
      <c r="AP15" s="96"/>
      <c r="AQ15" s="96"/>
      <c r="AR15" s="88" cm="1">
        <f t="array" ref="AR15">SUM(
_xlfn.XLOOKUP(InputTable[[#This Row],[Impact on - CIAL]:[Impact on - STRAT]],'System List'!$F$4:$F$7,'System List'!$H$4:$H$7,0))</f>
        <v>5</v>
      </c>
      <c r="AS15" s="88" t="e">
        <f>VLOOKUP(InputTable[[#This Row],[Duration]],Duration,2,FALSE)+InputTable[[#This Row],[Resource Score]]</f>
        <v>#N/A</v>
      </c>
      <c r="AT1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" s="24" t="e">
        <f>InputTable[[#This Row],[Value Score]]/InputTable[[#This Row],[EFFORT SCORE]]*100</f>
        <v>#N/A</v>
      </c>
      <c r="AV15" s="25" t="str">
        <f>InputTable[[#This Row],[IS Portfolio Ref ID]]</f>
        <v>ISPRJ-38</v>
      </c>
      <c r="AW15" s="25" t="s">
        <v>146</v>
      </c>
      <c r="AX15" s="208" t="s">
        <v>147</v>
      </c>
      <c r="AY15" s="207">
        <v>1828</v>
      </c>
      <c r="AZ15" s="209">
        <f>(193500+111000)*$AZ$1</f>
        <v>346033.80000000005</v>
      </c>
      <c r="BA15" s="209">
        <f>(193500)*$AZ$1</f>
        <v>219893.40000000002</v>
      </c>
      <c r="BB15" s="209" t="s">
        <v>148</v>
      </c>
      <c r="BC15" s="189">
        <f>SUM(InputTable[[#This Row],[Opex IS Budget (full project)]]+InputTable[[#This Row],[Capex IS Budget (full project)]])</f>
        <v>565927.20000000007</v>
      </c>
      <c r="BD15" s="188">
        <v>1</v>
      </c>
      <c r="BE15" s="188">
        <v>1</v>
      </c>
      <c r="BF15" s="70"/>
      <c r="BH15" s="2">
        <f>IFERROR(VLOOKUP(InputTable[[#This Row],[Impact on - CIAL]],'System List'!$F$4:$H$7,3,FALSE),0)</f>
        <v>0</v>
      </c>
      <c r="BI15" s="2">
        <f>IFERROR(VLOOKUP(InputTable[[#This Row],[Impact on - COM]],'System List'!$F$4:$H$7,3,FALSE),0)</f>
        <v>0</v>
      </c>
      <c r="BJ15" s="2">
        <f>IFERROR(VLOOKUP(InputTable[[#This Row],[Impact on - FIN]],'System List'!$F$4:$H$7,3,FALSE),0)</f>
        <v>0</v>
      </c>
      <c r="BK15" s="2">
        <f>IFERROR(VLOOKUP(InputTable[[#This Row],[Impact on - GEN SEC]],'System List'!$F$4:$H$7,3,FALSE),0)</f>
        <v>0</v>
      </c>
      <c r="BL15" s="2">
        <f>IFERROR(VLOOKUP(InputTable[[#This Row],[Impact on - HR]],'System List'!$F$4:$H$7,3,FALSE),0)</f>
        <v>0</v>
      </c>
      <c r="BM15" s="2">
        <f>IFERROR(VLOOKUP(InputTable[[#This Row],[Impact on - IS]],'System List'!$F$4:$H$7,3,FALSE),0)</f>
        <v>0</v>
      </c>
      <c r="BN15" s="2">
        <f>IFERROR(VLOOKUP(InputTable[[#This Row],[Impact on - OPS]],'System List'!$F$4:$H$7,3,FALSE),0)</f>
        <v>0</v>
      </c>
      <c r="BO15" s="2">
        <f>IFERROR(VLOOKUP(InputTable[[#This Row],[Impact on - ROLL STOCK]],'System List'!$F$4:$H$7,3,FALSE),0)</f>
        <v>5</v>
      </c>
      <c r="BP15" s="2">
        <f>IFERROR(VLOOKUP(InputTable[[#This Row],[Impact on - SAFETY]],'System List'!$F$4:$H$7,3,FALSE),0)</f>
        <v>0</v>
      </c>
      <c r="BQ15" s="2">
        <f>IFERROR(VLOOKUP(InputTable[[#This Row],[Impact on - STATION]],'System List'!$F$4:$H$7,3,FALSE),0)</f>
        <v>0</v>
      </c>
      <c r="BR15" s="2">
        <f>IFERROR(VLOOKUP(InputTable[[#This Row],[Impact on - STRAT]],'System List'!$F$4:$H$7,3,FALSE),0)</f>
        <v>0</v>
      </c>
      <c r="BT15" s="2">
        <f>IFERROR(VLOOKUP(InputTable[[#This Row],[CORPHRFIN]],'System List'!$F$4:$H$7,3,FALSE),0)</f>
        <v>0</v>
      </c>
      <c r="BU15" s="2">
        <f>IFERROR(VLOOKUP(InputTable[[#This Row],[CUST]],'System List'!$F$4:$H$7,3,FALSE),0)</f>
        <v>0</v>
      </c>
      <c r="BV15" s="2">
        <f>IFERROR(VLOOKUP(InputTable[[#This Row],[CYBER]],'System List'!$F$4:$H$7,3,FALSE),0)</f>
        <v>5</v>
      </c>
      <c r="BW15" s="2">
        <f>IFERROR(VLOOKUP(InputTable[[#This Row],[DATA]],'System List'!$F$4:$H$7,3,FALSE),0)</f>
        <v>0</v>
      </c>
      <c r="BX15" s="2">
        <f>IFERROR(VLOOKUP(InputTable[[#This Row],[INFRA]],'System List'!$F$4:$H$7,3,FALSE),0)</f>
        <v>5</v>
      </c>
      <c r="BY15" s="2">
        <f>IFERROR(VLOOKUP(InputTable[[#This Row],[OPERATIONS]],'System List'!$F$4:$H$7,3,FALSE),0)</f>
        <v>8</v>
      </c>
      <c r="BZ15" s="2">
        <f>IFERROR(VLOOKUP(InputTable[[#This Row],[PMO]],'System List'!$F$4:$H$7,3,FALSE),0)</f>
        <v>0</v>
      </c>
      <c r="CA15" s="2">
        <f>IFERROR(VLOOKUP(InputTable[[#This Row],[SALES]],'System List'!$F$4:$H$7,3,FALSE),0)</f>
        <v>0</v>
      </c>
      <c r="CC15" s="2" cm="1">
        <f t="array" ref="CC1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" s="2" cm="1">
        <f t="array" ref="CD1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" s="2" cm="1">
        <f t="array" ref="CE1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" s="2" cm="1">
        <f t="array" ref="CF1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" s="2" cm="1">
        <f t="array" ref="CG1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" s="2" cm="1">
        <f t="array" ref="CH1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" s="2" cm="1">
        <f t="array" ref="CI1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" s="2" cm="1">
        <f t="array" ref="CJ1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" s="2" cm="1">
        <f t="array" ref="CK1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" s="26">
        <f t="shared" ref="CX15:DF17" si="76">CN15*_xlfn.XLOOKUP(CX$1,$BT$2:$CA$2,$BT15:$CA15,0)</f>
        <v>0</v>
      </c>
      <c r="CY15" s="26">
        <f t="shared" si="76"/>
        <v>0</v>
      </c>
      <c r="CZ15" s="26">
        <f t="shared" si="76"/>
        <v>0</v>
      </c>
      <c r="DA15" s="26">
        <f t="shared" si="76"/>
        <v>0</v>
      </c>
      <c r="DB15" s="26">
        <f t="shared" si="76"/>
        <v>0</v>
      </c>
      <c r="DC15" s="26">
        <f t="shared" si="76"/>
        <v>0</v>
      </c>
      <c r="DD15" s="26">
        <f t="shared" si="76"/>
        <v>0</v>
      </c>
      <c r="DE15" s="26">
        <f t="shared" si="76"/>
        <v>0</v>
      </c>
      <c r="DF15" s="26">
        <f t="shared" si="76"/>
        <v>0</v>
      </c>
      <c r="DH15" s="26">
        <f>$CN15*_xlfn.XLOOKUP(DH$1,$BT$2:$CA$2,$BT15:$CA15,0)</f>
        <v>0</v>
      </c>
      <c r="DI15" s="26">
        <f>$CO15*_xlfn.XLOOKUP(DI$1,$BT$2:$CA$2,$BT15:$CA15,0)</f>
        <v>0</v>
      </c>
      <c r="DJ15" s="26">
        <f>$CP15*_xlfn.XLOOKUP(DJ$1,$BT$2:$CA$2,$BT15:$CA15,0)</f>
        <v>0</v>
      </c>
      <c r="DK15" s="26">
        <f>$CQ15*_xlfn.XLOOKUP(DK$1,$BT$2:$CA$2,$BT15:$CA15,0)</f>
        <v>0</v>
      </c>
      <c r="DL15" s="26">
        <f>$CR15*_xlfn.XLOOKUP(DL$1,$BT$2:$CA$2,$BT15:$CA15,0)</f>
        <v>0</v>
      </c>
      <c r="DM15" s="26">
        <f>$CS15*_xlfn.XLOOKUP(DM$1,$BT$2:$CA$2,$BT15:$CA15,0)</f>
        <v>0</v>
      </c>
      <c r="DN15" s="26">
        <f>$CT15*_xlfn.XLOOKUP(DN$1,$BT$2:$CA$2,$BT15:$CA15,0)</f>
        <v>0</v>
      </c>
      <c r="DO15" s="26">
        <f>$CU15*_xlfn.XLOOKUP(DO$1,$BT$2:$CA$2,$BT15:$CA15,0)</f>
        <v>0</v>
      </c>
      <c r="DP15" s="26">
        <f>$CV15*_xlfn.XLOOKUP(DP$1,$BT$2:$CA$2,$BT15:$CA15,0)</f>
        <v>0</v>
      </c>
      <c r="DR15" s="26">
        <f>$CN15*_xlfn.XLOOKUP(DR$1,$BT$2:$CA$2,$BT15:$CA15,0)</f>
        <v>0</v>
      </c>
      <c r="DS15" s="26">
        <f>$CO15*_xlfn.XLOOKUP(DS$1,$BT$2:$CA$2,$BT15:$CA15,0)</f>
        <v>5</v>
      </c>
      <c r="DT15" s="26">
        <f>$CP15*_xlfn.XLOOKUP(DT$1,$BT$2:$CA$2,$BT15:$CA15,0)</f>
        <v>5</v>
      </c>
      <c r="DU15" s="26">
        <f>$CQ15*_xlfn.XLOOKUP(DU$1,$BT$2:$CA$2,$BT15:$CA15,0)</f>
        <v>5</v>
      </c>
      <c r="DV15" s="26">
        <f>$CR15*_xlfn.XLOOKUP(DV$1,$BT$2:$CA$2,$BT15:$CA15,0)</f>
        <v>5</v>
      </c>
      <c r="DW15" s="26">
        <f>$CS15*_xlfn.XLOOKUP(DW$1,$BT$2:$CA$2,$BT15:$CA15,0)</f>
        <v>5</v>
      </c>
      <c r="DX15" s="26">
        <f>$CT15*_xlfn.XLOOKUP(DX$1,$BT$2:$CA$2,$BT15:$CA15,0)</f>
        <v>0</v>
      </c>
      <c r="DY15" s="26">
        <f>$CU15*_xlfn.XLOOKUP(DY$1,$BT$2:$CA$2,$BT15:$CA15,0)</f>
        <v>0</v>
      </c>
      <c r="DZ15" s="26">
        <f>$CV15*_xlfn.XLOOKUP(DZ$1,$BT$2:$CA$2,$BT15:$CA15,0)</f>
        <v>0</v>
      </c>
      <c r="EB15" s="26">
        <f>$CN15*_xlfn.XLOOKUP(EB$1,$BT$2:$CA$2,$BT15:$CA15,0)</f>
        <v>0</v>
      </c>
      <c r="EC15" s="26">
        <f>$CO15*_xlfn.XLOOKUP(EC$1,$BT$2:$CA$2,$BT15:$CA15,0)</f>
        <v>0</v>
      </c>
      <c r="ED15" s="26">
        <f>$CP15*_xlfn.XLOOKUP(ED$1,$BT$2:$CA$2,$BT15:$CA15,0)</f>
        <v>0</v>
      </c>
      <c r="EE15" s="26">
        <f>$CQ15*_xlfn.XLOOKUP(EE$1,$BT$2:$CA$2,$BT15:$CA15,0)</f>
        <v>0</v>
      </c>
      <c r="EF15" s="26">
        <f>$CR15*_xlfn.XLOOKUP(EF$1,$BT$2:$CA$2,$BT15:$CA15,0)</f>
        <v>0</v>
      </c>
      <c r="EG15" s="26">
        <f>$CS15*_xlfn.XLOOKUP(EG$1,$BT$2:$CA$2,$BT15:$CA15,0)</f>
        <v>0</v>
      </c>
      <c r="EH15" s="26">
        <f>$CT15*_xlfn.XLOOKUP(EH$1,$BT$2:$CA$2,$BT15:$CA15,0)</f>
        <v>0</v>
      </c>
      <c r="EI15" s="26">
        <f>$CU15*_xlfn.XLOOKUP(EI$1,$BT$2:$CA$2,$BT15:$CA15,0)</f>
        <v>0</v>
      </c>
      <c r="EJ15" s="26">
        <f>$CV15*_xlfn.XLOOKUP(EJ$1,$BT$2:$CA$2,$BT15:$CA15,0)</f>
        <v>0</v>
      </c>
      <c r="EL15" s="26">
        <f>$CN15*_xlfn.XLOOKUP(EL$1,$BT$2:$CA$2,$BT15:$CA15,0)</f>
        <v>0</v>
      </c>
      <c r="EM15" s="26">
        <f>$CO15*_xlfn.XLOOKUP(EM$1,$BT$2:$CA$2,$BT15:$CA15,0)</f>
        <v>5</v>
      </c>
      <c r="EN15" s="26">
        <f>$CP15*_xlfn.XLOOKUP(EN$1,$BT$2:$CA$2,$BT15:$CA15,0)</f>
        <v>5</v>
      </c>
      <c r="EO15" s="26">
        <f>$CQ15*_xlfn.XLOOKUP(EO$1,$BT$2:$CA$2,$BT15:$CA15,0)</f>
        <v>5</v>
      </c>
      <c r="EP15" s="26">
        <f>$CR15*_xlfn.XLOOKUP(EP$1,$BT$2:$CA$2,$BT15:$CA15,0)</f>
        <v>5</v>
      </c>
      <c r="EQ15" s="26">
        <f>$CS15*_xlfn.XLOOKUP(EQ$1,$BT$2:$CA$2,$BT15:$CA15,0)</f>
        <v>5</v>
      </c>
      <c r="ER15" s="26">
        <f>$CT15*_xlfn.XLOOKUP(ER$1,$BT$2:$CA$2,$BT15:$CA15,0)</f>
        <v>0</v>
      </c>
      <c r="ES15" s="26">
        <f>$CU15*_xlfn.XLOOKUP(ES$1,$BT$2:$CA$2,$BT15:$CA15,0)</f>
        <v>0</v>
      </c>
      <c r="ET15" s="26">
        <f>$CV15*_xlfn.XLOOKUP(ET$1,$BT$2:$CA$2,$BT15:$CA15,0)</f>
        <v>0</v>
      </c>
      <c r="EV15" s="26">
        <f>$CN15*_xlfn.XLOOKUP(EV$1,$BT$2:$CA$2,$BT15:$CA15,0)</f>
        <v>0</v>
      </c>
      <c r="EW15" s="26">
        <f>$CO15*_xlfn.XLOOKUP(EW$1,$BT$2:$CA$2,$BT15:$CA15,0)</f>
        <v>8</v>
      </c>
      <c r="EX15" s="26">
        <f>$CP15*_xlfn.XLOOKUP(EX$1,$BT$2:$CA$2,$BT15:$CA15,0)</f>
        <v>8</v>
      </c>
      <c r="EY15" s="26">
        <f>$CQ15*_xlfn.XLOOKUP(EY$1,$BT$2:$CA$2,$BT15:$CA15,0)</f>
        <v>8</v>
      </c>
      <c r="EZ15" s="26">
        <f>$CR15*_xlfn.XLOOKUP(EZ$1,$BT$2:$CA$2,$BT15:$CA15,0)</f>
        <v>8</v>
      </c>
      <c r="FA15" s="26">
        <f>$CS15*_xlfn.XLOOKUP(FA$1,$BT$2:$CA$2,$BT15:$CA15,0)</f>
        <v>8</v>
      </c>
      <c r="FB15" s="26">
        <f>$CT15*_xlfn.XLOOKUP(FB$1,$BT$2:$CA$2,$BT15:$CA15,0)</f>
        <v>0</v>
      </c>
      <c r="FC15" s="26">
        <f>$CU15*_xlfn.XLOOKUP(FC$1,$BT$2:$CA$2,$BT15:$CA15,0)</f>
        <v>0</v>
      </c>
      <c r="FD15" s="26">
        <f>$CV15*_xlfn.XLOOKUP(FD$1,$BT$2:$CA$2,$BT15:$CA15,0)</f>
        <v>0</v>
      </c>
      <c r="FF15" s="26">
        <f>$CN15*_xlfn.XLOOKUP(FF$1,$BT$2:$CA$2,$BT15:$CA15,0)</f>
        <v>0</v>
      </c>
      <c r="FG15" s="26">
        <f>$CO15*_xlfn.XLOOKUP(FG$1,$BT$2:$CA$2,$BT15:$CA15,0)</f>
        <v>0</v>
      </c>
      <c r="FH15" s="26">
        <f>$CP15*_xlfn.XLOOKUP(FH$1,$BT$2:$CA$2,$BT15:$CA15,0)</f>
        <v>0</v>
      </c>
      <c r="FI15" s="26">
        <f>$CQ15*_xlfn.XLOOKUP(FI$1,$BT$2:$CA$2,$BT15:$CA15,0)</f>
        <v>0</v>
      </c>
      <c r="FJ15" s="26">
        <f>$CR15*_xlfn.XLOOKUP(FJ$1,$BT$2:$CA$2,$BT15:$CA15,0)</f>
        <v>0</v>
      </c>
      <c r="FK15" s="26">
        <f>$CS15*_xlfn.XLOOKUP(FK$1,$BT$2:$CA$2,$BT15:$CA15,0)</f>
        <v>0</v>
      </c>
      <c r="FL15" s="26">
        <f>$CT15*_xlfn.XLOOKUP(FL$1,$BT$2:$CA$2,$BT15:$CA15,0)</f>
        <v>0</v>
      </c>
      <c r="FM15" s="26">
        <f>$CU15*_xlfn.XLOOKUP(FM$1,$BT$2:$CA$2,$BT15:$CA15,0)</f>
        <v>0</v>
      </c>
      <c r="FN15" s="26">
        <f>$CV15*_xlfn.XLOOKUP(FN$1,$BT$2:$CA$2,$BT15:$CA15,0)</f>
        <v>0</v>
      </c>
      <c r="FP15" s="26" t="e">
        <f>$CN15*_xlfn.XLOOKUP(FP$1,$BT$2:$CA$2,$BT15:$CA15,0)</f>
        <v>#REF!</v>
      </c>
      <c r="FQ15" s="26" t="e">
        <f>$CO15*_xlfn.XLOOKUP(FQ$1,$BT$2:$CA$2,$BT15:$CA15,0)</f>
        <v>#REF!</v>
      </c>
      <c r="FR15" s="26" t="e">
        <f>$CP15*_xlfn.XLOOKUP(FR$1,$BT$2:$CA$2,$BT15:$CA15,0)</f>
        <v>#REF!</v>
      </c>
      <c r="FS15" s="26" t="e">
        <f>$CQ15*_xlfn.XLOOKUP(FS$1,$BT$2:$CA$2,$BT15:$CA15,0)</f>
        <v>#REF!</v>
      </c>
      <c r="FT15" s="26" t="e">
        <f>$CR15*_xlfn.XLOOKUP(FT$1,$BT$2:$CA$2,$BT15:$CA15,0)</f>
        <v>#REF!</v>
      </c>
      <c r="FU15" s="26" t="e">
        <f>$CS15*_xlfn.XLOOKUP(FU$1,$BT$2:$CA$2,$BT15:$CA15,0)</f>
        <v>#REF!</v>
      </c>
      <c r="FV15" s="26" t="e">
        <f>$CT15*_xlfn.XLOOKUP(FV$1,$BT$2:$CA$2,$BT15:$CA15,0)</f>
        <v>#REF!</v>
      </c>
      <c r="FW15" s="26" t="e">
        <f>$CU15*_xlfn.XLOOKUP(FW$1,$BT$2:$CA$2,$BT15:$CA15,0)</f>
        <v>#REF!</v>
      </c>
      <c r="FX15" s="26" t="e">
        <f>$CV15*_xlfn.XLOOKUP(FX$1,$BT$2:$CA$2,$BT15:$CA15,0)</f>
        <v>#REF!</v>
      </c>
      <c r="GB15" s="26" t="e">
        <f>IF(GB$2=InputTable[[#This Row],[Delivery Date]],_xlfn.XLOOKUP(GB$1,$BH$2:$BR$2,$BH15:$BR15,0),0)</f>
        <v>#REF!</v>
      </c>
      <c r="GC15" s="26">
        <f>IF(GC$2=InputTable[[#This Row],[Delivery Date]],_xlfn.XLOOKUP(GC$1,$BH$2:$BR$2,$BH15:$BR15,0),0)</f>
        <v>0</v>
      </c>
      <c r="GD15" s="26">
        <f>IF(GD$2=InputTable[[#This Row],[Delivery Date]],_xlfn.XLOOKUP(GD$1,$BH$2:$BR$2,$BH15:$BR15,0),0)</f>
        <v>0</v>
      </c>
      <c r="GE15" s="26">
        <f>IF(GE$2=InputTable[[#This Row],[Delivery Date]],_xlfn.XLOOKUP(GE$1,$BH$2:$BR$2,$BH15:$BR15,0),0)</f>
        <v>0</v>
      </c>
      <c r="GF15" s="26">
        <f>IF(GF$2=InputTable[[#This Row],[Delivery Date]],_xlfn.XLOOKUP(GF$1,$BH$2:$BR$2,$BH15:$BR15,0),0)</f>
        <v>0</v>
      </c>
      <c r="GG15" s="26">
        <f>IF(GG$2=InputTable[[#This Row],[Delivery Date]],_xlfn.XLOOKUP(GG$1,$BH$2:$BR$2,$BH15:$BR15,0),0)</f>
        <v>0</v>
      </c>
      <c r="GH15" s="26">
        <f>IF(GH$2=InputTable[[#This Row],[Delivery Date]],_xlfn.XLOOKUP(GH$1,$BH$2:$BR$2,$BH15:$BR15,0),0)</f>
        <v>0</v>
      </c>
      <c r="GI15" s="26">
        <f>IF(GI$2=InputTable[[#This Row],[Delivery Date]],_xlfn.XLOOKUP(GI$1,$BH$2:$BR$2,$BH15:$BR15,0),0)</f>
        <v>0</v>
      </c>
      <c r="GJ15" s="26">
        <f>IF(GJ$2=InputTable[[#This Row],[Delivery Date]],_xlfn.XLOOKUP(GJ$1,$BH$2:$BR$2,$BH15:$BR15,0),0)</f>
        <v>0</v>
      </c>
      <c r="GL15" s="26" t="e">
        <f>IF(GL$2=InputTable[[#This Row],[Delivery Date]],_xlfn.XLOOKUP(GL$1,$BH$2:$BR$2,$BH15:$BR15,0),0)</f>
        <v>#REF!</v>
      </c>
      <c r="GM15" s="26">
        <f>IF(GM$2=InputTable[[#This Row],[Delivery Date]],_xlfn.XLOOKUP(GM$1,$BH$2:$BR$2,$BH15:$BR15,0),0)</f>
        <v>0</v>
      </c>
      <c r="GN15" s="26">
        <f>IF(GN$2=InputTable[[#This Row],[Delivery Date]],_xlfn.XLOOKUP(GN$1,$BH$2:$BR$2,$BH15:$BR15,0),0)</f>
        <v>0</v>
      </c>
      <c r="GO15" s="26">
        <f>IF(GO$2=InputTable[[#This Row],[Delivery Date]],_xlfn.XLOOKUP(GO$1,$BH$2:$BR$2,$BH15:$BR15,0),0)</f>
        <v>0</v>
      </c>
      <c r="GP15" s="26">
        <f>IF(GP$2=InputTable[[#This Row],[Delivery Date]],_xlfn.XLOOKUP(GP$1,$BH$2:$BR$2,$BH15:$BR15,0),0)</f>
        <v>0</v>
      </c>
      <c r="GQ15" s="26">
        <f>IF(GQ$2=InputTable[[#This Row],[Delivery Date]],_xlfn.XLOOKUP(GQ$1,$BH$2:$BR$2,$BH15:$BR15,0),0)</f>
        <v>0</v>
      </c>
      <c r="GR15" s="26">
        <f>IF(GR$2=InputTable[[#This Row],[Delivery Date]],_xlfn.XLOOKUP(GR$1,$BH$2:$BR$2,$BH15:$BR15,0),0)</f>
        <v>0</v>
      </c>
      <c r="GS15" s="26">
        <f>IF(GS$2=InputTable[[#This Row],[Delivery Date]],_xlfn.XLOOKUP(GS$1,$BH$2:$BR$2,$BH15:$BR15,0),0)</f>
        <v>0</v>
      </c>
      <c r="GT15" s="26">
        <f>IF(GT$2=InputTable[[#This Row],[Delivery Date]],_xlfn.XLOOKUP(GT$1,$BH$2:$BR$2,$BH15:$BR15,0),0)</f>
        <v>0</v>
      </c>
      <c r="GV15" s="26" t="e">
        <f>IF(GV$2=InputTable[[#This Row],[Delivery Date]],_xlfn.XLOOKUP(GV$1,$BH$2:$BR$2,$BH15:$BR15,0),0)</f>
        <v>#REF!</v>
      </c>
      <c r="GW15" s="26">
        <f>IF(GW$2=InputTable[[#This Row],[Delivery Date]],_xlfn.XLOOKUP(GW$1,$BH$2:$BR$2,$BH15:$BR15,0),0)</f>
        <v>0</v>
      </c>
      <c r="GX15" s="26">
        <f>IF(GX$2=InputTable[[#This Row],[Delivery Date]],_xlfn.XLOOKUP(GX$1,$BH$2:$BR$2,$BH15:$BR15,0),0)</f>
        <v>0</v>
      </c>
      <c r="GY15" s="26">
        <f>IF(GY$2=InputTable[[#This Row],[Delivery Date]],_xlfn.XLOOKUP(GY$1,$BH$2:$BR$2,$BH15:$BR15,0),0)</f>
        <v>0</v>
      </c>
      <c r="GZ15" s="26">
        <f>IF(GZ$2=InputTable[[#This Row],[Delivery Date]],_xlfn.XLOOKUP(GZ$1,$BH$2:$BR$2,$BH15:$BR15,0),0)</f>
        <v>0</v>
      </c>
      <c r="HA15" s="26">
        <f>IF(HA$2=InputTable[[#This Row],[Delivery Date]],_xlfn.XLOOKUP(HA$1,$BH$2:$BR$2,$BH15:$BR15,0),0)</f>
        <v>0</v>
      </c>
      <c r="HB15" s="26">
        <f>IF(HB$2=InputTable[[#This Row],[Delivery Date]],_xlfn.XLOOKUP(HB$1,$BH$2:$BR$2,$BH15:$BR15,0),0)</f>
        <v>0</v>
      </c>
      <c r="HC15" s="26">
        <f>IF(HC$2=InputTable[[#This Row],[Delivery Date]],_xlfn.XLOOKUP(HC$1,$BH$2:$BR$2,$BH15:$BR15,0),0)</f>
        <v>0</v>
      </c>
      <c r="HD15" s="26">
        <f>IF(HD$2=InputTable[[#This Row],[Delivery Date]],_xlfn.XLOOKUP(HD$1,$BH$2:$BR$2,$BH15:$BR15,0),0)</f>
        <v>0</v>
      </c>
      <c r="HF15" s="26" t="e">
        <f>IF(HF$2=InputTable[[#This Row],[Delivery Date]],_xlfn.XLOOKUP(HF$1,$BH$2:$BR$2,$BH15:$BR15,0),0)</f>
        <v>#REF!</v>
      </c>
      <c r="HG15" s="26">
        <f>IF(HG$2=InputTable[[#This Row],[Delivery Date]],_xlfn.XLOOKUP(HG$1,$BH$2:$BR$2,$BH15:$BR15,0),0)</f>
        <v>0</v>
      </c>
      <c r="HH15" s="26">
        <f>IF(HH$2=InputTable[[#This Row],[Delivery Date]],_xlfn.XLOOKUP(HH$1,$BH$2:$BR$2,$BH15:$BR15,0),0)</f>
        <v>0</v>
      </c>
      <c r="HI15" s="26">
        <f>IF(HI$2=InputTable[[#This Row],[Delivery Date]],_xlfn.XLOOKUP(HI$1,$BH$2:$BR$2,$BH15:$BR15,0),0)</f>
        <v>0</v>
      </c>
      <c r="HJ15" s="26">
        <f>IF(HJ$2=InputTable[[#This Row],[Delivery Date]],_xlfn.XLOOKUP(HJ$1,$BH$2:$BR$2,$BH15:$BR15,0),0)</f>
        <v>0</v>
      </c>
      <c r="HK15" s="26">
        <f>IF(HK$2=InputTable[[#This Row],[Delivery Date]],_xlfn.XLOOKUP(HK$1,$BH$2:$BR$2,$BH15:$BR15,0),0)</f>
        <v>0</v>
      </c>
      <c r="HL15" s="26">
        <f>IF(HL$2=InputTable[[#This Row],[Delivery Date]],_xlfn.XLOOKUP(HL$1,$BH$2:$BR$2,$BH15:$BR15,0),0)</f>
        <v>0</v>
      </c>
      <c r="HM15" s="26">
        <f>IF(HM$2=InputTable[[#This Row],[Delivery Date]],_xlfn.XLOOKUP(HM$1,$BH$2:$BR$2,$BH15:$BR15,0),0)</f>
        <v>0</v>
      </c>
      <c r="HN15" s="26">
        <f>IF(HN$2=InputTable[[#This Row],[Delivery Date]],_xlfn.XLOOKUP(HN$1,$BH$2:$BR$2,$BH15:$BR15,0),0)</f>
        <v>0</v>
      </c>
      <c r="HP15" s="26" t="e">
        <f>IF(HP$2=InputTable[[#This Row],[Delivery Date]],_xlfn.XLOOKUP(HP$1,$BH$2:$BR$2,$BH15:$BR15,0),0)</f>
        <v>#REF!</v>
      </c>
      <c r="HQ15" s="26">
        <f>IF(HQ$2=InputTable[[#This Row],[Delivery Date]],_xlfn.XLOOKUP(HQ$1,$BH$2:$BR$2,$BH15:$BR15,0),0)</f>
        <v>0</v>
      </c>
      <c r="HR15" s="26">
        <f>IF(HR$2=InputTable[[#This Row],[Delivery Date]],_xlfn.XLOOKUP(HR$1,$BH$2:$BR$2,$BH15:$BR15,0),0)</f>
        <v>0</v>
      </c>
      <c r="HS15" s="26">
        <f>IF(HS$2=InputTable[[#This Row],[Delivery Date]],_xlfn.XLOOKUP(HS$1,$BH$2:$BR$2,$BH15:$BR15,0),0)</f>
        <v>0</v>
      </c>
      <c r="HT15" s="26">
        <f>IF(HT$2=InputTable[[#This Row],[Delivery Date]],_xlfn.XLOOKUP(HT$1,$BH$2:$BR$2,$BH15:$BR15,0),0)</f>
        <v>0</v>
      </c>
      <c r="HU15" s="26">
        <f>IF(HU$2=InputTable[[#This Row],[Delivery Date]],_xlfn.XLOOKUP(HU$1,$BH$2:$BR$2,$BH15:$BR15,0),0)</f>
        <v>0</v>
      </c>
      <c r="HV15" s="26">
        <f>IF(HV$2=InputTable[[#This Row],[Delivery Date]],_xlfn.XLOOKUP(HV$1,$BH$2:$BR$2,$BH15:$BR15,0),0)</f>
        <v>0</v>
      </c>
      <c r="HW15" s="26">
        <f>IF(HW$2=InputTable[[#This Row],[Delivery Date]],_xlfn.XLOOKUP(HW$1,$BH$2:$BR$2,$BH15:$BR15,0),0)</f>
        <v>0</v>
      </c>
      <c r="HX15" s="26">
        <f>IF(HX$2=InputTable[[#This Row],[Delivery Date]],_xlfn.XLOOKUP(HX$1,$BH$2:$BR$2,$BH15:$BR15,0),0)</f>
        <v>0</v>
      </c>
      <c r="HZ15" s="26" t="e">
        <f>IF(HZ$2=InputTable[[#This Row],[Delivery Date]],_xlfn.XLOOKUP(HZ$1,$BH$2:$BR$2,$BH15:$BR15,0),0)</f>
        <v>#REF!</v>
      </c>
      <c r="IA15" s="26">
        <f>IF(IA$2=InputTable[[#This Row],[Delivery Date]],_xlfn.XLOOKUP(IA$1,$BH$2:$BR$2,$BH15:$BR15,0),0)</f>
        <v>0</v>
      </c>
      <c r="IB15" s="26">
        <f>IF(IB$2=InputTable[[#This Row],[Delivery Date]],_xlfn.XLOOKUP(IB$1,$BH$2:$BR$2,$BH15:$BR15,0),0)</f>
        <v>0</v>
      </c>
      <c r="IC15" s="26">
        <f>IF(IC$2=InputTable[[#This Row],[Delivery Date]],_xlfn.XLOOKUP(IC$1,$BH$2:$BR$2,$BH15:$BR15,0),0)</f>
        <v>0</v>
      </c>
      <c r="ID15" s="26">
        <f>IF(ID$2=InputTable[[#This Row],[Delivery Date]],_xlfn.XLOOKUP(ID$1,$BH$2:$BR$2,$BH15:$BR15,0),0)</f>
        <v>0</v>
      </c>
      <c r="IE15" s="26">
        <f>IF(IE$2=InputTable[[#This Row],[Delivery Date]],_xlfn.XLOOKUP(IE$1,$BH$2:$BR$2,$BH15:$BR15,0),0)</f>
        <v>0</v>
      </c>
      <c r="IF15" s="26">
        <f>IF(IF$2=InputTable[[#This Row],[Delivery Date]],_xlfn.XLOOKUP(IF$1,$BH$2:$BR$2,$BH15:$BR15,0),0)</f>
        <v>0</v>
      </c>
      <c r="IG15" s="26">
        <f>IF(IG$2=InputTable[[#This Row],[Delivery Date]],_xlfn.XLOOKUP(IG$1,$BH$2:$BR$2,$BH15:$BR15,0),0)</f>
        <v>0</v>
      </c>
      <c r="IH15" s="26">
        <f>IF(IH$2=InputTable[[#This Row],[Delivery Date]],_xlfn.XLOOKUP(IH$1,$BH$2:$BR$2,$BH15:$BR15,0),0)</f>
        <v>0</v>
      </c>
      <c r="IJ15" s="26" t="e">
        <f>IF(IJ$2=InputTable[[#This Row],[Delivery Date]],_xlfn.XLOOKUP(IJ$1,$BH$2:$BR$2,$BH15:$BR15,0),0)</f>
        <v>#REF!</v>
      </c>
      <c r="IK15" s="26">
        <f>IF(IK$2=InputTable[[#This Row],[Delivery Date]],_xlfn.XLOOKUP(IK$1,$BH$2:$BR$2,$BH15:$BR15,0),0)</f>
        <v>0</v>
      </c>
      <c r="IL15" s="26">
        <f>IF(IL$2=InputTable[[#This Row],[Delivery Date]],_xlfn.XLOOKUP(IL$1,$BH$2:$BR$2,$BH15:$BR15,0),0)</f>
        <v>0</v>
      </c>
      <c r="IM15" s="26">
        <f>IF(IM$2=InputTable[[#This Row],[Delivery Date]],_xlfn.XLOOKUP(IM$1,$BH$2:$BR$2,$BH15:$BR15,0),0)</f>
        <v>0</v>
      </c>
      <c r="IN15" s="26">
        <f>IF(IN$2=InputTable[[#This Row],[Delivery Date]],_xlfn.XLOOKUP(IN$1,$BH$2:$BR$2,$BH15:$BR15,0),0)</f>
        <v>0</v>
      </c>
      <c r="IO15" s="26">
        <f>IF(IO$2=InputTable[[#This Row],[Delivery Date]],_xlfn.XLOOKUP(IO$1,$BH$2:$BR$2,$BH15:$BR15,0),0)</f>
        <v>0</v>
      </c>
      <c r="IP15" s="26">
        <f>IF(IP$2=InputTable[[#This Row],[Delivery Date]],_xlfn.XLOOKUP(IP$1,$BH$2:$BR$2,$BH15:$BR15,0),0)</f>
        <v>0</v>
      </c>
      <c r="IQ15" s="26">
        <f>IF(IQ$2=InputTable[[#This Row],[Delivery Date]],_xlfn.XLOOKUP(IQ$1,$BH$2:$BR$2,$BH15:$BR15,0),0)</f>
        <v>0</v>
      </c>
      <c r="IR15" s="26">
        <f>IF(IR$2=InputTable[[#This Row],[Delivery Date]],_xlfn.XLOOKUP(IR$1,$BH$2:$BR$2,$BH15:$BR15,0),0)</f>
        <v>0</v>
      </c>
      <c r="IT15" s="26" t="e">
        <f>IF(IT$2=InputTable[[#This Row],[Delivery Date]],_xlfn.XLOOKUP(IT$1,$BH$2:$BR$2,$BH15:$BR15,0),0)</f>
        <v>#REF!</v>
      </c>
      <c r="IU15" s="26">
        <f>IF(IU$2=InputTable[[#This Row],[Delivery Date]],_xlfn.XLOOKUP(IU$1,$BH$2:$BR$2,$BH15:$BR15,0),0)</f>
        <v>0</v>
      </c>
      <c r="IV15" s="26">
        <f>IF(IV$2=InputTable[[#This Row],[Delivery Date]],_xlfn.XLOOKUP(IV$1,$BH$2:$BR$2,$BH15:$BR15,0),0)</f>
        <v>0</v>
      </c>
      <c r="IW15" s="26">
        <f>IF(IW$2=InputTable[[#This Row],[Delivery Date]],_xlfn.XLOOKUP(IW$1,$BH$2:$BR$2,$BH15:$BR15,0),0)</f>
        <v>0</v>
      </c>
      <c r="IX15" s="26">
        <f>IF(IX$2=InputTable[[#This Row],[Delivery Date]],_xlfn.XLOOKUP(IX$1,$BH$2:$BR$2,$BH15:$BR15,0),0)</f>
        <v>0</v>
      </c>
      <c r="IY15" s="26">
        <f>IF(IY$2=InputTable[[#This Row],[Delivery Date]],_xlfn.XLOOKUP(IY$1,$BH$2:$BR$2,$BH15:$BR15,0),0)</f>
        <v>5</v>
      </c>
      <c r="IZ15" s="26">
        <f>IF(IZ$2=InputTable[[#This Row],[Delivery Date]],_xlfn.XLOOKUP(IZ$1,$BH$2:$BR$2,$BH15:$BR15,0),0)</f>
        <v>0</v>
      </c>
      <c r="JA15" s="26">
        <f>IF(JA$2=InputTable[[#This Row],[Delivery Date]],_xlfn.XLOOKUP(JA$1,$BH$2:$BR$2,$BH15:$BR15,0),0)</f>
        <v>0</v>
      </c>
      <c r="JB15" s="26">
        <f>IF(JB$2=InputTable[[#This Row],[Delivery Date]],_xlfn.XLOOKUP(JB$1,$BH$2:$BR$2,$BH15:$BR15,0),0)</f>
        <v>0</v>
      </c>
      <c r="JD15" s="26" t="e">
        <f>IF(JD$2=InputTable[[#This Row],[Delivery Date]],_xlfn.XLOOKUP(JD$1,$BH$2:$BR$2,$BH15:$BR15,0),0)</f>
        <v>#REF!</v>
      </c>
      <c r="JE15" s="26">
        <f>IF(JE$2=InputTable[[#This Row],[Delivery Date]],_xlfn.XLOOKUP(JE$1,$BH$2:$BR$2,$BH15:$BR15,0),0)</f>
        <v>0</v>
      </c>
      <c r="JF15" s="26">
        <f>IF(JF$2=InputTable[[#This Row],[Delivery Date]],_xlfn.XLOOKUP(JF$1,$BH$2:$BR$2,$BH15:$BR15,0),0)</f>
        <v>0</v>
      </c>
      <c r="JG15" s="26">
        <f>IF(JG$2=InputTable[[#This Row],[Delivery Date]],_xlfn.XLOOKUP(JG$1,$BH$2:$BR$2,$BH15:$BR15,0),0)</f>
        <v>0</v>
      </c>
      <c r="JH15" s="26">
        <f>IF(JH$2=InputTable[[#This Row],[Delivery Date]],_xlfn.XLOOKUP(JH$1,$BH$2:$BR$2,$BH15:$BR15,0),0)</f>
        <v>0</v>
      </c>
      <c r="JI15" s="26">
        <f>IF(JI$2=InputTable[[#This Row],[Delivery Date]],_xlfn.XLOOKUP(JI$1,$BH$2:$BR$2,$BH15:$BR15,0),0)</f>
        <v>0</v>
      </c>
      <c r="JJ15" s="26">
        <f>IF(JJ$2=InputTable[[#This Row],[Delivery Date]],_xlfn.XLOOKUP(JJ$1,$BH$2:$BR$2,$BH15:$BR15,0),0)</f>
        <v>0</v>
      </c>
      <c r="JK15" s="26">
        <f>IF(JK$2=InputTable[[#This Row],[Delivery Date]],_xlfn.XLOOKUP(JK$1,$BH$2:$BR$2,$BH15:$BR15,0),0)</f>
        <v>0</v>
      </c>
      <c r="JL15" s="26">
        <f>IF(JL$2=InputTable[[#This Row],[Delivery Date]],_xlfn.XLOOKUP(JL$1,$BH$2:$BR$2,$BH15:$BR15,0),0)</f>
        <v>0</v>
      </c>
      <c r="JN15" s="26" t="e">
        <f>IF(JN$2=InputTable[[#This Row],[Delivery Date]],_xlfn.XLOOKUP(JN$1,$BH$2:$BR$2,$BH15:$BR15,0),0)</f>
        <v>#REF!</v>
      </c>
      <c r="JO15" s="26">
        <f>IF(JO$2=InputTable[[#This Row],[Delivery Date]],_xlfn.XLOOKUP(JO$1,$BH$2:$BR$2,$BH15:$BR15,0),0)</f>
        <v>0</v>
      </c>
      <c r="JP15" s="26">
        <f>IF(JP$2=InputTable[[#This Row],[Delivery Date]],_xlfn.XLOOKUP(JP$1,$BH$2:$BR$2,$BH15:$BR15,0),0)</f>
        <v>0</v>
      </c>
      <c r="JQ15" s="26">
        <f>IF(JQ$2=InputTable[[#This Row],[Delivery Date]],_xlfn.XLOOKUP(JQ$1,$BH$2:$BR$2,$BH15:$BR15,0),0)</f>
        <v>0</v>
      </c>
      <c r="JR15" s="26">
        <f>IF(JR$2=InputTable[[#This Row],[Delivery Date]],_xlfn.XLOOKUP(JR$1,$BH$2:$BR$2,$BH15:$BR15,0),0)</f>
        <v>0</v>
      </c>
      <c r="JS15" s="26">
        <f>IF(JS$2=InputTable[[#This Row],[Delivery Date]],_xlfn.XLOOKUP(JS$1,$BH$2:$BR$2,$BH15:$BR15,0),0)</f>
        <v>0</v>
      </c>
      <c r="JT15" s="26">
        <f>IF(JT$2=InputTable[[#This Row],[Delivery Date]],_xlfn.XLOOKUP(JT$1,$BH$2:$BR$2,$BH15:$BR15,0),0)</f>
        <v>0</v>
      </c>
      <c r="JU15" s="26">
        <f>IF(JU$2=InputTable[[#This Row],[Delivery Date]],_xlfn.XLOOKUP(JU$1,$BH$2:$BR$2,$BH15:$BR15,0),0)</f>
        <v>0</v>
      </c>
      <c r="JV15" s="26">
        <f>IF(JV$2=InputTable[[#This Row],[Delivery Date]],_xlfn.XLOOKUP(JV$1,$BH$2:$BR$2,$BH15:$BR15,0),0)</f>
        <v>0</v>
      </c>
      <c r="JX15" s="26" t="e">
        <f>IF(JX$2=InputTable[[#This Row],[Delivery Date]],_xlfn.XLOOKUP(JX$1,$BH$2:$BR$2,$BH15:$BR15,0),0)</f>
        <v>#REF!</v>
      </c>
      <c r="JY15" s="26">
        <f>IF(JY$2=InputTable[[#This Row],[Delivery Date]],_xlfn.XLOOKUP(JY$1,$BH$2:$BR$2,$BH15:$BR15,0),0)</f>
        <v>0</v>
      </c>
      <c r="JZ15" s="26">
        <f>IF(JZ$2=InputTable[[#This Row],[Delivery Date]],_xlfn.XLOOKUP(JZ$1,$BH$2:$BR$2,$BH15:$BR15,0),0)</f>
        <v>0</v>
      </c>
      <c r="KA15" s="26">
        <f>IF(KA$2=InputTable[[#This Row],[Delivery Date]],_xlfn.XLOOKUP(KA$1,$BH$2:$BR$2,$BH15:$BR15,0),0)</f>
        <v>0</v>
      </c>
      <c r="KB15" s="26">
        <f>IF(KB$2=InputTable[[#This Row],[Delivery Date]],_xlfn.XLOOKUP(KB$1,$BH$2:$BR$2,$BH15:$BR15,0),0)</f>
        <v>0</v>
      </c>
      <c r="KC15" s="26">
        <f>IF(KC$2=InputTable[[#This Row],[Delivery Date]],_xlfn.XLOOKUP(KC$1,$BH$2:$BR$2,$BH15:$BR15,0),0)</f>
        <v>0</v>
      </c>
      <c r="KD15" s="26">
        <f>IF(KD$2=InputTable[[#This Row],[Delivery Date]],_xlfn.XLOOKUP(KD$1,$BH$2:$BR$2,$BH15:$BR15,0),0)</f>
        <v>0</v>
      </c>
      <c r="KE15" s="26">
        <f>IF(KE$2=InputTable[[#This Row],[Delivery Date]],_xlfn.XLOOKUP(KE$1,$BH$2:$BR$2,$BH15:$BR15,0),0)</f>
        <v>0</v>
      </c>
      <c r="KF15" s="26">
        <f>IF(KF$2=InputTable[[#This Row],[Delivery Date]],_xlfn.XLOOKUP(KF$1,$BH$2:$BR$2,$BH15:$BR15,0),0)</f>
        <v>0</v>
      </c>
    </row>
    <row r="16" spans="1:292" ht="39.6" customHeight="1" x14ac:dyDescent="0.25">
      <c r="A16" s="141" t="s">
        <v>149</v>
      </c>
      <c r="B16" s="141" t="s">
        <v>107</v>
      </c>
      <c r="C16" s="92" t="s">
        <v>61</v>
      </c>
      <c r="D16" s="125" t="s">
        <v>150</v>
      </c>
      <c r="E16" s="193" t="s">
        <v>151</v>
      </c>
      <c r="F16" s="92" t="s">
        <v>61</v>
      </c>
      <c r="G16" s="92">
        <v>2024</v>
      </c>
      <c r="H16" s="92" t="s">
        <v>100</v>
      </c>
      <c r="I16" s="92" t="s">
        <v>98</v>
      </c>
      <c r="J16" s="126" t="s">
        <v>152</v>
      </c>
      <c r="K16" s="95" t="e">
        <f>VLOOKUP((InputTable[[#This Row],[Starting Date]]&amp; " - " &amp;InputTable[[#This Row],[Delivery Date]]),'System List'!$F$40:$H$83,2,FALSE)</f>
        <v>#N/A</v>
      </c>
      <c r="L16" s="95" t="e">
        <f>VLOOKUP(InputTable[[#This Row],[Duration]],Duration,2,FALSE)</f>
        <v>#N/A</v>
      </c>
      <c r="M16" s="125"/>
      <c r="N16" s="92"/>
      <c r="O16" s="92"/>
      <c r="P16" s="92"/>
      <c r="Q16" s="92" t="s">
        <v>111</v>
      </c>
      <c r="R16" s="92"/>
      <c r="S16" s="92"/>
      <c r="T16" s="95" cm="1">
        <f t="array" ref="T1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6" s="138"/>
      <c r="V16" s="92"/>
      <c r="W16" s="92"/>
      <c r="X16" s="92"/>
      <c r="Y16" s="92"/>
      <c r="Z16" s="92"/>
      <c r="AA16" s="92" t="s">
        <v>111</v>
      </c>
      <c r="AB16" s="92"/>
      <c r="AC16" s="92"/>
      <c r="AD16" s="92">
        <f>COUNTA(InputTable[[#This Row],[CORPHRFIN]:[SALES]])</f>
        <v>1</v>
      </c>
      <c r="AE16" s="88" cm="1">
        <f t="array" ref="AE16">SUM(
_xlfn.XLOOKUP(InputTable[[#This Row],[CORPHRFIN]:[SALES]],'System List'!$F$4:$F$7,'System List'!$H$4:$H$7,0))</f>
        <v>5</v>
      </c>
      <c r="AF16" s="140"/>
      <c r="AG16" s="96"/>
      <c r="AH16" s="96"/>
      <c r="AI16" s="96"/>
      <c r="AJ16" s="96"/>
      <c r="AK16" s="96"/>
      <c r="AL16" s="96"/>
      <c r="AM16" s="96"/>
      <c r="AN16" s="96" t="s">
        <v>111</v>
      </c>
      <c r="AO16" s="96"/>
      <c r="AP16" s="96"/>
      <c r="AQ16" s="96"/>
      <c r="AR16" s="88" cm="1">
        <f t="array" ref="AR16">SUM(
_xlfn.XLOOKUP(InputTable[[#This Row],[Impact on - CIAL]:[Impact on - STRAT]],'System List'!$F$4:$F$7,'System List'!$H$4:$H$7,0))</f>
        <v>5</v>
      </c>
      <c r="AS16" s="88" t="e">
        <f>VLOOKUP(InputTable[[#This Row],[Duration]],Duration,2,FALSE)+InputTable[[#This Row],[Resource Score]]</f>
        <v>#N/A</v>
      </c>
      <c r="AT1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" s="24" t="e">
        <f>InputTable[[#This Row],[Value Score]]/InputTable[[#This Row],[EFFORT SCORE]]*100</f>
        <v>#N/A</v>
      </c>
      <c r="AV16" s="25" t="str">
        <f>InputTable[[#This Row],[IS Portfolio Ref ID]]</f>
        <v>ISPRJ-75</v>
      </c>
      <c r="AW16" s="25" t="s">
        <v>153</v>
      </c>
      <c r="AX16" s="208" t="s">
        <v>154</v>
      </c>
      <c r="AY16" s="25"/>
      <c r="AZ16" s="209">
        <v>0</v>
      </c>
      <c r="BA16" s="209">
        <v>126000</v>
      </c>
      <c r="BB16" s="209"/>
      <c r="BC16" s="189">
        <f>SUM(InputTable[[#This Row],[Opex IS Budget (full project)]]+InputTable[[#This Row],[Capex IS Budget (full project)]])</f>
        <v>126000</v>
      </c>
      <c r="BD16" s="188">
        <v>1</v>
      </c>
      <c r="BE16" s="188"/>
      <c r="BF16" s="70"/>
      <c r="BH16" s="2">
        <f>IFERROR(VLOOKUP(InputTable[[#This Row],[Impact on - CIAL]],'System List'!$F$4:$H$7,3,FALSE),0)</f>
        <v>0</v>
      </c>
      <c r="BI16" s="2">
        <f>IFERROR(VLOOKUP(InputTable[[#This Row],[Impact on - COM]],'System List'!$F$4:$H$7,3,FALSE),0)</f>
        <v>0</v>
      </c>
      <c r="BJ16" s="2">
        <f>IFERROR(VLOOKUP(InputTable[[#This Row],[Impact on - FIN]],'System List'!$F$4:$H$7,3,FALSE),0)</f>
        <v>0</v>
      </c>
      <c r="BK16" s="2">
        <f>IFERROR(VLOOKUP(InputTable[[#This Row],[Impact on - GEN SEC]],'System List'!$F$4:$H$7,3,FALSE),0)</f>
        <v>0</v>
      </c>
      <c r="BL16" s="2">
        <f>IFERROR(VLOOKUP(InputTable[[#This Row],[Impact on - HR]],'System List'!$F$4:$H$7,3,FALSE),0)</f>
        <v>0</v>
      </c>
      <c r="BM16" s="2">
        <f>IFERROR(VLOOKUP(InputTable[[#This Row],[Impact on - IS]],'System List'!$F$4:$H$7,3,FALSE),0)</f>
        <v>0</v>
      </c>
      <c r="BN16" s="2">
        <f>IFERROR(VLOOKUP(InputTable[[#This Row],[Impact on - OPS]],'System List'!$F$4:$H$7,3,FALSE),0)</f>
        <v>0</v>
      </c>
      <c r="BO16" s="2">
        <f>IFERROR(VLOOKUP(InputTable[[#This Row],[Impact on - ROLL STOCK]],'System List'!$F$4:$H$7,3,FALSE),0)</f>
        <v>5</v>
      </c>
      <c r="BP16" s="2">
        <f>IFERROR(VLOOKUP(InputTable[[#This Row],[Impact on - SAFETY]],'System List'!$F$4:$H$7,3,FALSE),0)</f>
        <v>0</v>
      </c>
      <c r="BQ16" s="2">
        <f>IFERROR(VLOOKUP(InputTable[[#This Row],[Impact on - STATION]],'System List'!$F$4:$H$7,3,FALSE),0)</f>
        <v>0</v>
      </c>
      <c r="BR16" s="2">
        <f>IFERROR(VLOOKUP(InputTable[[#This Row],[Impact on - STRAT]],'System List'!$F$4:$H$7,3,FALSE),0)</f>
        <v>0</v>
      </c>
      <c r="BT16" s="2">
        <f>IFERROR(VLOOKUP(InputTable[[#This Row],[CORPHRFIN]],'System List'!$F$4:$H$7,3,FALSE),0)</f>
        <v>0</v>
      </c>
      <c r="BU16" s="2">
        <f>IFERROR(VLOOKUP(InputTable[[#This Row],[CUST]],'System List'!$F$4:$H$7,3,FALSE),0)</f>
        <v>0</v>
      </c>
      <c r="BV16" s="2">
        <f>IFERROR(VLOOKUP(InputTable[[#This Row],[CYBER]],'System List'!$F$4:$H$7,3,FALSE),0)</f>
        <v>0</v>
      </c>
      <c r="BW16" s="2">
        <f>IFERROR(VLOOKUP(InputTable[[#This Row],[DATA]],'System List'!$F$4:$H$7,3,FALSE),0)</f>
        <v>0</v>
      </c>
      <c r="BX16" s="2">
        <f>IFERROR(VLOOKUP(InputTable[[#This Row],[INFRA]],'System List'!$F$4:$H$7,3,FALSE),0)</f>
        <v>0</v>
      </c>
      <c r="BY16" s="2">
        <f>IFERROR(VLOOKUP(InputTable[[#This Row],[OPERATIONS]],'System List'!$F$4:$H$7,3,FALSE),0)</f>
        <v>5</v>
      </c>
      <c r="BZ16" s="2">
        <f>IFERROR(VLOOKUP(InputTable[[#This Row],[PMO]],'System List'!$F$4:$H$7,3,FALSE),0)</f>
        <v>0</v>
      </c>
      <c r="CA16" s="2">
        <f>IFERROR(VLOOKUP(InputTable[[#This Row],[SALES]],'System List'!$F$4:$H$7,3,FALSE),0)</f>
        <v>0</v>
      </c>
      <c r="CC16" s="2" cm="1">
        <f t="array" ref="CC1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" s="2" cm="1">
        <f t="array" ref="CD1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" s="2" cm="1">
        <f t="array" ref="CE1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" s="2" cm="1">
        <f t="array" ref="CF1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" s="2" cm="1">
        <f t="array" ref="CG1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" s="2" cm="1">
        <f t="array" ref="CH1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" s="2" cm="1">
        <f t="array" ref="CI1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" s="2" cm="1">
        <f t="array" ref="CJ1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" s="2" cm="1">
        <f t="array" ref="CK1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" s="26">
        <f t="shared" si="76"/>
        <v>0</v>
      </c>
      <c r="CY16" s="26">
        <f t="shared" si="76"/>
        <v>0</v>
      </c>
      <c r="CZ16" s="26">
        <f t="shared" si="76"/>
        <v>0</v>
      </c>
      <c r="DA16" s="26">
        <f t="shared" si="76"/>
        <v>0</v>
      </c>
      <c r="DB16" s="26">
        <f t="shared" si="76"/>
        <v>0</v>
      </c>
      <c r="DC16" s="26">
        <f t="shared" si="76"/>
        <v>0</v>
      </c>
      <c r="DD16" s="26">
        <f t="shared" si="76"/>
        <v>0</v>
      </c>
      <c r="DE16" s="26">
        <f t="shared" si="76"/>
        <v>0</v>
      </c>
      <c r="DF16" s="26">
        <f t="shared" si="76"/>
        <v>0</v>
      </c>
      <c r="DH16" s="26">
        <f>$CN16*_xlfn.XLOOKUP(DH$1,$BT$2:$CA$2,$BT16:$CA16,0)</f>
        <v>0</v>
      </c>
      <c r="DI16" s="26">
        <f>$CO16*_xlfn.XLOOKUP(DI$1,$BT$2:$CA$2,$BT16:$CA16,0)</f>
        <v>0</v>
      </c>
      <c r="DJ16" s="26">
        <f>$CP16*_xlfn.XLOOKUP(DJ$1,$BT$2:$CA$2,$BT16:$CA16,0)</f>
        <v>0</v>
      </c>
      <c r="DK16" s="26">
        <f>$CQ16*_xlfn.XLOOKUP(DK$1,$BT$2:$CA$2,$BT16:$CA16,0)</f>
        <v>0</v>
      </c>
      <c r="DL16" s="26">
        <f>$CR16*_xlfn.XLOOKUP(DL$1,$BT$2:$CA$2,$BT16:$CA16,0)</f>
        <v>0</v>
      </c>
      <c r="DM16" s="26">
        <f>$CS16*_xlfn.XLOOKUP(DM$1,$BT$2:$CA$2,$BT16:$CA16,0)</f>
        <v>0</v>
      </c>
      <c r="DN16" s="26">
        <f>$CT16*_xlfn.XLOOKUP(DN$1,$BT$2:$CA$2,$BT16:$CA16,0)</f>
        <v>0</v>
      </c>
      <c r="DO16" s="26">
        <f>$CU16*_xlfn.XLOOKUP(DO$1,$BT$2:$CA$2,$BT16:$CA16,0)</f>
        <v>0</v>
      </c>
      <c r="DP16" s="26">
        <f>$CV16*_xlfn.XLOOKUP(DP$1,$BT$2:$CA$2,$BT16:$CA16,0)</f>
        <v>0</v>
      </c>
      <c r="DR16" s="26">
        <f>$CN16*_xlfn.XLOOKUP(DR$1,$BT$2:$CA$2,$BT16:$CA16,0)</f>
        <v>0</v>
      </c>
      <c r="DS16" s="26">
        <f>$CO16*_xlfn.XLOOKUP(DS$1,$BT$2:$CA$2,$BT16:$CA16,0)</f>
        <v>0</v>
      </c>
      <c r="DT16" s="26">
        <f>$CP16*_xlfn.XLOOKUP(DT$1,$BT$2:$CA$2,$BT16:$CA16,0)</f>
        <v>0</v>
      </c>
      <c r="DU16" s="26">
        <f>$CQ16*_xlfn.XLOOKUP(DU$1,$BT$2:$CA$2,$BT16:$CA16,0)</f>
        <v>0</v>
      </c>
      <c r="DV16" s="26">
        <f>$CR16*_xlfn.XLOOKUP(DV$1,$BT$2:$CA$2,$BT16:$CA16,0)</f>
        <v>0</v>
      </c>
      <c r="DW16" s="26">
        <f>$CS16*_xlfn.XLOOKUP(DW$1,$BT$2:$CA$2,$BT16:$CA16,0)</f>
        <v>0</v>
      </c>
      <c r="DX16" s="26">
        <f>$CT16*_xlfn.XLOOKUP(DX$1,$BT$2:$CA$2,$BT16:$CA16,0)</f>
        <v>0</v>
      </c>
      <c r="DY16" s="26">
        <f>$CU16*_xlfn.XLOOKUP(DY$1,$BT$2:$CA$2,$BT16:$CA16,0)</f>
        <v>0</v>
      </c>
      <c r="DZ16" s="26">
        <f>$CV16*_xlfn.XLOOKUP(DZ$1,$BT$2:$CA$2,$BT16:$CA16,0)</f>
        <v>0</v>
      </c>
      <c r="EB16" s="26">
        <f>$CN16*_xlfn.XLOOKUP(EB$1,$BT$2:$CA$2,$BT16:$CA16,0)</f>
        <v>0</v>
      </c>
      <c r="EC16" s="26">
        <f>$CO16*_xlfn.XLOOKUP(EC$1,$BT$2:$CA$2,$BT16:$CA16,0)</f>
        <v>0</v>
      </c>
      <c r="ED16" s="26">
        <f>$CP16*_xlfn.XLOOKUP(ED$1,$BT$2:$CA$2,$BT16:$CA16,0)</f>
        <v>0</v>
      </c>
      <c r="EE16" s="26">
        <f>$CQ16*_xlfn.XLOOKUP(EE$1,$BT$2:$CA$2,$BT16:$CA16,0)</f>
        <v>0</v>
      </c>
      <c r="EF16" s="26">
        <f>$CR16*_xlfn.XLOOKUP(EF$1,$BT$2:$CA$2,$BT16:$CA16,0)</f>
        <v>0</v>
      </c>
      <c r="EG16" s="26">
        <f>$CS16*_xlfn.XLOOKUP(EG$1,$BT$2:$CA$2,$BT16:$CA16,0)</f>
        <v>0</v>
      </c>
      <c r="EH16" s="26">
        <f>$CT16*_xlfn.XLOOKUP(EH$1,$BT$2:$CA$2,$BT16:$CA16,0)</f>
        <v>0</v>
      </c>
      <c r="EI16" s="26">
        <f>$CU16*_xlfn.XLOOKUP(EI$1,$BT$2:$CA$2,$BT16:$CA16,0)</f>
        <v>0</v>
      </c>
      <c r="EJ16" s="26">
        <f>$CV16*_xlfn.XLOOKUP(EJ$1,$BT$2:$CA$2,$BT16:$CA16,0)</f>
        <v>0</v>
      </c>
      <c r="EL16" s="26">
        <f>$CN16*_xlfn.XLOOKUP(EL$1,$BT$2:$CA$2,$BT16:$CA16,0)</f>
        <v>0</v>
      </c>
      <c r="EM16" s="26">
        <f>$CO16*_xlfn.XLOOKUP(EM$1,$BT$2:$CA$2,$BT16:$CA16,0)</f>
        <v>0</v>
      </c>
      <c r="EN16" s="26">
        <f>$CP16*_xlfn.XLOOKUP(EN$1,$BT$2:$CA$2,$BT16:$CA16,0)</f>
        <v>0</v>
      </c>
      <c r="EO16" s="26">
        <f>$CQ16*_xlfn.XLOOKUP(EO$1,$BT$2:$CA$2,$BT16:$CA16,0)</f>
        <v>0</v>
      </c>
      <c r="EP16" s="26">
        <f>$CR16*_xlfn.XLOOKUP(EP$1,$BT$2:$CA$2,$BT16:$CA16,0)</f>
        <v>0</v>
      </c>
      <c r="EQ16" s="26">
        <f>$CS16*_xlfn.XLOOKUP(EQ$1,$BT$2:$CA$2,$BT16:$CA16,0)</f>
        <v>0</v>
      </c>
      <c r="ER16" s="26">
        <f>$CT16*_xlfn.XLOOKUP(ER$1,$BT$2:$CA$2,$BT16:$CA16,0)</f>
        <v>0</v>
      </c>
      <c r="ES16" s="26">
        <f>$CU16*_xlfn.XLOOKUP(ES$1,$BT$2:$CA$2,$BT16:$CA16,0)</f>
        <v>0</v>
      </c>
      <c r="ET16" s="26">
        <f>$CV16*_xlfn.XLOOKUP(ET$1,$BT$2:$CA$2,$BT16:$CA16,0)</f>
        <v>0</v>
      </c>
      <c r="EV16" s="26">
        <f>$CN16*_xlfn.XLOOKUP(EV$1,$BT$2:$CA$2,$BT16:$CA16,0)</f>
        <v>0</v>
      </c>
      <c r="EW16" s="26">
        <f>$CO16*_xlfn.XLOOKUP(EW$1,$BT$2:$CA$2,$BT16:$CA16,0)</f>
        <v>5</v>
      </c>
      <c r="EX16" s="26">
        <f>$CP16*_xlfn.XLOOKUP(EX$1,$BT$2:$CA$2,$BT16:$CA16,0)</f>
        <v>5</v>
      </c>
      <c r="EY16" s="26">
        <f>$CQ16*_xlfn.XLOOKUP(EY$1,$BT$2:$CA$2,$BT16:$CA16,0)</f>
        <v>5</v>
      </c>
      <c r="EZ16" s="26">
        <f>$CR16*_xlfn.XLOOKUP(EZ$1,$BT$2:$CA$2,$BT16:$CA16,0)</f>
        <v>5</v>
      </c>
      <c r="FA16" s="26">
        <f>$CS16*_xlfn.XLOOKUP(FA$1,$BT$2:$CA$2,$BT16:$CA16,0)</f>
        <v>5</v>
      </c>
      <c r="FB16" s="26">
        <f>$CT16*_xlfn.XLOOKUP(FB$1,$BT$2:$CA$2,$BT16:$CA16,0)</f>
        <v>0</v>
      </c>
      <c r="FC16" s="26">
        <f>$CU16*_xlfn.XLOOKUP(FC$1,$BT$2:$CA$2,$BT16:$CA16,0)</f>
        <v>0</v>
      </c>
      <c r="FD16" s="26">
        <f>$CV16*_xlfn.XLOOKUP(FD$1,$BT$2:$CA$2,$BT16:$CA16,0)</f>
        <v>0</v>
      </c>
      <c r="FF16" s="26">
        <f>$CN16*_xlfn.XLOOKUP(FF$1,$BT$2:$CA$2,$BT16:$CA16,0)</f>
        <v>0</v>
      </c>
      <c r="FG16" s="26">
        <f>$CO16*_xlfn.XLOOKUP(FG$1,$BT$2:$CA$2,$BT16:$CA16,0)</f>
        <v>0</v>
      </c>
      <c r="FH16" s="26">
        <f>$CP16*_xlfn.XLOOKUP(FH$1,$BT$2:$CA$2,$BT16:$CA16,0)</f>
        <v>0</v>
      </c>
      <c r="FI16" s="26">
        <f>$CQ16*_xlfn.XLOOKUP(FI$1,$BT$2:$CA$2,$BT16:$CA16,0)</f>
        <v>0</v>
      </c>
      <c r="FJ16" s="26">
        <f>$CR16*_xlfn.XLOOKUP(FJ$1,$BT$2:$CA$2,$BT16:$CA16,0)</f>
        <v>0</v>
      </c>
      <c r="FK16" s="26">
        <f>$CS16*_xlfn.XLOOKUP(FK$1,$BT$2:$CA$2,$BT16:$CA16,0)</f>
        <v>0</v>
      </c>
      <c r="FL16" s="26">
        <f>$CT16*_xlfn.XLOOKUP(FL$1,$BT$2:$CA$2,$BT16:$CA16,0)</f>
        <v>0</v>
      </c>
      <c r="FM16" s="26">
        <f>$CU16*_xlfn.XLOOKUP(FM$1,$BT$2:$CA$2,$BT16:$CA16,0)</f>
        <v>0</v>
      </c>
      <c r="FN16" s="26">
        <f>$CV16*_xlfn.XLOOKUP(FN$1,$BT$2:$CA$2,$BT16:$CA16,0)</f>
        <v>0</v>
      </c>
      <c r="FP16" s="26" t="e">
        <f>$CN16*_xlfn.XLOOKUP(FP$1,$BT$2:$CA$2,$BT16:$CA16,0)</f>
        <v>#REF!</v>
      </c>
      <c r="FQ16" s="26" t="e">
        <f>$CO16*_xlfn.XLOOKUP(FQ$1,$BT$2:$CA$2,$BT16:$CA16,0)</f>
        <v>#REF!</v>
      </c>
      <c r="FR16" s="26" t="e">
        <f>$CP16*_xlfn.XLOOKUP(FR$1,$BT$2:$CA$2,$BT16:$CA16,0)</f>
        <v>#REF!</v>
      </c>
      <c r="FS16" s="26" t="e">
        <f>$CQ16*_xlfn.XLOOKUP(FS$1,$BT$2:$CA$2,$BT16:$CA16,0)</f>
        <v>#REF!</v>
      </c>
      <c r="FT16" s="26" t="e">
        <f>$CR16*_xlfn.XLOOKUP(FT$1,$BT$2:$CA$2,$BT16:$CA16,0)</f>
        <v>#REF!</v>
      </c>
      <c r="FU16" s="26" t="e">
        <f>$CS16*_xlfn.XLOOKUP(FU$1,$BT$2:$CA$2,$BT16:$CA16,0)</f>
        <v>#REF!</v>
      </c>
      <c r="FV16" s="26" t="e">
        <f>$CT16*_xlfn.XLOOKUP(FV$1,$BT$2:$CA$2,$BT16:$CA16,0)</f>
        <v>#REF!</v>
      </c>
      <c r="FW16" s="26" t="e">
        <f>$CU16*_xlfn.XLOOKUP(FW$1,$BT$2:$CA$2,$BT16:$CA16,0)</f>
        <v>#REF!</v>
      </c>
      <c r="FX16" s="26" t="e">
        <f>$CV16*_xlfn.XLOOKUP(FX$1,$BT$2:$CA$2,$BT16:$CA16,0)</f>
        <v>#REF!</v>
      </c>
      <c r="GB16" s="26" t="e">
        <f>IF(GB$2=InputTable[[#This Row],[Delivery Date]],_xlfn.XLOOKUP(GB$1,$BH$2:$BR$2,$BH16:$BR16,0),0)</f>
        <v>#REF!</v>
      </c>
      <c r="GC16" s="26">
        <f>IF(GC$2=InputTable[[#This Row],[Delivery Date]],_xlfn.XLOOKUP(GC$1,$BH$2:$BR$2,$BH16:$BR16,0),0)</f>
        <v>0</v>
      </c>
      <c r="GD16" s="26">
        <f>IF(GD$2=InputTable[[#This Row],[Delivery Date]],_xlfn.XLOOKUP(GD$1,$BH$2:$BR$2,$BH16:$BR16,0),0)</f>
        <v>0</v>
      </c>
      <c r="GE16" s="26">
        <f>IF(GE$2=InputTable[[#This Row],[Delivery Date]],_xlfn.XLOOKUP(GE$1,$BH$2:$BR$2,$BH16:$BR16,0),0)</f>
        <v>0</v>
      </c>
      <c r="GF16" s="26">
        <f>IF(GF$2=InputTable[[#This Row],[Delivery Date]],_xlfn.XLOOKUP(GF$1,$BH$2:$BR$2,$BH16:$BR16,0),0)</f>
        <v>0</v>
      </c>
      <c r="GG16" s="26">
        <f>IF(GG$2=InputTable[[#This Row],[Delivery Date]],_xlfn.XLOOKUP(GG$1,$BH$2:$BR$2,$BH16:$BR16,0),0)</f>
        <v>0</v>
      </c>
      <c r="GH16" s="26">
        <f>IF(GH$2=InputTable[[#This Row],[Delivery Date]],_xlfn.XLOOKUP(GH$1,$BH$2:$BR$2,$BH16:$BR16,0),0)</f>
        <v>0</v>
      </c>
      <c r="GI16" s="26">
        <f>IF(GI$2=InputTable[[#This Row],[Delivery Date]],_xlfn.XLOOKUP(GI$1,$BH$2:$BR$2,$BH16:$BR16,0),0)</f>
        <v>0</v>
      </c>
      <c r="GJ16" s="26">
        <f>IF(GJ$2=InputTable[[#This Row],[Delivery Date]],_xlfn.XLOOKUP(GJ$1,$BH$2:$BR$2,$BH16:$BR16,0),0)</f>
        <v>0</v>
      </c>
      <c r="GL16" s="26" t="e">
        <f>IF(GL$2=InputTable[[#This Row],[Delivery Date]],_xlfn.XLOOKUP(GL$1,$BH$2:$BR$2,$BH16:$BR16,0),0)</f>
        <v>#REF!</v>
      </c>
      <c r="GM16" s="26">
        <f>IF(GM$2=InputTable[[#This Row],[Delivery Date]],_xlfn.XLOOKUP(GM$1,$BH$2:$BR$2,$BH16:$BR16,0),0)</f>
        <v>0</v>
      </c>
      <c r="GN16" s="26">
        <f>IF(GN$2=InputTable[[#This Row],[Delivery Date]],_xlfn.XLOOKUP(GN$1,$BH$2:$BR$2,$BH16:$BR16,0),0)</f>
        <v>0</v>
      </c>
      <c r="GO16" s="26">
        <f>IF(GO$2=InputTable[[#This Row],[Delivery Date]],_xlfn.XLOOKUP(GO$1,$BH$2:$BR$2,$BH16:$BR16,0),0)</f>
        <v>0</v>
      </c>
      <c r="GP16" s="26">
        <f>IF(GP$2=InputTable[[#This Row],[Delivery Date]],_xlfn.XLOOKUP(GP$1,$BH$2:$BR$2,$BH16:$BR16,0),0)</f>
        <v>0</v>
      </c>
      <c r="GQ16" s="26">
        <f>IF(GQ$2=InputTable[[#This Row],[Delivery Date]],_xlfn.XLOOKUP(GQ$1,$BH$2:$BR$2,$BH16:$BR16,0),0)</f>
        <v>0</v>
      </c>
      <c r="GR16" s="26">
        <f>IF(GR$2=InputTable[[#This Row],[Delivery Date]],_xlfn.XLOOKUP(GR$1,$BH$2:$BR$2,$BH16:$BR16,0),0)</f>
        <v>0</v>
      </c>
      <c r="GS16" s="26">
        <f>IF(GS$2=InputTable[[#This Row],[Delivery Date]],_xlfn.XLOOKUP(GS$1,$BH$2:$BR$2,$BH16:$BR16,0),0)</f>
        <v>0</v>
      </c>
      <c r="GT16" s="26">
        <f>IF(GT$2=InputTable[[#This Row],[Delivery Date]],_xlfn.XLOOKUP(GT$1,$BH$2:$BR$2,$BH16:$BR16,0),0)</f>
        <v>0</v>
      </c>
      <c r="GV16" s="26" t="e">
        <f>IF(GV$2=InputTable[[#This Row],[Delivery Date]],_xlfn.XLOOKUP(GV$1,$BH$2:$BR$2,$BH16:$BR16,0),0)</f>
        <v>#REF!</v>
      </c>
      <c r="GW16" s="26">
        <f>IF(GW$2=InputTable[[#This Row],[Delivery Date]],_xlfn.XLOOKUP(GW$1,$BH$2:$BR$2,$BH16:$BR16,0),0)</f>
        <v>0</v>
      </c>
      <c r="GX16" s="26">
        <f>IF(GX$2=InputTable[[#This Row],[Delivery Date]],_xlfn.XLOOKUP(GX$1,$BH$2:$BR$2,$BH16:$BR16,0),0)</f>
        <v>0</v>
      </c>
      <c r="GY16" s="26">
        <f>IF(GY$2=InputTable[[#This Row],[Delivery Date]],_xlfn.XLOOKUP(GY$1,$BH$2:$BR$2,$BH16:$BR16,0),0)</f>
        <v>0</v>
      </c>
      <c r="GZ16" s="26">
        <f>IF(GZ$2=InputTable[[#This Row],[Delivery Date]],_xlfn.XLOOKUP(GZ$1,$BH$2:$BR$2,$BH16:$BR16,0),0)</f>
        <v>0</v>
      </c>
      <c r="HA16" s="26">
        <f>IF(HA$2=InputTable[[#This Row],[Delivery Date]],_xlfn.XLOOKUP(HA$1,$BH$2:$BR$2,$BH16:$BR16,0),0)</f>
        <v>0</v>
      </c>
      <c r="HB16" s="26">
        <f>IF(HB$2=InputTable[[#This Row],[Delivery Date]],_xlfn.XLOOKUP(HB$1,$BH$2:$BR$2,$BH16:$BR16,0),0)</f>
        <v>0</v>
      </c>
      <c r="HC16" s="26">
        <f>IF(HC$2=InputTable[[#This Row],[Delivery Date]],_xlfn.XLOOKUP(HC$1,$BH$2:$BR$2,$BH16:$BR16,0),0)</f>
        <v>0</v>
      </c>
      <c r="HD16" s="26">
        <f>IF(HD$2=InputTable[[#This Row],[Delivery Date]],_xlfn.XLOOKUP(HD$1,$BH$2:$BR$2,$BH16:$BR16,0),0)</f>
        <v>0</v>
      </c>
      <c r="HF16" s="26" t="e">
        <f>IF(HF$2=InputTable[[#This Row],[Delivery Date]],_xlfn.XLOOKUP(HF$1,$BH$2:$BR$2,$BH16:$BR16,0),0)</f>
        <v>#REF!</v>
      </c>
      <c r="HG16" s="26">
        <f>IF(HG$2=InputTable[[#This Row],[Delivery Date]],_xlfn.XLOOKUP(HG$1,$BH$2:$BR$2,$BH16:$BR16,0),0)</f>
        <v>0</v>
      </c>
      <c r="HH16" s="26">
        <f>IF(HH$2=InputTable[[#This Row],[Delivery Date]],_xlfn.XLOOKUP(HH$1,$BH$2:$BR$2,$BH16:$BR16,0),0)</f>
        <v>0</v>
      </c>
      <c r="HI16" s="26">
        <f>IF(HI$2=InputTable[[#This Row],[Delivery Date]],_xlfn.XLOOKUP(HI$1,$BH$2:$BR$2,$BH16:$BR16,0),0)</f>
        <v>0</v>
      </c>
      <c r="HJ16" s="26">
        <f>IF(HJ$2=InputTable[[#This Row],[Delivery Date]],_xlfn.XLOOKUP(HJ$1,$BH$2:$BR$2,$BH16:$BR16,0),0)</f>
        <v>0</v>
      </c>
      <c r="HK16" s="26">
        <f>IF(HK$2=InputTable[[#This Row],[Delivery Date]],_xlfn.XLOOKUP(HK$1,$BH$2:$BR$2,$BH16:$BR16,0),0)</f>
        <v>0</v>
      </c>
      <c r="HL16" s="26">
        <f>IF(HL$2=InputTable[[#This Row],[Delivery Date]],_xlfn.XLOOKUP(HL$1,$BH$2:$BR$2,$BH16:$BR16,0),0)</f>
        <v>0</v>
      </c>
      <c r="HM16" s="26">
        <f>IF(HM$2=InputTable[[#This Row],[Delivery Date]],_xlfn.XLOOKUP(HM$1,$BH$2:$BR$2,$BH16:$BR16,0),0)</f>
        <v>0</v>
      </c>
      <c r="HN16" s="26">
        <f>IF(HN$2=InputTable[[#This Row],[Delivery Date]],_xlfn.XLOOKUP(HN$1,$BH$2:$BR$2,$BH16:$BR16,0),0)</f>
        <v>0</v>
      </c>
      <c r="HP16" s="26" t="e">
        <f>IF(HP$2=InputTable[[#This Row],[Delivery Date]],_xlfn.XLOOKUP(HP$1,$BH$2:$BR$2,$BH16:$BR16,0),0)</f>
        <v>#REF!</v>
      </c>
      <c r="HQ16" s="26">
        <f>IF(HQ$2=InputTable[[#This Row],[Delivery Date]],_xlfn.XLOOKUP(HQ$1,$BH$2:$BR$2,$BH16:$BR16,0),0)</f>
        <v>0</v>
      </c>
      <c r="HR16" s="26">
        <f>IF(HR$2=InputTable[[#This Row],[Delivery Date]],_xlfn.XLOOKUP(HR$1,$BH$2:$BR$2,$BH16:$BR16,0),0)</f>
        <v>0</v>
      </c>
      <c r="HS16" s="26">
        <f>IF(HS$2=InputTable[[#This Row],[Delivery Date]],_xlfn.XLOOKUP(HS$1,$BH$2:$BR$2,$BH16:$BR16,0),0)</f>
        <v>0</v>
      </c>
      <c r="HT16" s="26">
        <f>IF(HT$2=InputTable[[#This Row],[Delivery Date]],_xlfn.XLOOKUP(HT$1,$BH$2:$BR$2,$BH16:$BR16,0),0)</f>
        <v>0</v>
      </c>
      <c r="HU16" s="26">
        <f>IF(HU$2=InputTable[[#This Row],[Delivery Date]],_xlfn.XLOOKUP(HU$1,$BH$2:$BR$2,$BH16:$BR16,0),0)</f>
        <v>0</v>
      </c>
      <c r="HV16" s="26">
        <f>IF(HV$2=InputTable[[#This Row],[Delivery Date]],_xlfn.XLOOKUP(HV$1,$BH$2:$BR$2,$BH16:$BR16,0),0)</f>
        <v>0</v>
      </c>
      <c r="HW16" s="26">
        <f>IF(HW$2=InputTable[[#This Row],[Delivery Date]],_xlfn.XLOOKUP(HW$1,$BH$2:$BR$2,$BH16:$BR16,0),0)</f>
        <v>0</v>
      </c>
      <c r="HX16" s="26">
        <f>IF(HX$2=InputTable[[#This Row],[Delivery Date]],_xlfn.XLOOKUP(HX$1,$BH$2:$BR$2,$BH16:$BR16,0),0)</f>
        <v>0</v>
      </c>
      <c r="HZ16" s="26" t="e">
        <f>IF(HZ$2=InputTable[[#This Row],[Delivery Date]],_xlfn.XLOOKUP(HZ$1,$BH$2:$BR$2,$BH16:$BR16,0),0)</f>
        <v>#REF!</v>
      </c>
      <c r="IA16" s="26">
        <f>IF(IA$2=InputTable[[#This Row],[Delivery Date]],_xlfn.XLOOKUP(IA$1,$BH$2:$BR$2,$BH16:$BR16,0),0)</f>
        <v>0</v>
      </c>
      <c r="IB16" s="26">
        <f>IF(IB$2=InputTable[[#This Row],[Delivery Date]],_xlfn.XLOOKUP(IB$1,$BH$2:$BR$2,$BH16:$BR16,0),0)</f>
        <v>0</v>
      </c>
      <c r="IC16" s="26">
        <f>IF(IC$2=InputTable[[#This Row],[Delivery Date]],_xlfn.XLOOKUP(IC$1,$BH$2:$BR$2,$BH16:$BR16,0),0)</f>
        <v>0</v>
      </c>
      <c r="ID16" s="26">
        <f>IF(ID$2=InputTable[[#This Row],[Delivery Date]],_xlfn.XLOOKUP(ID$1,$BH$2:$BR$2,$BH16:$BR16,0),0)</f>
        <v>0</v>
      </c>
      <c r="IE16" s="26">
        <f>IF(IE$2=InputTable[[#This Row],[Delivery Date]],_xlfn.XLOOKUP(IE$1,$BH$2:$BR$2,$BH16:$BR16,0),0)</f>
        <v>0</v>
      </c>
      <c r="IF16" s="26">
        <f>IF(IF$2=InputTable[[#This Row],[Delivery Date]],_xlfn.XLOOKUP(IF$1,$BH$2:$BR$2,$BH16:$BR16,0),0)</f>
        <v>0</v>
      </c>
      <c r="IG16" s="26">
        <f>IF(IG$2=InputTable[[#This Row],[Delivery Date]],_xlfn.XLOOKUP(IG$1,$BH$2:$BR$2,$BH16:$BR16,0),0)</f>
        <v>0</v>
      </c>
      <c r="IH16" s="26">
        <f>IF(IH$2=InputTable[[#This Row],[Delivery Date]],_xlfn.XLOOKUP(IH$1,$BH$2:$BR$2,$BH16:$BR16,0),0)</f>
        <v>0</v>
      </c>
      <c r="IJ16" s="26" t="e">
        <f>IF(IJ$2=InputTable[[#This Row],[Delivery Date]],_xlfn.XLOOKUP(IJ$1,$BH$2:$BR$2,$BH16:$BR16,0),0)</f>
        <v>#REF!</v>
      </c>
      <c r="IK16" s="26">
        <f>IF(IK$2=InputTable[[#This Row],[Delivery Date]],_xlfn.XLOOKUP(IK$1,$BH$2:$BR$2,$BH16:$BR16,0),0)</f>
        <v>0</v>
      </c>
      <c r="IL16" s="26">
        <f>IF(IL$2=InputTable[[#This Row],[Delivery Date]],_xlfn.XLOOKUP(IL$1,$BH$2:$BR$2,$BH16:$BR16,0),0)</f>
        <v>0</v>
      </c>
      <c r="IM16" s="26">
        <f>IF(IM$2=InputTable[[#This Row],[Delivery Date]],_xlfn.XLOOKUP(IM$1,$BH$2:$BR$2,$BH16:$BR16,0),0)</f>
        <v>0</v>
      </c>
      <c r="IN16" s="26">
        <f>IF(IN$2=InputTable[[#This Row],[Delivery Date]],_xlfn.XLOOKUP(IN$1,$BH$2:$BR$2,$BH16:$BR16,0),0)</f>
        <v>0</v>
      </c>
      <c r="IO16" s="26">
        <f>IF(IO$2=InputTable[[#This Row],[Delivery Date]],_xlfn.XLOOKUP(IO$1,$BH$2:$BR$2,$BH16:$BR16,0),0)</f>
        <v>0</v>
      </c>
      <c r="IP16" s="26">
        <f>IF(IP$2=InputTable[[#This Row],[Delivery Date]],_xlfn.XLOOKUP(IP$1,$BH$2:$BR$2,$BH16:$BR16,0),0)</f>
        <v>0</v>
      </c>
      <c r="IQ16" s="26">
        <f>IF(IQ$2=InputTable[[#This Row],[Delivery Date]],_xlfn.XLOOKUP(IQ$1,$BH$2:$BR$2,$BH16:$BR16,0),0)</f>
        <v>0</v>
      </c>
      <c r="IR16" s="26">
        <f>IF(IR$2=InputTable[[#This Row],[Delivery Date]],_xlfn.XLOOKUP(IR$1,$BH$2:$BR$2,$BH16:$BR16,0),0)</f>
        <v>0</v>
      </c>
      <c r="IT16" s="26" t="e">
        <f>IF(IT$2=InputTable[[#This Row],[Delivery Date]],_xlfn.XLOOKUP(IT$1,$BH$2:$BR$2,$BH16:$BR16,0),0)</f>
        <v>#REF!</v>
      </c>
      <c r="IU16" s="26">
        <f>IF(IU$2=InputTable[[#This Row],[Delivery Date]],_xlfn.XLOOKUP(IU$1,$BH$2:$BR$2,$BH16:$BR16,0),0)</f>
        <v>0</v>
      </c>
      <c r="IV16" s="26">
        <f>IF(IV$2=InputTable[[#This Row],[Delivery Date]],_xlfn.XLOOKUP(IV$1,$BH$2:$BR$2,$BH16:$BR16,0),0)</f>
        <v>0</v>
      </c>
      <c r="IW16" s="26">
        <f>IF(IW$2=InputTable[[#This Row],[Delivery Date]],_xlfn.XLOOKUP(IW$1,$BH$2:$BR$2,$BH16:$BR16,0),0)</f>
        <v>0</v>
      </c>
      <c r="IX16" s="26">
        <f>IF(IX$2=InputTable[[#This Row],[Delivery Date]],_xlfn.XLOOKUP(IX$1,$BH$2:$BR$2,$BH16:$BR16,0),0)</f>
        <v>0</v>
      </c>
      <c r="IY16" s="26">
        <f>IF(IY$2=InputTable[[#This Row],[Delivery Date]],_xlfn.XLOOKUP(IY$1,$BH$2:$BR$2,$BH16:$BR16,0),0)</f>
        <v>5</v>
      </c>
      <c r="IZ16" s="26">
        <f>IF(IZ$2=InputTable[[#This Row],[Delivery Date]],_xlfn.XLOOKUP(IZ$1,$BH$2:$BR$2,$BH16:$BR16,0),0)</f>
        <v>0</v>
      </c>
      <c r="JA16" s="26">
        <f>IF(JA$2=InputTable[[#This Row],[Delivery Date]],_xlfn.XLOOKUP(JA$1,$BH$2:$BR$2,$BH16:$BR16,0),0)</f>
        <v>0</v>
      </c>
      <c r="JB16" s="26">
        <f>IF(JB$2=InputTable[[#This Row],[Delivery Date]],_xlfn.XLOOKUP(JB$1,$BH$2:$BR$2,$BH16:$BR16,0),0)</f>
        <v>0</v>
      </c>
      <c r="JD16" s="26" t="e">
        <f>IF(JD$2=InputTable[[#This Row],[Delivery Date]],_xlfn.XLOOKUP(JD$1,$BH$2:$BR$2,$BH16:$BR16,0),0)</f>
        <v>#REF!</v>
      </c>
      <c r="JE16" s="26">
        <f>IF(JE$2=InputTable[[#This Row],[Delivery Date]],_xlfn.XLOOKUP(JE$1,$BH$2:$BR$2,$BH16:$BR16,0),0)</f>
        <v>0</v>
      </c>
      <c r="JF16" s="26">
        <f>IF(JF$2=InputTable[[#This Row],[Delivery Date]],_xlfn.XLOOKUP(JF$1,$BH$2:$BR$2,$BH16:$BR16,0),0)</f>
        <v>0</v>
      </c>
      <c r="JG16" s="26">
        <f>IF(JG$2=InputTable[[#This Row],[Delivery Date]],_xlfn.XLOOKUP(JG$1,$BH$2:$BR$2,$BH16:$BR16,0),0)</f>
        <v>0</v>
      </c>
      <c r="JH16" s="26">
        <f>IF(JH$2=InputTable[[#This Row],[Delivery Date]],_xlfn.XLOOKUP(JH$1,$BH$2:$BR$2,$BH16:$BR16,0),0)</f>
        <v>0</v>
      </c>
      <c r="JI16" s="26">
        <f>IF(JI$2=InputTable[[#This Row],[Delivery Date]],_xlfn.XLOOKUP(JI$1,$BH$2:$BR$2,$BH16:$BR16,0),0)</f>
        <v>0</v>
      </c>
      <c r="JJ16" s="26">
        <f>IF(JJ$2=InputTable[[#This Row],[Delivery Date]],_xlfn.XLOOKUP(JJ$1,$BH$2:$BR$2,$BH16:$BR16,0),0)</f>
        <v>0</v>
      </c>
      <c r="JK16" s="26">
        <f>IF(JK$2=InputTable[[#This Row],[Delivery Date]],_xlfn.XLOOKUP(JK$1,$BH$2:$BR$2,$BH16:$BR16,0),0)</f>
        <v>0</v>
      </c>
      <c r="JL16" s="26">
        <f>IF(JL$2=InputTable[[#This Row],[Delivery Date]],_xlfn.XLOOKUP(JL$1,$BH$2:$BR$2,$BH16:$BR16,0),0)</f>
        <v>0</v>
      </c>
      <c r="JN16" s="26" t="e">
        <f>IF(JN$2=InputTable[[#This Row],[Delivery Date]],_xlfn.XLOOKUP(JN$1,$BH$2:$BR$2,$BH16:$BR16,0),0)</f>
        <v>#REF!</v>
      </c>
      <c r="JO16" s="26">
        <f>IF(JO$2=InputTable[[#This Row],[Delivery Date]],_xlfn.XLOOKUP(JO$1,$BH$2:$BR$2,$BH16:$BR16,0),0)</f>
        <v>0</v>
      </c>
      <c r="JP16" s="26">
        <f>IF(JP$2=InputTable[[#This Row],[Delivery Date]],_xlfn.XLOOKUP(JP$1,$BH$2:$BR$2,$BH16:$BR16,0),0)</f>
        <v>0</v>
      </c>
      <c r="JQ16" s="26">
        <f>IF(JQ$2=InputTable[[#This Row],[Delivery Date]],_xlfn.XLOOKUP(JQ$1,$BH$2:$BR$2,$BH16:$BR16,0),0)</f>
        <v>0</v>
      </c>
      <c r="JR16" s="26">
        <f>IF(JR$2=InputTable[[#This Row],[Delivery Date]],_xlfn.XLOOKUP(JR$1,$BH$2:$BR$2,$BH16:$BR16,0),0)</f>
        <v>0</v>
      </c>
      <c r="JS16" s="26">
        <f>IF(JS$2=InputTable[[#This Row],[Delivery Date]],_xlfn.XLOOKUP(JS$1,$BH$2:$BR$2,$BH16:$BR16,0),0)</f>
        <v>0</v>
      </c>
      <c r="JT16" s="26">
        <f>IF(JT$2=InputTable[[#This Row],[Delivery Date]],_xlfn.XLOOKUP(JT$1,$BH$2:$BR$2,$BH16:$BR16,0),0)</f>
        <v>0</v>
      </c>
      <c r="JU16" s="26">
        <f>IF(JU$2=InputTable[[#This Row],[Delivery Date]],_xlfn.XLOOKUP(JU$1,$BH$2:$BR$2,$BH16:$BR16,0),0)</f>
        <v>0</v>
      </c>
      <c r="JV16" s="26">
        <f>IF(JV$2=InputTable[[#This Row],[Delivery Date]],_xlfn.XLOOKUP(JV$1,$BH$2:$BR$2,$BH16:$BR16,0),0)</f>
        <v>0</v>
      </c>
      <c r="JX16" s="26" t="e">
        <f>IF(JX$2=InputTable[[#This Row],[Delivery Date]],_xlfn.XLOOKUP(JX$1,$BH$2:$BR$2,$BH16:$BR16,0),0)</f>
        <v>#REF!</v>
      </c>
      <c r="JY16" s="26">
        <f>IF(JY$2=InputTable[[#This Row],[Delivery Date]],_xlfn.XLOOKUP(JY$1,$BH$2:$BR$2,$BH16:$BR16,0),0)</f>
        <v>0</v>
      </c>
      <c r="JZ16" s="26">
        <f>IF(JZ$2=InputTable[[#This Row],[Delivery Date]],_xlfn.XLOOKUP(JZ$1,$BH$2:$BR$2,$BH16:$BR16,0),0)</f>
        <v>0</v>
      </c>
      <c r="KA16" s="26">
        <f>IF(KA$2=InputTable[[#This Row],[Delivery Date]],_xlfn.XLOOKUP(KA$1,$BH$2:$BR$2,$BH16:$BR16,0),0)</f>
        <v>0</v>
      </c>
      <c r="KB16" s="26">
        <f>IF(KB$2=InputTable[[#This Row],[Delivery Date]],_xlfn.XLOOKUP(KB$1,$BH$2:$BR$2,$BH16:$BR16,0),0)</f>
        <v>0</v>
      </c>
      <c r="KC16" s="26">
        <f>IF(KC$2=InputTable[[#This Row],[Delivery Date]],_xlfn.XLOOKUP(KC$1,$BH$2:$BR$2,$BH16:$BR16,0),0)</f>
        <v>0</v>
      </c>
      <c r="KD16" s="26">
        <f>IF(KD$2=InputTable[[#This Row],[Delivery Date]],_xlfn.XLOOKUP(KD$1,$BH$2:$BR$2,$BH16:$BR16,0),0)</f>
        <v>0</v>
      </c>
      <c r="KE16" s="26">
        <f>IF(KE$2=InputTable[[#This Row],[Delivery Date]],_xlfn.XLOOKUP(KE$1,$BH$2:$BR$2,$BH16:$BR16,0),0)</f>
        <v>0</v>
      </c>
      <c r="KF16" s="26">
        <f>IF(KF$2=InputTable[[#This Row],[Delivery Date]],_xlfn.XLOOKUP(KF$1,$BH$2:$BR$2,$BH16:$BR16,0),0)</f>
        <v>0</v>
      </c>
    </row>
    <row r="17" spans="1:292" ht="39.6" hidden="1" customHeight="1" x14ac:dyDescent="0.25">
      <c r="A17" s="141" t="s">
        <v>155</v>
      </c>
      <c r="B17" s="141" t="s">
        <v>156</v>
      </c>
      <c r="C17" s="92" t="s">
        <v>57</v>
      </c>
      <c r="D17" s="125" t="s">
        <v>157</v>
      </c>
      <c r="E17" s="193" t="s">
        <v>158</v>
      </c>
      <c r="F17" s="92" t="s">
        <v>159</v>
      </c>
      <c r="G17" s="92">
        <v>2024</v>
      </c>
      <c r="H17" s="92" t="s">
        <v>100</v>
      </c>
      <c r="I17" s="92" t="s">
        <v>160</v>
      </c>
      <c r="J17" s="125" t="s">
        <v>161</v>
      </c>
      <c r="K17" s="95" t="e">
        <f>VLOOKUP((InputTable[[#This Row],[Starting Date]]&amp; " - " &amp;InputTable[[#This Row],[Delivery Date]]),'System List'!$F$40:$H$83,2,FALSE)</f>
        <v>#N/A</v>
      </c>
      <c r="L17" s="95" t="e">
        <f>VLOOKUP(InputTable[[#This Row],[Duration]],Duration,2,FALSE)</f>
        <v>#N/A</v>
      </c>
      <c r="M17" s="125"/>
      <c r="N17" s="92"/>
      <c r="O17" s="92" t="s">
        <v>139</v>
      </c>
      <c r="P17" s="92" t="s">
        <v>111</v>
      </c>
      <c r="Q17" s="92"/>
      <c r="R17" s="92" t="s">
        <v>139</v>
      </c>
      <c r="S17" s="92"/>
      <c r="T17" s="95" cm="1">
        <f t="array" ref="T1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</v>
      </c>
      <c r="U17" s="138"/>
      <c r="V17" s="92"/>
      <c r="W17" s="92" t="s">
        <v>100</v>
      </c>
      <c r="X17" s="92"/>
      <c r="Y17" s="92" t="s">
        <v>111</v>
      </c>
      <c r="Z17" s="92" t="s">
        <v>100</v>
      </c>
      <c r="AA17" s="92"/>
      <c r="AB17" s="92"/>
      <c r="AC17" s="92"/>
      <c r="AD17" s="92">
        <f>COUNTA(InputTable[[#This Row],[CORPHRFIN]:[SALES]])</f>
        <v>3</v>
      </c>
      <c r="AE17" s="88" cm="1">
        <f t="array" ref="AE17">SUM(
_xlfn.XLOOKUP(InputTable[[#This Row],[CORPHRFIN]:[SALES]],'System List'!$F$4:$F$7,'System List'!$H$4:$H$7,0))</f>
        <v>31</v>
      </c>
      <c r="AF17" s="140"/>
      <c r="AG17" s="96"/>
      <c r="AH17" s="96"/>
      <c r="AI17" s="96"/>
      <c r="AJ17" s="96"/>
      <c r="AK17" s="96"/>
      <c r="AL17" s="96" t="s">
        <v>111</v>
      </c>
      <c r="AM17" s="96"/>
      <c r="AN17" s="96"/>
      <c r="AO17" s="96"/>
      <c r="AP17" s="96" t="s">
        <v>139</v>
      </c>
      <c r="AQ17" s="96"/>
      <c r="AR17" s="88" cm="1">
        <f t="array" ref="AR17">SUM(
_xlfn.XLOOKUP(InputTable[[#This Row],[Impact on - CIAL]:[Impact on - STRAT]],'System List'!$F$4:$F$7,'System List'!$H$4:$H$7,0))</f>
        <v>13</v>
      </c>
      <c r="AS17" s="88" t="e">
        <f>VLOOKUP(InputTable[[#This Row],[Duration]],Duration,2,FALSE)+InputTable[[#This Row],[Resource Score]]</f>
        <v>#N/A</v>
      </c>
      <c r="AT1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" s="69" t="e">
        <f>InputTable[[#This Row],[Value Score]]/InputTable[[#This Row],[EFFORT SCORE]]*100</f>
        <v>#N/A</v>
      </c>
      <c r="AV17" s="25" t="str">
        <f>InputTable[[#This Row],[IS Portfolio Ref ID]]</f>
        <v>ISPRJ-6</v>
      </c>
      <c r="AW17" s="25" t="s">
        <v>131</v>
      </c>
      <c r="AX17" s="208" t="s">
        <v>113</v>
      </c>
      <c r="AY17" s="25">
        <v>1744</v>
      </c>
      <c r="AZ17" s="209">
        <v>0</v>
      </c>
      <c r="BA17" s="209">
        <v>382000</v>
      </c>
      <c r="BB17" s="209"/>
      <c r="BC17" s="189">
        <f>SUM(InputTable[[#This Row],[Opex IS Budget (full project)]]+InputTable[[#This Row],[Capex IS Budget (full project)]])</f>
        <v>382000</v>
      </c>
      <c r="BD17" s="188">
        <v>3</v>
      </c>
      <c r="BE17" s="188">
        <v>2</v>
      </c>
      <c r="BF17" s="70"/>
      <c r="BH17" s="2">
        <f>IFERROR(VLOOKUP(InputTable[[#This Row],[Impact on - CIAL]],'System List'!$F$4:$H$7,3,FALSE),0)</f>
        <v>0</v>
      </c>
      <c r="BI17" s="2">
        <f>IFERROR(VLOOKUP(InputTable[[#This Row],[Impact on - COM]],'System List'!$F$4:$H$7,3,FALSE),0)</f>
        <v>0</v>
      </c>
      <c r="BJ17" s="2">
        <f>IFERROR(VLOOKUP(InputTable[[#This Row],[Impact on - FIN]],'System List'!$F$4:$H$7,3,FALSE),0)</f>
        <v>0</v>
      </c>
      <c r="BK17" s="2">
        <f>IFERROR(VLOOKUP(InputTable[[#This Row],[Impact on - GEN SEC]],'System List'!$F$4:$H$7,3,FALSE),0)</f>
        <v>0</v>
      </c>
      <c r="BL17" s="2">
        <f>IFERROR(VLOOKUP(InputTable[[#This Row],[Impact on - HR]],'System List'!$F$4:$H$7,3,FALSE),0)</f>
        <v>0</v>
      </c>
      <c r="BM17" s="2">
        <f>IFERROR(VLOOKUP(InputTable[[#This Row],[Impact on - IS]],'System List'!$F$4:$H$7,3,FALSE),0)</f>
        <v>5</v>
      </c>
      <c r="BN17" s="2">
        <f>IFERROR(VLOOKUP(InputTable[[#This Row],[Impact on - OPS]],'System List'!$F$4:$H$7,3,FALSE),0)</f>
        <v>0</v>
      </c>
      <c r="BO17" s="2">
        <f>IFERROR(VLOOKUP(InputTable[[#This Row],[Impact on - ROLL STOCK]],'System List'!$F$4:$H$7,3,FALSE),0)</f>
        <v>0</v>
      </c>
      <c r="BP17" s="2">
        <f>IFERROR(VLOOKUP(InputTable[[#This Row],[Impact on - SAFETY]],'System List'!$F$4:$H$7,3,FALSE),0)</f>
        <v>0</v>
      </c>
      <c r="BQ17" s="2">
        <f>IFERROR(VLOOKUP(InputTable[[#This Row],[Impact on - STATION]],'System List'!$F$4:$H$7,3,FALSE),0)</f>
        <v>8</v>
      </c>
      <c r="BR17" s="2">
        <f>IFERROR(VLOOKUP(InputTable[[#This Row],[Impact on - STRAT]],'System List'!$F$4:$H$7,3,FALSE),0)</f>
        <v>0</v>
      </c>
      <c r="BT17" s="2">
        <f>IFERROR(VLOOKUP(InputTable[[#This Row],[CORPHRFIN]],'System List'!$F$4:$H$7,3,FALSE),0)</f>
        <v>0</v>
      </c>
      <c r="BU17" s="2">
        <f>IFERROR(VLOOKUP(InputTable[[#This Row],[CUST]],'System List'!$F$4:$H$7,3,FALSE),0)</f>
        <v>13</v>
      </c>
      <c r="BV17" s="2">
        <f>IFERROR(VLOOKUP(InputTable[[#This Row],[CYBER]],'System List'!$F$4:$H$7,3,FALSE),0)</f>
        <v>0</v>
      </c>
      <c r="BW17" s="2">
        <f>IFERROR(VLOOKUP(InputTable[[#This Row],[DATA]],'System List'!$F$4:$H$7,3,FALSE),0)</f>
        <v>5</v>
      </c>
      <c r="BX17" s="2">
        <f>IFERROR(VLOOKUP(InputTable[[#This Row],[INFRA]],'System List'!$F$4:$H$7,3,FALSE),0)</f>
        <v>13</v>
      </c>
      <c r="BY17" s="2">
        <f>IFERROR(VLOOKUP(InputTable[[#This Row],[OPERATIONS]],'System List'!$F$4:$H$7,3,FALSE),0)</f>
        <v>0</v>
      </c>
      <c r="BZ17" s="2">
        <f>IFERROR(VLOOKUP(InputTable[[#This Row],[PMO]],'System List'!$F$4:$H$7,3,FALSE),0)</f>
        <v>0</v>
      </c>
      <c r="CA17" s="2">
        <f>IFERROR(VLOOKUP(InputTable[[#This Row],[SALES]],'System List'!$F$4:$H$7,3,FALSE),0)</f>
        <v>0</v>
      </c>
      <c r="CC17" s="2" cm="1">
        <f t="array" ref="CC1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" s="2" cm="1">
        <f t="array" ref="CD1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" s="2" cm="1">
        <f t="array" ref="CE1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" s="2" cm="1">
        <f t="array" ref="CF1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" s="2" cm="1">
        <f t="array" ref="CG1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" s="2" cm="1">
        <f t="array" ref="CH1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" s="2" cm="1">
        <f t="array" ref="CI1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" s="2" cm="1">
        <f t="array" ref="CJ1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" s="2" cm="1">
        <f t="array" ref="CK1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" s="26">
        <f t="shared" si="76"/>
        <v>0</v>
      </c>
      <c r="CY17" s="26">
        <f t="shared" si="76"/>
        <v>0</v>
      </c>
      <c r="CZ17" s="26">
        <f t="shared" si="76"/>
        <v>0</v>
      </c>
      <c r="DA17" s="26">
        <f t="shared" si="76"/>
        <v>0</v>
      </c>
      <c r="DB17" s="26">
        <f t="shared" si="76"/>
        <v>0</v>
      </c>
      <c r="DC17" s="26">
        <f t="shared" si="76"/>
        <v>0</v>
      </c>
      <c r="DD17" s="26">
        <f t="shared" si="76"/>
        <v>0</v>
      </c>
      <c r="DE17" s="26">
        <f t="shared" si="76"/>
        <v>0</v>
      </c>
      <c r="DF17" s="26">
        <f t="shared" si="76"/>
        <v>0</v>
      </c>
      <c r="DH17" s="26">
        <f>$CN17*_xlfn.XLOOKUP(DH$1,$BT$2:$CA$2,$BT17:$CA17,0)</f>
        <v>0</v>
      </c>
      <c r="DI17" s="26">
        <f>$CO17*_xlfn.XLOOKUP(DI$1,$BT$2:$CA$2,$BT17:$CA17,0)</f>
        <v>13</v>
      </c>
      <c r="DJ17" s="26">
        <f>$CP17*_xlfn.XLOOKUP(DJ$1,$BT$2:$CA$2,$BT17:$CA17,0)</f>
        <v>13</v>
      </c>
      <c r="DK17" s="26">
        <f>$CQ17*_xlfn.XLOOKUP(DK$1,$BT$2:$CA$2,$BT17:$CA17,0)</f>
        <v>13</v>
      </c>
      <c r="DL17" s="26">
        <f>$CR17*_xlfn.XLOOKUP(DL$1,$BT$2:$CA$2,$BT17:$CA17,0)</f>
        <v>0</v>
      </c>
      <c r="DM17" s="26">
        <f>$CS17*_xlfn.XLOOKUP(DM$1,$BT$2:$CA$2,$BT17:$CA17,0)</f>
        <v>0</v>
      </c>
      <c r="DN17" s="26">
        <f>$CT17*_xlfn.XLOOKUP(DN$1,$BT$2:$CA$2,$BT17:$CA17,0)</f>
        <v>0</v>
      </c>
      <c r="DO17" s="26">
        <f>$CU17*_xlfn.XLOOKUP(DO$1,$BT$2:$CA$2,$BT17:$CA17,0)</f>
        <v>0</v>
      </c>
      <c r="DP17" s="26">
        <f>$CV17*_xlfn.XLOOKUP(DP$1,$BT$2:$CA$2,$BT17:$CA17,0)</f>
        <v>0</v>
      </c>
      <c r="DR17" s="26">
        <f>$CN17*_xlfn.XLOOKUP(DR$1,$BT$2:$CA$2,$BT17:$CA17,0)</f>
        <v>0</v>
      </c>
      <c r="DS17" s="26">
        <f>$CO17*_xlfn.XLOOKUP(DS$1,$BT$2:$CA$2,$BT17:$CA17,0)</f>
        <v>0</v>
      </c>
      <c r="DT17" s="26">
        <f>$CP17*_xlfn.XLOOKUP(DT$1,$BT$2:$CA$2,$BT17:$CA17,0)</f>
        <v>0</v>
      </c>
      <c r="DU17" s="26">
        <f>$CQ17*_xlfn.XLOOKUP(DU$1,$BT$2:$CA$2,$BT17:$CA17,0)</f>
        <v>0</v>
      </c>
      <c r="DV17" s="26">
        <f>$CR17*_xlfn.XLOOKUP(DV$1,$BT$2:$CA$2,$BT17:$CA17,0)</f>
        <v>0</v>
      </c>
      <c r="DW17" s="26">
        <f>$CS17*_xlfn.XLOOKUP(DW$1,$BT$2:$CA$2,$BT17:$CA17,0)</f>
        <v>0</v>
      </c>
      <c r="DX17" s="26">
        <f>$CT17*_xlfn.XLOOKUP(DX$1,$BT$2:$CA$2,$BT17:$CA17,0)</f>
        <v>0</v>
      </c>
      <c r="DY17" s="26">
        <f>$CU17*_xlfn.XLOOKUP(DY$1,$BT$2:$CA$2,$BT17:$CA17,0)</f>
        <v>0</v>
      </c>
      <c r="DZ17" s="26">
        <f>$CV17*_xlfn.XLOOKUP(DZ$1,$BT$2:$CA$2,$BT17:$CA17,0)</f>
        <v>0</v>
      </c>
      <c r="EB17" s="26">
        <f>$CN17*_xlfn.XLOOKUP(EB$1,$BT$2:$CA$2,$BT17:$CA17,0)</f>
        <v>0</v>
      </c>
      <c r="EC17" s="26">
        <f>$CO17*_xlfn.XLOOKUP(EC$1,$BT$2:$CA$2,$BT17:$CA17,0)</f>
        <v>5</v>
      </c>
      <c r="ED17" s="26">
        <f>$CP17*_xlfn.XLOOKUP(ED$1,$BT$2:$CA$2,$BT17:$CA17,0)</f>
        <v>5</v>
      </c>
      <c r="EE17" s="26">
        <f>$CQ17*_xlfn.XLOOKUP(EE$1,$BT$2:$CA$2,$BT17:$CA17,0)</f>
        <v>5</v>
      </c>
      <c r="EF17" s="26">
        <f>$CR17*_xlfn.XLOOKUP(EF$1,$BT$2:$CA$2,$BT17:$CA17,0)</f>
        <v>0</v>
      </c>
      <c r="EG17" s="26">
        <f>$CS17*_xlfn.XLOOKUP(EG$1,$BT$2:$CA$2,$BT17:$CA17,0)</f>
        <v>0</v>
      </c>
      <c r="EH17" s="26">
        <f>$CT17*_xlfn.XLOOKUP(EH$1,$BT$2:$CA$2,$BT17:$CA17,0)</f>
        <v>0</v>
      </c>
      <c r="EI17" s="26">
        <f>$CU17*_xlfn.XLOOKUP(EI$1,$BT$2:$CA$2,$BT17:$CA17,0)</f>
        <v>0</v>
      </c>
      <c r="EJ17" s="26">
        <f>$CV17*_xlfn.XLOOKUP(EJ$1,$BT$2:$CA$2,$BT17:$CA17,0)</f>
        <v>0</v>
      </c>
      <c r="EL17" s="26">
        <f>$CN17*_xlfn.XLOOKUP(EL$1,$BT$2:$CA$2,$BT17:$CA17,0)</f>
        <v>0</v>
      </c>
      <c r="EM17" s="26">
        <f>$CO17*_xlfn.XLOOKUP(EM$1,$BT$2:$CA$2,$BT17:$CA17,0)</f>
        <v>13</v>
      </c>
      <c r="EN17" s="26">
        <f>$CP17*_xlfn.XLOOKUP(EN$1,$BT$2:$CA$2,$BT17:$CA17,0)</f>
        <v>13</v>
      </c>
      <c r="EO17" s="26">
        <f>$CQ17*_xlfn.XLOOKUP(EO$1,$BT$2:$CA$2,$BT17:$CA17,0)</f>
        <v>13</v>
      </c>
      <c r="EP17" s="26">
        <f>$CR17*_xlfn.XLOOKUP(EP$1,$BT$2:$CA$2,$BT17:$CA17,0)</f>
        <v>0</v>
      </c>
      <c r="EQ17" s="26">
        <f>$CS17*_xlfn.XLOOKUP(EQ$1,$BT$2:$CA$2,$BT17:$CA17,0)</f>
        <v>0</v>
      </c>
      <c r="ER17" s="26">
        <f>$CT17*_xlfn.XLOOKUP(ER$1,$BT$2:$CA$2,$BT17:$CA17,0)</f>
        <v>0</v>
      </c>
      <c r="ES17" s="26">
        <f>$CU17*_xlfn.XLOOKUP(ES$1,$BT$2:$CA$2,$BT17:$CA17,0)</f>
        <v>0</v>
      </c>
      <c r="ET17" s="26">
        <f>$CV17*_xlfn.XLOOKUP(ET$1,$BT$2:$CA$2,$BT17:$CA17,0)</f>
        <v>0</v>
      </c>
      <c r="EV17" s="26">
        <f>$CN17*_xlfn.XLOOKUP(EV$1,$BT$2:$CA$2,$BT17:$CA17,0)</f>
        <v>0</v>
      </c>
      <c r="EW17" s="26">
        <f>$CO17*_xlfn.XLOOKUP(EW$1,$BT$2:$CA$2,$BT17:$CA17,0)</f>
        <v>0</v>
      </c>
      <c r="EX17" s="26">
        <f>$CP17*_xlfn.XLOOKUP(EX$1,$BT$2:$CA$2,$BT17:$CA17,0)</f>
        <v>0</v>
      </c>
      <c r="EY17" s="26">
        <f>$CQ17*_xlfn.XLOOKUP(EY$1,$BT$2:$CA$2,$BT17:$CA17,0)</f>
        <v>0</v>
      </c>
      <c r="EZ17" s="26">
        <f>$CR17*_xlfn.XLOOKUP(EZ$1,$BT$2:$CA$2,$BT17:$CA17,0)</f>
        <v>0</v>
      </c>
      <c r="FA17" s="26">
        <f>$CS17*_xlfn.XLOOKUP(FA$1,$BT$2:$CA$2,$BT17:$CA17,0)</f>
        <v>0</v>
      </c>
      <c r="FB17" s="26">
        <f>$CT17*_xlfn.XLOOKUP(FB$1,$BT$2:$CA$2,$BT17:$CA17,0)</f>
        <v>0</v>
      </c>
      <c r="FC17" s="26">
        <f>$CU17*_xlfn.XLOOKUP(FC$1,$BT$2:$CA$2,$BT17:$CA17,0)</f>
        <v>0</v>
      </c>
      <c r="FD17" s="26">
        <f>$CV17*_xlfn.XLOOKUP(FD$1,$BT$2:$CA$2,$BT17:$CA17,0)</f>
        <v>0</v>
      </c>
      <c r="FF17" s="26">
        <f>$CN17*_xlfn.XLOOKUP(FF$1,$BT$2:$CA$2,$BT17:$CA17,0)</f>
        <v>0</v>
      </c>
      <c r="FG17" s="26">
        <f>$CO17*_xlfn.XLOOKUP(FG$1,$BT$2:$CA$2,$BT17:$CA17,0)</f>
        <v>0</v>
      </c>
      <c r="FH17" s="26">
        <f>$CP17*_xlfn.XLOOKUP(FH$1,$BT$2:$CA$2,$BT17:$CA17,0)</f>
        <v>0</v>
      </c>
      <c r="FI17" s="26">
        <f>$CQ17*_xlfn.XLOOKUP(FI$1,$BT$2:$CA$2,$BT17:$CA17,0)</f>
        <v>0</v>
      </c>
      <c r="FJ17" s="26">
        <f>$CR17*_xlfn.XLOOKUP(FJ$1,$BT$2:$CA$2,$BT17:$CA17,0)</f>
        <v>0</v>
      </c>
      <c r="FK17" s="26">
        <f>$CS17*_xlfn.XLOOKUP(FK$1,$BT$2:$CA$2,$BT17:$CA17,0)</f>
        <v>0</v>
      </c>
      <c r="FL17" s="26">
        <f>$CT17*_xlfn.XLOOKUP(FL$1,$BT$2:$CA$2,$BT17:$CA17,0)</f>
        <v>0</v>
      </c>
      <c r="FM17" s="26">
        <f>$CU17*_xlfn.XLOOKUP(FM$1,$BT$2:$CA$2,$BT17:$CA17,0)</f>
        <v>0</v>
      </c>
      <c r="FN17" s="26">
        <f>$CV17*_xlfn.XLOOKUP(FN$1,$BT$2:$CA$2,$BT17:$CA17,0)</f>
        <v>0</v>
      </c>
      <c r="FP17" s="26" t="e">
        <f>$CN17*_xlfn.XLOOKUP(FP$1,$BT$2:$CA$2,$BT17:$CA17,0)</f>
        <v>#REF!</v>
      </c>
      <c r="FQ17" s="26" t="e">
        <f>$CO17*_xlfn.XLOOKUP(FQ$1,$BT$2:$CA$2,$BT17:$CA17,0)</f>
        <v>#REF!</v>
      </c>
      <c r="FR17" s="26" t="e">
        <f>$CP17*_xlfn.XLOOKUP(FR$1,$BT$2:$CA$2,$BT17:$CA17,0)</f>
        <v>#REF!</v>
      </c>
      <c r="FS17" s="26" t="e">
        <f>$CQ17*_xlfn.XLOOKUP(FS$1,$BT$2:$CA$2,$BT17:$CA17,0)</f>
        <v>#REF!</v>
      </c>
      <c r="FT17" s="26" t="e">
        <f>$CR17*_xlfn.XLOOKUP(FT$1,$BT$2:$CA$2,$BT17:$CA17,0)</f>
        <v>#REF!</v>
      </c>
      <c r="FU17" s="26" t="e">
        <f>$CS17*_xlfn.XLOOKUP(FU$1,$BT$2:$CA$2,$BT17:$CA17,0)</f>
        <v>#REF!</v>
      </c>
      <c r="FV17" s="26" t="e">
        <f>$CT17*_xlfn.XLOOKUP(FV$1,$BT$2:$CA$2,$BT17:$CA17,0)</f>
        <v>#REF!</v>
      </c>
      <c r="FW17" s="26" t="e">
        <f>$CU17*_xlfn.XLOOKUP(FW$1,$BT$2:$CA$2,$BT17:$CA17,0)</f>
        <v>#REF!</v>
      </c>
      <c r="FX17" s="26" t="e">
        <f>$CV17*_xlfn.XLOOKUP(FX$1,$BT$2:$CA$2,$BT17:$CA17,0)</f>
        <v>#REF!</v>
      </c>
      <c r="GB17" s="26" t="e">
        <f>IF(GB$2=InputTable[[#This Row],[Delivery Date]],_xlfn.XLOOKUP(GB$1,$BH$2:$BR$2,$BH17:$BR17,0),0)</f>
        <v>#REF!</v>
      </c>
      <c r="GC17" s="26">
        <f>IF(GC$2=InputTable[[#This Row],[Delivery Date]],_xlfn.XLOOKUP(GC$1,$BH$2:$BR$2,$BH17:$BR17,0),0)</f>
        <v>0</v>
      </c>
      <c r="GD17" s="26">
        <f>IF(GD$2=InputTable[[#This Row],[Delivery Date]],_xlfn.XLOOKUP(GD$1,$BH$2:$BR$2,$BH17:$BR17,0),0)</f>
        <v>0</v>
      </c>
      <c r="GE17" s="26">
        <f>IF(GE$2=InputTable[[#This Row],[Delivery Date]],_xlfn.XLOOKUP(GE$1,$BH$2:$BR$2,$BH17:$BR17,0),0)</f>
        <v>0</v>
      </c>
      <c r="GF17" s="26">
        <f>IF(GF$2=InputTable[[#This Row],[Delivery Date]],_xlfn.XLOOKUP(GF$1,$BH$2:$BR$2,$BH17:$BR17,0),0)</f>
        <v>0</v>
      </c>
      <c r="GG17" s="26">
        <f>IF(GG$2=InputTable[[#This Row],[Delivery Date]],_xlfn.XLOOKUP(GG$1,$BH$2:$BR$2,$BH17:$BR17,0),0)</f>
        <v>0</v>
      </c>
      <c r="GH17" s="26">
        <f>IF(GH$2=InputTable[[#This Row],[Delivery Date]],_xlfn.XLOOKUP(GH$1,$BH$2:$BR$2,$BH17:$BR17,0),0)</f>
        <v>0</v>
      </c>
      <c r="GI17" s="26">
        <f>IF(GI$2=InputTable[[#This Row],[Delivery Date]],_xlfn.XLOOKUP(GI$1,$BH$2:$BR$2,$BH17:$BR17,0),0)</f>
        <v>0</v>
      </c>
      <c r="GJ17" s="26">
        <f>IF(GJ$2=InputTable[[#This Row],[Delivery Date]],_xlfn.XLOOKUP(GJ$1,$BH$2:$BR$2,$BH17:$BR17,0),0)</f>
        <v>0</v>
      </c>
      <c r="GL17" s="26" t="e">
        <f>IF(GL$2=InputTable[[#This Row],[Delivery Date]],_xlfn.XLOOKUP(GL$1,$BH$2:$BR$2,$BH17:$BR17,0),0)</f>
        <v>#REF!</v>
      </c>
      <c r="GM17" s="26">
        <f>IF(GM$2=InputTable[[#This Row],[Delivery Date]],_xlfn.XLOOKUP(GM$1,$BH$2:$BR$2,$BH17:$BR17,0),0)</f>
        <v>0</v>
      </c>
      <c r="GN17" s="26">
        <f>IF(GN$2=InputTable[[#This Row],[Delivery Date]],_xlfn.XLOOKUP(GN$1,$BH$2:$BR$2,$BH17:$BR17,0),0)</f>
        <v>0</v>
      </c>
      <c r="GO17" s="26">
        <f>IF(GO$2=InputTable[[#This Row],[Delivery Date]],_xlfn.XLOOKUP(GO$1,$BH$2:$BR$2,$BH17:$BR17,0),0)</f>
        <v>0</v>
      </c>
      <c r="GP17" s="26">
        <f>IF(GP$2=InputTable[[#This Row],[Delivery Date]],_xlfn.XLOOKUP(GP$1,$BH$2:$BR$2,$BH17:$BR17,0),0)</f>
        <v>0</v>
      </c>
      <c r="GQ17" s="26">
        <f>IF(GQ$2=InputTable[[#This Row],[Delivery Date]],_xlfn.XLOOKUP(GQ$1,$BH$2:$BR$2,$BH17:$BR17,0),0)</f>
        <v>0</v>
      </c>
      <c r="GR17" s="26">
        <f>IF(GR$2=InputTable[[#This Row],[Delivery Date]],_xlfn.XLOOKUP(GR$1,$BH$2:$BR$2,$BH17:$BR17,0),0)</f>
        <v>0</v>
      </c>
      <c r="GS17" s="26">
        <f>IF(GS$2=InputTable[[#This Row],[Delivery Date]],_xlfn.XLOOKUP(GS$1,$BH$2:$BR$2,$BH17:$BR17,0),0)</f>
        <v>0</v>
      </c>
      <c r="GT17" s="26">
        <f>IF(GT$2=InputTable[[#This Row],[Delivery Date]],_xlfn.XLOOKUP(GT$1,$BH$2:$BR$2,$BH17:$BR17,0),0)</f>
        <v>0</v>
      </c>
      <c r="GV17" s="26" t="e">
        <f>IF(GV$2=InputTable[[#This Row],[Delivery Date]],_xlfn.XLOOKUP(GV$1,$BH$2:$BR$2,$BH17:$BR17,0),0)</f>
        <v>#REF!</v>
      </c>
      <c r="GW17" s="26">
        <f>IF(GW$2=InputTable[[#This Row],[Delivery Date]],_xlfn.XLOOKUP(GW$1,$BH$2:$BR$2,$BH17:$BR17,0),0)</f>
        <v>0</v>
      </c>
      <c r="GX17" s="26">
        <f>IF(GX$2=InputTable[[#This Row],[Delivery Date]],_xlfn.XLOOKUP(GX$1,$BH$2:$BR$2,$BH17:$BR17,0),0)</f>
        <v>0</v>
      </c>
      <c r="GY17" s="26">
        <f>IF(GY$2=InputTable[[#This Row],[Delivery Date]],_xlfn.XLOOKUP(GY$1,$BH$2:$BR$2,$BH17:$BR17,0),0)</f>
        <v>0</v>
      </c>
      <c r="GZ17" s="26">
        <f>IF(GZ$2=InputTable[[#This Row],[Delivery Date]],_xlfn.XLOOKUP(GZ$1,$BH$2:$BR$2,$BH17:$BR17,0),0)</f>
        <v>0</v>
      </c>
      <c r="HA17" s="26">
        <f>IF(HA$2=InputTable[[#This Row],[Delivery Date]],_xlfn.XLOOKUP(HA$1,$BH$2:$BR$2,$BH17:$BR17,0),0)</f>
        <v>0</v>
      </c>
      <c r="HB17" s="26">
        <f>IF(HB$2=InputTable[[#This Row],[Delivery Date]],_xlfn.XLOOKUP(HB$1,$BH$2:$BR$2,$BH17:$BR17,0),0)</f>
        <v>0</v>
      </c>
      <c r="HC17" s="26">
        <f>IF(HC$2=InputTable[[#This Row],[Delivery Date]],_xlfn.XLOOKUP(HC$1,$BH$2:$BR$2,$BH17:$BR17,0),0)</f>
        <v>0</v>
      </c>
      <c r="HD17" s="26">
        <f>IF(HD$2=InputTable[[#This Row],[Delivery Date]],_xlfn.XLOOKUP(HD$1,$BH$2:$BR$2,$BH17:$BR17,0),0)</f>
        <v>0</v>
      </c>
      <c r="HF17" s="26" t="e">
        <f>IF(HF$2=InputTable[[#This Row],[Delivery Date]],_xlfn.XLOOKUP(HF$1,$BH$2:$BR$2,$BH17:$BR17,0),0)</f>
        <v>#REF!</v>
      </c>
      <c r="HG17" s="26">
        <f>IF(HG$2=InputTable[[#This Row],[Delivery Date]],_xlfn.XLOOKUP(HG$1,$BH$2:$BR$2,$BH17:$BR17,0),0)</f>
        <v>0</v>
      </c>
      <c r="HH17" s="26">
        <f>IF(HH$2=InputTable[[#This Row],[Delivery Date]],_xlfn.XLOOKUP(HH$1,$BH$2:$BR$2,$BH17:$BR17,0),0)</f>
        <v>0</v>
      </c>
      <c r="HI17" s="26">
        <f>IF(HI$2=InputTable[[#This Row],[Delivery Date]],_xlfn.XLOOKUP(HI$1,$BH$2:$BR$2,$BH17:$BR17,0),0)</f>
        <v>0</v>
      </c>
      <c r="HJ17" s="26">
        <f>IF(HJ$2=InputTable[[#This Row],[Delivery Date]],_xlfn.XLOOKUP(HJ$1,$BH$2:$BR$2,$BH17:$BR17,0),0)</f>
        <v>0</v>
      </c>
      <c r="HK17" s="26">
        <f>IF(HK$2=InputTable[[#This Row],[Delivery Date]],_xlfn.XLOOKUP(HK$1,$BH$2:$BR$2,$BH17:$BR17,0),0)</f>
        <v>0</v>
      </c>
      <c r="HL17" s="26">
        <f>IF(HL$2=InputTable[[#This Row],[Delivery Date]],_xlfn.XLOOKUP(HL$1,$BH$2:$BR$2,$BH17:$BR17,0),0)</f>
        <v>0</v>
      </c>
      <c r="HM17" s="26">
        <f>IF(HM$2=InputTable[[#This Row],[Delivery Date]],_xlfn.XLOOKUP(HM$1,$BH$2:$BR$2,$BH17:$BR17,0),0)</f>
        <v>0</v>
      </c>
      <c r="HN17" s="26">
        <f>IF(HN$2=InputTable[[#This Row],[Delivery Date]],_xlfn.XLOOKUP(HN$1,$BH$2:$BR$2,$BH17:$BR17,0),0)</f>
        <v>0</v>
      </c>
      <c r="HP17" s="26" t="e">
        <f>IF(HP$2=InputTable[[#This Row],[Delivery Date]],_xlfn.XLOOKUP(HP$1,$BH$2:$BR$2,$BH17:$BR17,0),0)</f>
        <v>#REF!</v>
      </c>
      <c r="HQ17" s="26">
        <f>IF(HQ$2=InputTable[[#This Row],[Delivery Date]],_xlfn.XLOOKUP(HQ$1,$BH$2:$BR$2,$BH17:$BR17,0),0)</f>
        <v>0</v>
      </c>
      <c r="HR17" s="26">
        <f>IF(HR$2=InputTable[[#This Row],[Delivery Date]],_xlfn.XLOOKUP(HR$1,$BH$2:$BR$2,$BH17:$BR17,0),0)</f>
        <v>0</v>
      </c>
      <c r="HS17" s="26">
        <f>IF(HS$2=InputTable[[#This Row],[Delivery Date]],_xlfn.XLOOKUP(HS$1,$BH$2:$BR$2,$BH17:$BR17,0),0)</f>
        <v>0</v>
      </c>
      <c r="HT17" s="26">
        <f>IF(HT$2=InputTable[[#This Row],[Delivery Date]],_xlfn.XLOOKUP(HT$1,$BH$2:$BR$2,$BH17:$BR17,0),0)</f>
        <v>0</v>
      </c>
      <c r="HU17" s="26">
        <f>IF(HU$2=InputTable[[#This Row],[Delivery Date]],_xlfn.XLOOKUP(HU$1,$BH$2:$BR$2,$BH17:$BR17,0),0)</f>
        <v>0</v>
      </c>
      <c r="HV17" s="26">
        <f>IF(HV$2=InputTable[[#This Row],[Delivery Date]],_xlfn.XLOOKUP(HV$1,$BH$2:$BR$2,$BH17:$BR17,0),0)</f>
        <v>0</v>
      </c>
      <c r="HW17" s="26">
        <f>IF(HW$2=InputTable[[#This Row],[Delivery Date]],_xlfn.XLOOKUP(HW$1,$BH$2:$BR$2,$BH17:$BR17,0),0)</f>
        <v>0</v>
      </c>
      <c r="HX17" s="26">
        <f>IF(HX$2=InputTable[[#This Row],[Delivery Date]],_xlfn.XLOOKUP(HX$1,$BH$2:$BR$2,$BH17:$BR17,0),0)</f>
        <v>0</v>
      </c>
      <c r="HZ17" s="26" t="e">
        <f>IF(HZ$2=InputTable[[#This Row],[Delivery Date]],_xlfn.XLOOKUP(HZ$1,$BH$2:$BR$2,$BH17:$BR17,0),0)</f>
        <v>#REF!</v>
      </c>
      <c r="IA17" s="26">
        <f>IF(IA$2=InputTable[[#This Row],[Delivery Date]],_xlfn.XLOOKUP(IA$1,$BH$2:$BR$2,$BH17:$BR17,0),0)</f>
        <v>0</v>
      </c>
      <c r="IB17" s="26">
        <f>IF(IB$2=InputTable[[#This Row],[Delivery Date]],_xlfn.XLOOKUP(IB$1,$BH$2:$BR$2,$BH17:$BR17,0),0)</f>
        <v>0</v>
      </c>
      <c r="IC17" s="26">
        <f>IF(IC$2=InputTable[[#This Row],[Delivery Date]],_xlfn.XLOOKUP(IC$1,$BH$2:$BR$2,$BH17:$BR17,0),0)</f>
        <v>5</v>
      </c>
      <c r="ID17" s="26">
        <f>IF(ID$2=InputTable[[#This Row],[Delivery Date]],_xlfn.XLOOKUP(ID$1,$BH$2:$BR$2,$BH17:$BR17,0),0)</f>
        <v>0</v>
      </c>
      <c r="IE17" s="26">
        <f>IF(IE$2=InputTable[[#This Row],[Delivery Date]],_xlfn.XLOOKUP(IE$1,$BH$2:$BR$2,$BH17:$BR17,0),0)</f>
        <v>0</v>
      </c>
      <c r="IF17" s="26">
        <f>IF(IF$2=InputTable[[#This Row],[Delivery Date]],_xlfn.XLOOKUP(IF$1,$BH$2:$BR$2,$BH17:$BR17,0),0)</f>
        <v>0</v>
      </c>
      <c r="IG17" s="26">
        <f>IF(IG$2=InputTable[[#This Row],[Delivery Date]],_xlfn.XLOOKUP(IG$1,$BH$2:$BR$2,$BH17:$BR17,0),0)</f>
        <v>0</v>
      </c>
      <c r="IH17" s="26">
        <f>IF(IH$2=InputTable[[#This Row],[Delivery Date]],_xlfn.XLOOKUP(IH$1,$BH$2:$BR$2,$BH17:$BR17,0),0)</f>
        <v>0</v>
      </c>
      <c r="IJ17" s="26" t="e">
        <f>IF(IJ$2=InputTable[[#This Row],[Delivery Date]],_xlfn.XLOOKUP(IJ$1,$BH$2:$BR$2,$BH17:$BR17,0),0)</f>
        <v>#REF!</v>
      </c>
      <c r="IK17" s="26">
        <f>IF(IK$2=InputTable[[#This Row],[Delivery Date]],_xlfn.XLOOKUP(IK$1,$BH$2:$BR$2,$BH17:$BR17,0),0)</f>
        <v>0</v>
      </c>
      <c r="IL17" s="26">
        <f>IF(IL$2=InputTable[[#This Row],[Delivery Date]],_xlfn.XLOOKUP(IL$1,$BH$2:$BR$2,$BH17:$BR17,0),0)</f>
        <v>0</v>
      </c>
      <c r="IM17" s="26">
        <f>IF(IM$2=InputTable[[#This Row],[Delivery Date]],_xlfn.XLOOKUP(IM$1,$BH$2:$BR$2,$BH17:$BR17,0),0)</f>
        <v>0</v>
      </c>
      <c r="IN17" s="26">
        <f>IF(IN$2=InputTable[[#This Row],[Delivery Date]],_xlfn.XLOOKUP(IN$1,$BH$2:$BR$2,$BH17:$BR17,0),0)</f>
        <v>0</v>
      </c>
      <c r="IO17" s="26">
        <f>IF(IO$2=InputTable[[#This Row],[Delivery Date]],_xlfn.XLOOKUP(IO$1,$BH$2:$BR$2,$BH17:$BR17,0),0)</f>
        <v>0</v>
      </c>
      <c r="IP17" s="26">
        <f>IF(IP$2=InputTable[[#This Row],[Delivery Date]],_xlfn.XLOOKUP(IP$1,$BH$2:$BR$2,$BH17:$BR17,0),0)</f>
        <v>0</v>
      </c>
      <c r="IQ17" s="26">
        <f>IF(IQ$2=InputTable[[#This Row],[Delivery Date]],_xlfn.XLOOKUP(IQ$1,$BH$2:$BR$2,$BH17:$BR17,0),0)</f>
        <v>0</v>
      </c>
      <c r="IR17" s="26">
        <f>IF(IR$2=InputTable[[#This Row],[Delivery Date]],_xlfn.XLOOKUP(IR$1,$BH$2:$BR$2,$BH17:$BR17,0),0)</f>
        <v>0</v>
      </c>
      <c r="IT17" s="26" t="e">
        <f>IF(IT$2=InputTable[[#This Row],[Delivery Date]],_xlfn.XLOOKUP(IT$1,$BH$2:$BR$2,$BH17:$BR17,0),0)</f>
        <v>#REF!</v>
      </c>
      <c r="IU17" s="26">
        <f>IF(IU$2=InputTable[[#This Row],[Delivery Date]],_xlfn.XLOOKUP(IU$1,$BH$2:$BR$2,$BH17:$BR17,0),0)</f>
        <v>0</v>
      </c>
      <c r="IV17" s="26">
        <f>IF(IV$2=InputTable[[#This Row],[Delivery Date]],_xlfn.XLOOKUP(IV$1,$BH$2:$BR$2,$BH17:$BR17,0),0)</f>
        <v>0</v>
      </c>
      <c r="IW17" s="26">
        <f>IF(IW$2=InputTable[[#This Row],[Delivery Date]],_xlfn.XLOOKUP(IW$1,$BH$2:$BR$2,$BH17:$BR17,0),0)</f>
        <v>0</v>
      </c>
      <c r="IX17" s="26">
        <f>IF(IX$2=InputTable[[#This Row],[Delivery Date]],_xlfn.XLOOKUP(IX$1,$BH$2:$BR$2,$BH17:$BR17,0),0)</f>
        <v>0</v>
      </c>
      <c r="IY17" s="26">
        <f>IF(IY$2=InputTable[[#This Row],[Delivery Date]],_xlfn.XLOOKUP(IY$1,$BH$2:$BR$2,$BH17:$BR17,0),0)</f>
        <v>0</v>
      </c>
      <c r="IZ17" s="26">
        <f>IF(IZ$2=InputTable[[#This Row],[Delivery Date]],_xlfn.XLOOKUP(IZ$1,$BH$2:$BR$2,$BH17:$BR17,0),0)</f>
        <v>0</v>
      </c>
      <c r="JA17" s="26">
        <f>IF(JA$2=InputTable[[#This Row],[Delivery Date]],_xlfn.XLOOKUP(JA$1,$BH$2:$BR$2,$BH17:$BR17,0),0)</f>
        <v>0</v>
      </c>
      <c r="JB17" s="26">
        <f>IF(JB$2=InputTable[[#This Row],[Delivery Date]],_xlfn.XLOOKUP(JB$1,$BH$2:$BR$2,$BH17:$BR17,0),0)</f>
        <v>0</v>
      </c>
      <c r="JD17" s="26" t="e">
        <f>IF(JD$2=InputTable[[#This Row],[Delivery Date]],_xlfn.XLOOKUP(JD$1,$BH$2:$BR$2,$BH17:$BR17,0),0)</f>
        <v>#REF!</v>
      </c>
      <c r="JE17" s="26">
        <f>IF(JE$2=InputTable[[#This Row],[Delivery Date]],_xlfn.XLOOKUP(JE$1,$BH$2:$BR$2,$BH17:$BR17,0),0)</f>
        <v>0</v>
      </c>
      <c r="JF17" s="26">
        <f>IF(JF$2=InputTable[[#This Row],[Delivery Date]],_xlfn.XLOOKUP(JF$1,$BH$2:$BR$2,$BH17:$BR17,0),0)</f>
        <v>0</v>
      </c>
      <c r="JG17" s="26">
        <f>IF(JG$2=InputTable[[#This Row],[Delivery Date]],_xlfn.XLOOKUP(JG$1,$BH$2:$BR$2,$BH17:$BR17,0),0)</f>
        <v>0</v>
      </c>
      <c r="JH17" s="26">
        <f>IF(JH$2=InputTable[[#This Row],[Delivery Date]],_xlfn.XLOOKUP(JH$1,$BH$2:$BR$2,$BH17:$BR17,0),0)</f>
        <v>0</v>
      </c>
      <c r="JI17" s="26">
        <f>IF(JI$2=InputTable[[#This Row],[Delivery Date]],_xlfn.XLOOKUP(JI$1,$BH$2:$BR$2,$BH17:$BR17,0),0)</f>
        <v>0</v>
      </c>
      <c r="JJ17" s="26">
        <f>IF(JJ$2=InputTable[[#This Row],[Delivery Date]],_xlfn.XLOOKUP(JJ$1,$BH$2:$BR$2,$BH17:$BR17,0),0)</f>
        <v>0</v>
      </c>
      <c r="JK17" s="26">
        <f>IF(JK$2=InputTable[[#This Row],[Delivery Date]],_xlfn.XLOOKUP(JK$1,$BH$2:$BR$2,$BH17:$BR17,0),0)</f>
        <v>0</v>
      </c>
      <c r="JL17" s="26">
        <f>IF(JL$2=InputTable[[#This Row],[Delivery Date]],_xlfn.XLOOKUP(JL$1,$BH$2:$BR$2,$BH17:$BR17,0),0)</f>
        <v>0</v>
      </c>
      <c r="JN17" s="26" t="e">
        <f>IF(JN$2=InputTable[[#This Row],[Delivery Date]],_xlfn.XLOOKUP(JN$1,$BH$2:$BR$2,$BH17:$BR17,0),0)</f>
        <v>#REF!</v>
      </c>
      <c r="JO17" s="26">
        <f>IF(JO$2=InputTable[[#This Row],[Delivery Date]],_xlfn.XLOOKUP(JO$1,$BH$2:$BR$2,$BH17:$BR17,0),0)</f>
        <v>0</v>
      </c>
      <c r="JP17" s="26">
        <f>IF(JP$2=InputTable[[#This Row],[Delivery Date]],_xlfn.XLOOKUP(JP$1,$BH$2:$BR$2,$BH17:$BR17,0),0)</f>
        <v>0</v>
      </c>
      <c r="JQ17" s="26">
        <f>IF(JQ$2=InputTable[[#This Row],[Delivery Date]],_xlfn.XLOOKUP(JQ$1,$BH$2:$BR$2,$BH17:$BR17,0),0)</f>
        <v>8</v>
      </c>
      <c r="JR17" s="26">
        <f>IF(JR$2=InputTable[[#This Row],[Delivery Date]],_xlfn.XLOOKUP(JR$1,$BH$2:$BR$2,$BH17:$BR17,0),0)</f>
        <v>0</v>
      </c>
      <c r="JS17" s="26">
        <f>IF(JS$2=InputTable[[#This Row],[Delivery Date]],_xlfn.XLOOKUP(JS$1,$BH$2:$BR$2,$BH17:$BR17,0),0)</f>
        <v>0</v>
      </c>
      <c r="JT17" s="26">
        <f>IF(JT$2=InputTable[[#This Row],[Delivery Date]],_xlfn.XLOOKUP(JT$1,$BH$2:$BR$2,$BH17:$BR17,0),0)</f>
        <v>0</v>
      </c>
      <c r="JU17" s="26">
        <f>IF(JU$2=InputTable[[#This Row],[Delivery Date]],_xlfn.XLOOKUP(JU$1,$BH$2:$BR$2,$BH17:$BR17,0),0)</f>
        <v>0</v>
      </c>
      <c r="JV17" s="26">
        <f>IF(JV$2=InputTable[[#This Row],[Delivery Date]],_xlfn.XLOOKUP(JV$1,$BH$2:$BR$2,$BH17:$BR17,0),0)</f>
        <v>0</v>
      </c>
      <c r="JX17" s="26" t="e">
        <f>IF(JX$2=InputTable[[#This Row],[Delivery Date]],_xlfn.XLOOKUP(JX$1,$BH$2:$BR$2,$BH17:$BR17,0),0)</f>
        <v>#REF!</v>
      </c>
      <c r="JY17" s="26">
        <f>IF(JY$2=InputTable[[#This Row],[Delivery Date]],_xlfn.XLOOKUP(JY$1,$BH$2:$BR$2,$BH17:$BR17,0),0)</f>
        <v>0</v>
      </c>
      <c r="JZ17" s="26">
        <f>IF(JZ$2=InputTable[[#This Row],[Delivery Date]],_xlfn.XLOOKUP(JZ$1,$BH$2:$BR$2,$BH17:$BR17,0),0)</f>
        <v>0</v>
      </c>
      <c r="KA17" s="26">
        <f>IF(KA$2=InputTable[[#This Row],[Delivery Date]],_xlfn.XLOOKUP(KA$1,$BH$2:$BR$2,$BH17:$BR17,0),0)</f>
        <v>0</v>
      </c>
      <c r="KB17" s="26">
        <f>IF(KB$2=InputTable[[#This Row],[Delivery Date]],_xlfn.XLOOKUP(KB$1,$BH$2:$BR$2,$BH17:$BR17,0),0)</f>
        <v>0</v>
      </c>
      <c r="KC17" s="26">
        <f>IF(KC$2=InputTable[[#This Row],[Delivery Date]],_xlfn.XLOOKUP(KC$1,$BH$2:$BR$2,$BH17:$BR17,0),0)</f>
        <v>0</v>
      </c>
      <c r="KD17" s="26">
        <f>IF(KD$2=InputTable[[#This Row],[Delivery Date]],_xlfn.XLOOKUP(KD$1,$BH$2:$BR$2,$BH17:$BR17,0),0)</f>
        <v>0</v>
      </c>
      <c r="KE17" s="26">
        <f>IF(KE$2=InputTable[[#This Row],[Delivery Date]],_xlfn.XLOOKUP(KE$1,$BH$2:$BR$2,$BH17:$BR17,0),0)</f>
        <v>0</v>
      </c>
      <c r="KF17" s="26">
        <f>IF(KF$2=InputTable[[#This Row],[Delivery Date]],_xlfn.XLOOKUP(KF$1,$BH$2:$BR$2,$BH17:$BR17,0),0)</f>
        <v>0</v>
      </c>
    </row>
    <row r="18" spans="1:292" ht="39.6" customHeight="1" x14ac:dyDescent="0.25">
      <c r="A18" s="141" t="s">
        <v>162</v>
      </c>
      <c r="B18" s="141" t="s">
        <v>104</v>
      </c>
      <c r="C18" s="92" t="s">
        <v>57</v>
      </c>
      <c r="D18" s="125" t="s">
        <v>163</v>
      </c>
      <c r="E18" s="193" t="s">
        <v>164</v>
      </c>
      <c r="F18" s="92" t="s">
        <v>159</v>
      </c>
      <c r="G18" s="92" t="s">
        <v>165</v>
      </c>
      <c r="H18" s="92" t="s">
        <v>100</v>
      </c>
      <c r="I18" s="92">
        <v>2026</v>
      </c>
      <c r="J18" s="125"/>
      <c r="K18" s="95" t="e">
        <f>VLOOKUP((InputTable[[#This Row],[Starting Date]]&amp; " - " &amp;InputTable[[#This Row],[Delivery Date]]),'System List'!$F$40:$H$83,2,FALSE)</f>
        <v>#N/A</v>
      </c>
      <c r="L18" s="95" t="e">
        <f>VLOOKUP(InputTable[[#This Row],[Duration]],Duration,2,FALSE)</f>
        <v>#N/A</v>
      </c>
      <c r="M18" s="125"/>
      <c r="N18" s="92"/>
      <c r="O18" s="92" t="s">
        <v>111</v>
      </c>
      <c r="P18" s="92" t="s">
        <v>139</v>
      </c>
      <c r="Q18" s="92" t="s">
        <v>139</v>
      </c>
      <c r="R18" s="92" t="s">
        <v>111</v>
      </c>
      <c r="S18" s="92"/>
      <c r="T18" s="95" cm="1">
        <f t="array" ref="T1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4.9000000000000004</v>
      </c>
      <c r="U18" s="138"/>
      <c r="V18" s="92"/>
      <c r="W18" s="92" t="s">
        <v>139</v>
      </c>
      <c r="X18" s="92" t="s">
        <v>111</v>
      </c>
      <c r="Y18" s="92" t="s">
        <v>139</v>
      </c>
      <c r="Z18" s="92" t="s">
        <v>139</v>
      </c>
      <c r="AA18" s="92"/>
      <c r="AB18" s="92"/>
      <c r="AC18" s="92" t="s">
        <v>139</v>
      </c>
      <c r="AD18" s="92">
        <f>COUNTA(InputTable[[#This Row],[CORPHRFIN]:[SALES]])</f>
        <v>5</v>
      </c>
      <c r="AE18" s="88" cm="1">
        <f t="array" ref="AE18">SUM(
_xlfn.XLOOKUP(InputTable[[#This Row],[CORPHRFIN]:[SALES]],'System List'!$F$4:$F$7,'System List'!$H$4:$H$7,0))</f>
        <v>37</v>
      </c>
      <c r="AF18" s="140"/>
      <c r="AG18" s="96"/>
      <c r="AH18" s="96"/>
      <c r="AI18" s="96"/>
      <c r="AJ18" s="96"/>
      <c r="AK18" s="96"/>
      <c r="AL18" s="96" t="s">
        <v>111</v>
      </c>
      <c r="AM18" s="96"/>
      <c r="AN18" s="96"/>
      <c r="AO18" s="96"/>
      <c r="AP18" s="96" t="s">
        <v>100</v>
      </c>
      <c r="AQ18" s="96"/>
      <c r="AR18" s="88" cm="1">
        <f t="array" ref="AR18">SUM(
_xlfn.XLOOKUP(InputTable[[#This Row],[Impact on - CIAL]:[Impact on - STRAT]],'System List'!$F$4:$F$7,'System List'!$H$4:$H$7,0))</f>
        <v>18</v>
      </c>
      <c r="AS18" s="88" t="e">
        <f>VLOOKUP(InputTable[[#This Row],[Duration]],Duration,2,FALSE)+InputTable[[#This Row],[Resource Score]]</f>
        <v>#N/A</v>
      </c>
      <c r="AT1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" s="24" t="e">
        <f>InputTable[[#This Row],[Value Score]]/InputTable[[#This Row],[EFFORT SCORE]]*100</f>
        <v>#N/A</v>
      </c>
      <c r="AV18" s="25" t="str">
        <f>InputTable[[#This Row],[IS Portfolio Ref ID]]</f>
        <v>ISPRJ-9</v>
      </c>
      <c r="AW18" s="25" t="s">
        <v>166</v>
      </c>
      <c r="AX18" s="208"/>
      <c r="AY18" s="25"/>
      <c r="AZ18" s="209"/>
      <c r="BA18" s="209">
        <v>350000</v>
      </c>
      <c r="BB18" s="209"/>
      <c r="BC18" s="189">
        <f>SUM(InputTable[[#This Row],[Opex IS Budget (full project)]]+InputTable[[#This Row],[Capex IS Budget (full project)]])</f>
        <v>350000</v>
      </c>
      <c r="BD18" s="188">
        <v>7</v>
      </c>
      <c r="BE18" s="188">
        <v>4</v>
      </c>
      <c r="BF18" s="70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T18" s="2"/>
      <c r="BU18" s="2"/>
      <c r="BV18" s="2"/>
      <c r="BW18" s="2"/>
      <c r="BX18" s="2"/>
      <c r="BY18" s="2"/>
      <c r="BZ18" s="2"/>
      <c r="CA18" s="2"/>
      <c r="CC18" s="2"/>
      <c r="CD18" s="2"/>
      <c r="CE18" s="2"/>
      <c r="CF18" s="2"/>
      <c r="CG18" s="2"/>
      <c r="CH18" s="2"/>
      <c r="CI18" s="2"/>
      <c r="CJ18" s="2"/>
      <c r="CK18" s="2"/>
      <c r="CN18" s="2"/>
      <c r="CO18" s="2"/>
      <c r="CP18" s="2"/>
      <c r="CQ18" s="2"/>
      <c r="CR18" s="2"/>
      <c r="CS18" s="2"/>
      <c r="CT18" s="2"/>
      <c r="CU18" s="2"/>
      <c r="CV18" s="2"/>
      <c r="CX18" s="26"/>
      <c r="CY18" s="26"/>
      <c r="CZ18" s="26"/>
      <c r="DA18" s="26"/>
      <c r="DB18" s="26"/>
      <c r="DC18" s="26"/>
      <c r="DD18" s="26"/>
      <c r="DE18" s="26"/>
      <c r="DF18" s="26"/>
      <c r="DH18" s="26"/>
      <c r="DI18" s="26"/>
      <c r="DJ18" s="26"/>
      <c r="DK18" s="26"/>
      <c r="DL18" s="26"/>
      <c r="DM18" s="26"/>
      <c r="DN18" s="26"/>
      <c r="DO18" s="26"/>
      <c r="DP18" s="26"/>
      <c r="DR18" s="26"/>
      <c r="DS18" s="26"/>
      <c r="DT18" s="26"/>
      <c r="DU18" s="26"/>
      <c r="DV18" s="26"/>
      <c r="DW18" s="26"/>
      <c r="DX18" s="26"/>
      <c r="DY18" s="26"/>
      <c r="DZ18" s="26"/>
      <c r="EB18" s="26"/>
      <c r="EC18" s="26"/>
      <c r="ED18" s="26"/>
      <c r="EE18" s="26"/>
      <c r="EF18" s="26"/>
      <c r="EG18" s="26"/>
      <c r="EH18" s="26"/>
      <c r="EI18" s="26"/>
      <c r="EJ18" s="26"/>
      <c r="EL18" s="26"/>
      <c r="EM18" s="26"/>
      <c r="EN18" s="26"/>
      <c r="EO18" s="26"/>
      <c r="EP18" s="26"/>
      <c r="EQ18" s="26"/>
      <c r="ER18" s="26"/>
      <c r="ES18" s="26"/>
      <c r="ET18" s="26"/>
      <c r="EV18" s="26"/>
      <c r="EW18" s="26"/>
      <c r="EX18" s="26"/>
      <c r="EY18" s="26"/>
      <c r="EZ18" s="26"/>
      <c r="FA18" s="26"/>
      <c r="FB18" s="26"/>
      <c r="FC18" s="26"/>
      <c r="FD18" s="26"/>
      <c r="FF18" s="26"/>
      <c r="FG18" s="26"/>
      <c r="FH18" s="26"/>
      <c r="FI18" s="26"/>
      <c r="FJ18" s="26"/>
      <c r="FK18" s="26"/>
      <c r="FL18" s="26"/>
      <c r="FM18" s="26"/>
      <c r="FN18" s="26"/>
      <c r="FP18" s="26"/>
      <c r="FQ18" s="26"/>
      <c r="FR18" s="26"/>
      <c r="FS18" s="26"/>
      <c r="FT18" s="26"/>
      <c r="FU18" s="26"/>
      <c r="FV18" s="26"/>
      <c r="FW18" s="26"/>
      <c r="FX18" s="26"/>
      <c r="GB18" s="26"/>
      <c r="GC18" s="26"/>
      <c r="GD18" s="26"/>
      <c r="GE18" s="26"/>
      <c r="GF18" s="26"/>
      <c r="GG18" s="26"/>
      <c r="GH18" s="26"/>
      <c r="GI18" s="26"/>
      <c r="GJ18" s="26"/>
      <c r="GL18" s="26"/>
      <c r="GM18" s="26"/>
      <c r="GN18" s="26"/>
      <c r="GO18" s="26"/>
      <c r="GP18" s="26"/>
      <c r="GQ18" s="26"/>
      <c r="GR18" s="26"/>
      <c r="GS18" s="26"/>
      <c r="GT18" s="26"/>
      <c r="GV18" s="26"/>
      <c r="GW18" s="26"/>
      <c r="GX18" s="26"/>
      <c r="GY18" s="26"/>
      <c r="GZ18" s="26"/>
      <c r="HA18" s="26"/>
      <c r="HB18" s="26"/>
      <c r="HC18" s="26"/>
      <c r="HD18" s="26"/>
      <c r="HF18" s="26"/>
      <c r="HG18" s="26"/>
      <c r="HH18" s="26"/>
      <c r="HI18" s="26"/>
      <c r="HJ18" s="26"/>
      <c r="HK18" s="26"/>
      <c r="HL18" s="26"/>
      <c r="HM18" s="26"/>
      <c r="HN18" s="26"/>
      <c r="HP18" s="26"/>
      <c r="HQ18" s="26"/>
      <c r="HR18" s="26"/>
      <c r="HS18" s="26"/>
      <c r="HT18" s="26"/>
      <c r="HU18" s="26"/>
      <c r="HV18" s="26"/>
      <c r="HW18" s="26"/>
      <c r="HX18" s="26"/>
      <c r="HZ18" s="26"/>
      <c r="IA18" s="26"/>
      <c r="IB18" s="26"/>
      <c r="IC18" s="26"/>
      <c r="ID18" s="26"/>
      <c r="IE18" s="26"/>
      <c r="IF18" s="26"/>
      <c r="IG18" s="26"/>
      <c r="IH18" s="26"/>
      <c r="IJ18" s="26"/>
      <c r="IK18" s="26"/>
      <c r="IL18" s="26"/>
      <c r="IM18" s="26"/>
      <c r="IN18" s="26"/>
      <c r="IO18" s="26"/>
      <c r="IP18" s="26"/>
      <c r="IQ18" s="26"/>
      <c r="IR18" s="26"/>
      <c r="IT18" s="26"/>
      <c r="IU18" s="26"/>
      <c r="IV18" s="26"/>
      <c r="IW18" s="26"/>
      <c r="IX18" s="26"/>
      <c r="IY18" s="26"/>
      <c r="IZ18" s="26"/>
      <c r="JA18" s="26"/>
      <c r="JB18" s="26"/>
      <c r="JD18" s="26"/>
      <c r="JE18" s="26"/>
      <c r="JF18" s="26"/>
      <c r="JG18" s="26"/>
      <c r="JH18" s="26"/>
      <c r="JI18" s="26"/>
      <c r="JJ18" s="26"/>
      <c r="JK18" s="26"/>
      <c r="JL18" s="26"/>
      <c r="JN18" s="26"/>
      <c r="JO18" s="26"/>
      <c r="JP18" s="26"/>
      <c r="JQ18" s="26"/>
      <c r="JR18" s="26"/>
      <c r="JS18" s="26"/>
      <c r="JT18" s="26"/>
      <c r="JU18" s="26"/>
      <c r="JV18" s="26"/>
      <c r="JX18" s="26"/>
      <c r="JY18" s="26"/>
      <c r="JZ18" s="26"/>
      <c r="KA18" s="26"/>
      <c r="KB18" s="26"/>
      <c r="KC18" s="26"/>
      <c r="KD18" s="26"/>
      <c r="KE18" s="26"/>
      <c r="KF18" s="26"/>
    </row>
    <row r="19" spans="1:292" ht="39.6" hidden="1" customHeight="1" x14ac:dyDescent="0.25">
      <c r="A19" s="141"/>
      <c r="B19" s="141" t="s">
        <v>114</v>
      </c>
      <c r="C19" s="92" t="s">
        <v>93</v>
      </c>
      <c r="D19" s="125" t="s">
        <v>167</v>
      </c>
      <c r="E19" s="193" t="s">
        <v>168</v>
      </c>
      <c r="F19" s="92" t="s">
        <v>96</v>
      </c>
      <c r="G19" s="92" t="s">
        <v>97</v>
      </c>
      <c r="H19" s="92"/>
      <c r="I19" s="92" t="s">
        <v>98</v>
      </c>
      <c r="J19" s="122"/>
      <c r="K19" s="95" t="e">
        <f>VLOOKUP((InputTable[[#This Row],[Starting Date]]&amp; " - " &amp;InputTable[[#This Row],[Delivery Date]]),'System List'!$F$40:$H$83,2,FALSE)</f>
        <v>#N/A</v>
      </c>
      <c r="L19" s="95" t="e">
        <f>VLOOKUP(InputTable[[#This Row],[Duration]],Duration,2,FALSE)</f>
        <v>#N/A</v>
      </c>
      <c r="M19" s="122" t="s">
        <v>110</v>
      </c>
      <c r="N19" s="92"/>
      <c r="O19" s="92"/>
      <c r="P19" s="92"/>
      <c r="Q19" s="92"/>
      <c r="R19" s="92"/>
      <c r="S19" s="92"/>
      <c r="T19" s="95" cm="1">
        <f t="array" ref="T1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</v>
      </c>
      <c r="U19" s="138"/>
      <c r="V19" s="92"/>
      <c r="W19" s="92"/>
      <c r="X19" s="92"/>
      <c r="Y19" s="92"/>
      <c r="Z19" s="92"/>
      <c r="AA19" s="92"/>
      <c r="AB19" s="92"/>
      <c r="AC19" s="92"/>
      <c r="AD19" s="92">
        <f>COUNTA(InputTable[[#This Row],[CORPHRFIN]:[SALES]])</f>
        <v>0</v>
      </c>
      <c r="AE19" s="88" cm="1">
        <f t="array" ref="AE19">SUM(
_xlfn.XLOOKUP(InputTable[[#This Row],[CORPHRFIN]:[SALES]],'System List'!$F$4:$F$7,'System List'!$H$4:$H$7,0))</f>
        <v>0</v>
      </c>
      <c r="AF19" s="140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88" cm="1">
        <f t="array" ref="AR19">SUM(
_xlfn.XLOOKUP(InputTable[[#This Row],[Impact on - CIAL]:[Impact on - STRAT]],'System List'!$F$4:$F$7,'System List'!$H$4:$H$7,0))</f>
        <v>0</v>
      </c>
      <c r="AS19" s="88" t="e">
        <f>VLOOKUP(InputTable[[#This Row],[Duration]],Duration,2,FALSE)+InputTable[[#This Row],[Resource Score]]</f>
        <v>#N/A</v>
      </c>
      <c r="AT1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" s="24" t="e">
        <f>InputTable[[#This Row],[Value Score]]/InputTable[[#This Row],[EFFORT SCORE]]*100</f>
        <v>#N/A</v>
      </c>
      <c r="AV19" s="25"/>
      <c r="AW19" s="25" t="s">
        <v>101</v>
      </c>
      <c r="AX19" s="208"/>
      <c r="AY19" s="25"/>
      <c r="AZ19" s="209">
        <v>0</v>
      </c>
      <c r="BA19" s="209">
        <v>0</v>
      </c>
      <c r="BB19" s="209"/>
      <c r="BC19" s="189"/>
      <c r="BD19" s="188"/>
      <c r="BE19" s="188"/>
      <c r="BF19" s="7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T19" s="2"/>
      <c r="BU19" s="2"/>
      <c r="BV19" s="2"/>
      <c r="BW19" s="2"/>
      <c r="BX19" s="2"/>
      <c r="BY19" s="2"/>
      <c r="BZ19" s="2"/>
      <c r="CA19" s="2"/>
      <c r="CC19" s="2"/>
      <c r="CD19" s="2"/>
      <c r="CE19" s="2"/>
      <c r="CF19" s="2"/>
      <c r="CG19" s="2"/>
      <c r="CH19" s="2"/>
      <c r="CI19" s="2"/>
      <c r="CJ19" s="2"/>
      <c r="CK19" s="2"/>
      <c r="CN19" s="2"/>
      <c r="CO19" s="2"/>
      <c r="CP19" s="2"/>
      <c r="CQ19" s="2"/>
      <c r="CR19" s="2"/>
      <c r="CS19" s="2"/>
      <c r="CT19" s="2"/>
      <c r="CU19" s="2"/>
      <c r="CV19" s="2"/>
      <c r="CX19" s="26"/>
      <c r="CY19" s="26"/>
      <c r="CZ19" s="26"/>
      <c r="DA19" s="26"/>
      <c r="DB19" s="26"/>
      <c r="DC19" s="26"/>
      <c r="DD19" s="26"/>
      <c r="DE19" s="26"/>
      <c r="DF19" s="26"/>
      <c r="DH19" s="26"/>
      <c r="DI19" s="26"/>
      <c r="DJ19" s="26"/>
      <c r="DK19" s="26"/>
      <c r="DL19" s="26"/>
      <c r="DM19" s="26"/>
      <c r="DN19" s="26"/>
      <c r="DO19" s="26"/>
      <c r="DP19" s="26"/>
      <c r="DR19" s="26"/>
      <c r="DS19" s="26"/>
      <c r="DT19" s="26"/>
      <c r="DU19" s="26"/>
      <c r="DV19" s="26"/>
      <c r="DW19" s="26"/>
      <c r="DX19" s="26"/>
      <c r="DY19" s="26"/>
      <c r="DZ19" s="26"/>
      <c r="EB19" s="26"/>
      <c r="EC19" s="26"/>
      <c r="ED19" s="26"/>
      <c r="EE19" s="26"/>
      <c r="EF19" s="26"/>
      <c r="EG19" s="26"/>
      <c r="EH19" s="26"/>
      <c r="EI19" s="26"/>
      <c r="EJ19" s="26"/>
      <c r="EL19" s="26"/>
      <c r="EM19" s="26"/>
      <c r="EN19" s="26"/>
      <c r="EO19" s="26"/>
      <c r="EP19" s="26"/>
      <c r="EQ19" s="26"/>
      <c r="ER19" s="26"/>
      <c r="ES19" s="26"/>
      <c r="ET19" s="26"/>
      <c r="EV19" s="26"/>
      <c r="EW19" s="26"/>
      <c r="EX19" s="26"/>
      <c r="EY19" s="26"/>
      <c r="EZ19" s="26"/>
      <c r="FA19" s="26"/>
      <c r="FB19" s="26"/>
      <c r="FC19" s="26"/>
      <c r="FD19" s="26"/>
      <c r="FF19" s="26"/>
      <c r="FG19" s="26"/>
      <c r="FH19" s="26"/>
      <c r="FI19" s="26"/>
      <c r="FJ19" s="26"/>
      <c r="FK19" s="26"/>
      <c r="FL19" s="26"/>
      <c r="FM19" s="26"/>
      <c r="FN19" s="26"/>
      <c r="FP19" s="26"/>
      <c r="FQ19" s="26"/>
      <c r="FR19" s="26"/>
      <c r="FS19" s="26"/>
      <c r="FT19" s="26"/>
      <c r="FU19" s="26"/>
      <c r="FV19" s="26"/>
      <c r="FW19" s="26"/>
      <c r="FX19" s="26"/>
      <c r="GB19" s="26"/>
      <c r="GC19" s="26"/>
      <c r="GD19" s="26"/>
      <c r="GE19" s="26"/>
      <c r="GF19" s="26"/>
      <c r="GG19" s="26"/>
      <c r="GH19" s="26"/>
      <c r="GI19" s="26"/>
      <c r="GJ19" s="26"/>
      <c r="GL19" s="26"/>
      <c r="GM19" s="26"/>
      <c r="GN19" s="26"/>
      <c r="GO19" s="26"/>
      <c r="GP19" s="26"/>
      <c r="GQ19" s="26"/>
      <c r="GR19" s="26"/>
      <c r="GS19" s="26"/>
      <c r="GT19" s="26"/>
      <c r="GV19" s="26"/>
      <c r="GW19" s="26"/>
      <c r="GX19" s="26"/>
      <c r="GY19" s="26"/>
      <c r="GZ19" s="26"/>
      <c r="HA19" s="26"/>
      <c r="HB19" s="26"/>
      <c r="HC19" s="26"/>
      <c r="HD19" s="26"/>
      <c r="HF19" s="26"/>
      <c r="HG19" s="26"/>
      <c r="HH19" s="26"/>
      <c r="HI19" s="26"/>
      <c r="HJ19" s="26"/>
      <c r="HK19" s="26"/>
      <c r="HL19" s="26"/>
      <c r="HM19" s="26"/>
      <c r="HN19" s="26"/>
      <c r="HP19" s="26"/>
      <c r="HQ19" s="26"/>
      <c r="HR19" s="26"/>
      <c r="HS19" s="26"/>
      <c r="HT19" s="26"/>
      <c r="HU19" s="26"/>
      <c r="HV19" s="26"/>
      <c r="HW19" s="26"/>
      <c r="HX19" s="26"/>
      <c r="HZ19" s="26"/>
      <c r="IA19" s="26"/>
      <c r="IB19" s="26"/>
      <c r="IC19" s="26"/>
      <c r="ID19" s="26"/>
      <c r="IE19" s="26"/>
      <c r="IF19" s="26"/>
      <c r="IG19" s="26"/>
      <c r="IH19" s="26"/>
      <c r="IJ19" s="26"/>
      <c r="IK19" s="26"/>
      <c r="IL19" s="26"/>
      <c r="IM19" s="26"/>
      <c r="IN19" s="26"/>
      <c r="IO19" s="26"/>
      <c r="IP19" s="26"/>
      <c r="IQ19" s="26"/>
      <c r="IR19" s="26"/>
      <c r="IT19" s="26"/>
      <c r="IU19" s="26"/>
      <c r="IV19" s="26"/>
      <c r="IW19" s="26"/>
      <c r="IX19" s="26"/>
      <c r="IY19" s="26"/>
      <c r="IZ19" s="26"/>
      <c r="JA19" s="26"/>
      <c r="JB19" s="26"/>
      <c r="JD19" s="26"/>
      <c r="JE19" s="26"/>
      <c r="JF19" s="26"/>
      <c r="JG19" s="26"/>
      <c r="JH19" s="26"/>
      <c r="JI19" s="26"/>
      <c r="JJ19" s="26"/>
      <c r="JK19" s="26"/>
      <c r="JL19" s="26"/>
      <c r="JN19" s="26"/>
      <c r="JO19" s="26"/>
      <c r="JP19" s="26"/>
      <c r="JQ19" s="26"/>
      <c r="JR19" s="26"/>
      <c r="JS19" s="26"/>
      <c r="JT19" s="26"/>
      <c r="JU19" s="26"/>
      <c r="JV19" s="26"/>
      <c r="JX19" s="26"/>
      <c r="JY19" s="26"/>
      <c r="JZ19" s="26"/>
      <c r="KA19" s="26"/>
      <c r="KB19" s="26"/>
      <c r="KC19" s="26"/>
      <c r="KD19" s="26"/>
      <c r="KE19" s="26"/>
      <c r="KF19" s="26"/>
    </row>
    <row r="20" spans="1:292" ht="39.6" hidden="1" customHeight="1" x14ac:dyDescent="0.25">
      <c r="A20" s="141"/>
      <c r="B20" s="141" t="s">
        <v>114</v>
      </c>
      <c r="C20" s="92" t="s">
        <v>57</v>
      </c>
      <c r="D20" s="125" t="s">
        <v>169</v>
      </c>
      <c r="E20" s="193" t="s">
        <v>170</v>
      </c>
      <c r="F20" s="92" t="s">
        <v>96</v>
      </c>
      <c r="G20" s="92" t="s">
        <v>97</v>
      </c>
      <c r="H20" s="92"/>
      <c r="I20" s="92" t="s">
        <v>98</v>
      </c>
      <c r="J20" s="122"/>
      <c r="K20" s="95" t="e">
        <f>VLOOKUP((InputTable[[#This Row],[Starting Date]]&amp; " - " &amp;InputTable[[#This Row],[Delivery Date]]),'System List'!$F$40:$H$83,2,FALSE)</f>
        <v>#N/A</v>
      </c>
      <c r="L20" s="95" t="e">
        <f>VLOOKUP(InputTable[[#This Row],[Duration]],Duration,2,FALSE)</f>
        <v>#N/A</v>
      </c>
      <c r="M20" s="122" t="s">
        <v>110</v>
      </c>
      <c r="N20" s="92"/>
      <c r="O20" s="92"/>
      <c r="P20" s="92"/>
      <c r="Q20" s="92"/>
      <c r="R20" s="92"/>
      <c r="S20" s="92"/>
      <c r="T20" s="95" cm="1">
        <f t="array" ref="T2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</v>
      </c>
      <c r="U20" s="138"/>
      <c r="V20" s="92"/>
      <c r="W20" s="92"/>
      <c r="X20" s="92"/>
      <c r="Y20" s="92"/>
      <c r="Z20" s="92"/>
      <c r="AA20" s="92"/>
      <c r="AB20" s="92"/>
      <c r="AC20" s="92"/>
      <c r="AD20" s="92">
        <f>COUNTA(InputTable[[#This Row],[CORPHRFIN]:[SALES]])</f>
        <v>0</v>
      </c>
      <c r="AE20" s="88" cm="1">
        <f t="array" ref="AE20">SUM(
_xlfn.XLOOKUP(InputTable[[#This Row],[CORPHRFIN]:[SALES]],'System List'!$F$4:$F$7,'System List'!$H$4:$H$7,0))</f>
        <v>0</v>
      </c>
      <c r="AF20" s="140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88" cm="1">
        <f t="array" ref="AR20">SUM(
_xlfn.XLOOKUP(InputTable[[#This Row],[Impact on - CIAL]:[Impact on - STRAT]],'System List'!$F$4:$F$7,'System List'!$H$4:$H$7,0))</f>
        <v>0</v>
      </c>
      <c r="AS20" s="88" t="e">
        <f>VLOOKUP(InputTable[[#This Row],[Duration]],Duration,2,FALSE)+InputTable[[#This Row],[Resource Score]]</f>
        <v>#N/A</v>
      </c>
      <c r="AT2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" s="24" t="e">
        <f>InputTable[[#This Row],[Value Score]]/InputTable[[#This Row],[EFFORT SCORE]]*100</f>
        <v>#N/A</v>
      </c>
      <c r="AV20" s="25" t="str">
        <f>InputTable[[#This Row],[IS Portfolio Ref ID]]</f>
        <v>ISPRJ-113</v>
      </c>
      <c r="AW20" s="25" t="s">
        <v>131</v>
      </c>
      <c r="AX20" s="208"/>
      <c r="AY20" s="25"/>
      <c r="AZ20" s="209">
        <v>0</v>
      </c>
      <c r="BA20" s="209">
        <v>0</v>
      </c>
      <c r="BB20" s="209"/>
      <c r="BC20" s="189"/>
      <c r="BD20" s="188"/>
      <c r="BE20" s="188"/>
      <c r="BF20" s="70"/>
      <c r="BH20" s="2">
        <f>IFERROR(VLOOKUP(InputTable[[#This Row],[Impact on - CIAL]],'System List'!$F$4:$H$7,3,FALSE),0)</f>
        <v>0</v>
      </c>
      <c r="BI20" s="2">
        <f>IFERROR(VLOOKUP(InputTable[[#This Row],[Impact on - COM]],'System List'!$F$4:$H$7,3,FALSE),0)</f>
        <v>0</v>
      </c>
      <c r="BJ20" s="2">
        <f>IFERROR(VLOOKUP(InputTable[[#This Row],[Impact on - FIN]],'System List'!$F$4:$H$7,3,FALSE),0)</f>
        <v>0</v>
      </c>
      <c r="BK20" s="2">
        <f>IFERROR(VLOOKUP(InputTable[[#This Row],[Impact on - GEN SEC]],'System List'!$F$4:$H$7,3,FALSE),0)</f>
        <v>0</v>
      </c>
      <c r="BL20" s="2">
        <f>IFERROR(VLOOKUP(InputTable[[#This Row],[Impact on - HR]],'System List'!$F$4:$H$7,3,FALSE),0)</f>
        <v>0</v>
      </c>
      <c r="BM20" s="2">
        <f>IFERROR(VLOOKUP(InputTable[[#This Row],[Impact on - IS]],'System List'!$F$4:$H$7,3,FALSE),0)</f>
        <v>0</v>
      </c>
      <c r="BN20" s="2">
        <f>IFERROR(VLOOKUP(InputTable[[#This Row],[Impact on - OPS]],'System List'!$F$4:$H$7,3,FALSE),0)</f>
        <v>0</v>
      </c>
      <c r="BO20" s="2">
        <f>IFERROR(VLOOKUP(InputTable[[#This Row],[Impact on - ROLL STOCK]],'System List'!$F$4:$H$7,3,FALSE),0)</f>
        <v>0</v>
      </c>
      <c r="BP20" s="2">
        <f>IFERROR(VLOOKUP(InputTable[[#This Row],[Impact on - SAFETY]],'System List'!$F$4:$H$7,3,FALSE),0)</f>
        <v>0</v>
      </c>
      <c r="BQ20" s="2">
        <f>IFERROR(VLOOKUP(InputTable[[#This Row],[Impact on - STATION]],'System List'!$F$4:$H$7,3,FALSE),0)</f>
        <v>0</v>
      </c>
      <c r="BR20" s="2">
        <f>IFERROR(VLOOKUP(InputTable[[#This Row],[Impact on - STRAT]],'System List'!$F$4:$H$7,3,FALSE),0)</f>
        <v>0</v>
      </c>
      <c r="BT20" s="2">
        <f>IFERROR(VLOOKUP(InputTable[[#This Row],[CORPHRFIN]],'System List'!$F$4:$H$7,3,FALSE),0)</f>
        <v>0</v>
      </c>
      <c r="BU20" s="2">
        <f>IFERROR(VLOOKUP(InputTable[[#This Row],[CUST]],'System List'!$F$4:$H$7,3,FALSE),0)</f>
        <v>0</v>
      </c>
      <c r="BV20" s="2">
        <f>IFERROR(VLOOKUP(InputTable[[#This Row],[CYBER]],'System List'!$F$4:$H$7,3,FALSE),0)</f>
        <v>0</v>
      </c>
      <c r="BW20" s="2">
        <f>IFERROR(VLOOKUP(InputTable[[#This Row],[DATA]],'System List'!$F$4:$H$7,3,FALSE),0)</f>
        <v>0</v>
      </c>
      <c r="BX20" s="2">
        <f>IFERROR(VLOOKUP(InputTable[[#This Row],[INFRA]],'System List'!$F$4:$H$7,3,FALSE),0)</f>
        <v>0</v>
      </c>
      <c r="BY20" s="2">
        <f>IFERROR(VLOOKUP(InputTable[[#This Row],[OPERATIONS]],'System List'!$F$4:$H$7,3,FALSE),0)</f>
        <v>0</v>
      </c>
      <c r="BZ20" s="2">
        <f>IFERROR(VLOOKUP(InputTable[[#This Row],[PMO]],'System List'!$F$4:$H$7,3,FALSE),0)</f>
        <v>0</v>
      </c>
      <c r="CA20" s="2">
        <f>IFERROR(VLOOKUP(InputTable[[#This Row],[SALES]],'System List'!$F$4:$H$7,3,FALSE),0)</f>
        <v>0</v>
      </c>
      <c r="CC20" s="2" cm="1">
        <f t="array" ref="CC2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" s="2" cm="1">
        <f t="array" ref="CD2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" s="2" cm="1">
        <f t="array" ref="CE2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" s="2" cm="1">
        <f t="array" ref="CF2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" s="2" cm="1">
        <f t="array" ref="CG2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" s="2" cm="1">
        <f t="array" ref="CH2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" s="2" cm="1">
        <f t="array" ref="CI2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" s="2" cm="1">
        <f t="array" ref="CJ2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" s="2" cm="1">
        <f t="array" ref="CK2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2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2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2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2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" s="26">
        <f t="shared" ref="CX20:DF20" si="77">CN20*_xlfn.XLOOKUP(CX$1,$BT$2:$CA$2,$BT20:$CA20,0)</f>
        <v>0</v>
      </c>
      <c r="CY20" s="26">
        <f t="shared" si="77"/>
        <v>0</v>
      </c>
      <c r="CZ20" s="26">
        <f t="shared" si="77"/>
        <v>0</v>
      </c>
      <c r="DA20" s="26">
        <f t="shared" si="77"/>
        <v>0</v>
      </c>
      <c r="DB20" s="26">
        <f t="shared" si="77"/>
        <v>0</v>
      </c>
      <c r="DC20" s="26">
        <f t="shared" si="77"/>
        <v>0</v>
      </c>
      <c r="DD20" s="26">
        <f t="shared" si="77"/>
        <v>0</v>
      </c>
      <c r="DE20" s="26">
        <f t="shared" si="77"/>
        <v>0</v>
      </c>
      <c r="DF20" s="26">
        <f t="shared" si="77"/>
        <v>0</v>
      </c>
      <c r="DH20" s="26">
        <f>$CN20*_xlfn.XLOOKUP(DH$1,$BT$2:$CA$2,$BT20:$CA20,0)</f>
        <v>0</v>
      </c>
      <c r="DI20" s="26">
        <f>$CO20*_xlfn.XLOOKUP(DI$1,$BT$2:$CA$2,$BT20:$CA20,0)</f>
        <v>0</v>
      </c>
      <c r="DJ20" s="26">
        <f>$CP20*_xlfn.XLOOKUP(DJ$1,$BT$2:$CA$2,$BT20:$CA20,0)</f>
        <v>0</v>
      </c>
      <c r="DK20" s="26">
        <f>$CQ20*_xlfn.XLOOKUP(DK$1,$BT$2:$CA$2,$BT20:$CA20,0)</f>
        <v>0</v>
      </c>
      <c r="DL20" s="26">
        <f>$CR20*_xlfn.XLOOKUP(DL$1,$BT$2:$CA$2,$BT20:$CA20,0)</f>
        <v>0</v>
      </c>
      <c r="DM20" s="26">
        <f>$CS20*_xlfn.XLOOKUP(DM$1,$BT$2:$CA$2,$BT20:$CA20,0)</f>
        <v>0</v>
      </c>
      <c r="DN20" s="26">
        <f>$CT20*_xlfn.XLOOKUP(DN$1,$BT$2:$CA$2,$BT20:$CA20,0)</f>
        <v>0</v>
      </c>
      <c r="DO20" s="26">
        <f>$CU20*_xlfn.XLOOKUP(DO$1,$BT$2:$CA$2,$BT20:$CA20,0)</f>
        <v>0</v>
      </c>
      <c r="DP20" s="26">
        <f>$CV20*_xlfn.XLOOKUP(DP$1,$BT$2:$CA$2,$BT20:$CA20,0)</f>
        <v>0</v>
      </c>
      <c r="DR20" s="26">
        <f>$CN20*_xlfn.XLOOKUP(DR$1,$BT$2:$CA$2,$BT20:$CA20,0)</f>
        <v>0</v>
      </c>
      <c r="DS20" s="26">
        <f>$CO20*_xlfn.XLOOKUP(DS$1,$BT$2:$CA$2,$BT20:$CA20,0)</f>
        <v>0</v>
      </c>
      <c r="DT20" s="26">
        <f>$CP20*_xlfn.XLOOKUP(DT$1,$BT$2:$CA$2,$BT20:$CA20,0)</f>
        <v>0</v>
      </c>
      <c r="DU20" s="26">
        <f>$CQ20*_xlfn.XLOOKUP(DU$1,$BT$2:$CA$2,$BT20:$CA20,0)</f>
        <v>0</v>
      </c>
      <c r="DV20" s="26">
        <f>$CR20*_xlfn.XLOOKUP(DV$1,$BT$2:$CA$2,$BT20:$CA20,0)</f>
        <v>0</v>
      </c>
      <c r="DW20" s="26">
        <f>$CS20*_xlfn.XLOOKUP(DW$1,$BT$2:$CA$2,$BT20:$CA20,0)</f>
        <v>0</v>
      </c>
      <c r="DX20" s="26">
        <f>$CT20*_xlfn.XLOOKUP(DX$1,$BT$2:$CA$2,$BT20:$CA20,0)</f>
        <v>0</v>
      </c>
      <c r="DY20" s="26">
        <f>$CU20*_xlfn.XLOOKUP(DY$1,$BT$2:$CA$2,$BT20:$CA20,0)</f>
        <v>0</v>
      </c>
      <c r="DZ20" s="26">
        <f>$CV20*_xlfn.XLOOKUP(DZ$1,$BT$2:$CA$2,$BT20:$CA20,0)</f>
        <v>0</v>
      </c>
      <c r="EB20" s="26">
        <f>$CN20*_xlfn.XLOOKUP(EB$1,$BT$2:$CA$2,$BT20:$CA20,0)</f>
        <v>0</v>
      </c>
      <c r="EC20" s="26">
        <f>$CO20*_xlfn.XLOOKUP(EC$1,$BT$2:$CA$2,$BT20:$CA20,0)</f>
        <v>0</v>
      </c>
      <c r="ED20" s="26">
        <f>$CP20*_xlfn.XLOOKUP(ED$1,$BT$2:$CA$2,$BT20:$CA20,0)</f>
        <v>0</v>
      </c>
      <c r="EE20" s="26">
        <f>$CQ20*_xlfn.XLOOKUP(EE$1,$BT$2:$CA$2,$BT20:$CA20,0)</f>
        <v>0</v>
      </c>
      <c r="EF20" s="26">
        <f>$CR20*_xlfn.XLOOKUP(EF$1,$BT$2:$CA$2,$BT20:$CA20,0)</f>
        <v>0</v>
      </c>
      <c r="EG20" s="26">
        <f>$CS20*_xlfn.XLOOKUP(EG$1,$BT$2:$CA$2,$BT20:$CA20,0)</f>
        <v>0</v>
      </c>
      <c r="EH20" s="26">
        <f>$CT20*_xlfn.XLOOKUP(EH$1,$BT$2:$CA$2,$BT20:$CA20,0)</f>
        <v>0</v>
      </c>
      <c r="EI20" s="26">
        <f>$CU20*_xlfn.XLOOKUP(EI$1,$BT$2:$CA$2,$BT20:$CA20,0)</f>
        <v>0</v>
      </c>
      <c r="EJ20" s="26">
        <f>$CV20*_xlfn.XLOOKUP(EJ$1,$BT$2:$CA$2,$BT20:$CA20,0)</f>
        <v>0</v>
      </c>
      <c r="EL20" s="26">
        <f>$CN20*_xlfn.XLOOKUP(EL$1,$BT$2:$CA$2,$BT20:$CA20,0)</f>
        <v>0</v>
      </c>
      <c r="EM20" s="26">
        <f>$CO20*_xlfn.XLOOKUP(EM$1,$BT$2:$CA$2,$BT20:$CA20,0)</f>
        <v>0</v>
      </c>
      <c r="EN20" s="26">
        <f>$CP20*_xlfn.XLOOKUP(EN$1,$BT$2:$CA$2,$BT20:$CA20,0)</f>
        <v>0</v>
      </c>
      <c r="EO20" s="26">
        <f>$CQ20*_xlfn.XLOOKUP(EO$1,$BT$2:$CA$2,$BT20:$CA20,0)</f>
        <v>0</v>
      </c>
      <c r="EP20" s="26">
        <f>$CR20*_xlfn.XLOOKUP(EP$1,$BT$2:$CA$2,$BT20:$CA20,0)</f>
        <v>0</v>
      </c>
      <c r="EQ20" s="26">
        <f>$CS20*_xlfn.XLOOKUP(EQ$1,$BT$2:$CA$2,$BT20:$CA20,0)</f>
        <v>0</v>
      </c>
      <c r="ER20" s="26">
        <f>$CT20*_xlfn.XLOOKUP(ER$1,$BT$2:$CA$2,$BT20:$CA20,0)</f>
        <v>0</v>
      </c>
      <c r="ES20" s="26">
        <f>$CU20*_xlfn.XLOOKUP(ES$1,$BT$2:$CA$2,$BT20:$CA20,0)</f>
        <v>0</v>
      </c>
      <c r="ET20" s="26">
        <f>$CV20*_xlfn.XLOOKUP(ET$1,$BT$2:$CA$2,$BT20:$CA20,0)</f>
        <v>0</v>
      </c>
      <c r="EV20" s="26">
        <f>$CN20*_xlfn.XLOOKUP(EV$1,$BT$2:$CA$2,$BT20:$CA20,0)</f>
        <v>0</v>
      </c>
      <c r="EW20" s="26">
        <f>$CO20*_xlfn.XLOOKUP(EW$1,$BT$2:$CA$2,$BT20:$CA20,0)</f>
        <v>0</v>
      </c>
      <c r="EX20" s="26">
        <f>$CP20*_xlfn.XLOOKUP(EX$1,$BT$2:$CA$2,$BT20:$CA20,0)</f>
        <v>0</v>
      </c>
      <c r="EY20" s="26">
        <f>$CQ20*_xlfn.XLOOKUP(EY$1,$BT$2:$CA$2,$BT20:$CA20,0)</f>
        <v>0</v>
      </c>
      <c r="EZ20" s="26">
        <f>$CR20*_xlfn.XLOOKUP(EZ$1,$BT$2:$CA$2,$BT20:$CA20,0)</f>
        <v>0</v>
      </c>
      <c r="FA20" s="26">
        <f>$CS20*_xlfn.XLOOKUP(FA$1,$BT$2:$CA$2,$BT20:$CA20,0)</f>
        <v>0</v>
      </c>
      <c r="FB20" s="26">
        <f>$CT20*_xlfn.XLOOKUP(FB$1,$BT$2:$CA$2,$BT20:$CA20,0)</f>
        <v>0</v>
      </c>
      <c r="FC20" s="26">
        <f>$CU20*_xlfn.XLOOKUP(FC$1,$BT$2:$CA$2,$BT20:$CA20,0)</f>
        <v>0</v>
      </c>
      <c r="FD20" s="26">
        <f>$CV20*_xlfn.XLOOKUP(FD$1,$BT$2:$CA$2,$BT20:$CA20,0)</f>
        <v>0</v>
      </c>
      <c r="FF20" s="26">
        <f>$CN20*_xlfn.XLOOKUP(FF$1,$BT$2:$CA$2,$BT20:$CA20,0)</f>
        <v>0</v>
      </c>
      <c r="FG20" s="26">
        <f>$CO20*_xlfn.XLOOKUP(FG$1,$BT$2:$CA$2,$BT20:$CA20,0)</f>
        <v>0</v>
      </c>
      <c r="FH20" s="26">
        <f>$CP20*_xlfn.XLOOKUP(FH$1,$BT$2:$CA$2,$BT20:$CA20,0)</f>
        <v>0</v>
      </c>
      <c r="FI20" s="26">
        <f>$CQ20*_xlfn.XLOOKUP(FI$1,$BT$2:$CA$2,$BT20:$CA20,0)</f>
        <v>0</v>
      </c>
      <c r="FJ20" s="26">
        <f>$CR20*_xlfn.XLOOKUP(FJ$1,$BT$2:$CA$2,$BT20:$CA20,0)</f>
        <v>0</v>
      </c>
      <c r="FK20" s="26">
        <f>$CS20*_xlfn.XLOOKUP(FK$1,$BT$2:$CA$2,$BT20:$CA20,0)</f>
        <v>0</v>
      </c>
      <c r="FL20" s="26">
        <f>$CT20*_xlfn.XLOOKUP(FL$1,$BT$2:$CA$2,$BT20:$CA20,0)</f>
        <v>0</v>
      </c>
      <c r="FM20" s="26">
        <f>$CU20*_xlfn.XLOOKUP(FM$1,$BT$2:$CA$2,$BT20:$CA20,0)</f>
        <v>0</v>
      </c>
      <c r="FN20" s="26">
        <f>$CV20*_xlfn.XLOOKUP(FN$1,$BT$2:$CA$2,$BT20:$CA20,0)</f>
        <v>0</v>
      </c>
      <c r="FP20" s="26" t="e">
        <f>$CN20*_xlfn.XLOOKUP(FP$1,$BT$2:$CA$2,$BT20:$CA20,0)</f>
        <v>#REF!</v>
      </c>
      <c r="FQ20" s="26" t="e">
        <f>$CO20*_xlfn.XLOOKUP(FQ$1,$BT$2:$CA$2,$BT20:$CA20,0)</f>
        <v>#REF!</v>
      </c>
      <c r="FR20" s="26" t="e">
        <f>$CP20*_xlfn.XLOOKUP(FR$1,$BT$2:$CA$2,$BT20:$CA20,0)</f>
        <v>#REF!</v>
      </c>
      <c r="FS20" s="26" t="e">
        <f>$CQ20*_xlfn.XLOOKUP(FS$1,$BT$2:$CA$2,$BT20:$CA20,0)</f>
        <v>#REF!</v>
      </c>
      <c r="FT20" s="26" t="e">
        <f>$CR20*_xlfn.XLOOKUP(FT$1,$BT$2:$CA$2,$BT20:$CA20,0)</f>
        <v>#REF!</v>
      </c>
      <c r="FU20" s="26" t="e">
        <f>$CS20*_xlfn.XLOOKUP(FU$1,$BT$2:$CA$2,$BT20:$CA20,0)</f>
        <v>#REF!</v>
      </c>
      <c r="FV20" s="26" t="e">
        <f>$CT20*_xlfn.XLOOKUP(FV$1,$BT$2:$CA$2,$BT20:$CA20,0)</f>
        <v>#REF!</v>
      </c>
      <c r="FW20" s="26" t="e">
        <f>$CU20*_xlfn.XLOOKUP(FW$1,$BT$2:$CA$2,$BT20:$CA20,0)</f>
        <v>#REF!</v>
      </c>
      <c r="FX20" s="26" t="e">
        <f>$CV20*_xlfn.XLOOKUP(FX$1,$BT$2:$CA$2,$BT20:$CA20,0)</f>
        <v>#REF!</v>
      </c>
      <c r="GB20" s="26" t="e">
        <f>IF(GB$2=InputTable[[#This Row],[Delivery Date]],_xlfn.XLOOKUP(GB$1,$BH$2:$BR$2,$BH20:$BR20,0),0)</f>
        <v>#REF!</v>
      </c>
      <c r="GC20" s="26">
        <f>IF(GC$2=InputTable[[#This Row],[Delivery Date]],_xlfn.XLOOKUP(GC$1,$BH$2:$BR$2,$BH20:$BR20,0),0)</f>
        <v>0</v>
      </c>
      <c r="GD20" s="26">
        <f>IF(GD$2=InputTable[[#This Row],[Delivery Date]],_xlfn.XLOOKUP(GD$1,$BH$2:$BR$2,$BH20:$BR20,0),0)</f>
        <v>0</v>
      </c>
      <c r="GE20" s="26">
        <f>IF(GE$2=InputTable[[#This Row],[Delivery Date]],_xlfn.XLOOKUP(GE$1,$BH$2:$BR$2,$BH20:$BR20,0),0)</f>
        <v>0</v>
      </c>
      <c r="GF20" s="26">
        <f>IF(GF$2=InputTable[[#This Row],[Delivery Date]],_xlfn.XLOOKUP(GF$1,$BH$2:$BR$2,$BH20:$BR20,0),0)</f>
        <v>0</v>
      </c>
      <c r="GG20" s="26">
        <f>IF(GG$2=InputTable[[#This Row],[Delivery Date]],_xlfn.XLOOKUP(GG$1,$BH$2:$BR$2,$BH20:$BR20,0),0)</f>
        <v>0</v>
      </c>
      <c r="GH20" s="26">
        <f>IF(GH$2=InputTable[[#This Row],[Delivery Date]],_xlfn.XLOOKUP(GH$1,$BH$2:$BR$2,$BH20:$BR20,0),0)</f>
        <v>0</v>
      </c>
      <c r="GI20" s="26">
        <f>IF(GI$2=InputTable[[#This Row],[Delivery Date]],_xlfn.XLOOKUP(GI$1,$BH$2:$BR$2,$BH20:$BR20,0),0)</f>
        <v>0</v>
      </c>
      <c r="GJ20" s="26">
        <f>IF(GJ$2=InputTable[[#This Row],[Delivery Date]],_xlfn.XLOOKUP(GJ$1,$BH$2:$BR$2,$BH20:$BR20,0),0)</f>
        <v>0</v>
      </c>
      <c r="GL20" s="26" t="e">
        <f>IF(GL$2=InputTable[[#This Row],[Delivery Date]],_xlfn.XLOOKUP(GL$1,$BH$2:$BR$2,$BH20:$BR20,0),0)</f>
        <v>#REF!</v>
      </c>
      <c r="GM20" s="26">
        <f>IF(GM$2=InputTable[[#This Row],[Delivery Date]],_xlfn.XLOOKUP(GM$1,$BH$2:$BR$2,$BH20:$BR20,0),0)</f>
        <v>0</v>
      </c>
      <c r="GN20" s="26">
        <f>IF(GN$2=InputTable[[#This Row],[Delivery Date]],_xlfn.XLOOKUP(GN$1,$BH$2:$BR$2,$BH20:$BR20,0),0)</f>
        <v>0</v>
      </c>
      <c r="GO20" s="26">
        <f>IF(GO$2=InputTable[[#This Row],[Delivery Date]],_xlfn.XLOOKUP(GO$1,$BH$2:$BR$2,$BH20:$BR20,0),0)</f>
        <v>0</v>
      </c>
      <c r="GP20" s="26">
        <f>IF(GP$2=InputTable[[#This Row],[Delivery Date]],_xlfn.XLOOKUP(GP$1,$BH$2:$BR$2,$BH20:$BR20,0),0)</f>
        <v>0</v>
      </c>
      <c r="GQ20" s="26">
        <f>IF(GQ$2=InputTable[[#This Row],[Delivery Date]],_xlfn.XLOOKUP(GQ$1,$BH$2:$BR$2,$BH20:$BR20,0),0)</f>
        <v>0</v>
      </c>
      <c r="GR20" s="26">
        <f>IF(GR$2=InputTable[[#This Row],[Delivery Date]],_xlfn.XLOOKUP(GR$1,$BH$2:$BR$2,$BH20:$BR20,0),0)</f>
        <v>0</v>
      </c>
      <c r="GS20" s="26">
        <f>IF(GS$2=InputTable[[#This Row],[Delivery Date]],_xlfn.XLOOKUP(GS$1,$BH$2:$BR$2,$BH20:$BR20,0),0)</f>
        <v>0</v>
      </c>
      <c r="GT20" s="26">
        <f>IF(GT$2=InputTable[[#This Row],[Delivery Date]],_xlfn.XLOOKUP(GT$1,$BH$2:$BR$2,$BH20:$BR20,0),0)</f>
        <v>0</v>
      </c>
      <c r="GV20" s="26" t="e">
        <f>IF(GV$2=InputTable[[#This Row],[Delivery Date]],_xlfn.XLOOKUP(GV$1,$BH$2:$BR$2,$BH20:$BR20,0),0)</f>
        <v>#REF!</v>
      </c>
      <c r="GW20" s="26">
        <f>IF(GW$2=InputTable[[#This Row],[Delivery Date]],_xlfn.XLOOKUP(GW$1,$BH$2:$BR$2,$BH20:$BR20,0),0)</f>
        <v>0</v>
      </c>
      <c r="GX20" s="26">
        <f>IF(GX$2=InputTable[[#This Row],[Delivery Date]],_xlfn.XLOOKUP(GX$1,$BH$2:$BR$2,$BH20:$BR20,0),0)</f>
        <v>0</v>
      </c>
      <c r="GY20" s="26">
        <f>IF(GY$2=InputTable[[#This Row],[Delivery Date]],_xlfn.XLOOKUP(GY$1,$BH$2:$BR$2,$BH20:$BR20,0),0)</f>
        <v>0</v>
      </c>
      <c r="GZ20" s="26">
        <f>IF(GZ$2=InputTable[[#This Row],[Delivery Date]],_xlfn.XLOOKUP(GZ$1,$BH$2:$BR$2,$BH20:$BR20,0),0)</f>
        <v>0</v>
      </c>
      <c r="HA20" s="26">
        <f>IF(HA$2=InputTable[[#This Row],[Delivery Date]],_xlfn.XLOOKUP(HA$1,$BH$2:$BR$2,$BH20:$BR20,0),0)</f>
        <v>0</v>
      </c>
      <c r="HB20" s="26">
        <f>IF(HB$2=InputTable[[#This Row],[Delivery Date]],_xlfn.XLOOKUP(HB$1,$BH$2:$BR$2,$BH20:$BR20,0),0)</f>
        <v>0</v>
      </c>
      <c r="HC20" s="26">
        <f>IF(HC$2=InputTable[[#This Row],[Delivery Date]],_xlfn.XLOOKUP(HC$1,$BH$2:$BR$2,$BH20:$BR20,0),0)</f>
        <v>0</v>
      </c>
      <c r="HD20" s="26">
        <f>IF(HD$2=InputTable[[#This Row],[Delivery Date]],_xlfn.XLOOKUP(HD$1,$BH$2:$BR$2,$BH20:$BR20,0),0)</f>
        <v>0</v>
      </c>
      <c r="HF20" s="26" t="e">
        <f>IF(HF$2=InputTable[[#This Row],[Delivery Date]],_xlfn.XLOOKUP(HF$1,$BH$2:$BR$2,$BH20:$BR20,0),0)</f>
        <v>#REF!</v>
      </c>
      <c r="HG20" s="26">
        <f>IF(HG$2=InputTable[[#This Row],[Delivery Date]],_xlfn.XLOOKUP(HG$1,$BH$2:$BR$2,$BH20:$BR20,0),0)</f>
        <v>0</v>
      </c>
      <c r="HH20" s="26">
        <f>IF(HH$2=InputTable[[#This Row],[Delivery Date]],_xlfn.XLOOKUP(HH$1,$BH$2:$BR$2,$BH20:$BR20,0),0)</f>
        <v>0</v>
      </c>
      <c r="HI20" s="26">
        <f>IF(HI$2=InputTable[[#This Row],[Delivery Date]],_xlfn.XLOOKUP(HI$1,$BH$2:$BR$2,$BH20:$BR20,0),0)</f>
        <v>0</v>
      </c>
      <c r="HJ20" s="26">
        <f>IF(HJ$2=InputTable[[#This Row],[Delivery Date]],_xlfn.XLOOKUP(HJ$1,$BH$2:$BR$2,$BH20:$BR20,0),0)</f>
        <v>0</v>
      </c>
      <c r="HK20" s="26">
        <f>IF(HK$2=InputTable[[#This Row],[Delivery Date]],_xlfn.XLOOKUP(HK$1,$BH$2:$BR$2,$BH20:$BR20,0),0)</f>
        <v>0</v>
      </c>
      <c r="HL20" s="26">
        <f>IF(HL$2=InputTable[[#This Row],[Delivery Date]],_xlfn.XLOOKUP(HL$1,$BH$2:$BR$2,$BH20:$BR20,0),0)</f>
        <v>0</v>
      </c>
      <c r="HM20" s="26">
        <f>IF(HM$2=InputTable[[#This Row],[Delivery Date]],_xlfn.XLOOKUP(HM$1,$BH$2:$BR$2,$BH20:$BR20,0),0)</f>
        <v>0</v>
      </c>
      <c r="HN20" s="26">
        <f>IF(HN$2=InputTable[[#This Row],[Delivery Date]],_xlfn.XLOOKUP(HN$1,$BH$2:$BR$2,$BH20:$BR20,0),0)</f>
        <v>0</v>
      </c>
      <c r="HP20" s="26" t="e">
        <f>IF(HP$2=InputTable[[#This Row],[Delivery Date]],_xlfn.XLOOKUP(HP$1,$BH$2:$BR$2,$BH20:$BR20,0),0)</f>
        <v>#REF!</v>
      </c>
      <c r="HQ20" s="26">
        <f>IF(HQ$2=InputTable[[#This Row],[Delivery Date]],_xlfn.XLOOKUP(HQ$1,$BH$2:$BR$2,$BH20:$BR20,0),0)</f>
        <v>0</v>
      </c>
      <c r="HR20" s="26">
        <f>IF(HR$2=InputTable[[#This Row],[Delivery Date]],_xlfn.XLOOKUP(HR$1,$BH$2:$BR$2,$BH20:$BR20,0),0)</f>
        <v>0</v>
      </c>
      <c r="HS20" s="26">
        <f>IF(HS$2=InputTable[[#This Row],[Delivery Date]],_xlfn.XLOOKUP(HS$1,$BH$2:$BR$2,$BH20:$BR20,0),0)</f>
        <v>0</v>
      </c>
      <c r="HT20" s="26">
        <f>IF(HT$2=InputTable[[#This Row],[Delivery Date]],_xlfn.XLOOKUP(HT$1,$BH$2:$BR$2,$BH20:$BR20,0),0)</f>
        <v>0</v>
      </c>
      <c r="HU20" s="26">
        <f>IF(HU$2=InputTable[[#This Row],[Delivery Date]],_xlfn.XLOOKUP(HU$1,$BH$2:$BR$2,$BH20:$BR20,0),0)</f>
        <v>0</v>
      </c>
      <c r="HV20" s="26">
        <f>IF(HV$2=InputTable[[#This Row],[Delivery Date]],_xlfn.XLOOKUP(HV$1,$BH$2:$BR$2,$BH20:$BR20,0),0)</f>
        <v>0</v>
      </c>
      <c r="HW20" s="26">
        <f>IF(HW$2=InputTable[[#This Row],[Delivery Date]],_xlfn.XLOOKUP(HW$1,$BH$2:$BR$2,$BH20:$BR20,0),0)</f>
        <v>0</v>
      </c>
      <c r="HX20" s="26">
        <f>IF(HX$2=InputTable[[#This Row],[Delivery Date]],_xlfn.XLOOKUP(HX$1,$BH$2:$BR$2,$BH20:$BR20,0),0)</f>
        <v>0</v>
      </c>
      <c r="HZ20" s="26" t="e">
        <f>IF(HZ$2=InputTable[[#This Row],[Delivery Date]],_xlfn.XLOOKUP(HZ$1,$BH$2:$BR$2,$BH20:$BR20,0),0)</f>
        <v>#REF!</v>
      </c>
      <c r="IA20" s="26">
        <f>IF(IA$2=InputTable[[#This Row],[Delivery Date]],_xlfn.XLOOKUP(IA$1,$BH$2:$BR$2,$BH20:$BR20,0),0)</f>
        <v>0</v>
      </c>
      <c r="IB20" s="26">
        <f>IF(IB$2=InputTable[[#This Row],[Delivery Date]],_xlfn.XLOOKUP(IB$1,$BH$2:$BR$2,$BH20:$BR20,0),0)</f>
        <v>0</v>
      </c>
      <c r="IC20" s="26">
        <f>IF(IC$2=InputTable[[#This Row],[Delivery Date]],_xlfn.XLOOKUP(IC$1,$BH$2:$BR$2,$BH20:$BR20,0),0)</f>
        <v>0</v>
      </c>
      <c r="ID20" s="26">
        <f>IF(ID$2=InputTable[[#This Row],[Delivery Date]],_xlfn.XLOOKUP(ID$1,$BH$2:$BR$2,$BH20:$BR20,0),0)</f>
        <v>0</v>
      </c>
      <c r="IE20" s="26">
        <f>IF(IE$2=InputTable[[#This Row],[Delivery Date]],_xlfn.XLOOKUP(IE$1,$BH$2:$BR$2,$BH20:$BR20,0),0)</f>
        <v>0</v>
      </c>
      <c r="IF20" s="26">
        <f>IF(IF$2=InputTable[[#This Row],[Delivery Date]],_xlfn.XLOOKUP(IF$1,$BH$2:$BR$2,$BH20:$BR20,0),0)</f>
        <v>0</v>
      </c>
      <c r="IG20" s="26">
        <f>IF(IG$2=InputTable[[#This Row],[Delivery Date]],_xlfn.XLOOKUP(IG$1,$BH$2:$BR$2,$BH20:$BR20,0),0)</f>
        <v>0</v>
      </c>
      <c r="IH20" s="26">
        <f>IF(IH$2=InputTable[[#This Row],[Delivery Date]],_xlfn.XLOOKUP(IH$1,$BH$2:$BR$2,$BH20:$BR20,0),0)</f>
        <v>0</v>
      </c>
      <c r="IJ20" s="26" t="e">
        <f>IF(IJ$2=InputTable[[#This Row],[Delivery Date]],_xlfn.XLOOKUP(IJ$1,$BH$2:$BR$2,$BH20:$BR20,0),0)</f>
        <v>#REF!</v>
      </c>
      <c r="IK20" s="26">
        <f>IF(IK$2=InputTable[[#This Row],[Delivery Date]],_xlfn.XLOOKUP(IK$1,$BH$2:$BR$2,$BH20:$BR20,0),0)</f>
        <v>0</v>
      </c>
      <c r="IL20" s="26">
        <f>IF(IL$2=InputTable[[#This Row],[Delivery Date]],_xlfn.XLOOKUP(IL$1,$BH$2:$BR$2,$BH20:$BR20,0),0)</f>
        <v>0</v>
      </c>
      <c r="IM20" s="26">
        <f>IF(IM$2=InputTable[[#This Row],[Delivery Date]],_xlfn.XLOOKUP(IM$1,$BH$2:$BR$2,$BH20:$BR20,0),0)</f>
        <v>0</v>
      </c>
      <c r="IN20" s="26">
        <f>IF(IN$2=InputTable[[#This Row],[Delivery Date]],_xlfn.XLOOKUP(IN$1,$BH$2:$BR$2,$BH20:$BR20,0),0)</f>
        <v>0</v>
      </c>
      <c r="IO20" s="26">
        <f>IF(IO$2=InputTable[[#This Row],[Delivery Date]],_xlfn.XLOOKUP(IO$1,$BH$2:$BR$2,$BH20:$BR20,0),0)</f>
        <v>0</v>
      </c>
      <c r="IP20" s="26">
        <f>IF(IP$2=InputTable[[#This Row],[Delivery Date]],_xlfn.XLOOKUP(IP$1,$BH$2:$BR$2,$BH20:$BR20,0),0)</f>
        <v>0</v>
      </c>
      <c r="IQ20" s="26">
        <f>IF(IQ$2=InputTable[[#This Row],[Delivery Date]],_xlfn.XLOOKUP(IQ$1,$BH$2:$BR$2,$BH20:$BR20,0),0)</f>
        <v>0</v>
      </c>
      <c r="IR20" s="26">
        <f>IF(IR$2=InputTable[[#This Row],[Delivery Date]],_xlfn.XLOOKUP(IR$1,$BH$2:$BR$2,$BH20:$BR20,0),0)</f>
        <v>0</v>
      </c>
      <c r="IT20" s="26" t="e">
        <f>IF(IT$2=InputTable[[#This Row],[Delivery Date]],_xlfn.XLOOKUP(IT$1,$BH$2:$BR$2,$BH20:$BR20,0),0)</f>
        <v>#REF!</v>
      </c>
      <c r="IU20" s="26">
        <f>IF(IU$2=InputTable[[#This Row],[Delivery Date]],_xlfn.XLOOKUP(IU$1,$BH$2:$BR$2,$BH20:$BR20,0),0)</f>
        <v>0</v>
      </c>
      <c r="IV20" s="26">
        <f>IF(IV$2=InputTable[[#This Row],[Delivery Date]],_xlfn.XLOOKUP(IV$1,$BH$2:$BR$2,$BH20:$BR20,0),0)</f>
        <v>0</v>
      </c>
      <c r="IW20" s="26">
        <f>IF(IW$2=InputTable[[#This Row],[Delivery Date]],_xlfn.XLOOKUP(IW$1,$BH$2:$BR$2,$BH20:$BR20,0),0)</f>
        <v>0</v>
      </c>
      <c r="IX20" s="26">
        <f>IF(IX$2=InputTable[[#This Row],[Delivery Date]],_xlfn.XLOOKUP(IX$1,$BH$2:$BR$2,$BH20:$BR20,0),0)</f>
        <v>0</v>
      </c>
      <c r="IY20" s="26">
        <f>IF(IY$2=InputTable[[#This Row],[Delivery Date]],_xlfn.XLOOKUP(IY$1,$BH$2:$BR$2,$BH20:$BR20,0),0)</f>
        <v>0</v>
      </c>
      <c r="IZ20" s="26">
        <f>IF(IZ$2=InputTable[[#This Row],[Delivery Date]],_xlfn.XLOOKUP(IZ$1,$BH$2:$BR$2,$BH20:$BR20,0),0)</f>
        <v>0</v>
      </c>
      <c r="JA20" s="26">
        <f>IF(JA$2=InputTable[[#This Row],[Delivery Date]],_xlfn.XLOOKUP(JA$1,$BH$2:$BR$2,$BH20:$BR20,0),0)</f>
        <v>0</v>
      </c>
      <c r="JB20" s="26">
        <f>IF(JB$2=InputTable[[#This Row],[Delivery Date]],_xlfn.XLOOKUP(JB$1,$BH$2:$BR$2,$BH20:$BR20,0),0)</f>
        <v>0</v>
      </c>
      <c r="JD20" s="26" t="e">
        <f>IF(JD$2=InputTable[[#This Row],[Delivery Date]],_xlfn.XLOOKUP(JD$1,$BH$2:$BR$2,$BH20:$BR20,0),0)</f>
        <v>#REF!</v>
      </c>
      <c r="JE20" s="26">
        <f>IF(JE$2=InputTable[[#This Row],[Delivery Date]],_xlfn.XLOOKUP(JE$1,$BH$2:$BR$2,$BH20:$BR20,0),0)</f>
        <v>0</v>
      </c>
      <c r="JF20" s="26">
        <f>IF(JF$2=InputTable[[#This Row],[Delivery Date]],_xlfn.XLOOKUP(JF$1,$BH$2:$BR$2,$BH20:$BR20,0),0)</f>
        <v>0</v>
      </c>
      <c r="JG20" s="26">
        <f>IF(JG$2=InputTable[[#This Row],[Delivery Date]],_xlfn.XLOOKUP(JG$1,$BH$2:$BR$2,$BH20:$BR20,0),0)</f>
        <v>0</v>
      </c>
      <c r="JH20" s="26">
        <f>IF(JH$2=InputTable[[#This Row],[Delivery Date]],_xlfn.XLOOKUP(JH$1,$BH$2:$BR$2,$BH20:$BR20,0),0)</f>
        <v>0</v>
      </c>
      <c r="JI20" s="26">
        <f>IF(JI$2=InputTable[[#This Row],[Delivery Date]],_xlfn.XLOOKUP(JI$1,$BH$2:$BR$2,$BH20:$BR20,0),0)</f>
        <v>0</v>
      </c>
      <c r="JJ20" s="26">
        <f>IF(JJ$2=InputTable[[#This Row],[Delivery Date]],_xlfn.XLOOKUP(JJ$1,$BH$2:$BR$2,$BH20:$BR20,0),0)</f>
        <v>0</v>
      </c>
      <c r="JK20" s="26">
        <f>IF(JK$2=InputTable[[#This Row],[Delivery Date]],_xlfn.XLOOKUP(JK$1,$BH$2:$BR$2,$BH20:$BR20,0),0)</f>
        <v>0</v>
      </c>
      <c r="JL20" s="26">
        <f>IF(JL$2=InputTable[[#This Row],[Delivery Date]],_xlfn.XLOOKUP(JL$1,$BH$2:$BR$2,$BH20:$BR20,0),0)</f>
        <v>0</v>
      </c>
      <c r="JN20" s="26" t="e">
        <f>IF(JN$2=InputTable[[#This Row],[Delivery Date]],_xlfn.XLOOKUP(JN$1,$BH$2:$BR$2,$BH20:$BR20,0),0)</f>
        <v>#REF!</v>
      </c>
      <c r="JO20" s="26">
        <f>IF(JO$2=InputTable[[#This Row],[Delivery Date]],_xlfn.XLOOKUP(JO$1,$BH$2:$BR$2,$BH20:$BR20,0),0)</f>
        <v>0</v>
      </c>
      <c r="JP20" s="26">
        <f>IF(JP$2=InputTable[[#This Row],[Delivery Date]],_xlfn.XLOOKUP(JP$1,$BH$2:$BR$2,$BH20:$BR20,0),0)</f>
        <v>0</v>
      </c>
      <c r="JQ20" s="26">
        <f>IF(JQ$2=InputTable[[#This Row],[Delivery Date]],_xlfn.XLOOKUP(JQ$1,$BH$2:$BR$2,$BH20:$BR20,0),0)</f>
        <v>0</v>
      </c>
      <c r="JR20" s="26">
        <f>IF(JR$2=InputTable[[#This Row],[Delivery Date]],_xlfn.XLOOKUP(JR$1,$BH$2:$BR$2,$BH20:$BR20,0),0)</f>
        <v>0</v>
      </c>
      <c r="JS20" s="26">
        <f>IF(JS$2=InputTable[[#This Row],[Delivery Date]],_xlfn.XLOOKUP(JS$1,$BH$2:$BR$2,$BH20:$BR20,0),0)</f>
        <v>0</v>
      </c>
      <c r="JT20" s="26">
        <f>IF(JT$2=InputTable[[#This Row],[Delivery Date]],_xlfn.XLOOKUP(JT$1,$BH$2:$BR$2,$BH20:$BR20,0),0)</f>
        <v>0</v>
      </c>
      <c r="JU20" s="26">
        <f>IF(JU$2=InputTable[[#This Row],[Delivery Date]],_xlfn.XLOOKUP(JU$1,$BH$2:$BR$2,$BH20:$BR20,0),0)</f>
        <v>0</v>
      </c>
      <c r="JV20" s="26">
        <f>IF(JV$2=InputTable[[#This Row],[Delivery Date]],_xlfn.XLOOKUP(JV$1,$BH$2:$BR$2,$BH20:$BR20,0),0)</f>
        <v>0</v>
      </c>
      <c r="JX20" s="26" t="e">
        <f>IF(JX$2=InputTable[[#This Row],[Delivery Date]],_xlfn.XLOOKUP(JX$1,$BH$2:$BR$2,$BH20:$BR20,0),0)</f>
        <v>#REF!</v>
      </c>
      <c r="JY20" s="26">
        <f>IF(JY$2=InputTable[[#This Row],[Delivery Date]],_xlfn.XLOOKUP(JY$1,$BH$2:$BR$2,$BH20:$BR20,0),0)</f>
        <v>0</v>
      </c>
      <c r="JZ20" s="26">
        <f>IF(JZ$2=InputTable[[#This Row],[Delivery Date]],_xlfn.XLOOKUP(JZ$1,$BH$2:$BR$2,$BH20:$BR20,0),0)</f>
        <v>0</v>
      </c>
      <c r="KA20" s="26">
        <f>IF(KA$2=InputTable[[#This Row],[Delivery Date]],_xlfn.XLOOKUP(KA$1,$BH$2:$BR$2,$BH20:$BR20,0),0)</f>
        <v>0</v>
      </c>
      <c r="KB20" s="26">
        <f>IF(KB$2=InputTable[[#This Row],[Delivery Date]],_xlfn.XLOOKUP(KB$1,$BH$2:$BR$2,$BH20:$BR20,0),0)</f>
        <v>0</v>
      </c>
      <c r="KC20" s="26">
        <f>IF(KC$2=InputTable[[#This Row],[Delivery Date]],_xlfn.XLOOKUP(KC$1,$BH$2:$BR$2,$BH20:$BR20,0),0)</f>
        <v>0</v>
      </c>
      <c r="KD20" s="26">
        <f>IF(KD$2=InputTable[[#This Row],[Delivery Date]],_xlfn.XLOOKUP(KD$1,$BH$2:$BR$2,$BH20:$BR20,0),0)</f>
        <v>0</v>
      </c>
      <c r="KE20" s="26">
        <f>IF(KE$2=InputTable[[#This Row],[Delivery Date]],_xlfn.XLOOKUP(KE$1,$BH$2:$BR$2,$BH20:$BR20,0),0)</f>
        <v>0</v>
      </c>
      <c r="KF20" s="26">
        <f>IF(KF$2=InputTable[[#This Row],[Delivery Date]],_xlfn.XLOOKUP(KF$1,$BH$2:$BR$2,$BH20:$BR20,0),0)</f>
        <v>0</v>
      </c>
    </row>
    <row r="21" spans="1:292" ht="39.6" hidden="1" customHeight="1" x14ac:dyDescent="0.25">
      <c r="A21" s="141" t="s">
        <v>142</v>
      </c>
      <c r="B21" s="141" t="s">
        <v>114</v>
      </c>
      <c r="C21" s="92" t="s">
        <v>61</v>
      </c>
      <c r="D21" s="125" t="s">
        <v>171</v>
      </c>
      <c r="E21" s="193" t="s">
        <v>172</v>
      </c>
      <c r="F21" s="92" t="s">
        <v>61</v>
      </c>
      <c r="G21" s="114">
        <v>2026</v>
      </c>
      <c r="H21" s="92" t="s">
        <v>100</v>
      </c>
      <c r="I21" s="92">
        <v>2026</v>
      </c>
      <c r="J21" s="125"/>
      <c r="K21" s="95" t="str">
        <f>VLOOKUP((InputTable[[#This Row],[Starting Date]]&amp; " - " &amp;InputTable[[#This Row],[Delivery Date]]),'System List'!$F$40:$H$83,2,FALSE)</f>
        <v>1 to 2 years</v>
      </c>
      <c r="L21" s="95">
        <f>VLOOKUP(InputTable[[#This Row],[Duration]],Duration,2,FALSE)</f>
        <v>8</v>
      </c>
      <c r="M21" s="125" t="s">
        <v>110</v>
      </c>
      <c r="N21" s="92" t="s">
        <v>139</v>
      </c>
      <c r="O21" s="92" t="s">
        <v>111</v>
      </c>
      <c r="P21" s="92" t="s">
        <v>139</v>
      </c>
      <c r="Q21" s="92" t="s">
        <v>111</v>
      </c>
      <c r="R21" s="92"/>
      <c r="S21" s="92"/>
      <c r="T21" s="172" cm="1">
        <f t="array" ref="T2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4.7</v>
      </c>
      <c r="U21" s="138"/>
      <c r="V21" s="92"/>
      <c r="W21" s="92"/>
      <c r="X21" s="92" t="s">
        <v>111</v>
      </c>
      <c r="Y21" s="92"/>
      <c r="Z21" s="92"/>
      <c r="AA21" s="92" t="s">
        <v>111</v>
      </c>
      <c r="AB21" s="92"/>
      <c r="AC21" s="92"/>
      <c r="AD21" s="92">
        <f>COUNTA(InputTable[[#This Row],[CORPHRFIN]:[SALES]])</f>
        <v>2</v>
      </c>
      <c r="AE21" s="88" cm="1">
        <f t="array" ref="AE21">SUM(
_xlfn.XLOOKUP(InputTable[[#This Row],[CORPHRFIN]:[SALES]],'System List'!$F$4:$F$7,'System List'!$H$4:$H$7,0))</f>
        <v>10</v>
      </c>
      <c r="AF21" s="140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88" cm="1">
        <f t="array" ref="AR21">SUM(
_xlfn.XLOOKUP(InputTable[[#This Row],[Impact on - CIAL]:[Impact on - STRAT]],'System List'!$F$4:$F$7,'System List'!$H$4:$H$7,0))</f>
        <v>0</v>
      </c>
      <c r="AS21" s="88">
        <f>VLOOKUP(InputTable[[#This Row],[Duration]],Duration,2,FALSE)+InputTable[[#This Row],[Resource Score]]</f>
        <v>18</v>
      </c>
      <c r="AT21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26.923076923076923</v>
      </c>
      <c r="AU21" s="24">
        <f>InputTable[[#This Row],[Value Score]]/InputTable[[#This Row],[EFFORT SCORE]]*100</f>
        <v>26.111111111111114</v>
      </c>
      <c r="AV21" s="25" t="str">
        <f>InputTable[[#This Row],[IS Portfolio Ref ID]]</f>
        <v>ISPRJ-12</v>
      </c>
      <c r="AW21" s="25" t="s">
        <v>173</v>
      </c>
      <c r="AX21" s="208"/>
      <c r="AY21" s="25"/>
      <c r="AZ21" s="209">
        <v>0</v>
      </c>
      <c r="BA21" s="209">
        <v>300000</v>
      </c>
      <c r="BB21" s="209"/>
      <c r="BC21" s="189">
        <f>SUM(InputTable[[#This Row],[Opex IS Budget (full project)]]+InputTable[[#This Row],[Capex IS Budget (full project)]])</f>
        <v>300000</v>
      </c>
      <c r="BD21" s="188"/>
      <c r="BE21" s="188"/>
      <c r="BF21" s="70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T21" s="2"/>
      <c r="BU21" s="2"/>
      <c r="BV21" s="2"/>
      <c r="BW21" s="2"/>
      <c r="BX21" s="2"/>
      <c r="BY21" s="2"/>
      <c r="BZ21" s="2"/>
      <c r="CA21" s="2"/>
      <c r="CC21" s="2"/>
      <c r="CD21" s="2"/>
      <c r="CE21" s="2"/>
      <c r="CF21" s="2"/>
      <c r="CG21" s="2"/>
      <c r="CH21" s="2"/>
      <c r="CI21" s="2"/>
      <c r="CJ21" s="2"/>
      <c r="CK21" s="2"/>
      <c r="CN21" s="2"/>
      <c r="CO21" s="2"/>
      <c r="CP21" s="2"/>
      <c r="CQ21" s="2"/>
      <c r="CR21" s="2"/>
      <c r="CS21" s="2"/>
      <c r="CT21" s="2"/>
      <c r="CU21" s="2"/>
      <c r="CV21" s="2"/>
      <c r="CX21" s="26"/>
      <c r="CY21" s="26"/>
      <c r="CZ21" s="26"/>
      <c r="DA21" s="26"/>
      <c r="DB21" s="26"/>
      <c r="DC21" s="26"/>
      <c r="DD21" s="26"/>
      <c r="DE21" s="26"/>
      <c r="DF21" s="26"/>
      <c r="DH21" s="26"/>
      <c r="DI21" s="26"/>
      <c r="DJ21" s="26"/>
      <c r="DK21" s="26"/>
      <c r="DL21" s="26"/>
      <c r="DM21" s="26"/>
      <c r="DN21" s="26"/>
      <c r="DO21" s="26"/>
      <c r="DP21" s="26"/>
      <c r="DR21" s="26"/>
      <c r="DS21" s="26"/>
      <c r="DT21" s="26"/>
      <c r="DU21" s="26"/>
      <c r="DV21" s="26"/>
      <c r="DW21" s="26"/>
      <c r="DX21" s="26"/>
      <c r="DY21" s="26"/>
      <c r="DZ21" s="26"/>
      <c r="EB21" s="26"/>
      <c r="EC21" s="26"/>
      <c r="ED21" s="26"/>
      <c r="EE21" s="26"/>
      <c r="EF21" s="26"/>
      <c r="EG21" s="26"/>
      <c r="EH21" s="26"/>
      <c r="EI21" s="26"/>
      <c r="EJ21" s="26"/>
      <c r="EL21" s="26"/>
      <c r="EM21" s="26"/>
      <c r="EN21" s="26"/>
      <c r="EO21" s="26"/>
      <c r="EP21" s="26"/>
      <c r="EQ21" s="26"/>
      <c r="ER21" s="26"/>
      <c r="ES21" s="26"/>
      <c r="ET21" s="26"/>
      <c r="EV21" s="26"/>
      <c r="EW21" s="26"/>
      <c r="EX21" s="26"/>
      <c r="EY21" s="26"/>
      <c r="EZ21" s="26"/>
      <c r="FA21" s="26"/>
      <c r="FB21" s="26"/>
      <c r="FC21" s="26"/>
      <c r="FD21" s="26"/>
      <c r="FF21" s="26"/>
      <c r="FG21" s="26"/>
      <c r="FH21" s="26"/>
      <c r="FI21" s="26"/>
      <c r="FJ21" s="26"/>
      <c r="FK21" s="26"/>
      <c r="FL21" s="26"/>
      <c r="FM21" s="26"/>
      <c r="FN21" s="26"/>
      <c r="FP21" s="26"/>
      <c r="FQ21" s="26"/>
      <c r="FR21" s="26"/>
      <c r="FS21" s="26"/>
      <c r="FT21" s="26"/>
      <c r="FU21" s="26"/>
      <c r="FV21" s="26"/>
      <c r="FW21" s="26"/>
      <c r="FX21" s="26"/>
      <c r="GB21" s="26"/>
      <c r="GC21" s="26"/>
      <c r="GD21" s="26"/>
      <c r="GE21" s="26"/>
      <c r="GF21" s="26"/>
      <c r="GG21" s="26"/>
      <c r="GH21" s="26"/>
      <c r="GI21" s="26"/>
      <c r="GJ21" s="26"/>
      <c r="GL21" s="26"/>
      <c r="GM21" s="26"/>
      <c r="GN21" s="26"/>
      <c r="GO21" s="26"/>
      <c r="GP21" s="26"/>
      <c r="GQ21" s="26"/>
      <c r="GR21" s="26"/>
      <c r="GS21" s="26"/>
      <c r="GT21" s="26"/>
      <c r="GV21" s="26"/>
      <c r="GW21" s="26"/>
      <c r="GX21" s="26"/>
      <c r="GY21" s="26"/>
      <c r="GZ21" s="26"/>
      <c r="HA21" s="26"/>
      <c r="HB21" s="26"/>
      <c r="HC21" s="26"/>
      <c r="HD21" s="26"/>
      <c r="HF21" s="26"/>
      <c r="HG21" s="26"/>
      <c r="HH21" s="26"/>
      <c r="HI21" s="26"/>
      <c r="HJ21" s="26"/>
      <c r="HK21" s="26"/>
      <c r="HL21" s="26"/>
      <c r="HM21" s="26"/>
      <c r="HN21" s="26"/>
      <c r="HP21" s="26"/>
      <c r="HQ21" s="26"/>
      <c r="HR21" s="26"/>
      <c r="HS21" s="26"/>
      <c r="HT21" s="26"/>
      <c r="HU21" s="26"/>
      <c r="HV21" s="26"/>
      <c r="HW21" s="26"/>
      <c r="HX21" s="26"/>
      <c r="HZ21" s="26"/>
      <c r="IA21" s="26"/>
      <c r="IB21" s="26"/>
      <c r="IC21" s="26"/>
      <c r="ID21" s="26"/>
      <c r="IE21" s="26"/>
      <c r="IF21" s="26"/>
      <c r="IG21" s="26"/>
      <c r="IH21" s="26"/>
      <c r="IJ21" s="26"/>
      <c r="IK21" s="26"/>
      <c r="IL21" s="26"/>
      <c r="IM21" s="26"/>
      <c r="IN21" s="26"/>
      <c r="IO21" s="26"/>
      <c r="IP21" s="26"/>
      <c r="IQ21" s="26"/>
      <c r="IR21" s="26"/>
      <c r="IT21" s="26"/>
      <c r="IU21" s="26"/>
      <c r="IV21" s="26"/>
      <c r="IW21" s="26"/>
      <c r="IX21" s="26"/>
      <c r="IY21" s="26"/>
      <c r="IZ21" s="26"/>
      <c r="JA21" s="26"/>
      <c r="JB21" s="26"/>
      <c r="JD21" s="26"/>
      <c r="JE21" s="26"/>
      <c r="JF21" s="26"/>
      <c r="JG21" s="26"/>
      <c r="JH21" s="26"/>
      <c r="JI21" s="26"/>
      <c r="JJ21" s="26"/>
      <c r="JK21" s="26"/>
      <c r="JL21" s="26"/>
      <c r="JN21" s="26"/>
      <c r="JO21" s="26"/>
      <c r="JP21" s="26"/>
      <c r="JQ21" s="26"/>
      <c r="JR21" s="26"/>
      <c r="JS21" s="26"/>
      <c r="JT21" s="26"/>
      <c r="JU21" s="26"/>
      <c r="JV21" s="26"/>
      <c r="JX21" s="26"/>
      <c r="JY21" s="26"/>
      <c r="JZ21" s="26"/>
      <c r="KA21" s="26"/>
      <c r="KB21" s="26"/>
      <c r="KC21" s="26"/>
      <c r="KD21" s="26"/>
      <c r="KE21" s="26"/>
      <c r="KF21" s="26"/>
    </row>
    <row r="22" spans="1:292" ht="39.6" hidden="1" customHeight="1" x14ac:dyDescent="0.25">
      <c r="A22" s="141" t="s">
        <v>162</v>
      </c>
      <c r="B22" s="141" t="s">
        <v>156</v>
      </c>
      <c r="C22" s="92" t="s">
        <v>57</v>
      </c>
      <c r="D22" s="125" t="s">
        <v>174</v>
      </c>
      <c r="E22" s="193" t="s">
        <v>175</v>
      </c>
      <c r="F22" s="92" t="s">
        <v>159</v>
      </c>
      <c r="G22" s="92">
        <v>2024</v>
      </c>
      <c r="H22" s="92" t="s">
        <v>100</v>
      </c>
      <c r="I22" s="92" t="s">
        <v>160</v>
      </c>
      <c r="J22" s="125" t="s">
        <v>99</v>
      </c>
      <c r="K22" s="95" t="e">
        <f>VLOOKUP((InputTable[[#This Row],[Starting Date]]&amp; " - " &amp;InputTable[[#This Row],[Delivery Date]]),'System List'!$F$40:$H$83,2,FALSE)</f>
        <v>#N/A</v>
      </c>
      <c r="L22" s="95" t="e">
        <f>VLOOKUP(InputTable[[#This Row],[Duration]],Duration,2,FALSE)</f>
        <v>#N/A</v>
      </c>
      <c r="M22" s="125"/>
      <c r="N22" s="92"/>
      <c r="O22" s="92" t="s">
        <v>111</v>
      </c>
      <c r="P22" s="92" t="s">
        <v>139</v>
      </c>
      <c r="Q22" s="92" t="s">
        <v>139</v>
      </c>
      <c r="R22" s="92" t="s">
        <v>111</v>
      </c>
      <c r="S22" s="92"/>
      <c r="T22" s="172" cm="1">
        <f t="array" ref="T2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4.9000000000000004</v>
      </c>
      <c r="U22" s="138"/>
      <c r="V22" s="92"/>
      <c r="W22" s="92" t="s">
        <v>139</v>
      </c>
      <c r="X22" s="92" t="s">
        <v>111</v>
      </c>
      <c r="Y22" s="92" t="s">
        <v>139</v>
      </c>
      <c r="Z22" s="92" t="s">
        <v>139</v>
      </c>
      <c r="AA22" s="92"/>
      <c r="AB22" s="92"/>
      <c r="AC22" s="92" t="s">
        <v>139</v>
      </c>
      <c r="AD22" s="92">
        <f>COUNTA(InputTable[[#This Row],[CORPHRFIN]:[SALES]])</f>
        <v>5</v>
      </c>
      <c r="AE22" s="88" cm="1">
        <f t="array" ref="AE22">SUM(
_xlfn.XLOOKUP(InputTable[[#This Row],[CORPHRFIN]:[SALES]],'System List'!$F$4:$F$7,'System List'!$H$4:$H$7,0))</f>
        <v>37</v>
      </c>
      <c r="AF22" s="140"/>
      <c r="AG22" s="96"/>
      <c r="AH22" s="96"/>
      <c r="AI22" s="96"/>
      <c r="AJ22" s="96"/>
      <c r="AK22" s="96"/>
      <c r="AL22" s="96" t="s">
        <v>111</v>
      </c>
      <c r="AM22" s="96"/>
      <c r="AN22" s="96"/>
      <c r="AO22" s="96"/>
      <c r="AP22" s="96" t="s">
        <v>100</v>
      </c>
      <c r="AQ22" s="96"/>
      <c r="AR22" s="88" cm="1">
        <f t="array" ref="AR22">SUM(
_xlfn.XLOOKUP(InputTable[[#This Row],[Impact on - CIAL]:[Impact on - STRAT]],'System List'!$F$4:$F$7,'System List'!$H$4:$H$7,0))</f>
        <v>18</v>
      </c>
      <c r="AS22" s="88" t="e">
        <f>VLOOKUP(InputTable[[#This Row],[Duration]],Duration,2,FALSE)+InputTable[[#This Row],[Resource Score]]</f>
        <v>#N/A</v>
      </c>
      <c r="AT2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2" s="69" t="e">
        <f>InputTable[[#This Row],[Value Score]]/InputTable[[#This Row],[EFFORT SCORE]]*100</f>
        <v>#N/A</v>
      </c>
      <c r="AV22" s="25" t="str">
        <f>InputTable[[#This Row],[IS Portfolio Ref ID]]</f>
        <v>ISPRJ-8</v>
      </c>
      <c r="AW22" s="25" t="s">
        <v>166</v>
      </c>
      <c r="AX22" s="208" t="s">
        <v>176</v>
      </c>
      <c r="AY22" s="25">
        <v>1825</v>
      </c>
      <c r="AZ22" s="209">
        <f>154000*$AZ$1</f>
        <v>175005.6</v>
      </c>
      <c r="BA22" s="209">
        <f>(534000)*$AZ$1</f>
        <v>606837.60000000009</v>
      </c>
      <c r="BB22" s="209"/>
      <c r="BC22" s="189">
        <f>SUM(InputTable[[#This Row],[Opex IS Budget (full project)]]+InputTable[[#This Row],[Capex IS Budget (full project)]])</f>
        <v>781843.20000000007</v>
      </c>
      <c r="BD22" s="188">
        <v>7</v>
      </c>
      <c r="BE22" s="188">
        <v>4</v>
      </c>
      <c r="BF22" s="70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T22" s="2"/>
      <c r="BU22" s="2"/>
      <c r="BV22" s="2"/>
      <c r="BW22" s="2"/>
      <c r="BX22" s="2"/>
      <c r="BY22" s="2"/>
      <c r="BZ22" s="2"/>
      <c r="CA22" s="2"/>
      <c r="CC22" s="2"/>
      <c r="CD22" s="2"/>
      <c r="CE22" s="2"/>
      <c r="CF22" s="2"/>
      <c r="CG22" s="2"/>
      <c r="CH22" s="2"/>
      <c r="CI22" s="2"/>
      <c r="CJ22" s="2"/>
      <c r="CK22" s="2"/>
      <c r="CN22" s="2"/>
      <c r="CO22" s="2"/>
      <c r="CP22" s="2"/>
      <c r="CQ22" s="2"/>
      <c r="CR22" s="2"/>
      <c r="CS22" s="2"/>
      <c r="CT22" s="2"/>
      <c r="CU22" s="2"/>
      <c r="CV22" s="2"/>
      <c r="CX22" s="26"/>
      <c r="CY22" s="26"/>
      <c r="CZ22" s="26"/>
      <c r="DA22" s="26"/>
      <c r="DB22" s="26"/>
      <c r="DC22" s="26"/>
      <c r="DD22" s="26"/>
      <c r="DE22" s="26"/>
      <c r="DF22" s="26"/>
      <c r="DH22" s="26"/>
      <c r="DI22" s="26"/>
      <c r="DJ22" s="26"/>
      <c r="DK22" s="26"/>
      <c r="DL22" s="26"/>
      <c r="DM22" s="26"/>
      <c r="DN22" s="26"/>
      <c r="DO22" s="26"/>
      <c r="DP22" s="26"/>
      <c r="DR22" s="26"/>
      <c r="DS22" s="26"/>
      <c r="DT22" s="26"/>
      <c r="DU22" s="26"/>
      <c r="DV22" s="26"/>
      <c r="DW22" s="26"/>
      <c r="DX22" s="26"/>
      <c r="DY22" s="26"/>
      <c r="DZ22" s="26"/>
      <c r="EB22" s="26"/>
      <c r="EC22" s="26"/>
      <c r="ED22" s="26"/>
      <c r="EE22" s="26"/>
      <c r="EF22" s="26"/>
      <c r="EG22" s="26"/>
      <c r="EH22" s="26"/>
      <c r="EI22" s="26"/>
      <c r="EJ22" s="26"/>
      <c r="EL22" s="26"/>
      <c r="EM22" s="26"/>
      <c r="EN22" s="26"/>
      <c r="EO22" s="26"/>
      <c r="EP22" s="26"/>
      <c r="EQ22" s="26"/>
      <c r="ER22" s="26"/>
      <c r="ES22" s="26"/>
      <c r="ET22" s="26"/>
      <c r="EV22" s="26"/>
      <c r="EW22" s="26"/>
      <c r="EX22" s="26"/>
      <c r="EY22" s="26"/>
      <c r="EZ22" s="26"/>
      <c r="FA22" s="26"/>
      <c r="FB22" s="26"/>
      <c r="FC22" s="26"/>
      <c r="FD22" s="26"/>
      <c r="FF22" s="26"/>
      <c r="FG22" s="26"/>
      <c r="FH22" s="26"/>
      <c r="FI22" s="26"/>
      <c r="FJ22" s="26"/>
      <c r="FK22" s="26"/>
      <c r="FL22" s="26"/>
      <c r="FM22" s="26"/>
      <c r="FN22" s="26"/>
      <c r="FP22" s="26"/>
      <c r="FQ22" s="26"/>
      <c r="FR22" s="26"/>
      <c r="FS22" s="26"/>
      <c r="FT22" s="26"/>
      <c r="FU22" s="26"/>
      <c r="FV22" s="26"/>
      <c r="FW22" s="26"/>
      <c r="FX22" s="26"/>
      <c r="GB22" s="26"/>
      <c r="GC22" s="26"/>
      <c r="GD22" s="26"/>
      <c r="GE22" s="26"/>
      <c r="GF22" s="26"/>
      <c r="GG22" s="26"/>
      <c r="GH22" s="26"/>
      <c r="GI22" s="26"/>
      <c r="GJ22" s="26"/>
      <c r="GL22" s="26"/>
      <c r="GM22" s="26"/>
      <c r="GN22" s="26"/>
      <c r="GO22" s="26"/>
      <c r="GP22" s="26"/>
      <c r="GQ22" s="26"/>
      <c r="GR22" s="26"/>
      <c r="GS22" s="26"/>
      <c r="GT22" s="26"/>
      <c r="GV22" s="26"/>
      <c r="GW22" s="26"/>
      <c r="GX22" s="26"/>
      <c r="GY22" s="26"/>
      <c r="GZ22" s="26"/>
      <c r="HA22" s="26"/>
      <c r="HB22" s="26"/>
      <c r="HC22" s="26"/>
      <c r="HD22" s="26"/>
      <c r="HF22" s="26"/>
      <c r="HG22" s="26"/>
      <c r="HH22" s="26"/>
      <c r="HI22" s="26"/>
      <c r="HJ22" s="26"/>
      <c r="HK22" s="26"/>
      <c r="HL22" s="26"/>
      <c r="HM22" s="26"/>
      <c r="HN22" s="26"/>
      <c r="HP22" s="26"/>
      <c r="HQ22" s="26"/>
      <c r="HR22" s="26"/>
      <c r="HS22" s="26"/>
      <c r="HT22" s="26"/>
      <c r="HU22" s="26"/>
      <c r="HV22" s="26"/>
      <c r="HW22" s="26"/>
      <c r="HX22" s="26"/>
      <c r="HZ22" s="26"/>
      <c r="IA22" s="26"/>
      <c r="IB22" s="26"/>
      <c r="IC22" s="26"/>
      <c r="ID22" s="26"/>
      <c r="IE22" s="26"/>
      <c r="IF22" s="26"/>
      <c r="IG22" s="26"/>
      <c r="IH22" s="26"/>
      <c r="IJ22" s="26"/>
      <c r="IK22" s="26"/>
      <c r="IL22" s="26"/>
      <c r="IM22" s="26"/>
      <c r="IN22" s="26"/>
      <c r="IO22" s="26"/>
      <c r="IP22" s="26"/>
      <c r="IQ22" s="26"/>
      <c r="IR22" s="26"/>
      <c r="IT22" s="26"/>
      <c r="IU22" s="26"/>
      <c r="IV22" s="26"/>
      <c r="IW22" s="26"/>
      <c r="IX22" s="26"/>
      <c r="IY22" s="26"/>
      <c r="IZ22" s="26"/>
      <c r="JA22" s="26"/>
      <c r="JB22" s="26"/>
      <c r="JD22" s="26"/>
      <c r="JE22" s="26"/>
      <c r="JF22" s="26"/>
      <c r="JG22" s="26"/>
      <c r="JH22" s="26"/>
      <c r="JI22" s="26"/>
      <c r="JJ22" s="26"/>
      <c r="JK22" s="26"/>
      <c r="JL22" s="26"/>
      <c r="JN22" s="26"/>
      <c r="JO22" s="26"/>
      <c r="JP22" s="26"/>
      <c r="JQ22" s="26"/>
      <c r="JR22" s="26"/>
      <c r="JS22" s="26"/>
      <c r="JT22" s="26"/>
      <c r="JU22" s="26"/>
      <c r="JV22" s="26"/>
      <c r="JX22" s="26"/>
      <c r="JY22" s="26"/>
      <c r="JZ22" s="26"/>
      <c r="KA22" s="26"/>
      <c r="KB22" s="26"/>
      <c r="KC22" s="26"/>
      <c r="KD22" s="26"/>
      <c r="KE22" s="26"/>
      <c r="KF22" s="26"/>
    </row>
    <row r="23" spans="1:292" ht="39.6" customHeight="1" x14ac:dyDescent="0.25">
      <c r="A23" s="141" t="s">
        <v>162</v>
      </c>
      <c r="B23" s="141" t="s">
        <v>104</v>
      </c>
      <c r="C23" s="92" t="s">
        <v>61</v>
      </c>
      <c r="D23" s="125" t="s">
        <v>177</v>
      </c>
      <c r="E23" s="193" t="s">
        <v>178</v>
      </c>
      <c r="F23" s="92" t="s">
        <v>61</v>
      </c>
      <c r="G23" s="92" t="s">
        <v>193</v>
      </c>
      <c r="H23" s="92"/>
      <c r="I23" s="92">
        <v>2026</v>
      </c>
      <c r="J23" s="125"/>
      <c r="K23" s="95" t="e">
        <f>VLOOKUP((InputTable[[#This Row],[Starting Date]]&amp; " - " &amp;InputTable[[#This Row],[Delivery Date]]),'System List'!$F$40:$H$83,2,FALSE)</f>
        <v>#N/A</v>
      </c>
      <c r="L23" s="95" t="e">
        <f>VLOOKUP(InputTable[[#This Row],[Duration]],Duration,2,FALSE)</f>
        <v>#N/A</v>
      </c>
      <c r="M23" s="125"/>
      <c r="N23" s="92"/>
      <c r="O23" s="92"/>
      <c r="P23" s="92" t="s">
        <v>139</v>
      </c>
      <c r="Q23" s="92" t="s">
        <v>139</v>
      </c>
      <c r="R23" s="92" t="s">
        <v>139</v>
      </c>
      <c r="S23" s="92"/>
      <c r="T23" s="95" cm="1">
        <f t="array" ref="T2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4.8000000000000007</v>
      </c>
      <c r="U23" s="138"/>
      <c r="V23" s="92"/>
      <c r="W23" s="92"/>
      <c r="X23" s="92"/>
      <c r="Y23" s="92" t="s">
        <v>111</v>
      </c>
      <c r="Z23" s="92" t="s">
        <v>111</v>
      </c>
      <c r="AA23" s="92" t="s">
        <v>100</v>
      </c>
      <c r="AB23" s="92"/>
      <c r="AC23" s="92"/>
      <c r="AD23" s="92">
        <f>COUNTA(InputTable[[#This Row],[CORPHRFIN]:[SALES]])</f>
        <v>3</v>
      </c>
      <c r="AE23" s="88" cm="1">
        <f t="array" ref="AE23">SUM(
_xlfn.XLOOKUP(InputTable[[#This Row],[CORPHRFIN]:[SALES]],'System List'!$F$4:$F$7,'System List'!$H$4:$H$7,0))</f>
        <v>23</v>
      </c>
      <c r="AF23" s="140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88" cm="1">
        <f t="array" ref="AR23">SUM(
_xlfn.XLOOKUP(InputTable[[#This Row],[Impact on - CIAL]:[Impact on - STRAT]],'System List'!$F$4:$F$7,'System List'!$H$4:$H$7,0))</f>
        <v>0</v>
      </c>
      <c r="AS23" s="88" t="e">
        <f>VLOOKUP(InputTable[[#This Row],[Duration]],Duration,2,FALSE)+InputTable[[#This Row],[Resource Score]]</f>
        <v>#N/A</v>
      </c>
      <c r="AT2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3" s="69" t="e">
        <f>InputTable[[#This Row],[Value Score]]/InputTable[[#This Row],[EFFORT SCORE]]*100</f>
        <v>#N/A</v>
      </c>
      <c r="AV23" s="25" t="str">
        <f>InputTable[[#This Row],[IS Portfolio Ref ID]]</f>
        <v>ISPRJ-10</v>
      </c>
      <c r="AW23" s="25" t="s">
        <v>179</v>
      </c>
      <c r="AX23" s="208" t="s">
        <v>180</v>
      </c>
      <c r="AY23" s="25"/>
      <c r="AZ23" s="209">
        <v>0</v>
      </c>
      <c r="BA23" s="209">
        <v>6000000</v>
      </c>
      <c r="BB23" s="209"/>
      <c r="BC23" s="189">
        <f>SUM(InputTable[[#This Row],[Opex IS Budget (full project)]]+InputTable[[#This Row],[Capex IS Budget (full project)]])</f>
        <v>6000000</v>
      </c>
      <c r="BD23" s="188"/>
      <c r="BE23" s="188"/>
      <c r="BF23" s="70"/>
      <c r="BH23" s="2">
        <f>IFERROR(VLOOKUP(InputTable[[#This Row],[Impact on - CIAL]],'System List'!$F$4:$H$7,3,FALSE),0)</f>
        <v>0</v>
      </c>
      <c r="BI23" s="2">
        <f>IFERROR(VLOOKUP(InputTable[[#This Row],[Impact on - COM]],'System List'!$F$4:$H$7,3,FALSE),0)</f>
        <v>0</v>
      </c>
      <c r="BJ23" s="2">
        <f>IFERROR(VLOOKUP(InputTable[[#This Row],[Impact on - FIN]],'System List'!$F$4:$H$7,3,FALSE),0)</f>
        <v>0</v>
      </c>
      <c r="BK23" s="2">
        <f>IFERROR(VLOOKUP(InputTable[[#This Row],[Impact on - GEN SEC]],'System List'!$F$4:$H$7,3,FALSE),0)</f>
        <v>0</v>
      </c>
      <c r="BL23" s="2">
        <f>IFERROR(VLOOKUP(InputTable[[#This Row],[Impact on - HR]],'System List'!$F$4:$H$7,3,FALSE),0)</f>
        <v>0</v>
      </c>
      <c r="BM23" s="2">
        <f>IFERROR(VLOOKUP(InputTable[[#This Row],[Impact on - IS]],'System List'!$F$4:$H$7,3,FALSE),0)</f>
        <v>0</v>
      </c>
      <c r="BN23" s="2">
        <f>IFERROR(VLOOKUP(InputTable[[#This Row],[Impact on - OPS]],'System List'!$F$4:$H$7,3,FALSE),0)</f>
        <v>0</v>
      </c>
      <c r="BO23" s="2">
        <f>IFERROR(VLOOKUP(InputTable[[#This Row],[Impact on - ROLL STOCK]],'System List'!$F$4:$H$7,3,FALSE),0)</f>
        <v>0</v>
      </c>
      <c r="BP23" s="2">
        <f>IFERROR(VLOOKUP(InputTable[[#This Row],[Impact on - SAFETY]],'System List'!$F$4:$H$7,3,FALSE),0)</f>
        <v>0</v>
      </c>
      <c r="BQ23" s="2">
        <f>IFERROR(VLOOKUP(InputTable[[#This Row],[Impact on - STATION]],'System List'!$F$4:$H$7,3,FALSE),0)</f>
        <v>0</v>
      </c>
      <c r="BR23" s="2">
        <f>IFERROR(VLOOKUP(InputTable[[#This Row],[Impact on - STRAT]],'System List'!$F$4:$H$7,3,FALSE),0)</f>
        <v>0</v>
      </c>
      <c r="BT23" s="2">
        <f>IFERROR(VLOOKUP(InputTable[[#This Row],[CORPHRFIN]],'System List'!$F$4:$H$7,3,FALSE),0)</f>
        <v>0</v>
      </c>
      <c r="BU23" s="2">
        <f>IFERROR(VLOOKUP(InputTable[[#This Row],[CUST]],'System List'!$F$4:$H$7,3,FALSE),0)</f>
        <v>0</v>
      </c>
      <c r="BV23" s="2">
        <f>IFERROR(VLOOKUP(InputTable[[#This Row],[CYBER]],'System List'!$F$4:$H$7,3,FALSE),0)</f>
        <v>0</v>
      </c>
      <c r="BW23" s="2">
        <f>IFERROR(VLOOKUP(InputTable[[#This Row],[DATA]],'System List'!$F$4:$H$7,3,FALSE),0)</f>
        <v>5</v>
      </c>
      <c r="BX23" s="2">
        <f>IFERROR(VLOOKUP(InputTable[[#This Row],[INFRA]],'System List'!$F$4:$H$7,3,FALSE),0)</f>
        <v>5</v>
      </c>
      <c r="BY23" s="2">
        <f>IFERROR(VLOOKUP(InputTable[[#This Row],[OPERATIONS]],'System List'!$F$4:$H$7,3,FALSE),0)</f>
        <v>13</v>
      </c>
      <c r="BZ23" s="2">
        <f>IFERROR(VLOOKUP(InputTable[[#This Row],[PMO]],'System List'!$F$4:$H$7,3,FALSE),0)</f>
        <v>0</v>
      </c>
      <c r="CA23" s="2">
        <f>IFERROR(VLOOKUP(InputTable[[#This Row],[SALES]],'System List'!$F$4:$H$7,3,FALSE),0)</f>
        <v>0</v>
      </c>
      <c r="CC23" s="2" cm="1">
        <f t="array" ref="CC2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3" s="2" cm="1">
        <f t="array" ref="CD2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3" s="2" cm="1">
        <f t="array" ref="CE2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3" s="2" cm="1">
        <f t="array" ref="CF2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3" s="2" cm="1">
        <f t="array" ref="CG2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3" s="2" cm="1">
        <f t="array" ref="CH2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3" s="2" cm="1">
        <f t="array" ref="CI2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3" s="2" cm="1">
        <f t="array" ref="CJ2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3" s="2" cm="1">
        <f t="array" ref="CK2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3" s="26">
        <f t="shared" ref="CX23:CX38" si="78">CN23*_xlfn.XLOOKUP(CX$1,$BT$2:$CA$2,$BT23:$CA23,0)</f>
        <v>0</v>
      </c>
      <c r="CY23" s="26">
        <f t="shared" ref="CY23:CY38" si="79">CO23*_xlfn.XLOOKUP(CY$1,$BT$2:$CA$2,$BT23:$CA23,0)</f>
        <v>0</v>
      </c>
      <c r="CZ23" s="26">
        <f t="shared" ref="CZ23:CZ38" si="80">CP23*_xlfn.XLOOKUP(CZ$1,$BT$2:$CA$2,$BT23:$CA23,0)</f>
        <v>0</v>
      </c>
      <c r="DA23" s="26">
        <f t="shared" ref="DA23:DA38" si="81">CQ23*_xlfn.XLOOKUP(DA$1,$BT$2:$CA$2,$BT23:$CA23,0)</f>
        <v>0</v>
      </c>
      <c r="DB23" s="26">
        <f t="shared" ref="DB23:DB38" si="82">CR23*_xlfn.XLOOKUP(DB$1,$BT$2:$CA$2,$BT23:$CA23,0)</f>
        <v>0</v>
      </c>
      <c r="DC23" s="26">
        <f t="shared" ref="DC23:DC38" si="83">CS23*_xlfn.XLOOKUP(DC$1,$BT$2:$CA$2,$BT23:$CA23,0)</f>
        <v>0</v>
      </c>
      <c r="DD23" s="26">
        <f t="shared" ref="DD23:DD38" si="84">CT23*_xlfn.XLOOKUP(DD$1,$BT$2:$CA$2,$BT23:$CA23,0)</f>
        <v>0</v>
      </c>
      <c r="DE23" s="26">
        <f t="shared" ref="DE23:DE38" si="85">CU23*_xlfn.XLOOKUP(DE$1,$BT$2:$CA$2,$BT23:$CA23,0)</f>
        <v>0</v>
      </c>
      <c r="DF23" s="26">
        <f t="shared" ref="DF23:DF38" si="86">CV23*_xlfn.XLOOKUP(DF$1,$BT$2:$CA$2,$BT23:$CA23,0)</f>
        <v>0</v>
      </c>
      <c r="DH23" s="26">
        <f t="shared" ref="DH23:DH38" si="87">$CN23*_xlfn.XLOOKUP(DH$1,$BT$2:$CA$2,$BT23:$CA23,0)</f>
        <v>0</v>
      </c>
      <c r="DI23" s="26">
        <f t="shared" ref="DI23:DI38" si="88">$CO23*_xlfn.XLOOKUP(DI$1,$BT$2:$CA$2,$BT23:$CA23,0)</f>
        <v>0</v>
      </c>
      <c r="DJ23" s="26">
        <f t="shared" ref="DJ23:DJ38" si="89">$CP23*_xlfn.XLOOKUP(DJ$1,$BT$2:$CA$2,$BT23:$CA23,0)</f>
        <v>0</v>
      </c>
      <c r="DK23" s="26">
        <f t="shared" ref="DK23:DK38" si="90">$CQ23*_xlfn.XLOOKUP(DK$1,$BT$2:$CA$2,$BT23:$CA23,0)</f>
        <v>0</v>
      </c>
      <c r="DL23" s="26">
        <f t="shared" ref="DL23:DL38" si="91">$CR23*_xlfn.XLOOKUP(DL$1,$BT$2:$CA$2,$BT23:$CA23,0)</f>
        <v>0</v>
      </c>
      <c r="DM23" s="26">
        <f t="shared" ref="DM23:DM38" si="92">$CS23*_xlfn.XLOOKUP(DM$1,$BT$2:$CA$2,$BT23:$CA23,0)</f>
        <v>0</v>
      </c>
      <c r="DN23" s="26">
        <f t="shared" ref="DN23:DN38" si="93">$CT23*_xlfn.XLOOKUP(DN$1,$BT$2:$CA$2,$BT23:$CA23,0)</f>
        <v>0</v>
      </c>
      <c r="DO23" s="26">
        <f t="shared" ref="DO23:DO38" si="94">$CU23*_xlfn.XLOOKUP(DO$1,$BT$2:$CA$2,$BT23:$CA23,0)</f>
        <v>0</v>
      </c>
      <c r="DP23" s="26">
        <f t="shared" ref="DP23:DP38" si="95">$CV23*_xlfn.XLOOKUP(DP$1,$BT$2:$CA$2,$BT23:$CA23,0)</f>
        <v>0</v>
      </c>
      <c r="DR23" s="26">
        <f t="shared" ref="DR23:DR38" si="96">$CN23*_xlfn.XLOOKUP(DR$1,$BT$2:$CA$2,$BT23:$CA23,0)</f>
        <v>0</v>
      </c>
      <c r="DS23" s="26">
        <f t="shared" ref="DS23:DS38" si="97">$CO23*_xlfn.XLOOKUP(DS$1,$BT$2:$CA$2,$BT23:$CA23,0)</f>
        <v>0</v>
      </c>
      <c r="DT23" s="26">
        <f t="shared" ref="DT23:DT38" si="98">$CP23*_xlfn.XLOOKUP(DT$1,$BT$2:$CA$2,$BT23:$CA23,0)</f>
        <v>0</v>
      </c>
      <c r="DU23" s="26">
        <f t="shared" ref="DU23:DU38" si="99">$CQ23*_xlfn.XLOOKUP(DU$1,$BT$2:$CA$2,$BT23:$CA23,0)</f>
        <v>0</v>
      </c>
      <c r="DV23" s="26">
        <f t="shared" ref="DV23:DV38" si="100">$CR23*_xlfn.XLOOKUP(DV$1,$BT$2:$CA$2,$BT23:$CA23,0)</f>
        <v>0</v>
      </c>
      <c r="DW23" s="26">
        <f t="shared" ref="DW23:DW38" si="101">$CS23*_xlfn.XLOOKUP(DW$1,$BT$2:$CA$2,$BT23:$CA23,0)</f>
        <v>0</v>
      </c>
      <c r="DX23" s="26">
        <f t="shared" ref="DX23:DX38" si="102">$CT23*_xlfn.XLOOKUP(DX$1,$BT$2:$CA$2,$BT23:$CA23,0)</f>
        <v>0</v>
      </c>
      <c r="DY23" s="26">
        <f t="shared" ref="DY23:DY38" si="103">$CU23*_xlfn.XLOOKUP(DY$1,$BT$2:$CA$2,$BT23:$CA23,0)</f>
        <v>0</v>
      </c>
      <c r="DZ23" s="26">
        <f t="shared" ref="DZ23:DZ38" si="104">$CV23*_xlfn.XLOOKUP(DZ$1,$BT$2:$CA$2,$BT23:$CA23,0)</f>
        <v>0</v>
      </c>
      <c r="EB23" s="26">
        <f t="shared" ref="EB23:EB38" si="105">$CN23*_xlfn.XLOOKUP(EB$1,$BT$2:$CA$2,$BT23:$CA23,0)</f>
        <v>0</v>
      </c>
      <c r="EC23" s="26">
        <f t="shared" ref="EC23:EC38" si="106">$CO23*_xlfn.XLOOKUP(EC$1,$BT$2:$CA$2,$BT23:$CA23,0)</f>
        <v>0</v>
      </c>
      <c r="ED23" s="26">
        <f t="shared" ref="ED23:ED38" si="107">$CP23*_xlfn.XLOOKUP(ED$1,$BT$2:$CA$2,$BT23:$CA23,0)</f>
        <v>0</v>
      </c>
      <c r="EE23" s="26">
        <f t="shared" ref="EE23:EE38" si="108">$CQ23*_xlfn.XLOOKUP(EE$1,$BT$2:$CA$2,$BT23:$CA23,0)</f>
        <v>0</v>
      </c>
      <c r="EF23" s="26">
        <f t="shared" ref="EF23:EF38" si="109">$CR23*_xlfn.XLOOKUP(EF$1,$BT$2:$CA$2,$BT23:$CA23,0)</f>
        <v>0</v>
      </c>
      <c r="EG23" s="26">
        <f t="shared" ref="EG23:EG38" si="110">$CS23*_xlfn.XLOOKUP(EG$1,$BT$2:$CA$2,$BT23:$CA23,0)</f>
        <v>0</v>
      </c>
      <c r="EH23" s="26">
        <f t="shared" ref="EH23:EH38" si="111">$CT23*_xlfn.XLOOKUP(EH$1,$BT$2:$CA$2,$BT23:$CA23,0)</f>
        <v>0</v>
      </c>
      <c r="EI23" s="26">
        <f t="shared" ref="EI23:EI38" si="112">$CU23*_xlfn.XLOOKUP(EI$1,$BT$2:$CA$2,$BT23:$CA23,0)</f>
        <v>0</v>
      </c>
      <c r="EJ23" s="26">
        <f t="shared" ref="EJ23:EJ38" si="113">$CV23*_xlfn.XLOOKUP(EJ$1,$BT$2:$CA$2,$BT23:$CA23,0)</f>
        <v>0</v>
      </c>
      <c r="EL23" s="26">
        <f t="shared" ref="EL23:EL38" si="114">$CN23*_xlfn.XLOOKUP(EL$1,$BT$2:$CA$2,$BT23:$CA23,0)</f>
        <v>0</v>
      </c>
      <c r="EM23" s="26">
        <f t="shared" ref="EM23:EM38" si="115">$CO23*_xlfn.XLOOKUP(EM$1,$BT$2:$CA$2,$BT23:$CA23,0)</f>
        <v>0</v>
      </c>
      <c r="EN23" s="26">
        <f t="shared" ref="EN23:EN38" si="116">$CP23*_xlfn.XLOOKUP(EN$1,$BT$2:$CA$2,$BT23:$CA23,0)</f>
        <v>0</v>
      </c>
      <c r="EO23" s="26">
        <f t="shared" ref="EO23:EO38" si="117">$CQ23*_xlfn.XLOOKUP(EO$1,$BT$2:$CA$2,$BT23:$CA23,0)</f>
        <v>0</v>
      </c>
      <c r="EP23" s="26">
        <f t="shared" ref="EP23:EP38" si="118">$CR23*_xlfn.XLOOKUP(EP$1,$BT$2:$CA$2,$BT23:$CA23,0)</f>
        <v>0</v>
      </c>
      <c r="EQ23" s="26">
        <f t="shared" ref="EQ23:EQ38" si="119">$CS23*_xlfn.XLOOKUP(EQ$1,$BT$2:$CA$2,$BT23:$CA23,0)</f>
        <v>0</v>
      </c>
      <c r="ER23" s="26">
        <f t="shared" ref="ER23:ER38" si="120">$CT23*_xlfn.XLOOKUP(ER$1,$BT$2:$CA$2,$BT23:$CA23,0)</f>
        <v>0</v>
      </c>
      <c r="ES23" s="26">
        <f t="shared" ref="ES23:ES38" si="121">$CU23*_xlfn.XLOOKUP(ES$1,$BT$2:$CA$2,$BT23:$CA23,0)</f>
        <v>0</v>
      </c>
      <c r="ET23" s="26">
        <f t="shared" ref="ET23:ET38" si="122">$CV23*_xlfn.XLOOKUP(ET$1,$BT$2:$CA$2,$BT23:$CA23,0)</f>
        <v>0</v>
      </c>
      <c r="EV23" s="26">
        <f t="shared" ref="EV23:EV38" si="123">$CN23*_xlfn.XLOOKUP(EV$1,$BT$2:$CA$2,$BT23:$CA23,0)</f>
        <v>0</v>
      </c>
      <c r="EW23" s="26">
        <f t="shared" ref="EW23:EW38" si="124">$CO23*_xlfn.XLOOKUP(EW$1,$BT$2:$CA$2,$BT23:$CA23,0)</f>
        <v>0</v>
      </c>
      <c r="EX23" s="26">
        <f t="shared" ref="EX23:EX38" si="125">$CP23*_xlfn.XLOOKUP(EX$1,$BT$2:$CA$2,$BT23:$CA23,0)</f>
        <v>0</v>
      </c>
      <c r="EY23" s="26">
        <f t="shared" ref="EY23:EY38" si="126">$CQ23*_xlfn.XLOOKUP(EY$1,$BT$2:$CA$2,$BT23:$CA23,0)</f>
        <v>0</v>
      </c>
      <c r="EZ23" s="26">
        <f t="shared" ref="EZ23:EZ38" si="127">$CR23*_xlfn.XLOOKUP(EZ$1,$BT$2:$CA$2,$BT23:$CA23,0)</f>
        <v>0</v>
      </c>
      <c r="FA23" s="26">
        <f t="shared" ref="FA23:FA38" si="128">$CS23*_xlfn.XLOOKUP(FA$1,$BT$2:$CA$2,$BT23:$CA23,0)</f>
        <v>0</v>
      </c>
      <c r="FB23" s="26">
        <f t="shared" ref="FB23:FB38" si="129">$CT23*_xlfn.XLOOKUP(FB$1,$BT$2:$CA$2,$BT23:$CA23,0)</f>
        <v>0</v>
      </c>
      <c r="FC23" s="26">
        <f t="shared" ref="FC23:FC38" si="130">$CU23*_xlfn.XLOOKUP(FC$1,$BT$2:$CA$2,$BT23:$CA23,0)</f>
        <v>0</v>
      </c>
      <c r="FD23" s="26">
        <f t="shared" ref="FD23:FD38" si="131">$CV23*_xlfn.XLOOKUP(FD$1,$BT$2:$CA$2,$BT23:$CA23,0)</f>
        <v>0</v>
      </c>
      <c r="FF23" s="26">
        <f t="shared" ref="FF23:FF38" si="132">$CN23*_xlfn.XLOOKUP(FF$1,$BT$2:$CA$2,$BT23:$CA23,0)</f>
        <v>0</v>
      </c>
      <c r="FG23" s="26">
        <f t="shared" ref="FG23:FG38" si="133">$CO23*_xlfn.XLOOKUP(FG$1,$BT$2:$CA$2,$BT23:$CA23,0)</f>
        <v>0</v>
      </c>
      <c r="FH23" s="26">
        <f t="shared" ref="FH23:FH38" si="134">$CP23*_xlfn.XLOOKUP(FH$1,$BT$2:$CA$2,$BT23:$CA23,0)</f>
        <v>0</v>
      </c>
      <c r="FI23" s="26">
        <f t="shared" ref="FI23:FI38" si="135">$CQ23*_xlfn.XLOOKUP(FI$1,$BT$2:$CA$2,$BT23:$CA23,0)</f>
        <v>0</v>
      </c>
      <c r="FJ23" s="26">
        <f t="shared" ref="FJ23:FJ38" si="136">$CR23*_xlfn.XLOOKUP(FJ$1,$BT$2:$CA$2,$BT23:$CA23,0)</f>
        <v>0</v>
      </c>
      <c r="FK23" s="26">
        <f t="shared" ref="FK23:FK38" si="137">$CS23*_xlfn.XLOOKUP(FK$1,$BT$2:$CA$2,$BT23:$CA23,0)</f>
        <v>0</v>
      </c>
      <c r="FL23" s="26">
        <f t="shared" ref="FL23:FL38" si="138">$CT23*_xlfn.XLOOKUP(FL$1,$BT$2:$CA$2,$BT23:$CA23,0)</f>
        <v>0</v>
      </c>
      <c r="FM23" s="26">
        <f t="shared" ref="FM23:FM38" si="139">$CU23*_xlfn.XLOOKUP(FM$1,$BT$2:$CA$2,$BT23:$CA23,0)</f>
        <v>0</v>
      </c>
      <c r="FN23" s="26">
        <f t="shared" ref="FN23:FN38" si="140">$CV23*_xlfn.XLOOKUP(FN$1,$BT$2:$CA$2,$BT23:$CA23,0)</f>
        <v>0</v>
      </c>
      <c r="FP23" s="26" t="e">
        <f t="shared" ref="FP23:FP38" si="141">$CN23*_xlfn.XLOOKUP(FP$1,$BT$2:$CA$2,$BT23:$CA23,0)</f>
        <v>#REF!</v>
      </c>
      <c r="FQ23" s="26" t="e">
        <f t="shared" ref="FQ23:FQ38" si="142">$CO23*_xlfn.XLOOKUP(FQ$1,$BT$2:$CA$2,$BT23:$CA23,0)</f>
        <v>#REF!</v>
      </c>
      <c r="FR23" s="26" t="e">
        <f t="shared" ref="FR23:FR38" si="143">$CP23*_xlfn.XLOOKUP(FR$1,$BT$2:$CA$2,$BT23:$CA23,0)</f>
        <v>#REF!</v>
      </c>
      <c r="FS23" s="26" t="e">
        <f t="shared" ref="FS23:FS38" si="144">$CQ23*_xlfn.XLOOKUP(FS$1,$BT$2:$CA$2,$BT23:$CA23,0)</f>
        <v>#REF!</v>
      </c>
      <c r="FT23" s="26" t="e">
        <f t="shared" ref="FT23:FT38" si="145">$CR23*_xlfn.XLOOKUP(FT$1,$BT$2:$CA$2,$BT23:$CA23,0)</f>
        <v>#REF!</v>
      </c>
      <c r="FU23" s="26" t="e">
        <f t="shared" ref="FU23:FU38" si="146">$CS23*_xlfn.XLOOKUP(FU$1,$BT$2:$CA$2,$BT23:$CA23,0)</f>
        <v>#REF!</v>
      </c>
      <c r="FV23" s="26" t="e">
        <f t="shared" ref="FV23:FV38" si="147">$CT23*_xlfn.XLOOKUP(FV$1,$BT$2:$CA$2,$BT23:$CA23,0)</f>
        <v>#REF!</v>
      </c>
      <c r="FW23" s="26" t="e">
        <f t="shared" ref="FW23:FW38" si="148">$CU23*_xlfn.XLOOKUP(FW$1,$BT$2:$CA$2,$BT23:$CA23,0)</f>
        <v>#REF!</v>
      </c>
      <c r="FX23" s="26" t="e">
        <f t="shared" ref="FX23:FX38" si="149">$CV23*_xlfn.XLOOKUP(FX$1,$BT$2:$CA$2,$BT23:$CA23,0)</f>
        <v>#REF!</v>
      </c>
      <c r="GB23" s="26" t="e">
        <f>IF(GB$2=InputTable[[#This Row],[Delivery Date]],_xlfn.XLOOKUP(GB$1,$BH$2:$BR$2,$BH23:$BR23,0),0)</f>
        <v>#REF!</v>
      </c>
      <c r="GC23" s="26">
        <f>IF(GC$2=InputTable[[#This Row],[Delivery Date]],_xlfn.XLOOKUP(GC$1,$BH$2:$BR$2,$BH23:$BR23,0),0)</f>
        <v>0</v>
      </c>
      <c r="GD23" s="26">
        <f>IF(GD$2=InputTable[[#This Row],[Delivery Date]],_xlfn.XLOOKUP(GD$1,$BH$2:$BR$2,$BH23:$BR23,0),0)</f>
        <v>0</v>
      </c>
      <c r="GE23" s="26">
        <f>IF(GE$2=InputTable[[#This Row],[Delivery Date]],_xlfn.XLOOKUP(GE$1,$BH$2:$BR$2,$BH23:$BR23,0),0)</f>
        <v>0</v>
      </c>
      <c r="GF23" s="26">
        <f>IF(GF$2=InputTable[[#This Row],[Delivery Date]],_xlfn.XLOOKUP(GF$1,$BH$2:$BR$2,$BH23:$BR23,0),0)</f>
        <v>0</v>
      </c>
      <c r="GG23" s="26">
        <f>IF(GG$2=InputTable[[#This Row],[Delivery Date]],_xlfn.XLOOKUP(GG$1,$BH$2:$BR$2,$BH23:$BR23,0),0)</f>
        <v>0</v>
      </c>
      <c r="GH23" s="26">
        <f>IF(GH$2=InputTable[[#This Row],[Delivery Date]],_xlfn.XLOOKUP(GH$1,$BH$2:$BR$2,$BH23:$BR23,0),0)</f>
        <v>0</v>
      </c>
      <c r="GI23" s="26">
        <f>IF(GI$2=InputTable[[#This Row],[Delivery Date]],_xlfn.XLOOKUP(GI$1,$BH$2:$BR$2,$BH23:$BR23,0),0)</f>
        <v>0</v>
      </c>
      <c r="GJ23" s="26">
        <f>IF(GJ$2=InputTable[[#This Row],[Delivery Date]],_xlfn.XLOOKUP(GJ$1,$BH$2:$BR$2,$BH23:$BR23,0),0)</f>
        <v>0</v>
      </c>
      <c r="GL23" s="26" t="e">
        <f>IF(GL$2=InputTable[[#This Row],[Delivery Date]],_xlfn.XLOOKUP(GL$1,$BH$2:$BR$2,$BH23:$BR23,0),0)</f>
        <v>#REF!</v>
      </c>
      <c r="GM23" s="26">
        <f>IF(GM$2=InputTable[[#This Row],[Delivery Date]],_xlfn.XLOOKUP(GM$1,$BH$2:$BR$2,$BH23:$BR23,0),0)</f>
        <v>0</v>
      </c>
      <c r="GN23" s="26">
        <f>IF(GN$2=InputTable[[#This Row],[Delivery Date]],_xlfn.XLOOKUP(GN$1,$BH$2:$BR$2,$BH23:$BR23,0),0)</f>
        <v>0</v>
      </c>
      <c r="GO23" s="26">
        <f>IF(GO$2=InputTable[[#This Row],[Delivery Date]],_xlfn.XLOOKUP(GO$1,$BH$2:$BR$2,$BH23:$BR23,0),0)</f>
        <v>0</v>
      </c>
      <c r="GP23" s="26">
        <f>IF(GP$2=InputTable[[#This Row],[Delivery Date]],_xlfn.XLOOKUP(GP$1,$BH$2:$BR$2,$BH23:$BR23,0),0)</f>
        <v>0</v>
      </c>
      <c r="GQ23" s="26">
        <f>IF(GQ$2=InputTable[[#This Row],[Delivery Date]],_xlfn.XLOOKUP(GQ$1,$BH$2:$BR$2,$BH23:$BR23,0),0)</f>
        <v>0</v>
      </c>
      <c r="GR23" s="26">
        <f>IF(GR$2=InputTable[[#This Row],[Delivery Date]],_xlfn.XLOOKUP(GR$1,$BH$2:$BR$2,$BH23:$BR23,0),0)</f>
        <v>0</v>
      </c>
      <c r="GS23" s="26">
        <f>IF(GS$2=InputTable[[#This Row],[Delivery Date]],_xlfn.XLOOKUP(GS$1,$BH$2:$BR$2,$BH23:$BR23,0),0)</f>
        <v>0</v>
      </c>
      <c r="GT23" s="26">
        <f>IF(GT$2=InputTable[[#This Row],[Delivery Date]],_xlfn.XLOOKUP(GT$1,$BH$2:$BR$2,$BH23:$BR23,0),0)</f>
        <v>0</v>
      </c>
      <c r="GV23" s="26" t="e">
        <f>IF(GV$2=InputTable[[#This Row],[Delivery Date]],_xlfn.XLOOKUP(GV$1,$BH$2:$BR$2,$BH23:$BR23,0),0)</f>
        <v>#REF!</v>
      </c>
      <c r="GW23" s="26">
        <f>IF(GW$2=InputTable[[#This Row],[Delivery Date]],_xlfn.XLOOKUP(GW$1,$BH$2:$BR$2,$BH23:$BR23,0),0)</f>
        <v>0</v>
      </c>
      <c r="GX23" s="26">
        <f>IF(GX$2=InputTable[[#This Row],[Delivery Date]],_xlfn.XLOOKUP(GX$1,$BH$2:$BR$2,$BH23:$BR23,0),0)</f>
        <v>0</v>
      </c>
      <c r="GY23" s="26">
        <f>IF(GY$2=InputTable[[#This Row],[Delivery Date]],_xlfn.XLOOKUP(GY$1,$BH$2:$BR$2,$BH23:$BR23,0),0)</f>
        <v>0</v>
      </c>
      <c r="GZ23" s="26">
        <f>IF(GZ$2=InputTable[[#This Row],[Delivery Date]],_xlfn.XLOOKUP(GZ$1,$BH$2:$BR$2,$BH23:$BR23,0),0)</f>
        <v>0</v>
      </c>
      <c r="HA23" s="26">
        <f>IF(HA$2=InputTable[[#This Row],[Delivery Date]],_xlfn.XLOOKUP(HA$1,$BH$2:$BR$2,$BH23:$BR23,0),0)</f>
        <v>0</v>
      </c>
      <c r="HB23" s="26">
        <f>IF(HB$2=InputTable[[#This Row],[Delivery Date]],_xlfn.XLOOKUP(HB$1,$BH$2:$BR$2,$BH23:$BR23,0),0)</f>
        <v>0</v>
      </c>
      <c r="HC23" s="26">
        <f>IF(HC$2=InputTable[[#This Row],[Delivery Date]],_xlfn.XLOOKUP(HC$1,$BH$2:$BR$2,$BH23:$BR23,0),0)</f>
        <v>0</v>
      </c>
      <c r="HD23" s="26">
        <f>IF(HD$2=InputTable[[#This Row],[Delivery Date]],_xlfn.XLOOKUP(HD$1,$BH$2:$BR$2,$BH23:$BR23,0),0)</f>
        <v>0</v>
      </c>
      <c r="HF23" s="26" t="e">
        <f>IF(HF$2=InputTable[[#This Row],[Delivery Date]],_xlfn.XLOOKUP(HF$1,$BH$2:$BR$2,$BH23:$BR23,0),0)</f>
        <v>#REF!</v>
      </c>
      <c r="HG23" s="26">
        <f>IF(HG$2=InputTable[[#This Row],[Delivery Date]],_xlfn.XLOOKUP(HG$1,$BH$2:$BR$2,$BH23:$BR23,0),0)</f>
        <v>0</v>
      </c>
      <c r="HH23" s="26">
        <f>IF(HH$2=InputTable[[#This Row],[Delivery Date]],_xlfn.XLOOKUP(HH$1,$BH$2:$BR$2,$BH23:$BR23,0),0)</f>
        <v>0</v>
      </c>
      <c r="HI23" s="26">
        <f>IF(HI$2=InputTable[[#This Row],[Delivery Date]],_xlfn.XLOOKUP(HI$1,$BH$2:$BR$2,$BH23:$BR23,0),0)</f>
        <v>0</v>
      </c>
      <c r="HJ23" s="26">
        <f>IF(HJ$2=InputTable[[#This Row],[Delivery Date]],_xlfn.XLOOKUP(HJ$1,$BH$2:$BR$2,$BH23:$BR23,0),0)</f>
        <v>0</v>
      </c>
      <c r="HK23" s="26">
        <f>IF(HK$2=InputTable[[#This Row],[Delivery Date]],_xlfn.XLOOKUP(HK$1,$BH$2:$BR$2,$BH23:$BR23,0),0)</f>
        <v>0</v>
      </c>
      <c r="HL23" s="26">
        <f>IF(HL$2=InputTable[[#This Row],[Delivery Date]],_xlfn.XLOOKUP(HL$1,$BH$2:$BR$2,$BH23:$BR23,0),0)</f>
        <v>0</v>
      </c>
      <c r="HM23" s="26">
        <f>IF(HM$2=InputTable[[#This Row],[Delivery Date]],_xlfn.XLOOKUP(HM$1,$BH$2:$BR$2,$BH23:$BR23,0),0)</f>
        <v>0</v>
      </c>
      <c r="HN23" s="26">
        <f>IF(HN$2=InputTable[[#This Row],[Delivery Date]],_xlfn.XLOOKUP(HN$1,$BH$2:$BR$2,$BH23:$BR23,0),0)</f>
        <v>0</v>
      </c>
      <c r="HP23" s="26" t="e">
        <f>IF(HP$2=InputTable[[#This Row],[Delivery Date]],_xlfn.XLOOKUP(HP$1,$BH$2:$BR$2,$BH23:$BR23,0),0)</f>
        <v>#REF!</v>
      </c>
      <c r="HQ23" s="26">
        <f>IF(HQ$2=InputTable[[#This Row],[Delivery Date]],_xlfn.XLOOKUP(HQ$1,$BH$2:$BR$2,$BH23:$BR23,0),0)</f>
        <v>0</v>
      </c>
      <c r="HR23" s="26">
        <f>IF(HR$2=InputTable[[#This Row],[Delivery Date]],_xlfn.XLOOKUP(HR$1,$BH$2:$BR$2,$BH23:$BR23,0),0)</f>
        <v>0</v>
      </c>
      <c r="HS23" s="26">
        <f>IF(HS$2=InputTable[[#This Row],[Delivery Date]],_xlfn.XLOOKUP(HS$1,$BH$2:$BR$2,$BH23:$BR23,0),0)</f>
        <v>0</v>
      </c>
      <c r="HT23" s="26">
        <f>IF(HT$2=InputTable[[#This Row],[Delivery Date]],_xlfn.XLOOKUP(HT$1,$BH$2:$BR$2,$BH23:$BR23,0),0)</f>
        <v>0</v>
      </c>
      <c r="HU23" s="26">
        <f>IF(HU$2=InputTable[[#This Row],[Delivery Date]],_xlfn.XLOOKUP(HU$1,$BH$2:$BR$2,$BH23:$BR23,0),0)</f>
        <v>0</v>
      </c>
      <c r="HV23" s="26">
        <f>IF(HV$2=InputTable[[#This Row],[Delivery Date]],_xlfn.XLOOKUP(HV$1,$BH$2:$BR$2,$BH23:$BR23,0),0)</f>
        <v>0</v>
      </c>
      <c r="HW23" s="26">
        <f>IF(HW$2=InputTable[[#This Row],[Delivery Date]],_xlfn.XLOOKUP(HW$1,$BH$2:$BR$2,$BH23:$BR23,0),0)</f>
        <v>0</v>
      </c>
      <c r="HX23" s="26">
        <f>IF(HX$2=InputTable[[#This Row],[Delivery Date]],_xlfn.XLOOKUP(HX$1,$BH$2:$BR$2,$BH23:$BR23,0),0)</f>
        <v>0</v>
      </c>
      <c r="HZ23" s="26" t="e">
        <f>IF(HZ$2=InputTable[[#This Row],[Delivery Date]],_xlfn.XLOOKUP(HZ$1,$BH$2:$BR$2,$BH23:$BR23,0),0)</f>
        <v>#REF!</v>
      </c>
      <c r="IA23" s="26">
        <f>IF(IA$2=InputTable[[#This Row],[Delivery Date]],_xlfn.XLOOKUP(IA$1,$BH$2:$BR$2,$BH23:$BR23,0),0)</f>
        <v>0</v>
      </c>
      <c r="IB23" s="26">
        <f>IF(IB$2=InputTable[[#This Row],[Delivery Date]],_xlfn.XLOOKUP(IB$1,$BH$2:$BR$2,$BH23:$BR23,0),0)</f>
        <v>0</v>
      </c>
      <c r="IC23" s="26">
        <f>IF(IC$2=InputTable[[#This Row],[Delivery Date]],_xlfn.XLOOKUP(IC$1,$BH$2:$BR$2,$BH23:$BR23,0),0)</f>
        <v>0</v>
      </c>
      <c r="ID23" s="26">
        <f>IF(ID$2=InputTable[[#This Row],[Delivery Date]],_xlfn.XLOOKUP(ID$1,$BH$2:$BR$2,$BH23:$BR23,0),0)</f>
        <v>0</v>
      </c>
      <c r="IE23" s="26">
        <f>IF(IE$2=InputTable[[#This Row],[Delivery Date]],_xlfn.XLOOKUP(IE$1,$BH$2:$BR$2,$BH23:$BR23,0),0)</f>
        <v>0</v>
      </c>
      <c r="IF23" s="26">
        <f>IF(IF$2=InputTable[[#This Row],[Delivery Date]],_xlfn.XLOOKUP(IF$1,$BH$2:$BR$2,$BH23:$BR23,0),0)</f>
        <v>0</v>
      </c>
      <c r="IG23" s="26">
        <f>IF(IG$2=InputTable[[#This Row],[Delivery Date]],_xlfn.XLOOKUP(IG$1,$BH$2:$BR$2,$BH23:$BR23,0),0)</f>
        <v>0</v>
      </c>
      <c r="IH23" s="26">
        <f>IF(IH$2=InputTable[[#This Row],[Delivery Date]],_xlfn.XLOOKUP(IH$1,$BH$2:$BR$2,$BH23:$BR23,0),0)</f>
        <v>0</v>
      </c>
      <c r="IJ23" s="26" t="e">
        <f>IF(IJ$2=InputTable[[#This Row],[Delivery Date]],_xlfn.XLOOKUP(IJ$1,$BH$2:$BR$2,$BH23:$BR23,0),0)</f>
        <v>#REF!</v>
      </c>
      <c r="IK23" s="26">
        <f>IF(IK$2=InputTable[[#This Row],[Delivery Date]],_xlfn.XLOOKUP(IK$1,$BH$2:$BR$2,$BH23:$BR23,0),0)</f>
        <v>0</v>
      </c>
      <c r="IL23" s="26">
        <f>IF(IL$2=InputTable[[#This Row],[Delivery Date]],_xlfn.XLOOKUP(IL$1,$BH$2:$BR$2,$BH23:$BR23,0),0)</f>
        <v>0</v>
      </c>
      <c r="IM23" s="26">
        <f>IF(IM$2=InputTable[[#This Row],[Delivery Date]],_xlfn.XLOOKUP(IM$1,$BH$2:$BR$2,$BH23:$BR23,0),0)</f>
        <v>0</v>
      </c>
      <c r="IN23" s="26">
        <f>IF(IN$2=InputTable[[#This Row],[Delivery Date]],_xlfn.XLOOKUP(IN$1,$BH$2:$BR$2,$BH23:$BR23,0),0)</f>
        <v>0</v>
      </c>
      <c r="IO23" s="26">
        <f>IF(IO$2=InputTable[[#This Row],[Delivery Date]],_xlfn.XLOOKUP(IO$1,$BH$2:$BR$2,$BH23:$BR23,0),0)</f>
        <v>0</v>
      </c>
      <c r="IP23" s="26">
        <f>IF(IP$2=InputTable[[#This Row],[Delivery Date]],_xlfn.XLOOKUP(IP$1,$BH$2:$BR$2,$BH23:$BR23,0),0)</f>
        <v>0</v>
      </c>
      <c r="IQ23" s="26">
        <f>IF(IQ$2=InputTable[[#This Row],[Delivery Date]],_xlfn.XLOOKUP(IQ$1,$BH$2:$BR$2,$BH23:$BR23,0),0)</f>
        <v>0</v>
      </c>
      <c r="IR23" s="26">
        <f>IF(IR$2=InputTable[[#This Row],[Delivery Date]],_xlfn.XLOOKUP(IR$1,$BH$2:$BR$2,$BH23:$BR23,0),0)</f>
        <v>0</v>
      </c>
      <c r="IT23" s="26" t="e">
        <f>IF(IT$2=InputTable[[#This Row],[Delivery Date]],_xlfn.XLOOKUP(IT$1,$BH$2:$BR$2,$BH23:$BR23,0),0)</f>
        <v>#REF!</v>
      </c>
      <c r="IU23" s="26">
        <f>IF(IU$2=InputTable[[#This Row],[Delivery Date]],_xlfn.XLOOKUP(IU$1,$BH$2:$BR$2,$BH23:$BR23,0),0)</f>
        <v>0</v>
      </c>
      <c r="IV23" s="26">
        <f>IF(IV$2=InputTable[[#This Row],[Delivery Date]],_xlfn.XLOOKUP(IV$1,$BH$2:$BR$2,$BH23:$BR23,0),0)</f>
        <v>0</v>
      </c>
      <c r="IW23" s="26">
        <f>IF(IW$2=InputTable[[#This Row],[Delivery Date]],_xlfn.XLOOKUP(IW$1,$BH$2:$BR$2,$BH23:$BR23,0),0)</f>
        <v>0</v>
      </c>
      <c r="IX23" s="26">
        <f>IF(IX$2=InputTable[[#This Row],[Delivery Date]],_xlfn.XLOOKUP(IX$1,$BH$2:$BR$2,$BH23:$BR23,0),0)</f>
        <v>0</v>
      </c>
      <c r="IY23" s="26">
        <f>IF(IY$2=InputTable[[#This Row],[Delivery Date]],_xlfn.XLOOKUP(IY$1,$BH$2:$BR$2,$BH23:$BR23,0),0)</f>
        <v>0</v>
      </c>
      <c r="IZ23" s="26">
        <f>IF(IZ$2=InputTable[[#This Row],[Delivery Date]],_xlfn.XLOOKUP(IZ$1,$BH$2:$BR$2,$BH23:$BR23,0),0)</f>
        <v>0</v>
      </c>
      <c r="JA23" s="26">
        <f>IF(JA$2=InputTable[[#This Row],[Delivery Date]],_xlfn.XLOOKUP(JA$1,$BH$2:$BR$2,$BH23:$BR23,0),0)</f>
        <v>0</v>
      </c>
      <c r="JB23" s="26">
        <f>IF(JB$2=InputTable[[#This Row],[Delivery Date]],_xlfn.XLOOKUP(JB$1,$BH$2:$BR$2,$BH23:$BR23,0),0)</f>
        <v>0</v>
      </c>
      <c r="JD23" s="26" t="e">
        <f>IF(JD$2=InputTable[[#This Row],[Delivery Date]],_xlfn.XLOOKUP(JD$1,$BH$2:$BR$2,$BH23:$BR23,0),0)</f>
        <v>#REF!</v>
      </c>
      <c r="JE23" s="26">
        <f>IF(JE$2=InputTable[[#This Row],[Delivery Date]],_xlfn.XLOOKUP(JE$1,$BH$2:$BR$2,$BH23:$BR23,0),0)</f>
        <v>0</v>
      </c>
      <c r="JF23" s="26">
        <f>IF(JF$2=InputTable[[#This Row],[Delivery Date]],_xlfn.XLOOKUP(JF$1,$BH$2:$BR$2,$BH23:$BR23,0),0)</f>
        <v>0</v>
      </c>
      <c r="JG23" s="26">
        <f>IF(JG$2=InputTable[[#This Row],[Delivery Date]],_xlfn.XLOOKUP(JG$1,$BH$2:$BR$2,$BH23:$BR23,0),0)</f>
        <v>0</v>
      </c>
      <c r="JH23" s="26">
        <f>IF(JH$2=InputTable[[#This Row],[Delivery Date]],_xlfn.XLOOKUP(JH$1,$BH$2:$BR$2,$BH23:$BR23,0),0)</f>
        <v>0</v>
      </c>
      <c r="JI23" s="26">
        <f>IF(JI$2=InputTable[[#This Row],[Delivery Date]],_xlfn.XLOOKUP(JI$1,$BH$2:$BR$2,$BH23:$BR23,0),0)</f>
        <v>0</v>
      </c>
      <c r="JJ23" s="26">
        <f>IF(JJ$2=InputTable[[#This Row],[Delivery Date]],_xlfn.XLOOKUP(JJ$1,$BH$2:$BR$2,$BH23:$BR23,0),0)</f>
        <v>0</v>
      </c>
      <c r="JK23" s="26">
        <f>IF(JK$2=InputTable[[#This Row],[Delivery Date]],_xlfn.XLOOKUP(JK$1,$BH$2:$BR$2,$BH23:$BR23,0),0)</f>
        <v>0</v>
      </c>
      <c r="JL23" s="26">
        <f>IF(JL$2=InputTable[[#This Row],[Delivery Date]],_xlfn.XLOOKUP(JL$1,$BH$2:$BR$2,$BH23:$BR23,0),0)</f>
        <v>0</v>
      </c>
      <c r="JN23" s="26" t="e">
        <f>IF(JN$2=InputTable[[#This Row],[Delivery Date]],_xlfn.XLOOKUP(JN$1,$BH$2:$BR$2,$BH23:$BR23,0),0)</f>
        <v>#REF!</v>
      </c>
      <c r="JO23" s="26">
        <f>IF(JO$2=InputTable[[#This Row],[Delivery Date]],_xlfn.XLOOKUP(JO$1,$BH$2:$BR$2,$BH23:$BR23,0),0)</f>
        <v>0</v>
      </c>
      <c r="JP23" s="26">
        <f>IF(JP$2=InputTable[[#This Row],[Delivery Date]],_xlfn.XLOOKUP(JP$1,$BH$2:$BR$2,$BH23:$BR23,0),0)</f>
        <v>0</v>
      </c>
      <c r="JQ23" s="26">
        <f>IF(JQ$2=InputTable[[#This Row],[Delivery Date]],_xlfn.XLOOKUP(JQ$1,$BH$2:$BR$2,$BH23:$BR23,0),0)</f>
        <v>0</v>
      </c>
      <c r="JR23" s="26">
        <f>IF(JR$2=InputTable[[#This Row],[Delivery Date]],_xlfn.XLOOKUP(JR$1,$BH$2:$BR$2,$BH23:$BR23,0),0)</f>
        <v>0</v>
      </c>
      <c r="JS23" s="26">
        <f>IF(JS$2=InputTable[[#This Row],[Delivery Date]],_xlfn.XLOOKUP(JS$1,$BH$2:$BR$2,$BH23:$BR23,0),0)</f>
        <v>0</v>
      </c>
      <c r="JT23" s="26">
        <f>IF(JT$2=InputTable[[#This Row],[Delivery Date]],_xlfn.XLOOKUP(JT$1,$BH$2:$BR$2,$BH23:$BR23,0),0)</f>
        <v>0</v>
      </c>
      <c r="JU23" s="26">
        <f>IF(JU$2=InputTable[[#This Row],[Delivery Date]],_xlfn.XLOOKUP(JU$1,$BH$2:$BR$2,$BH23:$BR23,0),0)</f>
        <v>0</v>
      </c>
      <c r="JV23" s="26">
        <f>IF(JV$2=InputTable[[#This Row],[Delivery Date]],_xlfn.XLOOKUP(JV$1,$BH$2:$BR$2,$BH23:$BR23,0),0)</f>
        <v>0</v>
      </c>
      <c r="JX23" s="26" t="e">
        <f>IF(JX$2=InputTable[[#This Row],[Delivery Date]],_xlfn.XLOOKUP(JX$1,$BH$2:$BR$2,$BH23:$BR23,0),0)</f>
        <v>#REF!</v>
      </c>
      <c r="JY23" s="26">
        <f>IF(JY$2=InputTable[[#This Row],[Delivery Date]],_xlfn.XLOOKUP(JY$1,$BH$2:$BR$2,$BH23:$BR23,0),0)</f>
        <v>0</v>
      </c>
      <c r="JZ23" s="26">
        <f>IF(JZ$2=InputTable[[#This Row],[Delivery Date]],_xlfn.XLOOKUP(JZ$1,$BH$2:$BR$2,$BH23:$BR23,0),0)</f>
        <v>0</v>
      </c>
      <c r="KA23" s="26">
        <f>IF(KA$2=InputTable[[#This Row],[Delivery Date]],_xlfn.XLOOKUP(KA$1,$BH$2:$BR$2,$BH23:$BR23,0),0)</f>
        <v>0</v>
      </c>
      <c r="KB23" s="26">
        <f>IF(KB$2=InputTable[[#This Row],[Delivery Date]],_xlfn.XLOOKUP(KB$1,$BH$2:$BR$2,$BH23:$BR23,0),0)</f>
        <v>0</v>
      </c>
      <c r="KC23" s="26">
        <f>IF(KC$2=InputTable[[#This Row],[Delivery Date]],_xlfn.XLOOKUP(KC$1,$BH$2:$BR$2,$BH23:$BR23,0),0)</f>
        <v>0</v>
      </c>
      <c r="KD23" s="26">
        <f>IF(KD$2=InputTable[[#This Row],[Delivery Date]],_xlfn.XLOOKUP(KD$1,$BH$2:$BR$2,$BH23:$BR23,0),0)</f>
        <v>0</v>
      </c>
      <c r="KE23" s="26">
        <f>IF(KE$2=InputTable[[#This Row],[Delivery Date]],_xlfn.XLOOKUP(KE$1,$BH$2:$BR$2,$BH23:$BR23,0),0)</f>
        <v>0</v>
      </c>
      <c r="KF23" s="26">
        <f>IF(KF$2=InputTable[[#This Row],[Delivery Date]],_xlfn.XLOOKUP(KF$1,$BH$2:$BR$2,$BH23:$BR23,0),0)</f>
        <v>0</v>
      </c>
    </row>
    <row r="24" spans="1:292" ht="39.6" customHeight="1" x14ac:dyDescent="0.25">
      <c r="A24" s="141" t="s">
        <v>181</v>
      </c>
      <c r="B24" s="141" t="s">
        <v>107</v>
      </c>
      <c r="C24" s="92" t="s">
        <v>56</v>
      </c>
      <c r="D24" s="125" t="s">
        <v>182</v>
      </c>
      <c r="E24" s="142" t="s">
        <v>183</v>
      </c>
      <c r="F24" s="98" t="s">
        <v>184</v>
      </c>
      <c r="G24" s="92">
        <v>2024</v>
      </c>
      <c r="H24" s="102" t="s">
        <v>100</v>
      </c>
      <c r="I24" s="98" t="s">
        <v>98</v>
      </c>
      <c r="J24" s="126" t="s">
        <v>145</v>
      </c>
      <c r="K24" s="95" t="e">
        <f>VLOOKUP((InputTable[[#This Row],[Starting Date]]&amp; " - " &amp;InputTable[[#This Row],[Delivery Date]]),'System List'!$F$40:$H$83,2,FALSE)</f>
        <v>#N/A</v>
      </c>
      <c r="L24" s="95" t="e">
        <f>VLOOKUP(InputTable[[#This Row],[Duration]],Duration,2,FALSE)</f>
        <v>#N/A</v>
      </c>
      <c r="M24" s="126"/>
      <c r="N24" s="98" t="s">
        <v>139</v>
      </c>
      <c r="O24" s="98"/>
      <c r="P24" s="98"/>
      <c r="Q24" s="98" t="s">
        <v>111</v>
      </c>
      <c r="R24" s="98"/>
      <c r="S24" s="92"/>
      <c r="T24" s="95" cm="1">
        <f t="array" ref="T2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2.1</v>
      </c>
      <c r="U24" s="138"/>
      <c r="V24" s="98" t="s">
        <v>139</v>
      </c>
      <c r="W24" s="98"/>
      <c r="X24" s="98" t="s">
        <v>111</v>
      </c>
      <c r="Y24" s="98" t="s">
        <v>111</v>
      </c>
      <c r="Z24" s="98"/>
      <c r="AA24" s="98" t="s">
        <v>111</v>
      </c>
      <c r="AB24" s="98" t="s">
        <v>111</v>
      </c>
      <c r="AC24" s="100"/>
      <c r="AD24" s="92">
        <f>COUNTA(InputTable[[#This Row],[CORPHRFIN]:[SALES]])</f>
        <v>5</v>
      </c>
      <c r="AE24" s="88" cm="1">
        <f t="array" ref="AE24">SUM(
_xlfn.XLOOKUP(InputTable[[#This Row],[CORPHRFIN]:[SALES]],'System List'!$F$4:$F$7,'System List'!$H$4:$H$7,0))</f>
        <v>28</v>
      </c>
      <c r="AF24" s="140"/>
      <c r="AG24" s="101"/>
      <c r="AH24" s="101"/>
      <c r="AI24" s="101" t="s">
        <v>111</v>
      </c>
      <c r="AJ24" s="101"/>
      <c r="AK24" s="101"/>
      <c r="AL24" s="101"/>
      <c r="AM24" s="101"/>
      <c r="AN24" s="101"/>
      <c r="AO24" s="101"/>
      <c r="AP24" s="101"/>
      <c r="AQ24" s="101"/>
      <c r="AR24" s="88" cm="1">
        <f t="array" ref="AR24">SUM(
_xlfn.XLOOKUP(InputTable[[#This Row],[Impact on - CIAL]:[Impact on - STRAT]],'System List'!$F$4:$F$7,'System List'!$H$4:$H$7,0))</f>
        <v>5</v>
      </c>
      <c r="AS24" s="88" t="e">
        <f>VLOOKUP(InputTable[[#This Row],[Duration]],Duration,2,FALSE)+InputTable[[#This Row],[Resource Score]]</f>
        <v>#N/A</v>
      </c>
      <c r="AT2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4" s="24" t="e">
        <f>InputTable[[#This Row],[Value Score]]/InputTable[[#This Row],[EFFORT SCORE]]*100</f>
        <v>#N/A</v>
      </c>
      <c r="AV24" s="25" t="str">
        <f>InputTable[[#This Row],[IS Portfolio Ref ID]]</f>
        <v>ISPRJ-54</v>
      </c>
      <c r="AW24" s="25" t="s">
        <v>185</v>
      </c>
      <c r="AX24" s="208" t="s">
        <v>186</v>
      </c>
      <c r="AY24" s="25">
        <v>1822</v>
      </c>
      <c r="AZ24" s="209">
        <f>(150392+28062*4)*$AZ$1</f>
        <v>298464.09600000002</v>
      </c>
      <c r="BA24" s="209">
        <f>386447*$AZ$1</f>
        <v>439158.37080000003</v>
      </c>
      <c r="BB24" s="209" t="s">
        <v>187</v>
      </c>
      <c r="BC24" s="189">
        <f>SUM(InputTable[[#This Row],[Opex IS Budget (full project)]]+InputTable[[#This Row],[Capex IS Budget (full project)]])</f>
        <v>737622.46680000005</v>
      </c>
      <c r="BD24" s="188">
        <v>2</v>
      </c>
      <c r="BE24" s="188">
        <v>1</v>
      </c>
      <c r="BF24" s="70"/>
      <c r="BH24" s="2">
        <f>IFERROR(VLOOKUP(InputTable[[#This Row],[Impact on - CIAL]],'System List'!$F$4:$H$7,3,FALSE),0)</f>
        <v>0</v>
      </c>
      <c r="BI24" s="2">
        <f>IFERROR(VLOOKUP(InputTable[[#This Row],[Impact on - COM]],'System List'!$F$4:$H$7,3,FALSE),0)</f>
        <v>0</v>
      </c>
      <c r="BJ24" s="2">
        <f>IFERROR(VLOOKUP(InputTable[[#This Row],[Impact on - FIN]],'System List'!$F$4:$H$7,3,FALSE),0)</f>
        <v>5</v>
      </c>
      <c r="BK24" s="2">
        <f>IFERROR(VLOOKUP(InputTable[[#This Row],[Impact on - GEN SEC]],'System List'!$F$4:$H$7,3,FALSE),0)</f>
        <v>0</v>
      </c>
      <c r="BL24" s="2">
        <f>IFERROR(VLOOKUP(InputTable[[#This Row],[Impact on - HR]],'System List'!$F$4:$H$7,3,FALSE),0)</f>
        <v>0</v>
      </c>
      <c r="BM24" s="2">
        <f>IFERROR(VLOOKUP(InputTable[[#This Row],[Impact on - IS]],'System List'!$F$4:$H$7,3,FALSE),0)</f>
        <v>0</v>
      </c>
      <c r="BN24" s="2">
        <f>IFERROR(VLOOKUP(InputTable[[#This Row],[Impact on - OPS]],'System List'!$F$4:$H$7,3,FALSE),0)</f>
        <v>0</v>
      </c>
      <c r="BO24" s="2">
        <f>IFERROR(VLOOKUP(InputTable[[#This Row],[Impact on - ROLL STOCK]],'System List'!$F$4:$H$7,3,FALSE),0)</f>
        <v>0</v>
      </c>
      <c r="BP24" s="2">
        <f>IFERROR(VLOOKUP(InputTable[[#This Row],[Impact on - SAFETY]],'System List'!$F$4:$H$7,3,FALSE),0)</f>
        <v>0</v>
      </c>
      <c r="BQ24" s="2">
        <f>IFERROR(VLOOKUP(InputTable[[#This Row],[Impact on - STATION]],'System List'!$F$4:$H$7,3,FALSE),0)</f>
        <v>0</v>
      </c>
      <c r="BR24" s="2">
        <f>IFERROR(VLOOKUP(InputTable[[#This Row],[Impact on - STRAT]],'System List'!$F$4:$H$7,3,FALSE),0)</f>
        <v>0</v>
      </c>
      <c r="BT24" s="2">
        <f>IFERROR(VLOOKUP(InputTable[[#This Row],[CORPHRFIN]],'System List'!$F$4:$H$7,3,FALSE),0)</f>
        <v>8</v>
      </c>
      <c r="BU24" s="2">
        <f>IFERROR(VLOOKUP(InputTable[[#This Row],[CUST]],'System List'!$F$4:$H$7,3,FALSE),0)</f>
        <v>0</v>
      </c>
      <c r="BV24" s="2">
        <f>IFERROR(VLOOKUP(InputTable[[#This Row],[CYBER]],'System List'!$F$4:$H$7,3,FALSE),0)</f>
        <v>5</v>
      </c>
      <c r="BW24" s="2">
        <f>IFERROR(VLOOKUP(InputTable[[#This Row],[DATA]],'System List'!$F$4:$H$7,3,FALSE),0)</f>
        <v>5</v>
      </c>
      <c r="BX24" s="2">
        <f>IFERROR(VLOOKUP(InputTable[[#This Row],[INFRA]],'System List'!$F$4:$H$7,3,FALSE),0)</f>
        <v>0</v>
      </c>
      <c r="BY24" s="2">
        <f>IFERROR(VLOOKUP(InputTable[[#This Row],[OPERATIONS]],'System List'!$F$4:$H$7,3,FALSE),0)</f>
        <v>5</v>
      </c>
      <c r="BZ24" s="2">
        <f>IFERROR(VLOOKUP(InputTable[[#This Row],[PMO]],'System List'!$F$4:$H$7,3,FALSE),0)</f>
        <v>5</v>
      </c>
      <c r="CA24" s="2">
        <f>IFERROR(VLOOKUP(InputTable[[#This Row],[SALES]],'System List'!$F$4:$H$7,3,FALSE),0)</f>
        <v>0</v>
      </c>
      <c r="CC24" s="2" cm="1">
        <f t="array" ref="CC2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4" s="2" cm="1">
        <f t="array" ref="CD2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4" s="2" cm="1">
        <f t="array" ref="CE2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4" s="2" cm="1">
        <f t="array" ref="CF2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4" s="2" cm="1">
        <f t="array" ref="CG2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4" s="2" cm="1">
        <f t="array" ref="CH2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4" s="2" cm="1">
        <f t="array" ref="CI2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4" s="2" cm="1">
        <f t="array" ref="CJ2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4" s="2" cm="1">
        <f t="array" ref="CK2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2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2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2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2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2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4" s="26">
        <f t="shared" si="78"/>
        <v>0</v>
      </c>
      <c r="CY24" s="26">
        <f t="shared" si="79"/>
        <v>8</v>
      </c>
      <c r="CZ24" s="26">
        <f t="shared" si="80"/>
        <v>8</v>
      </c>
      <c r="DA24" s="26">
        <f t="shared" si="81"/>
        <v>8</v>
      </c>
      <c r="DB24" s="26">
        <f t="shared" si="82"/>
        <v>8</v>
      </c>
      <c r="DC24" s="26">
        <f t="shared" si="83"/>
        <v>8</v>
      </c>
      <c r="DD24" s="26">
        <f t="shared" si="84"/>
        <v>0</v>
      </c>
      <c r="DE24" s="26">
        <f t="shared" si="85"/>
        <v>0</v>
      </c>
      <c r="DF24" s="26">
        <f t="shared" si="86"/>
        <v>0</v>
      </c>
      <c r="DH24" s="26">
        <f t="shared" si="87"/>
        <v>0</v>
      </c>
      <c r="DI24" s="26">
        <f t="shared" si="88"/>
        <v>0</v>
      </c>
      <c r="DJ24" s="26">
        <f t="shared" si="89"/>
        <v>0</v>
      </c>
      <c r="DK24" s="26">
        <f t="shared" si="90"/>
        <v>0</v>
      </c>
      <c r="DL24" s="26">
        <f t="shared" si="91"/>
        <v>0</v>
      </c>
      <c r="DM24" s="26">
        <f t="shared" si="92"/>
        <v>0</v>
      </c>
      <c r="DN24" s="26">
        <f t="shared" si="93"/>
        <v>0</v>
      </c>
      <c r="DO24" s="26">
        <f t="shared" si="94"/>
        <v>0</v>
      </c>
      <c r="DP24" s="26">
        <f t="shared" si="95"/>
        <v>0</v>
      </c>
      <c r="DR24" s="26">
        <f t="shared" si="96"/>
        <v>0</v>
      </c>
      <c r="DS24" s="26">
        <f t="shared" si="97"/>
        <v>5</v>
      </c>
      <c r="DT24" s="26">
        <f t="shared" si="98"/>
        <v>5</v>
      </c>
      <c r="DU24" s="26">
        <f t="shared" si="99"/>
        <v>5</v>
      </c>
      <c r="DV24" s="26">
        <f t="shared" si="100"/>
        <v>5</v>
      </c>
      <c r="DW24" s="26">
        <f t="shared" si="101"/>
        <v>5</v>
      </c>
      <c r="DX24" s="26">
        <f t="shared" si="102"/>
        <v>0</v>
      </c>
      <c r="DY24" s="26">
        <f t="shared" si="103"/>
        <v>0</v>
      </c>
      <c r="DZ24" s="26">
        <f t="shared" si="104"/>
        <v>0</v>
      </c>
      <c r="EB24" s="26">
        <f t="shared" si="105"/>
        <v>0</v>
      </c>
      <c r="EC24" s="26">
        <f t="shared" si="106"/>
        <v>5</v>
      </c>
      <c r="ED24" s="26">
        <f t="shared" si="107"/>
        <v>5</v>
      </c>
      <c r="EE24" s="26">
        <f t="shared" si="108"/>
        <v>5</v>
      </c>
      <c r="EF24" s="26">
        <f t="shared" si="109"/>
        <v>5</v>
      </c>
      <c r="EG24" s="26">
        <f t="shared" si="110"/>
        <v>5</v>
      </c>
      <c r="EH24" s="26">
        <f t="shared" si="111"/>
        <v>0</v>
      </c>
      <c r="EI24" s="26">
        <f t="shared" si="112"/>
        <v>0</v>
      </c>
      <c r="EJ24" s="26">
        <f t="shared" si="113"/>
        <v>0</v>
      </c>
      <c r="EL24" s="26">
        <f t="shared" si="114"/>
        <v>0</v>
      </c>
      <c r="EM24" s="26">
        <f t="shared" si="115"/>
        <v>0</v>
      </c>
      <c r="EN24" s="26">
        <f t="shared" si="116"/>
        <v>0</v>
      </c>
      <c r="EO24" s="26">
        <f t="shared" si="117"/>
        <v>0</v>
      </c>
      <c r="EP24" s="26">
        <f t="shared" si="118"/>
        <v>0</v>
      </c>
      <c r="EQ24" s="26">
        <f t="shared" si="119"/>
        <v>0</v>
      </c>
      <c r="ER24" s="26">
        <f t="shared" si="120"/>
        <v>0</v>
      </c>
      <c r="ES24" s="26">
        <f t="shared" si="121"/>
        <v>0</v>
      </c>
      <c r="ET24" s="26">
        <f t="shared" si="122"/>
        <v>0</v>
      </c>
      <c r="EV24" s="26">
        <f t="shared" si="123"/>
        <v>0</v>
      </c>
      <c r="EW24" s="26">
        <f t="shared" si="124"/>
        <v>5</v>
      </c>
      <c r="EX24" s="26">
        <f t="shared" si="125"/>
        <v>5</v>
      </c>
      <c r="EY24" s="26">
        <f t="shared" si="126"/>
        <v>5</v>
      </c>
      <c r="EZ24" s="26">
        <f t="shared" si="127"/>
        <v>5</v>
      </c>
      <c r="FA24" s="26">
        <f t="shared" si="128"/>
        <v>5</v>
      </c>
      <c r="FB24" s="26">
        <f t="shared" si="129"/>
        <v>0</v>
      </c>
      <c r="FC24" s="26">
        <f t="shared" si="130"/>
        <v>0</v>
      </c>
      <c r="FD24" s="26">
        <f t="shared" si="131"/>
        <v>0</v>
      </c>
      <c r="FF24" s="26">
        <f t="shared" si="132"/>
        <v>0</v>
      </c>
      <c r="FG24" s="26">
        <f t="shared" si="133"/>
        <v>5</v>
      </c>
      <c r="FH24" s="26">
        <f t="shared" si="134"/>
        <v>5</v>
      </c>
      <c r="FI24" s="26">
        <f t="shared" si="135"/>
        <v>5</v>
      </c>
      <c r="FJ24" s="26">
        <f t="shared" si="136"/>
        <v>5</v>
      </c>
      <c r="FK24" s="26">
        <f t="shared" si="137"/>
        <v>5</v>
      </c>
      <c r="FL24" s="26">
        <f t="shared" si="138"/>
        <v>0</v>
      </c>
      <c r="FM24" s="26">
        <f t="shared" si="139"/>
        <v>0</v>
      </c>
      <c r="FN24" s="26">
        <f t="shared" si="140"/>
        <v>0</v>
      </c>
      <c r="FP24" s="26" t="e">
        <f t="shared" si="141"/>
        <v>#REF!</v>
      </c>
      <c r="FQ24" s="26" t="e">
        <f t="shared" si="142"/>
        <v>#REF!</v>
      </c>
      <c r="FR24" s="26" t="e">
        <f t="shared" si="143"/>
        <v>#REF!</v>
      </c>
      <c r="FS24" s="26" t="e">
        <f t="shared" si="144"/>
        <v>#REF!</v>
      </c>
      <c r="FT24" s="26" t="e">
        <f t="shared" si="145"/>
        <v>#REF!</v>
      </c>
      <c r="FU24" s="26" t="e">
        <f t="shared" si="146"/>
        <v>#REF!</v>
      </c>
      <c r="FV24" s="26" t="e">
        <f t="shared" si="147"/>
        <v>#REF!</v>
      </c>
      <c r="FW24" s="26" t="e">
        <f t="shared" si="148"/>
        <v>#REF!</v>
      </c>
      <c r="FX24" s="26" t="e">
        <f t="shared" si="149"/>
        <v>#REF!</v>
      </c>
      <c r="GB24" s="26" t="e">
        <f>IF(GB$2=InputTable[[#This Row],[Delivery Date]],_xlfn.XLOOKUP(GB$1,$BH$2:$BR$2,$BH24:$BR24,0),0)</f>
        <v>#REF!</v>
      </c>
      <c r="GC24" s="26">
        <f>IF(GC$2=InputTable[[#This Row],[Delivery Date]],_xlfn.XLOOKUP(GC$1,$BH$2:$BR$2,$BH24:$BR24,0),0)</f>
        <v>0</v>
      </c>
      <c r="GD24" s="26">
        <f>IF(GD$2=InputTable[[#This Row],[Delivery Date]],_xlfn.XLOOKUP(GD$1,$BH$2:$BR$2,$BH24:$BR24,0),0)</f>
        <v>0</v>
      </c>
      <c r="GE24" s="26">
        <f>IF(GE$2=InputTable[[#This Row],[Delivery Date]],_xlfn.XLOOKUP(GE$1,$BH$2:$BR$2,$BH24:$BR24,0),0)</f>
        <v>0</v>
      </c>
      <c r="GF24" s="26">
        <f>IF(GF$2=InputTable[[#This Row],[Delivery Date]],_xlfn.XLOOKUP(GF$1,$BH$2:$BR$2,$BH24:$BR24,0),0)</f>
        <v>0</v>
      </c>
      <c r="GG24" s="26">
        <f>IF(GG$2=InputTable[[#This Row],[Delivery Date]],_xlfn.XLOOKUP(GG$1,$BH$2:$BR$2,$BH24:$BR24,0),0)</f>
        <v>0</v>
      </c>
      <c r="GH24" s="26">
        <f>IF(GH$2=InputTable[[#This Row],[Delivery Date]],_xlfn.XLOOKUP(GH$1,$BH$2:$BR$2,$BH24:$BR24,0),0)</f>
        <v>0</v>
      </c>
      <c r="GI24" s="26">
        <f>IF(GI$2=InputTable[[#This Row],[Delivery Date]],_xlfn.XLOOKUP(GI$1,$BH$2:$BR$2,$BH24:$BR24,0),0)</f>
        <v>0</v>
      </c>
      <c r="GJ24" s="26">
        <f>IF(GJ$2=InputTable[[#This Row],[Delivery Date]],_xlfn.XLOOKUP(GJ$1,$BH$2:$BR$2,$BH24:$BR24,0),0)</f>
        <v>0</v>
      </c>
      <c r="GL24" s="26" t="e">
        <f>IF(GL$2=InputTable[[#This Row],[Delivery Date]],_xlfn.XLOOKUP(GL$1,$BH$2:$BR$2,$BH24:$BR24,0),0)</f>
        <v>#REF!</v>
      </c>
      <c r="GM24" s="26">
        <f>IF(GM$2=InputTable[[#This Row],[Delivery Date]],_xlfn.XLOOKUP(GM$1,$BH$2:$BR$2,$BH24:$BR24,0),0)</f>
        <v>0</v>
      </c>
      <c r="GN24" s="26">
        <f>IF(GN$2=InputTable[[#This Row],[Delivery Date]],_xlfn.XLOOKUP(GN$1,$BH$2:$BR$2,$BH24:$BR24,0),0)</f>
        <v>0</v>
      </c>
      <c r="GO24" s="26">
        <f>IF(GO$2=InputTable[[#This Row],[Delivery Date]],_xlfn.XLOOKUP(GO$1,$BH$2:$BR$2,$BH24:$BR24,0),0)</f>
        <v>0</v>
      </c>
      <c r="GP24" s="26">
        <f>IF(GP$2=InputTable[[#This Row],[Delivery Date]],_xlfn.XLOOKUP(GP$1,$BH$2:$BR$2,$BH24:$BR24,0),0)</f>
        <v>0</v>
      </c>
      <c r="GQ24" s="26">
        <f>IF(GQ$2=InputTable[[#This Row],[Delivery Date]],_xlfn.XLOOKUP(GQ$1,$BH$2:$BR$2,$BH24:$BR24,0),0)</f>
        <v>0</v>
      </c>
      <c r="GR24" s="26">
        <f>IF(GR$2=InputTable[[#This Row],[Delivery Date]],_xlfn.XLOOKUP(GR$1,$BH$2:$BR$2,$BH24:$BR24,0),0)</f>
        <v>0</v>
      </c>
      <c r="GS24" s="26">
        <f>IF(GS$2=InputTable[[#This Row],[Delivery Date]],_xlfn.XLOOKUP(GS$1,$BH$2:$BR$2,$BH24:$BR24,0),0)</f>
        <v>0</v>
      </c>
      <c r="GT24" s="26">
        <f>IF(GT$2=InputTable[[#This Row],[Delivery Date]],_xlfn.XLOOKUP(GT$1,$BH$2:$BR$2,$BH24:$BR24,0),0)</f>
        <v>0</v>
      </c>
      <c r="GV24" s="26" t="e">
        <f>IF(GV$2=InputTable[[#This Row],[Delivery Date]],_xlfn.XLOOKUP(GV$1,$BH$2:$BR$2,$BH24:$BR24,0),0)</f>
        <v>#REF!</v>
      </c>
      <c r="GW24" s="26">
        <f>IF(GW$2=InputTable[[#This Row],[Delivery Date]],_xlfn.XLOOKUP(GW$1,$BH$2:$BR$2,$BH24:$BR24,0),0)</f>
        <v>0</v>
      </c>
      <c r="GX24" s="26">
        <f>IF(GX$2=InputTable[[#This Row],[Delivery Date]],_xlfn.XLOOKUP(GX$1,$BH$2:$BR$2,$BH24:$BR24,0),0)</f>
        <v>0</v>
      </c>
      <c r="GY24" s="26">
        <f>IF(GY$2=InputTable[[#This Row],[Delivery Date]],_xlfn.XLOOKUP(GY$1,$BH$2:$BR$2,$BH24:$BR24,0),0)</f>
        <v>0</v>
      </c>
      <c r="GZ24" s="26">
        <f>IF(GZ$2=InputTable[[#This Row],[Delivery Date]],_xlfn.XLOOKUP(GZ$1,$BH$2:$BR$2,$BH24:$BR24,0),0)</f>
        <v>0</v>
      </c>
      <c r="HA24" s="26">
        <f>IF(HA$2=InputTable[[#This Row],[Delivery Date]],_xlfn.XLOOKUP(HA$1,$BH$2:$BR$2,$BH24:$BR24,0),0)</f>
        <v>5</v>
      </c>
      <c r="HB24" s="26">
        <f>IF(HB$2=InputTable[[#This Row],[Delivery Date]],_xlfn.XLOOKUP(HB$1,$BH$2:$BR$2,$BH24:$BR24,0),0)</f>
        <v>0</v>
      </c>
      <c r="HC24" s="26">
        <f>IF(HC$2=InputTable[[#This Row],[Delivery Date]],_xlfn.XLOOKUP(HC$1,$BH$2:$BR$2,$BH24:$BR24,0),0)</f>
        <v>0</v>
      </c>
      <c r="HD24" s="26">
        <f>IF(HD$2=InputTable[[#This Row],[Delivery Date]],_xlfn.XLOOKUP(HD$1,$BH$2:$BR$2,$BH24:$BR24,0),0)</f>
        <v>0</v>
      </c>
      <c r="HF24" s="26" t="e">
        <f>IF(HF$2=InputTable[[#This Row],[Delivery Date]],_xlfn.XLOOKUP(HF$1,$BH$2:$BR$2,$BH24:$BR24,0),0)</f>
        <v>#REF!</v>
      </c>
      <c r="HG24" s="26">
        <f>IF(HG$2=InputTable[[#This Row],[Delivery Date]],_xlfn.XLOOKUP(HG$1,$BH$2:$BR$2,$BH24:$BR24,0),0)</f>
        <v>0</v>
      </c>
      <c r="HH24" s="26">
        <f>IF(HH$2=InputTable[[#This Row],[Delivery Date]],_xlfn.XLOOKUP(HH$1,$BH$2:$BR$2,$BH24:$BR24,0),0)</f>
        <v>0</v>
      </c>
      <c r="HI24" s="26">
        <f>IF(HI$2=InputTable[[#This Row],[Delivery Date]],_xlfn.XLOOKUP(HI$1,$BH$2:$BR$2,$BH24:$BR24,0),0)</f>
        <v>0</v>
      </c>
      <c r="HJ24" s="26">
        <f>IF(HJ$2=InputTable[[#This Row],[Delivery Date]],_xlfn.XLOOKUP(HJ$1,$BH$2:$BR$2,$BH24:$BR24,0),0)</f>
        <v>0</v>
      </c>
      <c r="HK24" s="26">
        <f>IF(HK$2=InputTable[[#This Row],[Delivery Date]],_xlfn.XLOOKUP(HK$1,$BH$2:$BR$2,$BH24:$BR24,0),0)</f>
        <v>0</v>
      </c>
      <c r="HL24" s="26">
        <f>IF(HL$2=InputTable[[#This Row],[Delivery Date]],_xlfn.XLOOKUP(HL$1,$BH$2:$BR$2,$BH24:$BR24,0),0)</f>
        <v>0</v>
      </c>
      <c r="HM24" s="26">
        <f>IF(HM$2=InputTable[[#This Row],[Delivery Date]],_xlfn.XLOOKUP(HM$1,$BH$2:$BR$2,$BH24:$BR24,0),0)</f>
        <v>0</v>
      </c>
      <c r="HN24" s="26">
        <f>IF(HN$2=InputTable[[#This Row],[Delivery Date]],_xlfn.XLOOKUP(HN$1,$BH$2:$BR$2,$BH24:$BR24,0),0)</f>
        <v>0</v>
      </c>
      <c r="HP24" s="26" t="e">
        <f>IF(HP$2=InputTable[[#This Row],[Delivery Date]],_xlfn.XLOOKUP(HP$1,$BH$2:$BR$2,$BH24:$BR24,0),0)</f>
        <v>#REF!</v>
      </c>
      <c r="HQ24" s="26">
        <f>IF(HQ$2=InputTable[[#This Row],[Delivery Date]],_xlfn.XLOOKUP(HQ$1,$BH$2:$BR$2,$BH24:$BR24,0),0)</f>
        <v>0</v>
      </c>
      <c r="HR24" s="26">
        <f>IF(HR$2=InputTable[[#This Row],[Delivery Date]],_xlfn.XLOOKUP(HR$1,$BH$2:$BR$2,$BH24:$BR24,0),0)</f>
        <v>0</v>
      </c>
      <c r="HS24" s="26">
        <f>IF(HS$2=InputTable[[#This Row],[Delivery Date]],_xlfn.XLOOKUP(HS$1,$BH$2:$BR$2,$BH24:$BR24,0),0)</f>
        <v>0</v>
      </c>
      <c r="HT24" s="26">
        <f>IF(HT$2=InputTable[[#This Row],[Delivery Date]],_xlfn.XLOOKUP(HT$1,$BH$2:$BR$2,$BH24:$BR24,0),0)</f>
        <v>0</v>
      </c>
      <c r="HU24" s="26">
        <f>IF(HU$2=InputTable[[#This Row],[Delivery Date]],_xlfn.XLOOKUP(HU$1,$BH$2:$BR$2,$BH24:$BR24,0),0)</f>
        <v>0</v>
      </c>
      <c r="HV24" s="26">
        <f>IF(HV$2=InputTable[[#This Row],[Delivery Date]],_xlfn.XLOOKUP(HV$1,$BH$2:$BR$2,$BH24:$BR24,0),0)</f>
        <v>0</v>
      </c>
      <c r="HW24" s="26">
        <f>IF(HW$2=InputTable[[#This Row],[Delivery Date]],_xlfn.XLOOKUP(HW$1,$BH$2:$BR$2,$BH24:$BR24,0),0)</f>
        <v>0</v>
      </c>
      <c r="HX24" s="26">
        <f>IF(HX$2=InputTable[[#This Row],[Delivery Date]],_xlfn.XLOOKUP(HX$1,$BH$2:$BR$2,$BH24:$BR24,0),0)</f>
        <v>0</v>
      </c>
      <c r="HZ24" s="26" t="e">
        <f>IF(HZ$2=InputTable[[#This Row],[Delivery Date]],_xlfn.XLOOKUP(HZ$1,$BH$2:$BR$2,$BH24:$BR24,0),0)</f>
        <v>#REF!</v>
      </c>
      <c r="IA24" s="26">
        <f>IF(IA$2=InputTable[[#This Row],[Delivery Date]],_xlfn.XLOOKUP(IA$1,$BH$2:$BR$2,$BH24:$BR24,0),0)</f>
        <v>0</v>
      </c>
      <c r="IB24" s="26">
        <f>IF(IB$2=InputTable[[#This Row],[Delivery Date]],_xlfn.XLOOKUP(IB$1,$BH$2:$BR$2,$BH24:$BR24,0),0)</f>
        <v>0</v>
      </c>
      <c r="IC24" s="26">
        <f>IF(IC$2=InputTable[[#This Row],[Delivery Date]],_xlfn.XLOOKUP(IC$1,$BH$2:$BR$2,$BH24:$BR24,0),0)</f>
        <v>0</v>
      </c>
      <c r="ID24" s="26">
        <f>IF(ID$2=InputTable[[#This Row],[Delivery Date]],_xlfn.XLOOKUP(ID$1,$BH$2:$BR$2,$BH24:$BR24,0),0)</f>
        <v>0</v>
      </c>
      <c r="IE24" s="26">
        <f>IF(IE$2=InputTable[[#This Row],[Delivery Date]],_xlfn.XLOOKUP(IE$1,$BH$2:$BR$2,$BH24:$BR24,0),0)</f>
        <v>0</v>
      </c>
      <c r="IF24" s="26">
        <f>IF(IF$2=InputTable[[#This Row],[Delivery Date]],_xlfn.XLOOKUP(IF$1,$BH$2:$BR$2,$BH24:$BR24,0),0)</f>
        <v>0</v>
      </c>
      <c r="IG24" s="26">
        <f>IF(IG$2=InputTable[[#This Row],[Delivery Date]],_xlfn.XLOOKUP(IG$1,$BH$2:$BR$2,$BH24:$BR24,0),0)</f>
        <v>0</v>
      </c>
      <c r="IH24" s="26">
        <f>IF(IH$2=InputTable[[#This Row],[Delivery Date]],_xlfn.XLOOKUP(IH$1,$BH$2:$BR$2,$BH24:$BR24,0),0)</f>
        <v>0</v>
      </c>
      <c r="IJ24" s="26" t="e">
        <f>IF(IJ$2=InputTable[[#This Row],[Delivery Date]],_xlfn.XLOOKUP(IJ$1,$BH$2:$BR$2,$BH24:$BR24,0),0)</f>
        <v>#REF!</v>
      </c>
      <c r="IK24" s="26">
        <f>IF(IK$2=InputTable[[#This Row],[Delivery Date]],_xlfn.XLOOKUP(IK$1,$BH$2:$BR$2,$BH24:$BR24,0),0)</f>
        <v>0</v>
      </c>
      <c r="IL24" s="26">
        <f>IF(IL$2=InputTable[[#This Row],[Delivery Date]],_xlfn.XLOOKUP(IL$1,$BH$2:$BR$2,$BH24:$BR24,0),0)</f>
        <v>0</v>
      </c>
      <c r="IM24" s="26">
        <f>IF(IM$2=InputTable[[#This Row],[Delivery Date]],_xlfn.XLOOKUP(IM$1,$BH$2:$BR$2,$BH24:$BR24,0),0)</f>
        <v>0</v>
      </c>
      <c r="IN24" s="26">
        <f>IF(IN$2=InputTable[[#This Row],[Delivery Date]],_xlfn.XLOOKUP(IN$1,$BH$2:$BR$2,$BH24:$BR24,0),0)</f>
        <v>0</v>
      </c>
      <c r="IO24" s="26">
        <f>IF(IO$2=InputTable[[#This Row],[Delivery Date]],_xlfn.XLOOKUP(IO$1,$BH$2:$BR$2,$BH24:$BR24,0),0)</f>
        <v>0</v>
      </c>
      <c r="IP24" s="26">
        <f>IF(IP$2=InputTable[[#This Row],[Delivery Date]],_xlfn.XLOOKUP(IP$1,$BH$2:$BR$2,$BH24:$BR24,0),0)</f>
        <v>0</v>
      </c>
      <c r="IQ24" s="26">
        <f>IF(IQ$2=InputTable[[#This Row],[Delivery Date]],_xlfn.XLOOKUP(IQ$1,$BH$2:$BR$2,$BH24:$BR24,0),0)</f>
        <v>0</v>
      </c>
      <c r="IR24" s="26">
        <f>IF(IR$2=InputTable[[#This Row],[Delivery Date]],_xlfn.XLOOKUP(IR$1,$BH$2:$BR$2,$BH24:$BR24,0),0)</f>
        <v>0</v>
      </c>
      <c r="IT24" s="26" t="e">
        <f>IF(IT$2=InputTable[[#This Row],[Delivery Date]],_xlfn.XLOOKUP(IT$1,$BH$2:$BR$2,$BH24:$BR24,0),0)</f>
        <v>#REF!</v>
      </c>
      <c r="IU24" s="26">
        <f>IF(IU$2=InputTable[[#This Row],[Delivery Date]],_xlfn.XLOOKUP(IU$1,$BH$2:$BR$2,$BH24:$BR24,0),0)</f>
        <v>0</v>
      </c>
      <c r="IV24" s="26">
        <f>IF(IV$2=InputTable[[#This Row],[Delivery Date]],_xlfn.XLOOKUP(IV$1,$BH$2:$BR$2,$BH24:$BR24,0),0)</f>
        <v>0</v>
      </c>
      <c r="IW24" s="26">
        <f>IF(IW$2=InputTable[[#This Row],[Delivery Date]],_xlfn.XLOOKUP(IW$1,$BH$2:$BR$2,$BH24:$BR24,0),0)</f>
        <v>0</v>
      </c>
      <c r="IX24" s="26">
        <f>IF(IX$2=InputTable[[#This Row],[Delivery Date]],_xlfn.XLOOKUP(IX$1,$BH$2:$BR$2,$BH24:$BR24,0),0)</f>
        <v>0</v>
      </c>
      <c r="IY24" s="26">
        <f>IF(IY$2=InputTable[[#This Row],[Delivery Date]],_xlfn.XLOOKUP(IY$1,$BH$2:$BR$2,$BH24:$BR24,0),0)</f>
        <v>0</v>
      </c>
      <c r="IZ24" s="26">
        <f>IF(IZ$2=InputTable[[#This Row],[Delivery Date]],_xlfn.XLOOKUP(IZ$1,$BH$2:$BR$2,$BH24:$BR24,0),0)</f>
        <v>0</v>
      </c>
      <c r="JA24" s="26">
        <f>IF(JA$2=InputTable[[#This Row],[Delivery Date]],_xlfn.XLOOKUP(JA$1,$BH$2:$BR$2,$BH24:$BR24,0),0)</f>
        <v>0</v>
      </c>
      <c r="JB24" s="26">
        <f>IF(JB$2=InputTable[[#This Row],[Delivery Date]],_xlfn.XLOOKUP(JB$1,$BH$2:$BR$2,$BH24:$BR24,0),0)</f>
        <v>0</v>
      </c>
      <c r="JD24" s="26" t="e">
        <f>IF(JD$2=InputTable[[#This Row],[Delivery Date]],_xlfn.XLOOKUP(JD$1,$BH$2:$BR$2,$BH24:$BR24,0),0)</f>
        <v>#REF!</v>
      </c>
      <c r="JE24" s="26">
        <f>IF(JE$2=InputTable[[#This Row],[Delivery Date]],_xlfn.XLOOKUP(JE$1,$BH$2:$BR$2,$BH24:$BR24,0),0)</f>
        <v>0</v>
      </c>
      <c r="JF24" s="26">
        <f>IF(JF$2=InputTable[[#This Row],[Delivery Date]],_xlfn.XLOOKUP(JF$1,$BH$2:$BR$2,$BH24:$BR24,0),0)</f>
        <v>0</v>
      </c>
      <c r="JG24" s="26">
        <f>IF(JG$2=InputTable[[#This Row],[Delivery Date]],_xlfn.XLOOKUP(JG$1,$BH$2:$BR$2,$BH24:$BR24,0),0)</f>
        <v>0</v>
      </c>
      <c r="JH24" s="26">
        <f>IF(JH$2=InputTable[[#This Row],[Delivery Date]],_xlfn.XLOOKUP(JH$1,$BH$2:$BR$2,$BH24:$BR24,0),0)</f>
        <v>0</v>
      </c>
      <c r="JI24" s="26">
        <f>IF(JI$2=InputTable[[#This Row],[Delivery Date]],_xlfn.XLOOKUP(JI$1,$BH$2:$BR$2,$BH24:$BR24,0),0)</f>
        <v>0</v>
      </c>
      <c r="JJ24" s="26">
        <f>IF(JJ$2=InputTable[[#This Row],[Delivery Date]],_xlfn.XLOOKUP(JJ$1,$BH$2:$BR$2,$BH24:$BR24,0),0)</f>
        <v>0</v>
      </c>
      <c r="JK24" s="26">
        <f>IF(JK$2=InputTable[[#This Row],[Delivery Date]],_xlfn.XLOOKUP(JK$1,$BH$2:$BR$2,$BH24:$BR24,0),0)</f>
        <v>0</v>
      </c>
      <c r="JL24" s="26">
        <f>IF(JL$2=InputTable[[#This Row],[Delivery Date]],_xlfn.XLOOKUP(JL$1,$BH$2:$BR$2,$BH24:$BR24,0),0)</f>
        <v>0</v>
      </c>
      <c r="JN24" s="26" t="e">
        <f>IF(JN$2=InputTable[[#This Row],[Delivery Date]],_xlfn.XLOOKUP(JN$1,$BH$2:$BR$2,$BH24:$BR24,0),0)</f>
        <v>#REF!</v>
      </c>
      <c r="JO24" s="26">
        <f>IF(JO$2=InputTable[[#This Row],[Delivery Date]],_xlfn.XLOOKUP(JO$1,$BH$2:$BR$2,$BH24:$BR24,0),0)</f>
        <v>0</v>
      </c>
      <c r="JP24" s="26">
        <f>IF(JP$2=InputTable[[#This Row],[Delivery Date]],_xlfn.XLOOKUP(JP$1,$BH$2:$BR$2,$BH24:$BR24,0),0)</f>
        <v>0</v>
      </c>
      <c r="JQ24" s="26">
        <f>IF(JQ$2=InputTable[[#This Row],[Delivery Date]],_xlfn.XLOOKUP(JQ$1,$BH$2:$BR$2,$BH24:$BR24,0),0)</f>
        <v>0</v>
      </c>
      <c r="JR24" s="26">
        <f>IF(JR$2=InputTable[[#This Row],[Delivery Date]],_xlfn.XLOOKUP(JR$1,$BH$2:$BR$2,$BH24:$BR24,0),0)</f>
        <v>0</v>
      </c>
      <c r="JS24" s="26">
        <f>IF(JS$2=InputTable[[#This Row],[Delivery Date]],_xlfn.XLOOKUP(JS$1,$BH$2:$BR$2,$BH24:$BR24,0),0)</f>
        <v>0</v>
      </c>
      <c r="JT24" s="26">
        <f>IF(JT$2=InputTable[[#This Row],[Delivery Date]],_xlfn.XLOOKUP(JT$1,$BH$2:$BR$2,$BH24:$BR24,0),0)</f>
        <v>0</v>
      </c>
      <c r="JU24" s="26">
        <f>IF(JU$2=InputTable[[#This Row],[Delivery Date]],_xlfn.XLOOKUP(JU$1,$BH$2:$BR$2,$BH24:$BR24,0),0)</f>
        <v>0</v>
      </c>
      <c r="JV24" s="26">
        <f>IF(JV$2=InputTable[[#This Row],[Delivery Date]],_xlfn.XLOOKUP(JV$1,$BH$2:$BR$2,$BH24:$BR24,0),0)</f>
        <v>0</v>
      </c>
      <c r="JX24" s="26" t="e">
        <f>IF(JX$2=InputTable[[#This Row],[Delivery Date]],_xlfn.XLOOKUP(JX$1,$BH$2:$BR$2,$BH24:$BR24,0),0)</f>
        <v>#REF!</v>
      </c>
      <c r="JY24" s="26">
        <f>IF(JY$2=InputTable[[#This Row],[Delivery Date]],_xlfn.XLOOKUP(JY$1,$BH$2:$BR$2,$BH24:$BR24,0),0)</f>
        <v>0</v>
      </c>
      <c r="JZ24" s="26">
        <f>IF(JZ$2=InputTable[[#This Row],[Delivery Date]],_xlfn.XLOOKUP(JZ$1,$BH$2:$BR$2,$BH24:$BR24,0),0)</f>
        <v>0</v>
      </c>
      <c r="KA24" s="26">
        <f>IF(KA$2=InputTable[[#This Row],[Delivery Date]],_xlfn.XLOOKUP(KA$1,$BH$2:$BR$2,$BH24:$BR24,0),0)</f>
        <v>0</v>
      </c>
      <c r="KB24" s="26">
        <f>IF(KB$2=InputTable[[#This Row],[Delivery Date]],_xlfn.XLOOKUP(KB$1,$BH$2:$BR$2,$BH24:$BR24,0),0)</f>
        <v>0</v>
      </c>
      <c r="KC24" s="26">
        <f>IF(KC$2=InputTable[[#This Row],[Delivery Date]],_xlfn.XLOOKUP(KC$1,$BH$2:$BR$2,$BH24:$BR24,0),0)</f>
        <v>0</v>
      </c>
      <c r="KD24" s="26">
        <f>IF(KD$2=InputTable[[#This Row],[Delivery Date]],_xlfn.XLOOKUP(KD$1,$BH$2:$BR$2,$BH24:$BR24,0),0)</f>
        <v>0</v>
      </c>
      <c r="KE24" s="26">
        <f>IF(KE$2=InputTable[[#This Row],[Delivery Date]],_xlfn.XLOOKUP(KE$1,$BH$2:$BR$2,$BH24:$BR24,0),0)</f>
        <v>0</v>
      </c>
      <c r="KF24" s="26">
        <f>IF(KF$2=InputTable[[#This Row],[Delivery Date]],_xlfn.XLOOKUP(KF$1,$BH$2:$BR$2,$BH24:$BR24,0),0)</f>
        <v>0</v>
      </c>
    </row>
    <row r="25" spans="1:292" ht="39.6" customHeight="1" x14ac:dyDescent="0.25">
      <c r="A25" s="141"/>
      <c r="B25" s="141" t="s">
        <v>104</v>
      </c>
      <c r="C25" s="92" t="s">
        <v>61</v>
      </c>
      <c r="D25" s="125" t="s">
        <v>188</v>
      </c>
      <c r="E25" s="193" t="s">
        <v>189</v>
      </c>
      <c r="F25" s="92" t="s">
        <v>61</v>
      </c>
      <c r="G25" s="92">
        <v>2026</v>
      </c>
      <c r="H25" s="92"/>
      <c r="I25" s="92">
        <v>2026</v>
      </c>
      <c r="J25" s="126"/>
      <c r="K25" s="95" t="str">
        <f>VLOOKUP((InputTable[[#This Row],[Starting Date]]&amp; " - " &amp;InputTable[[#This Row],[Delivery Date]]),'System List'!$F$40:$H$83,2,FALSE)</f>
        <v>1 to 2 years</v>
      </c>
      <c r="L25" s="95">
        <f>VLOOKUP(InputTable[[#This Row],[Duration]],Duration,2,FALSE)</f>
        <v>8</v>
      </c>
      <c r="M25" s="125"/>
      <c r="N25" s="92"/>
      <c r="O25" s="92"/>
      <c r="P25" s="92" t="s">
        <v>111</v>
      </c>
      <c r="Q25" s="92" t="s">
        <v>100</v>
      </c>
      <c r="R25" s="92" t="s">
        <v>139</v>
      </c>
      <c r="S25" s="92"/>
      <c r="T25" s="95" cm="1">
        <f t="array" ref="T2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4.6999999999999993</v>
      </c>
      <c r="U25" s="138"/>
      <c r="V25" s="92"/>
      <c r="W25" s="92"/>
      <c r="X25" s="92"/>
      <c r="Y25" s="92"/>
      <c r="Z25" s="98"/>
      <c r="AA25" s="92"/>
      <c r="AB25" s="92"/>
      <c r="AC25" s="92"/>
      <c r="AD25" s="92">
        <f>COUNTA(InputTable[[#This Row],[CORPHRFIN]:[SALES]])</f>
        <v>0</v>
      </c>
      <c r="AE25" s="88" cm="1">
        <f t="array" ref="AE25">SUM(
_xlfn.XLOOKUP(InputTable[[#This Row],[CORPHRFIN]:[SALES]],'System List'!$F$4:$F$7,'System List'!$H$4:$H$7,0))</f>
        <v>0</v>
      </c>
      <c r="AF25" s="140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88" cm="1">
        <f t="array" ref="AR25">SUM(
_xlfn.XLOOKUP(InputTable[[#This Row],[Impact on - CIAL]:[Impact on - STRAT]],'System List'!$F$4:$F$7,'System List'!$H$4:$H$7,0))</f>
        <v>0</v>
      </c>
      <c r="AS25" s="88">
        <f>VLOOKUP(InputTable[[#This Row],[Duration]],Duration,2,FALSE)+InputTable[[#This Row],[Resource Score]]</f>
        <v>8</v>
      </c>
      <c r="AT2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5" s="24">
        <f>InputTable[[#This Row],[Value Score]]/InputTable[[#This Row],[EFFORT SCORE]]*100</f>
        <v>58.749999999999993</v>
      </c>
      <c r="AV25" s="25"/>
      <c r="AW25" s="25" t="s">
        <v>190</v>
      </c>
      <c r="AX25" s="208"/>
      <c r="AY25" s="25"/>
      <c r="AZ25" s="209"/>
      <c r="BA25" s="209"/>
      <c r="BB25" s="209"/>
      <c r="BC25" s="189"/>
      <c r="BD25" s="188"/>
      <c r="BE25" s="188"/>
      <c r="BF25" s="70"/>
      <c r="BH25" s="2">
        <f>IFERROR(VLOOKUP(InputTable[[#This Row],[Impact on - CIAL]],'System List'!$F$4:$H$7,3,FALSE),0)</f>
        <v>0</v>
      </c>
      <c r="BI25" s="2">
        <f>IFERROR(VLOOKUP(InputTable[[#This Row],[Impact on - COM]],'System List'!$F$4:$H$7,3,FALSE),0)</f>
        <v>0</v>
      </c>
      <c r="BJ25" s="2">
        <f>IFERROR(VLOOKUP(InputTable[[#This Row],[Impact on - FIN]],'System List'!$F$4:$H$7,3,FALSE),0)</f>
        <v>0</v>
      </c>
      <c r="BK25" s="2">
        <f>IFERROR(VLOOKUP(InputTable[[#This Row],[Impact on - GEN SEC]],'System List'!$F$4:$H$7,3,FALSE),0)</f>
        <v>0</v>
      </c>
      <c r="BL25" s="2">
        <f>IFERROR(VLOOKUP(InputTable[[#This Row],[Impact on - HR]],'System List'!$F$4:$H$7,3,FALSE),0)</f>
        <v>0</v>
      </c>
      <c r="BM25" s="2">
        <f>IFERROR(VLOOKUP(InputTable[[#This Row],[Impact on - IS]],'System List'!$F$4:$H$7,3,FALSE),0)</f>
        <v>0</v>
      </c>
      <c r="BN25" s="2">
        <f>IFERROR(VLOOKUP(InputTable[[#This Row],[Impact on - OPS]],'System List'!$F$4:$H$7,3,FALSE),0)</f>
        <v>0</v>
      </c>
      <c r="BO25" s="2">
        <f>IFERROR(VLOOKUP(InputTable[[#This Row],[Impact on - ROLL STOCK]],'System List'!$F$4:$H$7,3,FALSE),0)</f>
        <v>0</v>
      </c>
      <c r="BP25" s="2">
        <f>IFERROR(VLOOKUP(InputTable[[#This Row],[Impact on - SAFETY]],'System List'!$F$4:$H$7,3,FALSE),0)</f>
        <v>0</v>
      </c>
      <c r="BQ25" s="2">
        <f>IFERROR(VLOOKUP(InputTable[[#This Row],[Impact on - STATION]],'System List'!$F$4:$H$7,3,FALSE),0)</f>
        <v>0</v>
      </c>
      <c r="BR25" s="2">
        <f>IFERROR(VLOOKUP(InputTable[[#This Row],[Impact on - STRAT]],'System List'!$F$4:$H$7,3,FALSE),0)</f>
        <v>0</v>
      </c>
      <c r="BT25" s="2">
        <f>IFERROR(VLOOKUP(InputTable[[#This Row],[CORPHRFIN]],'System List'!$F$4:$H$7,3,FALSE),0)</f>
        <v>0</v>
      </c>
      <c r="BU25" s="2">
        <f>IFERROR(VLOOKUP(InputTable[[#This Row],[CUST]],'System List'!$F$4:$H$7,3,FALSE),0)</f>
        <v>0</v>
      </c>
      <c r="BV25" s="2">
        <f>IFERROR(VLOOKUP(InputTable[[#This Row],[CYBER]],'System List'!$F$4:$H$7,3,FALSE),0)</f>
        <v>0</v>
      </c>
      <c r="BW25" s="2">
        <f>IFERROR(VLOOKUP(InputTable[[#This Row],[DATA]],'System List'!$F$4:$H$7,3,FALSE),0)</f>
        <v>0</v>
      </c>
      <c r="BX25" s="2">
        <f>IFERROR(VLOOKUP(InputTable[[#This Row],[INFRA]],'System List'!$F$4:$H$7,3,FALSE),0)</f>
        <v>0</v>
      </c>
      <c r="BY25" s="2">
        <f>IFERROR(VLOOKUP(InputTable[[#This Row],[OPERATIONS]],'System List'!$F$4:$H$7,3,FALSE),0)</f>
        <v>0</v>
      </c>
      <c r="BZ25" s="2">
        <f>IFERROR(VLOOKUP(InputTable[[#This Row],[PMO]],'System List'!$F$4:$H$7,3,FALSE),0)</f>
        <v>0</v>
      </c>
      <c r="CA25" s="2">
        <f>IFERROR(VLOOKUP(InputTable[[#This Row],[SALES]],'System List'!$F$4:$H$7,3,FALSE),0)</f>
        <v>0</v>
      </c>
      <c r="CC25" s="2" cm="1">
        <f t="array" ref="CC2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5" s="2" cm="1">
        <f t="array" ref="CD2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5" s="2" cm="1">
        <f t="array" ref="CE2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5" s="2" cm="1">
        <f t="array" ref="CF2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5" s="2" cm="1">
        <f t="array" ref="CG2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5" s="2" cm="1">
        <f t="array" ref="CH2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5" s="2" cm="1">
        <f t="array" ref="CI2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5" s="2" cm="1">
        <f t="array" ref="CJ2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5" s="2" cm="1">
        <f t="array" ref="CK2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5" s="26">
        <f t="shared" si="78"/>
        <v>0</v>
      </c>
      <c r="CY25" s="26">
        <f t="shared" si="79"/>
        <v>0</v>
      </c>
      <c r="CZ25" s="26">
        <f t="shared" si="80"/>
        <v>0</v>
      </c>
      <c r="DA25" s="26">
        <f t="shared" si="81"/>
        <v>0</v>
      </c>
      <c r="DB25" s="26">
        <f t="shared" si="82"/>
        <v>0</v>
      </c>
      <c r="DC25" s="26">
        <f t="shared" si="83"/>
        <v>0</v>
      </c>
      <c r="DD25" s="26">
        <f t="shared" si="84"/>
        <v>0</v>
      </c>
      <c r="DE25" s="26">
        <f t="shared" si="85"/>
        <v>0</v>
      </c>
      <c r="DF25" s="26">
        <f t="shared" si="86"/>
        <v>0</v>
      </c>
      <c r="DH25" s="26">
        <f t="shared" si="87"/>
        <v>0</v>
      </c>
      <c r="DI25" s="26">
        <f t="shared" si="88"/>
        <v>0</v>
      </c>
      <c r="DJ25" s="26">
        <f t="shared" si="89"/>
        <v>0</v>
      </c>
      <c r="DK25" s="26">
        <f t="shared" si="90"/>
        <v>0</v>
      </c>
      <c r="DL25" s="26">
        <f t="shared" si="91"/>
        <v>0</v>
      </c>
      <c r="DM25" s="26">
        <f t="shared" si="92"/>
        <v>0</v>
      </c>
      <c r="DN25" s="26">
        <f t="shared" si="93"/>
        <v>0</v>
      </c>
      <c r="DO25" s="26">
        <f t="shared" si="94"/>
        <v>0</v>
      </c>
      <c r="DP25" s="26">
        <f t="shared" si="95"/>
        <v>0</v>
      </c>
      <c r="DR25" s="26">
        <f t="shared" si="96"/>
        <v>0</v>
      </c>
      <c r="DS25" s="26">
        <f t="shared" si="97"/>
        <v>0</v>
      </c>
      <c r="DT25" s="26">
        <f t="shared" si="98"/>
        <v>0</v>
      </c>
      <c r="DU25" s="26">
        <f t="shared" si="99"/>
        <v>0</v>
      </c>
      <c r="DV25" s="26">
        <f t="shared" si="100"/>
        <v>0</v>
      </c>
      <c r="DW25" s="26">
        <f t="shared" si="101"/>
        <v>0</v>
      </c>
      <c r="DX25" s="26">
        <f t="shared" si="102"/>
        <v>0</v>
      </c>
      <c r="DY25" s="26">
        <f t="shared" si="103"/>
        <v>0</v>
      </c>
      <c r="DZ25" s="26">
        <f t="shared" si="104"/>
        <v>0</v>
      </c>
      <c r="EB25" s="26">
        <f t="shared" si="105"/>
        <v>0</v>
      </c>
      <c r="EC25" s="26">
        <f t="shared" si="106"/>
        <v>0</v>
      </c>
      <c r="ED25" s="26">
        <f t="shared" si="107"/>
        <v>0</v>
      </c>
      <c r="EE25" s="26">
        <f t="shared" si="108"/>
        <v>0</v>
      </c>
      <c r="EF25" s="26">
        <f t="shared" si="109"/>
        <v>0</v>
      </c>
      <c r="EG25" s="26">
        <f t="shared" si="110"/>
        <v>0</v>
      </c>
      <c r="EH25" s="26">
        <f t="shared" si="111"/>
        <v>0</v>
      </c>
      <c r="EI25" s="26">
        <f t="shared" si="112"/>
        <v>0</v>
      </c>
      <c r="EJ25" s="26">
        <f t="shared" si="113"/>
        <v>0</v>
      </c>
      <c r="EL25" s="26">
        <f t="shared" si="114"/>
        <v>0</v>
      </c>
      <c r="EM25" s="26">
        <f t="shared" si="115"/>
        <v>0</v>
      </c>
      <c r="EN25" s="26">
        <f t="shared" si="116"/>
        <v>0</v>
      </c>
      <c r="EO25" s="26">
        <f t="shared" si="117"/>
        <v>0</v>
      </c>
      <c r="EP25" s="26">
        <f t="shared" si="118"/>
        <v>0</v>
      </c>
      <c r="EQ25" s="26">
        <f t="shared" si="119"/>
        <v>0</v>
      </c>
      <c r="ER25" s="26">
        <f t="shared" si="120"/>
        <v>0</v>
      </c>
      <c r="ES25" s="26">
        <f t="shared" si="121"/>
        <v>0</v>
      </c>
      <c r="ET25" s="26">
        <f t="shared" si="122"/>
        <v>0</v>
      </c>
      <c r="EV25" s="26">
        <f t="shared" si="123"/>
        <v>0</v>
      </c>
      <c r="EW25" s="26">
        <f t="shared" si="124"/>
        <v>0</v>
      </c>
      <c r="EX25" s="26">
        <f t="shared" si="125"/>
        <v>0</v>
      </c>
      <c r="EY25" s="26">
        <f t="shared" si="126"/>
        <v>0</v>
      </c>
      <c r="EZ25" s="26">
        <f t="shared" si="127"/>
        <v>0</v>
      </c>
      <c r="FA25" s="26">
        <f t="shared" si="128"/>
        <v>0</v>
      </c>
      <c r="FB25" s="26">
        <f t="shared" si="129"/>
        <v>0</v>
      </c>
      <c r="FC25" s="26">
        <f t="shared" si="130"/>
        <v>0</v>
      </c>
      <c r="FD25" s="26">
        <f t="shared" si="131"/>
        <v>0</v>
      </c>
      <c r="FF25" s="26">
        <f t="shared" si="132"/>
        <v>0</v>
      </c>
      <c r="FG25" s="26">
        <f t="shared" si="133"/>
        <v>0</v>
      </c>
      <c r="FH25" s="26">
        <f t="shared" si="134"/>
        <v>0</v>
      </c>
      <c r="FI25" s="26">
        <f t="shared" si="135"/>
        <v>0</v>
      </c>
      <c r="FJ25" s="26">
        <f t="shared" si="136"/>
        <v>0</v>
      </c>
      <c r="FK25" s="26">
        <f t="shared" si="137"/>
        <v>0</v>
      </c>
      <c r="FL25" s="26">
        <f t="shared" si="138"/>
        <v>0</v>
      </c>
      <c r="FM25" s="26">
        <f t="shared" si="139"/>
        <v>0</v>
      </c>
      <c r="FN25" s="26">
        <f t="shared" si="140"/>
        <v>0</v>
      </c>
      <c r="FP25" s="26" t="e">
        <f t="shared" si="141"/>
        <v>#REF!</v>
      </c>
      <c r="FQ25" s="26" t="e">
        <f t="shared" si="142"/>
        <v>#REF!</v>
      </c>
      <c r="FR25" s="26" t="e">
        <f t="shared" si="143"/>
        <v>#REF!</v>
      </c>
      <c r="FS25" s="26" t="e">
        <f t="shared" si="144"/>
        <v>#REF!</v>
      </c>
      <c r="FT25" s="26" t="e">
        <f t="shared" si="145"/>
        <v>#REF!</v>
      </c>
      <c r="FU25" s="26" t="e">
        <f t="shared" si="146"/>
        <v>#REF!</v>
      </c>
      <c r="FV25" s="26" t="e">
        <f t="shared" si="147"/>
        <v>#REF!</v>
      </c>
      <c r="FW25" s="26" t="e">
        <f t="shared" si="148"/>
        <v>#REF!</v>
      </c>
      <c r="FX25" s="26" t="e">
        <f t="shared" si="149"/>
        <v>#REF!</v>
      </c>
      <c r="GB25" s="26" t="e">
        <f>IF(GB$2=InputTable[[#This Row],[Delivery Date]],_xlfn.XLOOKUP(GB$1,$BH$2:$BR$2,$BH25:$BR25,0),0)</f>
        <v>#REF!</v>
      </c>
      <c r="GC25" s="26">
        <f>IF(GC$2=InputTable[[#This Row],[Delivery Date]],_xlfn.XLOOKUP(GC$1,$BH$2:$BR$2,$BH25:$BR25,0),0)</f>
        <v>0</v>
      </c>
      <c r="GD25" s="26">
        <f>IF(GD$2=InputTable[[#This Row],[Delivery Date]],_xlfn.XLOOKUP(GD$1,$BH$2:$BR$2,$BH25:$BR25,0),0)</f>
        <v>0</v>
      </c>
      <c r="GE25" s="26">
        <f>IF(GE$2=InputTable[[#This Row],[Delivery Date]],_xlfn.XLOOKUP(GE$1,$BH$2:$BR$2,$BH25:$BR25,0),0)</f>
        <v>0</v>
      </c>
      <c r="GF25" s="26">
        <f>IF(GF$2=InputTable[[#This Row],[Delivery Date]],_xlfn.XLOOKUP(GF$1,$BH$2:$BR$2,$BH25:$BR25,0),0)</f>
        <v>0</v>
      </c>
      <c r="GG25" s="26">
        <f>IF(GG$2=InputTable[[#This Row],[Delivery Date]],_xlfn.XLOOKUP(GG$1,$BH$2:$BR$2,$BH25:$BR25,0),0)</f>
        <v>0</v>
      </c>
      <c r="GH25" s="26">
        <f>IF(GH$2=InputTable[[#This Row],[Delivery Date]],_xlfn.XLOOKUP(GH$1,$BH$2:$BR$2,$BH25:$BR25,0),0)</f>
        <v>0</v>
      </c>
      <c r="GI25" s="26">
        <f>IF(GI$2=InputTable[[#This Row],[Delivery Date]],_xlfn.XLOOKUP(GI$1,$BH$2:$BR$2,$BH25:$BR25,0),0)</f>
        <v>0</v>
      </c>
      <c r="GJ25" s="26">
        <f>IF(GJ$2=InputTable[[#This Row],[Delivery Date]],_xlfn.XLOOKUP(GJ$1,$BH$2:$BR$2,$BH25:$BR25,0),0)</f>
        <v>0</v>
      </c>
      <c r="GL25" s="26" t="e">
        <f>IF(GL$2=InputTable[[#This Row],[Delivery Date]],_xlfn.XLOOKUP(GL$1,$BH$2:$BR$2,$BH25:$BR25,0),0)</f>
        <v>#REF!</v>
      </c>
      <c r="GM25" s="26">
        <f>IF(GM$2=InputTable[[#This Row],[Delivery Date]],_xlfn.XLOOKUP(GM$1,$BH$2:$BR$2,$BH25:$BR25,0),0)</f>
        <v>0</v>
      </c>
      <c r="GN25" s="26">
        <f>IF(GN$2=InputTable[[#This Row],[Delivery Date]],_xlfn.XLOOKUP(GN$1,$BH$2:$BR$2,$BH25:$BR25,0),0)</f>
        <v>0</v>
      </c>
      <c r="GO25" s="26">
        <f>IF(GO$2=InputTable[[#This Row],[Delivery Date]],_xlfn.XLOOKUP(GO$1,$BH$2:$BR$2,$BH25:$BR25,0),0)</f>
        <v>0</v>
      </c>
      <c r="GP25" s="26">
        <f>IF(GP$2=InputTable[[#This Row],[Delivery Date]],_xlfn.XLOOKUP(GP$1,$BH$2:$BR$2,$BH25:$BR25,0),0)</f>
        <v>0</v>
      </c>
      <c r="GQ25" s="26">
        <f>IF(GQ$2=InputTable[[#This Row],[Delivery Date]],_xlfn.XLOOKUP(GQ$1,$BH$2:$BR$2,$BH25:$BR25,0),0)</f>
        <v>0</v>
      </c>
      <c r="GR25" s="26">
        <f>IF(GR$2=InputTable[[#This Row],[Delivery Date]],_xlfn.XLOOKUP(GR$1,$BH$2:$BR$2,$BH25:$BR25,0),0)</f>
        <v>0</v>
      </c>
      <c r="GS25" s="26">
        <f>IF(GS$2=InputTable[[#This Row],[Delivery Date]],_xlfn.XLOOKUP(GS$1,$BH$2:$BR$2,$BH25:$BR25,0),0)</f>
        <v>0</v>
      </c>
      <c r="GT25" s="26">
        <f>IF(GT$2=InputTable[[#This Row],[Delivery Date]],_xlfn.XLOOKUP(GT$1,$BH$2:$BR$2,$BH25:$BR25,0),0)</f>
        <v>0</v>
      </c>
      <c r="GV25" s="26" t="e">
        <f>IF(GV$2=InputTable[[#This Row],[Delivery Date]],_xlfn.XLOOKUP(GV$1,$BH$2:$BR$2,$BH25:$BR25,0),0)</f>
        <v>#REF!</v>
      </c>
      <c r="GW25" s="26">
        <f>IF(GW$2=InputTable[[#This Row],[Delivery Date]],_xlfn.XLOOKUP(GW$1,$BH$2:$BR$2,$BH25:$BR25,0),0)</f>
        <v>0</v>
      </c>
      <c r="GX25" s="26">
        <f>IF(GX$2=InputTable[[#This Row],[Delivery Date]],_xlfn.XLOOKUP(GX$1,$BH$2:$BR$2,$BH25:$BR25,0),0)</f>
        <v>0</v>
      </c>
      <c r="GY25" s="26">
        <f>IF(GY$2=InputTable[[#This Row],[Delivery Date]],_xlfn.XLOOKUP(GY$1,$BH$2:$BR$2,$BH25:$BR25,0),0)</f>
        <v>0</v>
      </c>
      <c r="GZ25" s="26">
        <f>IF(GZ$2=InputTable[[#This Row],[Delivery Date]],_xlfn.XLOOKUP(GZ$1,$BH$2:$BR$2,$BH25:$BR25,0),0)</f>
        <v>0</v>
      </c>
      <c r="HA25" s="26">
        <f>IF(HA$2=InputTable[[#This Row],[Delivery Date]],_xlfn.XLOOKUP(HA$1,$BH$2:$BR$2,$BH25:$BR25,0),0)</f>
        <v>0</v>
      </c>
      <c r="HB25" s="26">
        <f>IF(HB$2=InputTable[[#This Row],[Delivery Date]],_xlfn.XLOOKUP(HB$1,$BH$2:$BR$2,$BH25:$BR25,0),0)</f>
        <v>0</v>
      </c>
      <c r="HC25" s="26">
        <f>IF(HC$2=InputTable[[#This Row],[Delivery Date]],_xlfn.XLOOKUP(HC$1,$BH$2:$BR$2,$BH25:$BR25,0),0)</f>
        <v>0</v>
      </c>
      <c r="HD25" s="26">
        <f>IF(HD$2=InputTable[[#This Row],[Delivery Date]],_xlfn.XLOOKUP(HD$1,$BH$2:$BR$2,$BH25:$BR25,0),0)</f>
        <v>0</v>
      </c>
      <c r="HF25" s="26" t="e">
        <f>IF(HF$2=InputTable[[#This Row],[Delivery Date]],_xlfn.XLOOKUP(HF$1,$BH$2:$BR$2,$BH25:$BR25,0),0)</f>
        <v>#REF!</v>
      </c>
      <c r="HG25" s="26">
        <f>IF(HG$2=InputTable[[#This Row],[Delivery Date]],_xlfn.XLOOKUP(HG$1,$BH$2:$BR$2,$BH25:$BR25,0),0)</f>
        <v>0</v>
      </c>
      <c r="HH25" s="26">
        <f>IF(HH$2=InputTable[[#This Row],[Delivery Date]],_xlfn.XLOOKUP(HH$1,$BH$2:$BR$2,$BH25:$BR25,0),0)</f>
        <v>0</v>
      </c>
      <c r="HI25" s="26">
        <f>IF(HI$2=InputTable[[#This Row],[Delivery Date]],_xlfn.XLOOKUP(HI$1,$BH$2:$BR$2,$BH25:$BR25,0),0)</f>
        <v>0</v>
      </c>
      <c r="HJ25" s="26">
        <f>IF(HJ$2=InputTable[[#This Row],[Delivery Date]],_xlfn.XLOOKUP(HJ$1,$BH$2:$BR$2,$BH25:$BR25,0),0)</f>
        <v>0</v>
      </c>
      <c r="HK25" s="26">
        <f>IF(HK$2=InputTable[[#This Row],[Delivery Date]],_xlfn.XLOOKUP(HK$1,$BH$2:$BR$2,$BH25:$BR25,0),0)</f>
        <v>0</v>
      </c>
      <c r="HL25" s="26">
        <f>IF(HL$2=InputTable[[#This Row],[Delivery Date]],_xlfn.XLOOKUP(HL$1,$BH$2:$BR$2,$BH25:$BR25,0),0)</f>
        <v>0</v>
      </c>
      <c r="HM25" s="26">
        <f>IF(HM$2=InputTable[[#This Row],[Delivery Date]],_xlfn.XLOOKUP(HM$1,$BH$2:$BR$2,$BH25:$BR25,0),0)</f>
        <v>0</v>
      </c>
      <c r="HN25" s="26">
        <f>IF(HN$2=InputTable[[#This Row],[Delivery Date]],_xlfn.XLOOKUP(HN$1,$BH$2:$BR$2,$BH25:$BR25,0),0)</f>
        <v>0</v>
      </c>
      <c r="HP25" s="26" t="e">
        <f>IF(HP$2=InputTable[[#This Row],[Delivery Date]],_xlfn.XLOOKUP(HP$1,$BH$2:$BR$2,$BH25:$BR25,0),0)</f>
        <v>#REF!</v>
      </c>
      <c r="HQ25" s="26">
        <f>IF(HQ$2=InputTable[[#This Row],[Delivery Date]],_xlfn.XLOOKUP(HQ$1,$BH$2:$BR$2,$BH25:$BR25,0),0)</f>
        <v>0</v>
      </c>
      <c r="HR25" s="26">
        <f>IF(HR$2=InputTable[[#This Row],[Delivery Date]],_xlfn.XLOOKUP(HR$1,$BH$2:$BR$2,$BH25:$BR25,0),0)</f>
        <v>0</v>
      </c>
      <c r="HS25" s="26">
        <f>IF(HS$2=InputTable[[#This Row],[Delivery Date]],_xlfn.XLOOKUP(HS$1,$BH$2:$BR$2,$BH25:$BR25,0),0)</f>
        <v>0</v>
      </c>
      <c r="HT25" s="26">
        <f>IF(HT$2=InputTable[[#This Row],[Delivery Date]],_xlfn.XLOOKUP(HT$1,$BH$2:$BR$2,$BH25:$BR25,0),0)</f>
        <v>0</v>
      </c>
      <c r="HU25" s="26">
        <f>IF(HU$2=InputTable[[#This Row],[Delivery Date]],_xlfn.XLOOKUP(HU$1,$BH$2:$BR$2,$BH25:$BR25,0),0)</f>
        <v>0</v>
      </c>
      <c r="HV25" s="26">
        <f>IF(HV$2=InputTable[[#This Row],[Delivery Date]],_xlfn.XLOOKUP(HV$1,$BH$2:$BR$2,$BH25:$BR25,0),0)</f>
        <v>0</v>
      </c>
      <c r="HW25" s="26">
        <f>IF(HW$2=InputTable[[#This Row],[Delivery Date]],_xlfn.XLOOKUP(HW$1,$BH$2:$BR$2,$BH25:$BR25,0),0)</f>
        <v>0</v>
      </c>
      <c r="HX25" s="26">
        <f>IF(HX$2=InputTable[[#This Row],[Delivery Date]],_xlfn.XLOOKUP(HX$1,$BH$2:$BR$2,$BH25:$BR25,0),0)</f>
        <v>0</v>
      </c>
      <c r="HZ25" s="26" t="e">
        <f>IF(HZ$2=InputTable[[#This Row],[Delivery Date]],_xlfn.XLOOKUP(HZ$1,$BH$2:$BR$2,$BH25:$BR25,0),0)</f>
        <v>#REF!</v>
      </c>
      <c r="IA25" s="26">
        <f>IF(IA$2=InputTable[[#This Row],[Delivery Date]],_xlfn.XLOOKUP(IA$1,$BH$2:$BR$2,$BH25:$BR25,0),0)</f>
        <v>0</v>
      </c>
      <c r="IB25" s="26">
        <f>IF(IB$2=InputTable[[#This Row],[Delivery Date]],_xlfn.XLOOKUP(IB$1,$BH$2:$BR$2,$BH25:$BR25,0),0)</f>
        <v>0</v>
      </c>
      <c r="IC25" s="26">
        <f>IF(IC$2=InputTable[[#This Row],[Delivery Date]],_xlfn.XLOOKUP(IC$1,$BH$2:$BR$2,$BH25:$BR25,0),0)</f>
        <v>0</v>
      </c>
      <c r="ID25" s="26">
        <f>IF(ID$2=InputTable[[#This Row],[Delivery Date]],_xlfn.XLOOKUP(ID$1,$BH$2:$BR$2,$BH25:$BR25,0),0)</f>
        <v>0</v>
      </c>
      <c r="IE25" s="26">
        <f>IF(IE$2=InputTable[[#This Row],[Delivery Date]],_xlfn.XLOOKUP(IE$1,$BH$2:$BR$2,$BH25:$BR25,0),0)</f>
        <v>0</v>
      </c>
      <c r="IF25" s="26">
        <f>IF(IF$2=InputTable[[#This Row],[Delivery Date]],_xlfn.XLOOKUP(IF$1,$BH$2:$BR$2,$BH25:$BR25,0),0)</f>
        <v>0</v>
      </c>
      <c r="IG25" s="26">
        <f>IF(IG$2=InputTable[[#This Row],[Delivery Date]],_xlfn.XLOOKUP(IG$1,$BH$2:$BR$2,$BH25:$BR25,0),0)</f>
        <v>0</v>
      </c>
      <c r="IH25" s="26">
        <f>IF(IH$2=InputTable[[#This Row],[Delivery Date]],_xlfn.XLOOKUP(IH$1,$BH$2:$BR$2,$BH25:$BR25,0),0)</f>
        <v>0</v>
      </c>
      <c r="IJ25" s="26" t="e">
        <f>IF(IJ$2=InputTable[[#This Row],[Delivery Date]],_xlfn.XLOOKUP(IJ$1,$BH$2:$BR$2,$BH25:$BR25,0),0)</f>
        <v>#REF!</v>
      </c>
      <c r="IK25" s="26">
        <f>IF(IK$2=InputTable[[#This Row],[Delivery Date]],_xlfn.XLOOKUP(IK$1,$BH$2:$BR$2,$BH25:$BR25,0),0)</f>
        <v>0</v>
      </c>
      <c r="IL25" s="26">
        <f>IF(IL$2=InputTable[[#This Row],[Delivery Date]],_xlfn.XLOOKUP(IL$1,$BH$2:$BR$2,$BH25:$BR25,0),0)</f>
        <v>0</v>
      </c>
      <c r="IM25" s="26">
        <f>IF(IM$2=InputTable[[#This Row],[Delivery Date]],_xlfn.XLOOKUP(IM$1,$BH$2:$BR$2,$BH25:$BR25,0),0)</f>
        <v>0</v>
      </c>
      <c r="IN25" s="26">
        <f>IF(IN$2=InputTable[[#This Row],[Delivery Date]],_xlfn.XLOOKUP(IN$1,$BH$2:$BR$2,$BH25:$BR25,0),0)</f>
        <v>0</v>
      </c>
      <c r="IO25" s="26">
        <f>IF(IO$2=InputTable[[#This Row],[Delivery Date]],_xlfn.XLOOKUP(IO$1,$BH$2:$BR$2,$BH25:$BR25,0),0)</f>
        <v>0</v>
      </c>
      <c r="IP25" s="26">
        <f>IF(IP$2=InputTable[[#This Row],[Delivery Date]],_xlfn.XLOOKUP(IP$1,$BH$2:$BR$2,$BH25:$BR25,0),0)</f>
        <v>0</v>
      </c>
      <c r="IQ25" s="26">
        <f>IF(IQ$2=InputTable[[#This Row],[Delivery Date]],_xlfn.XLOOKUP(IQ$1,$BH$2:$BR$2,$BH25:$BR25,0),0)</f>
        <v>0</v>
      </c>
      <c r="IR25" s="26">
        <f>IF(IR$2=InputTable[[#This Row],[Delivery Date]],_xlfn.XLOOKUP(IR$1,$BH$2:$BR$2,$BH25:$BR25,0),0)</f>
        <v>0</v>
      </c>
      <c r="IT25" s="26" t="e">
        <f>IF(IT$2=InputTable[[#This Row],[Delivery Date]],_xlfn.XLOOKUP(IT$1,$BH$2:$BR$2,$BH25:$BR25,0),0)</f>
        <v>#REF!</v>
      </c>
      <c r="IU25" s="26">
        <f>IF(IU$2=InputTable[[#This Row],[Delivery Date]],_xlfn.XLOOKUP(IU$1,$BH$2:$BR$2,$BH25:$BR25,0),0)</f>
        <v>0</v>
      </c>
      <c r="IV25" s="26">
        <f>IF(IV$2=InputTable[[#This Row],[Delivery Date]],_xlfn.XLOOKUP(IV$1,$BH$2:$BR$2,$BH25:$BR25,0),0)</f>
        <v>0</v>
      </c>
      <c r="IW25" s="26">
        <f>IF(IW$2=InputTable[[#This Row],[Delivery Date]],_xlfn.XLOOKUP(IW$1,$BH$2:$BR$2,$BH25:$BR25,0),0)</f>
        <v>0</v>
      </c>
      <c r="IX25" s="26">
        <f>IF(IX$2=InputTable[[#This Row],[Delivery Date]],_xlfn.XLOOKUP(IX$1,$BH$2:$BR$2,$BH25:$BR25,0),0)</f>
        <v>0</v>
      </c>
      <c r="IY25" s="26">
        <f>IF(IY$2=InputTable[[#This Row],[Delivery Date]],_xlfn.XLOOKUP(IY$1,$BH$2:$BR$2,$BH25:$BR25,0),0)</f>
        <v>0</v>
      </c>
      <c r="IZ25" s="26">
        <f>IF(IZ$2=InputTable[[#This Row],[Delivery Date]],_xlfn.XLOOKUP(IZ$1,$BH$2:$BR$2,$BH25:$BR25,0),0)</f>
        <v>0</v>
      </c>
      <c r="JA25" s="26">
        <f>IF(JA$2=InputTable[[#This Row],[Delivery Date]],_xlfn.XLOOKUP(JA$1,$BH$2:$BR$2,$BH25:$BR25,0),0)</f>
        <v>0</v>
      </c>
      <c r="JB25" s="26">
        <f>IF(JB$2=InputTable[[#This Row],[Delivery Date]],_xlfn.XLOOKUP(JB$1,$BH$2:$BR$2,$BH25:$BR25,0),0)</f>
        <v>0</v>
      </c>
      <c r="JD25" s="26" t="e">
        <f>IF(JD$2=InputTable[[#This Row],[Delivery Date]],_xlfn.XLOOKUP(JD$1,$BH$2:$BR$2,$BH25:$BR25,0),0)</f>
        <v>#REF!</v>
      </c>
      <c r="JE25" s="26">
        <f>IF(JE$2=InputTable[[#This Row],[Delivery Date]],_xlfn.XLOOKUP(JE$1,$BH$2:$BR$2,$BH25:$BR25,0),0)</f>
        <v>0</v>
      </c>
      <c r="JF25" s="26">
        <f>IF(JF$2=InputTable[[#This Row],[Delivery Date]],_xlfn.XLOOKUP(JF$1,$BH$2:$BR$2,$BH25:$BR25,0),0)</f>
        <v>0</v>
      </c>
      <c r="JG25" s="26">
        <f>IF(JG$2=InputTable[[#This Row],[Delivery Date]],_xlfn.XLOOKUP(JG$1,$BH$2:$BR$2,$BH25:$BR25,0),0)</f>
        <v>0</v>
      </c>
      <c r="JH25" s="26">
        <f>IF(JH$2=InputTable[[#This Row],[Delivery Date]],_xlfn.XLOOKUP(JH$1,$BH$2:$BR$2,$BH25:$BR25,0),0)</f>
        <v>0</v>
      </c>
      <c r="JI25" s="26">
        <f>IF(JI$2=InputTable[[#This Row],[Delivery Date]],_xlfn.XLOOKUP(JI$1,$BH$2:$BR$2,$BH25:$BR25,0),0)</f>
        <v>0</v>
      </c>
      <c r="JJ25" s="26">
        <f>IF(JJ$2=InputTable[[#This Row],[Delivery Date]],_xlfn.XLOOKUP(JJ$1,$BH$2:$BR$2,$BH25:$BR25,0),0)</f>
        <v>0</v>
      </c>
      <c r="JK25" s="26">
        <f>IF(JK$2=InputTable[[#This Row],[Delivery Date]],_xlfn.XLOOKUP(JK$1,$BH$2:$BR$2,$BH25:$BR25,0),0)</f>
        <v>0</v>
      </c>
      <c r="JL25" s="26">
        <f>IF(JL$2=InputTable[[#This Row],[Delivery Date]],_xlfn.XLOOKUP(JL$1,$BH$2:$BR$2,$BH25:$BR25,0),0)</f>
        <v>0</v>
      </c>
      <c r="JN25" s="26" t="e">
        <f>IF(JN$2=InputTable[[#This Row],[Delivery Date]],_xlfn.XLOOKUP(JN$1,$BH$2:$BR$2,$BH25:$BR25,0),0)</f>
        <v>#REF!</v>
      </c>
      <c r="JO25" s="26">
        <f>IF(JO$2=InputTable[[#This Row],[Delivery Date]],_xlfn.XLOOKUP(JO$1,$BH$2:$BR$2,$BH25:$BR25,0),0)</f>
        <v>0</v>
      </c>
      <c r="JP25" s="26">
        <f>IF(JP$2=InputTable[[#This Row],[Delivery Date]],_xlfn.XLOOKUP(JP$1,$BH$2:$BR$2,$BH25:$BR25,0),0)</f>
        <v>0</v>
      </c>
      <c r="JQ25" s="26">
        <f>IF(JQ$2=InputTable[[#This Row],[Delivery Date]],_xlfn.XLOOKUP(JQ$1,$BH$2:$BR$2,$BH25:$BR25,0),0)</f>
        <v>0</v>
      </c>
      <c r="JR25" s="26">
        <f>IF(JR$2=InputTable[[#This Row],[Delivery Date]],_xlfn.XLOOKUP(JR$1,$BH$2:$BR$2,$BH25:$BR25,0),0)</f>
        <v>0</v>
      </c>
      <c r="JS25" s="26">
        <f>IF(JS$2=InputTable[[#This Row],[Delivery Date]],_xlfn.XLOOKUP(JS$1,$BH$2:$BR$2,$BH25:$BR25,0),0)</f>
        <v>0</v>
      </c>
      <c r="JT25" s="26">
        <f>IF(JT$2=InputTable[[#This Row],[Delivery Date]],_xlfn.XLOOKUP(JT$1,$BH$2:$BR$2,$BH25:$BR25,0),0)</f>
        <v>0</v>
      </c>
      <c r="JU25" s="26">
        <f>IF(JU$2=InputTable[[#This Row],[Delivery Date]],_xlfn.XLOOKUP(JU$1,$BH$2:$BR$2,$BH25:$BR25,0),0)</f>
        <v>0</v>
      </c>
      <c r="JV25" s="26">
        <f>IF(JV$2=InputTable[[#This Row],[Delivery Date]],_xlfn.XLOOKUP(JV$1,$BH$2:$BR$2,$BH25:$BR25,0),0)</f>
        <v>0</v>
      </c>
      <c r="JX25" s="26" t="e">
        <f>IF(JX$2=InputTable[[#This Row],[Delivery Date]],_xlfn.XLOOKUP(JX$1,$BH$2:$BR$2,$BH25:$BR25,0),0)</f>
        <v>#REF!</v>
      </c>
      <c r="JY25" s="26">
        <f>IF(JY$2=InputTable[[#This Row],[Delivery Date]],_xlfn.XLOOKUP(JY$1,$BH$2:$BR$2,$BH25:$BR25,0),0)</f>
        <v>0</v>
      </c>
      <c r="JZ25" s="26">
        <f>IF(JZ$2=InputTable[[#This Row],[Delivery Date]],_xlfn.XLOOKUP(JZ$1,$BH$2:$BR$2,$BH25:$BR25,0),0)</f>
        <v>0</v>
      </c>
      <c r="KA25" s="26">
        <f>IF(KA$2=InputTable[[#This Row],[Delivery Date]],_xlfn.XLOOKUP(KA$1,$BH$2:$BR$2,$BH25:$BR25,0),0)</f>
        <v>0</v>
      </c>
      <c r="KB25" s="26">
        <f>IF(KB$2=InputTable[[#This Row],[Delivery Date]],_xlfn.XLOOKUP(KB$1,$BH$2:$BR$2,$BH25:$BR25,0),0)</f>
        <v>0</v>
      </c>
      <c r="KC25" s="26">
        <f>IF(KC$2=InputTable[[#This Row],[Delivery Date]],_xlfn.XLOOKUP(KC$1,$BH$2:$BR$2,$BH25:$BR25,0),0)</f>
        <v>0</v>
      </c>
      <c r="KD25" s="26">
        <f>IF(KD$2=InputTable[[#This Row],[Delivery Date]],_xlfn.XLOOKUP(KD$1,$BH$2:$BR$2,$BH25:$BR25,0),0)</f>
        <v>0</v>
      </c>
      <c r="KE25" s="26">
        <f>IF(KE$2=InputTable[[#This Row],[Delivery Date]],_xlfn.XLOOKUP(KE$1,$BH$2:$BR$2,$BH25:$BR25,0),0)</f>
        <v>0</v>
      </c>
      <c r="KF25" s="26">
        <f>IF(KF$2=InputTable[[#This Row],[Delivery Date]],_xlfn.XLOOKUP(KF$1,$BH$2:$BR$2,$BH25:$BR25,0),0)</f>
        <v>0</v>
      </c>
    </row>
    <row r="26" spans="1:292" ht="39.6" customHeight="1" x14ac:dyDescent="0.25">
      <c r="A26" s="141"/>
      <c r="B26" s="141" t="s">
        <v>104</v>
      </c>
      <c r="C26" s="92" t="s">
        <v>61</v>
      </c>
      <c r="D26" s="125" t="s">
        <v>191</v>
      </c>
      <c r="E26" s="193" t="s">
        <v>192</v>
      </c>
      <c r="F26" s="92" t="s">
        <v>61</v>
      </c>
      <c r="G26" s="92" t="s">
        <v>193</v>
      </c>
      <c r="H26" s="92"/>
      <c r="I26" s="92">
        <v>2026</v>
      </c>
      <c r="J26" s="126" t="s">
        <v>152</v>
      </c>
      <c r="K26" s="95" t="e">
        <f>VLOOKUP((InputTable[[#This Row],[Starting Date]]&amp; " - " &amp;InputTable[[#This Row],[Delivery Date]]),'System List'!$F$40:$H$83,2,FALSE)</f>
        <v>#N/A</v>
      </c>
      <c r="L26" s="95" t="e">
        <f>VLOOKUP(InputTable[[#This Row],[Duration]],Duration,2,FALSE)</f>
        <v>#N/A</v>
      </c>
      <c r="M26" s="122" t="s">
        <v>110</v>
      </c>
      <c r="N26" s="92"/>
      <c r="O26" s="92"/>
      <c r="P26" s="92"/>
      <c r="Q26" s="92"/>
      <c r="R26" s="92" t="s">
        <v>111</v>
      </c>
      <c r="S26" s="92"/>
      <c r="T26" s="172" cm="1">
        <f t="array" ref="T2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26" s="138"/>
      <c r="V26" s="92"/>
      <c r="W26" s="92"/>
      <c r="X26" s="92"/>
      <c r="Y26" s="92"/>
      <c r="Z26" s="92"/>
      <c r="AA26" s="92"/>
      <c r="AB26" s="92"/>
      <c r="AC26" s="92"/>
      <c r="AD26" s="92">
        <f>COUNTA(InputTable[[#This Row],[CORPHRFIN]:[SALES]])</f>
        <v>0</v>
      </c>
      <c r="AE26" s="88" cm="1">
        <f t="array" ref="AE26">SUM(
_xlfn.XLOOKUP(InputTable[[#This Row],[CORPHRFIN]:[SALES]],'System List'!$F$4:$F$7,'System List'!$H$4:$H$7,0))</f>
        <v>0</v>
      </c>
      <c r="AF26" s="140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88" cm="1">
        <f t="array" ref="AR26">SUM(
_xlfn.XLOOKUP(InputTable[[#This Row],[Impact on - CIAL]:[Impact on - STRAT]],'System List'!$F$4:$F$7,'System List'!$H$4:$H$7,0))</f>
        <v>0</v>
      </c>
      <c r="AS26" s="88" t="e">
        <f>VLOOKUP(InputTable[[#This Row],[Duration]],Duration,2,FALSE)+InputTable[[#This Row],[Resource Score]]</f>
        <v>#N/A</v>
      </c>
      <c r="AT2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6" s="24" t="e">
        <f>InputTable[[#This Row],[Value Score]]/InputTable[[#This Row],[EFFORT SCORE]]*100</f>
        <v>#N/A</v>
      </c>
      <c r="AV26" s="25" t="str">
        <f>InputTable[[#This Row],[IS Portfolio Ref ID]]</f>
        <v>ISPRJ-97</v>
      </c>
      <c r="AW26" s="25" t="s">
        <v>194</v>
      </c>
      <c r="AX26" s="208"/>
      <c r="AY26" s="25"/>
      <c r="AZ26" s="209">
        <v>0</v>
      </c>
      <c r="BA26" s="209">
        <v>0</v>
      </c>
      <c r="BB26" s="209"/>
      <c r="BC26" s="189"/>
      <c r="BD26" s="188"/>
      <c r="BE26" s="188"/>
      <c r="BF26" s="70"/>
      <c r="BH26" s="2">
        <f>IFERROR(VLOOKUP(InputTable[[#This Row],[Impact on - CIAL]],'System List'!$F$4:$H$7,3,FALSE),0)</f>
        <v>0</v>
      </c>
      <c r="BI26" s="2">
        <f>IFERROR(VLOOKUP(InputTable[[#This Row],[Impact on - COM]],'System List'!$F$4:$H$7,3,FALSE),0)</f>
        <v>0</v>
      </c>
      <c r="BJ26" s="2">
        <f>IFERROR(VLOOKUP(InputTable[[#This Row],[Impact on - FIN]],'System List'!$F$4:$H$7,3,FALSE),0)</f>
        <v>0</v>
      </c>
      <c r="BK26" s="2">
        <f>IFERROR(VLOOKUP(InputTable[[#This Row],[Impact on - GEN SEC]],'System List'!$F$4:$H$7,3,FALSE),0)</f>
        <v>0</v>
      </c>
      <c r="BL26" s="2">
        <f>IFERROR(VLOOKUP(InputTable[[#This Row],[Impact on - HR]],'System List'!$F$4:$H$7,3,FALSE),0)</f>
        <v>0</v>
      </c>
      <c r="BM26" s="2">
        <f>IFERROR(VLOOKUP(InputTable[[#This Row],[Impact on - IS]],'System List'!$F$4:$H$7,3,FALSE),0)</f>
        <v>0</v>
      </c>
      <c r="BN26" s="2">
        <f>IFERROR(VLOOKUP(InputTable[[#This Row],[Impact on - OPS]],'System List'!$F$4:$H$7,3,FALSE),0)</f>
        <v>0</v>
      </c>
      <c r="BO26" s="2">
        <f>IFERROR(VLOOKUP(InputTable[[#This Row],[Impact on - ROLL STOCK]],'System List'!$F$4:$H$7,3,FALSE),0)</f>
        <v>0</v>
      </c>
      <c r="BP26" s="2">
        <f>IFERROR(VLOOKUP(InputTable[[#This Row],[Impact on - SAFETY]],'System List'!$F$4:$H$7,3,FALSE),0)</f>
        <v>0</v>
      </c>
      <c r="BQ26" s="2">
        <f>IFERROR(VLOOKUP(InputTable[[#This Row],[Impact on - STATION]],'System List'!$F$4:$H$7,3,FALSE),0)</f>
        <v>0</v>
      </c>
      <c r="BR26" s="2">
        <f>IFERROR(VLOOKUP(InputTable[[#This Row],[Impact on - STRAT]],'System List'!$F$4:$H$7,3,FALSE),0)</f>
        <v>0</v>
      </c>
      <c r="BT26" s="2">
        <f>IFERROR(VLOOKUP(InputTable[[#This Row],[CORPHRFIN]],'System List'!$F$4:$H$7,3,FALSE),0)</f>
        <v>0</v>
      </c>
      <c r="BU26" s="2">
        <f>IFERROR(VLOOKUP(InputTable[[#This Row],[CUST]],'System List'!$F$4:$H$7,3,FALSE),0)</f>
        <v>0</v>
      </c>
      <c r="BV26" s="2">
        <f>IFERROR(VLOOKUP(InputTable[[#This Row],[CYBER]],'System List'!$F$4:$H$7,3,FALSE),0)</f>
        <v>0</v>
      </c>
      <c r="BW26" s="2">
        <f>IFERROR(VLOOKUP(InputTable[[#This Row],[DATA]],'System List'!$F$4:$H$7,3,FALSE),0)</f>
        <v>0</v>
      </c>
      <c r="BX26" s="2">
        <f>IFERROR(VLOOKUP(InputTable[[#This Row],[INFRA]],'System List'!$F$4:$H$7,3,FALSE),0)</f>
        <v>0</v>
      </c>
      <c r="BY26" s="2">
        <f>IFERROR(VLOOKUP(InputTable[[#This Row],[OPERATIONS]],'System List'!$F$4:$H$7,3,FALSE),0)</f>
        <v>0</v>
      </c>
      <c r="BZ26" s="2">
        <f>IFERROR(VLOOKUP(InputTable[[#This Row],[PMO]],'System List'!$F$4:$H$7,3,FALSE),0)</f>
        <v>0</v>
      </c>
      <c r="CA26" s="2">
        <f>IFERROR(VLOOKUP(InputTable[[#This Row],[SALES]],'System List'!$F$4:$H$7,3,FALSE),0)</f>
        <v>0</v>
      </c>
      <c r="CC26" s="2" cm="1">
        <f t="array" ref="CC2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6" s="2" cm="1">
        <f t="array" ref="CD2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6" s="2" cm="1">
        <f t="array" ref="CE2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6" s="2" cm="1">
        <f t="array" ref="CF2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6" s="2" cm="1">
        <f t="array" ref="CG2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6" s="2" cm="1">
        <f t="array" ref="CH2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6" s="2" cm="1">
        <f t="array" ref="CI2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6" s="2" cm="1">
        <f t="array" ref="CJ2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6" s="2" cm="1">
        <f t="array" ref="CK2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6" s="26">
        <f t="shared" si="78"/>
        <v>0</v>
      </c>
      <c r="CY26" s="26">
        <f t="shared" si="79"/>
        <v>0</v>
      </c>
      <c r="CZ26" s="26">
        <f t="shared" si="80"/>
        <v>0</v>
      </c>
      <c r="DA26" s="26">
        <f t="shared" si="81"/>
        <v>0</v>
      </c>
      <c r="DB26" s="26">
        <f t="shared" si="82"/>
        <v>0</v>
      </c>
      <c r="DC26" s="26">
        <f t="shared" si="83"/>
        <v>0</v>
      </c>
      <c r="DD26" s="26">
        <f t="shared" si="84"/>
        <v>0</v>
      </c>
      <c r="DE26" s="26">
        <f t="shared" si="85"/>
        <v>0</v>
      </c>
      <c r="DF26" s="26">
        <f t="shared" si="86"/>
        <v>0</v>
      </c>
      <c r="DH26" s="26">
        <f t="shared" si="87"/>
        <v>0</v>
      </c>
      <c r="DI26" s="26">
        <f t="shared" si="88"/>
        <v>0</v>
      </c>
      <c r="DJ26" s="26">
        <f t="shared" si="89"/>
        <v>0</v>
      </c>
      <c r="DK26" s="26">
        <f t="shared" si="90"/>
        <v>0</v>
      </c>
      <c r="DL26" s="26">
        <f t="shared" si="91"/>
        <v>0</v>
      </c>
      <c r="DM26" s="26">
        <f t="shared" si="92"/>
        <v>0</v>
      </c>
      <c r="DN26" s="26">
        <f t="shared" si="93"/>
        <v>0</v>
      </c>
      <c r="DO26" s="26">
        <f t="shared" si="94"/>
        <v>0</v>
      </c>
      <c r="DP26" s="26">
        <f t="shared" si="95"/>
        <v>0</v>
      </c>
      <c r="DR26" s="26">
        <f t="shared" si="96"/>
        <v>0</v>
      </c>
      <c r="DS26" s="26">
        <f t="shared" si="97"/>
        <v>0</v>
      </c>
      <c r="DT26" s="26">
        <f t="shared" si="98"/>
        <v>0</v>
      </c>
      <c r="DU26" s="26">
        <f t="shared" si="99"/>
        <v>0</v>
      </c>
      <c r="DV26" s="26">
        <f t="shared" si="100"/>
        <v>0</v>
      </c>
      <c r="DW26" s="26">
        <f t="shared" si="101"/>
        <v>0</v>
      </c>
      <c r="DX26" s="26">
        <f t="shared" si="102"/>
        <v>0</v>
      </c>
      <c r="DY26" s="26">
        <f t="shared" si="103"/>
        <v>0</v>
      </c>
      <c r="DZ26" s="26">
        <f t="shared" si="104"/>
        <v>0</v>
      </c>
      <c r="EB26" s="26">
        <f t="shared" si="105"/>
        <v>0</v>
      </c>
      <c r="EC26" s="26">
        <f t="shared" si="106"/>
        <v>0</v>
      </c>
      <c r="ED26" s="26">
        <f t="shared" si="107"/>
        <v>0</v>
      </c>
      <c r="EE26" s="26">
        <f t="shared" si="108"/>
        <v>0</v>
      </c>
      <c r="EF26" s="26">
        <f t="shared" si="109"/>
        <v>0</v>
      </c>
      <c r="EG26" s="26">
        <f t="shared" si="110"/>
        <v>0</v>
      </c>
      <c r="EH26" s="26">
        <f t="shared" si="111"/>
        <v>0</v>
      </c>
      <c r="EI26" s="26">
        <f t="shared" si="112"/>
        <v>0</v>
      </c>
      <c r="EJ26" s="26">
        <f t="shared" si="113"/>
        <v>0</v>
      </c>
      <c r="EL26" s="26">
        <f t="shared" si="114"/>
        <v>0</v>
      </c>
      <c r="EM26" s="26">
        <f t="shared" si="115"/>
        <v>0</v>
      </c>
      <c r="EN26" s="26">
        <f t="shared" si="116"/>
        <v>0</v>
      </c>
      <c r="EO26" s="26">
        <f t="shared" si="117"/>
        <v>0</v>
      </c>
      <c r="EP26" s="26">
        <f t="shared" si="118"/>
        <v>0</v>
      </c>
      <c r="EQ26" s="26">
        <f t="shared" si="119"/>
        <v>0</v>
      </c>
      <c r="ER26" s="26">
        <f t="shared" si="120"/>
        <v>0</v>
      </c>
      <c r="ES26" s="26">
        <f t="shared" si="121"/>
        <v>0</v>
      </c>
      <c r="ET26" s="26">
        <f t="shared" si="122"/>
        <v>0</v>
      </c>
      <c r="EV26" s="26">
        <f t="shared" si="123"/>
        <v>0</v>
      </c>
      <c r="EW26" s="26">
        <f t="shared" si="124"/>
        <v>0</v>
      </c>
      <c r="EX26" s="26">
        <f t="shared" si="125"/>
        <v>0</v>
      </c>
      <c r="EY26" s="26">
        <f t="shared" si="126"/>
        <v>0</v>
      </c>
      <c r="EZ26" s="26">
        <f t="shared" si="127"/>
        <v>0</v>
      </c>
      <c r="FA26" s="26">
        <f t="shared" si="128"/>
        <v>0</v>
      </c>
      <c r="FB26" s="26">
        <f t="shared" si="129"/>
        <v>0</v>
      </c>
      <c r="FC26" s="26">
        <f t="shared" si="130"/>
        <v>0</v>
      </c>
      <c r="FD26" s="26">
        <f t="shared" si="131"/>
        <v>0</v>
      </c>
      <c r="FF26" s="26">
        <f t="shared" si="132"/>
        <v>0</v>
      </c>
      <c r="FG26" s="26">
        <f t="shared" si="133"/>
        <v>0</v>
      </c>
      <c r="FH26" s="26">
        <f t="shared" si="134"/>
        <v>0</v>
      </c>
      <c r="FI26" s="26">
        <f t="shared" si="135"/>
        <v>0</v>
      </c>
      <c r="FJ26" s="26">
        <f t="shared" si="136"/>
        <v>0</v>
      </c>
      <c r="FK26" s="26">
        <f t="shared" si="137"/>
        <v>0</v>
      </c>
      <c r="FL26" s="26">
        <f t="shared" si="138"/>
        <v>0</v>
      </c>
      <c r="FM26" s="26">
        <f t="shared" si="139"/>
        <v>0</v>
      </c>
      <c r="FN26" s="26">
        <f t="shared" si="140"/>
        <v>0</v>
      </c>
      <c r="FP26" s="26" t="e">
        <f t="shared" si="141"/>
        <v>#REF!</v>
      </c>
      <c r="FQ26" s="26" t="e">
        <f t="shared" si="142"/>
        <v>#REF!</v>
      </c>
      <c r="FR26" s="26" t="e">
        <f t="shared" si="143"/>
        <v>#REF!</v>
      </c>
      <c r="FS26" s="26" t="e">
        <f t="shared" si="144"/>
        <v>#REF!</v>
      </c>
      <c r="FT26" s="26" t="e">
        <f t="shared" si="145"/>
        <v>#REF!</v>
      </c>
      <c r="FU26" s="26" t="e">
        <f t="shared" si="146"/>
        <v>#REF!</v>
      </c>
      <c r="FV26" s="26" t="e">
        <f t="shared" si="147"/>
        <v>#REF!</v>
      </c>
      <c r="FW26" s="26" t="e">
        <f t="shared" si="148"/>
        <v>#REF!</v>
      </c>
      <c r="FX26" s="26" t="e">
        <f t="shared" si="149"/>
        <v>#REF!</v>
      </c>
      <c r="GB26" s="26" t="e">
        <f>IF(GB$2=InputTable[[#This Row],[Delivery Date]],_xlfn.XLOOKUP(GB$1,$BH$2:$BR$2,$BH26:$BR26,0),0)</f>
        <v>#REF!</v>
      </c>
      <c r="GC26" s="26">
        <f>IF(GC$2=InputTable[[#This Row],[Delivery Date]],_xlfn.XLOOKUP(GC$1,$BH$2:$BR$2,$BH26:$BR26,0),0)</f>
        <v>0</v>
      </c>
      <c r="GD26" s="26">
        <f>IF(GD$2=InputTable[[#This Row],[Delivery Date]],_xlfn.XLOOKUP(GD$1,$BH$2:$BR$2,$BH26:$BR26,0),0)</f>
        <v>0</v>
      </c>
      <c r="GE26" s="26">
        <f>IF(GE$2=InputTable[[#This Row],[Delivery Date]],_xlfn.XLOOKUP(GE$1,$BH$2:$BR$2,$BH26:$BR26,0),0)</f>
        <v>0</v>
      </c>
      <c r="GF26" s="26">
        <f>IF(GF$2=InputTable[[#This Row],[Delivery Date]],_xlfn.XLOOKUP(GF$1,$BH$2:$BR$2,$BH26:$BR26,0),0)</f>
        <v>0</v>
      </c>
      <c r="GG26" s="26">
        <f>IF(GG$2=InputTable[[#This Row],[Delivery Date]],_xlfn.XLOOKUP(GG$1,$BH$2:$BR$2,$BH26:$BR26,0),0)</f>
        <v>0</v>
      </c>
      <c r="GH26" s="26">
        <f>IF(GH$2=InputTable[[#This Row],[Delivery Date]],_xlfn.XLOOKUP(GH$1,$BH$2:$BR$2,$BH26:$BR26,0),0)</f>
        <v>0</v>
      </c>
      <c r="GI26" s="26">
        <f>IF(GI$2=InputTable[[#This Row],[Delivery Date]],_xlfn.XLOOKUP(GI$1,$BH$2:$BR$2,$BH26:$BR26,0),0)</f>
        <v>0</v>
      </c>
      <c r="GJ26" s="26">
        <f>IF(GJ$2=InputTable[[#This Row],[Delivery Date]],_xlfn.XLOOKUP(GJ$1,$BH$2:$BR$2,$BH26:$BR26,0),0)</f>
        <v>0</v>
      </c>
      <c r="GL26" s="26" t="e">
        <f>IF(GL$2=InputTable[[#This Row],[Delivery Date]],_xlfn.XLOOKUP(GL$1,$BH$2:$BR$2,$BH26:$BR26,0),0)</f>
        <v>#REF!</v>
      </c>
      <c r="GM26" s="26">
        <f>IF(GM$2=InputTable[[#This Row],[Delivery Date]],_xlfn.XLOOKUP(GM$1,$BH$2:$BR$2,$BH26:$BR26,0),0)</f>
        <v>0</v>
      </c>
      <c r="GN26" s="26">
        <f>IF(GN$2=InputTable[[#This Row],[Delivery Date]],_xlfn.XLOOKUP(GN$1,$BH$2:$BR$2,$BH26:$BR26,0),0)</f>
        <v>0</v>
      </c>
      <c r="GO26" s="26">
        <f>IF(GO$2=InputTable[[#This Row],[Delivery Date]],_xlfn.XLOOKUP(GO$1,$BH$2:$BR$2,$BH26:$BR26,0),0)</f>
        <v>0</v>
      </c>
      <c r="GP26" s="26">
        <f>IF(GP$2=InputTable[[#This Row],[Delivery Date]],_xlfn.XLOOKUP(GP$1,$BH$2:$BR$2,$BH26:$BR26,0),0)</f>
        <v>0</v>
      </c>
      <c r="GQ26" s="26">
        <f>IF(GQ$2=InputTable[[#This Row],[Delivery Date]],_xlfn.XLOOKUP(GQ$1,$BH$2:$BR$2,$BH26:$BR26,0),0)</f>
        <v>0</v>
      </c>
      <c r="GR26" s="26">
        <f>IF(GR$2=InputTable[[#This Row],[Delivery Date]],_xlfn.XLOOKUP(GR$1,$BH$2:$BR$2,$BH26:$BR26,0),0)</f>
        <v>0</v>
      </c>
      <c r="GS26" s="26">
        <f>IF(GS$2=InputTable[[#This Row],[Delivery Date]],_xlfn.XLOOKUP(GS$1,$BH$2:$BR$2,$BH26:$BR26,0),0)</f>
        <v>0</v>
      </c>
      <c r="GT26" s="26">
        <f>IF(GT$2=InputTable[[#This Row],[Delivery Date]],_xlfn.XLOOKUP(GT$1,$BH$2:$BR$2,$BH26:$BR26,0),0)</f>
        <v>0</v>
      </c>
      <c r="GV26" s="26" t="e">
        <f>IF(GV$2=InputTable[[#This Row],[Delivery Date]],_xlfn.XLOOKUP(GV$1,$BH$2:$BR$2,$BH26:$BR26,0),0)</f>
        <v>#REF!</v>
      </c>
      <c r="GW26" s="26">
        <f>IF(GW$2=InputTable[[#This Row],[Delivery Date]],_xlfn.XLOOKUP(GW$1,$BH$2:$BR$2,$BH26:$BR26,0),0)</f>
        <v>0</v>
      </c>
      <c r="GX26" s="26">
        <f>IF(GX$2=InputTable[[#This Row],[Delivery Date]],_xlfn.XLOOKUP(GX$1,$BH$2:$BR$2,$BH26:$BR26,0),0)</f>
        <v>0</v>
      </c>
      <c r="GY26" s="26">
        <f>IF(GY$2=InputTable[[#This Row],[Delivery Date]],_xlfn.XLOOKUP(GY$1,$BH$2:$BR$2,$BH26:$BR26,0),0)</f>
        <v>0</v>
      </c>
      <c r="GZ26" s="26">
        <f>IF(GZ$2=InputTable[[#This Row],[Delivery Date]],_xlfn.XLOOKUP(GZ$1,$BH$2:$BR$2,$BH26:$BR26,0),0)</f>
        <v>0</v>
      </c>
      <c r="HA26" s="26">
        <f>IF(HA$2=InputTable[[#This Row],[Delivery Date]],_xlfn.XLOOKUP(HA$1,$BH$2:$BR$2,$BH26:$BR26,0),0)</f>
        <v>0</v>
      </c>
      <c r="HB26" s="26">
        <f>IF(HB$2=InputTable[[#This Row],[Delivery Date]],_xlfn.XLOOKUP(HB$1,$BH$2:$BR$2,$BH26:$BR26,0),0)</f>
        <v>0</v>
      </c>
      <c r="HC26" s="26">
        <f>IF(HC$2=InputTable[[#This Row],[Delivery Date]],_xlfn.XLOOKUP(HC$1,$BH$2:$BR$2,$BH26:$BR26,0),0)</f>
        <v>0</v>
      </c>
      <c r="HD26" s="26">
        <f>IF(HD$2=InputTable[[#This Row],[Delivery Date]],_xlfn.XLOOKUP(HD$1,$BH$2:$BR$2,$BH26:$BR26,0),0)</f>
        <v>0</v>
      </c>
      <c r="HF26" s="26" t="e">
        <f>IF(HF$2=InputTable[[#This Row],[Delivery Date]],_xlfn.XLOOKUP(HF$1,$BH$2:$BR$2,$BH26:$BR26,0),0)</f>
        <v>#REF!</v>
      </c>
      <c r="HG26" s="26">
        <f>IF(HG$2=InputTable[[#This Row],[Delivery Date]],_xlfn.XLOOKUP(HG$1,$BH$2:$BR$2,$BH26:$BR26,0),0)</f>
        <v>0</v>
      </c>
      <c r="HH26" s="26">
        <f>IF(HH$2=InputTable[[#This Row],[Delivery Date]],_xlfn.XLOOKUP(HH$1,$BH$2:$BR$2,$BH26:$BR26,0),0)</f>
        <v>0</v>
      </c>
      <c r="HI26" s="26">
        <f>IF(HI$2=InputTable[[#This Row],[Delivery Date]],_xlfn.XLOOKUP(HI$1,$BH$2:$BR$2,$BH26:$BR26,0),0)</f>
        <v>0</v>
      </c>
      <c r="HJ26" s="26">
        <f>IF(HJ$2=InputTable[[#This Row],[Delivery Date]],_xlfn.XLOOKUP(HJ$1,$BH$2:$BR$2,$BH26:$BR26,0),0)</f>
        <v>0</v>
      </c>
      <c r="HK26" s="26">
        <f>IF(HK$2=InputTable[[#This Row],[Delivery Date]],_xlfn.XLOOKUP(HK$1,$BH$2:$BR$2,$BH26:$BR26,0),0)</f>
        <v>0</v>
      </c>
      <c r="HL26" s="26">
        <f>IF(HL$2=InputTable[[#This Row],[Delivery Date]],_xlfn.XLOOKUP(HL$1,$BH$2:$BR$2,$BH26:$BR26,0),0)</f>
        <v>0</v>
      </c>
      <c r="HM26" s="26">
        <f>IF(HM$2=InputTable[[#This Row],[Delivery Date]],_xlfn.XLOOKUP(HM$1,$BH$2:$BR$2,$BH26:$BR26,0),0)</f>
        <v>0</v>
      </c>
      <c r="HN26" s="26">
        <f>IF(HN$2=InputTable[[#This Row],[Delivery Date]],_xlfn.XLOOKUP(HN$1,$BH$2:$BR$2,$BH26:$BR26,0),0)</f>
        <v>0</v>
      </c>
      <c r="HP26" s="26" t="e">
        <f>IF(HP$2=InputTable[[#This Row],[Delivery Date]],_xlfn.XLOOKUP(HP$1,$BH$2:$BR$2,$BH26:$BR26,0),0)</f>
        <v>#REF!</v>
      </c>
      <c r="HQ26" s="26">
        <f>IF(HQ$2=InputTable[[#This Row],[Delivery Date]],_xlfn.XLOOKUP(HQ$1,$BH$2:$BR$2,$BH26:$BR26,0),0)</f>
        <v>0</v>
      </c>
      <c r="HR26" s="26">
        <f>IF(HR$2=InputTable[[#This Row],[Delivery Date]],_xlfn.XLOOKUP(HR$1,$BH$2:$BR$2,$BH26:$BR26,0),0)</f>
        <v>0</v>
      </c>
      <c r="HS26" s="26">
        <f>IF(HS$2=InputTable[[#This Row],[Delivery Date]],_xlfn.XLOOKUP(HS$1,$BH$2:$BR$2,$BH26:$BR26,0),0)</f>
        <v>0</v>
      </c>
      <c r="HT26" s="26">
        <f>IF(HT$2=InputTable[[#This Row],[Delivery Date]],_xlfn.XLOOKUP(HT$1,$BH$2:$BR$2,$BH26:$BR26,0),0)</f>
        <v>0</v>
      </c>
      <c r="HU26" s="26">
        <f>IF(HU$2=InputTable[[#This Row],[Delivery Date]],_xlfn.XLOOKUP(HU$1,$BH$2:$BR$2,$BH26:$BR26,0),0)</f>
        <v>0</v>
      </c>
      <c r="HV26" s="26">
        <f>IF(HV$2=InputTable[[#This Row],[Delivery Date]],_xlfn.XLOOKUP(HV$1,$BH$2:$BR$2,$BH26:$BR26,0),0)</f>
        <v>0</v>
      </c>
      <c r="HW26" s="26">
        <f>IF(HW$2=InputTable[[#This Row],[Delivery Date]],_xlfn.XLOOKUP(HW$1,$BH$2:$BR$2,$BH26:$BR26,0),0)</f>
        <v>0</v>
      </c>
      <c r="HX26" s="26">
        <f>IF(HX$2=InputTable[[#This Row],[Delivery Date]],_xlfn.XLOOKUP(HX$1,$BH$2:$BR$2,$BH26:$BR26,0),0)</f>
        <v>0</v>
      </c>
      <c r="HZ26" s="26" t="e">
        <f>IF(HZ$2=InputTable[[#This Row],[Delivery Date]],_xlfn.XLOOKUP(HZ$1,$BH$2:$BR$2,$BH26:$BR26,0),0)</f>
        <v>#REF!</v>
      </c>
      <c r="IA26" s="26">
        <f>IF(IA$2=InputTable[[#This Row],[Delivery Date]],_xlfn.XLOOKUP(IA$1,$BH$2:$BR$2,$BH26:$BR26,0),0)</f>
        <v>0</v>
      </c>
      <c r="IB26" s="26">
        <f>IF(IB$2=InputTable[[#This Row],[Delivery Date]],_xlfn.XLOOKUP(IB$1,$BH$2:$BR$2,$BH26:$BR26,0),0)</f>
        <v>0</v>
      </c>
      <c r="IC26" s="26">
        <f>IF(IC$2=InputTable[[#This Row],[Delivery Date]],_xlfn.XLOOKUP(IC$1,$BH$2:$BR$2,$BH26:$BR26,0),0)</f>
        <v>0</v>
      </c>
      <c r="ID26" s="26">
        <f>IF(ID$2=InputTable[[#This Row],[Delivery Date]],_xlfn.XLOOKUP(ID$1,$BH$2:$BR$2,$BH26:$BR26,0),0)</f>
        <v>0</v>
      </c>
      <c r="IE26" s="26">
        <f>IF(IE$2=InputTable[[#This Row],[Delivery Date]],_xlfn.XLOOKUP(IE$1,$BH$2:$BR$2,$BH26:$BR26,0),0)</f>
        <v>0</v>
      </c>
      <c r="IF26" s="26">
        <f>IF(IF$2=InputTable[[#This Row],[Delivery Date]],_xlfn.XLOOKUP(IF$1,$BH$2:$BR$2,$BH26:$BR26,0),0)</f>
        <v>0</v>
      </c>
      <c r="IG26" s="26">
        <f>IF(IG$2=InputTable[[#This Row],[Delivery Date]],_xlfn.XLOOKUP(IG$1,$BH$2:$BR$2,$BH26:$BR26,0),0)</f>
        <v>0</v>
      </c>
      <c r="IH26" s="26">
        <f>IF(IH$2=InputTable[[#This Row],[Delivery Date]],_xlfn.XLOOKUP(IH$1,$BH$2:$BR$2,$BH26:$BR26,0),0)</f>
        <v>0</v>
      </c>
      <c r="IJ26" s="26" t="e">
        <f>IF(IJ$2=InputTable[[#This Row],[Delivery Date]],_xlfn.XLOOKUP(IJ$1,$BH$2:$BR$2,$BH26:$BR26,0),0)</f>
        <v>#REF!</v>
      </c>
      <c r="IK26" s="26">
        <f>IF(IK$2=InputTable[[#This Row],[Delivery Date]],_xlfn.XLOOKUP(IK$1,$BH$2:$BR$2,$BH26:$BR26,0),0)</f>
        <v>0</v>
      </c>
      <c r="IL26" s="26">
        <f>IF(IL$2=InputTable[[#This Row],[Delivery Date]],_xlfn.XLOOKUP(IL$1,$BH$2:$BR$2,$BH26:$BR26,0),0)</f>
        <v>0</v>
      </c>
      <c r="IM26" s="26">
        <f>IF(IM$2=InputTable[[#This Row],[Delivery Date]],_xlfn.XLOOKUP(IM$1,$BH$2:$BR$2,$BH26:$BR26,0),0)</f>
        <v>0</v>
      </c>
      <c r="IN26" s="26">
        <f>IF(IN$2=InputTable[[#This Row],[Delivery Date]],_xlfn.XLOOKUP(IN$1,$BH$2:$BR$2,$BH26:$BR26,0),0)</f>
        <v>0</v>
      </c>
      <c r="IO26" s="26">
        <f>IF(IO$2=InputTable[[#This Row],[Delivery Date]],_xlfn.XLOOKUP(IO$1,$BH$2:$BR$2,$BH26:$BR26,0),0)</f>
        <v>0</v>
      </c>
      <c r="IP26" s="26">
        <f>IF(IP$2=InputTable[[#This Row],[Delivery Date]],_xlfn.XLOOKUP(IP$1,$BH$2:$BR$2,$BH26:$BR26,0),0)</f>
        <v>0</v>
      </c>
      <c r="IQ26" s="26">
        <f>IF(IQ$2=InputTable[[#This Row],[Delivery Date]],_xlfn.XLOOKUP(IQ$1,$BH$2:$BR$2,$BH26:$BR26,0),0)</f>
        <v>0</v>
      </c>
      <c r="IR26" s="26">
        <f>IF(IR$2=InputTable[[#This Row],[Delivery Date]],_xlfn.XLOOKUP(IR$1,$BH$2:$BR$2,$BH26:$BR26,0),0)</f>
        <v>0</v>
      </c>
      <c r="IT26" s="26" t="e">
        <f>IF(IT$2=InputTable[[#This Row],[Delivery Date]],_xlfn.XLOOKUP(IT$1,$BH$2:$BR$2,$BH26:$BR26,0),0)</f>
        <v>#REF!</v>
      </c>
      <c r="IU26" s="26">
        <f>IF(IU$2=InputTable[[#This Row],[Delivery Date]],_xlfn.XLOOKUP(IU$1,$BH$2:$BR$2,$BH26:$BR26,0),0)</f>
        <v>0</v>
      </c>
      <c r="IV26" s="26">
        <f>IF(IV$2=InputTable[[#This Row],[Delivery Date]],_xlfn.XLOOKUP(IV$1,$BH$2:$BR$2,$BH26:$BR26,0),0)</f>
        <v>0</v>
      </c>
      <c r="IW26" s="26">
        <f>IF(IW$2=InputTable[[#This Row],[Delivery Date]],_xlfn.XLOOKUP(IW$1,$BH$2:$BR$2,$BH26:$BR26,0),0)</f>
        <v>0</v>
      </c>
      <c r="IX26" s="26">
        <f>IF(IX$2=InputTable[[#This Row],[Delivery Date]],_xlfn.XLOOKUP(IX$1,$BH$2:$BR$2,$BH26:$BR26,0),0)</f>
        <v>0</v>
      </c>
      <c r="IY26" s="26">
        <f>IF(IY$2=InputTable[[#This Row],[Delivery Date]],_xlfn.XLOOKUP(IY$1,$BH$2:$BR$2,$BH26:$BR26,0),0)</f>
        <v>0</v>
      </c>
      <c r="IZ26" s="26">
        <f>IF(IZ$2=InputTable[[#This Row],[Delivery Date]],_xlfn.XLOOKUP(IZ$1,$BH$2:$BR$2,$BH26:$BR26,0),0)</f>
        <v>0</v>
      </c>
      <c r="JA26" s="26">
        <f>IF(JA$2=InputTable[[#This Row],[Delivery Date]],_xlfn.XLOOKUP(JA$1,$BH$2:$BR$2,$BH26:$BR26,0),0)</f>
        <v>0</v>
      </c>
      <c r="JB26" s="26">
        <f>IF(JB$2=InputTable[[#This Row],[Delivery Date]],_xlfn.XLOOKUP(JB$1,$BH$2:$BR$2,$BH26:$BR26,0),0)</f>
        <v>0</v>
      </c>
      <c r="JD26" s="26" t="e">
        <f>IF(JD$2=InputTable[[#This Row],[Delivery Date]],_xlfn.XLOOKUP(JD$1,$BH$2:$BR$2,$BH26:$BR26,0),0)</f>
        <v>#REF!</v>
      </c>
      <c r="JE26" s="26">
        <f>IF(JE$2=InputTable[[#This Row],[Delivery Date]],_xlfn.XLOOKUP(JE$1,$BH$2:$BR$2,$BH26:$BR26,0),0)</f>
        <v>0</v>
      </c>
      <c r="JF26" s="26">
        <f>IF(JF$2=InputTable[[#This Row],[Delivery Date]],_xlfn.XLOOKUP(JF$1,$BH$2:$BR$2,$BH26:$BR26,0),0)</f>
        <v>0</v>
      </c>
      <c r="JG26" s="26">
        <f>IF(JG$2=InputTable[[#This Row],[Delivery Date]],_xlfn.XLOOKUP(JG$1,$BH$2:$BR$2,$BH26:$BR26,0),0)</f>
        <v>0</v>
      </c>
      <c r="JH26" s="26">
        <f>IF(JH$2=InputTable[[#This Row],[Delivery Date]],_xlfn.XLOOKUP(JH$1,$BH$2:$BR$2,$BH26:$BR26,0),0)</f>
        <v>0</v>
      </c>
      <c r="JI26" s="26">
        <f>IF(JI$2=InputTable[[#This Row],[Delivery Date]],_xlfn.XLOOKUP(JI$1,$BH$2:$BR$2,$BH26:$BR26,0),0)</f>
        <v>0</v>
      </c>
      <c r="JJ26" s="26">
        <f>IF(JJ$2=InputTable[[#This Row],[Delivery Date]],_xlfn.XLOOKUP(JJ$1,$BH$2:$BR$2,$BH26:$BR26,0),0)</f>
        <v>0</v>
      </c>
      <c r="JK26" s="26">
        <f>IF(JK$2=InputTable[[#This Row],[Delivery Date]],_xlfn.XLOOKUP(JK$1,$BH$2:$BR$2,$BH26:$BR26,0),0)</f>
        <v>0</v>
      </c>
      <c r="JL26" s="26">
        <f>IF(JL$2=InputTable[[#This Row],[Delivery Date]],_xlfn.XLOOKUP(JL$1,$BH$2:$BR$2,$BH26:$BR26,0),0)</f>
        <v>0</v>
      </c>
      <c r="JN26" s="26" t="e">
        <f>IF(JN$2=InputTable[[#This Row],[Delivery Date]],_xlfn.XLOOKUP(JN$1,$BH$2:$BR$2,$BH26:$BR26,0),0)</f>
        <v>#REF!</v>
      </c>
      <c r="JO26" s="26">
        <f>IF(JO$2=InputTable[[#This Row],[Delivery Date]],_xlfn.XLOOKUP(JO$1,$BH$2:$BR$2,$BH26:$BR26,0),0)</f>
        <v>0</v>
      </c>
      <c r="JP26" s="26">
        <f>IF(JP$2=InputTable[[#This Row],[Delivery Date]],_xlfn.XLOOKUP(JP$1,$BH$2:$BR$2,$BH26:$BR26,0),0)</f>
        <v>0</v>
      </c>
      <c r="JQ26" s="26">
        <f>IF(JQ$2=InputTable[[#This Row],[Delivery Date]],_xlfn.XLOOKUP(JQ$1,$BH$2:$BR$2,$BH26:$BR26,0),0)</f>
        <v>0</v>
      </c>
      <c r="JR26" s="26">
        <f>IF(JR$2=InputTable[[#This Row],[Delivery Date]],_xlfn.XLOOKUP(JR$1,$BH$2:$BR$2,$BH26:$BR26,0),0)</f>
        <v>0</v>
      </c>
      <c r="JS26" s="26">
        <f>IF(JS$2=InputTable[[#This Row],[Delivery Date]],_xlfn.XLOOKUP(JS$1,$BH$2:$BR$2,$BH26:$BR26,0),0)</f>
        <v>0</v>
      </c>
      <c r="JT26" s="26">
        <f>IF(JT$2=InputTable[[#This Row],[Delivery Date]],_xlfn.XLOOKUP(JT$1,$BH$2:$BR$2,$BH26:$BR26,0),0)</f>
        <v>0</v>
      </c>
      <c r="JU26" s="26">
        <f>IF(JU$2=InputTable[[#This Row],[Delivery Date]],_xlfn.XLOOKUP(JU$1,$BH$2:$BR$2,$BH26:$BR26,0),0)</f>
        <v>0</v>
      </c>
      <c r="JV26" s="26">
        <f>IF(JV$2=InputTable[[#This Row],[Delivery Date]],_xlfn.XLOOKUP(JV$1,$BH$2:$BR$2,$BH26:$BR26,0),0)</f>
        <v>0</v>
      </c>
      <c r="JX26" s="26" t="e">
        <f>IF(JX$2=InputTable[[#This Row],[Delivery Date]],_xlfn.XLOOKUP(JX$1,$BH$2:$BR$2,$BH26:$BR26,0),0)</f>
        <v>#REF!</v>
      </c>
      <c r="JY26" s="26">
        <f>IF(JY$2=InputTable[[#This Row],[Delivery Date]],_xlfn.XLOOKUP(JY$1,$BH$2:$BR$2,$BH26:$BR26,0),0)</f>
        <v>0</v>
      </c>
      <c r="JZ26" s="26">
        <f>IF(JZ$2=InputTable[[#This Row],[Delivery Date]],_xlfn.XLOOKUP(JZ$1,$BH$2:$BR$2,$BH26:$BR26,0),0)</f>
        <v>0</v>
      </c>
      <c r="KA26" s="26">
        <f>IF(KA$2=InputTable[[#This Row],[Delivery Date]],_xlfn.XLOOKUP(KA$1,$BH$2:$BR$2,$BH26:$BR26,0),0)</f>
        <v>0</v>
      </c>
      <c r="KB26" s="26">
        <f>IF(KB$2=InputTable[[#This Row],[Delivery Date]],_xlfn.XLOOKUP(KB$1,$BH$2:$BR$2,$BH26:$BR26,0),0)</f>
        <v>0</v>
      </c>
      <c r="KC26" s="26">
        <f>IF(KC$2=InputTable[[#This Row],[Delivery Date]],_xlfn.XLOOKUP(KC$1,$BH$2:$BR$2,$BH26:$BR26,0),0)</f>
        <v>0</v>
      </c>
      <c r="KD26" s="26">
        <f>IF(KD$2=InputTable[[#This Row],[Delivery Date]],_xlfn.XLOOKUP(KD$1,$BH$2:$BR$2,$BH26:$BR26,0),0)</f>
        <v>0</v>
      </c>
      <c r="KE26" s="26">
        <f>IF(KE$2=InputTable[[#This Row],[Delivery Date]],_xlfn.XLOOKUP(KE$1,$BH$2:$BR$2,$BH26:$BR26,0),0)</f>
        <v>0</v>
      </c>
      <c r="KF26" s="26">
        <f>IF(KF$2=InputTable[[#This Row],[Delivery Date]],_xlfn.XLOOKUP(KF$1,$BH$2:$BR$2,$BH26:$BR26,0),0)</f>
        <v>0</v>
      </c>
    </row>
    <row r="27" spans="1:292" ht="39.6" hidden="1" customHeight="1" x14ac:dyDescent="0.25">
      <c r="A27" s="141" t="s">
        <v>149</v>
      </c>
      <c r="B27" s="141" t="s">
        <v>114</v>
      </c>
      <c r="C27" s="92" t="s">
        <v>61</v>
      </c>
      <c r="D27" s="125" t="s">
        <v>195</v>
      </c>
      <c r="E27" s="193" t="s">
        <v>196</v>
      </c>
      <c r="F27" s="92" t="s">
        <v>197</v>
      </c>
      <c r="G27" s="92">
        <v>2024</v>
      </c>
      <c r="H27" s="92" t="s">
        <v>100</v>
      </c>
      <c r="I27" s="92" t="s">
        <v>98</v>
      </c>
      <c r="J27" s="125"/>
      <c r="K27" s="95" t="e">
        <f>VLOOKUP((InputTable[[#This Row],[Starting Date]]&amp; " - " &amp;InputTable[[#This Row],[Delivery Date]]),'System List'!$F$40:$H$83,2,FALSE)</f>
        <v>#N/A</v>
      </c>
      <c r="L27" s="95" t="e">
        <f>VLOOKUP(InputTable[[#This Row],[Duration]],Duration,2,FALSE)</f>
        <v>#N/A</v>
      </c>
      <c r="M27" s="125"/>
      <c r="N27" s="92" t="s">
        <v>111</v>
      </c>
      <c r="O27" s="92"/>
      <c r="P27" s="92" t="s">
        <v>139</v>
      </c>
      <c r="Q27" s="92"/>
      <c r="R27" s="92" t="s">
        <v>111</v>
      </c>
      <c r="S27" s="92"/>
      <c r="T27" s="95" cm="1">
        <f t="array" ref="T2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4.0999999999999996</v>
      </c>
      <c r="U27" s="138"/>
      <c r="V27" s="92"/>
      <c r="W27" s="92"/>
      <c r="X27" s="92" t="s">
        <v>111</v>
      </c>
      <c r="Y27" s="92"/>
      <c r="Z27" s="92"/>
      <c r="AA27" s="92" t="s">
        <v>111</v>
      </c>
      <c r="AB27" s="92"/>
      <c r="AC27" s="92"/>
      <c r="AD27" s="92">
        <f>COUNTA(InputTable[[#This Row],[CORPHRFIN]:[SALES]])</f>
        <v>2</v>
      </c>
      <c r="AE27" s="88" cm="1">
        <f t="array" ref="AE27">SUM(
_xlfn.XLOOKUP(InputTable[[#This Row],[CORPHRFIN]:[SALES]],'System List'!$F$4:$F$7,'System List'!$H$4:$H$7,0))</f>
        <v>10</v>
      </c>
      <c r="AF27" s="140"/>
      <c r="AG27" s="96"/>
      <c r="AH27" s="96"/>
      <c r="AI27" s="96"/>
      <c r="AJ27" s="96"/>
      <c r="AK27" s="96"/>
      <c r="AL27" s="96"/>
      <c r="AM27" s="96"/>
      <c r="AN27" s="96" t="s">
        <v>139</v>
      </c>
      <c r="AO27" s="96"/>
      <c r="AP27" s="96"/>
      <c r="AQ27" s="96"/>
      <c r="AR27" s="88" cm="1">
        <f t="array" ref="AR27">SUM(
_xlfn.XLOOKUP(InputTable[[#This Row],[Impact on - CIAL]:[Impact on - STRAT]],'System List'!$F$4:$F$7,'System List'!$H$4:$H$7,0))</f>
        <v>8</v>
      </c>
      <c r="AS27" s="88" t="e">
        <f>VLOOKUP(InputTable[[#This Row],[Duration]],Duration,2,FALSE)+InputTable[[#This Row],[Resource Score]]</f>
        <v>#N/A</v>
      </c>
      <c r="AT2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7" s="24" t="e">
        <f>InputTable[[#This Row],[Value Score]]/InputTable[[#This Row],[EFFORT SCORE]]*100</f>
        <v>#N/A</v>
      </c>
      <c r="AV27" s="25" t="str">
        <f>InputTable[[#This Row],[IS Portfolio Ref ID]]</f>
        <v>ISPRJ-18</v>
      </c>
      <c r="AW27" s="25" t="s">
        <v>153</v>
      </c>
      <c r="AX27" s="208" t="s">
        <v>198</v>
      </c>
      <c r="AY27" s="207">
        <v>1846</v>
      </c>
      <c r="AZ27" s="209">
        <v>0</v>
      </c>
      <c r="BA27" s="209">
        <v>150000</v>
      </c>
      <c r="BB27" s="209"/>
      <c r="BC27" s="189">
        <f>SUM(InputTable[[#This Row],[Opex IS Budget (full project)]]+InputTable[[#This Row],[Capex IS Budget (full project)]])</f>
        <v>150000</v>
      </c>
      <c r="BD27" s="188">
        <v>2</v>
      </c>
      <c r="BE27" s="188">
        <v>3</v>
      </c>
      <c r="BF27" s="70"/>
      <c r="BH27" s="2">
        <f>IFERROR(VLOOKUP(InputTable[[#This Row],[Impact on - CIAL]],'System List'!$F$4:$H$7,3,FALSE),0)</f>
        <v>0</v>
      </c>
      <c r="BI27" s="2">
        <f>IFERROR(VLOOKUP(InputTable[[#This Row],[Impact on - COM]],'System List'!$F$4:$H$7,3,FALSE),0)</f>
        <v>0</v>
      </c>
      <c r="BJ27" s="2">
        <f>IFERROR(VLOOKUP(InputTable[[#This Row],[Impact on - FIN]],'System List'!$F$4:$H$7,3,FALSE),0)</f>
        <v>0</v>
      </c>
      <c r="BK27" s="2">
        <f>IFERROR(VLOOKUP(InputTable[[#This Row],[Impact on - GEN SEC]],'System List'!$F$4:$H$7,3,FALSE),0)</f>
        <v>0</v>
      </c>
      <c r="BL27" s="2">
        <f>IFERROR(VLOOKUP(InputTable[[#This Row],[Impact on - HR]],'System List'!$F$4:$H$7,3,FALSE),0)</f>
        <v>0</v>
      </c>
      <c r="BM27" s="2">
        <f>IFERROR(VLOOKUP(InputTable[[#This Row],[Impact on - IS]],'System List'!$F$4:$H$7,3,FALSE),0)</f>
        <v>0</v>
      </c>
      <c r="BN27" s="2">
        <f>IFERROR(VLOOKUP(InputTable[[#This Row],[Impact on - OPS]],'System List'!$F$4:$H$7,3,FALSE),0)</f>
        <v>0</v>
      </c>
      <c r="BO27" s="2">
        <f>IFERROR(VLOOKUP(InputTable[[#This Row],[Impact on - ROLL STOCK]],'System List'!$F$4:$H$7,3,FALSE),0)</f>
        <v>8</v>
      </c>
      <c r="BP27" s="2">
        <f>IFERROR(VLOOKUP(InputTable[[#This Row],[Impact on - SAFETY]],'System List'!$F$4:$H$7,3,FALSE),0)</f>
        <v>0</v>
      </c>
      <c r="BQ27" s="2">
        <f>IFERROR(VLOOKUP(InputTable[[#This Row],[Impact on - STATION]],'System List'!$F$4:$H$7,3,FALSE),0)</f>
        <v>0</v>
      </c>
      <c r="BR27" s="2">
        <f>IFERROR(VLOOKUP(InputTable[[#This Row],[Impact on - STRAT]],'System List'!$F$4:$H$7,3,FALSE),0)</f>
        <v>0</v>
      </c>
      <c r="BT27" s="2">
        <f>IFERROR(VLOOKUP(InputTable[[#This Row],[CORPHRFIN]],'System List'!$F$4:$H$7,3,FALSE),0)</f>
        <v>0</v>
      </c>
      <c r="BU27" s="2">
        <f>IFERROR(VLOOKUP(InputTable[[#This Row],[CUST]],'System List'!$F$4:$H$7,3,FALSE),0)</f>
        <v>0</v>
      </c>
      <c r="BV27" s="2">
        <f>IFERROR(VLOOKUP(InputTable[[#This Row],[CYBER]],'System List'!$F$4:$H$7,3,FALSE),0)</f>
        <v>5</v>
      </c>
      <c r="BW27" s="2">
        <f>IFERROR(VLOOKUP(InputTable[[#This Row],[DATA]],'System List'!$F$4:$H$7,3,FALSE),0)</f>
        <v>0</v>
      </c>
      <c r="BX27" s="2">
        <f>IFERROR(VLOOKUP(InputTable[[#This Row],[INFRA]],'System List'!$F$4:$H$7,3,FALSE),0)</f>
        <v>0</v>
      </c>
      <c r="BY27" s="2">
        <f>IFERROR(VLOOKUP(InputTable[[#This Row],[OPERATIONS]],'System List'!$F$4:$H$7,3,FALSE),0)</f>
        <v>5</v>
      </c>
      <c r="BZ27" s="2">
        <f>IFERROR(VLOOKUP(InputTable[[#This Row],[PMO]],'System List'!$F$4:$H$7,3,FALSE),0)</f>
        <v>0</v>
      </c>
      <c r="CA27" s="2">
        <f>IFERROR(VLOOKUP(InputTable[[#This Row],[SALES]],'System List'!$F$4:$H$7,3,FALSE),0)</f>
        <v>0</v>
      </c>
      <c r="CC27" s="2" cm="1">
        <f t="array" ref="CC2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7" s="2" cm="1">
        <f t="array" ref="CD2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7" s="2" cm="1">
        <f t="array" ref="CE2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7" s="2" cm="1">
        <f t="array" ref="CF2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7" s="2" cm="1">
        <f t="array" ref="CG2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7" s="2" cm="1">
        <f t="array" ref="CH2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7" s="2" cm="1">
        <f t="array" ref="CI2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7" s="2" cm="1">
        <f t="array" ref="CJ2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7" s="2" cm="1">
        <f t="array" ref="CK2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2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2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2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2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2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7" s="26">
        <f t="shared" si="78"/>
        <v>0</v>
      </c>
      <c r="CY27" s="26">
        <f t="shared" si="79"/>
        <v>0</v>
      </c>
      <c r="CZ27" s="26">
        <f t="shared" si="80"/>
        <v>0</v>
      </c>
      <c r="DA27" s="26">
        <f t="shared" si="81"/>
        <v>0</v>
      </c>
      <c r="DB27" s="26">
        <f t="shared" si="82"/>
        <v>0</v>
      </c>
      <c r="DC27" s="26">
        <f t="shared" si="83"/>
        <v>0</v>
      </c>
      <c r="DD27" s="26">
        <f t="shared" si="84"/>
        <v>0</v>
      </c>
      <c r="DE27" s="26">
        <f t="shared" si="85"/>
        <v>0</v>
      </c>
      <c r="DF27" s="26">
        <f t="shared" si="86"/>
        <v>0</v>
      </c>
      <c r="DH27" s="26">
        <f t="shared" si="87"/>
        <v>0</v>
      </c>
      <c r="DI27" s="26">
        <f t="shared" si="88"/>
        <v>0</v>
      </c>
      <c r="DJ27" s="26">
        <f t="shared" si="89"/>
        <v>0</v>
      </c>
      <c r="DK27" s="26">
        <f t="shared" si="90"/>
        <v>0</v>
      </c>
      <c r="DL27" s="26">
        <f t="shared" si="91"/>
        <v>0</v>
      </c>
      <c r="DM27" s="26">
        <f t="shared" si="92"/>
        <v>0</v>
      </c>
      <c r="DN27" s="26">
        <f t="shared" si="93"/>
        <v>0</v>
      </c>
      <c r="DO27" s="26">
        <f t="shared" si="94"/>
        <v>0</v>
      </c>
      <c r="DP27" s="26">
        <f t="shared" si="95"/>
        <v>0</v>
      </c>
      <c r="DR27" s="26">
        <f t="shared" si="96"/>
        <v>0</v>
      </c>
      <c r="DS27" s="26">
        <f t="shared" si="97"/>
        <v>5</v>
      </c>
      <c r="DT27" s="26">
        <f t="shared" si="98"/>
        <v>5</v>
      </c>
      <c r="DU27" s="26">
        <f t="shared" si="99"/>
        <v>5</v>
      </c>
      <c r="DV27" s="26">
        <f t="shared" si="100"/>
        <v>5</v>
      </c>
      <c r="DW27" s="26">
        <f t="shared" si="101"/>
        <v>5</v>
      </c>
      <c r="DX27" s="26">
        <f t="shared" si="102"/>
        <v>0</v>
      </c>
      <c r="DY27" s="26">
        <f t="shared" si="103"/>
        <v>0</v>
      </c>
      <c r="DZ27" s="26">
        <f t="shared" si="104"/>
        <v>0</v>
      </c>
      <c r="EB27" s="26">
        <f t="shared" si="105"/>
        <v>0</v>
      </c>
      <c r="EC27" s="26">
        <f t="shared" si="106"/>
        <v>0</v>
      </c>
      <c r="ED27" s="26">
        <f t="shared" si="107"/>
        <v>0</v>
      </c>
      <c r="EE27" s="26">
        <f t="shared" si="108"/>
        <v>0</v>
      </c>
      <c r="EF27" s="26">
        <f t="shared" si="109"/>
        <v>0</v>
      </c>
      <c r="EG27" s="26">
        <f t="shared" si="110"/>
        <v>0</v>
      </c>
      <c r="EH27" s="26">
        <f t="shared" si="111"/>
        <v>0</v>
      </c>
      <c r="EI27" s="26">
        <f t="shared" si="112"/>
        <v>0</v>
      </c>
      <c r="EJ27" s="26">
        <f t="shared" si="113"/>
        <v>0</v>
      </c>
      <c r="EL27" s="26">
        <f t="shared" si="114"/>
        <v>0</v>
      </c>
      <c r="EM27" s="26">
        <f t="shared" si="115"/>
        <v>0</v>
      </c>
      <c r="EN27" s="26">
        <f t="shared" si="116"/>
        <v>0</v>
      </c>
      <c r="EO27" s="26">
        <f t="shared" si="117"/>
        <v>0</v>
      </c>
      <c r="EP27" s="26">
        <f t="shared" si="118"/>
        <v>0</v>
      </c>
      <c r="EQ27" s="26">
        <f t="shared" si="119"/>
        <v>0</v>
      </c>
      <c r="ER27" s="26">
        <f t="shared" si="120"/>
        <v>0</v>
      </c>
      <c r="ES27" s="26">
        <f t="shared" si="121"/>
        <v>0</v>
      </c>
      <c r="ET27" s="26">
        <f t="shared" si="122"/>
        <v>0</v>
      </c>
      <c r="EV27" s="26">
        <f t="shared" si="123"/>
        <v>0</v>
      </c>
      <c r="EW27" s="26">
        <f t="shared" si="124"/>
        <v>5</v>
      </c>
      <c r="EX27" s="26">
        <f t="shared" si="125"/>
        <v>5</v>
      </c>
      <c r="EY27" s="26">
        <f t="shared" si="126"/>
        <v>5</v>
      </c>
      <c r="EZ27" s="26">
        <f t="shared" si="127"/>
        <v>5</v>
      </c>
      <c r="FA27" s="26">
        <f t="shared" si="128"/>
        <v>5</v>
      </c>
      <c r="FB27" s="26">
        <f t="shared" si="129"/>
        <v>0</v>
      </c>
      <c r="FC27" s="26">
        <f t="shared" si="130"/>
        <v>0</v>
      </c>
      <c r="FD27" s="26">
        <f t="shared" si="131"/>
        <v>0</v>
      </c>
      <c r="FF27" s="26">
        <f t="shared" si="132"/>
        <v>0</v>
      </c>
      <c r="FG27" s="26">
        <f t="shared" si="133"/>
        <v>0</v>
      </c>
      <c r="FH27" s="26">
        <f t="shared" si="134"/>
        <v>0</v>
      </c>
      <c r="FI27" s="26">
        <f t="shared" si="135"/>
        <v>0</v>
      </c>
      <c r="FJ27" s="26">
        <f t="shared" si="136"/>
        <v>0</v>
      </c>
      <c r="FK27" s="26">
        <f t="shared" si="137"/>
        <v>0</v>
      </c>
      <c r="FL27" s="26">
        <f t="shared" si="138"/>
        <v>0</v>
      </c>
      <c r="FM27" s="26">
        <f t="shared" si="139"/>
        <v>0</v>
      </c>
      <c r="FN27" s="26">
        <f t="shared" si="140"/>
        <v>0</v>
      </c>
      <c r="FP27" s="26" t="e">
        <f t="shared" si="141"/>
        <v>#REF!</v>
      </c>
      <c r="FQ27" s="26" t="e">
        <f t="shared" si="142"/>
        <v>#REF!</v>
      </c>
      <c r="FR27" s="26" t="e">
        <f t="shared" si="143"/>
        <v>#REF!</v>
      </c>
      <c r="FS27" s="26" t="e">
        <f t="shared" si="144"/>
        <v>#REF!</v>
      </c>
      <c r="FT27" s="26" t="e">
        <f t="shared" si="145"/>
        <v>#REF!</v>
      </c>
      <c r="FU27" s="26" t="e">
        <f t="shared" si="146"/>
        <v>#REF!</v>
      </c>
      <c r="FV27" s="26" t="e">
        <f t="shared" si="147"/>
        <v>#REF!</v>
      </c>
      <c r="FW27" s="26" t="e">
        <f t="shared" si="148"/>
        <v>#REF!</v>
      </c>
      <c r="FX27" s="26" t="e">
        <f t="shared" si="149"/>
        <v>#REF!</v>
      </c>
      <c r="GB27" s="26" t="e">
        <f>IF(GB$2=InputTable[[#This Row],[Delivery Date]],_xlfn.XLOOKUP(GB$1,$BH$2:$BR$2,$BH27:$BR27,0),0)</f>
        <v>#REF!</v>
      </c>
      <c r="GC27" s="26">
        <f>IF(GC$2=InputTable[[#This Row],[Delivery Date]],_xlfn.XLOOKUP(GC$1,$BH$2:$BR$2,$BH27:$BR27,0),0)</f>
        <v>0</v>
      </c>
      <c r="GD27" s="26">
        <f>IF(GD$2=InputTable[[#This Row],[Delivery Date]],_xlfn.XLOOKUP(GD$1,$BH$2:$BR$2,$BH27:$BR27,0),0)</f>
        <v>0</v>
      </c>
      <c r="GE27" s="26">
        <f>IF(GE$2=InputTable[[#This Row],[Delivery Date]],_xlfn.XLOOKUP(GE$1,$BH$2:$BR$2,$BH27:$BR27,0),0)</f>
        <v>0</v>
      </c>
      <c r="GF27" s="26">
        <f>IF(GF$2=InputTable[[#This Row],[Delivery Date]],_xlfn.XLOOKUP(GF$1,$BH$2:$BR$2,$BH27:$BR27,0),0)</f>
        <v>0</v>
      </c>
      <c r="GG27" s="26">
        <f>IF(GG$2=InputTable[[#This Row],[Delivery Date]],_xlfn.XLOOKUP(GG$1,$BH$2:$BR$2,$BH27:$BR27,0),0)</f>
        <v>0</v>
      </c>
      <c r="GH27" s="26">
        <f>IF(GH$2=InputTable[[#This Row],[Delivery Date]],_xlfn.XLOOKUP(GH$1,$BH$2:$BR$2,$BH27:$BR27,0),0)</f>
        <v>0</v>
      </c>
      <c r="GI27" s="26">
        <f>IF(GI$2=InputTable[[#This Row],[Delivery Date]],_xlfn.XLOOKUP(GI$1,$BH$2:$BR$2,$BH27:$BR27,0),0)</f>
        <v>0</v>
      </c>
      <c r="GJ27" s="26">
        <f>IF(GJ$2=InputTable[[#This Row],[Delivery Date]],_xlfn.XLOOKUP(GJ$1,$BH$2:$BR$2,$BH27:$BR27,0),0)</f>
        <v>0</v>
      </c>
      <c r="GL27" s="26" t="e">
        <f>IF(GL$2=InputTable[[#This Row],[Delivery Date]],_xlfn.XLOOKUP(GL$1,$BH$2:$BR$2,$BH27:$BR27,0),0)</f>
        <v>#REF!</v>
      </c>
      <c r="GM27" s="26">
        <f>IF(GM$2=InputTable[[#This Row],[Delivery Date]],_xlfn.XLOOKUP(GM$1,$BH$2:$BR$2,$BH27:$BR27,0),0)</f>
        <v>0</v>
      </c>
      <c r="GN27" s="26">
        <f>IF(GN$2=InputTable[[#This Row],[Delivery Date]],_xlfn.XLOOKUP(GN$1,$BH$2:$BR$2,$BH27:$BR27,0),0)</f>
        <v>0</v>
      </c>
      <c r="GO27" s="26">
        <f>IF(GO$2=InputTable[[#This Row],[Delivery Date]],_xlfn.XLOOKUP(GO$1,$BH$2:$BR$2,$BH27:$BR27,0),0)</f>
        <v>0</v>
      </c>
      <c r="GP27" s="26">
        <f>IF(GP$2=InputTable[[#This Row],[Delivery Date]],_xlfn.XLOOKUP(GP$1,$BH$2:$BR$2,$BH27:$BR27,0),0)</f>
        <v>0</v>
      </c>
      <c r="GQ27" s="26">
        <f>IF(GQ$2=InputTable[[#This Row],[Delivery Date]],_xlfn.XLOOKUP(GQ$1,$BH$2:$BR$2,$BH27:$BR27,0),0)</f>
        <v>0</v>
      </c>
      <c r="GR27" s="26">
        <f>IF(GR$2=InputTable[[#This Row],[Delivery Date]],_xlfn.XLOOKUP(GR$1,$BH$2:$BR$2,$BH27:$BR27,0),0)</f>
        <v>0</v>
      </c>
      <c r="GS27" s="26">
        <f>IF(GS$2=InputTable[[#This Row],[Delivery Date]],_xlfn.XLOOKUP(GS$1,$BH$2:$BR$2,$BH27:$BR27,0),0)</f>
        <v>0</v>
      </c>
      <c r="GT27" s="26">
        <f>IF(GT$2=InputTable[[#This Row],[Delivery Date]],_xlfn.XLOOKUP(GT$1,$BH$2:$BR$2,$BH27:$BR27,0),0)</f>
        <v>0</v>
      </c>
      <c r="GV27" s="26" t="e">
        <f>IF(GV$2=InputTable[[#This Row],[Delivery Date]],_xlfn.XLOOKUP(GV$1,$BH$2:$BR$2,$BH27:$BR27,0),0)</f>
        <v>#REF!</v>
      </c>
      <c r="GW27" s="26">
        <f>IF(GW$2=InputTable[[#This Row],[Delivery Date]],_xlfn.XLOOKUP(GW$1,$BH$2:$BR$2,$BH27:$BR27,0),0)</f>
        <v>0</v>
      </c>
      <c r="GX27" s="26">
        <f>IF(GX$2=InputTable[[#This Row],[Delivery Date]],_xlfn.XLOOKUP(GX$1,$BH$2:$BR$2,$BH27:$BR27,0),0)</f>
        <v>0</v>
      </c>
      <c r="GY27" s="26">
        <f>IF(GY$2=InputTable[[#This Row],[Delivery Date]],_xlfn.XLOOKUP(GY$1,$BH$2:$BR$2,$BH27:$BR27,0),0)</f>
        <v>0</v>
      </c>
      <c r="GZ27" s="26">
        <f>IF(GZ$2=InputTable[[#This Row],[Delivery Date]],_xlfn.XLOOKUP(GZ$1,$BH$2:$BR$2,$BH27:$BR27,0),0)</f>
        <v>0</v>
      </c>
      <c r="HA27" s="26">
        <f>IF(HA$2=InputTable[[#This Row],[Delivery Date]],_xlfn.XLOOKUP(HA$1,$BH$2:$BR$2,$BH27:$BR27,0),0)</f>
        <v>0</v>
      </c>
      <c r="HB27" s="26">
        <f>IF(HB$2=InputTable[[#This Row],[Delivery Date]],_xlfn.XLOOKUP(HB$1,$BH$2:$BR$2,$BH27:$BR27,0),0)</f>
        <v>0</v>
      </c>
      <c r="HC27" s="26">
        <f>IF(HC$2=InputTable[[#This Row],[Delivery Date]],_xlfn.XLOOKUP(HC$1,$BH$2:$BR$2,$BH27:$BR27,0),0)</f>
        <v>0</v>
      </c>
      <c r="HD27" s="26">
        <f>IF(HD$2=InputTable[[#This Row],[Delivery Date]],_xlfn.XLOOKUP(HD$1,$BH$2:$BR$2,$BH27:$BR27,0),0)</f>
        <v>0</v>
      </c>
      <c r="HF27" s="26" t="e">
        <f>IF(HF$2=InputTable[[#This Row],[Delivery Date]],_xlfn.XLOOKUP(HF$1,$BH$2:$BR$2,$BH27:$BR27,0),0)</f>
        <v>#REF!</v>
      </c>
      <c r="HG27" s="26">
        <f>IF(HG$2=InputTable[[#This Row],[Delivery Date]],_xlfn.XLOOKUP(HG$1,$BH$2:$BR$2,$BH27:$BR27,0),0)</f>
        <v>0</v>
      </c>
      <c r="HH27" s="26">
        <f>IF(HH$2=InputTable[[#This Row],[Delivery Date]],_xlfn.XLOOKUP(HH$1,$BH$2:$BR$2,$BH27:$BR27,0),0)</f>
        <v>0</v>
      </c>
      <c r="HI27" s="26">
        <f>IF(HI$2=InputTable[[#This Row],[Delivery Date]],_xlfn.XLOOKUP(HI$1,$BH$2:$BR$2,$BH27:$BR27,0),0)</f>
        <v>0</v>
      </c>
      <c r="HJ27" s="26">
        <f>IF(HJ$2=InputTable[[#This Row],[Delivery Date]],_xlfn.XLOOKUP(HJ$1,$BH$2:$BR$2,$BH27:$BR27,0),0)</f>
        <v>0</v>
      </c>
      <c r="HK27" s="26">
        <f>IF(HK$2=InputTable[[#This Row],[Delivery Date]],_xlfn.XLOOKUP(HK$1,$BH$2:$BR$2,$BH27:$BR27,0),0)</f>
        <v>0</v>
      </c>
      <c r="HL27" s="26">
        <f>IF(HL$2=InputTable[[#This Row],[Delivery Date]],_xlfn.XLOOKUP(HL$1,$BH$2:$BR$2,$BH27:$BR27,0),0)</f>
        <v>0</v>
      </c>
      <c r="HM27" s="26">
        <f>IF(HM$2=InputTable[[#This Row],[Delivery Date]],_xlfn.XLOOKUP(HM$1,$BH$2:$BR$2,$BH27:$BR27,0),0)</f>
        <v>0</v>
      </c>
      <c r="HN27" s="26">
        <f>IF(HN$2=InputTable[[#This Row],[Delivery Date]],_xlfn.XLOOKUP(HN$1,$BH$2:$BR$2,$BH27:$BR27,0),0)</f>
        <v>0</v>
      </c>
      <c r="HP27" s="26" t="e">
        <f>IF(HP$2=InputTable[[#This Row],[Delivery Date]],_xlfn.XLOOKUP(HP$1,$BH$2:$BR$2,$BH27:$BR27,0),0)</f>
        <v>#REF!</v>
      </c>
      <c r="HQ27" s="26">
        <f>IF(HQ$2=InputTable[[#This Row],[Delivery Date]],_xlfn.XLOOKUP(HQ$1,$BH$2:$BR$2,$BH27:$BR27,0),0)</f>
        <v>0</v>
      </c>
      <c r="HR27" s="26">
        <f>IF(HR$2=InputTable[[#This Row],[Delivery Date]],_xlfn.XLOOKUP(HR$1,$BH$2:$BR$2,$BH27:$BR27,0),0)</f>
        <v>0</v>
      </c>
      <c r="HS27" s="26">
        <f>IF(HS$2=InputTable[[#This Row],[Delivery Date]],_xlfn.XLOOKUP(HS$1,$BH$2:$BR$2,$BH27:$BR27,0),0)</f>
        <v>0</v>
      </c>
      <c r="HT27" s="26">
        <f>IF(HT$2=InputTable[[#This Row],[Delivery Date]],_xlfn.XLOOKUP(HT$1,$BH$2:$BR$2,$BH27:$BR27,0),0)</f>
        <v>0</v>
      </c>
      <c r="HU27" s="26">
        <f>IF(HU$2=InputTable[[#This Row],[Delivery Date]],_xlfn.XLOOKUP(HU$1,$BH$2:$BR$2,$BH27:$BR27,0),0)</f>
        <v>0</v>
      </c>
      <c r="HV27" s="26">
        <f>IF(HV$2=InputTable[[#This Row],[Delivery Date]],_xlfn.XLOOKUP(HV$1,$BH$2:$BR$2,$BH27:$BR27,0),0)</f>
        <v>0</v>
      </c>
      <c r="HW27" s="26">
        <f>IF(HW$2=InputTable[[#This Row],[Delivery Date]],_xlfn.XLOOKUP(HW$1,$BH$2:$BR$2,$BH27:$BR27,0),0)</f>
        <v>0</v>
      </c>
      <c r="HX27" s="26">
        <f>IF(HX$2=InputTable[[#This Row],[Delivery Date]],_xlfn.XLOOKUP(HX$1,$BH$2:$BR$2,$BH27:$BR27,0),0)</f>
        <v>0</v>
      </c>
      <c r="HZ27" s="26" t="e">
        <f>IF(HZ$2=InputTable[[#This Row],[Delivery Date]],_xlfn.XLOOKUP(HZ$1,$BH$2:$BR$2,$BH27:$BR27,0),0)</f>
        <v>#REF!</v>
      </c>
      <c r="IA27" s="26">
        <f>IF(IA$2=InputTable[[#This Row],[Delivery Date]],_xlfn.XLOOKUP(IA$1,$BH$2:$BR$2,$BH27:$BR27,0),0)</f>
        <v>0</v>
      </c>
      <c r="IB27" s="26">
        <f>IF(IB$2=InputTable[[#This Row],[Delivery Date]],_xlfn.XLOOKUP(IB$1,$BH$2:$BR$2,$BH27:$BR27,0),0)</f>
        <v>0</v>
      </c>
      <c r="IC27" s="26">
        <f>IF(IC$2=InputTable[[#This Row],[Delivery Date]],_xlfn.XLOOKUP(IC$1,$BH$2:$BR$2,$BH27:$BR27,0),0)</f>
        <v>0</v>
      </c>
      <c r="ID27" s="26">
        <f>IF(ID$2=InputTable[[#This Row],[Delivery Date]],_xlfn.XLOOKUP(ID$1,$BH$2:$BR$2,$BH27:$BR27,0),0)</f>
        <v>0</v>
      </c>
      <c r="IE27" s="26">
        <f>IF(IE$2=InputTable[[#This Row],[Delivery Date]],_xlfn.XLOOKUP(IE$1,$BH$2:$BR$2,$BH27:$BR27,0),0)</f>
        <v>0</v>
      </c>
      <c r="IF27" s="26">
        <f>IF(IF$2=InputTable[[#This Row],[Delivery Date]],_xlfn.XLOOKUP(IF$1,$BH$2:$BR$2,$BH27:$BR27,0),0)</f>
        <v>0</v>
      </c>
      <c r="IG27" s="26">
        <f>IF(IG$2=InputTable[[#This Row],[Delivery Date]],_xlfn.XLOOKUP(IG$1,$BH$2:$BR$2,$BH27:$BR27,0),0)</f>
        <v>0</v>
      </c>
      <c r="IH27" s="26">
        <f>IF(IH$2=InputTable[[#This Row],[Delivery Date]],_xlfn.XLOOKUP(IH$1,$BH$2:$BR$2,$BH27:$BR27,0),0)</f>
        <v>0</v>
      </c>
      <c r="IJ27" s="26" t="e">
        <f>IF(IJ$2=InputTable[[#This Row],[Delivery Date]],_xlfn.XLOOKUP(IJ$1,$BH$2:$BR$2,$BH27:$BR27,0),0)</f>
        <v>#REF!</v>
      </c>
      <c r="IK27" s="26">
        <f>IF(IK$2=InputTable[[#This Row],[Delivery Date]],_xlfn.XLOOKUP(IK$1,$BH$2:$BR$2,$BH27:$BR27,0),0)</f>
        <v>0</v>
      </c>
      <c r="IL27" s="26">
        <f>IF(IL$2=InputTable[[#This Row],[Delivery Date]],_xlfn.XLOOKUP(IL$1,$BH$2:$BR$2,$BH27:$BR27,0),0)</f>
        <v>0</v>
      </c>
      <c r="IM27" s="26">
        <f>IF(IM$2=InputTable[[#This Row],[Delivery Date]],_xlfn.XLOOKUP(IM$1,$BH$2:$BR$2,$BH27:$BR27,0),0)</f>
        <v>0</v>
      </c>
      <c r="IN27" s="26">
        <f>IF(IN$2=InputTable[[#This Row],[Delivery Date]],_xlfn.XLOOKUP(IN$1,$BH$2:$BR$2,$BH27:$BR27,0),0)</f>
        <v>0</v>
      </c>
      <c r="IO27" s="26">
        <f>IF(IO$2=InputTable[[#This Row],[Delivery Date]],_xlfn.XLOOKUP(IO$1,$BH$2:$BR$2,$BH27:$BR27,0),0)</f>
        <v>0</v>
      </c>
      <c r="IP27" s="26">
        <f>IF(IP$2=InputTable[[#This Row],[Delivery Date]],_xlfn.XLOOKUP(IP$1,$BH$2:$BR$2,$BH27:$BR27,0),0)</f>
        <v>0</v>
      </c>
      <c r="IQ27" s="26">
        <f>IF(IQ$2=InputTable[[#This Row],[Delivery Date]],_xlfn.XLOOKUP(IQ$1,$BH$2:$BR$2,$BH27:$BR27,0),0)</f>
        <v>0</v>
      </c>
      <c r="IR27" s="26">
        <f>IF(IR$2=InputTable[[#This Row],[Delivery Date]],_xlfn.XLOOKUP(IR$1,$BH$2:$BR$2,$BH27:$BR27,0),0)</f>
        <v>0</v>
      </c>
      <c r="IT27" s="26" t="e">
        <f>IF(IT$2=InputTable[[#This Row],[Delivery Date]],_xlfn.XLOOKUP(IT$1,$BH$2:$BR$2,$BH27:$BR27,0),0)</f>
        <v>#REF!</v>
      </c>
      <c r="IU27" s="26">
        <f>IF(IU$2=InputTable[[#This Row],[Delivery Date]],_xlfn.XLOOKUP(IU$1,$BH$2:$BR$2,$BH27:$BR27,0),0)</f>
        <v>0</v>
      </c>
      <c r="IV27" s="26">
        <f>IF(IV$2=InputTable[[#This Row],[Delivery Date]],_xlfn.XLOOKUP(IV$1,$BH$2:$BR$2,$BH27:$BR27,0),0)</f>
        <v>0</v>
      </c>
      <c r="IW27" s="26">
        <f>IF(IW$2=InputTable[[#This Row],[Delivery Date]],_xlfn.XLOOKUP(IW$1,$BH$2:$BR$2,$BH27:$BR27,0),0)</f>
        <v>0</v>
      </c>
      <c r="IX27" s="26">
        <f>IF(IX$2=InputTable[[#This Row],[Delivery Date]],_xlfn.XLOOKUP(IX$1,$BH$2:$BR$2,$BH27:$BR27,0),0)</f>
        <v>0</v>
      </c>
      <c r="IY27" s="26">
        <f>IF(IY$2=InputTable[[#This Row],[Delivery Date]],_xlfn.XLOOKUP(IY$1,$BH$2:$BR$2,$BH27:$BR27,0),0)</f>
        <v>8</v>
      </c>
      <c r="IZ27" s="26">
        <f>IF(IZ$2=InputTable[[#This Row],[Delivery Date]],_xlfn.XLOOKUP(IZ$1,$BH$2:$BR$2,$BH27:$BR27,0),0)</f>
        <v>0</v>
      </c>
      <c r="JA27" s="26">
        <f>IF(JA$2=InputTable[[#This Row],[Delivery Date]],_xlfn.XLOOKUP(JA$1,$BH$2:$BR$2,$BH27:$BR27,0),0)</f>
        <v>0</v>
      </c>
      <c r="JB27" s="26">
        <f>IF(JB$2=InputTable[[#This Row],[Delivery Date]],_xlfn.XLOOKUP(JB$1,$BH$2:$BR$2,$BH27:$BR27,0),0)</f>
        <v>0</v>
      </c>
      <c r="JD27" s="26" t="e">
        <f>IF(JD$2=InputTable[[#This Row],[Delivery Date]],_xlfn.XLOOKUP(JD$1,$BH$2:$BR$2,$BH27:$BR27,0),0)</f>
        <v>#REF!</v>
      </c>
      <c r="JE27" s="26">
        <f>IF(JE$2=InputTable[[#This Row],[Delivery Date]],_xlfn.XLOOKUP(JE$1,$BH$2:$BR$2,$BH27:$BR27,0),0)</f>
        <v>0</v>
      </c>
      <c r="JF27" s="26">
        <f>IF(JF$2=InputTable[[#This Row],[Delivery Date]],_xlfn.XLOOKUP(JF$1,$BH$2:$BR$2,$BH27:$BR27,0),0)</f>
        <v>0</v>
      </c>
      <c r="JG27" s="26">
        <f>IF(JG$2=InputTable[[#This Row],[Delivery Date]],_xlfn.XLOOKUP(JG$1,$BH$2:$BR$2,$BH27:$BR27,0),0)</f>
        <v>0</v>
      </c>
      <c r="JH27" s="26">
        <f>IF(JH$2=InputTable[[#This Row],[Delivery Date]],_xlfn.XLOOKUP(JH$1,$BH$2:$BR$2,$BH27:$BR27,0),0)</f>
        <v>0</v>
      </c>
      <c r="JI27" s="26">
        <f>IF(JI$2=InputTable[[#This Row],[Delivery Date]],_xlfn.XLOOKUP(JI$1,$BH$2:$BR$2,$BH27:$BR27,0),0)</f>
        <v>0</v>
      </c>
      <c r="JJ27" s="26">
        <f>IF(JJ$2=InputTable[[#This Row],[Delivery Date]],_xlfn.XLOOKUP(JJ$1,$BH$2:$BR$2,$BH27:$BR27,0),0)</f>
        <v>0</v>
      </c>
      <c r="JK27" s="26">
        <f>IF(JK$2=InputTable[[#This Row],[Delivery Date]],_xlfn.XLOOKUP(JK$1,$BH$2:$BR$2,$BH27:$BR27,0),0)</f>
        <v>0</v>
      </c>
      <c r="JL27" s="26">
        <f>IF(JL$2=InputTable[[#This Row],[Delivery Date]],_xlfn.XLOOKUP(JL$1,$BH$2:$BR$2,$BH27:$BR27,0),0)</f>
        <v>0</v>
      </c>
      <c r="JN27" s="26" t="e">
        <f>IF(JN$2=InputTable[[#This Row],[Delivery Date]],_xlfn.XLOOKUP(JN$1,$BH$2:$BR$2,$BH27:$BR27,0),0)</f>
        <v>#REF!</v>
      </c>
      <c r="JO27" s="26">
        <f>IF(JO$2=InputTable[[#This Row],[Delivery Date]],_xlfn.XLOOKUP(JO$1,$BH$2:$BR$2,$BH27:$BR27,0),0)</f>
        <v>0</v>
      </c>
      <c r="JP27" s="26">
        <f>IF(JP$2=InputTable[[#This Row],[Delivery Date]],_xlfn.XLOOKUP(JP$1,$BH$2:$BR$2,$BH27:$BR27,0),0)</f>
        <v>0</v>
      </c>
      <c r="JQ27" s="26">
        <f>IF(JQ$2=InputTable[[#This Row],[Delivery Date]],_xlfn.XLOOKUP(JQ$1,$BH$2:$BR$2,$BH27:$BR27,0),0)</f>
        <v>0</v>
      </c>
      <c r="JR27" s="26">
        <f>IF(JR$2=InputTable[[#This Row],[Delivery Date]],_xlfn.XLOOKUP(JR$1,$BH$2:$BR$2,$BH27:$BR27,0),0)</f>
        <v>0</v>
      </c>
      <c r="JS27" s="26">
        <f>IF(JS$2=InputTable[[#This Row],[Delivery Date]],_xlfn.XLOOKUP(JS$1,$BH$2:$BR$2,$BH27:$BR27,0),0)</f>
        <v>0</v>
      </c>
      <c r="JT27" s="26">
        <f>IF(JT$2=InputTable[[#This Row],[Delivery Date]],_xlfn.XLOOKUP(JT$1,$BH$2:$BR$2,$BH27:$BR27,0),0)</f>
        <v>0</v>
      </c>
      <c r="JU27" s="26">
        <f>IF(JU$2=InputTable[[#This Row],[Delivery Date]],_xlfn.XLOOKUP(JU$1,$BH$2:$BR$2,$BH27:$BR27,0),0)</f>
        <v>0</v>
      </c>
      <c r="JV27" s="26">
        <f>IF(JV$2=InputTable[[#This Row],[Delivery Date]],_xlfn.XLOOKUP(JV$1,$BH$2:$BR$2,$BH27:$BR27,0),0)</f>
        <v>0</v>
      </c>
      <c r="JX27" s="26" t="e">
        <f>IF(JX$2=InputTable[[#This Row],[Delivery Date]],_xlfn.XLOOKUP(JX$1,$BH$2:$BR$2,$BH27:$BR27,0),0)</f>
        <v>#REF!</v>
      </c>
      <c r="JY27" s="26">
        <f>IF(JY$2=InputTable[[#This Row],[Delivery Date]],_xlfn.XLOOKUP(JY$1,$BH$2:$BR$2,$BH27:$BR27,0),0)</f>
        <v>0</v>
      </c>
      <c r="JZ27" s="26">
        <f>IF(JZ$2=InputTable[[#This Row],[Delivery Date]],_xlfn.XLOOKUP(JZ$1,$BH$2:$BR$2,$BH27:$BR27,0),0)</f>
        <v>0</v>
      </c>
      <c r="KA27" s="26">
        <f>IF(KA$2=InputTable[[#This Row],[Delivery Date]],_xlfn.XLOOKUP(KA$1,$BH$2:$BR$2,$BH27:$BR27,0),0)</f>
        <v>0</v>
      </c>
      <c r="KB27" s="26">
        <f>IF(KB$2=InputTable[[#This Row],[Delivery Date]],_xlfn.XLOOKUP(KB$1,$BH$2:$BR$2,$BH27:$BR27,0),0)</f>
        <v>0</v>
      </c>
      <c r="KC27" s="26">
        <f>IF(KC$2=InputTable[[#This Row],[Delivery Date]],_xlfn.XLOOKUP(KC$1,$BH$2:$BR$2,$BH27:$BR27,0),0)</f>
        <v>0</v>
      </c>
      <c r="KD27" s="26">
        <f>IF(KD$2=InputTable[[#This Row],[Delivery Date]],_xlfn.XLOOKUP(KD$1,$BH$2:$BR$2,$BH27:$BR27,0),0)</f>
        <v>0</v>
      </c>
      <c r="KE27" s="26">
        <f>IF(KE$2=InputTable[[#This Row],[Delivery Date]],_xlfn.XLOOKUP(KE$1,$BH$2:$BR$2,$BH27:$BR27,0),0)</f>
        <v>0</v>
      </c>
      <c r="KF27" s="26">
        <f>IF(KF$2=InputTable[[#This Row],[Delivery Date]],_xlfn.XLOOKUP(KF$1,$BH$2:$BR$2,$BH27:$BR27,0),0)</f>
        <v>0</v>
      </c>
    </row>
    <row r="28" spans="1:292" ht="39.6" customHeight="1" x14ac:dyDescent="0.25">
      <c r="A28" s="141"/>
      <c r="B28" s="141" t="s">
        <v>104</v>
      </c>
      <c r="C28" s="92" t="s">
        <v>56</v>
      </c>
      <c r="D28" s="125" t="s">
        <v>199</v>
      </c>
      <c r="E28" s="193" t="s">
        <v>200</v>
      </c>
      <c r="F28" s="92" t="s">
        <v>16</v>
      </c>
      <c r="G28" s="92">
        <v>2027</v>
      </c>
      <c r="H28" s="92"/>
      <c r="I28" s="92">
        <v>2027</v>
      </c>
      <c r="J28" s="122"/>
      <c r="K28" s="95" t="str">
        <f>VLOOKUP((InputTable[[#This Row],[Starting Date]]&amp; " - " &amp;InputTable[[#This Row],[Delivery Date]]),'System List'!$F$40:$H$83,2,FALSE)</f>
        <v>1 to 2 years</v>
      </c>
      <c r="L28" s="95">
        <f>VLOOKUP(InputTable[[#This Row],[Duration]],Duration,2,FALSE)</f>
        <v>8</v>
      </c>
      <c r="M28" s="125" t="s">
        <v>138</v>
      </c>
      <c r="N28" s="98" t="s">
        <v>111</v>
      </c>
      <c r="O28" s="98"/>
      <c r="P28" s="98"/>
      <c r="Q28" s="98" t="s">
        <v>100</v>
      </c>
      <c r="R28" s="98" t="s">
        <v>139</v>
      </c>
      <c r="S28" s="92"/>
      <c r="T28" s="95" cm="1">
        <f t="array" ref="T2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4.6999999999999993</v>
      </c>
      <c r="U28" s="138"/>
      <c r="V28" s="92"/>
      <c r="W28" s="92"/>
      <c r="X28" s="92"/>
      <c r="Y28" s="92"/>
      <c r="Z28" s="92"/>
      <c r="AA28" s="92"/>
      <c r="AB28" s="92"/>
      <c r="AC28" s="92"/>
      <c r="AD28" s="92">
        <f>COUNTA(InputTable[[#This Row],[CORPHRFIN]:[SALES]])</f>
        <v>0</v>
      </c>
      <c r="AE28" s="88" cm="1">
        <f t="array" ref="AE28">SUM(
_xlfn.XLOOKUP(InputTable[[#This Row],[CORPHRFIN]:[SALES]],'System List'!$F$4:$F$7,'System List'!$H$4:$H$7,0))</f>
        <v>0</v>
      </c>
      <c r="AF28" s="140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88" cm="1">
        <f t="array" ref="AR28">SUM(
_xlfn.XLOOKUP(InputTable[[#This Row],[Impact on - CIAL]:[Impact on - STRAT]],'System List'!$F$4:$F$7,'System List'!$H$4:$H$7,0))</f>
        <v>0</v>
      </c>
      <c r="AS28" s="88">
        <f>VLOOKUP(InputTable[[#This Row],[Duration]],Duration,2,FALSE)+InputTable[[#This Row],[Resource Score]]</f>
        <v>8</v>
      </c>
      <c r="AT2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8" s="24">
        <f>InputTable[[#This Row],[Value Score]]/InputTable[[#This Row],[EFFORT SCORE]]*100</f>
        <v>58.749999999999993</v>
      </c>
      <c r="AV28" s="25" t="str">
        <f>InputTable[[#This Row],[IS Portfolio Ref ID]]</f>
        <v>ISPRJ-86</v>
      </c>
      <c r="AW28" s="25" t="s">
        <v>140</v>
      </c>
      <c r="AX28" s="208"/>
      <c r="AY28" s="25"/>
      <c r="AZ28" s="209">
        <v>0</v>
      </c>
      <c r="BA28" s="209">
        <v>0</v>
      </c>
      <c r="BB28" s="209"/>
      <c r="BC28" s="189"/>
      <c r="BD28" s="188"/>
      <c r="BE28" s="188"/>
      <c r="BF28" s="70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T28" s="2"/>
      <c r="BU28" s="2"/>
      <c r="BV28" s="2"/>
      <c r="BW28" s="2"/>
      <c r="BX28" s="2"/>
      <c r="BY28" s="2"/>
      <c r="BZ28" s="2"/>
      <c r="CA28" s="2"/>
      <c r="CC28" s="2"/>
      <c r="CD28" s="2"/>
      <c r="CE28" s="2"/>
      <c r="CF28" s="2"/>
      <c r="CG28" s="2"/>
      <c r="CH28" s="2"/>
      <c r="CI28" s="2"/>
      <c r="CJ28" s="2"/>
      <c r="CK28" s="2"/>
      <c r="CN28" s="2"/>
      <c r="CO28" s="2"/>
      <c r="CP28" s="2"/>
      <c r="CQ28" s="2"/>
      <c r="CR28" s="2"/>
      <c r="CS28" s="2"/>
      <c r="CT28" s="2"/>
      <c r="CU28" s="2"/>
      <c r="CV28" s="2"/>
      <c r="CX28" s="26"/>
      <c r="CY28" s="26"/>
      <c r="CZ28" s="26"/>
      <c r="DA28" s="26"/>
      <c r="DB28" s="26"/>
      <c r="DC28" s="26"/>
      <c r="DD28" s="26"/>
      <c r="DE28" s="26"/>
      <c r="DF28" s="26"/>
      <c r="DH28" s="26"/>
      <c r="DI28" s="26"/>
      <c r="DJ28" s="26"/>
      <c r="DK28" s="26"/>
      <c r="DL28" s="26"/>
      <c r="DM28" s="26"/>
      <c r="DN28" s="26"/>
      <c r="DO28" s="26"/>
      <c r="DP28" s="26"/>
      <c r="DR28" s="26"/>
      <c r="DS28" s="26"/>
      <c r="DT28" s="26"/>
      <c r="DU28" s="26"/>
      <c r="DV28" s="26"/>
      <c r="DW28" s="26"/>
      <c r="DX28" s="26"/>
      <c r="DY28" s="26"/>
      <c r="DZ28" s="26"/>
      <c r="EB28" s="26"/>
      <c r="EC28" s="26"/>
      <c r="ED28" s="26"/>
      <c r="EE28" s="26"/>
      <c r="EF28" s="26"/>
      <c r="EG28" s="26"/>
      <c r="EH28" s="26"/>
      <c r="EI28" s="26"/>
      <c r="EJ28" s="26"/>
      <c r="EL28" s="26"/>
      <c r="EM28" s="26"/>
      <c r="EN28" s="26"/>
      <c r="EO28" s="26"/>
      <c r="EP28" s="26"/>
      <c r="EQ28" s="26"/>
      <c r="ER28" s="26"/>
      <c r="ES28" s="26"/>
      <c r="ET28" s="26"/>
      <c r="EV28" s="26"/>
      <c r="EW28" s="26"/>
      <c r="EX28" s="26"/>
      <c r="EY28" s="26"/>
      <c r="EZ28" s="26"/>
      <c r="FA28" s="26"/>
      <c r="FB28" s="26"/>
      <c r="FC28" s="26"/>
      <c r="FD28" s="26"/>
      <c r="FF28" s="26"/>
      <c r="FG28" s="26"/>
      <c r="FH28" s="26"/>
      <c r="FI28" s="26"/>
      <c r="FJ28" s="26"/>
      <c r="FK28" s="26"/>
      <c r="FL28" s="26"/>
      <c r="FM28" s="26"/>
      <c r="FN28" s="26"/>
      <c r="FP28" s="26"/>
      <c r="FQ28" s="26"/>
      <c r="FR28" s="26"/>
      <c r="FS28" s="26"/>
      <c r="FT28" s="26"/>
      <c r="FU28" s="26"/>
      <c r="FV28" s="26"/>
      <c r="FW28" s="26"/>
      <c r="FX28" s="26"/>
      <c r="GB28" s="26"/>
      <c r="GC28" s="26"/>
      <c r="GD28" s="26"/>
      <c r="GE28" s="26"/>
      <c r="GF28" s="26"/>
      <c r="GG28" s="26"/>
      <c r="GH28" s="26"/>
      <c r="GI28" s="26"/>
      <c r="GJ28" s="26"/>
      <c r="GL28" s="26"/>
      <c r="GM28" s="26"/>
      <c r="GN28" s="26"/>
      <c r="GO28" s="26"/>
      <c r="GP28" s="26"/>
      <c r="GQ28" s="26"/>
      <c r="GR28" s="26"/>
      <c r="GS28" s="26"/>
      <c r="GT28" s="26"/>
      <c r="GV28" s="26"/>
      <c r="GW28" s="26"/>
      <c r="GX28" s="26"/>
      <c r="GY28" s="26"/>
      <c r="GZ28" s="26"/>
      <c r="HA28" s="26"/>
      <c r="HB28" s="26"/>
      <c r="HC28" s="26"/>
      <c r="HD28" s="26"/>
      <c r="HF28" s="26"/>
      <c r="HG28" s="26"/>
      <c r="HH28" s="26"/>
      <c r="HI28" s="26"/>
      <c r="HJ28" s="26"/>
      <c r="HK28" s="26"/>
      <c r="HL28" s="26"/>
      <c r="HM28" s="26"/>
      <c r="HN28" s="26"/>
      <c r="HP28" s="26"/>
      <c r="HQ28" s="26"/>
      <c r="HR28" s="26"/>
      <c r="HS28" s="26"/>
      <c r="HT28" s="26"/>
      <c r="HU28" s="26"/>
      <c r="HV28" s="26"/>
      <c r="HW28" s="26"/>
      <c r="HX28" s="26"/>
      <c r="HZ28" s="26"/>
      <c r="IA28" s="26"/>
      <c r="IB28" s="26"/>
      <c r="IC28" s="26"/>
      <c r="ID28" s="26"/>
      <c r="IE28" s="26"/>
      <c r="IF28" s="26"/>
      <c r="IG28" s="26"/>
      <c r="IH28" s="26"/>
      <c r="IJ28" s="26"/>
      <c r="IK28" s="26"/>
      <c r="IL28" s="26"/>
      <c r="IM28" s="26"/>
      <c r="IN28" s="26"/>
      <c r="IO28" s="26"/>
      <c r="IP28" s="26"/>
      <c r="IQ28" s="26"/>
      <c r="IR28" s="26"/>
      <c r="IT28" s="26"/>
      <c r="IU28" s="26"/>
      <c r="IV28" s="26"/>
      <c r="IW28" s="26"/>
      <c r="IX28" s="26"/>
      <c r="IY28" s="26"/>
      <c r="IZ28" s="26"/>
      <c r="JA28" s="26"/>
      <c r="JB28" s="26"/>
      <c r="JD28" s="26"/>
      <c r="JE28" s="26"/>
      <c r="JF28" s="26"/>
      <c r="JG28" s="26"/>
      <c r="JH28" s="26"/>
      <c r="JI28" s="26"/>
      <c r="JJ28" s="26"/>
      <c r="JK28" s="26"/>
      <c r="JL28" s="26"/>
      <c r="JN28" s="26"/>
      <c r="JO28" s="26"/>
      <c r="JP28" s="26"/>
      <c r="JQ28" s="26"/>
      <c r="JR28" s="26"/>
      <c r="JS28" s="26"/>
      <c r="JT28" s="26"/>
      <c r="JU28" s="26"/>
      <c r="JV28" s="26"/>
      <c r="JX28" s="26"/>
      <c r="JY28" s="26"/>
      <c r="JZ28" s="26"/>
      <c r="KA28" s="26"/>
      <c r="KB28" s="26"/>
      <c r="KC28" s="26"/>
      <c r="KD28" s="26"/>
      <c r="KE28" s="26"/>
      <c r="KF28" s="26"/>
    </row>
    <row r="29" spans="1:292" ht="39.6" customHeight="1" x14ac:dyDescent="0.25">
      <c r="A29" s="141" t="s">
        <v>149</v>
      </c>
      <c r="B29" s="141" t="s">
        <v>104</v>
      </c>
      <c r="C29" s="92" t="s">
        <v>57</v>
      </c>
      <c r="D29" s="125" t="s">
        <v>201</v>
      </c>
      <c r="E29" s="142" t="s">
        <v>202</v>
      </c>
      <c r="F29" s="98" t="s">
        <v>61</v>
      </c>
      <c r="G29" s="92">
        <v>2026</v>
      </c>
      <c r="H29" s="102" t="s">
        <v>100</v>
      </c>
      <c r="I29" s="98">
        <v>2027</v>
      </c>
      <c r="J29" s="126" t="s">
        <v>152</v>
      </c>
      <c r="K29" s="95" t="str">
        <f>VLOOKUP((InputTable[[#This Row],[Starting Date]]&amp; " - " &amp;InputTable[[#This Row],[Delivery Date]]),'System List'!$F$40:$H$83,2,FALSE)</f>
        <v>1 to 2 years</v>
      </c>
      <c r="L29" s="95">
        <f>VLOOKUP(InputTable[[#This Row],[Duration]],Duration,2,FALSE)</f>
        <v>8</v>
      </c>
      <c r="M29" s="126"/>
      <c r="N29" s="98" t="s">
        <v>111</v>
      </c>
      <c r="O29" s="98" t="s">
        <v>139</v>
      </c>
      <c r="P29" s="98" t="s">
        <v>111</v>
      </c>
      <c r="Q29" s="98" t="s">
        <v>139</v>
      </c>
      <c r="R29" s="98"/>
      <c r="S29" s="92"/>
      <c r="T29" s="95" cm="1">
        <f t="array" ref="T2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4.4000000000000004</v>
      </c>
      <c r="U29" s="138"/>
      <c r="V29" s="98"/>
      <c r="W29" s="98" t="s">
        <v>111</v>
      </c>
      <c r="X29" s="98"/>
      <c r="Y29" s="98"/>
      <c r="Z29" s="98"/>
      <c r="AA29" s="100"/>
      <c r="AB29" s="100"/>
      <c r="AC29" s="98"/>
      <c r="AD29" s="92">
        <f>COUNTA(InputTable[[#This Row],[CORPHRFIN]:[SALES]])</f>
        <v>1</v>
      </c>
      <c r="AE29" s="88" cm="1">
        <f t="array" ref="AE29">SUM(
_xlfn.XLOOKUP(InputTable[[#This Row],[CORPHRFIN]:[SALES]],'System List'!$F$4:$F$7,'System List'!$H$4:$H$7,0))</f>
        <v>5</v>
      </c>
      <c r="AF29" s="140"/>
      <c r="AG29" s="101"/>
      <c r="AH29" s="101"/>
      <c r="AI29" s="101"/>
      <c r="AJ29" s="101"/>
      <c r="AK29" s="101"/>
      <c r="AL29" s="101"/>
      <c r="AM29" s="101" t="s">
        <v>111</v>
      </c>
      <c r="AN29" s="101" t="s">
        <v>111</v>
      </c>
      <c r="AO29" s="101"/>
      <c r="AP29" s="101"/>
      <c r="AQ29" s="101"/>
      <c r="AR29" s="88" cm="1">
        <f t="array" ref="AR29">SUM(
_xlfn.XLOOKUP(InputTable[[#This Row],[Impact on - CIAL]:[Impact on - STRAT]],'System List'!$F$4:$F$7,'System List'!$H$4:$H$7,0))</f>
        <v>10</v>
      </c>
      <c r="AS29" s="88">
        <f>VLOOKUP(InputTable[[#This Row],[Duration]],Duration,2,FALSE)+InputTable[[#This Row],[Resource Score]]</f>
        <v>13</v>
      </c>
      <c r="AT29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32.307692307692307</v>
      </c>
      <c r="AU29" s="24">
        <f>InputTable[[#This Row],[Value Score]]/InputTable[[#This Row],[EFFORT SCORE]]*100</f>
        <v>33.846153846153847</v>
      </c>
      <c r="AV29" s="25" t="str">
        <f>InputTable[[#This Row],[IS Portfolio Ref ID]]</f>
        <v>ISPRJ-67</v>
      </c>
      <c r="AW29" s="25" t="s">
        <v>203</v>
      </c>
      <c r="AX29" s="208" t="s">
        <v>154</v>
      </c>
      <c r="AY29" s="25"/>
      <c r="AZ29" s="209">
        <v>0</v>
      </c>
      <c r="BA29" s="209">
        <v>170460</v>
      </c>
      <c r="BB29" s="209"/>
      <c r="BC29" s="189">
        <f>SUM(InputTable[[#This Row],[Opex IS Budget (full project)]]+InputTable[[#This Row],[Capex IS Budget (full project)]])</f>
        <v>170460</v>
      </c>
      <c r="BD29" s="188">
        <v>1</v>
      </c>
      <c r="BE29" s="188"/>
      <c r="BF29" s="70"/>
      <c r="BH29" s="2">
        <f>IFERROR(VLOOKUP(InputTable[[#This Row],[Impact on - CIAL]],'System List'!$F$4:$H$7,3,FALSE),0)</f>
        <v>0</v>
      </c>
      <c r="BI29" s="2">
        <f>IFERROR(VLOOKUP(InputTable[[#This Row],[Impact on - COM]],'System List'!$F$4:$H$7,3,FALSE),0)</f>
        <v>0</v>
      </c>
      <c r="BJ29" s="2">
        <f>IFERROR(VLOOKUP(InputTable[[#This Row],[Impact on - FIN]],'System List'!$F$4:$H$7,3,FALSE),0)</f>
        <v>0</v>
      </c>
      <c r="BK29" s="2">
        <f>IFERROR(VLOOKUP(InputTable[[#This Row],[Impact on - GEN SEC]],'System List'!$F$4:$H$7,3,FALSE),0)</f>
        <v>0</v>
      </c>
      <c r="BL29" s="2">
        <f>IFERROR(VLOOKUP(InputTable[[#This Row],[Impact on - HR]],'System List'!$F$4:$H$7,3,FALSE),0)</f>
        <v>0</v>
      </c>
      <c r="BM29" s="2">
        <f>IFERROR(VLOOKUP(InputTable[[#This Row],[Impact on - IS]],'System List'!$F$4:$H$7,3,FALSE),0)</f>
        <v>0</v>
      </c>
      <c r="BN29" s="2">
        <f>IFERROR(VLOOKUP(InputTable[[#This Row],[Impact on - OPS]],'System List'!$F$4:$H$7,3,FALSE),0)</f>
        <v>5</v>
      </c>
      <c r="BO29" s="2">
        <f>IFERROR(VLOOKUP(InputTable[[#This Row],[Impact on - ROLL STOCK]],'System List'!$F$4:$H$7,3,FALSE),0)</f>
        <v>5</v>
      </c>
      <c r="BP29" s="2">
        <f>IFERROR(VLOOKUP(InputTable[[#This Row],[Impact on - SAFETY]],'System List'!$F$4:$H$7,3,FALSE),0)</f>
        <v>0</v>
      </c>
      <c r="BQ29" s="2">
        <f>IFERROR(VLOOKUP(InputTable[[#This Row],[Impact on - STATION]],'System List'!$F$4:$H$7,3,FALSE),0)</f>
        <v>0</v>
      </c>
      <c r="BR29" s="2">
        <f>IFERROR(VLOOKUP(InputTable[[#This Row],[Impact on - STRAT]],'System List'!$F$4:$H$7,3,FALSE),0)</f>
        <v>0</v>
      </c>
      <c r="BT29" s="2">
        <f>IFERROR(VLOOKUP(InputTable[[#This Row],[CORPHRFIN]],'System List'!$F$4:$H$7,3,FALSE),0)</f>
        <v>0</v>
      </c>
      <c r="BU29" s="2">
        <f>IFERROR(VLOOKUP(InputTable[[#This Row],[CUST]],'System List'!$F$4:$H$7,3,FALSE),0)</f>
        <v>5</v>
      </c>
      <c r="BV29" s="2">
        <f>IFERROR(VLOOKUP(InputTable[[#This Row],[CYBER]],'System List'!$F$4:$H$7,3,FALSE),0)</f>
        <v>0</v>
      </c>
      <c r="BW29" s="2">
        <f>IFERROR(VLOOKUP(InputTable[[#This Row],[DATA]],'System List'!$F$4:$H$7,3,FALSE),0)</f>
        <v>0</v>
      </c>
      <c r="BX29" s="2">
        <f>IFERROR(VLOOKUP(InputTable[[#This Row],[INFRA]],'System List'!$F$4:$H$7,3,FALSE),0)</f>
        <v>0</v>
      </c>
      <c r="BY29" s="2">
        <f>IFERROR(VLOOKUP(InputTable[[#This Row],[OPERATIONS]],'System List'!$F$4:$H$7,3,FALSE),0)</f>
        <v>0</v>
      </c>
      <c r="BZ29" s="2">
        <f>IFERROR(VLOOKUP(InputTable[[#This Row],[PMO]],'System List'!$F$4:$H$7,3,FALSE),0)</f>
        <v>0</v>
      </c>
      <c r="CA29" s="2">
        <f>IFERROR(VLOOKUP(InputTable[[#This Row],[SALES]],'System List'!$F$4:$H$7,3,FALSE),0)</f>
        <v>0</v>
      </c>
      <c r="CC29" s="2" cm="1">
        <f t="array" ref="CC2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9" s="2" cm="1">
        <f t="array" ref="CD2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9" s="2" cm="1">
        <f t="array" ref="CE2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9" s="2" cm="1">
        <f t="array" ref="CF2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9" s="2" cm="1">
        <f t="array" ref="CG2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9" s="2" cm="1">
        <f t="array" ref="CH2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9" s="2" cm="1">
        <f t="array" ref="CI2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9" s="2" cm="1">
        <f t="array" ref="CJ2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9" s="2" cm="1">
        <f t="array" ref="CK2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2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2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9" s="26">
        <f t="shared" si="78"/>
        <v>0</v>
      </c>
      <c r="CY29" s="26">
        <f t="shared" si="79"/>
        <v>0</v>
      </c>
      <c r="CZ29" s="26">
        <f t="shared" si="80"/>
        <v>0</v>
      </c>
      <c r="DA29" s="26">
        <f t="shared" si="81"/>
        <v>0</v>
      </c>
      <c r="DB29" s="26">
        <f t="shared" si="82"/>
        <v>0</v>
      </c>
      <c r="DC29" s="26">
        <f t="shared" si="83"/>
        <v>0</v>
      </c>
      <c r="DD29" s="26">
        <f t="shared" si="84"/>
        <v>0</v>
      </c>
      <c r="DE29" s="26">
        <f t="shared" si="85"/>
        <v>0</v>
      </c>
      <c r="DF29" s="26">
        <f t="shared" si="86"/>
        <v>0</v>
      </c>
      <c r="DH29" s="26">
        <f t="shared" si="87"/>
        <v>0</v>
      </c>
      <c r="DI29" s="26">
        <f t="shared" si="88"/>
        <v>0</v>
      </c>
      <c r="DJ29" s="26">
        <f t="shared" si="89"/>
        <v>0</v>
      </c>
      <c r="DK29" s="26">
        <f t="shared" si="90"/>
        <v>0</v>
      </c>
      <c r="DL29" s="26">
        <f t="shared" si="91"/>
        <v>0</v>
      </c>
      <c r="DM29" s="26">
        <f t="shared" si="92"/>
        <v>0</v>
      </c>
      <c r="DN29" s="26">
        <f t="shared" si="93"/>
        <v>5</v>
      </c>
      <c r="DO29" s="26">
        <f t="shared" si="94"/>
        <v>5</v>
      </c>
      <c r="DP29" s="26">
        <f t="shared" si="95"/>
        <v>0</v>
      </c>
      <c r="DR29" s="26">
        <f t="shared" si="96"/>
        <v>0</v>
      </c>
      <c r="DS29" s="26">
        <f t="shared" si="97"/>
        <v>0</v>
      </c>
      <c r="DT29" s="26">
        <f t="shared" si="98"/>
        <v>0</v>
      </c>
      <c r="DU29" s="26">
        <f t="shared" si="99"/>
        <v>0</v>
      </c>
      <c r="DV29" s="26">
        <f t="shared" si="100"/>
        <v>0</v>
      </c>
      <c r="DW29" s="26">
        <f t="shared" si="101"/>
        <v>0</v>
      </c>
      <c r="DX29" s="26">
        <f t="shared" si="102"/>
        <v>0</v>
      </c>
      <c r="DY29" s="26">
        <f t="shared" si="103"/>
        <v>0</v>
      </c>
      <c r="DZ29" s="26">
        <f t="shared" si="104"/>
        <v>0</v>
      </c>
      <c r="EB29" s="26">
        <f t="shared" si="105"/>
        <v>0</v>
      </c>
      <c r="EC29" s="26">
        <f t="shared" si="106"/>
        <v>0</v>
      </c>
      <c r="ED29" s="26">
        <f t="shared" si="107"/>
        <v>0</v>
      </c>
      <c r="EE29" s="26">
        <f t="shared" si="108"/>
        <v>0</v>
      </c>
      <c r="EF29" s="26">
        <f t="shared" si="109"/>
        <v>0</v>
      </c>
      <c r="EG29" s="26">
        <f t="shared" si="110"/>
        <v>0</v>
      </c>
      <c r="EH29" s="26">
        <f t="shared" si="111"/>
        <v>0</v>
      </c>
      <c r="EI29" s="26">
        <f t="shared" si="112"/>
        <v>0</v>
      </c>
      <c r="EJ29" s="26">
        <f t="shared" si="113"/>
        <v>0</v>
      </c>
      <c r="EL29" s="26">
        <f t="shared" si="114"/>
        <v>0</v>
      </c>
      <c r="EM29" s="26">
        <f t="shared" si="115"/>
        <v>0</v>
      </c>
      <c r="EN29" s="26">
        <f t="shared" si="116"/>
        <v>0</v>
      </c>
      <c r="EO29" s="26">
        <f t="shared" si="117"/>
        <v>0</v>
      </c>
      <c r="EP29" s="26">
        <f t="shared" si="118"/>
        <v>0</v>
      </c>
      <c r="EQ29" s="26">
        <f t="shared" si="119"/>
        <v>0</v>
      </c>
      <c r="ER29" s="26">
        <f t="shared" si="120"/>
        <v>0</v>
      </c>
      <c r="ES29" s="26">
        <f t="shared" si="121"/>
        <v>0</v>
      </c>
      <c r="ET29" s="26">
        <f t="shared" si="122"/>
        <v>0</v>
      </c>
      <c r="EV29" s="26">
        <f t="shared" si="123"/>
        <v>0</v>
      </c>
      <c r="EW29" s="26">
        <f t="shared" si="124"/>
        <v>0</v>
      </c>
      <c r="EX29" s="26">
        <f t="shared" si="125"/>
        <v>0</v>
      </c>
      <c r="EY29" s="26">
        <f t="shared" si="126"/>
        <v>0</v>
      </c>
      <c r="EZ29" s="26">
        <f t="shared" si="127"/>
        <v>0</v>
      </c>
      <c r="FA29" s="26">
        <f t="shared" si="128"/>
        <v>0</v>
      </c>
      <c r="FB29" s="26">
        <f t="shared" si="129"/>
        <v>0</v>
      </c>
      <c r="FC29" s="26">
        <f t="shared" si="130"/>
        <v>0</v>
      </c>
      <c r="FD29" s="26">
        <f t="shared" si="131"/>
        <v>0</v>
      </c>
      <c r="FF29" s="26">
        <f t="shared" si="132"/>
        <v>0</v>
      </c>
      <c r="FG29" s="26">
        <f t="shared" si="133"/>
        <v>0</v>
      </c>
      <c r="FH29" s="26">
        <f t="shared" si="134"/>
        <v>0</v>
      </c>
      <c r="FI29" s="26">
        <f t="shared" si="135"/>
        <v>0</v>
      </c>
      <c r="FJ29" s="26">
        <f t="shared" si="136"/>
        <v>0</v>
      </c>
      <c r="FK29" s="26">
        <f t="shared" si="137"/>
        <v>0</v>
      </c>
      <c r="FL29" s="26">
        <f t="shared" si="138"/>
        <v>0</v>
      </c>
      <c r="FM29" s="26">
        <f t="shared" si="139"/>
        <v>0</v>
      </c>
      <c r="FN29" s="26">
        <f t="shared" si="140"/>
        <v>0</v>
      </c>
      <c r="FP29" s="26" t="e">
        <f t="shared" si="141"/>
        <v>#REF!</v>
      </c>
      <c r="FQ29" s="26" t="e">
        <f t="shared" si="142"/>
        <v>#REF!</v>
      </c>
      <c r="FR29" s="26" t="e">
        <f t="shared" si="143"/>
        <v>#REF!</v>
      </c>
      <c r="FS29" s="26" t="e">
        <f t="shared" si="144"/>
        <v>#REF!</v>
      </c>
      <c r="FT29" s="26" t="e">
        <f t="shared" si="145"/>
        <v>#REF!</v>
      </c>
      <c r="FU29" s="26" t="e">
        <f t="shared" si="146"/>
        <v>#REF!</v>
      </c>
      <c r="FV29" s="26" t="e">
        <f t="shared" si="147"/>
        <v>#REF!</v>
      </c>
      <c r="FW29" s="26" t="e">
        <f t="shared" si="148"/>
        <v>#REF!</v>
      </c>
      <c r="FX29" s="26" t="e">
        <f t="shared" si="149"/>
        <v>#REF!</v>
      </c>
      <c r="GB29" s="26" t="e">
        <f>IF(GB$2=InputTable[[#This Row],[Delivery Date]],_xlfn.XLOOKUP(GB$1,$BH$2:$BR$2,$BH29:$BR29,0),0)</f>
        <v>#REF!</v>
      </c>
      <c r="GC29" s="26">
        <f>IF(GC$2=InputTable[[#This Row],[Delivery Date]],_xlfn.XLOOKUP(GC$1,$BH$2:$BR$2,$BH29:$BR29,0),0)</f>
        <v>0</v>
      </c>
      <c r="GD29" s="26">
        <f>IF(GD$2=InputTable[[#This Row],[Delivery Date]],_xlfn.XLOOKUP(GD$1,$BH$2:$BR$2,$BH29:$BR29,0),0)</f>
        <v>0</v>
      </c>
      <c r="GE29" s="26">
        <f>IF(GE$2=InputTable[[#This Row],[Delivery Date]],_xlfn.XLOOKUP(GE$1,$BH$2:$BR$2,$BH29:$BR29,0),0)</f>
        <v>0</v>
      </c>
      <c r="GF29" s="26">
        <f>IF(GF$2=InputTable[[#This Row],[Delivery Date]],_xlfn.XLOOKUP(GF$1,$BH$2:$BR$2,$BH29:$BR29,0),0)</f>
        <v>0</v>
      </c>
      <c r="GG29" s="26">
        <f>IF(GG$2=InputTable[[#This Row],[Delivery Date]],_xlfn.XLOOKUP(GG$1,$BH$2:$BR$2,$BH29:$BR29,0),0)</f>
        <v>0</v>
      </c>
      <c r="GH29" s="26">
        <f>IF(GH$2=InputTable[[#This Row],[Delivery Date]],_xlfn.XLOOKUP(GH$1,$BH$2:$BR$2,$BH29:$BR29,0),0)</f>
        <v>0</v>
      </c>
      <c r="GI29" s="26">
        <f>IF(GI$2=InputTable[[#This Row],[Delivery Date]],_xlfn.XLOOKUP(GI$1,$BH$2:$BR$2,$BH29:$BR29,0),0)</f>
        <v>0</v>
      </c>
      <c r="GJ29" s="26">
        <f>IF(GJ$2=InputTable[[#This Row],[Delivery Date]],_xlfn.XLOOKUP(GJ$1,$BH$2:$BR$2,$BH29:$BR29,0),0)</f>
        <v>0</v>
      </c>
      <c r="GL29" s="26" t="e">
        <f>IF(GL$2=InputTable[[#This Row],[Delivery Date]],_xlfn.XLOOKUP(GL$1,$BH$2:$BR$2,$BH29:$BR29,0),0)</f>
        <v>#REF!</v>
      </c>
      <c r="GM29" s="26">
        <f>IF(GM$2=InputTable[[#This Row],[Delivery Date]],_xlfn.XLOOKUP(GM$1,$BH$2:$BR$2,$BH29:$BR29,0),0)</f>
        <v>0</v>
      </c>
      <c r="GN29" s="26">
        <f>IF(GN$2=InputTable[[#This Row],[Delivery Date]],_xlfn.XLOOKUP(GN$1,$BH$2:$BR$2,$BH29:$BR29,0),0)</f>
        <v>0</v>
      </c>
      <c r="GO29" s="26">
        <f>IF(GO$2=InputTable[[#This Row],[Delivery Date]],_xlfn.XLOOKUP(GO$1,$BH$2:$BR$2,$BH29:$BR29,0),0)</f>
        <v>0</v>
      </c>
      <c r="GP29" s="26">
        <f>IF(GP$2=InputTable[[#This Row],[Delivery Date]],_xlfn.XLOOKUP(GP$1,$BH$2:$BR$2,$BH29:$BR29,0),0)</f>
        <v>0</v>
      </c>
      <c r="GQ29" s="26">
        <f>IF(GQ$2=InputTable[[#This Row],[Delivery Date]],_xlfn.XLOOKUP(GQ$1,$BH$2:$BR$2,$BH29:$BR29,0),0)</f>
        <v>0</v>
      </c>
      <c r="GR29" s="26">
        <f>IF(GR$2=InputTable[[#This Row],[Delivery Date]],_xlfn.XLOOKUP(GR$1,$BH$2:$BR$2,$BH29:$BR29,0),0)</f>
        <v>0</v>
      </c>
      <c r="GS29" s="26">
        <f>IF(GS$2=InputTable[[#This Row],[Delivery Date]],_xlfn.XLOOKUP(GS$1,$BH$2:$BR$2,$BH29:$BR29,0),0)</f>
        <v>0</v>
      </c>
      <c r="GT29" s="26">
        <f>IF(GT$2=InputTable[[#This Row],[Delivery Date]],_xlfn.XLOOKUP(GT$1,$BH$2:$BR$2,$BH29:$BR29,0),0)</f>
        <v>0</v>
      </c>
      <c r="GV29" s="26" t="e">
        <f>IF(GV$2=InputTable[[#This Row],[Delivery Date]],_xlfn.XLOOKUP(GV$1,$BH$2:$BR$2,$BH29:$BR29,0),0)</f>
        <v>#REF!</v>
      </c>
      <c r="GW29" s="26">
        <f>IF(GW$2=InputTable[[#This Row],[Delivery Date]],_xlfn.XLOOKUP(GW$1,$BH$2:$BR$2,$BH29:$BR29,0),0)</f>
        <v>0</v>
      </c>
      <c r="GX29" s="26">
        <f>IF(GX$2=InputTable[[#This Row],[Delivery Date]],_xlfn.XLOOKUP(GX$1,$BH$2:$BR$2,$BH29:$BR29,0),0)</f>
        <v>0</v>
      </c>
      <c r="GY29" s="26">
        <f>IF(GY$2=InputTable[[#This Row],[Delivery Date]],_xlfn.XLOOKUP(GY$1,$BH$2:$BR$2,$BH29:$BR29,0),0)</f>
        <v>0</v>
      </c>
      <c r="GZ29" s="26">
        <f>IF(GZ$2=InputTable[[#This Row],[Delivery Date]],_xlfn.XLOOKUP(GZ$1,$BH$2:$BR$2,$BH29:$BR29,0),0)</f>
        <v>0</v>
      </c>
      <c r="HA29" s="26">
        <f>IF(HA$2=InputTable[[#This Row],[Delivery Date]],_xlfn.XLOOKUP(HA$1,$BH$2:$BR$2,$BH29:$BR29,0),0)</f>
        <v>0</v>
      </c>
      <c r="HB29" s="26">
        <f>IF(HB$2=InputTable[[#This Row],[Delivery Date]],_xlfn.XLOOKUP(HB$1,$BH$2:$BR$2,$BH29:$BR29,0),0)</f>
        <v>0</v>
      </c>
      <c r="HC29" s="26">
        <f>IF(HC$2=InputTable[[#This Row],[Delivery Date]],_xlfn.XLOOKUP(HC$1,$BH$2:$BR$2,$BH29:$BR29,0),0)</f>
        <v>0</v>
      </c>
      <c r="HD29" s="26">
        <f>IF(HD$2=InputTable[[#This Row],[Delivery Date]],_xlfn.XLOOKUP(HD$1,$BH$2:$BR$2,$BH29:$BR29,0),0)</f>
        <v>0</v>
      </c>
      <c r="HF29" s="26" t="e">
        <f>IF(HF$2=InputTable[[#This Row],[Delivery Date]],_xlfn.XLOOKUP(HF$1,$BH$2:$BR$2,$BH29:$BR29,0),0)</f>
        <v>#REF!</v>
      </c>
      <c r="HG29" s="26">
        <f>IF(HG$2=InputTable[[#This Row],[Delivery Date]],_xlfn.XLOOKUP(HG$1,$BH$2:$BR$2,$BH29:$BR29,0),0)</f>
        <v>0</v>
      </c>
      <c r="HH29" s="26">
        <f>IF(HH$2=InputTable[[#This Row],[Delivery Date]],_xlfn.XLOOKUP(HH$1,$BH$2:$BR$2,$BH29:$BR29,0),0)</f>
        <v>0</v>
      </c>
      <c r="HI29" s="26">
        <f>IF(HI$2=InputTable[[#This Row],[Delivery Date]],_xlfn.XLOOKUP(HI$1,$BH$2:$BR$2,$BH29:$BR29,0),0)</f>
        <v>0</v>
      </c>
      <c r="HJ29" s="26">
        <f>IF(HJ$2=InputTable[[#This Row],[Delivery Date]],_xlfn.XLOOKUP(HJ$1,$BH$2:$BR$2,$BH29:$BR29,0),0)</f>
        <v>0</v>
      </c>
      <c r="HK29" s="26">
        <f>IF(HK$2=InputTable[[#This Row],[Delivery Date]],_xlfn.XLOOKUP(HK$1,$BH$2:$BR$2,$BH29:$BR29,0),0)</f>
        <v>0</v>
      </c>
      <c r="HL29" s="26">
        <f>IF(HL$2=InputTable[[#This Row],[Delivery Date]],_xlfn.XLOOKUP(HL$1,$BH$2:$BR$2,$BH29:$BR29,0),0)</f>
        <v>0</v>
      </c>
      <c r="HM29" s="26">
        <f>IF(HM$2=InputTable[[#This Row],[Delivery Date]],_xlfn.XLOOKUP(HM$1,$BH$2:$BR$2,$BH29:$BR29,0),0)</f>
        <v>0</v>
      </c>
      <c r="HN29" s="26">
        <f>IF(HN$2=InputTable[[#This Row],[Delivery Date]],_xlfn.XLOOKUP(HN$1,$BH$2:$BR$2,$BH29:$BR29,0),0)</f>
        <v>0</v>
      </c>
      <c r="HP29" s="26" t="e">
        <f>IF(HP$2=InputTable[[#This Row],[Delivery Date]],_xlfn.XLOOKUP(HP$1,$BH$2:$BR$2,$BH29:$BR29,0),0)</f>
        <v>#REF!</v>
      </c>
      <c r="HQ29" s="26">
        <f>IF(HQ$2=InputTable[[#This Row],[Delivery Date]],_xlfn.XLOOKUP(HQ$1,$BH$2:$BR$2,$BH29:$BR29,0),0)</f>
        <v>0</v>
      </c>
      <c r="HR29" s="26">
        <f>IF(HR$2=InputTable[[#This Row],[Delivery Date]],_xlfn.XLOOKUP(HR$1,$BH$2:$BR$2,$BH29:$BR29,0),0)</f>
        <v>0</v>
      </c>
      <c r="HS29" s="26">
        <f>IF(HS$2=InputTable[[#This Row],[Delivery Date]],_xlfn.XLOOKUP(HS$1,$BH$2:$BR$2,$BH29:$BR29,0),0)</f>
        <v>0</v>
      </c>
      <c r="HT29" s="26">
        <f>IF(HT$2=InputTable[[#This Row],[Delivery Date]],_xlfn.XLOOKUP(HT$1,$BH$2:$BR$2,$BH29:$BR29,0),0)</f>
        <v>0</v>
      </c>
      <c r="HU29" s="26">
        <f>IF(HU$2=InputTable[[#This Row],[Delivery Date]],_xlfn.XLOOKUP(HU$1,$BH$2:$BR$2,$BH29:$BR29,0),0)</f>
        <v>0</v>
      </c>
      <c r="HV29" s="26">
        <f>IF(HV$2=InputTable[[#This Row],[Delivery Date]],_xlfn.XLOOKUP(HV$1,$BH$2:$BR$2,$BH29:$BR29,0),0)</f>
        <v>0</v>
      </c>
      <c r="HW29" s="26">
        <f>IF(HW$2=InputTable[[#This Row],[Delivery Date]],_xlfn.XLOOKUP(HW$1,$BH$2:$BR$2,$BH29:$BR29,0),0)</f>
        <v>0</v>
      </c>
      <c r="HX29" s="26">
        <f>IF(HX$2=InputTable[[#This Row],[Delivery Date]],_xlfn.XLOOKUP(HX$1,$BH$2:$BR$2,$BH29:$BR29,0),0)</f>
        <v>0</v>
      </c>
      <c r="HZ29" s="26" t="e">
        <f>IF(HZ$2=InputTable[[#This Row],[Delivery Date]],_xlfn.XLOOKUP(HZ$1,$BH$2:$BR$2,$BH29:$BR29,0),0)</f>
        <v>#REF!</v>
      </c>
      <c r="IA29" s="26">
        <f>IF(IA$2=InputTable[[#This Row],[Delivery Date]],_xlfn.XLOOKUP(IA$1,$BH$2:$BR$2,$BH29:$BR29,0),0)</f>
        <v>0</v>
      </c>
      <c r="IB29" s="26">
        <f>IF(IB$2=InputTable[[#This Row],[Delivery Date]],_xlfn.XLOOKUP(IB$1,$BH$2:$BR$2,$BH29:$BR29,0),0)</f>
        <v>0</v>
      </c>
      <c r="IC29" s="26">
        <f>IF(IC$2=InputTable[[#This Row],[Delivery Date]],_xlfn.XLOOKUP(IC$1,$BH$2:$BR$2,$BH29:$BR29,0),0)</f>
        <v>0</v>
      </c>
      <c r="ID29" s="26">
        <f>IF(ID$2=InputTable[[#This Row],[Delivery Date]],_xlfn.XLOOKUP(ID$1,$BH$2:$BR$2,$BH29:$BR29,0),0)</f>
        <v>0</v>
      </c>
      <c r="IE29" s="26">
        <f>IF(IE$2=InputTable[[#This Row],[Delivery Date]],_xlfn.XLOOKUP(IE$1,$BH$2:$BR$2,$BH29:$BR29,0),0)</f>
        <v>0</v>
      </c>
      <c r="IF29" s="26">
        <f>IF(IF$2=InputTable[[#This Row],[Delivery Date]],_xlfn.XLOOKUP(IF$1,$BH$2:$BR$2,$BH29:$BR29,0),0)</f>
        <v>0</v>
      </c>
      <c r="IG29" s="26">
        <f>IF(IG$2=InputTable[[#This Row],[Delivery Date]],_xlfn.XLOOKUP(IG$1,$BH$2:$BR$2,$BH29:$BR29,0),0)</f>
        <v>0</v>
      </c>
      <c r="IH29" s="26">
        <f>IF(IH$2=InputTable[[#This Row],[Delivery Date]],_xlfn.XLOOKUP(IH$1,$BH$2:$BR$2,$BH29:$BR29,0),0)</f>
        <v>0</v>
      </c>
      <c r="IJ29" s="26" t="e">
        <f>IF(IJ$2=InputTable[[#This Row],[Delivery Date]],_xlfn.XLOOKUP(IJ$1,$BH$2:$BR$2,$BH29:$BR29,0),0)</f>
        <v>#REF!</v>
      </c>
      <c r="IK29" s="26">
        <f>IF(IK$2=InputTable[[#This Row],[Delivery Date]],_xlfn.XLOOKUP(IK$1,$BH$2:$BR$2,$BH29:$BR29,0),0)</f>
        <v>0</v>
      </c>
      <c r="IL29" s="26">
        <f>IF(IL$2=InputTable[[#This Row],[Delivery Date]],_xlfn.XLOOKUP(IL$1,$BH$2:$BR$2,$BH29:$BR29,0),0)</f>
        <v>0</v>
      </c>
      <c r="IM29" s="26">
        <f>IF(IM$2=InputTable[[#This Row],[Delivery Date]],_xlfn.XLOOKUP(IM$1,$BH$2:$BR$2,$BH29:$BR29,0),0)</f>
        <v>0</v>
      </c>
      <c r="IN29" s="26">
        <f>IF(IN$2=InputTable[[#This Row],[Delivery Date]],_xlfn.XLOOKUP(IN$1,$BH$2:$BR$2,$BH29:$BR29,0),0)</f>
        <v>0</v>
      </c>
      <c r="IO29" s="26">
        <f>IF(IO$2=InputTable[[#This Row],[Delivery Date]],_xlfn.XLOOKUP(IO$1,$BH$2:$BR$2,$BH29:$BR29,0),0)</f>
        <v>0</v>
      </c>
      <c r="IP29" s="26">
        <f>IF(IP$2=InputTable[[#This Row],[Delivery Date]],_xlfn.XLOOKUP(IP$1,$BH$2:$BR$2,$BH29:$BR29,0),0)</f>
        <v>0</v>
      </c>
      <c r="IQ29" s="26">
        <f>IF(IQ$2=InputTable[[#This Row],[Delivery Date]],_xlfn.XLOOKUP(IQ$1,$BH$2:$BR$2,$BH29:$BR29,0),0)</f>
        <v>5</v>
      </c>
      <c r="IR29" s="26">
        <f>IF(IR$2=InputTable[[#This Row],[Delivery Date]],_xlfn.XLOOKUP(IR$1,$BH$2:$BR$2,$BH29:$BR29,0),0)</f>
        <v>0</v>
      </c>
      <c r="IT29" s="26" t="e">
        <f>IF(IT$2=InputTable[[#This Row],[Delivery Date]],_xlfn.XLOOKUP(IT$1,$BH$2:$BR$2,$BH29:$BR29,0),0)</f>
        <v>#REF!</v>
      </c>
      <c r="IU29" s="26">
        <f>IF(IU$2=InputTable[[#This Row],[Delivery Date]],_xlfn.XLOOKUP(IU$1,$BH$2:$BR$2,$BH29:$BR29,0),0)</f>
        <v>0</v>
      </c>
      <c r="IV29" s="26">
        <f>IF(IV$2=InputTable[[#This Row],[Delivery Date]],_xlfn.XLOOKUP(IV$1,$BH$2:$BR$2,$BH29:$BR29,0),0)</f>
        <v>0</v>
      </c>
      <c r="IW29" s="26">
        <f>IF(IW$2=InputTable[[#This Row],[Delivery Date]],_xlfn.XLOOKUP(IW$1,$BH$2:$BR$2,$BH29:$BR29,0),0)</f>
        <v>0</v>
      </c>
      <c r="IX29" s="26">
        <f>IF(IX$2=InputTable[[#This Row],[Delivery Date]],_xlfn.XLOOKUP(IX$1,$BH$2:$BR$2,$BH29:$BR29,0),0)</f>
        <v>0</v>
      </c>
      <c r="IY29" s="26">
        <f>IF(IY$2=InputTable[[#This Row],[Delivery Date]],_xlfn.XLOOKUP(IY$1,$BH$2:$BR$2,$BH29:$BR29,0),0)</f>
        <v>0</v>
      </c>
      <c r="IZ29" s="26">
        <f>IF(IZ$2=InputTable[[#This Row],[Delivery Date]],_xlfn.XLOOKUP(IZ$1,$BH$2:$BR$2,$BH29:$BR29,0),0)</f>
        <v>0</v>
      </c>
      <c r="JA29" s="26">
        <f>IF(JA$2=InputTable[[#This Row],[Delivery Date]],_xlfn.XLOOKUP(JA$1,$BH$2:$BR$2,$BH29:$BR29,0),0)</f>
        <v>5</v>
      </c>
      <c r="JB29" s="26">
        <f>IF(JB$2=InputTable[[#This Row],[Delivery Date]],_xlfn.XLOOKUP(JB$1,$BH$2:$BR$2,$BH29:$BR29,0),0)</f>
        <v>0</v>
      </c>
      <c r="JD29" s="26" t="e">
        <f>IF(JD$2=InputTable[[#This Row],[Delivery Date]],_xlfn.XLOOKUP(JD$1,$BH$2:$BR$2,$BH29:$BR29,0),0)</f>
        <v>#REF!</v>
      </c>
      <c r="JE29" s="26">
        <f>IF(JE$2=InputTable[[#This Row],[Delivery Date]],_xlfn.XLOOKUP(JE$1,$BH$2:$BR$2,$BH29:$BR29,0),0)</f>
        <v>0</v>
      </c>
      <c r="JF29" s="26">
        <f>IF(JF$2=InputTable[[#This Row],[Delivery Date]],_xlfn.XLOOKUP(JF$1,$BH$2:$BR$2,$BH29:$BR29,0),0)</f>
        <v>0</v>
      </c>
      <c r="JG29" s="26">
        <f>IF(JG$2=InputTable[[#This Row],[Delivery Date]],_xlfn.XLOOKUP(JG$1,$BH$2:$BR$2,$BH29:$BR29,0),0)</f>
        <v>0</v>
      </c>
      <c r="JH29" s="26">
        <f>IF(JH$2=InputTable[[#This Row],[Delivery Date]],_xlfn.XLOOKUP(JH$1,$BH$2:$BR$2,$BH29:$BR29,0),0)</f>
        <v>0</v>
      </c>
      <c r="JI29" s="26">
        <f>IF(JI$2=InputTable[[#This Row],[Delivery Date]],_xlfn.XLOOKUP(JI$1,$BH$2:$BR$2,$BH29:$BR29,0),0)</f>
        <v>0</v>
      </c>
      <c r="JJ29" s="26">
        <f>IF(JJ$2=InputTable[[#This Row],[Delivery Date]],_xlfn.XLOOKUP(JJ$1,$BH$2:$BR$2,$BH29:$BR29,0),0)</f>
        <v>0</v>
      </c>
      <c r="JK29" s="26">
        <f>IF(JK$2=InputTable[[#This Row],[Delivery Date]],_xlfn.XLOOKUP(JK$1,$BH$2:$BR$2,$BH29:$BR29,0),0)</f>
        <v>0</v>
      </c>
      <c r="JL29" s="26">
        <f>IF(JL$2=InputTable[[#This Row],[Delivery Date]],_xlfn.XLOOKUP(JL$1,$BH$2:$BR$2,$BH29:$BR29,0),0)</f>
        <v>0</v>
      </c>
      <c r="JN29" s="26" t="e">
        <f>IF(JN$2=InputTable[[#This Row],[Delivery Date]],_xlfn.XLOOKUP(JN$1,$BH$2:$BR$2,$BH29:$BR29,0),0)</f>
        <v>#REF!</v>
      </c>
      <c r="JO29" s="26">
        <f>IF(JO$2=InputTable[[#This Row],[Delivery Date]],_xlfn.XLOOKUP(JO$1,$BH$2:$BR$2,$BH29:$BR29,0),0)</f>
        <v>0</v>
      </c>
      <c r="JP29" s="26">
        <f>IF(JP$2=InputTable[[#This Row],[Delivery Date]],_xlfn.XLOOKUP(JP$1,$BH$2:$BR$2,$BH29:$BR29,0),0)</f>
        <v>0</v>
      </c>
      <c r="JQ29" s="26">
        <f>IF(JQ$2=InputTable[[#This Row],[Delivery Date]],_xlfn.XLOOKUP(JQ$1,$BH$2:$BR$2,$BH29:$BR29,0),0)</f>
        <v>0</v>
      </c>
      <c r="JR29" s="26">
        <f>IF(JR$2=InputTable[[#This Row],[Delivery Date]],_xlfn.XLOOKUP(JR$1,$BH$2:$BR$2,$BH29:$BR29,0),0)</f>
        <v>0</v>
      </c>
      <c r="JS29" s="26">
        <f>IF(JS$2=InputTable[[#This Row],[Delivery Date]],_xlfn.XLOOKUP(JS$1,$BH$2:$BR$2,$BH29:$BR29,0),0)</f>
        <v>0</v>
      </c>
      <c r="JT29" s="26">
        <f>IF(JT$2=InputTable[[#This Row],[Delivery Date]],_xlfn.XLOOKUP(JT$1,$BH$2:$BR$2,$BH29:$BR29,0),0)</f>
        <v>0</v>
      </c>
      <c r="JU29" s="26">
        <f>IF(JU$2=InputTable[[#This Row],[Delivery Date]],_xlfn.XLOOKUP(JU$1,$BH$2:$BR$2,$BH29:$BR29,0),0)</f>
        <v>0</v>
      </c>
      <c r="JV29" s="26">
        <f>IF(JV$2=InputTable[[#This Row],[Delivery Date]],_xlfn.XLOOKUP(JV$1,$BH$2:$BR$2,$BH29:$BR29,0),0)</f>
        <v>0</v>
      </c>
      <c r="JX29" s="26" t="e">
        <f>IF(JX$2=InputTable[[#This Row],[Delivery Date]],_xlfn.XLOOKUP(JX$1,$BH$2:$BR$2,$BH29:$BR29,0),0)</f>
        <v>#REF!</v>
      </c>
      <c r="JY29" s="26">
        <f>IF(JY$2=InputTable[[#This Row],[Delivery Date]],_xlfn.XLOOKUP(JY$1,$BH$2:$BR$2,$BH29:$BR29,0),0)</f>
        <v>0</v>
      </c>
      <c r="JZ29" s="26">
        <f>IF(JZ$2=InputTable[[#This Row],[Delivery Date]],_xlfn.XLOOKUP(JZ$1,$BH$2:$BR$2,$BH29:$BR29,0),0)</f>
        <v>0</v>
      </c>
      <c r="KA29" s="26">
        <f>IF(KA$2=InputTable[[#This Row],[Delivery Date]],_xlfn.XLOOKUP(KA$1,$BH$2:$BR$2,$BH29:$BR29,0),0)</f>
        <v>0</v>
      </c>
      <c r="KB29" s="26">
        <f>IF(KB$2=InputTable[[#This Row],[Delivery Date]],_xlfn.XLOOKUP(KB$1,$BH$2:$BR$2,$BH29:$BR29,0),0)</f>
        <v>0</v>
      </c>
      <c r="KC29" s="26">
        <f>IF(KC$2=InputTable[[#This Row],[Delivery Date]],_xlfn.XLOOKUP(KC$1,$BH$2:$BR$2,$BH29:$BR29,0),0)</f>
        <v>0</v>
      </c>
      <c r="KD29" s="26">
        <f>IF(KD$2=InputTable[[#This Row],[Delivery Date]],_xlfn.XLOOKUP(KD$1,$BH$2:$BR$2,$BH29:$BR29,0),0)</f>
        <v>0</v>
      </c>
      <c r="KE29" s="26">
        <f>IF(KE$2=InputTable[[#This Row],[Delivery Date]],_xlfn.XLOOKUP(KE$1,$BH$2:$BR$2,$BH29:$BR29,0),0)</f>
        <v>0</v>
      </c>
      <c r="KF29" s="26">
        <f>IF(KF$2=InputTable[[#This Row],[Delivery Date]],_xlfn.XLOOKUP(KF$1,$BH$2:$BR$2,$BH29:$BR29,0),0)</f>
        <v>0</v>
      </c>
    </row>
    <row r="30" spans="1:292" ht="39.6" customHeight="1" x14ac:dyDescent="0.25">
      <c r="A30" s="141" t="s">
        <v>162</v>
      </c>
      <c r="B30" s="141" t="s">
        <v>92</v>
      </c>
      <c r="C30" s="92" t="s">
        <v>57</v>
      </c>
      <c r="D30" s="125" t="s">
        <v>204</v>
      </c>
      <c r="E30" s="142" t="s">
        <v>205</v>
      </c>
      <c r="F30" s="98" t="s">
        <v>61</v>
      </c>
      <c r="G30" s="114" t="s">
        <v>160</v>
      </c>
      <c r="H30" s="99"/>
      <c r="I30" s="98">
        <v>2026</v>
      </c>
      <c r="J30" s="125" t="s">
        <v>99</v>
      </c>
      <c r="K30" s="95" t="e">
        <f>VLOOKUP((InputTable[[#This Row],[Starting Date]]&amp; " - " &amp;InputTable[[#This Row],[Delivery Date]]),'System List'!$F$40:$H$83,2,FALSE)</f>
        <v>#N/A</v>
      </c>
      <c r="L30" s="95" t="e">
        <f>VLOOKUP(InputTable[[#This Row],[Duration]],Duration,2,FALSE)</f>
        <v>#N/A</v>
      </c>
      <c r="M30" s="125"/>
      <c r="N30" s="98"/>
      <c r="O30" s="98" t="s">
        <v>139</v>
      </c>
      <c r="P30" s="98" t="s">
        <v>139</v>
      </c>
      <c r="Q30" s="98"/>
      <c r="R30" s="98" t="s">
        <v>139</v>
      </c>
      <c r="S30" s="92"/>
      <c r="T30" s="95" cm="1">
        <f t="array" ref="T3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5.6</v>
      </c>
      <c r="U30" s="138"/>
      <c r="V30" s="98"/>
      <c r="W30" s="98" t="s">
        <v>139</v>
      </c>
      <c r="X30" s="98"/>
      <c r="Y30" s="100"/>
      <c r="Z30" s="98"/>
      <c r="AA30" s="98" t="s">
        <v>111</v>
      </c>
      <c r="AB30" s="100"/>
      <c r="AC30" s="98" t="s">
        <v>100</v>
      </c>
      <c r="AD30" s="92">
        <f>COUNTA(InputTable[[#This Row],[CORPHRFIN]:[SALES]])</f>
        <v>3</v>
      </c>
      <c r="AE30" s="88" cm="1">
        <f t="array" ref="AE30">SUM(
_xlfn.XLOOKUP(InputTable[[#This Row],[CORPHRFIN]:[SALES]],'System List'!$F$4:$F$7,'System List'!$H$4:$H$7,0))</f>
        <v>26</v>
      </c>
      <c r="AF30" s="140"/>
      <c r="AG30" s="101" t="s">
        <v>139</v>
      </c>
      <c r="AH30" s="101"/>
      <c r="AI30" s="101"/>
      <c r="AJ30" s="101"/>
      <c r="AK30" s="101"/>
      <c r="AL30" s="101"/>
      <c r="AM30" s="101" t="s">
        <v>111</v>
      </c>
      <c r="AN30" s="101"/>
      <c r="AO30" s="101"/>
      <c r="AP30" s="101" t="s">
        <v>139</v>
      </c>
      <c r="AQ30" s="101"/>
      <c r="AR30" s="88" cm="1">
        <f t="array" ref="AR30">SUM(
_xlfn.XLOOKUP(InputTable[[#This Row],[Impact on - CIAL]:[Impact on - STRAT]],'System List'!$F$4:$F$7,'System List'!$H$4:$H$7,0))</f>
        <v>21</v>
      </c>
      <c r="AS30" s="88" t="e">
        <f>VLOOKUP(InputTable[[#This Row],[Duration]],Duration,2,FALSE)+InputTable[[#This Row],[Resource Score]]</f>
        <v>#N/A</v>
      </c>
      <c r="AT3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0" s="24" t="e">
        <f>InputTable[[#This Row],[Value Score]]/InputTable[[#This Row],[EFFORT SCORE]]*100</f>
        <v>#N/A</v>
      </c>
      <c r="AV30" s="25" t="str">
        <f>InputTable[[#This Row],[IS Portfolio Ref ID]]</f>
        <v>ISPRJ-5</v>
      </c>
      <c r="AW30" s="25" t="s">
        <v>131</v>
      </c>
      <c r="AX30" s="208" t="s">
        <v>206</v>
      </c>
      <c r="AY30" s="25">
        <v>1853</v>
      </c>
      <c r="AZ30" s="209">
        <v>0</v>
      </c>
      <c r="BA30" s="209">
        <f>390000*$BA$1</f>
        <v>443196.00000000006</v>
      </c>
      <c r="BB30" s="209" t="s">
        <v>103</v>
      </c>
      <c r="BC30" s="189">
        <f>SUM(InputTable[[#This Row],[Opex IS Budget (full project)]]+InputTable[[#This Row],[Capex IS Budget (full project)]])</f>
        <v>443196.00000000006</v>
      </c>
      <c r="BD30" s="188">
        <v>4</v>
      </c>
      <c r="BE30" s="188">
        <v>7</v>
      </c>
      <c r="BF30" s="70"/>
      <c r="BH30" s="2">
        <f>IFERROR(VLOOKUP(InputTable[[#This Row],[Impact on - CIAL]],'System List'!$F$4:$H$7,3,FALSE),0)</f>
        <v>8</v>
      </c>
      <c r="BI30" s="2">
        <f>IFERROR(VLOOKUP(InputTable[[#This Row],[Impact on - COM]],'System List'!$F$4:$H$7,3,FALSE),0)</f>
        <v>0</v>
      </c>
      <c r="BJ30" s="2">
        <f>IFERROR(VLOOKUP(InputTable[[#This Row],[Impact on - FIN]],'System List'!$F$4:$H$7,3,FALSE),0)</f>
        <v>0</v>
      </c>
      <c r="BK30" s="2">
        <f>IFERROR(VLOOKUP(InputTable[[#This Row],[Impact on - GEN SEC]],'System List'!$F$4:$H$7,3,FALSE),0)</f>
        <v>0</v>
      </c>
      <c r="BL30" s="2">
        <f>IFERROR(VLOOKUP(InputTable[[#This Row],[Impact on - HR]],'System List'!$F$4:$H$7,3,FALSE),0)</f>
        <v>0</v>
      </c>
      <c r="BM30" s="2">
        <f>IFERROR(VLOOKUP(InputTable[[#This Row],[Impact on - IS]],'System List'!$F$4:$H$7,3,FALSE),0)</f>
        <v>0</v>
      </c>
      <c r="BN30" s="2">
        <f>IFERROR(VLOOKUP(InputTable[[#This Row],[Impact on - OPS]],'System List'!$F$4:$H$7,3,FALSE),0)</f>
        <v>5</v>
      </c>
      <c r="BO30" s="2">
        <f>IFERROR(VLOOKUP(InputTable[[#This Row],[Impact on - ROLL STOCK]],'System List'!$F$4:$H$7,3,FALSE),0)</f>
        <v>0</v>
      </c>
      <c r="BP30" s="2">
        <f>IFERROR(VLOOKUP(InputTable[[#This Row],[Impact on - SAFETY]],'System List'!$F$4:$H$7,3,FALSE),0)</f>
        <v>0</v>
      </c>
      <c r="BQ30" s="2">
        <f>IFERROR(VLOOKUP(InputTable[[#This Row],[Impact on - STATION]],'System List'!$F$4:$H$7,3,FALSE),0)</f>
        <v>8</v>
      </c>
      <c r="BR30" s="2">
        <f>IFERROR(VLOOKUP(InputTable[[#This Row],[Impact on - STRAT]],'System List'!$F$4:$H$7,3,FALSE),0)</f>
        <v>0</v>
      </c>
      <c r="BT30" s="2">
        <f>IFERROR(VLOOKUP(InputTable[[#This Row],[CORPHRFIN]],'System List'!$F$4:$H$7,3,FALSE),0)</f>
        <v>0</v>
      </c>
      <c r="BU30" s="2">
        <f>IFERROR(VLOOKUP(InputTable[[#This Row],[CUST]],'System List'!$F$4:$H$7,3,FALSE),0)</f>
        <v>8</v>
      </c>
      <c r="BV30" s="2">
        <f>IFERROR(VLOOKUP(InputTable[[#This Row],[CYBER]],'System List'!$F$4:$H$7,3,FALSE),0)</f>
        <v>0</v>
      </c>
      <c r="BW30" s="2">
        <f>IFERROR(VLOOKUP(InputTable[[#This Row],[DATA]],'System List'!$F$4:$H$7,3,FALSE),0)</f>
        <v>0</v>
      </c>
      <c r="BX30" s="2">
        <f>IFERROR(VLOOKUP(InputTable[[#This Row],[INFRA]],'System List'!$F$4:$H$7,3,FALSE),0)</f>
        <v>0</v>
      </c>
      <c r="BY30" s="2">
        <f>IFERROR(VLOOKUP(InputTable[[#This Row],[OPERATIONS]],'System List'!$F$4:$H$7,3,FALSE),0)</f>
        <v>5</v>
      </c>
      <c r="BZ30" s="2">
        <f>IFERROR(VLOOKUP(InputTable[[#This Row],[PMO]],'System List'!$F$4:$H$7,3,FALSE),0)</f>
        <v>0</v>
      </c>
      <c r="CA30" s="2">
        <f>IFERROR(VLOOKUP(InputTable[[#This Row],[SALES]],'System List'!$F$4:$H$7,3,FALSE),0)</f>
        <v>13</v>
      </c>
      <c r="CC30" s="2" cm="1">
        <f t="array" ref="CC3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0" s="2" cm="1">
        <f t="array" ref="CD3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0" s="2" cm="1">
        <f t="array" ref="CE3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0" s="2" cm="1">
        <f t="array" ref="CF3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0" s="2" cm="1">
        <f t="array" ref="CG3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0" s="2" cm="1">
        <f t="array" ref="CH3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0" s="2" cm="1">
        <f t="array" ref="CI3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0" s="2" cm="1">
        <f t="array" ref="CJ3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0" s="2" cm="1">
        <f t="array" ref="CK3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3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3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0" s="26">
        <f t="shared" si="78"/>
        <v>0</v>
      </c>
      <c r="CY30" s="26">
        <f t="shared" si="79"/>
        <v>0</v>
      </c>
      <c r="CZ30" s="26">
        <f t="shared" si="80"/>
        <v>0</v>
      </c>
      <c r="DA30" s="26">
        <f t="shared" si="81"/>
        <v>0</v>
      </c>
      <c r="DB30" s="26">
        <f t="shared" si="82"/>
        <v>0</v>
      </c>
      <c r="DC30" s="26">
        <f t="shared" si="83"/>
        <v>0</v>
      </c>
      <c r="DD30" s="26">
        <f t="shared" si="84"/>
        <v>0</v>
      </c>
      <c r="DE30" s="26">
        <f t="shared" si="85"/>
        <v>0</v>
      </c>
      <c r="DF30" s="26">
        <f t="shared" si="86"/>
        <v>0</v>
      </c>
      <c r="DH30" s="26">
        <f t="shared" si="87"/>
        <v>0</v>
      </c>
      <c r="DI30" s="26">
        <f t="shared" si="88"/>
        <v>0</v>
      </c>
      <c r="DJ30" s="26">
        <f t="shared" si="89"/>
        <v>0</v>
      </c>
      <c r="DK30" s="26">
        <f t="shared" si="90"/>
        <v>8</v>
      </c>
      <c r="DL30" s="26">
        <f t="shared" si="91"/>
        <v>8</v>
      </c>
      <c r="DM30" s="26">
        <f t="shared" si="92"/>
        <v>8</v>
      </c>
      <c r="DN30" s="26">
        <f t="shared" si="93"/>
        <v>0</v>
      </c>
      <c r="DO30" s="26">
        <f t="shared" si="94"/>
        <v>0</v>
      </c>
      <c r="DP30" s="26">
        <f t="shared" si="95"/>
        <v>0</v>
      </c>
      <c r="DR30" s="26">
        <f t="shared" si="96"/>
        <v>0</v>
      </c>
      <c r="DS30" s="26">
        <f t="shared" si="97"/>
        <v>0</v>
      </c>
      <c r="DT30" s="26">
        <f t="shared" si="98"/>
        <v>0</v>
      </c>
      <c r="DU30" s="26">
        <f t="shared" si="99"/>
        <v>0</v>
      </c>
      <c r="DV30" s="26">
        <f t="shared" si="100"/>
        <v>0</v>
      </c>
      <c r="DW30" s="26">
        <f t="shared" si="101"/>
        <v>0</v>
      </c>
      <c r="DX30" s="26">
        <f t="shared" si="102"/>
        <v>0</v>
      </c>
      <c r="DY30" s="26">
        <f t="shared" si="103"/>
        <v>0</v>
      </c>
      <c r="DZ30" s="26">
        <f t="shared" si="104"/>
        <v>0</v>
      </c>
      <c r="EB30" s="26">
        <f t="shared" si="105"/>
        <v>0</v>
      </c>
      <c r="EC30" s="26">
        <f t="shared" si="106"/>
        <v>0</v>
      </c>
      <c r="ED30" s="26">
        <f t="shared" si="107"/>
        <v>0</v>
      </c>
      <c r="EE30" s="26">
        <f t="shared" si="108"/>
        <v>0</v>
      </c>
      <c r="EF30" s="26">
        <f t="shared" si="109"/>
        <v>0</v>
      </c>
      <c r="EG30" s="26">
        <f t="shared" si="110"/>
        <v>0</v>
      </c>
      <c r="EH30" s="26">
        <f t="shared" si="111"/>
        <v>0</v>
      </c>
      <c r="EI30" s="26">
        <f t="shared" si="112"/>
        <v>0</v>
      </c>
      <c r="EJ30" s="26">
        <f t="shared" si="113"/>
        <v>0</v>
      </c>
      <c r="EL30" s="26">
        <f t="shared" si="114"/>
        <v>0</v>
      </c>
      <c r="EM30" s="26">
        <f t="shared" si="115"/>
        <v>0</v>
      </c>
      <c r="EN30" s="26">
        <f t="shared" si="116"/>
        <v>0</v>
      </c>
      <c r="EO30" s="26">
        <f t="shared" si="117"/>
        <v>0</v>
      </c>
      <c r="EP30" s="26">
        <f t="shared" si="118"/>
        <v>0</v>
      </c>
      <c r="EQ30" s="26">
        <f t="shared" si="119"/>
        <v>0</v>
      </c>
      <c r="ER30" s="26">
        <f t="shared" si="120"/>
        <v>0</v>
      </c>
      <c r="ES30" s="26">
        <f t="shared" si="121"/>
        <v>0</v>
      </c>
      <c r="ET30" s="26">
        <f t="shared" si="122"/>
        <v>0</v>
      </c>
      <c r="EV30" s="26">
        <f t="shared" si="123"/>
        <v>0</v>
      </c>
      <c r="EW30" s="26">
        <f t="shared" si="124"/>
        <v>0</v>
      </c>
      <c r="EX30" s="26">
        <f t="shared" si="125"/>
        <v>0</v>
      </c>
      <c r="EY30" s="26">
        <f t="shared" si="126"/>
        <v>5</v>
      </c>
      <c r="EZ30" s="26">
        <f t="shared" si="127"/>
        <v>5</v>
      </c>
      <c r="FA30" s="26">
        <f t="shared" si="128"/>
        <v>5</v>
      </c>
      <c r="FB30" s="26">
        <f t="shared" si="129"/>
        <v>0</v>
      </c>
      <c r="FC30" s="26">
        <f t="shared" si="130"/>
        <v>0</v>
      </c>
      <c r="FD30" s="26">
        <f t="shared" si="131"/>
        <v>0</v>
      </c>
      <c r="FF30" s="26">
        <f t="shared" si="132"/>
        <v>0</v>
      </c>
      <c r="FG30" s="26">
        <f t="shared" si="133"/>
        <v>0</v>
      </c>
      <c r="FH30" s="26">
        <f t="shared" si="134"/>
        <v>0</v>
      </c>
      <c r="FI30" s="26">
        <f t="shared" si="135"/>
        <v>0</v>
      </c>
      <c r="FJ30" s="26">
        <f t="shared" si="136"/>
        <v>0</v>
      </c>
      <c r="FK30" s="26">
        <f t="shared" si="137"/>
        <v>0</v>
      </c>
      <c r="FL30" s="26">
        <f t="shared" si="138"/>
        <v>0</v>
      </c>
      <c r="FM30" s="26">
        <f t="shared" si="139"/>
        <v>0</v>
      </c>
      <c r="FN30" s="26">
        <f t="shared" si="140"/>
        <v>0</v>
      </c>
      <c r="FP30" s="26" t="e">
        <f t="shared" si="141"/>
        <v>#REF!</v>
      </c>
      <c r="FQ30" s="26" t="e">
        <f t="shared" si="142"/>
        <v>#REF!</v>
      </c>
      <c r="FR30" s="26" t="e">
        <f t="shared" si="143"/>
        <v>#REF!</v>
      </c>
      <c r="FS30" s="26" t="e">
        <f t="shared" si="144"/>
        <v>#REF!</v>
      </c>
      <c r="FT30" s="26" t="e">
        <f t="shared" si="145"/>
        <v>#REF!</v>
      </c>
      <c r="FU30" s="26" t="e">
        <f t="shared" si="146"/>
        <v>#REF!</v>
      </c>
      <c r="FV30" s="26" t="e">
        <f t="shared" si="147"/>
        <v>#REF!</v>
      </c>
      <c r="FW30" s="26" t="e">
        <f t="shared" si="148"/>
        <v>#REF!</v>
      </c>
      <c r="FX30" s="26" t="e">
        <f t="shared" si="149"/>
        <v>#REF!</v>
      </c>
      <c r="GB30" s="26" t="e">
        <f>IF(GB$2=InputTable[[#This Row],[Delivery Date]],_xlfn.XLOOKUP(GB$1,$BH$2:$BR$2,$BH30:$BR30,0),0)</f>
        <v>#REF!</v>
      </c>
      <c r="GC30" s="26">
        <f>IF(GC$2=InputTable[[#This Row],[Delivery Date]],_xlfn.XLOOKUP(GC$1,$BH$2:$BR$2,$BH30:$BR30,0),0)</f>
        <v>0</v>
      </c>
      <c r="GD30" s="26">
        <f>IF(GD$2=InputTable[[#This Row],[Delivery Date]],_xlfn.XLOOKUP(GD$1,$BH$2:$BR$2,$BH30:$BR30,0),0)</f>
        <v>0</v>
      </c>
      <c r="GE30" s="26">
        <f>IF(GE$2=InputTable[[#This Row],[Delivery Date]],_xlfn.XLOOKUP(GE$1,$BH$2:$BR$2,$BH30:$BR30,0),0)</f>
        <v>0</v>
      </c>
      <c r="GF30" s="26">
        <f>IF(GF$2=InputTable[[#This Row],[Delivery Date]],_xlfn.XLOOKUP(GF$1,$BH$2:$BR$2,$BH30:$BR30,0),0)</f>
        <v>0</v>
      </c>
      <c r="GG30" s="26">
        <f>IF(GG$2=InputTable[[#This Row],[Delivery Date]],_xlfn.XLOOKUP(GG$1,$BH$2:$BR$2,$BH30:$BR30,0),0)</f>
        <v>0</v>
      </c>
      <c r="GH30" s="26">
        <f>IF(GH$2=InputTable[[#This Row],[Delivery Date]],_xlfn.XLOOKUP(GH$1,$BH$2:$BR$2,$BH30:$BR30,0),0)</f>
        <v>0</v>
      </c>
      <c r="GI30" s="26">
        <f>IF(GI$2=InputTable[[#This Row],[Delivery Date]],_xlfn.XLOOKUP(GI$1,$BH$2:$BR$2,$BH30:$BR30,0),0)</f>
        <v>0</v>
      </c>
      <c r="GJ30" s="26">
        <f>IF(GJ$2=InputTable[[#This Row],[Delivery Date]],_xlfn.XLOOKUP(GJ$1,$BH$2:$BR$2,$BH30:$BR30,0),0)</f>
        <v>0</v>
      </c>
      <c r="GL30" s="26" t="e">
        <f>IF(GL$2=InputTable[[#This Row],[Delivery Date]],_xlfn.XLOOKUP(GL$1,$BH$2:$BR$2,$BH30:$BR30,0),0)</f>
        <v>#REF!</v>
      </c>
      <c r="GM30" s="26">
        <f>IF(GM$2=InputTable[[#This Row],[Delivery Date]],_xlfn.XLOOKUP(GM$1,$BH$2:$BR$2,$BH30:$BR30,0),0)</f>
        <v>0</v>
      </c>
      <c r="GN30" s="26">
        <f>IF(GN$2=InputTable[[#This Row],[Delivery Date]],_xlfn.XLOOKUP(GN$1,$BH$2:$BR$2,$BH30:$BR30,0),0)</f>
        <v>0</v>
      </c>
      <c r="GO30" s="26">
        <f>IF(GO$2=InputTable[[#This Row],[Delivery Date]],_xlfn.XLOOKUP(GO$1,$BH$2:$BR$2,$BH30:$BR30,0),0)</f>
        <v>0</v>
      </c>
      <c r="GP30" s="26">
        <f>IF(GP$2=InputTable[[#This Row],[Delivery Date]],_xlfn.XLOOKUP(GP$1,$BH$2:$BR$2,$BH30:$BR30,0),0)</f>
        <v>0</v>
      </c>
      <c r="GQ30" s="26">
        <f>IF(GQ$2=InputTable[[#This Row],[Delivery Date]],_xlfn.XLOOKUP(GQ$1,$BH$2:$BR$2,$BH30:$BR30,0),0)</f>
        <v>0</v>
      </c>
      <c r="GR30" s="26">
        <f>IF(GR$2=InputTable[[#This Row],[Delivery Date]],_xlfn.XLOOKUP(GR$1,$BH$2:$BR$2,$BH30:$BR30,0),0)</f>
        <v>0</v>
      </c>
      <c r="GS30" s="26">
        <f>IF(GS$2=InputTable[[#This Row],[Delivery Date]],_xlfn.XLOOKUP(GS$1,$BH$2:$BR$2,$BH30:$BR30,0),0)</f>
        <v>0</v>
      </c>
      <c r="GT30" s="26">
        <f>IF(GT$2=InputTable[[#This Row],[Delivery Date]],_xlfn.XLOOKUP(GT$1,$BH$2:$BR$2,$BH30:$BR30,0),0)</f>
        <v>0</v>
      </c>
      <c r="GV30" s="26" t="e">
        <f>IF(GV$2=InputTable[[#This Row],[Delivery Date]],_xlfn.XLOOKUP(GV$1,$BH$2:$BR$2,$BH30:$BR30,0),0)</f>
        <v>#REF!</v>
      </c>
      <c r="GW30" s="26">
        <f>IF(GW$2=InputTable[[#This Row],[Delivery Date]],_xlfn.XLOOKUP(GW$1,$BH$2:$BR$2,$BH30:$BR30,0),0)</f>
        <v>0</v>
      </c>
      <c r="GX30" s="26">
        <f>IF(GX$2=InputTable[[#This Row],[Delivery Date]],_xlfn.XLOOKUP(GX$1,$BH$2:$BR$2,$BH30:$BR30,0),0)</f>
        <v>0</v>
      </c>
      <c r="GY30" s="26">
        <f>IF(GY$2=InputTable[[#This Row],[Delivery Date]],_xlfn.XLOOKUP(GY$1,$BH$2:$BR$2,$BH30:$BR30,0),0)</f>
        <v>0</v>
      </c>
      <c r="GZ30" s="26">
        <f>IF(GZ$2=InputTable[[#This Row],[Delivery Date]],_xlfn.XLOOKUP(GZ$1,$BH$2:$BR$2,$BH30:$BR30,0),0)</f>
        <v>0</v>
      </c>
      <c r="HA30" s="26">
        <f>IF(HA$2=InputTable[[#This Row],[Delivery Date]],_xlfn.XLOOKUP(HA$1,$BH$2:$BR$2,$BH30:$BR30,0),0)</f>
        <v>0</v>
      </c>
      <c r="HB30" s="26">
        <f>IF(HB$2=InputTable[[#This Row],[Delivery Date]],_xlfn.XLOOKUP(HB$1,$BH$2:$BR$2,$BH30:$BR30,0),0)</f>
        <v>0</v>
      </c>
      <c r="HC30" s="26">
        <f>IF(HC$2=InputTable[[#This Row],[Delivery Date]],_xlfn.XLOOKUP(HC$1,$BH$2:$BR$2,$BH30:$BR30,0),0)</f>
        <v>0</v>
      </c>
      <c r="HD30" s="26">
        <f>IF(HD$2=InputTable[[#This Row],[Delivery Date]],_xlfn.XLOOKUP(HD$1,$BH$2:$BR$2,$BH30:$BR30,0),0)</f>
        <v>0</v>
      </c>
      <c r="HF30" s="26" t="e">
        <f>IF(HF$2=InputTable[[#This Row],[Delivery Date]],_xlfn.XLOOKUP(HF$1,$BH$2:$BR$2,$BH30:$BR30,0),0)</f>
        <v>#REF!</v>
      </c>
      <c r="HG30" s="26">
        <f>IF(HG$2=InputTable[[#This Row],[Delivery Date]],_xlfn.XLOOKUP(HG$1,$BH$2:$BR$2,$BH30:$BR30,0),0)</f>
        <v>0</v>
      </c>
      <c r="HH30" s="26">
        <f>IF(HH$2=InputTable[[#This Row],[Delivery Date]],_xlfn.XLOOKUP(HH$1,$BH$2:$BR$2,$BH30:$BR30,0),0)</f>
        <v>0</v>
      </c>
      <c r="HI30" s="26">
        <f>IF(HI$2=InputTable[[#This Row],[Delivery Date]],_xlfn.XLOOKUP(HI$1,$BH$2:$BR$2,$BH30:$BR30,0),0)</f>
        <v>0</v>
      </c>
      <c r="HJ30" s="26">
        <f>IF(HJ$2=InputTable[[#This Row],[Delivery Date]],_xlfn.XLOOKUP(HJ$1,$BH$2:$BR$2,$BH30:$BR30,0),0)</f>
        <v>0</v>
      </c>
      <c r="HK30" s="26">
        <f>IF(HK$2=InputTable[[#This Row],[Delivery Date]],_xlfn.XLOOKUP(HK$1,$BH$2:$BR$2,$BH30:$BR30,0),0)</f>
        <v>0</v>
      </c>
      <c r="HL30" s="26">
        <f>IF(HL$2=InputTable[[#This Row],[Delivery Date]],_xlfn.XLOOKUP(HL$1,$BH$2:$BR$2,$BH30:$BR30,0),0)</f>
        <v>0</v>
      </c>
      <c r="HM30" s="26">
        <f>IF(HM$2=InputTable[[#This Row],[Delivery Date]],_xlfn.XLOOKUP(HM$1,$BH$2:$BR$2,$BH30:$BR30,0),0)</f>
        <v>0</v>
      </c>
      <c r="HN30" s="26">
        <f>IF(HN$2=InputTable[[#This Row],[Delivery Date]],_xlfn.XLOOKUP(HN$1,$BH$2:$BR$2,$BH30:$BR30,0),0)</f>
        <v>0</v>
      </c>
      <c r="HP30" s="26" t="e">
        <f>IF(HP$2=InputTable[[#This Row],[Delivery Date]],_xlfn.XLOOKUP(HP$1,$BH$2:$BR$2,$BH30:$BR30,0),0)</f>
        <v>#REF!</v>
      </c>
      <c r="HQ30" s="26">
        <f>IF(HQ$2=InputTable[[#This Row],[Delivery Date]],_xlfn.XLOOKUP(HQ$1,$BH$2:$BR$2,$BH30:$BR30,0),0)</f>
        <v>0</v>
      </c>
      <c r="HR30" s="26">
        <f>IF(HR$2=InputTable[[#This Row],[Delivery Date]],_xlfn.XLOOKUP(HR$1,$BH$2:$BR$2,$BH30:$BR30,0),0)</f>
        <v>0</v>
      </c>
      <c r="HS30" s="26">
        <f>IF(HS$2=InputTable[[#This Row],[Delivery Date]],_xlfn.XLOOKUP(HS$1,$BH$2:$BR$2,$BH30:$BR30,0),0)</f>
        <v>0</v>
      </c>
      <c r="HT30" s="26">
        <f>IF(HT$2=InputTable[[#This Row],[Delivery Date]],_xlfn.XLOOKUP(HT$1,$BH$2:$BR$2,$BH30:$BR30,0),0)</f>
        <v>0</v>
      </c>
      <c r="HU30" s="26">
        <f>IF(HU$2=InputTable[[#This Row],[Delivery Date]],_xlfn.XLOOKUP(HU$1,$BH$2:$BR$2,$BH30:$BR30,0),0)</f>
        <v>0</v>
      </c>
      <c r="HV30" s="26">
        <f>IF(HV$2=InputTable[[#This Row],[Delivery Date]],_xlfn.XLOOKUP(HV$1,$BH$2:$BR$2,$BH30:$BR30,0),0)</f>
        <v>0</v>
      </c>
      <c r="HW30" s="26">
        <f>IF(HW$2=InputTable[[#This Row],[Delivery Date]],_xlfn.XLOOKUP(HW$1,$BH$2:$BR$2,$BH30:$BR30,0),0)</f>
        <v>0</v>
      </c>
      <c r="HX30" s="26">
        <f>IF(HX$2=InputTable[[#This Row],[Delivery Date]],_xlfn.XLOOKUP(HX$1,$BH$2:$BR$2,$BH30:$BR30,0),0)</f>
        <v>0</v>
      </c>
      <c r="HZ30" s="26" t="e">
        <f>IF(HZ$2=InputTable[[#This Row],[Delivery Date]],_xlfn.XLOOKUP(HZ$1,$BH$2:$BR$2,$BH30:$BR30,0),0)</f>
        <v>#REF!</v>
      </c>
      <c r="IA30" s="26">
        <f>IF(IA$2=InputTable[[#This Row],[Delivery Date]],_xlfn.XLOOKUP(IA$1,$BH$2:$BR$2,$BH30:$BR30,0),0)</f>
        <v>0</v>
      </c>
      <c r="IB30" s="26">
        <f>IF(IB$2=InputTable[[#This Row],[Delivery Date]],_xlfn.XLOOKUP(IB$1,$BH$2:$BR$2,$BH30:$BR30,0),0)</f>
        <v>0</v>
      </c>
      <c r="IC30" s="26">
        <f>IF(IC$2=InputTable[[#This Row],[Delivery Date]],_xlfn.XLOOKUP(IC$1,$BH$2:$BR$2,$BH30:$BR30,0),0)</f>
        <v>0</v>
      </c>
      <c r="ID30" s="26">
        <f>IF(ID$2=InputTable[[#This Row],[Delivery Date]],_xlfn.XLOOKUP(ID$1,$BH$2:$BR$2,$BH30:$BR30,0),0)</f>
        <v>0</v>
      </c>
      <c r="IE30" s="26">
        <f>IF(IE$2=InputTable[[#This Row],[Delivery Date]],_xlfn.XLOOKUP(IE$1,$BH$2:$BR$2,$BH30:$BR30,0),0)</f>
        <v>0</v>
      </c>
      <c r="IF30" s="26">
        <f>IF(IF$2=InputTable[[#This Row],[Delivery Date]],_xlfn.XLOOKUP(IF$1,$BH$2:$BR$2,$BH30:$BR30,0),0)</f>
        <v>0</v>
      </c>
      <c r="IG30" s="26">
        <f>IF(IG$2=InputTable[[#This Row],[Delivery Date]],_xlfn.XLOOKUP(IG$1,$BH$2:$BR$2,$BH30:$BR30,0),0)</f>
        <v>0</v>
      </c>
      <c r="IH30" s="26">
        <f>IF(IH$2=InputTable[[#This Row],[Delivery Date]],_xlfn.XLOOKUP(IH$1,$BH$2:$BR$2,$BH30:$BR30,0),0)</f>
        <v>0</v>
      </c>
      <c r="IJ30" s="26" t="e">
        <f>IF(IJ$2=InputTable[[#This Row],[Delivery Date]],_xlfn.XLOOKUP(IJ$1,$BH$2:$BR$2,$BH30:$BR30,0),0)</f>
        <v>#REF!</v>
      </c>
      <c r="IK30" s="26">
        <f>IF(IK$2=InputTable[[#This Row],[Delivery Date]],_xlfn.XLOOKUP(IK$1,$BH$2:$BR$2,$BH30:$BR30,0),0)</f>
        <v>0</v>
      </c>
      <c r="IL30" s="26">
        <f>IF(IL$2=InputTable[[#This Row],[Delivery Date]],_xlfn.XLOOKUP(IL$1,$BH$2:$BR$2,$BH30:$BR30,0),0)</f>
        <v>0</v>
      </c>
      <c r="IM30" s="26">
        <f>IF(IM$2=InputTable[[#This Row],[Delivery Date]],_xlfn.XLOOKUP(IM$1,$BH$2:$BR$2,$BH30:$BR30,0),0)</f>
        <v>0</v>
      </c>
      <c r="IN30" s="26">
        <f>IF(IN$2=InputTable[[#This Row],[Delivery Date]],_xlfn.XLOOKUP(IN$1,$BH$2:$BR$2,$BH30:$BR30,0),0)</f>
        <v>0</v>
      </c>
      <c r="IO30" s="26">
        <f>IF(IO$2=InputTable[[#This Row],[Delivery Date]],_xlfn.XLOOKUP(IO$1,$BH$2:$BR$2,$BH30:$BR30,0),0)</f>
        <v>0</v>
      </c>
      <c r="IP30" s="26">
        <f>IF(IP$2=InputTable[[#This Row],[Delivery Date]],_xlfn.XLOOKUP(IP$1,$BH$2:$BR$2,$BH30:$BR30,0),0)</f>
        <v>0</v>
      </c>
      <c r="IQ30" s="26">
        <f>IF(IQ$2=InputTable[[#This Row],[Delivery Date]],_xlfn.XLOOKUP(IQ$1,$BH$2:$BR$2,$BH30:$BR30,0),0)</f>
        <v>0</v>
      </c>
      <c r="IR30" s="26">
        <f>IF(IR$2=InputTable[[#This Row],[Delivery Date]],_xlfn.XLOOKUP(IR$1,$BH$2:$BR$2,$BH30:$BR30,0),0)</f>
        <v>0</v>
      </c>
      <c r="IT30" s="26" t="e">
        <f>IF(IT$2=InputTable[[#This Row],[Delivery Date]],_xlfn.XLOOKUP(IT$1,$BH$2:$BR$2,$BH30:$BR30,0),0)</f>
        <v>#REF!</v>
      </c>
      <c r="IU30" s="26">
        <f>IF(IU$2=InputTable[[#This Row],[Delivery Date]],_xlfn.XLOOKUP(IU$1,$BH$2:$BR$2,$BH30:$BR30,0),0)</f>
        <v>0</v>
      </c>
      <c r="IV30" s="26">
        <f>IF(IV$2=InputTable[[#This Row],[Delivery Date]],_xlfn.XLOOKUP(IV$1,$BH$2:$BR$2,$BH30:$BR30,0),0)</f>
        <v>0</v>
      </c>
      <c r="IW30" s="26">
        <f>IF(IW$2=InputTable[[#This Row],[Delivery Date]],_xlfn.XLOOKUP(IW$1,$BH$2:$BR$2,$BH30:$BR30,0),0)</f>
        <v>0</v>
      </c>
      <c r="IX30" s="26">
        <f>IF(IX$2=InputTable[[#This Row],[Delivery Date]],_xlfn.XLOOKUP(IX$1,$BH$2:$BR$2,$BH30:$BR30,0),0)</f>
        <v>0</v>
      </c>
      <c r="IY30" s="26">
        <f>IF(IY$2=InputTable[[#This Row],[Delivery Date]],_xlfn.XLOOKUP(IY$1,$BH$2:$BR$2,$BH30:$BR30,0),0)</f>
        <v>0</v>
      </c>
      <c r="IZ30" s="26">
        <f>IF(IZ$2=InputTable[[#This Row],[Delivery Date]],_xlfn.XLOOKUP(IZ$1,$BH$2:$BR$2,$BH30:$BR30,0),0)</f>
        <v>0</v>
      </c>
      <c r="JA30" s="26">
        <f>IF(JA$2=InputTable[[#This Row],[Delivery Date]],_xlfn.XLOOKUP(JA$1,$BH$2:$BR$2,$BH30:$BR30,0),0)</f>
        <v>0</v>
      </c>
      <c r="JB30" s="26">
        <f>IF(JB$2=InputTable[[#This Row],[Delivery Date]],_xlfn.XLOOKUP(JB$1,$BH$2:$BR$2,$BH30:$BR30,0),0)</f>
        <v>0</v>
      </c>
      <c r="JD30" s="26" t="e">
        <f>IF(JD$2=InputTable[[#This Row],[Delivery Date]],_xlfn.XLOOKUP(JD$1,$BH$2:$BR$2,$BH30:$BR30,0),0)</f>
        <v>#REF!</v>
      </c>
      <c r="JE30" s="26">
        <f>IF(JE$2=InputTable[[#This Row],[Delivery Date]],_xlfn.XLOOKUP(JE$1,$BH$2:$BR$2,$BH30:$BR30,0),0)</f>
        <v>0</v>
      </c>
      <c r="JF30" s="26">
        <f>IF(JF$2=InputTable[[#This Row],[Delivery Date]],_xlfn.XLOOKUP(JF$1,$BH$2:$BR$2,$BH30:$BR30,0),0)</f>
        <v>0</v>
      </c>
      <c r="JG30" s="26">
        <f>IF(JG$2=InputTable[[#This Row],[Delivery Date]],_xlfn.XLOOKUP(JG$1,$BH$2:$BR$2,$BH30:$BR30,0),0)</f>
        <v>0</v>
      </c>
      <c r="JH30" s="26">
        <f>IF(JH$2=InputTable[[#This Row],[Delivery Date]],_xlfn.XLOOKUP(JH$1,$BH$2:$BR$2,$BH30:$BR30,0),0)</f>
        <v>0</v>
      </c>
      <c r="JI30" s="26">
        <f>IF(JI$2=InputTable[[#This Row],[Delivery Date]],_xlfn.XLOOKUP(JI$1,$BH$2:$BR$2,$BH30:$BR30,0),0)</f>
        <v>0</v>
      </c>
      <c r="JJ30" s="26">
        <f>IF(JJ$2=InputTable[[#This Row],[Delivery Date]],_xlfn.XLOOKUP(JJ$1,$BH$2:$BR$2,$BH30:$BR30,0),0)</f>
        <v>0</v>
      </c>
      <c r="JK30" s="26">
        <f>IF(JK$2=InputTable[[#This Row],[Delivery Date]],_xlfn.XLOOKUP(JK$1,$BH$2:$BR$2,$BH30:$BR30,0),0)</f>
        <v>0</v>
      </c>
      <c r="JL30" s="26">
        <f>IF(JL$2=InputTable[[#This Row],[Delivery Date]],_xlfn.XLOOKUP(JL$1,$BH$2:$BR$2,$BH30:$BR30,0),0)</f>
        <v>0</v>
      </c>
      <c r="JN30" s="26" t="e">
        <f>IF(JN$2=InputTable[[#This Row],[Delivery Date]],_xlfn.XLOOKUP(JN$1,$BH$2:$BR$2,$BH30:$BR30,0),0)</f>
        <v>#REF!</v>
      </c>
      <c r="JO30" s="26">
        <f>IF(JO$2=InputTable[[#This Row],[Delivery Date]],_xlfn.XLOOKUP(JO$1,$BH$2:$BR$2,$BH30:$BR30,0),0)</f>
        <v>0</v>
      </c>
      <c r="JP30" s="26">
        <f>IF(JP$2=InputTable[[#This Row],[Delivery Date]],_xlfn.XLOOKUP(JP$1,$BH$2:$BR$2,$BH30:$BR30,0),0)</f>
        <v>0</v>
      </c>
      <c r="JQ30" s="26">
        <f>IF(JQ$2=InputTable[[#This Row],[Delivery Date]],_xlfn.XLOOKUP(JQ$1,$BH$2:$BR$2,$BH30:$BR30,0),0)</f>
        <v>0</v>
      </c>
      <c r="JR30" s="26">
        <f>IF(JR$2=InputTable[[#This Row],[Delivery Date]],_xlfn.XLOOKUP(JR$1,$BH$2:$BR$2,$BH30:$BR30,0),0)</f>
        <v>0</v>
      </c>
      <c r="JS30" s="26">
        <f>IF(JS$2=InputTable[[#This Row],[Delivery Date]],_xlfn.XLOOKUP(JS$1,$BH$2:$BR$2,$BH30:$BR30,0),0)</f>
        <v>0</v>
      </c>
      <c r="JT30" s="26">
        <f>IF(JT$2=InputTable[[#This Row],[Delivery Date]],_xlfn.XLOOKUP(JT$1,$BH$2:$BR$2,$BH30:$BR30,0),0)</f>
        <v>0</v>
      </c>
      <c r="JU30" s="26">
        <f>IF(JU$2=InputTable[[#This Row],[Delivery Date]],_xlfn.XLOOKUP(JU$1,$BH$2:$BR$2,$BH30:$BR30,0),0)</f>
        <v>0</v>
      </c>
      <c r="JV30" s="26">
        <f>IF(JV$2=InputTable[[#This Row],[Delivery Date]],_xlfn.XLOOKUP(JV$1,$BH$2:$BR$2,$BH30:$BR30,0),0)</f>
        <v>0</v>
      </c>
      <c r="JX30" s="26" t="e">
        <f>IF(JX$2=InputTable[[#This Row],[Delivery Date]],_xlfn.XLOOKUP(JX$1,$BH$2:$BR$2,$BH30:$BR30,0),0)</f>
        <v>#REF!</v>
      </c>
      <c r="JY30" s="26">
        <f>IF(JY$2=InputTable[[#This Row],[Delivery Date]],_xlfn.XLOOKUP(JY$1,$BH$2:$BR$2,$BH30:$BR30,0),0)</f>
        <v>0</v>
      </c>
      <c r="JZ30" s="26">
        <f>IF(JZ$2=InputTable[[#This Row],[Delivery Date]],_xlfn.XLOOKUP(JZ$1,$BH$2:$BR$2,$BH30:$BR30,0),0)</f>
        <v>0</v>
      </c>
      <c r="KA30" s="26">
        <f>IF(KA$2=InputTable[[#This Row],[Delivery Date]],_xlfn.XLOOKUP(KA$1,$BH$2:$BR$2,$BH30:$BR30,0),0)</f>
        <v>0</v>
      </c>
      <c r="KB30" s="26">
        <f>IF(KB$2=InputTable[[#This Row],[Delivery Date]],_xlfn.XLOOKUP(KB$1,$BH$2:$BR$2,$BH30:$BR30,0),0)</f>
        <v>0</v>
      </c>
      <c r="KC30" s="26">
        <f>IF(KC$2=InputTable[[#This Row],[Delivery Date]],_xlfn.XLOOKUP(KC$1,$BH$2:$BR$2,$BH30:$BR30,0),0)</f>
        <v>0</v>
      </c>
      <c r="KD30" s="26">
        <f>IF(KD$2=InputTable[[#This Row],[Delivery Date]],_xlfn.XLOOKUP(KD$1,$BH$2:$BR$2,$BH30:$BR30,0),0)</f>
        <v>0</v>
      </c>
      <c r="KE30" s="26">
        <f>IF(KE$2=InputTable[[#This Row],[Delivery Date]],_xlfn.XLOOKUP(KE$1,$BH$2:$BR$2,$BH30:$BR30,0),0)</f>
        <v>0</v>
      </c>
      <c r="KF30" s="26">
        <f>IF(KF$2=InputTable[[#This Row],[Delivery Date]],_xlfn.XLOOKUP(KF$1,$BH$2:$BR$2,$BH30:$BR30,0),0)</f>
        <v>0</v>
      </c>
    </row>
    <row r="31" spans="1:292" ht="39.6" hidden="1" customHeight="1" x14ac:dyDescent="0.25">
      <c r="A31" s="141" t="s">
        <v>134</v>
      </c>
      <c r="B31" s="141" t="s">
        <v>156</v>
      </c>
      <c r="C31" s="92" t="s">
        <v>60</v>
      </c>
      <c r="D31" s="125" t="s">
        <v>207</v>
      </c>
      <c r="E31" s="193" t="s">
        <v>208</v>
      </c>
      <c r="F31" s="92" t="s">
        <v>24</v>
      </c>
      <c r="G31" s="92">
        <v>2024</v>
      </c>
      <c r="H31" s="92" t="s">
        <v>100</v>
      </c>
      <c r="I31" s="92" t="s">
        <v>98</v>
      </c>
      <c r="J31" s="125" t="s">
        <v>209</v>
      </c>
      <c r="K31" s="95" t="e">
        <f>VLOOKUP((InputTable[[#This Row],[Starting Date]]&amp; " - " &amp;InputTable[[#This Row],[Delivery Date]]),'System List'!$F$40:$H$83,2,FALSE)</f>
        <v>#N/A</v>
      </c>
      <c r="L31" s="95" t="e">
        <f>VLOOKUP(InputTable[[#This Row],[Duration]],Duration,2,FALSE)</f>
        <v>#N/A</v>
      </c>
      <c r="M31" s="125"/>
      <c r="N31" s="92"/>
      <c r="O31" s="92"/>
      <c r="P31" s="92"/>
      <c r="Q31" s="92" t="s">
        <v>111</v>
      </c>
      <c r="R31" s="92" t="s">
        <v>111</v>
      </c>
      <c r="S31" s="92" t="s">
        <v>209</v>
      </c>
      <c r="T31" s="95" cm="1">
        <f t="array" ref="T3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</v>
      </c>
      <c r="U31" s="138"/>
      <c r="V31" s="92"/>
      <c r="W31" s="92"/>
      <c r="X31" s="92" t="s">
        <v>111</v>
      </c>
      <c r="Y31" s="92"/>
      <c r="Z31" s="98" t="s">
        <v>111</v>
      </c>
      <c r="AA31" s="92"/>
      <c r="AB31" s="92"/>
      <c r="AC31" s="92"/>
      <c r="AD31" s="92">
        <f>COUNTA(InputTable[[#This Row],[CORPHRFIN]:[SALES]])</f>
        <v>2</v>
      </c>
      <c r="AE31" s="88" cm="1">
        <f t="array" ref="AE31">SUM(
_xlfn.XLOOKUP(InputTable[[#This Row],[CORPHRFIN]:[SALES]],'System List'!$F$4:$F$7,'System List'!$H$4:$H$7,0))</f>
        <v>10</v>
      </c>
      <c r="AF31" s="140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88" cm="1">
        <f t="array" ref="AR31">SUM(
_xlfn.XLOOKUP(InputTable[[#This Row],[Impact on - CIAL]:[Impact on - STRAT]],'System List'!$F$4:$F$7,'System List'!$H$4:$H$7,0))</f>
        <v>0</v>
      </c>
      <c r="AS31" s="88" t="e">
        <f>VLOOKUP(InputTable[[#This Row],[Duration]],Duration,2,FALSE)+InputTable[[#This Row],[Resource Score]]</f>
        <v>#N/A</v>
      </c>
      <c r="AT3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1" s="24" t="e">
        <f>InputTable[[#This Row],[Value Score]]/InputTable[[#This Row],[EFFORT SCORE]]*100</f>
        <v>#N/A</v>
      </c>
      <c r="AV31" s="25" t="str">
        <f>InputTable[[#This Row],[IS Portfolio Ref ID]]</f>
        <v>ISPRJ-55</v>
      </c>
      <c r="AW31" s="25" t="s">
        <v>210</v>
      </c>
      <c r="AX31" s="208" t="s">
        <v>211</v>
      </c>
      <c r="AY31" s="25">
        <v>1855</v>
      </c>
      <c r="AZ31" s="209">
        <v>360000</v>
      </c>
      <c r="BA31" s="209">
        <v>0</v>
      </c>
      <c r="BB31" s="209" t="s">
        <v>212</v>
      </c>
      <c r="BC31" s="189">
        <f>SUM(InputTable[[#This Row],[Opex IS Budget (full project)]]+InputTable[[#This Row],[Capex IS Budget (full project)]])</f>
        <v>360000</v>
      </c>
      <c r="BD31" s="188">
        <v>1</v>
      </c>
      <c r="BE31" s="188">
        <v>1</v>
      </c>
      <c r="BF31" s="70"/>
      <c r="BH31" s="2">
        <f>IFERROR(VLOOKUP(InputTable[[#This Row],[Impact on - CIAL]],'System List'!$F$4:$H$7,3,FALSE),0)</f>
        <v>0</v>
      </c>
      <c r="BI31" s="2">
        <f>IFERROR(VLOOKUP(InputTable[[#This Row],[Impact on - COM]],'System List'!$F$4:$H$7,3,FALSE),0)</f>
        <v>0</v>
      </c>
      <c r="BJ31" s="2">
        <f>IFERROR(VLOOKUP(InputTable[[#This Row],[Impact on - FIN]],'System List'!$F$4:$H$7,3,FALSE),0)</f>
        <v>0</v>
      </c>
      <c r="BK31" s="2">
        <f>IFERROR(VLOOKUP(InputTable[[#This Row],[Impact on - GEN SEC]],'System List'!$F$4:$H$7,3,FALSE),0)</f>
        <v>0</v>
      </c>
      <c r="BL31" s="2">
        <f>IFERROR(VLOOKUP(InputTable[[#This Row],[Impact on - HR]],'System List'!$F$4:$H$7,3,FALSE),0)</f>
        <v>0</v>
      </c>
      <c r="BM31" s="2">
        <f>IFERROR(VLOOKUP(InputTable[[#This Row],[Impact on - IS]],'System List'!$F$4:$H$7,3,FALSE),0)</f>
        <v>0</v>
      </c>
      <c r="BN31" s="2">
        <f>IFERROR(VLOOKUP(InputTable[[#This Row],[Impact on - OPS]],'System List'!$F$4:$H$7,3,FALSE),0)</f>
        <v>0</v>
      </c>
      <c r="BO31" s="2">
        <f>IFERROR(VLOOKUP(InputTable[[#This Row],[Impact on - ROLL STOCK]],'System List'!$F$4:$H$7,3,FALSE),0)</f>
        <v>0</v>
      </c>
      <c r="BP31" s="2">
        <f>IFERROR(VLOOKUP(InputTable[[#This Row],[Impact on - SAFETY]],'System List'!$F$4:$H$7,3,FALSE),0)</f>
        <v>0</v>
      </c>
      <c r="BQ31" s="2">
        <f>IFERROR(VLOOKUP(InputTable[[#This Row],[Impact on - STATION]],'System List'!$F$4:$H$7,3,FALSE),0)</f>
        <v>0</v>
      </c>
      <c r="BR31" s="2">
        <f>IFERROR(VLOOKUP(InputTable[[#This Row],[Impact on - STRAT]],'System List'!$F$4:$H$7,3,FALSE),0)</f>
        <v>0</v>
      </c>
      <c r="BT31" s="2">
        <f>IFERROR(VLOOKUP(InputTable[[#This Row],[CORPHRFIN]],'System List'!$F$4:$H$7,3,FALSE),0)</f>
        <v>0</v>
      </c>
      <c r="BU31" s="2">
        <f>IFERROR(VLOOKUP(InputTable[[#This Row],[CUST]],'System List'!$F$4:$H$7,3,FALSE),0)</f>
        <v>0</v>
      </c>
      <c r="BV31" s="2">
        <f>IFERROR(VLOOKUP(InputTable[[#This Row],[CYBER]],'System List'!$F$4:$H$7,3,FALSE),0)</f>
        <v>5</v>
      </c>
      <c r="BW31" s="2">
        <f>IFERROR(VLOOKUP(InputTable[[#This Row],[DATA]],'System List'!$F$4:$H$7,3,FALSE),0)</f>
        <v>0</v>
      </c>
      <c r="BX31" s="2">
        <f>IFERROR(VLOOKUP(InputTable[[#This Row],[INFRA]],'System List'!$F$4:$H$7,3,FALSE),0)</f>
        <v>5</v>
      </c>
      <c r="BY31" s="2">
        <f>IFERROR(VLOOKUP(InputTable[[#This Row],[OPERATIONS]],'System List'!$F$4:$H$7,3,FALSE),0)</f>
        <v>0</v>
      </c>
      <c r="BZ31" s="2">
        <f>IFERROR(VLOOKUP(InputTable[[#This Row],[PMO]],'System List'!$F$4:$H$7,3,FALSE),0)</f>
        <v>0</v>
      </c>
      <c r="CA31" s="2">
        <f>IFERROR(VLOOKUP(InputTable[[#This Row],[SALES]],'System List'!$F$4:$H$7,3,FALSE),0)</f>
        <v>0</v>
      </c>
      <c r="CC31" s="2" cm="1">
        <f t="array" ref="CC3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1" s="2" cm="1">
        <f t="array" ref="CD3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1" s="2" cm="1">
        <f t="array" ref="CE3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1" s="2" cm="1">
        <f t="array" ref="CF3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1" s="2" cm="1">
        <f t="array" ref="CG3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1" s="2" cm="1">
        <f t="array" ref="CH3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1" s="2" cm="1">
        <f t="array" ref="CI3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1" s="2" cm="1">
        <f t="array" ref="CJ3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1" s="2" cm="1">
        <f t="array" ref="CK3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3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3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1" s="26">
        <f t="shared" si="78"/>
        <v>0</v>
      </c>
      <c r="CY31" s="26">
        <f t="shared" si="79"/>
        <v>0</v>
      </c>
      <c r="CZ31" s="26">
        <f t="shared" si="80"/>
        <v>0</v>
      </c>
      <c r="DA31" s="26">
        <f t="shared" si="81"/>
        <v>0</v>
      </c>
      <c r="DB31" s="26">
        <f t="shared" si="82"/>
        <v>0</v>
      </c>
      <c r="DC31" s="26">
        <f t="shared" si="83"/>
        <v>0</v>
      </c>
      <c r="DD31" s="26">
        <f t="shared" si="84"/>
        <v>0</v>
      </c>
      <c r="DE31" s="26">
        <f t="shared" si="85"/>
        <v>0</v>
      </c>
      <c r="DF31" s="26">
        <f t="shared" si="86"/>
        <v>0</v>
      </c>
      <c r="DH31" s="26">
        <f t="shared" si="87"/>
        <v>0</v>
      </c>
      <c r="DI31" s="26">
        <f t="shared" si="88"/>
        <v>0</v>
      </c>
      <c r="DJ31" s="26">
        <f t="shared" si="89"/>
        <v>0</v>
      </c>
      <c r="DK31" s="26">
        <f t="shared" si="90"/>
        <v>0</v>
      </c>
      <c r="DL31" s="26">
        <f t="shared" si="91"/>
        <v>0</v>
      </c>
      <c r="DM31" s="26">
        <f t="shared" si="92"/>
        <v>0</v>
      </c>
      <c r="DN31" s="26">
        <f t="shared" si="93"/>
        <v>0</v>
      </c>
      <c r="DO31" s="26">
        <f t="shared" si="94"/>
        <v>0</v>
      </c>
      <c r="DP31" s="26">
        <f t="shared" si="95"/>
        <v>0</v>
      </c>
      <c r="DR31" s="26">
        <f t="shared" si="96"/>
        <v>0</v>
      </c>
      <c r="DS31" s="26">
        <f t="shared" si="97"/>
        <v>5</v>
      </c>
      <c r="DT31" s="26">
        <f t="shared" si="98"/>
        <v>5</v>
      </c>
      <c r="DU31" s="26">
        <f t="shared" si="99"/>
        <v>5</v>
      </c>
      <c r="DV31" s="26">
        <f t="shared" si="100"/>
        <v>5</v>
      </c>
      <c r="DW31" s="26">
        <f t="shared" si="101"/>
        <v>5</v>
      </c>
      <c r="DX31" s="26">
        <f t="shared" si="102"/>
        <v>0</v>
      </c>
      <c r="DY31" s="26">
        <f t="shared" si="103"/>
        <v>0</v>
      </c>
      <c r="DZ31" s="26">
        <f t="shared" si="104"/>
        <v>0</v>
      </c>
      <c r="EB31" s="26">
        <f t="shared" si="105"/>
        <v>0</v>
      </c>
      <c r="EC31" s="26">
        <f t="shared" si="106"/>
        <v>0</v>
      </c>
      <c r="ED31" s="26">
        <f t="shared" si="107"/>
        <v>0</v>
      </c>
      <c r="EE31" s="26">
        <f t="shared" si="108"/>
        <v>0</v>
      </c>
      <c r="EF31" s="26">
        <f t="shared" si="109"/>
        <v>0</v>
      </c>
      <c r="EG31" s="26">
        <f t="shared" si="110"/>
        <v>0</v>
      </c>
      <c r="EH31" s="26">
        <f t="shared" si="111"/>
        <v>0</v>
      </c>
      <c r="EI31" s="26">
        <f t="shared" si="112"/>
        <v>0</v>
      </c>
      <c r="EJ31" s="26">
        <f t="shared" si="113"/>
        <v>0</v>
      </c>
      <c r="EL31" s="26">
        <f t="shared" si="114"/>
        <v>0</v>
      </c>
      <c r="EM31" s="26">
        <f t="shared" si="115"/>
        <v>5</v>
      </c>
      <c r="EN31" s="26">
        <f t="shared" si="116"/>
        <v>5</v>
      </c>
      <c r="EO31" s="26">
        <f t="shared" si="117"/>
        <v>5</v>
      </c>
      <c r="EP31" s="26">
        <f t="shared" si="118"/>
        <v>5</v>
      </c>
      <c r="EQ31" s="26">
        <f t="shared" si="119"/>
        <v>5</v>
      </c>
      <c r="ER31" s="26">
        <f t="shared" si="120"/>
        <v>0</v>
      </c>
      <c r="ES31" s="26">
        <f t="shared" si="121"/>
        <v>0</v>
      </c>
      <c r="ET31" s="26">
        <f t="shared" si="122"/>
        <v>0</v>
      </c>
      <c r="EV31" s="26">
        <f t="shared" si="123"/>
        <v>0</v>
      </c>
      <c r="EW31" s="26">
        <f t="shared" si="124"/>
        <v>0</v>
      </c>
      <c r="EX31" s="26">
        <f t="shared" si="125"/>
        <v>0</v>
      </c>
      <c r="EY31" s="26">
        <f t="shared" si="126"/>
        <v>0</v>
      </c>
      <c r="EZ31" s="26">
        <f t="shared" si="127"/>
        <v>0</v>
      </c>
      <c r="FA31" s="26">
        <f t="shared" si="128"/>
        <v>0</v>
      </c>
      <c r="FB31" s="26">
        <f t="shared" si="129"/>
        <v>0</v>
      </c>
      <c r="FC31" s="26">
        <f t="shared" si="130"/>
        <v>0</v>
      </c>
      <c r="FD31" s="26">
        <f t="shared" si="131"/>
        <v>0</v>
      </c>
      <c r="FF31" s="26">
        <f t="shared" si="132"/>
        <v>0</v>
      </c>
      <c r="FG31" s="26">
        <f t="shared" si="133"/>
        <v>0</v>
      </c>
      <c r="FH31" s="26">
        <f t="shared" si="134"/>
        <v>0</v>
      </c>
      <c r="FI31" s="26">
        <f t="shared" si="135"/>
        <v>0</v>
      </c>
      <c r="FJ31" s="26">
        <f t="shared" si="136"/>
        <v>0</v>
      </c>
      <c r="FK31" s="26">
        <f t="shared" si="137"/>
        <v>0</v>
      </c>
      <c r="FL31" s="26">
        <f t="shared" si="138"/>
        <v>0</v>
      </c>
      <c r="FM31" s="26">
        <f t="shared" si="139"/>
        <v>0</v>
      </c>
      <c r="FN31" s="26">
        <f t="shared" si="140"/>
        <v>0</v>
      </c>
      <c r="FP31" s="26" t="e">
        <f t="shared" si="141"/>
        <v>#REF!</v>
      </c>
      <c r="FQ31" s="26" t="e">
        <f t="shared" si="142"/>
        <v>#REF!</v>
      </c>
      <c r="FR31" s="26" t="e">
        <f t="shared" si="143"/>
        <v>#REF!</v>
      </c>
      <c r="FS31" s="26" t="e">
        <f t="shared" si="144"/>
        <v>#REF!</v>
      </c>
      <c r="FT31" s="26" t="e">
        <f t="shared" si="145"/>
        <v>#REF!</v>
      </c>
      <c r="FU31" s="26" t="e">
        <f t="shared" si="146"/>
        <v>#REF!</v>
      </c>
      <c r="FV31" s="26" t="e">
        <f t="shared" si="147"/>
        <v>#REF!</v>
      </c>
      <c r="FW31" s="26" t="e">
        <f t="shared" si="148"/>
        <v>#REF!</v>
      </c>
      <c r="FX31" s="26" t="e">
        <f t="shared" si="149"/>
        <v>#REF!</v>
      </c>
      <c r="GB31" s="26" t="e">
        <f>IF(GB$2=InputTable[[#This Row],[Delivery Date]],_xlfn.XLOOKUP(GB$1,$BH$2:$BR$2,$BH31:$BR31,0),0)</f>
        <v>#REF!</v>
      </c>
      <c r="GC31" s="26">
        <f>IF(GC$2=InputTable[[#This Row],[Delivery Date]],_xlfn.XLOOKUP(GC$1,$BH$2:$BR$2,$BH31:$BR31,0),0)</f>
        <v>0</v>
      </c>
      <c r="GD31" s="26">
        <f>IF(GD$2=InputTable[[#This Row],[Delivery Date]],_xlfn.XLOOKUP(GD$1,$BH$2:$BR$2,$BH31:$BR31,0),0)</f>
        <v>0</v>
      </c>
      <c r="GE31" s="26">
        <f>IF(GE$2=InputTable[[#This Row],[Delivery Date]],_xlfn.XLOOKUP(GE$1,$BH$2:$BR$2,$BH31:$BR31,0),0)</f>
        <v>0</v>
      </c>
      <c r="GF31" s="26">
        <f>IF(GF$2=InputTable[[#This Row],[Delivery Date]],_xlfn.XLOOKUP(GF$1,$BH$2:$BR$2,$BH31:$BR31,0),0)</f>
        <v>0</v>
      </c>
      <c r="GG31" s="26">
        <f>IF(GG$2=InputTable[[#This Row],[Delivery Date]],_xlfn.XLOOKUP(GG$1,$BH$2:$BR$2,$BH31:$BR31,0),0)</f>
        <v>0</v>
      </c>
      <c r="GH31" s="26">
        <f>IF(GH$2=InputTable[[#This Row],[Delivery Date]],_xlfn.XLOOKUP(GH$1,$BH$2:$BR$2,$BH31:$BR31,0),0)</f>
        <v>0</v>
      </c>
      <c r="GI31" s="26">
        <f>IF(GI$2=InputTable[[#This Row],[Delivery Date]],_xlfn.XLOOKUP(GI$1,$BH$2:$BR$2,$BH31:$BR31,0),0)</f>
        <v>0</v>
      </c>
      <c r="GJ31" s="26">
        <f>IF(GJ$2=InputTable[[#This Row],[Delivery Date]],_xlfn.XLOOKUP(GJ$1,$BH$2:$BR$2,$BH31:$BR31,0),0)</f>
        <v>0</v>
      </c>
      <c r="GL31" s="26" t="e">
        <f>IF(GL$2=InputTable[[#This Row],[Delivery Date]],_xlfn.XLOOKUP(GL$1,$BH$2:$BR$2,$BH31:$BR31,0),0)</f>
        <v>#REF!</v>
      </c>
      <c r="GM31" s="26">
        <f>IF(GM$2=InputTable[[#This Row],[Delivery Date]],_xlfn.XLOOKUP(GM$1,$BH$2:$BR$2,$BH31:$BR31,0),0)</f>
        <v>0</v>
      </c>
      <c r="GN31" s="26">
        <f>IF(GN$2=InputTable[[#This Row],[Delivery Date]],_xlfn.XLOOKUP(GN$1,$BH$2:$BR$2,$BH31:$BR31,0),0)</f>
        <v>0</v>
      </c>
      <c r="GO31" s="26">
        <f>IF(GO$2=InputTable[[#This Row],[Delivery Date]],_xlfn.XLOOKUP(GO$1,$BH$2:$BR$2,$BH31:$BR31,0),0)</f>
        <v>0</v>
      </c>
      <c r="GP31" s="26">
        <f>IF(GP$2=InputTable[[#This Row],[Delivery Date]],_xlfn.XLOOKUP(GP$1,$BH$2:$BR$2,$BH31:$BR31,0),0)</f>
        <v>0</v>
      </c>
      <c r="GQ31" s="26">
        <f>IF(GQ$2=InputTable[[#This Row],[Delivery Date]],_xlfn.XLOOKUP(GQ$1,$BH$2:$BR$2,$BH31:$BR31,0),0)</f>
        <v>0</v>
      </c>
      <c r="GR31" s="26">
        <f>IF(GR$2=InputTable[[#This Row],[Delivery Date]],_xlfn.XLOOKUP(GR$1,$BH$2:$BR$2,$BH31:$BR31,0),0)</f>
        <v>0</v>
      </c>
      <c r="GS31" s="26">
        <f>IF(GS$2=InputTable[[#This Row],[Delivery Date]],_xlfn.XLOOKUP(GS$1,$BH$2:$BR$2,$BH31:$BR31,0),0)</f>
        <v>0</v>
      </c>
      <c r="GT31" s="26">
        <f>IF(GT$2=InputTable[[#This Row],[Delivery Date]],_xlfn.XLOOKUP(GT$1,$BH$2:$BR$2,$BH31:$BR31,0),0)</f>
        <v>0</v>
      </c>
      <c r="GV31" s="26" t="e">
        <f>IF(GV$2=InputTable[[#This Row],[Delivery Date]],_xlfn.XLOOKUP(GV$1,$BH$2:$BR$2,$BH31:$BR31,0),0)</f>
        <v>#REF!</v>
      </c>
      <c r="GW31" s="26">
        <f>IF(GW$2=InputTable[[#This Row],[Delivery Date]],_xlfn.XLOOKUP(GW$1,$BH$2:$BR$2,$BH31:$BR31,0),0)</f>
        <v>0</v>
      </c>
      <c r="GX31" s="26">
        <f>IF(GX$2=InputTable[[#This Row],[Delivery Date]],_xlfn.XLOOKUP(GX$1,$BH$2:$BR$2,$BH31:$BR31,0),0)</f>
        <v>0</v>
      </c>
      <c r="GY31" s="26">
        <f>IF(GY$2=InputTable[[#This Row],[Delivery Date]],_xlfn.XLOOKUP(GY$1,$BH$2:$BR$2,$BH31:$BR31,0),0)</f>
        <v>0</v>
      </c>
      <c r="GZ31" s="26">
        <f>IF(GZ$2=InputTable[[#This Row],[Delivery Date]],_xlfn.XLOOKUP(GZ$1,$BH$2:$BR$2,$BH31:$BR31,0),0)</f>
        <v>0</v>
      </c>
      <c r="HA31" s="26">
        <f>IF(HA$2=InputTable[[#This Row],[Delivery Date]],_xlfn.XLOOKUP(HA$1,$BH$2:$BR$2,$BH31:$BR31,0),0)</f>
        <v>0</v>
      </c>
      <c r="HB31" s="26">
        <f>IF(HB$2=InputTable[[#This Row],[Delivery Date]],_xlfn.XLOOKUP(HB$1,$BH$2:$BR$2,$BH31:$BR31,0),0)</f>
        <v>0</v>
      </c>
      <c r="HC31" s="26">
        <f>IF(HC$2=InputTable[[#This Row],[Delivery Date]],_xlfn.XLOOKUP(HC$1,$BH$2:$BR$2,$BH31:$BR31,0),0)</f>
        <v>0</v>
      </c>
      <c r="HD31" s="26">
        <f>IF(HD$2=InputTable[[#This Row],[Delivery Date]],_xlfn.XLOOKUP(HD$1,$BH$2:$BR$2,$BH31:$BR31,0),0)</f>
        <v>0</v>
      </c>
      <c r="HF31" s="26" t="e">
        <f>IF(HF$2=InputTable[[#This Row],[Delivery Date]],_xlfn.XLOOKUP(HF$1,$BH$2:$BR$2,$BH31:$BR31,0),0)</f>
        <v>#REF!</v>
      </c>
      <c r="HG31" s="26">
        <f>IF(HG$2=InputTable[[#This Row],[Delivery Date]],_xlfn.XLOOKUP(HG$1,$BH$2:$BR$2,$BH31:$BR31,0),0)</f>
        <v>0</v>
      </c>
      <c r="HH31" s="26">
        <f>IF(HH$2=InputTable[[#This Row],[Delivery Date]],_xlfn.XLOOKUP(HH$1,$BH$2:$BR$2,$BH31:$BR31,0),0)</f>
        <v>0</v>
      </c>
      <c r="HI31" s="26">
        <f>IF(HI$2=InputTable[[#This Row],[Delivery Date]],_xlfn.XLOOKUP(HI$1,$BH$2:$BR$2,$BH31:$BR31,0),0)</f>
        <v>0</v>
      </c>
      <c r="HJ31" s="26">
        <f>IF(HJ$2=InputTable[[#This Row],[Delivery Date]],_xlfn.XLOOKUP(HJ$1,$BH$2:$BR$2,$BH31:$BR31,0),0)</f>
        <v>0</v>
      </c>
      <c r="HK31" s="26">
        <f>IF(HK$2=InputTable[[#This Row],[Delivery Date]],_xlfn.XLOOKUP(HK$1,$BH$2:$BR$2,$BH31:$BR31,0),0)</f>
        <v>0</v>
      </c>
      <c r="HL31" s="26">
        <f>IF(HL$2=InputTable[[#This Row],[Delivery Date]],_xlfn.XLOOKUP(HL$1,$BH$2:$BR$2,$BH31:$BR31,0),0)</f>
        <v>0</v>
      </c>
      <c r="HM31" s="26">
        <f>IF(HM$2=InputTable[[#This Row],[Delivery Date]],_xlfn.XLOOKUP(HM$1,$BH$2:$BR$2,$BH31:$BR31,0),0)</f>
        <v>0</v>
      </c>
      <c r="HN31" s="26">
        <f>IF(HN$2=InputTable[[#This Row],[Delivery Date]],_xlfn.XLOOKUP(HN$1,$BH$2:$BR$2,$BH31:$BR31,0),0)</f>
        <v>0</v>
      </c>
      <c r="HP31" s="26" t="e">
        <f>IF(HP$2=InputTable[[#This Row],[Delivery Date]],_xlfn.XLOOKUP(HP$1,$BH$2:$BR$2,$BH31:$BR31,0),0)</f>
        <v>#REF!</v>
      </c>
      <c r="HQ31" s="26">
        <f>IF(HQ$2=InputTable[[#This Row],[Delivery Date]],_xlfn.XLOOKUP(HQ$1,$BH$2:$BR$2,$BH31:$BR31,0),0)</f>
        <v>0</v>
      </c>
      <c r="HR31" s="26">
        <f>IF(HR$2=InputTable[[#This Row],[Delivery Date]],_xlfn.XLOOKUP(HR$1,$BH$2:$BR$2,$BH31:$BR31,0),0)</f>
        <v>0</v>
      </c>
      <c r="HS31" s="26">
        <f>IF(HS$2=InputTable[[#This Row],[Delivery Date]],_xlfn.XLOOKUP(HS$1,$BH$2:$BR$2,$BH31:$BR31,0),0)</f>
        <v>0</v>
      </c>
      <c r="HT31" s="26">
        <f>IF(HT$2=InputTable[[#This Row],[Delivery Date]],_xlfn.XLOOKUP(HT$1,$BH$2:$BR$2,$BH31:$BR31,0),0)</f>
        <v>0</v>
      </c>
      <c r="HU31" s="26">
        <f>IF(HU$2=InputTable[[#This Row],[Delivery Date]],_xlfn.XLOOKUP(HU$1,$BH$2:$BR$2,$BH31:$BR31,0),0)</f>
        <v>0</v>
      </c>
      <c r="HV31" s="26">
        <f>IF(HV$2=InputTable[[#This Row],[Delivery Date]],_xlfn.XLOOKUP(HV$1,$BH$2:$BR$2,$BH31:$BR31,0),0)</f>
        <v>0</v>
      </c>
      <c r="HW31" s="26">
        <f>IF(HW$2=InputTable[[#This Row],[Delivery Date]],_xlfn.XLOOKUP(HW$1,$BH$2:$BR$2,$BH31:$BR31,0),0)</f>
        <v>0</v>
      </c>
      <c r="HX31" s="26">
        <f>IF(HX$2=InputTable[[#This Row],[Delivery Date]],_xlfn.XLOOKUP(HX$1,$BH$2:$BR$2,$BH31:$BR31,0),0)</f>
        <v>0</v>
      </c>
      <c r="HZ31" s="26" t="e">
        <f>IF(HZ$2=InputTable[[#This Row],[Delivery Date]],_xlfn.XLOOKUP(HZ$1,$BH$2:$BR$2,$BH31:$BR31,0),0)</f>
        <v>#REF!</v>
      </c>
      <c r="IA31" s="26">
        <f>IF(IA$2=InputTable[[#This Row],[Delivery Date]],_xlfn.XLOOKUP(IA$1,$BH$2:$BR$2,$BH31:$BR31,0),0)</f>
        <v>0</v>
      </c>
      <c r="IB31" s="26">
        <f>IF(IB$2=InputTable[[#This Row],[Delivery Date]],_xlfn.XLOOKUP(IB$1,$BH$2:$BR$2,$BH31:$BR31,0),0)</f>
        <v>0</v>
      </c>
      <c r="IC31" s="26">
        <f>IF(IC$2=InputTable[[#This Row],[Delivery Date]],_xlfn.XLOOKUP(IC$1,$BH$2:$BR$2,$BH31:$BR31,0),0)</f>
        <v>0</v>
      </c>
      <c r="ID31" s="26">
        <f>IF(ID$2=InputTable[[#This Row],[Delivery Date]],_xlfn.XLOOKUP(ID$1,$BH$2:$BR$2,$BH31:$BR31,0),0)</f>
        <v>0</v>
      </c>
      <c r="IE31" s="26">
        <f>IF(IE$2=InputTable[[#This Row],[Delivery Date]],_xlfn.XLOOKUP(IE$1,$BH$2:$BR$2,$BH31:$BR31,0),0)</f>
        <v>0</v>
      </c>
      <c r="IF31" s="26">
        <f>IF(IF$2=InputTable[[#This Row],[Delivery Date]],_xlfn.XLOOKUP(IF$1,$BH$2:$BR$2,$BH31:$BR31,0),0)</f>
        <v>0</v>
      </c>
      <c r="IG31" s="26">
        <f>IF(IG$2=InputTable[[#This Row],[Delivery Date]],_xlfn.XLOOKUP(IG$1,$BH$2:$BR$2,$BH31:$BR31,0),0)</f>
        <v>0</v>
      </c>
      <c r="IH31" s="26">
        <f>IF(IH$2=InputTable[[#This Row],[Delivery Date]],_xlfn.XLOOKUP(IH$1,$BH$2:$BR$2,$BH31:$BR31,0),0)</f>
        <v>0</v>
      </c>
      <c r="IJ31" s="26" t="e">
        <f>IF(IJ$2=InputTable[[#This Row],[Delivery Date]],_xlfn.XLOOKUP(IJ$1,$BH$2:$BR$2,$BH31:$BR31,0),0)</f>
        <v>#REF!</v>
      </c>
      <c r="IK31" s="26">
        <f>IF(IK$2=InputTable[[#This Row],[Delivery Date]],_xlfn.XLOOKUP(IK$1,$BH$2:$BR$2,$BH31:$BR31,0),0)</f>
        <v>0</v>
      </c>
      <c r="IL31" s="26">
        <f>IF(IL$2=InputTable[[#This Row],[Delivery Date]],_xlfn.XLOOKUP(IL$1,$BH$2:$BR$2,$BH31:$BR31,0),0)</f>
        <v>0</v>
      </c>
      <c r="IM31" s="26">
        <f>IF(IM$2=InputTable[[#This Row],[Delivery Date]],_xlfn.XLOOKUP(IM$1,$BH$2:$BR$2,$BH31:$BR31,0),0)</f>
        <v>0</v>
      </c>
      <c r="IN31" s="26">
        <f>IF(IN$2=InputTable[[#This Row],[Delivery Date]],_xlfn.XLOOKUP(IN$1,$BH$2:$BR$2,$BH31:$BR31,0),0)</f>
        <v>0</v>
      </c>
      <c r="IO31" s="26">
        <f>IF(IO$2=InputTable[[#This Row],[Delivery Date]],_xlfn.XLOOKUP(IO$1,$BH$2:$BR$2,$BH31:$BR31,0),0)</f>
        <v>0</v>
      </c>
      <c r="IP31" s="26">
        <f>IF(IP$2=InputTable[[#This Row],[Delivery Date]],_xlfn.XLOOKUP(IP$1,$BH$2:$BR$2,$BH31:$BR31,0),0)</f>
        <v>0</v>
      </c>
      <c r="IQ31" s="26">
        <f>IF(IQ$2=InputTable[[#This Row],[Delivery Date]],_xlfn.XLOOKUP(IQ$1,$BH$2:$BR$2,$BH31:$BR31,0),0)</f>
        <v>0</v>
      </c>
      <c r="IR31" s="26">
        <f>IF(IR$2=InputTable[[#This Row],[Delivery Date]],_xlfn.XLOOKUP(IR$1,$BH$2:$BR$2,$BH31:$BR31,0),0)</f>
        <v>0</v>
      </c>
      <c r="IT31" s="26" t="e">
        <f>IF(IT$2=InputTable[[#This Row],[Delivery Date]],_xlfn.XLOOKUP(IT$1,$BH$2:$BR$2,$BH31:$BR31,0),0)</f>
        <v>#REF!</v>
      </c>
      <c r="IU31" s="26">
        <f>IF(IU$2=InputTable[[#This Row],[Delivery Date]],_xlfn.XLOOKUP(IU$1,$BH$2:$BR$2,$BH31:$BR31,0),0)</f>
        <v>0</v>
      </c>
      <c r="IV31" s="26">
        <f>IF(IV$2=InputTable[[#This Row],[Delivery Date]],_xlfn.XLOOKUP(IV$1,$BH$2:$BR$2,$BH31:$BR31,0),0)</f>
        <v>0</v>
      </c>
      <c r="IW31" s="26">
        <f>IF(IW$2=InputTable[[#This Row],[Delivery Date]],_xlfn.XLOOKUP(IW$1,$BH$2:$BR$2,$BH31:$BR31,0),0)</f>
        <v>0</v>
      </c>
      <c r="IX31" s="26">
        <f>IF(IX$2=InputTable[[#This Row],[Delivery Date]],_xlfn.XLOOKUP(IX$1,$BH$2:$BR$2,$BH31:$BR31,0),0)</f>
        <v>0</v>
      </c>
      <c r="IY31" s="26">
        <f>IF(IY$2=InputTable[[#This Row],[Delivery Date]],_xlfn.XLOOKUP(IY$1,$BH$2:$BR$2,$BH31:$BR31,0),0)</f>
        <v>0</v>
      </c>
      <c r="IZ31" s="26">
        <f>IF(IZ$2=InputTable[[#This Row],[Delivery Date]],_xlfn.XLOOKUP(IZ$1,$BH$2:$BR$2,$BH31:$BR31,0),0)</f>
        <v>0</v>
      </c>
      <c r="JA31" s="26">
        <f>IF(JA$2=InputTable[[#This Row],[Delivery Date]],_xlfn.XLOOKUP(JA$1,$BH$2:$BR$2,$BH31:$BR31,0),0)</f>
        <v>0</v>
      </c>
      <c r="JB31" s="26">
        <f>IF(JB$2=InputTable[[#This Row],[Delivery Date]],_xlfn.XLOOKUP(JB$1,$BH$2:$BR$2,$BH31:$BR31,0),0)</f>
        <v>0</v>
      </c>
      <c r="JD31" s="26" t="e">
        <f>IF(JD$2=InputTable[[#This Row],[Delivery Date]],_xlfn.XLOOKUP(JD$1,$BH$2:$BR$2,$BH31:$BR31,0),0)</f>
        <v>#REF!</v>
      </c>
      <c r="JE31" s="26">
        <f>IF(JE$2=InputTable[[#This Row],[Delivery Date]],_xlfn.XLOOKUP(JE$1,$BH$2:$BR$2,$BH31:$BR31,0),0)</f>
        <v>0</v>
      </c>
      <c r="JF31" s="26">
        <f>IF(JF$2=InputTable[[#This Row],[Delivery Date]],_xlfn.XLOOKUP(JF$1,$BH$2:$BR$2,$BH31:$BR31,0),0)</f>
        <v>0</v>
      </c>
      <c r="JG31" s="26">
        <f>IF(JG$2=InputTable[[#This Row],[Delivery Date]],_xlfn.XLOOKUP(JG$1,$BH$2:$BR$2,$BH31:$BR31,0),0)</f>
        <v>0</v>
      </c>
      <c r="JH31" s="26">
        <f>IF(JH$2=InputTable[[#This Row],[Delivery Date]],_xlfn.XLOOKUP(JH$1,$BH$2:$BR$2,$BH31:$BR31,0),0)</f>
        <v>0</v>
      </c>
      <c r="JI31" s="26">
        <f>IF(JI$2=InputTable[[#This Row],[Delivery Date]],_xlfn.XLOOKUP(JI$1,$BH$2:$BR$2,$BH31:$BR31,0),0)</f>
        <v>0</v>
      </c>
      <c r="JJ31" s="26">
        <f>IF(JJ$2=InputTable[[#This Row],[Delivery Date]],_xlfn.XLOOKUP(JJ$1,$BH$2:$BR$2,$BH31:$BR31,0),0)</f>
        <v>0</v>
      </c>
      <c r="JK31" s="26">
        <f>IF(JK$2=InputTable[[#This Row],[Delivery Date]],_xlfn.XLOOKUP(JK$1,$BH$2:$BR$2,$BH31:$BR31,0),0)</f>
        <v>0</v>
      </c>
      <c r="JL31" s="26">
        <f>IF(JL$2=InputTable[[#This Row],[Delivery Date]],_xlfn.XLOOKUP(JL$1,$BH$2:$BR$2,$BH31:$BR31,0),0)</f>
        <v>0</v>
      </c>
      <c r="JN31" s="26" t="e">
        <f>IF(JN$2=InputTable[[#This Row],[Delivery Date]],_xlfn.XLOOKUP(JN$1,$BH$2:$BR$2,$BH31:$BR31,0),0)</f>
        <v>#REF!</v>
      </c>
      <c r="JO31" s="26">
        <f>IF(JO$2=InputTable[[#This Row],[Delivery Date]],_xlfn.XLOOKUP(JO$1,$BH$2:$BR$2,$BH31:$BR31,0),0)</f>
        <v>0</v>
      </c>
      <c r="JP31" s="26">
        <f>IF(JP$2=InputTable[[#This Row],[Delivery Date]],_xlfn.XLOOKUP(JP$1,$BH$2:$BR$2,$BH31:$BR31,0),0)</f>
        <v>0</v>
      </c>
      <c r="JQ31" s="26">
        <f>IF(JQ$2=InputTable[[#This Row],[Delivery Date]],_xlfn.XLOOKUP(JQ$1,$BH$2:$BR$2,$BH31:$BR31,0),0)</f>
        <v>0</v>
      </c>
      <c r="JR31" s="26">
        <f>IF(JR$2=InputTable[[#This Row],[Delivery Date]],_xlfn.XLOOKUP(JR$1,$BH$2:$BR$2,$BH31:$BR31,0),0)</f>
        <v>0</v>
      </c>
      <c r="JS31" s="26">
        <f>IF(JS$2=InputTable[[#This Row],[Delivery Date]],_xlfn.XLOOKUP(JS$1,$BH$2:$BR$2,$BH31:$BR31,0),0)</f>
        <v>0</v>
      </c>
      <c r="JT31" s="26">
        <f>IF(JT$2=InputTable[[#This Row],[Delivery Date]],_xlfn.XLOOKUP(JT$1,$BH$2:$BR$2,$BH31:$BR31,0),0)</f>
        <v>0</v>
      </c>
      <c r="JU31" s="26">
        <f>IF(JU$2=InputTable[[#This Row],[Delivery Date]],_xlfn.XLOOKUP(JU$1,$BH$2:$BR$2,$BH31:$BR31,0),0)</f>
        <v>0</v>
      </c>
      <c r="JV31" s="26">
        <f>IF(JV$2=InputTable[[#This Row],[Delivery Date]],_xlfn.XLOOKUP(JV$1,$BH$2:$BR$2,$BH31:$BR31,0),0)</f>
        <v>0</v>
      </c>
      <c r="JX31" s="26" t="e">
        <f>IF(JX$2=InputTable[[#This Row],[Delivery Date]],_xlfn.XLOOKUP(JX$1,$BH$2:$BR$2,$BH31:$BR31,0),0)</f>
        <v>#REF!</v>
      </c>
      <c r="JY31" s="26">
        <f>IF(JY$2=InputTable[[#This Row],[Delivery Date]],_xlfn.XLOOKUP(JY$1,$BH$2:$BR$2,$BH31:$BR31,0),0)</f>
        <v>0</v>
      </c>
      <c r="JZ31" s="26">
        <f>IF(JZ$2=InputTable[[#This Row],[Delivery Date]],_xlfn.XLOOKUP(JZ$1,$BH$2:$BR$2,$BH31:$BR31,0),0)</f>
        <v>0</v>
      </c>
      <c r="KA31" s="26">
        <f>IF(KA$2=InputTable[[#This Row],[Delivery Date]],_xlfn.XLOOKUP(KA$1,$BH$2:$BR$2,$BH31:$BR31,0),0)</f>
        <v>0</v>
      </c>
      <c r="KB31" s="26">
        <f>IF(KB$2=InputTable[[#This Row],[Delivery Date]],_xlfn.XLOOKUP(KB$1,$BH$2:$BR$2,$BH31:$BR31,0),0)</f>
        <v>0</v>
      </c>
      <c r="KC31" s="26">
        <f>IF(KC$2=InputTable[[#This Row],[Delivery Date]],_xlfn.XLOOKUP(KC$1,$BH$2:$BR$2,$BH31:$BR31,0),0)</f>
        <v>0</v>
      </c>
      <c r="KD31" s="26">
        <f>IF(KD$2=InputTable[[#This Row],[Delivery Date]],_xlfn.XLOOKUP(KD$1,$BH$2:$BR$2,$BH31:$BR31,0),0)</f>
        <v>0</v>
      </c>
      <c r="KE31" s="26">
        <f>IF(KE$2=InputTable[[#This Row],[Delivery Date]],_xlfn.XLOOKUP(KE$1,$BH$2:$BR$2,$BH31:$BR31,0),0)</f>
        <v>0</v>
      </c>
      <c r="KF31" s="26">
        <f>IF(KF$2=InputTable[[#This Row],[Delivery Date]],_xlfn.XLOOKUP(KF$1,$BH$2:$BR$2,$BH31:$BR31,0),0)</f>
        <v>0</v>
      </c>
    </row>
    <row r="32" spans="1:292" ht="39.6" customHeight="1" x14ac:dyDescent="0.25">
      <c r="A32" s="141" t="s">
        <v>162</v>
      </c>
      <c r="B32" s="141" t="s">
        <v>92</v>
      </c>
      <c r="C32" s="92" t="s">
        <v>58</v>
      </c>
      <c r="D32" s="125" t="s">
        <v>213</v>
      </c>
      <c r="E32" s="193" t="s">
        <v>214</v>
      </c>
      <c r="F32" s="92" t="s">
        <v>24</v>
      </c>
      <c r="G32" s="92">
        <v>2024</v>
      </c>
      <c r="H32" s="92" t="s">
        <v>100</v>
      </c>
      <c r="I32" s="92">
        <v>2027</v>
      </c>
      <c r="J32" s="125" t="s">
        <v>215</v>
      </c>
      <c r="K32" s="95" t="e">
        <f>VLOOKUP((InputTable[[#This Row],[Starting Date]]&amp; " - " &amp;InputTable[[#This Row],[Delivery Date]]),'System List'!$F$40:$H$83,2,FALSE)</f>
        <v>#N/A</v>
      </c>
      <c r="L32" s="95" t="e">
        <f>VLOOKUP(InputTable[[#This Row],[Duration]],Duration,2,FALSE)</f>
        <v>#N/A</v>
      </c>
      <c r="M32" s="125"/>
      <c r="N32" s="92" t="s">
        <v>139</v>
      </c>
      <c r="O32" s="92"/>
      <c r="P32" s="92"/>
      <c r="Q32" s="92"/>
      <c r="R32" s="92"/>
      <c r="S32" s="153" t="s">
        <v>216</v>
      </c>
      <c r="T32" s="95" cm="1">
        <f t="array" ref="T3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1.6</v>
      </c>
      <c r="U32" s="138"/>
      <c r="V32" s="92" t="s">
        <v>111</v>
      </c>
      <c r="W32" s="92" t="s">
        <v>111</v>
      </c>
      <c r="X32" s="92" t="s">
        <v>139</v>
      </c>
      <c r="Y32" s="92" t="s">
        <v>111</v>
      </c>
      <c r="Z32" s="92" t="s">
        <v>139</v>
      </c>
      <c r="AA32" s="92" t="s">
        <v>139</v>
      </c>
      <c r="AB32" s="92"/>
      <c r="AC32" s="92" t="s">
        <v>111</v>
      </c>
      <c r="AD32" s="92">
        <f>COUNTA(InputTable[[#This Row],[CORPHRFIN]:[SALES]])</f>
        <v>7</v>
      </c>
      <c r="AE32" s="88" cm="1">
        <f t="array" ref="AE32">SUM(
_xlfn.XLOOKUP(InputTable[[#This Row],[CORPHRFIN]:[SALES]],'System List'!$F$4:$F$7,'System List'!$H$4:$H$7,0))</f>
        <v>44</v>
      </c>
      <c r="AF32" s="140"/>
      <c r="AG32" s="96"/>
      <c r="AH32" s="96"/>
      <c r="AI32" s="96" t="s">
        <v>111</v>
      </c>
      <c r="AJ32" s="96"/>
      <c r="AK32" s="96" t="s">
        <v>111</v>
      </c>
      <c r="AL32" s="96" t="s">
        <v>100</v>
      </c>
      <c r="AM32" s="96" t="s">
        <v>111</v>
      </c>
      <c r="AN32" s="96" t="s">
        <v>111</v>
      </c>
      <c r="AO32" s="96"/>
      <c r="AP32" s="96"/>
      <c r="AQ32" s="96"/>
      <c r="AR32" s="88" cm="1">
        <f t="array" ref="AR32">SUM(
_xlfn.XLOOKUP(InputTable[[#This Row],[Impact on - CIAL]:[Impact on - STRAT]],'System List'!$F$4:$F$7,'System List'!$H$4:$H$7,0))</f>
        <v>33</v>
      </c>
      <c r="AS32" s="88" t="e">
        <f>VLOOKUP(InputTable[[#This Row],[Duration]],Duration,2,FALSE)+InputTable[[#This Row],[Resource Score]]</f>
        <v>#N/A</v>
      </c>
      <c r="AT3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2" s="24" t="e">
        <f>InputTable[[#This Row],[Value Score]]/InputTable[[#This Row],[EFFORT SCORE]]*100</f>
        <v>#N/A</v>
      </c>
      <c r="AV32" s="25" t="str">
        <f>InputTable[[#This Row],[IS Portfolio Ref ID]]</f>
        <v>ISPRJ-65</v>
      </c>
      <c r="AW32" s="25" t="s">
        <v>217</v>
      </c>
      <c r="AX32" s="219" t="s">
        <v>218</v>
      </c>
      <c r="AY32" s="25"/>
      <c r="AZ32" s="209">
        <v>0</v>
      </c>
      <c r="BA32" s="209">
        <v>0</v>
      </c>
      <c r="BB32" s="209"/>
      <c r="BC32" s="189" t="s">
        <v>219</v>
      </c>
      <c r="BD32" s="188">
        <v>5</v>
      </c>
      <c r="BE32" s="188">
        <v>1</v>
      </c>
      <c r="BF32" s="70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T32" s="2"/>
      <c r="BU32" s="2"/>
      <c r="BV32" s="2"/>
      <c r="BW32" s="2"/>
      <c r="BX32" s="2"/>
      <c r="BY32" s="2"/>
      <c r="BZ32" s="2"/>
      <c r="CA32" s="2"/>
      <c r="CC32" s="2"/>
      <c r="CD32" s="2"/>
      <c r="CE32" s="2"/>
      <c r="CF32" s="2"/>
      <c r="CG32" s="2"/>
      <c r="CH32" s="2"/>
      <c r="CI32" s="2"/>
      <c r="CJ32" s="2"/>
      <c r="CK32" s="2"/>
      <c r="CN32" s="2"/>
      <c r="CO32" s="2"/>
      <c r="CP32" s="2"/>
      <c r="CQ32" s="2"/>
      <c r="CR32" s="2"/>
      <c r="CS32" s="2"/>
      <c r="CT32" s="2"/>
      <c r="CU32" s="2"/>
      <c r="CV32" s="2"/>
      <c r="CX32" s="26"/>
      <c r="CY32" s="26"/>
      <c r="CZ32" s="26"/>
      <c r="DA32" s="26"/>
      <c r="DB32" s="26"/>
      <c r="DC32" s="26"/>
      <c r="DD32" s="26"/>
      <c r="DE32" s="26"/>
      <c r="DF32" s="26"/>
      <c r="DH32" s="26"/>
      <c r="DI32" s="26"/>
      <c r="DJ32" s="26"/>
      <c r="DK32" s="26"/>
      <c r="DL32" s="26"/>
      <c r="DM32" s="26"/>
      <c r="DN32" s="26"/>
      <c r="DO32" s="26"/>
      <c r="DP32" s="26"/>
      <c r="DR32" s="26"/>
      <c r="DS32" s="26"/>
      <c r="DT32" s="26"/>
      <c r="DU32" s="26"/>
      <c r="DV32" s="26"/>
      <c r="DW32" s="26"/>
      <c r="DX32" s="26"/>
      <c r="DY32" s="26"/>
      <c r="DZ32" s="26"/>
      <c r="EB32" s="26"/>
      <c r="EC32" s="26"/>
      <c r="ED32" s="26"/>
      <c r="EE32" s="26"/>
      <c r="EF32" s="26"/>
      <c r="EG32" s="26"/>
      <c r="EH32" s="26"/>
      <c r="EI32" s="26"/>
      <c r="EJ32" s="26"/>
      <c r="EL32" s="26"/>
      <c r="EM32" s="26"/>
      <c r="EN32" s="26"/>
      <c r="EO32" s="26"/>
      <c r="EP32" s="26"/>
      <c r="EQ32" s="26"/>
      <c r="ER32" s="26"/>
      <c r="ES32" s="26"/>
      <c r="ET32" s="26"/>
      <c r="EV32" s="26"/>
      <c r="EW32" s="26"/>
      <c r="EX32" s="26"/>
      <c r="EY32" s="26"/>
      <c r="EZ32" s="26"/>
      <c r="FA32" s="26"/>
      <c r="FB32" s="26"/>
      <c r="FC32" s="26"/>
      <c r="FD32" s="26"/>
      <c r="FF32" s="26"/>
      <c r="FG32" s="26"/>
      <c r="FH32" s="26"/>
      <c r="FI32" s="26"/>
      <c r="FJ32" s="26"/>
      <c r="FK32" s="26"/>
      <c r="FL32" s="26"/>
      <c r="FM32" s="26"/>
      <c r="FN32" s="26"/>
      <c r="FP32" s="26"/>
      <c r="FQ32" s="26"/>
      <c r="FR32" s="26"/>
      <c r="FS32" s="26"/>
      <c r="FT32" s="26"/>
      <c r="FU32" s="26"/>
      <c r="FV32" s="26"/>
      <c r="FW32" s="26"/>
      <c r="FX32" s="26"/>
      <c r="GB32" s="26"/>
      <c r="GC32" s="26"/>
      <c r="GD32" s="26"/>
      <c r="GE32" s="26"/>
      <c r="GF32" s="26"/>
      <c r="GG32" s="26"/>
      <c r="GH32" s="26"/>
      <c r="GI32" s="26"/>
      <c r="GJ32" s="26"/>
      <c r="GL32" s="26"/>
      <c r="GM32" s="26"/>
      <c r="GN32" s="26"/>
      <c r="GO32" s="26"/>
      <c r="GP32" s="26"/>
      <c r="GQ32" s="26"/>
      <c r="GR32" s="26"/>
      <c r="GS32" s="26"/>
      <c r="GT32" s="26"/>
      <c r="GV32" s="26"/>
      <c r="GW32" s="26"/>
      <c r="GX32" s="26"/>
      <c r="GY32" s="26"/>
      <c r="GZ32" s="26"/>
      <c r="HA32" s="26"/>
      <c r="HB32" s="26"/>
      <c r="HC32" s="26"/>
      <c r="HD32" s="26"/>
      <c r="HF32" s="26"/>
      <c r="HG32" s="26"/>
      <c r="HH32" s="26"/>
      <c r="HI32" s="26"/>
      <c r="HJ32" s="26"/>
      <c r="HK32" s="26"/>
      <c r="HL32" s="26"/>
      <c r="HM32" s="26"/>
      <c r="HN32" s="26"/>
      <c r="HP32" s="26"/>
      <c r="HQ32" s="26"/>
      <c r="HR32" s="26"/>
      <c r="HS32" s="26"/>
      <c r="HT32" s="26"/>
      <c r="HU32" s="26"/>
      <c r="HV32" s="26"/>
      <c r="HW32" s="26"/>
      <c r="HX32" s="26"/>
      <c r="HZ32" s="26"/>
      <c r="IA32" s="26"/>
      <c r="IB32" s="26"/>
      <c r="IC32" s="26"/>
      <c r="ID32" s="26"/>
      <c r="IE32" s="26"/>
      <c r="IF32" s="26"/>
      <c r="IG32" s="26"/>
      <c r="IH32" s="26"/>
      <c r="IJ32" s="26"/>
      <c r="IK32" s="26"/>
      <c r="IL32" s="26"/>
      <c r="IM32" s="26"/>
      <c r="IN32" s="26"/>
      <c r="IO32" s="26"/>
      <c r="IP32" s="26"/>
      <c r="IQ32" s="26"/>
      <c r="IR32" s="26"/>
      <c r="IT32" s="26"/>
      <c r="IU32" s="26"/>
      <c r="IV32" s="26"/>
      <c r="IW32" s="26"/>
      <c r="IX32" s="26"/>
      <c r="IY32" s="26"/>
      <c r="IZ32" s="26"/>
      <c r="JA32" s="26"/>
      <c r="JB32" s="26"/>
      <c r="JD32" s="26"/>
      <c r="JE32" s="26"/>
      <c r="JF32" s="26"/>
      <c r="JG32" s="26"/>
      <c r="JH32" s="26"/>
      <c r="JI32" s="26"/>
      <c r="JJ32" s="26"/>
      <c r="JK32" s="26"/>
      <c r="JL32" s="26"/>
      <c r="JN32" s="26"/>
      <c r="JO32" s="26"/>
      <c r="JP32" s="26"/>
      <c r="JQ32" s="26"/>
      <c r="JR32" s="26"/>
      <c r="JS32" s="26"/>
      <c r="JT32" s="26"/>
      <c r="JU32" s="26"/>
      <c r="JV32" s="26"/>
      <c r="JX32" s="26"/>
      <c r="JY32" s="26"/>
      <c r="JZ32" s="26"/>
      <c r="KA32" s="26"/>
      <c r="KB32" s="26"/>
      <c r="KC32" s="26"/>
      <c r="KD32" s="26"/>
      <c r="KE32" s="26"/>
      <c r="KF32" s="26"/>
    </row>
    <row r="33" spans="1:292" ht="39.6" hidden="1" customHeight="1" x14ac:dyDescent="0.25">
      <c r="A33" s="141"/>
      <c r="B33" s="141" t="s">
        <v>156</v>
      </c>
      <c r="C33" s="92" t="s">
        <v>59</v>
      </c>
      <c r="D33" s="125" t="s">
        <v>220</v>
      </c>
      <c r="E33" s="142" t="s">
        <v>221</v>
      </c>
      <c r="F33" s="98" t="s">
        <v>61</v>
      </c>
      <c r="G33" s="114" t="s">
        <v>160</v>
      </c>
      <c r="H33" s="102"/>
      <c r="I33" s="98" t="s">
        <v>137</v>
      </c>
      <c r="J33" s="125" t="s">
        <v>161</v>
      </c>
      <c r="K33" s="95" t="e">
        <f>VLOOKUP((InputTable[[#This Row],[Starting Date]]&amp; " - " &amp;InputTable[[#This Row],[Delivery Date]]),'System List'!$F$40:$H$83,2,FALSE)</f>
        <v>#N/A</v>
      </c>
      <c r="L33" s="95" t="e">
        <f>VLOOKUP(InputTable[[#This Row],[Duration]],Duration,2,FALSE)</f>
        <v>#N/A</v>
      </c>
      <c r="M33" s="202"/>
      <c r="N33" s="98"/>
      <c r="O33" s="98"/>
      <c r="P33" s="98" t="s">
        <v>139</v>
      </c>
      <c r="Q33" s="98"/>
      <c r="R33" s="98" t="s">
        <v>139</v>
      </c>
      <c r="S33" s="92"/>
      <c r="T33" s="95" cm="1">
        <f t="array" ref="T3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</v>
      </c>
      <c r="U33" s="138"/>
      <c r="V33" s="98"/>
      <c r="W33" s="98"/>
      <c r="X33" s="98"/>
      <c r="Y33" s="100"/>
      <c r="Z33" s="98"/>
      <c r="AA33" s="98"/>
      <c r="AB33" s="100"/>
      <c r="AC33" s="98"/>
      <c r="AD33" s="92">
        <f>COUNTA(InputTable[[#This Row],[CORPHRFIN]:[SALES]])</f>
        <v>0</v>
      </c>
      <c r="AE33" s="88" cm="1">
        <f t="array" ref="AE33">SUM(
_xlfn.XLOOKUP(InputTable[[#This Row],[CORPHRFIN]:[SALES]],'System List'!$F$4:$F$7,'System List'!$H$4:$H$7,0))</f>
        <v>0</v>
      </c>
      <c r="AF33" s="140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88" cm="1">
        <f t="array" ref="AR33">SUM(
_xlfn.XLOOKUP(InputTable[[#This Row],[Impact on - CIAL]:[Impact on - STRAT]],'System List'!$F$4:$F$7,'System List'!$H$4:$H$7,0))</f>
        <v>0</v>
      </c>
      <c r="AS33" s="88" t="e">
        <f>VLOOKUP(InputTable[[#This Row],[Duration]],Duration,2,FALSE)+InputTable[[#This Row],[Resource Score]]</f>
        <v>#N/A</v>
      </c>
      <c r="AT3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3" s="24" t="e">
        <f>InputTable[[#This Row],[Value Score]]/InputTable[[#This Row],[EFFORT SCORE]]*100</f>
        <v>#N/A</v>
      </c>
      <c r="AV33" s="25" t="str">
        <f>InputTable[[#This Row],[IS Portfolio Ref ID]]</f>
        <v>ISPRJ-19</v>
      </c>
      <c r="AW33" s="25" t="s">
        <v>222</v>
      </c>
      <c r="AX33" s="208" t="s">
        <v>154</v>
      </c>
      <c r="AY33" s="25"/>
      <c r="AZ33" s="209">
        <v>0</v>
      </c>
      <c r="BA33" s="209">
        <v>0</v>
      </c>
      <c r="BB33" s="209"/>
      <c r="BC33" s="189">
        <v>49500</v>
      </c>
      <c r="BD33" s="188">
        <v>1</v>
      </c>
      <c r="BE33" s="188">
        <v>2</v>
      </c>
      <c r="BF33" s="70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T33" s="2"/>
      <c r="BU33" s="2"/>
      <c r="BV33" s="2"/>
      <c r="BW33" s="2"/>
      <c r="BX33" s="2"/>
      <c r="BY33" s="2"/>
      <c r="BZ33" s="2"/>
      <c r="CA33" s="2"/>
      <c r="CC33" s="2"/>
      <c r="CD33" s="2"/>
      <c r="CE33" s="2"/>
      <c r="CF33" s="2"/>
      <c r="CG33" s="2"/>
      <c r="CH33" s="2"/>
      <c r="CI33" s="2"/>
      <c r="CJ33" s="2"/>
      <c r="CK33" s="2"/>
      <c r="CN33" s="2"/>
      <c r="CO33" s="2"/>
      <c r="CP33" s="2"/>
      <c r="CQ33" s="2"/>
      <c r="CR33" s="2"/>
      <c r="CS33" s="2"/>
      <c r="CT33" s="2"/>
      <c r="CU33" s="2"/>
      <c r="CV33" s="2"/>
      <c r="CX33" s="26"/>
      <c r="CY33" s="26"/>
      <c r="CZ33" s="26"/>
      <c r="DA33" s="26"/>
      <c r="DB33" s="26"/>
      <c r="DC33" s="26"/>
      <c r="DD33" s="26"/>
      <c r="DE33" s="26"/>
      <c r="DF33" s="26"/>
      <c r="DH33" s="26"/>
      <c r="DI33" s="26"/>
      <c r="DJ33" s="26"/>
      <c r="DK33" s="26"/>
      <c r="DL33" s="26"/>
      <c r="DM33" s="26"/>
      <c r="DN33" s="26"/>
      <c r="DO33" s="26"/>
      <c r="DP33" s="26"/>
      <c r="DR33" s="26"/>
      <c r="DS33" s="26"/>
      <c r="DT33" s="26"/>
      <c r="DU33" s="26"/>
      <c r="DV33" s="26"/>
      <c r="DW33" s="26"/>
      <c r="DX33" s="26"/>
      <c r="DY33" s="26"/>
      <c r="DZ33" s="26"/>
      <c r="EB33" s="26"/>
      <c r="EC33" s="26"/>
      <c r="ED33" s="26"/>
      <c r="EE33" s="26"/>
      <c r="EF33" s="26"/>
      <c r="EG33" s="26"/>
      <c r="EH33" s="26"/>
      <c r="EI33" s="26"/>
      <c r="EJ33" s="26"/>
      <c r="EL33" s="26"/>
      <c r="EM33" s="26"/>
      <c r="EN33" s="26"/>
      <c r="EO33" s="26"/>
      <c r="EP33" s="26"/>
      <c r="EQ33" s="26"/>
      <c r="ER33" s="26"/>
      <c r="ES33" s="26"/>
      <c r="ET33" s="26"/>
      <c r="EV33" s="26"/>
      <c r="EW33" s="26"/>
      <c r="EX33" s="26"/>
      <c r="EY33" s="26"/>
      <c r="EZ33" s="26"/>
      <c r="FA33" s="26"/>
      <c r="FB33" s="26"/>
      <c r="FC33" s="26"/>
      <c r="FD33" s="26"/>
      <c r="FF33" s="26"/>
      <c r="FG33" s="26"/>
      <c r="FH33" s="26"/>
      <c r="FI33" s="26"/>
      <c r="FJ33" s="26"/>
      <c r="FK33" s="26"/>
      <c r="FL33" s="26"/>
      <c r="FM33" s="26"/>
      <c r="FN33" s="26"/>
      <c r="FP33" s="26"/>
      <c r="FQ33" s="26"/>
      <c r="FR33" s="26"/>
      <c r="FS33" s="26"/>
      <c r="FT33" s="26"/>
      <c r="FU33" s="26"/>
      <c r="FV33" s="26"/>
      <c r="FW33" s="26"/>
      <c r="FX33" s="26"/>
      <c r="GB33" s="26"/>
      <c r="GC33" s="26"/>
      <c r="GD33" s="26"/>
      <c r="GE33" s="26"/>
      <c r="GF33" s="26"/>
      <c r="GG33" s="26"/>
      <c r="GH33" s="26"/>
      <c r="GI33" s="26"/>
      <c r="GJ33" s="26"/>
      <c r="GL33" s="26"/>
      <c r="GM33" s="26"/>
      <c r="GN33" s="26"/>
      <c r="GO33" s="26"/>
      <c r="GP33" s="26"/>
      <c r="GQ33" s="26"/>
      <c r="GR33" s="26"/>
      <c r="GS33" s="26"/>
      <c r="GT33" s="26"/>
      <c r="GV33" s="26"/>
      <c r="GW33" s="26"/>
      <c r="GX33" s="26"/>
      <c r="GY33" s="26"/>
      <c r="GZ33" s="26"/>
      <c r="HA33" s="26"/>
      <c r="HB33" s="26"/>
      <c r="HC33" s="26"/>
      <c r="HD33" s="26"/>
      <c r="HF33" s="26"/>
      <c r="HG33" s="26"/>
      <c r="HH33" s="26"/>
      <c r="HI33" s="26"/>
      <c r="HJ33" s="26"/>
      <c r="HK33" s="26"/>
      <c r="HL33" s="26"/>
      <c r="HM33" s="26"/>
      <c r="HN33" s="26"/>
      <c r="HP33" s="26"/>
      <c r="HQ33" s="26"/>
      <c r="HR33" s="26"/>
      <c r="HS33" s="26"/>
      <c r="HT33" s="26"/>
      <c r="HU33" s="26"/>
      <c r="HV33" s="26"/>
      <c r="HW33" s="26"/>
      <c r="HX33" s="26"/>
      <c r="HZ33" s="26"/>
      <c r="IA33" s="26"/>
      <c r="IB33" s="26"/>
      <c r="IC33" s="26"/>
      <c r="ID33" s="26"/>
      <c r="IE33" s="26"/>
      <c r="IF33" s="26"/>
      <c r="IG33" s="26"/>
      <c r="IH33" s="26"/>
      <c r="IJ33" s="26"/>
      <c r="IK33" s="26"/>
      <c r="IL33" s="26"/>
      <c r="IM33" s="26"/>
      <c r="IN33" s="26"/>
      <c r="IO33" s="26"/>
      <c r="IP33" s="26"/>
      <c r="IQ33" s="26"/>
      <c r="IR33" s="26"/>
      <c r="IT33" s="26"/>
      <c r="IU33" s="26"/>
      <c r="IV33" s="26"/>
      <c r="IW33" s="26"/>
      <c r="IX33" s="26"/>
      <c r="IY33" s="26"/>
      <c r="IZ33" s="26"/>
      <c r="JA33" s="26"/>
      <c r="JB33" s="26"/>
      <c r="JD33" s="26"/>
      <c r="JE33" s="26"/>
      <c r="JF33" s="26"/>
      <c r="JG33" s="26"/>
      <c r="JH33" s="26"/>
      <c r="JI33" s="26"/>
      <c r="JJ33" s="26"/>
      <c r="JK33" s="26"/>
      <c r="JL33" s="26"/>
      <c r="JN33" s="26"/>
      <c r="JO33" s="26"/>
      <c r="JP33" s="26"/>
      <c r="JQ33" s="26"/>
      <c r="JR33" s="26"/>
      <c r="JS33" s="26"/>
      <c r="JT33" s="26"/>
      <c r="JU33" s="26"/>
      <c r="JV33" s="26"/>
      <c r="JX33" s="26"/>
      <c r="JY33" s="26"/>
      <c r="JZ33" s="26"/>
      <c r="KA33" s="26"/>
      <c r="KB33" s="26"/>
      <c r="KC33" s="26"/>
      <c r="KD33" s="26"/>
      <c r="KE33" s="26"/>
      <c r="KF33" s="26"/>
    </row>
    <row r="34" spans="1:292" ht="39.6" customHeight="1" x14ac:dyDescent="0.25">
      <c r="A34" s="141" t="s">
        <v>181</v>
      </c>
      <c r="B34" s="141" t="s">
        <v>104</v>
      </c>
      <c r="C34" s="92" t="s">
        <v>59</v>
      </c>
      <c r="D34" s="125" t="s">
        <v>223</v>
      </c>
      <c r="E34" s="193" t="s">
        <v>224</v>
      </c>
      <c r="F34" s="92" t="s">
        <v>24</v>
      </c>
      <c r="G34" s="92" t="s">
        <v>98</v>
      </c>
      <c r="H34" s="92"/>
      <c r="I34" s="92">
        <v>2026</v>
      </c>
      <c r="J34" s="125" t="s">
        <v>215</v>
      </c>
      <c r="K34" s="95" t="e">
        <f>VLOOKUP((InputTable[[#This Row],[Starting Date]]&amp; " - " &amp;InputTable[[#This Row],[Delivery Date]]),'System List'!$F$40:$H$83,2,FALSE)</f>
        <v>#N/A</v>
      </c>
      <c r="L34" s="95" t="e">
        <f>VLOOKUP(InputTable[[#This Row],[Duration]],Duration,2,FALSE)</f>
        <v>#N/A</v>
      </c>
      <c r="M34" s="125"/>
      <c r="N34" s="92"/>
      <c r="O34" s="92"/>
      <c r="P34" s="92"/>
      <c r="Q34" s="92"/>
      <c r="R34" s="92"/>
      <c r="S34" s="153" t="s">
        <v>216</v>
      </c>
      <c r="T34" s="95" cm="1">
        <f t="array" ref="T3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</v>
      </c>
      <c r="U34" s="138"/>
      <c r="V34" s="92"/>
      <c r="W34" s="92"/>
      <c r="X34" s="92" t="s">
        <v>111</v>
      </c>
      <c r="Y34" s="92"/>
      <c r="Z34" s="92"/>
      <c r="AA34" s="92" t="s">
        <v>111</v>
      </c>
      <c r="AB34" s="92"/>
      <c r="AC34" s="92"/>
      <c r="AD34" s="92">
        <f>COUNTA(InputTable[[#This Row],[CORPHRFIN]:[SALES]])</f>
        <v>2</v>
      </c>
      <c r="AE34" s="88" cm="1">
        <f t="array" ref="AE34">SUM(
_xlfn.XLOOKUP(InputTable[[#This Row],[CORPHRFIN]:[SALES]],'System List'!$F$4:$F$7,'System List'!$H$4:$H$7,0))</f>
        <v>10</v>
      </c>
      <c r="AF34" s="140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88" cm="1">
        <f t="array" ref="AR34">SUM(
_xlfn.XLOOKUP(InputTable[[#This Row],[Impact on - CIAL]:[Impact on - STRAT]],'System List'!$F$4:$F$7,'System List'!$H$4:$H$7,0))</f>
        <v>0</v>
      </c>
      <c r="AS34" s="88" t="e">
        <f>VLOOKUP(InputTable[[#This Row],[Duration]],Duration,2,FALSE)+InputTable[[#This Row],[Resource Score]]</f>
        <v>#N/A</v>
      </c>
      <c r="AT3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4" s="24" t="e">
        <f>InputTable[[#This Row],[Value Score]]/InputTable[[#This Row],[EFFORT SCORE]]*100</f>
        <v>#N/A</v>
      </c>
      <c r="AV34" s="25" t="str">
        <f>InputTable[[#This Row],[IS Portfolio Ref ID]]</f>
        <v>ISPRJ-78</v>
      </c>
      <c r="AW34" s="25" t="s">
        <v>225</v>
      </c>
      <c r="AX34" s="208"/>
      <c r="AY34" s="25"/>
      <c r="AZ34" s="209">
        <v>0</v>
      </c>
      <c r="BA34" s="209">
        <v>150000</v>
      </c>
      <c r="BB34" s="209"/>
      <c r="BC34" s="189">
        <f>SUM(InputTable[[#This Row],[Opex IS Budget (full project)]]+InputTable[[#This Row],[Capex IS Budget (full project)]])</f>
        <v>150000</v>
      </c>
      <c r="BD34" s="188">
        <v>1</v>
      </c>
      <c r="BE34" s="188">
        <v>1</v>
      </c>
      <c r="BF34" s="70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T34" s="2"/>
      <c r="BU34" s="2"/>
      <c r="BV34" s="2"/>
      <c r="BW34" s="2"/>
      <c r="BX34" s="2"/>
      <c r="BY34" s="2"/>
      <c r="BZ34" s="2"/>
      <c r="CA34" s="2"/>
      <c r="CC34" s="2"/>
      <c r="CD34" s="2"/>
      <c r="CE34" s="2"/>
      <c r="CF34" s="2"/>
      <c r="CG34" s="2"/>
      <c r="CH34" s="2"/>
      <c r="CI34" s="2"/>
      <c r="CJ34" s="2"/>
      <c r="CK34" s="2"/>
      <c r="CN34" s="2"/>
      <c r="CO34" s="2"/>
      <c r="CP34" s="2"/>
      <c r="CQ34" s="2"/>
      <c r="CR34" s="2"/>
      <c r="CS34" s="2"/>
      <c r="CT34" s="2"/>
      <c r="CU34" s="2"/>
      <c r="CV34" s="2"/>
      <c r="CX34" s="26"/>
      <c r="CY34" s="26"/>
      <c r="CZ34" s="26"/>
      <c r="DA34" s="26"/>
      <c r="DB34" s="26"/>
      <c r="DC34" s="26"/>
      <c r="DD34" s="26"/>
      <c r="DE34" s="26"/>
      <c r="DF34" s="26"/>
      <c r="DH34" s="26"/>
      <c r="DI34" s="26"/>
      <c r="DJ34" s="26"/>
      <c r="DK34" s="26"/>
      <c r="DL34" s="26"/>
      <c r="DM34" s="26"/>
      <c r="DN34" s="26"/>
      <c r="DO34" s="26"/>
      <c r="DP34" s="26"/>
      <c r="DR34" s="26"/>
      <c r="DS34" s="26"/>
      <c r="DT34" s="26"/>
      <c r="DU34" s="26"/>
      <c r="DV34" s="26"/>
      <c r="DW34" s="26"/>
      <c r="DX34" s="26"/>
      <c r="DY34" s="26"/>
      <c r="DZ34" s="26"/>
      <c r="EB34" s="26"/>
      <c r="EC34" s="26"/>
      <c r="ED34" s="26"/>
      <c r="EE34" s="26"/>
      <c r="EF34" s="26"/>
      <c r="EG34" s="26"/>
      <c r="EH34" s="26"/>
      <c r="EI34" s="26"/>
      <c r="EJ34" s="26"/>
      <c r="EL34" s="26"/>
      <c r="EM34" s="26"/>
      <c r="EN34" s="26"/>
      <c r="EO34" s="26"/>
      <c r="EP34" s="26"/>
      <c r="EQ34" s="26"/>
      <c r="ER34" s="26"/>
      <c r="ES34" s="26"/>
      <c r="ET34" s="26"/>
      <c r="EV34" s="26"/>
      <c r="EW34" s="26"/>
      <c r="EX34" s="26"/>
      <c r="EY34" s="26"/>
      <c r="EZ34" s="26"/>
      <c r="FA34" s="26"/>
      <c r="FB34" s="26"/>
      <c r="FC34" s="26"/>
      <c r="FD34" s="26"/>
      <c r="FF34" s="26"/>
      <c r="FG34" s="26"/>
      <c r="FH34" s="26"/>
      <c r="FI34" s="26"/>
      <c r="FJ34" s="26"/>
      <c r="FK34" s="26"/>
      <c r="FL34" s="26"/>
      <c r="FM34" s="26"/>
      <c r="FN34" s="26"/>
      <c r="FP34" s="26"/>
      <c r="FQ34" s="26"/>
      <c r="FR34" s="26"/>
      <c r="FS34" s="26"/>
      <c r="FT34" s="26"/>
      <c r="FU34" s="26"/>
      <c r="FV34" s="26"/>
      <c r="FW34" s="26"/>
      <c r="FX34" s="26"/>
      <c r="GB34" s="26"/>
      <c r="GC34" s="26"/>
      <c r="GD34" s="26"/>
      <c r="GE34" s="26"/>
      <c r="GF34" s="26"/>
      <c r="GG34" s="26"/>
      <c r="GH34" s="26"/>
      <c r="GI34" s="26"/>
      <c r="GJ34" s="26"/>
      <c r="GL34" s="26"/>
      <c r="GM34" s="26"/>
      <c r="GN34" s="26"/>
      <c r="GO34" s="26"/>
      <c r="GP34" s="26"/>
      <c r="GQ34" s="26"/>
      <c r="GR34" s="26"/>
      <c r="GS34" s="26"/>
      <c r="GT34" s="26"/>
      <c r="GV34" s="26"/>
      <c r="GW34" s="26"/>
      <c r="GX34" s="26"/>
      <c r="GY34" s="26"/>
      <c r="GZ34" s="26"/>
      <c r="HA34" s="26"/>
      <c r="HB34" s="26"/>
      <c r="HC34" s="26"/>
      <c r="HD34" s="26"/>
      <c r="HF34" s="26"/>
      <c r="HG34" s="26"/>
      <c r="HH34" s="26"/>
      <c r="HI34" s="26"/>
      <c r="HJ34" s="26"/>
      <c r="HK34" s="26"/>
      <c r="HL34" s="26"/>
      <c r="HM34" s="26"/>
      <c r="HN34" s="26"/>
      <c r="HP34" s="26"/>
      <c r="HQ34" s="26"/>
      <c r="HR34" s="26"/>
      <c r="HS34" s="26"/>
      <c r="HT34" s="26"/>
      <c r="HU34" s="26"/>
      <c r="HV34" s="26"/>
      <c r="HW34" s="26"/>
      <c r="HX34" s="26"/>
      <c r="HZ34" s="26"/>
      <c r="IA34" s="26"/>
      <c r="IB34" s="26"/>
      <c r="IC34" s="26"/>
      <c r="ID34" s="26"/>
      <c r="IE34" s="26"/>
      <c r="IF34" s="26"/>
      <c r="IG34" s="26"/>
      <c r="IH34" s="26"/>
      <c r="IJ34" s="26"/>
      <c r="IK34" s="26"/>
      <c r="IL34" s="26"/>
      <c r="IM34" s="26"/>
      <c r="IN34" s="26"/>
      <c r="IO34" s="26"/>
      <c r="IP34" s="26"/>
      <c r="IQ34" s="26"/>
      <c r="IR34" s="26"/>
      <c r="IT34" s="26"/>
      <c r="IU34" s="26"/>
      <c r="IV34" s="26"/>
      <c r="IW34" s="26"/>
      <c r="IX34" s="26"/>
      <c r="IY34" s="26"/>
      <c r="IZ34" s="26"/>
      <c r="JA34" s="26"/>
      <c r="JB34" s="26"/>
      <c r="JD34" s="26"/>
      <c r="JE34" s="26"/>
      <c r="JF34" s="26"/>
      <c r="JG34" s="26"/>
      <c r="JH34" s="26"/>
      <c r="JI34" s="26"/>
      <c r="JJ34" s="26"/>
      <c r="JK34" s="26"/>
      <c r="JL34" s="26"/>
      <c r="JN34" s="26"/>
      <c r="JO34" s="26"/>
      <c r="JP34" s="26"/>
      <c r="JQ34" s="26"/>
      <c r="JR34" s="26"/>
      <c r="JS34" s="26"/>
      <c r="JT34" s="26"/>
      <c r="JU34" s="26"/>
      <c r="JV34" s="26"/>
      <c r="JX34" s="26"/>
      <c r="JY34" s="26"/>
      <c r="JZ34" s="26"/>
      <c r="KA34" s="26"/>
      <c r="KB34" s="26"/>
      <c r="KC34" s="26"/>
      <c r="KD34" s="26"/>
      <c r="KE34" s="26"/>
      <c r="KF34" s="26"/>
    </row>
    <row r="35" spans="1:292" ht="39.6" customHeight="1" x14ac:dyDescent="0.25">
      <c r="A35" s="141" t="s">
        <v>162</v>
      </c>
      <c r="B35" s="141" t="s">
        <v>107</v>
      </c>
      <c r="C35" s="92" t="s">
        <v>58</v>
      </c>
      <c r="D35" s="125" t="s">
        <v>226</v>
      </c>
      <c r="E35" s="193" t="s">
        <v>227</v>
      </c>
      <c r="F35" s="92" t="s">
        <v>24</v>
      </c>
      <c r="G35" s="92">
        <v>2024</v>
      </c>
      <c r="H35" s="92" t="s">
        <v>100</v>
      </c>
      <c r="I35" s="92">
        <v>2026</v>
      </c>
      <c r="J35" s="125" t="s">
        <v>161</v>
      </c>
      <c r="K35" s="95" t="e">
        <f>VLOOKUP((InputTable[[#This Row],[Starting Date]]&amp; " - " &amp;InputTable[[#This Row],[Delivery Date]]),'System List'!$F$40:$H$83,2,FALSE)</f>
        <v>#N/A</v>
      </c>
      <c r="L35" s="95" t="e">
        <f>VLOOKUP(InputTable[[#This Row],[Duration]],Duration,2,FALSE)</f>
        <v>#N/A</v>
      </c>
      <c r="M35" s="125"/>
      <c r="N35" s="92" t="s">
        <v>139</v>
      </c>
      <c r="O35" s="92" t="s">
        <v>111</v>
      </c>
      <c r="P35" s="92" t="s">
        <v>139</v>
      </c>
      <c r="Q35" s="92"/>
      <c r="R35" s="92"/>
      <c r="S35" s="92"/>
      <c r="T35" s="95" cm="1">
        <f t="array" ref="T3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4.2</v>
      </c>
      <c r="U35" s="138"/>
      <c r="V35" s="92" t="s">
        <v>111</v>
      </c>
      <c r="W35" s="92" t="s">
        <v>111</v>
      </c>
      <c r="X35" s="92" t="s">
        <v>111</v>
      </c>
      <c r="Y35" s="92" t="s">
        <v>111</v>
      </c>
      <c r="Z35" s="92" t="s">
        <v>111</v>
      </c>
      <c r="AA35" s="92" t="s">
        <v>111</v>
      </c>
      <c r="AB35" s="92"/>
      <c r="AC35" s="92" t="s">
        <v>111</v>
      </c>
      <c r="AD35" s="92">
        <f>COUNTA(InputTable[[#This Row],[CORPHRFIN]:[SALES]])</f>
        <v>7</v>
      </c>
      <c r="AE35" s="88" cm="1">
        <f t="array" ref="AE35">SUM(
_xlfn.XLOOKUP(InputTable[[#This Row],[CORPHRFIN]:[SALES]],'System List'!$F$4:$F$7,'System List'!$H$4:$H$7,0))</f>
        <v>35</v>
      </c>
      <c r="AF35" s="140"/>
      <c r="AG35" s="96"/>
      <c r="AH35" s="96"/>
      <c r="AI35" s="96"/>
      <c r="AJ35" s="96"/>
      <c r="AK35" s="96"/>
      <c r="AL35" s="96" t="s">
        <v>111</v>
      </c>
      <c r="AM35" s="96"/>
      <c r="AN35" s="96"/>
      <c r="AO35" s="96"/>
      <c r="AP35" s="96"/>
      <c r="AQ35" s="96"/>
      <c r="AR35" s="88" cm="1">
        <f t="array" ref="AR35">SUM(
_xlfn.XLOOKUP(InputTable[[#This Row],[Impact on - CIAL]:[Impact on - STRAT]],'System List'!$F$4:$F$7,'System List'!$H$4:$H$7,0))</f>
        <v>5</v>
      </c>
      <c r="AS35" s="88" t="e">
        <f>VLOOKUP(InputTable[[#This Row],[Duration]],Duration,2,FALSE)+InputTable[[#This Row],[Resource Score]]</f>
        <v>#N/A</v>
      </c>
      <c r="AT3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5" s="24" t="e">
        <f>InputTable[[#This Row],[Value Score]]/InputTable[[#This Row],[EFFORT SCORE]]*100</f>
        <v>#N/A</v>
      </c>
      <c r="AV35" s="25" t="str">
        <f>InputTable[[#This Row],[IS Portfolio Ref ID]]</f>
        <v>ISPRJ-16</v>
      </c>
      <c r="AW35" s="25" t="s">
        <v>228</v>
      </c>
      <c r="AX35" s="208" t="s">
        <v>154</v>
      </c>
      <c r="AY35" s="25"/>
      <c r="AZ35" s="209">
        <v>0</v>
      </c>
      <c r="BA35" s="209">
        <v>0</v>
      </c>
      <c r="BB35" s="209"/>
      <c r="BC35" s="189">
        <v>200000</v>
      </c>
      <c r="BD35" s="188">
        <v>10</v>
      </c>
      <c r="BE35" s="188"/>
      <c r="BF35" s="70"/>
      <c r="BH35" s="2">
        <f>IFERROR(VLOOKUP(InputTable[[#This Row],[Impact on - CIAL]],'System List'!$F$4:$H$7,3,FALSE),0)</f>
        <v>0</v>
      </c>
      <c r="BI35" s="2">
        <f>IFERROR(VLOOKUP(InputTable[[#This Row],[Impact on - COM]],'System List'!$F$4:$H$7,3,FALSE),0)</f>
        <v>0</v>
      </c>
      <c r="BJ35" s="2">
        <f>IFERROR(VLOOKUP(InputTable[[#This Row],[Impact on - FIN]],'System List'!$F$4:$H$7,3,FALSE),0)</f>
        <v>0</v>
      </c>
      <c r="BK35" s="2">
        <f>IFERROR(VLOOKUP(InputTable[[#This Row],[Impact on - GEN SEC]],'System List'!$F$4:$H$7,3,FALSE),0)</f>
        <v>0</v>
      </c>
      <c r="BL35" s="2">
        <f>IFERROR(VLOOKUP(InputTable[[#This Row],[Impact on - HR]],'System List'!$F$4:$H$7,3,FALSE),0)</f>
        <v>0</v>
      </c>
      <c r="BM35" s="2">
        <f>IFERROR(VLOOKUP(InputTable[[#This Row],[Impact on - IS]],'System List'!$F$4:$H$7,3,FALSE),0)</f>
        <v>5</v>
      </c>
      <c r="BN35" s="2">
        <f>IFERROR(VLOOKUP(InputTable[[#This Row],[Impact on - OPS]],'System List'!$F$4:$H$7,3,FALSE),0)</f>
        <v>0</v>
      </c>
      <c r="BO35" s="2">
        <f>IFERROR(VLOOKUP(InputTable[[#This Row],[Impact on - ROLL STOCK]],'System List'!$F$4:$H$7,3,FALSE),0)</f>
        <v>0</v>
      </c>
      <c r="BP35" s="2">
        <f>IFERROR(VLOOKUP(InputTable[[#This Row],[Impact on - SAFETY]],'System List'!$F$4:$H$7,3,FALSE),0)</f>
        <v>0</v>
      </c>
      <c r="BQ35" s="2">
        <f>IFERROR(VLOOKUP(InputTable[[#This Row],[Impact on - STATION]],'System List'!$F$4:$H$7,3,FALSE),0)</f>
        <v>0</v>
      </c>
      <c r="BR35" s="2">
        <f>IFERROR(VLOOKUP(InputTable[[#This Row],[Impact on - STRAT]],'System List'!$F$4:$H$7,3,FALSE),0)</f>
        <v>0</v>
      </c>
      <c r="BT35" s="2">
        <f>IFERROR(VLOOKUP(InputTable[[#This Row],[CORPHRFIN]],'System List'!$F$4:$H$7,3,FALSE),0)</f>
        <v>5</v>
      </c>
      <c r="BU35" s="2">
        <f>IFERROR(VLOOKUP(InputTable[[#This Row],[CUST]],'System List'!$F$4:$H$7,3,FALSE),0)</f>
        <v>5</v>
      </c>
      <c r="BV35" s="2">
        <f>IFERROR(VLOOKUP(InputTable[[#This Row],[CYBER]],'System List'!$F$4:$H$7,3,FALSE),0)</f>
        <v>5</v>
      </c>
      <c r="BW35" s="2">
        <f>IFERROR(VLOOKUP(InputTable[[#This Row],[DATA]],'System List'!$F$4:$H$7,3,FALSE),0)</f>
        <v>5</v>
      </c>
      <c r="BX35" s="2">
        <f>IFERROR(VLOOKUP(InputTable[[#This Row],[INFRA]],'System List'!$F$4:$H$7,3,FALSE),0)</f>
        <v>5</v>
      </c>
      <c r="BY35" s="2">
        <f>IFERROR(VLOOKUP(InputTable[[#This Row],[OPERATIONS]],'System List'!$F$4:$H$7,3,FALSE),0)</f>
        <v>5</v>
      </c>
      <c r="BZ35" s="2">
        <f>IFERROR(VLOOKUP(InputTable[[#This Row],[PMO]],'System List'!$F$4:$H$7,3,FALSE),0)</f>
        <v>0</v>
      </c>
      <c r="CA35" s="2">
        <f>IFERROR(VLOOKUP(InputTable[[#This Row],[SALES]],'System List'!$F$4:$H$7,3,FALSE),0)</f>
        <v>5</v>
      </c>
      <c r="CC35" s="2" cm="1">
        <f t="array" ref="CC3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5" s="2" cm="1">
        <f t="array" ref="CD3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5" s="2" cm="1">
        <f t="array" ref="CE3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5" s="2" cm="1">
        <f t="array" ref="CF3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5" s="2" cm="1">
        <f t="array" ref="CG3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5" s="2" cm="1">
        <f t="array" ref="CH3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5" s="2" cm="1">
        <f t="array" ref="CI3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5" s="2" cm="1">
        <f t="array" ref="CJ3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5" s="2" cm="1">
        <f t="array" ref="CK3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3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3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5" s="26">
        <f t="shared" si="78"/>
        <v>0</v>
      </c>
      <c r="CY35" s="26">
        <f t="shared" si="79"/>
        <v>5</v>
      </c>
      <c r="CZ35" s="26">
        <f t="shared" si="80"/>
        <v>5</v>
      </c>
      <c r="DA35" s="26">
        <f t="shared" si="81"/>
        <v>5</v>
      </c>
      <c r="DB35" s="26">
        <f t="shared" si="82"/>
        <v>5</v>
      </c>
      <c r="DC35" s="26">
        <f t="shared" si="83"/>
        <v>5</v>
      </c>
      <c r="DD35" s="26">
        <f t="shared" si="84"/>
        <v>0</v>
      </c>
      <c r="DE35" s="26">
        <f t="shared" si="85"/>
        <v>0</v>
      </c>
      <c r="DF35" s="26">
        <f t="shared" si="86"/>
        <v>0</v>
      </c>
      <c r="DH35" s="26">
        <f t="shared" si="87"/>
        <v>0</v>
      </c>
      <c r="DI35" s="26">
        <f t="shared" si="88"/>
        <v>5</v>
      </c>
      <c r="DJ35" s="26">
        <f t="shared" si="89"/>
        <v>5</v>
      </c>
      <c r="DK35" s="26">
        <f t="shared" si="90"/>
        <v>5</v>
      </c>
      <c r="DL35" s="26">
        <f t="shared" si="91"/>
        <v>5</v>
      </c>
      <c r="DM35" s="26">
        <f t="shared" si="92"/>
        <v>5</v>
      </c>
      <c r="DN35" s="26">
        <f t="shared" si="93"/>
        <v>0</v>
      </c>
      <c r="DO35" s="26">
        <f t="shared" si="94"/>
        <v>0</v>
      </c>
      <c r="DP35" s="26">
        <f t="shared" si="95"/>
        <v>0</v>
      </c>
      <c r="DR35" s="26">
        <f t="shared" si="96"/>
        <v>0</v>
      </c>
      <c r="DS35" s="26">
        <f t="shared" si="97"/>
        <v>5</v>
      </c>
      <c r="DT35" s="26">
        <f t="shared" si="98"/>
        <v>5</v>
      </c>
      <c r="DU35" s="26">
        <f t="shared" si="99"/>
        <v>5</v>
      </c>
      <c r="DV35" s="26">
        <f t="shared" si="100"/>
        <v>5</v>
      </c>
      <c r="DW35" s="26">
        <f t="shared" si="101"/>
        <v>5</v>
      </c>
      <c r="DX35" s="26">
        <f t="shared" si="102"/>
        <v>0</v>
      </c>
      <c r="DY35" s="26">
        <f t="shared" si="103"/>
        <v>0</v>
      </c>
      <c r="DZ35" s="26">
        <f t="shared" si="104"/>
        <v>0</v>
      </c>
      <c r="EB35" s="26">
        <f t="shared" si="105"/>
        <v>0</v>
      </c>
      <c r="EC35" s="26">
        <f t="shared" si="106"/>
        <v>5</v>
      </c>
      <c r="ED35" s="26">
        <f t="shared" si="107"/>
        <v>5</v>
      </c>
      <c r="EE35" s="26">
        <f t="shared" si="108"/>
        <v>5</v>
      </c>
      <c r="EF35" s="26">
        <f t="shared" si="109"/>
        <v>5</v>
      </c>
      <c r="EG35" s="26">
        <f t="shared" si="110"/>
        <v>5</v>
      </c>
      <c r="EH35" s="26">
        <f t="shared" si="111"/>
        <v>0</v>
      </c>
      <c r="EI35" s="26">
        <f t="shared" si="112"/>
        <v>0</v>
      </c>
      <c r="EJ35" s="26">
        <f t="shared" si="113"/>
        <v>0</v>
      </c>
      <c r="EL35" s="26">
        <f t="shared" si="114"/>
        <v>0</v>
      </c>
      <c r="EM35" s="26">
        <f t="shared" si="115"/>
        <v>5</v>
      </c>
      <c r="EN35" s="26">
        <f t="shared" si="116"/>
        <v>5</v>
      </c>
      <c r="EO35" s="26">
        <f t="shared" si="117"/>
        <v>5</v>
      </c>
      <c r="EP35" s="26">
        <f t="shared" si="118"/>
        <v>5</v>
      </c>
      <c r="EQ35" s="26">
        <f t="shared" si="119"/>
        <v>5</v>
      </c>
      <c r="ER35" s="26">
        <f t="shared" si="120"/>
        <v>0</v>
      </c>
      <c r="ES35" s="26">
        <f t="shared" si="121"/>
        <v>0</v>
      </c>
      <c r="ET35" s="26">
        <f t="shared" si="122"/>
        <v>0</v>
      </c>
      <c r="EV35" s="26">
        <f t="shared" si="123"/>
        <v>0</v>
      </c>
      <c r="EW35" s="26">
        <f t="shared" si="124"/>
        <v>5</v>
      </c>
      <c r="EX35" s="26">
        <f t="shared" si="125"/>
        <v>5</v>
      </c>
      <c r="EY35" s="26">
        <f t="shared" si="126"/>
        <v>5</v>
      </c>
      <c r="EZ35" s="26">
        <f t="shared" si="127"/>
        <v>5</v>
      </c>
      <c r="FA35" s="26">
        <f t="shared" si="128"/>
        <v>5</v>
      </c>
      <c r="FB35" s="26">
        <f t="shared" si="129"/>
        <v>0</v>
      </c>
      <c r="FC35" s="26">
        <f t="shared" si="130"/>
        <v>0</v>
      </c>
      <c r="FD35" s="26">
        <f t="shared" si="131"/>
        <v>0</v>
      </c>
      <c r="FF35" s="26">
        <f t="shared" si="132"/>
        <v>0</v>
      </c>
      <c r="FG35" s="26">
        <f t="shared" si="133"/>
        <v>0</v>
      </c>
      <c r="FH35" s="26">
        <f t="shared" si="134"/>
        <v>0</v>
      </c>
      <c r="FI35" s="26">
        <f t="shared" si="135"/>
        <v>0</v>
      </c>
      <c r="FJ35" s="26">
        <f t="shared" si="136"/>
        <v>0</v>
      </c>
      <c r="FK35" s="26">
        <f t="shared" si="137"/>
        <v>0</v>
      </c>
      <c r="FL35" s="26">
        <f t="shared" si="138"/>
        <v>0</v>
      </c>
      <c r="FM35" s="26">
        <f t="shared" si="139"/>
        <v>0</v>
      </c>
      <c r="FN35" s="26">
        <f t="shared" si="140"/>
        <v>0</v>
      </c>
      <c r="FP35" s="26" t="e">
        <f t="shared" si="141"/>
        <v>#REF!</v>
      </c>
      <c r="FQ35" s="26" t="e">
        <f t="shared" si="142"/>
        <v>#REF!</v>
      </c>
      <c r="FR35" s="26" t="e">
        <f t="shared" si="143"/>
        <v>#REF!</v>
      </c>
      <c r="FS35" s="26" t="e">
        <f t="shared" si="144"/>
        <v>#REF!</v>
      </c>
      <c r="FT35" s="26" t="e">
        <f t="shared" si="145"/>
        <v>#REF!</v>
      </c>
      <c r="FU35" s="26" t="e">
        <f t="shared" si="146"/>
        <v>#REF!</v>
      </c>
      <c r="FV35" s="26" t="e">
        <f t="shared" si="147"/>
        <v>#REF!</v>
      </c>
      <c r="FW35" s="26" t="e">
        <f t="shared" si="148"/>
        <v>#REF!</v>
      </c>
      <c r="FX35" s="26" t="e">
        <f t="shared" si="149"/>
        <v>#REF!</v>
      </c>
      <c r="GB35" s="26" t="e">
        <f>IF(GB$2=InputTable[[#This Row],[Delivery Date]],_xlfn.XLOOKUP(GB$1,$BH$2:$BR$2,$BH35:$BR35,0),0)</f>
        <v>#REF!</v>
      </c>
      <c r="GC35" s="26">
        <f>IF(GC$2=InputTable[[#This Row],[Delivery Date]],_xlfn.XLOOKUP(GC$1,$BH$2:$BR$2,$BH35:$BR35,0),0)</f>
        <v>0</v>
      </c>
      <c r="GD35" s="26">
        <f>IF(GD$2=InputTable[[#This Row],[Delivery Date]],_xlfn.XLOOKUP(GD$1,$BH$2:$BR$2,$BH35:$BR35,0),0)</f>
        <v>0</v>
      </c>
      <c r="GE35" s="26">
        <f>IF(GE$2=InputTable[[#This Row],[Delivery Date]],_xlfn.XLOOKUP(GE$1,$BH$2:$BR$2,$BH35:$BR35,0),0)</f>
        <v>0</v>
      </c>
      <c r="GF35" s="26">
        <f>IF(GF$2=InputTable[[#This Row],[Delivery Date]],_xlfn.XLOOKUP(GF$1,$BH$2:$BR$2,$BH35:$BR35,0),0)</f>
        <v>0</v>
      </c>
      <c r="GG35" s="26">
        <f>IF(GG$2=InputTable[[#This Row],[Delivery Date]],_xlfn.XLOOKUP(GG$1,$BH$2:$BR$2,$BH35:$BR35,0),0)</f>
        <v>0</v>
      </c>
      <c r="GH35" s="26">
        <f>IF(GH$2=InputTable[[#This Row],[Delivery Date]],_xlfn.XLOOKUP(GH$1,$BH$2:$BR$2,$BH35:$BR35,0),0)</f>
        <v>0</v>
      </c>
      <c r="GI35" s="26">
        <f>IF(GI$2=InputTable[[#This Row],[Delivery Date]],_xlfn.XLOOKUP(GI$1,$BH$2:$BR$2,$BH35:$BR35,0),0)</f>
        <v>0</v>
      </c>
      <c r="GJ35" s="26">
        <f>IF(GJ$2=InputTable[[#This Row],[Delivery Date]],_xlfn.XLOOKUP(GJ$1,$BH$2:$BR$2,$BH35:$BR35,0),0)</f>
        <v>0</v>
      </c>
      <c r="GL35" s="26" t="e">
        <f>IF(GL$2=InputTable[[#This Row],[Delivery Date]],_xlfn.XLOOKUP(GL$1,$BH$2:$BR$2,$BH35:$BR35,0),0)</f>
        <v>#REF!</v>
      </c>
      <c r="GM35" s="26">
        <f>IF(GM$2=InputTable[[#This Row],[Delivery Date]],_xlfn.XLOOKUP(GM$1,$BH$2:$BR$2,$BH35:$BR35,0),0)</f>
        <v>0</v>
      </c>
      <c r="GN35" s="26">
        <f>IF(GN$2=InputTable[[#This Row],[Delivery Date]],_xlfn.XLOOKUP(GN$1,$BH$2:$BR$2,$BH35:$BR35,0),0)</f>
        <v>0</v>
      </c>
      <c r="GO35" s="26">
        <f>IF(GO$2=InputTable[[#This Row],[Delivery Date]],_xlfn.XLOOKUP(GO$1,$BH$2:$BR$2,$BH35:$BR35,0),0)</f>
        <v>0</v>
      </c>
      <c r="GP35" s="26">
        <f>IF(GP$2=InputTable[[#This Row],[Delivery Date]],_xlfn.XLOOKUP(GP$1,$BH$2:$BR$2,$BH35:$BR35,0),0)</f>
        <v>0</v>
      </c>
      <c r="GQ35" s="26">
        <f>IF(GQ$2=InputTable[[#This Row],[Delivery Date]],_xlfn.XLOOKUP(GQ$1,$BH$2:$BR$2,$BH35:$BR35,0),0)</f>
        <v>0</v>
      </c>
      <c r="GR35" s="26">
        <f>IF(GR$2=InputTable[[#This Row],[Delivery Date]],_xlfn.XLOOKUP(GR$1,$BH$2:$BR$2,$BH35:$BR35,0),0)</f>
        <v>0</v>
      </c>
      <c r="GS35" s="26">
        <f>IF(GS$2=InputTable[[#This Row],[Delivery Date]],_xlfn.XLOOKUP(GS$1,$BH$2:$BR$2,$BH35:$BR35,0),0)</f>
        <v>0</v>
      </c>
      <c r="GT35" s="26">
        <f>IF(GT$2=InputTable[[#This Row],[Delivery Date]],_xlfn.XLOOKUP(GT$1,$BH$2:$BR$2,$BH35:$BR35,0),0)</f>
        <v>0</v>
      </c>
      <c r="GV35" s="26" t="e">
        <f>IF(GV$2=InputTable[[#This Row],[Delivery Date]],_xlfn.XLOOKUP(GV$1,$BH$2:$BR$2,$BH35:$BR35,0),0)</f>
        <v>#REF!</v>
      </c>
      <c r="GW35" s="26">
        <f>IF(GW$2=InputTable[[#This Row],[Delivery Date]],_xlfn.XLOOKUP(GW$1,$BH$2:$BR$2,$BH35:$BR35,0),0)</f>
        <v>0</v>
      </c>
      <c r="GX35" s="26">
        <f>IF(GX$2=InputTable[[#This Row],[Delivery Date]],_xlfn.XLOOKUP(GX$1,$BH$2:$BR$2,$BH35:$BR35,0),0)</f>
        <v>0</v>
      </c>
      <c r="GY35" s="26">
        <f>IF(GY$2=InputTable[[#This Row],[Delivery Date]],_xlfn.XLOOKUP(GY$1,$BH$2:$BR$2,$BH35:$BR35,0),0)</f>
        <v>0</v>
      </c>
      <c r="GZ35" s="26">
        <f>IF(GZ$2=InputTable[[#This Row],[Delivery Date]],_xlfn.XLOOKUP(GZ$1,$BH$2:$BR$2,$BH35:$BR35,0),0)</f>
        <v>0</v>
      </c>
      <c r="HA35" s="26">
        <f>IF(HA$2=InputTable[[#This Row],[Delivery Date]],_xlfn.XLOOKUP(HA$1,$BH$2:$BR$2,$BH35:$BR35,0),0)</f>
        <v>0</v>
      </c>
      <c r="HB35" s="26">
        <f>IF(HB$2=InputTable[[#This Row],[Delivery Date]],_xlfn.XLOOKUP(HB$1,$BH$2:$BR$2,$BH35:$BR35,0),0)</f>
        <v>0</v>
      </c>
      <c r="HC35" s="26">
        <f>IF(HC$2=InputTable[[#This Row],[Delivery Date]],_xlfn.XLOOKUP(HC$1,$BH$2:$BR$2,$BH35:$BR35,0),0)</f>
        <v>0</v>
      </c>
      <c r="HD35" s="26">
        <f>IF(HD$2=InputTable[[#This Row],[Delivery Date]],_xlfn.XLOOKUP(HD$1,$BH$2:$BR$2,$BH35:$BR35,0),0)</f>
        <v>0</v>
      </c>
      <c r="HF35" s="26" t="e">
        <f>IF(HF$2=InputTable[[#This Row],[Delivery Date]],_xlfn.XLOOKUP(HF$1,$BH$2:$BR$2,$BH35:$BR35,0),0)</f>
        <v>#REF!</v>
      </c>
      <c r="HG35" s="26">
        <f>IF(HG$2=InputTable[[#This Row],[Delivery Date]],_xlfn.XLOOKUP(HG$1,$BH$2:$BR$2,$BH35:$BR35,0),0)</f>
        <v>0</v>
      </c>
      <c r="HH35" s="26">
        <f>IF(HH$2=InputTable[[#This Row],[Delivery Date]],_xlfn.XLOOKUP(HH$1,$BH$2:$BR$2,$BH35:$BR35,0),0)</f>
        <v>0</v>
      </c>
      <c r="HI35" s="26">
        <f>IF(HI$2=InputTable[[#This Row],[Delivery Date]],_xlfn.XLOOKUP(HI$1,$BH$2:$BR$2,$BH35:$BR35,0),0)</f>
        <v>0</v>
      </c>
      <c r="HJ35" s="26">
        <f>IF(HJ$2=InputTable[[#This Row],[Delivery Date]],_xlfn.XLOOKUP(HJ$1,$BH$2:$BR$2,$BH35:$BR35,0),0)</f>
        <v>0</v>
      </c>
      <c r="HK35" s="26">
        <f>IF(HK$2=InputTable[[#This Row],[Delivery Date]],_xlfn.XLOOKUP(HK$1,$BH$2:$BR$2,$BH35:$BR35,0),0)</f>
        <v>0</v>
      </c>
      <c r="HL35" s="26">
        <f>IF(HL$2=InputTable[[#This Row],[Delivery Date]],_xlfn.XLOOKUP(HL$1,$BH$2:$BR$2,$BH35:$BR35,0),0)</f>
        <v>0</v>
      </c>
      <c r="HM35" s="26">
        <f>IF(HM$2=InputTable[[#This Row],[Delivery Date]],_xlfn.XLOOKUP(HM$1,$BH$2:$BR$2,$BH35:$BR35,0),0)</f>
        <v>0</v>
      </c>
      <c r="HN35" s="26">
        <f>IF(HN$2=InputTable[[#This Row],[Delivery Date]],_xlfn.XLOOKUP(HN$1,$BH$2:$BR$2,$BH35:$BR35,0),0)</f>
        <v>0</v>
      </c>
      <c r="HP35" s="26" t="e">
        <f>IF(HP$2=InputTable[[#This Row],[Delivery Date]],_xlfn.XLOOKUP(HP$1,$BH$2:$BR$2,$BH35:$BR35,0),0)</f>
        <v>#REF!</v>
      </c>
      <c r="HQ35" s="26">
        <f>IF(HQ$2=InputTable[[#This Row],[Delivery Date]],_xlfn.XLOOKUP(HQ$1,$BH$2:$BR$2,$BH35:$BR35,0),0)</f>
        <v>0</v>
      </c>
      <c r="HR35" s="26">
        <f>IF(HR$2=InputTable[[#This Row],[Delivery Date]],_xlfn.XLOOKUP(HR$1,$BH$2:$BR$2,$BH35:$BR35,0),0)</f>
        <v>0</v>
      </c>
      <c r="HS35" s="26">
        <f>IF(HS$2=InputTable[[#This Row],[Delivery Date]],_xlfn.XLOOKUP(HS$1,$BH$2:$BR$2,$BH35:$BR35,0),0)</f>
        <v>0</v>
      </c>
      <c r="HT35" s="26">
        <f>IF(HT$2=InputTable[[#This Row],[Delivery Date]],_xlfn.XLOOKUP(HT$1,$BH$2:$BR$2,$BH35:$BR35,0),0)</f>
        <v>0</v>
      </c>
      <c r="HU35" s="26">
        <f>IF(HU$2=InputTable[[#This Row],[Delivery Date]],_xlfn.XLOOKUP(HU$1,$BH$2:$BR$2,$BH35:$BR35,0),0)</f>
        <v>0</v>
      </c>
      <c r="HV35" s="26">
        <f>IF(HV$2=InputTable[[#This Row],[Delivery Date]],_xlfn.XLOOKUP(HV$1,$BH$2:$BR$2,$BH35:$BR35,0),0)</f>
        <v>0</v>
      </c>
      <c r="HW35" s="26">
        <f>IF(HW$2=InputTable[[#This Row],[Delivery Date]],_xlfn.XLOOKUP(HW$1,$BH$2:$BR$2,$BH35:$BR35,0),0)</f>
        <v>0</v>
      </c>
      <c r="HX35" s="26">
        <f>IF(HX$2=InputTable[[#This Row],[Delivery Date]],_xlfn.XLOOKUP(HX$1,$BH$2:$BR$2,$BH35:$BR35,0),0)</f>
        <v>0</v>
      </c>
      <c r="HZ35" s="26" t="e">
        <f>IF(HZ$2=InputTable[[#This Row],[Delivery Date]],_xlfn.XLOOKUP(HZ$1,$BH$2:$BR$2,$BH35:$BR35,0),0)</f>
        <v>#REF!</v>
      </c>
      <c r="IA35" s="26">
        <f>IF(IA$2=InputTable[[#This Row],[Delivery Date]],_xlfn.XLOOKUP(IA$1,$BH$2:$BR$2,$BH35:$BR35,0),0)</f>
        <v>0</v>
      </c>
      <c r="IB35" s="26">
        <f>IF(IB$2=InputTable[[#This Row],[Delivery Date]],_xlfn.XLOOKUP(IB$1,$BH$2:$BR$2,$BH35:$BR35,0),0)</f>
        <v>0</v>
      </c>
      <c r="IC35" s="26">
        <f>IF(IC$2=InputTable[[#This Row],[Delivery Date]],_xlfn.XLOOKUP(IC$1,$BH$2:$BR$2,$BH35:$BR35,0),0)</f>
        <v>0</v>
      </c>
      <c r="ID35" s="26">
        <f>IF(ID$2=InputTable[[#This Row],[Delivery Date]],_xlfn.XLOOKUP(ID$1,$BH$2:$BR$2,$BH35:$BR35,0),0)</f>
        <v>0</v>
      </c>
      <c r="IE35" s="26">
        <f>IF(IE$2=InputTable[[#This Row],[Delivery Date]],_xlfn.XLOOKUP(IE$1,$BH$2:$BR$2,$BH35:$BR35,0),0)</f>
        <v>0</v>
      </c>
      <c r="IF35" s="26">
        <f>IF(IF$2=InputTable[[#This Row],[Delivery Date]],_xlfn.XLOOKUP(IF$1,$BH$2:$BR$2,$BH35:$BR35,0),0)</f>
        <v>0</v>
      </c>
      <c r="IG35" s="26">
        <f>IF(IG$2=InputTable[[#This Row],[Delivery Date]],_xlfn.XLOOKUP(IG$1,$BH$2:$BR$2,$BH35:$BR35,0),0)</f>
        <v>0</v>
      </c>
      <c r="IH35" s="26">
        <f>IF(IH$2=InputTable[[#This Row],[Delivery Date]],_xlfn.XLOOKUP(IH$1,$BH$2:$BR$2,$BH35:$BR35,0),0)</f>
        <v>0</v>
      </c>
      <c r="IJ35" s="26" t="e">
        <f>IF(IJ$2=InputTable[[#This Row],[Delivery Date]],_xlfn.XLOOKUP(IJ$1,$BH$2:$BR$2,$BH35:$BR35,0),0)</f>
        <v>#REF!</v>
      </c>
      <c r="IK35" s="26">
        <f>IF(IK$2=InputTable[[#This Row],[Delivery Date]],_xlfn.XLOOKUP(IK$1,$BH$2:$BR$2,$BH35:$BR35,0),0)</f>
        <v>0</v>
      </c>
      <c r="IL35" s="26">
        <f>IF(IL$2=InputTable[[#This Row],[Delivery Date]],_xlfn.XLOOKUP(IL$1,$BH$2:$BR$2,$BH35:$BR35,0),0)</f>
        <v>0</v>
      </c>
      <c r="IM35" s="26">
        <f>IF(IM$2=InputTable[[#This Row],[Delivery Date]],_xlfn.XLOOKUP(IM$1,$BH$2:$BR$2,$BH35:$BR35,0),0)</f>
        <v>0</v>
      </c>
      <c r="IN35" s="26">
        <f>IF(IN$2=InputTable[[#This Row],[Delivery Date]],_xlfn.XLOOKUP(IN$1,$BH$2:$BR$2,$BH35:$BR35,0),0)</f>
        <v>0</v>
      </c>
      <c r="IO35" s="26">
        <f>IF(IO$2=InputTable[[#This Row],[Delivery Date]],_xlfn.XLOOKUP(IO$1,$BH$2:$BR$2,$BH35:$BR35,0),0)</f>
        <v>0</v>
      </c>
      <c r="IP35" s="26">
        <f>IF(IP$2=InputTable[[#This Row],[Delivery Date]],_xlfn.XLOOKUP(IP$1,$BH$2:$BR$2,$BH35:$BR35,0),0)</f>
        <v>0</v>
      </c>
      <c r="IQ35" s="26">
        <f>IF(IQ$2=InputTable[[#This Row],[Delivery Date]],_xlfn.XLOOKUP(IQ$1,$BH$2:$BR$2,$BH35:$BR35,0),0)</f>
        <v>0</v>
      </c>
      <c r="IR35" s="26">
        <f>IF(IR$2=InputTable[[#This Row],[Delivery Date]],_xlfn.XLOOKUP(IR$1,$BH$2:$BR$2,$BH35:$BR35,0),0)</f>
        <v>0</v>
      </c>
      <c r="IT35" s="26" t="e">
        <f>IF(IT$2=InputTable[[#This Row],[Delivery Date]],_xlfn.XLOOKUP(IT$1,$BH$2:$BR$2,$BH35:$BR35,0),0)</f>
        <v>#REF!</v>
      </c>
      <c r="IU35" s="26">
        <f>IF(IU$2=InputTable[[#This Row],[Delivery Date]],_xlfn.XLOOKUP(IU$1,$BH$2:$BR$2,$BH35:$BR35,0),0)</f>
        <v>0</v>
      </c>
      <c r="IV35" s="26">
        <f>IF(IV$2=InputTable[[#This Row],[Delivery Date]],_xlfn.XLOOKUP(IV$1,$BH$2:$BR$2,$BH35:$BR35,0),0)</f>
        <v>0</v>
      </c>
      <c r="IW35" s="26">
        <f>IF(IW$2=InputTable[[#This Row],[Delivery Date]],_xlfn.XLOOKUP(IW$1,$BH$2:$BR$2,$BH35:$BR35,0),0)</f>
        <v>0</v>
      </c>
      <c r="IX35" s="26">
        <f>IF(IX$2=InputTable[[#This Row],[Delivery Date]],_xlfn.XLOOKUP(IX$1,$BH$2:$BR$2,$BH35:$BR35,0),0)</f>
        <v>0</v>
      </c>
      <c r="IY35" s="26">
        <f>IF(IY$2=InputTable[[#This Row],[Delivery Date]],_xlfn.XLOOKUP(IY$1,$BH$2:$BR$2,$BH35:$BR35,0),0)</f>
        <v>0</v>
      </c>
      <c r="IZ35" s="26">
        <f>IF(IZ$2=InputTable[[#This Row],[Delivery Date]],_xlfn.XLOOKUP(IZ$1,$BH$2:$BR$2,$BH35:$BR35,0),0)</f>
        <v>0</v>
      </c>
      <c r="JA35" s="26">
        <f>IF(JA$2=InputTable[[#This Row],[Delivery Date]],_xlfn.XLOOKUP(JA$1,$BH$2:$BR$2,$BH35:$BR35,0),0)</f>
        <v>0</v>
      </c>
      <c r="JB35" s="26">
        <f>IF(JB$2=InputTable[[#This Row],[Delivery Date]],_xlfn.XLOOKUP(JB$1,$BH$2:$BR$2,$BH35:$BR35,0),0)</f>
        <v>0</v>
      </c>
      <c r="JD35" s="26" t="e">
        <f>IF(JD$2=InputTable[[#This Row],[Delivery Date]],_xlfn.XLOOKUP(JD$1,$BH$2:$BR$2,$BH35:$BR35,0),0)</f>
        <v>#REF!</v>
      </c>
      <c r="JE35" s="26">
        <f>IF(JE$2=InputTable[[#This Row],[Delivery Date]],_xlfn.XLOOKUP(JE$1,$BH$2:$BR$2,$BH35:$BR35,0),0)</f>
        <v>0</v>
      </c>
      <c r="JF35" s="26">
        <f>IF(JF$2=InputTable[[#This Row],[Delivery Date]],_xlfn.XLOOKUP(JF$1,$BH$2:$BR$2,$BH35:$BR35,0),0)</f>
        <v>0</v>
      </c>
      <c r="JG35" s="26">
        <f>IF(JG$2=InputTable[[#This Row],[Delivery Date]],_xlfn.XLOOKUP(JG$1,$BH$2:$BR$2,$BH35:$BR35,0),0)</f>
        <v>0</v>
      </c>
      <c r="JH35" s="26">
        <f>IF(JH$2=InputTable[[#This Row],[Delivery Date]],_xlfn.XLOOKUP(JH$1,$BH$2:$BR$2,$BH35:$BR35,0),0)</f>
        <v>0</v>
      </c>
      <c r="JI35" s="26">
        <f>IF(JI$2=InputTable[[#This Row],[Delivery Date]],_xlfn.XLOOKUP(JI$1,$BH$2:$BR$2,$BH35:$BR35,0),0)</f>
        <v>0</v>
      </c>
      <c r="JJ35" s="26">
        <f>IF(JJ$2=InputTable[[#This Row],[Delivery Date]],_xlfn.XLOOKUP(JJ$1,$BH$2:$BR$2,$BH35:$BR35,0),0)</f>
        <v>0</v>
      </c>
      <c r="JK35" s="26">
        <f>IF(JK$2=InputTable[[#This Row],[Delivery Date]],_xlfn.XLOOKUP(JK$1,$BH$2:$BR$2,$BH35:$BR35,0),0)</f>
        <v>0</v>
      </c>
      <c r="JL35" s="26">
        <f>IF(JL$2=InputTable[[#This Row],[Delivery Date]],_xlfn.XLOOKUP(JL$1,$BH$2:$BR$2,$BH35:$BR35,0),0)</f>
        <v>0</v>
      </c>
      <c r="JN35" s="26" t="e">
        <f>IF(JN$2=InputTable[[#This Row],[Delivery Date]],_xlfn.XLOOKUP(JN$1,$BH$2:$BR$2,$BH35:$BR35,0),0)</f>
        <v>#REF!</v>
      </c>
      <c r="JO35" s="26">
        <f>IF(JO$2=InputTable[[#This Row],[Delivery Date]],_xlfn.XLOOKUP(JO$1,$BH$2:$BR$2,$BH35:$BR35,0),0)</f>
        <v>0</v>
      </c>
      <c r="JP35" s="26">
        <f>IF(JP$2=InputTable[[#This Row],[Delivery Date]],_xlfn.XLOOKUP(JP$1,$BH$2:$BR$2,$BH35:$BR35,0),0)</f>
        <v>0</v>
      </c>
      <c r="JQ35" s="26">
        <f>IF(JQ$2=InputTable[[#This Row],[Delivery Date]],_xlfn.XLOOKUP(JQ$1,$BH$2:$BR$2,$BH35:$BR35,0),0)</f>
        <v>0</v>
      </c>
      <c r="JR35" s="26">
        <f>IF(JR$2=InputTable[[#This Row],[Delivery Date]],_xlfn.XLOOKUP(JR$1,$BH$2:$BR$2,$BH35:$BR35,0),0)</f>
        <v>0</v>
      </c>
      <c r="JS35" s="26">
        <f>IF(JS$2=InputTable[[#This Row],[Delivery Date]],_xlfn.XLOOKUP(JS$1,$BH$2:$BR$2,$BH35:$BR35,0),0)</f>
        <v>0</v>
      </c>
      <c r="JT35" s="26">
        <f>IF(JT$2=InputTable[[#This Row],[Delivery Date]],_xlfn.XLOOKUP(JT$1,$BH$2:$BR$2,$BH35:$BR35,0),0)</f>
        <v>0</v>
      </c>
      <c r="JU35" s="26">
        <f>IF(JU$2=InputTable[[#This Row],[Delivery Date]],_xlfn.XLOOKUP(JU$1,$BH$2:$BR$2,$BH35:$BR35,0),0)</f>
        <v>0</v>
      </c>
      <c r="JV35" s="26">
        <f>IF(JV$2=InputTable[[#This Row],[Delivery Date]],_xlfn.XLOOKUP(JV$1,$BH$2:$BR$2,$BH35:$BR35,0),0)</f>
        <v>0</v>
      </c>
      <c r="JX35" s="26" t="e">
        <f>IF(JX$2=InputTable[[#This Row],[Delivery Date]],_xlfn.XLOOKUP(JX$1,$BH$2:$BR$2,$BH35:$BR35,0),0)</f>
        <v>#REF!</v>
      </c>
      <c r="JY35" s="26">
        <f>IF(JY$2=InputTable[[#This Row],[Delivery Date]],_xlfn.XLOOKUP(JY$1,$BH$2:$BR$2,$BH35:$BR35,0),0)</f>
        <v>0</v>
      </c>
      <c r="JZ35" s="26">
        <f>IF(JZ$2=InputTable[[#This Row],[Delivery Date]],_xlfn.XLOOKUP(JZ$1,$BH$2:$BR$2,$BH35:$BR35,0),0)</f>
        <v>0</v>
      </c>
      <c r="KA35" s="26">
        <f>IF(KA$2=InputTable[[#This Row],[Delivery Date]],_xlfn.XLOOKUP(KA$1,$BH$2:$BR$2,$BH35:$BR35,0),0)</f>
        <v>0</v>
      </c>
      <c r="KB35" s="26">
        <f>IF(KB$2=InputTable[[#This Row],[Delivery Date]],_xlfn.XLOOKUP(KB$1,$BH$2:$BR$2,$BH35:$BR35,0),0)</f>
        <v>0</v>
      </c>
      <c r="KC35" s="26">
        <f>IF(KC$2=InputTable[[#This Row],[Delivery Date]],_xlfn.XLOOKUP(KC$1,$BH$2:$BR$2,$BH35:$BR35,0),0)</f>
        <v>0</v>
      </c>
      <c r="KD35" s="26">
        <f>IF(KD$2=InputTable[[#This Row],[Delivery Date]],_xlfn.XLOOKUP(KD$1,$BH$2:$BR$2,$BH35:$BR35,0),0)</f>
        <v>0</v>
      </c>
      <c r="KE35" s="26">
        <f>IF(KE$2=InputTable[[#This Row],[Delivery Date]],_xlfn.XLOOKUP(KE$1,$BH$2:$BR$2,$BH35:$BR35,0),0)</f>
        <v>0</v>
      </c>
      <c r="KF35" s="26">
        <f>IF(KF$2=InputTable[[#This Row],[Delivery Date]],_xlfn.XLOOKUP(KF$1,$BH$2:$BR$2,$BH35:$BR35,0),0)</f>
        <v>0</v>
      </c>
    </row>
    <row r="36" spans="1:292" ht="39.6" hidden="1" customHeight="1" x14ac:dyDescent="0.25">
      <c r="A36" s="141" t="s">
        <v>162</v>
      </c>
      <c r="B36" s="141" t="s">
        <v>156</v>
      </c>
      <c r="C36" s="92" t="s">
        <v>57</v>
      </c>
      <c r="D36" s="125" t="s">
        <v>229</v>
      </c>
      <c r="E36" s="193" t="s">
        <v>230</v>
      </c>
      <c r="F36" s="92" t="s">
        <v>159</v>
      </c>
      <c r="G36" s="92" t="s">
        <v>160</v>
      </c>
      <c r="H36" s="92"/>
      <c r="I36" s="92" t="s">
        <v>98</v>
      </c>
      <c r="J36" s="125"/>
      <c r="K36" s="95" t="e">
        <f>VLOOKUP((InputTable[[#This Row],[Starting Date]]&amp; " - " &amp;InputTable[[#This Row],[Delivery Date]]),'System List'!$F$40:$H$83,2,FALSE)</f>
        <v>#N/A</v>
      </c>
      <c r="L36" s="95" t="e">
        <f>VLOOKUP(InputTable[[#This Row],[Duration]],Duration,2,FALSE)</f>
        <v>#N/A</v>
      </c>
      <c r="M36" s="125"/>
      <c r="N36" s="92"/>
      <c r="O36" s="92" t="s">
        <v>111</v>
      </c>
      <c r="P36" s="92" t="s">
        <v>139</v>
      </c>
      <c r="Q36" s="92" t="s">
        <v>111</v>
      </c>
      <c r="R36" s="92"/>
      <c r="S36" s="92"/>
      <c r="T36" s="95" cm="1">
        <f t="array" ref="T3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3.1</v>
      </c>
      <c r="U36" s="138"/>
      <c r="V36" s="92"/>
      <c r="W36" s="92" t="s">
        <v>139</v>
      </c>
      <c r="X36" s="92" t="s">
        <v>111</v>
      </c>
      <c r="Y36" s="92"/>
      <c r="Z36" s="92" t="s">
        <v>111</v>
      </c>
      <c r="AA36" s="92"/>
      <c r="AB36" s="92"/>
      <c r="AC36" s="92"/>
      <c r="AD36" s="92">
        <f>COUNTA(InputTable[[#This Row],[CORPHRFIN]:[SALES]])</f>
        <v>3</v>
      </c>
      <c r="AE36" s="88" cm="1">
        <f t="array" ref="AE36">SUM(
_xlfn.XLOOKUP(InputTable[[#This Row],[CORPHRFIN]:[SALES]],'System List'!$F$4:$F$7,'System List'!$H$4:$H$7,0))</f>
        <v>18</v>
      </c>
      <c r="AF36" s="140"/>
      <c r="AG36" s="96"/>
      <c r="AH36" s="96"/>
      <c r="AI36" s="96"/>
      <c r="AJ36" s="96"/>
      <c r="AK36" s="96"/>
      <c r="AL36" s="96"/>
      <c r="AM36" s="96"/>
      <c r="AN36" s="96"/>
      <c r="AO36" s="96"/>
      <c r="AP36" s="96" t="s">
        <v>139</v>
      </c>
      <c r="AQ36" s="96"/>
      <c r="AR36" s="88" cm="1">
        <f t="array" ref="AR36">SUM(
_xlfn.XLOOKUP(InputTable[[#This Row],[Impact on - CIAL]:[Impact on - STRAT]],'System List'!$F$4:$F$7,'System List'!$H$4:$H$7,0))</f>
        <v>8</v>
      </c>
      <c r="AS36" s="88" t="e">
        <f>VLOOKUP(InputTable[[#This Row],[Duration]],Duration,2,FALSE)+InputTable[[#This Row],[Resource Score]]</f>
        <v>#N/A</v>
      </c>
      <c r="AT3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6" s="24" t="e">
        <f>InputTable[[#This Row],[Value Score]]/InputTable[[#This Row],[EFFORT SCORE]]*100</f>
        <v>#N/A</v>
      </c>
      <c r="AV36" s="25" t="str">
        <f>InputTable[[#This Row],[IS Portfolio Ref ID]]</f>
        <v>ISPRJ-32</v>
      </c>
      <c r="AW36" s="25" t="s">
        <v>231</v>
      </c>
      <c r="AX36" s="208" t="s">
        <v>154</v>
      </c>
      <c r="AY36" s="25">
        <v>1750</v>
      </c>
      <c r="AZ36" s="209">
        <v>31582.828800000003</v>
      </c>
      <c r="BA36" s="209">
        <v>129140.49600000001</v>
      </c>
      <c r="BB36" s="209"/>
      <c r="BC36" s="189">
        <f>SUM(InputTable[[#This Row],[Opex IS Budget (full project)]]+InputTable[[#This Row],[Capex IS Budget (full project)]])</f>
        <v>160723.3248</v>
      </c>
      <c r="BD36" s="188">
        <v>1</v>
      </c>
      <c r="BE36" s="188"/>
      <c r="BF36" s="70"/>
      <c r="BH36" s="2">
        <f>IFERROR(VLOOKUP(InputTable[[#This Row],[Impact on - CIAL]],'System List'!$F$4:$H$7,3,FALSE),0)</f>
        <v>0</v>
      </c>
      <c r="BI36" s="2">
        <f>IFERROR(VLOOKUP(InputTable[[#This Row],[Impact on - COM]],'System List'!$F$4:$H$7,3,FALSE),0)</f>
        <v>0</v>
      </c>
      <c r="BJ36" s="2">
        <f>IFERROR(VLOOKUP(InputTable[[#This Row],[Impact on - FIN]],'System List'!$F$4:$H$7,3,FALSE),0)</f>
        <v>0</v>
      </c>
      <c r="BK36" s="2">
        <f>IFERROR(VLOOKUP(InputTable[[#This Row],[Impact on - GEN SEC]],'System List'!$F$4:$H$7,3,FALSE),0)</f>
        <v>0</v>
      </c>
      <c r="BL36" s="2">
        <f>IFERROR(VLOOKUP(InputTable[[#This Row],[Impact on - HR]],'System List'!$F$4:$H$7,3,FALSE),0)</f>
        <v>0</v>
      </c>
      <c r="BM36" s="2">
        <f>IFERROR(VLOOKUP(InputTable[[#This Row],[Impact on - IS]],'System List'!$F$4:$H$7,3,FALSE),0)</f>
        <v>0</v>
      </c>
      <c r="BN36" s="2">
        <f>IFERROR(VLOOKUP(InputTable[[#This Row],[Impact on - OPS]],'System List'!$F$4:$H$7,3,FALSE),0)</f>
        <v>0</v>
      </c>
      <c r="BO36" s="2">
        <f>IFERROR(VLOOKUP(InputTable[[#This Row],[Impact on - ROLL STOCK]],'System List'!$F$4:$H$7,3,FALSE),0)</f>
        <v>0</v>
      </c>
      <c r="BP36" s="2">
        <f>IFERROR(VLOOKUP(InputTable[[#This Row],[Impact on - SAFETY]],'System List'!$F$4:$H$7,3,FALSE),0)</f>
        <v>0</v>
      </c>
      <c r="BQ36" s="2">
        <f>IFERROR(VLOOKUP(InputTable[[#This Row],[Impact on - STATION]],'System List'!$F$4:$H$7,3,FALSE),0)</f>
        <v>8</v>
      </c>
      <c r="BR36" s="2">
        <f>IFERROR(VLOOKUP(InputTable[[#This Row],[Impact on - STRAT]],'System List'!$F$4:$H$7,3,FALSE),0)</f>
        <v>0</v>
      </c>
      <c r="BT36" s="2">
        <f>IFERROR(VLOOKUP(InputTable[[#This Row],[CORPHRFIN]],'System List'!$F$4:$H$7,3,FALSE),0)</f>
        <v>0</v>
      </c>
      <c r="BU36" s="2">
        <f>IFERROR(VLOOKUP(InputTable[[#This Row],[CUST]],'System List'!$F$4:$H$7,3,FALSE),0)</f>
        <v>8</v>
      </c>
      <c r="BV36" s="2">
        <f>IFERROR(VLOOKUP(InputTable[[#This Row],[CYBER]],'System List'!$F$4:$H$7,3,FALSE),0)</f>
        <v>5</v>
      </c>
      <c r="BW36" s="2">
        <f>IFERROR(VLOOKUP(InputTable[[#This Row],[DATA]],'System List'!$F$4:$H$7,3,FALSE),0)</f>
        <v>0</v>
      </c>
      <c r="BX36" s="2">
        <f>IFERROR(VLOOKUP(InputTable[[#This Row],[INFRA]],'System List'!$F$4:$H$7,3,FALSE),0)</f>
        <v>5</v>
      </c>
      <c r="BY36" s="2">
        <f>IFERROR(VLOOKUP(InputTable[[#This Row],[OPERATIONS]],'System List'!$F$4:$H$7,3,FALSE),0)</f>
        <v>0</v>
      </c>
      <c r="BZ36" s="2">
        <f>IFERROR(VLOOKUP(InputTable[[#This Row],[PMO]],'System List'!$F$4:$H$7,3,FALSE),0)</f>
        <v>0</v>
      </c>
      <c r="CA36" s="2">
        <f>IFERROR(VLOOKUP(InputTable[[#This Row],[SALES]],'System List'!$F$4:$H$7,3,FALSE),0)</f>
        <v>0</v>
      </c>
      <c r="CC36" s="2" cm="1">
        <f t="array" ref="CC3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6" s="2" cm="1">
        <f t="array" ref="CD3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6" s="2" cm="1">
        <f t="array" ref="CE3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6" s="2" cm="1">
        <f t="array" ref="CF3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6" s="2" cm="1">
        <f t="array" ref="CG3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6" s="2" cm="1">
        <f t="array" ref="CH3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6" s="2" cm="1">
        <f t="array" ref="CI3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6" s="2" cm="1">
        <f t="array" ref="CJ3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6" s="2" cm="1">
        <f t="array" ref="CK3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3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3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6" s="26">
        <f t="shared" ref="CX36:DF36" si="150">CN36*_xlfn.XLOOKUP(CX$1,$BT$2:$CA$2,$BT36:$CA36,0)</f>
        <v>0</v>
      </c>
      <c r="CY36" s="26">
        <f t="shared" si="150"/>
        <v>0</v>
      </c>
      <c r="CZ36" s="26">
        <f t="shared" si="150"/>
        <v>0</v>
      </c>
      <c r="DA36" s="26">
        <f t="shared" si="150"/>
        <v>0</v>
      </c>
      <c r="DB36" s="26">
        <f t="shared" si="150"/>
        <v>0</v>
      </c>
      <c r="DC36" s="26">
        <f t="shared" si="150"/>
        <v>0</v>
      </c>
      <c r="DD36" s="26">
        <f t="shared" si="150"/>
        <v>0</v>
      </c>
      <c r="DE36" s="26">
        <f t="shared" si="150"/>
        <v>0</v>
      </c>
      <c r="DF36" s="26">
        <f t="shared" si="150"/>
        <v>0</v>
      </c>
      <c r="DH36" s="26">
        <f>$CN36*_xlfn.XLOOKUP(DH$1,$BT$2:$CA$2,$BT36:$CA36,0)</f>
        <v>0</v>
      </c>
      <c r="DI36" s="26">
        <f>$CO36*_xlfn.XLOOKUP(DI$1,$BT$2:$CA$2,$BT36:$CA36,0)</f>
        <v>0</v>
      </c>
      <c r="DJ36" s="26">
        <f>$CP36*_xlfn.XLOOKUP(DJ$1,$BT$2:$CA$2,$BT36:$CA36,0)</f>
        <v>0</v>
      </c>
      <c r="DK36" s="26">
        <f>$CQ36*_xlfn.XLOOKUP(DK$1,$BT$2:$CA$2,$BT36:$CA36,0)</f>
        <v>8</v>
      </c>
      <c r="DL36" s="26">
        <f>$CR36*_xlfn.XLOOKUP(DL$1,$BT$2:$CA$2,$BT36:$CA36,0)</f>
        <v>8</v>
      </c>
      <c r="DM36" s="26">
        <f>$CS36*_xlfn.XLOOKUP(DM$1,$BT$2:$CA$2,$BT36:$CA36,0)</f>
        <v>8</v>
      </c>
      <c r="DN36" s="26">
        <f>$CT36*_xlfn.XLOOKUP(DN$1,$BT$2:$CA$2,$BT36:$CA36,0)</f>
        <v>0</v>
      </c>
      <c r="DO36" s="26">
        <f>$CU36*_xlfn.XLOOKUP(DO$1,$BT$2:$CA$2,$BT36:$CA36,0)</f>
        <v>0</v>
      </c>
      <c r="DP36" s="26">
        <f>$CV36*_xlfn.XLOOKUP(DP$1,$BT$2:$CA$2,$BT36:$CA36,0)</f>
        <v>0</v>
      </c>
      <c r="DR36" s="26">
        <f>$CN36*_xlfn.XLOOKUP(DR$1,$BT$2:$CA$2,$BT36:$CA36,0)</f>
        <v>0</v>
      </c>
      <c r="DS36" s="26">
        <f>$CO36*_xlfn.XLOOKUP(DS$1,$BT$2:$CA$2,$BT36:$CA36,0)</f>
        <v>0</v>
      </c>
      <c r="DT36" s="26">
        <f>$CP36*_xlfn.XLOOKUP(DT$1,$BT$2:$CA$2,$BT36:$CA36,0)</f>
        <v>0</v>
      </c>
      <c r="DU36" s="26">
        <f>$CQ36*_xlfn.XLOOKUP(DU$1,$BT$2:$CA$2,$BT36:$CA36,0)</f>
        <v>5</v>
      </c>
      <c r="DV36" s="26">
        <f>$CR36*_xlfn.XLOOKUP(DV$1,$BT$2:$CA$2,$BT36:$CA36,0)</f>
        <v>5</v>
      </c>
      <c r="DW36" s="26">
        <f>$CS36*_xlfn.XLOOKUP(DW$1,$BT$2:$CA$2,$BT36:$CA36,0)</f>
        <v>5</v>
      </c>
      <c r="DX36" s="26">
        <f>$CT36*_xlfn.XLOOKUP(DX$1,$BT$2:$CA$2,$BT36:$CA36,0)</f>
        <v>0</v>
      </c>
      <c r="DY36" s="26">
        <f>$CU36*_xlfn.XLOOKUP(DY$1,$BT$2:$CA$2,$BT36:$CA36,0)</f>
        <v>0</v>
      </c>
      <c r="DZ36" s="26">
        <f>$CV36*_xlfn.XLOOKUP(DZ$1,$BT$2:$CA$2,$BT36:$CA36,0)</f>
        <v>0</v>
      </c>
      <c r="EB36" s="26">
        <f>$CN36*_xlfn.XLOOKUP(EB$1,$BT$2:$CA$2,$BT36:$CA36,0)</f>
        <v>0</v>
      </c>
      <c r="EC36" s="26">
        <f>$CO36*_xlfn.XLOOKUP(EC$1,$BT$2:$CA$2,$BT36:$CA36,0)</f>
        <v>0</v>
      </c>
      <c r="ED36" s="26">
        <f>$CP36*_xlfn.XLOOKUP(ED$1,$BT$2:$CA$2,$BT36:$CA36,0)</f>
        <v>0</v>
      </c>
      <c r="EE36" s="26">
        <f>$CQ36*_xlfn.XLOOKUP(EE$1,$BT$2:$CA$2,$BT36:$CA36,0)</f>
        <v>0</v>
      </c>
      <c r="EF36" s="26">
        <f>$CR36*_xlfn.XLOOKUP(EF$1,$BT$2:$CA$2,$BT36:$CA36,0)</f>
        <v>0</v>
      </c>
      <c r="EG36" s="26">
        <f>$CS36*_xlfn.XLOOKUP(EG$1,$BT$2:$CA$2,$BT36:$CA36,0)</f>
        <v>0</v>
      </c>
      <c r="EH36" s="26">
        <f>$CT36*_xlfn.XLOOKUP(EH$1,$BT$2:$CA$2,$BT36:$CA36,0)</f>
        <v>0</v>
      </c>
      <c r="EI36" s="26">
        <f>$CU36*_xlfn.XLOOKUP(EI$1,$BT$2:$CA$2,$BT36:$CA36,0)</f>
        <v>0</v>
      </c>
      <c r="EJ36" s="26">
        <f>$CV36*_xlfn.XLOOKUP(EJ$1,$BT$2:$CA$2,$BT36:$CA36,0)</f>
        <v>0</v>
      </c>
      <c r="EL36" s="26">
        <f>$CN36*_xlfn.XLOOKUP(EL$1,$BT$2:$CA$2,$BT36:$CA36,0)</f>
        <v>0</v>
      </c>
      <c r="EM36" s="26">
        <f>$CO36*_xlfn.XLOOKUP(EM$1,$BT$2:$CA$2,$BT36:$CA36,0)</f>
        <v>0</v>
      </c>
      <c r="EN36" s="26">
        <f>$CP36*_xlfn.XLOOKUP(EN$1,$BT$2:$CA$2,$BT36:$CA36,0)</f>
        <v>0</v>
      </c>
      <c r="EO36" s="26">
        <f>$CQ36*_xlfn.XLOOKUP(EO$1,$BT$2:$CA$2,$BT36:$CA36,0)</f>
        <v>5</v>
      </c>
      <c r="EP36" s="26">
        <f>$CR36*_xlfn.XLOOKUP(EP$1,$BT$2:$CA$2,$BT36:$CA36,0)</f>
        <v>5</v>
      </c>
      <c r="EQ36" s="26">
        <f>$CS36*_xlfn.XLOOKUP(EQ$1,$BT$2:$CA$2,$BT36:$CA36,0)</f>
        <v>5</v>
      </c>
      <c r="ER36" s="26">
        <f>$CT36*_xlfn.XLOOKUP(ER$1,$BT$2:$CA$2,$BT36:$CA36,0)</f>
        <v>0</v>
      </c>
      <c r="ES36" s="26">
        <f>$CU36*_xlfn.XLOOKUP(ES$1,$BT$2:$CA$2,$BT36:$CA36,0)</f>
        <v>0</v>
      </c>
      <c r="ET36" s="26">
        <f>$CV36*_xlfn.XLOOKUP(ET$1,$BT$2:$CA$2,$BT36:$CA36,0)</f>
        <v>0</v>
      </c>
      <c r="EV36" s="26">
        <f>$CN36*_xlfn.XLOOKUP(EV$1,$BT$2:$CA$2,$BT36:$CA36,0)</f>
        <v>0</v>
      </c>
      <c r="EW36" s="26">
        <f>$CO36*_xlfn.XLOOKUP(EW$1,$BT$2:$CA$2,$BT36:$CA36,0)</f>
        <v>0</v>
      </c>
      <c r="EX36" s="26">
        <f>$CP36*_xlfn.XLOOKUP(EX$1,$BT$2:$CA$2,$BT36:$CA36,0)</f>
        <v>0</v>
      </c>
      <c r="EY36" s="26">
        <f>$CQ36*_xlfn.XLOOKUP(EY$1,$BT$2:$CA$2,$BT36:$CA36,0)</f>
        <v>0</v>
      </c>
      <c r="EZ36" s="26">
        <f>$CR36*_xlfn.XLOOKUP(EZ$1,$BT$2:$CA$2,$BT36:$CA36,0)</f>
        <v>0</v>
      </c>
      <c r="FA36" s="26">
        <f>$CS36*_xlfn.XLOOKUP(FA$1,$BT$2:$CA$2,$BT36:$CA36,0)</f>
        <v>0</v>
      </c>
      <c r="FB36" s="26">
        <f>$CT36*_xlfn.XLOOKUP(FB$1,$BT$2:$CA$2,$BT36:$CA36,0)</f>
        <v>0</v>
      </c>
      <c r="FC36" s="26">
        <f>$CU36*_xlfn.XLOOKUP(FC$1,$BT$2:$CA$2,$BT36:$CA36,0)</f>
        <v>0</v>
      </c>
      <c r="FD36" s="26">
        <f>$CV36*_xlfn.XLOOKUP(FD$1,$BT$2:$CA$2,$BT36:$CA36,0)</f>
        <v>0</v>
      </c>
      <c r="FF36" s="26">
        <f>$CN36*_xlfn.XLOOKUP(FF$1,$BT$2:$CA$2,$BT36:$CA36,0)</f>
        <v>0</v>
      </c>
      <c r="FG36" s="26">
        <f>$CO36*_xlfn.XLOOKUP(FG$1,$BT$2:$CA$2,$BT36:$CA36,0)</f>
        <v>0</v>
      </c>
      <c r="FH36" s="26">
        <f>$CP36*_xlfn.XLOOKUP(FH$1,$BT$2:$CA$2,$BT36:$CA36,0)</f>
        <v>0</v>
      </c>
      <c r="FI36" s="26">
        <f>$CQ36*_xlfn.XLOOKUP(FI$1,$BT$2:$CA$2,$BT36:$CA36,0)</f>
        <v>0</v>
      </c>
      <c r="FJ36" s="26">
        <f>$CR36*_xlfn.XLOOKUP(FJ$1,$BT$2:$CA$2,$BT36:$CA36,0)</f>
        <v>0</v>
      </c>
      <c r="FK36" s="26">
        <f>$CS36*_xlfn.XLOOKUP(FK$1,$BT$2:$CA$2,$BT36:$CA36,0)</f>
        <v>0</v>
      </c>
      <c r="FL36" s="26">
        <f>$CT36*_xlfn.XLOOKUP(FL$1,$BT$2:$CA$2,$BT36:$CA36,0)</f>
        <v>0</v>
      </c>
      <c r="FM36" s="26">
        <f>$CU36*_xlfn.XLOOKUP(FM$1,$BT$2:$CA$2,$BT36:$CA36,0)</f>
        <v>0</v>
      </c>
      <c r="FN36" s="26">
        <f>$CV36*_xlfn.XLOOKUP(FN$1,$BT$2:$CA$2,$BT36:$CA36,0)</f>
        <v>0</v>
      </c>
      <c r="FP36" s="26" t="e">
        <f>$CN36*_xlfn.XLOOKUP(FP$1,$BT$2:$CA$2,$BT36:$CA36,0)</f>
        <v>#REF!</v>
      </c>
      <c r="FQ36" s="26" t="e">
        <f>$CO36*_xlfn.XLOOKUP(FQ$1,$BT$2:$CA$2,$BT36:$CA36,0)</f>
        <v>#REF!</v>
      </c>
      <c r="FR36" s="26" t="e">
        <f>$CP36*_xlfn.XLOOKUP(FR$1,$BT$2:$CA$2,$BT36:$CA36,0)</f>
        <v>#REF!</v>
      </c>
      <c r="FS36" s="26" t="e">
        <f>$CQ36*_xlfn.XLOOKUP(FS$1,$BT$2:$CA$2,$BT36:$CA36,0)</f>
        <v>#REF!</v>
      </c>
      <c r="FT36" s="26" t="e">
        <f>$CR36*_xlfn.XLOOKUP(FT$1,$BT$2:$CA$2,$BT36:$CA36,0)</f>
        <v>#REF!</v>
      </c>
      <c r="FU36" s="26" t="e">
        <f>$CS36*_xlfn.XLOOKUP(FU$1,$BT$2:$CA$2,$BT36:$CA36,0)</f>
        <v>#REF!</v>
      </c>
      <c r="FV36" s="26" t="e">
        <f>$CT36*_xlfn.XLOOKUP(FV$1,$BT$2:$CA$2,$BT36:$CA36,0)</f>
        <v>#REF!</v>
      </c>
      <c r="FW36" s="26" t="e">
        <f>$CU36*_xlfn.XLOOKUP(FW$1,$BT$2:$CA$2,$BT36:$CA36,0)</f>
        <v>#REF!</v>
      </c>
      <c r="FX36" s="26" t="e">
        <f>$CV36*_xlfn.XLOOKUP(FX$1,$BT$2:$CA$2,$BT36:$CA36,0)</f>
        <v>#REF!</v>
      </c>
      <c r="GB36" s="26" t="e">
        <f>IF(GB$2=InputTable[[#This Row],[Delivery Date]],_xlfn.XLOOKUP(GB$1,$BH$2:$BR$2,$BH36:$BR36,0),0)</f>
        <v>#REF!</v>
      </c>
      <c r="GC36" s="26">
        <f>IF(GC$2=InputTable[[#This Row],[Delivery Date]],_xlfn.XLOOKUP(GC$1,$BH$2:$BR$2,$BH36:$BR36,0),0)</f>
        <v>0</v>
      </c>
      <c r="GD36" s="26">
        <f>IF(GD$2=InputTable[[#This Row],[Delivery Date]],_xlfn.XLOOKUP(GD$1,$BH$2:$BR$2,$BH36:$BR36,0),0)</f>
        <v>0</v>
      </c>
      <c r="GE36" s="26">
        <f>IF(GE$2=InputTable[[#This Row],[Delivery Date]],_xlfn.XLOOKUP(GE$1,$BH$2:$BR$2,$BH36:$BR36,0),0)</f>
        <v>0</v>
      </c>
      <c r="GF36" s="26">
        <f>IF(GF$2=InputTable[[#This Row],[Delivery Date]],_xlfn.XLOOKUP(GF$1,$BH$2:$BR$2,$BH36:$BR36,0),0)</f>
        <v>0</v>
      </c>
      <c r="GG36" s="26">
        <f>IF(GG$2=InputTable[[#This Row],[Delivery Date]],_xlfn.XLOOKUP(GG$1,$BH$2:$BR$2,$BH36:$BR36,0),0)</f>
        <v>0</v>
      </c>
      <c r="GH36" s="26">
        <f>IF(GH$2=InputTable[[#This Row],[Delivery Date]],_xlfn.XLOOKUP(GH$1,$BH$2:$BR$2,$BH36:$BR36,0),0)</f>
        <v>0</v>
      </c>
      <c r="GI36" s="26">
        <f>IF(GI$2=InputTable[[#This Row],[Delivery Date]],_xlfn.XLOOKUP(GI$1,$BH$2:$BR$2,$BH36:$BR36,0),0)</f>
        <v>0</v>
      </c>
      <c r="GJ36" s="26">
        <f>IF(GJ$2=InputTable[[#This Row],[Delivery Date]],_xlfn.XLOOKUP(GJ$1,$BH$2:$BR$2,$BH36:$BR36,0),0)</f>
        <v>0</v>
      </c>
      <c r="GL36" s="26" t="e">
        <f>IF(GL$2=InputTable[[#This Row],[Delivery Date]],_xlfn.XLOOKUP(GL$1,$BH$2:$BR$2,$BH36:$BR36,0),0)</f>
        <v>#REF!</v>
      </c>
      <c r="GM36" s="26">
        <f>IF(GM$2=InputTable[[#This Row],[Delivery Date]],_xlfn.XLOOKUP(GM$1,$BH$2:$BR$2,$BH36:$BR36,0),0)</f>
        <v>0</v>
      </c>
      <c r="GN36" s="26">
        <f>IF(GN$2=InputTable[[#This Row],[Delivery Date]],_xlfn.XLOOKUP(GN$1,$BH$2:$BR$2,$BH36:$BR36,0),0)</f>
        <v>0</v>
      </c>
      <c r="GO36" s="26">
        <f>IF(GO$2=InputTable[[#This Row],[Delivery Date]],_xlfn.XLOOKUP(GO$1,$BH$2:$BR$2,$BH36:$BR36,0),0)</f>
        <v>0</v>
      </c>
      <c r="GP36" s="26">
        <f>IF(GP$2=InputTable[[#This Row],[Delivery Date]],_xlfn.XLOOKUP(GP$1,$BH$2:$BR$2,$BH36:$BR36,0),0)</f>
        <v>0</v>
      </c>
      <c r="GQ36" s="26">
        <f>IF(GQ$2=InputTable[[#This Row],[Delivery Date]],_xlfn.XLOOKUP(GQ$1,$BH$2:$BR$2,$BH36:$BR36,0),0)</f>
        <v>0</v>
      </c>
      <c r="GR36" s="26">
        <f>IF(GR$2=InputTable[[#This Row],[Delivery Date]],_xlfn.XLOOKUP(GR$1,$BH$2:$BR$2,$BH36:$BR36,0),0)</f>
        <v>0</v>
      </c>
      <c r="GS36" s="26">
        <f>IF(GS$2=InputTable[[#This Row],[Delivery Date]],_xlfn.XLOOKUP(GS$1,$BH$2:$BR$2,$BH36:$BR36,0),0)</f>
        <v>0</v>
      </c>
      <c r="GT36" s="26">
        <f>IF(GT$2=InputTable[[#This Row],[Delivery Date]],_xlfn.XLOOKUP(GT$1,$BH$2:$BR$2,$BH36:$BR36,0),0)</f>
        <v>0</v>
      </c>
      <c r="GV36" s="26" t="e">
        <f>IF(GV$2=InputTable[[#This Row],[Delivery Date]],_xlfn.XLOOKUP(GV$1,$BH$2:$BR$2,$BH36:$BR36,0),0)</f>
        <v>#REF!</v>
      </c>
      <c r="GW36" s="26">
        <f>IF(GW$2=InputTable[[#This Row],[Delivery Date]],_xlfn.XLOOKUP(GW$1,$BH$2:$BR$2,$BH36:$BR36,0),0)</f>
        <v>0</v>
      </c>
      <c r="GX36" s="26">
        <f>IF(GX$2=InputTable[[#This Row],[Delivery Date]],_xlfn.XLOOKUP(GX$1,$BH$2:$BR$2,$BH36:$BR36,0),0)</f>
        <v>0</v>
      </c>
      <c r="GY36" s="26">
        <f>IF(GY$2=InputTable[[#This Row],[Delivery Date]],_xlfn.XLOOKUP(GY$1,$BH$2:$BR$2,$BH36:$BR36,0),0)</f>
        <v>0</v>
      </c>
      <c r="GZ36" s="26">
        <f>IF(GZ$2=InputTable[[#This Row],[Delivery Date]],_xlfn.XLOOKUP(GZ$1,$BH$2:$BR$2,$BH36:$BR36,0),0)</f>
        <v>0</v>
      </c>
      <c r="HA36" s="26">
        <f>IF(HA$2=InputTable[[#This Row],[Delivery Date]],_xlfn.XLOOKUP(HA$1,$BH$2:$BR$2,$BH36:$BR36,0),0)</f>
        <v>0</v>
      </c>
      <c r="HB36" s="26">
        <f>IF(HB$2=InputTable[[#This Row],[Delivery Date]],_xlfn.XLOOKUP(HB$1,$BH$2:$BR$2,$BH36:$BR36,0),0)</f>
        <v>0</v>
      </c>
      <c r="HC36" s="26">
        <f>IF(HC$2=InputTable[[#This Row],[Delivery Date]],_xlfn.XLOOKUP(HC$1,$BH$2:$BR$2,$BH36:$BR36,0),0)</f>
        <v>0</v>
      </c>
      <c r="HD36" s="26">
        <f>IF(HD$2=InputTable[[#This Row],[Delivery Date]],_xlfn.XLOOKUP(HD$1,$BH$2:$BR$2,$BH36:$BR36,0),0)</f>
        <v>0</v>
      </c>
      <c r="HF36" s="26" t="e">
        <f>IF(HF$2=InputTable[[#This Row],[Delivery Date]],_xlfn.XLOOKUP(HF$1,$BH$2:$BR$2,$BH36:$BR36,0),0)</f>
        <v>#REF!</v>
      </c>
      <c r="HG36" s="26">
        <f>IF(HG$2=InputTable[[#This Row],[Delivery Date]],_xlfn.XLOOKUP(HG$1,$BH$2:$BR$2,$BH36:$BR36,0),0)</f>
        <v>0</v>
      </c>
      <c r="HH36" s="26">
        <f>IF(HH$2=InputTable[[#This Row],[Delivery Date]],_xlfn.XLOOKUP(HH$1,$BH$2:$BR$2,$BH36:$BR36,0),0)</f>
        <v>0</v>
      </c>
      <c r="HI36" s="26">
        <f>IF(HI$2=InputTable[[#This Row],[Delivery Date]],_xlfn.XLOOKUP(HI$1,$BH$2:$BR$2,$BH36:$BR36,0),0)</f>
        <v>0</v>
      </c>
      <c r="HJ36" s="26">
        <f>IF(HJ$2=InputTable[[#This Row],[Delivery Date]],_xlfn.XLOOKUP(HJ$1,$BH$2:$BR$2,$BH36:$BR36,0),0)</f>
        <v>0</v>
      </c>
      <c r="HK36" s="26">
        <f>IF(HK$2=InputTable[[#This Row],[Delivery Date]],_xlfn.XLOOKUP(HK$1,$BH$2:$BR$2,$BH36:$BR36,0),0)</f>
        <v>0</v>
      </c>
      <c r="HL36" s="26">
        <f>IF(HL$2=InputTable[[#This Row],[Delivery Date]],_xlfn.XLOOKUP(HL$1,$BH$2:$BR$2,$BH36:$BR36,0),0)</f>
        <v>0</v>
      </c>
      <c r="HM36" s="26">
        <f>IF(HM$2=InputTable[[#This Row],[Delivery Date]],_xlfn.XLOOKUP(HM$1,$BH$2:$BR$2,$BH36:$BR36,0),0)</f>
        <v>0</v>
      </c>
      <c r="HN36" s="26">
        <f>IF(HN$2=InputTable[[#This Row],[Delivery Date]],_xlfn.XLOOKUP(HN$1,$BH$2:$BR$2,$BH36:$BR36,0),0)</f>
        <v>0</v>
      </c>
      <c r="HP36" s="26" t="e">
        <f>IF(HP$2=InputTable[[#This Row],[Delivery Date]],_xlfn.XLOOKUP(HP$1,$BH$2:$BR$2,$BH36:$BR36,0),0)</f>
        <v>#REF!</v>
      </c>
      <c r="HQ36" s="26">
        <f>IF(HQ$2=InputTable[[#This Row],[Delivery Date]],_xlfn.XLOOKUP(HQ$1,$BH$2:$BR$2,$BH36:$BR36,0),0)</f>
        <v>0</v>
      </c>
      <c r="HR36" s="26">
        <f>IF(HR$2=InputTable[[#This Row],[Delivery Date]],_xlfn.XLOOKUP(HR$1,$BH$2:$BR$2,$BH36:$BR36,0),0)</f>
        <v>0</v>
      </c>
      <c r="HS36" s="26">
        <f>IF(HS$2=InputTable[[#This Row],[Delivery Date]],_xlfn.XLOOKUP(HS$1,$BH$2:$BR$2,$BH36:$BR36,0),0)</f>
        <v>0</v>
      </c>
      <c r="HT36" s="26">
        <f>IF(HT$2=InputTable[[#This Row],[Delivery Date]],_xlfn.XLOOKUP(HT$1,$BH$2:$BR$2,$BH36:$BR36,0),0)</f>
        <v>0</v>
      </c>
      <c r="HU36" s="26">
        <f>IF(HU$2=InputTable[[#This Row],[Delivery Date]],_xlfn.XLOOKUP(HU$1,$BH$2:$BR$2,$BH36:$BR36,0),0)</f>
        <v>0</v>
      </c>
      <c r="HV36" s="26">
        <f>IF(HV$2=InputTable[[#This Row],[Delivery Date]],_xlfn.XLOOKUP(HV$1,$BH$2:$BR$2,$BH36:$BR36,0),0)</f>
        <v>0</v>
      </c>
      <c r="HW36" s="26">
        <f>IF(HW$2=InputTable[[#This Row],[Delivery Date]],_xlfn.XLOOKUP(HW$1,$BH$2:$BR$2,$BH36:$BR36,0),0)</f>
        <v>0</v>
      </c>
      <c r="HX36" s="26">
        <f>IF(HX$2=InputTable[[#This Row],[Delivery Date]],_xlfn.XLOOKUP(HX$1,$BH$2:$BR$2,$BH36:$BR36,0),0)</f>
        <v>0</v>
      </c>
      <c r="HZ36" s="26" t="e">
        <f>IF(HZ$2=InputTable[[#This Row],[Delivery Date]],_xlfn.XLOOKUP(HZ$1,$BH$2:$BR$2,$BH36:$BR36,0),0)</f>
        <v>#REF!</v>
      </c>
      <c r="IA36" s="26">
        <f>IF(IA$2=InputTable[[#This Row],[Delivery Date]],_xlfn.XLOOKUP(IA$1,$BH$2:$BR$2,$BH36:$BR36,0),0)</f>
        <v>0</v>
      </c>
      <c r="IB36" s="26">
        <f>IF(IB$2=InputTable[[#This Row],[Delivery Date]],_xlfn.XLOOKUP(IB$1,$BH$2:$BR$2,$BH36:$BR36,0),0)</f>
        <v>0</v>
      </c>
      <c r="IC36" s="26">
        <f>IF(IC$2=InputTable[[#This Row],[Delivery Date]],_xlfn.XLOOKUP(IC$1,$BH$2:$BR$2,$BH36:$BR36,0),0)</f>
        <v>0</v>
      </c>
      <c r="ID36" s="26">
        <f>IF(ID$2=InputTable[[#This Row],[Delivery Date]],_xlfn.XLOOKUP(ID$1,$BH$2:$BR$2,$BH36:$BR36,0),0)</f>
        <v>0</v>
      </c>
      <c r="IE36" s="26">
        <f>IF(IE$2=InputTable[[#This Row],[Delivery Date]],_xlfn.XLOOKUP(IE$1,$BH$2:$BR$2,$BH36:$BR36,0),0)</f>
        <v>0</v>
      </c>
      <c r="IF36" s="26">
        <f>IF(IF$2=InputTable[[#This Row],[Delivery Date]],_xlfn.XLOOKUP(IF$1,$BH$2:$BR$2,$BH36:$BR36,0),0)</f>
        <v>0</v>
      </c>
      <c r="IG36" s="26">
        <f>IF(IG$2=InputTable[[#This Row],[Delivery Date]],_xlfn.XLOOKUP(IG$1,$BH$2:$BR$2,$BH36:$BR36,0),0)</f>
        <v>0</v>
      </c>
      <c r="IH36" s="26">
        <f>IF(IH$2=InputTable[[#This Row],[Delivery Date]],_xlfn.XLOOKUP(IH$1,$BH$2:$BR$2,$BH36:$BR36,0),0)</f>
        <v>0</v>
      </c>
      <c r="IJ36" s="26" t="e">
        <f>IF(IJ$2=InputTable[[#This Row],[Delivery Date]],_xlfn.XLOOKUP(IJ$1,$BH$2:$BR$2,$BH36:$BR36,0),0)</f>
        <v>#REF!</v>
      </c>
      <c r="IK36" s="26">
        <f>IF(IK$2=InputTable[[#This Row],[Delivery Date]],_xlfn.XLOOKUP(IK$1,$BH$2:$BR$2,$BH36:$BR36,0),0)</f>
        <v>0</v>
      </c>
      <c r="IL36" s="26">
        <f>IF(IL$2=InputTable[[#This Row],[Delivery Date]],_xlfn.XLOOKUP(IL$1,$BH$2:$BR$2,$BH36:$BR36,0),0)</f>
        <v>0</v>
      </c>
      <c r="IM36" s="26">
        <f>IF(IM$2=InputTable[[#This Row],[Delivery Date]],_xlfn.XLOOKUP(IM$1,$BH$2:$BR$2,$BH36:$BR36,0),0)</f>
        <v>0</v>
      </c>
      <c r="IN36" s="26">
        <f>IF(IN$2=InputTable[[#This Row],[Delivery Date]],_xlfn.XLOOKUP(IN$1,$BH$2:$BR$2,$BH36:$BR36,0),0)</f>
        <v>0</v>
      </c>
      <c r="IO36" s="26">
        <f>IF(IO$2=InputTable[[#This Row],[Delivery Date]],_xlfn.XLOOKUP(IO$1,$BH$2:$BR$2,$BH36:$BR36,0),0)</f>
        <v>0</v>
      </c>
      <c r="IP36" s="26">
        <f>IF(IP$2=InputTable[[#This Row],[Delivery Date]],_xlfn.XLOOKUP(IP$1,$BH$2:$BR$2,$BH36:$BR36,0),0)</f>
        <v>0</v>
      </c>
      <c r="IQ36" s="26">
        <f>IF(IQ$2=InputTable[[#This Row],[Delivery Date]],_xlfn.XLOOKUP(IQ$1,$BH$2:$BR$2,$BH36:$BR36,0),0)</f>
        <v>0</v>
      </c>
      <c r="IR36" s="26">
        <f>IF(IR$2=InputTable[[#This Row],[Delivery Date]],_xlfn.XLOOKUP(IR$1,$BH$2:$BR$2,$BH36:$BR36,0),0)</f>
        <v>0</v>
      </c>
      <c r="IT36" s="26" t="e">
        <f>IF(IT$2=InputTable[[#This Row],[Delivery Date]],_xlfn.XLOOKUP(IT$1,$BH$2:$BR$2,$BH36:$BR36,0),0)</f>
        <v>#REF!</v>
      </c>
      <c r="IU36" s="26">
        <f>IF(IU$2=InputTable[[#This Row],[Delivery Date]],_xlfn.XLOOKUP(IU$1,$BH$2:$BR$2,$BH36:$BR36,0),0)</f>
        <v>0</v>
      </c>
      <c r="IV36" s="26">
        <f>IF(IV$2=InputTable[[#This Row],[Delivery Date]],_xlfn.XLOOKUP(IV$1,$BH$2:$BR$2,$BH36:$BR36,0),0)</f>
        <v>0</v>
      </c>
      <c r="IW36" s="26">
        <f>IF(IW$2=InputTable[[#This Row],[Delivery Date]],_xlfn.XLOOKUP(IW$1,$BH$2:$BR$2,$BH36:$BR36,0),0)</f>
        <v>0</v>
      </c>
      <c r="IX36" s="26">
        <f>IF(IX$2=InputTable[[#This Row],[Delivery Date]],_xlfn.XLOOKUP(IX$1,$BH$2:$BR$2,$BH36:$BR36,0),0)</f>
        <v>0</v>
      </c>
      <c r="IY36" s="26">
        <f>IF(IY$2=InputTable[[#This Row],[Delivery Date]],_xlfn.XLOOKUP(IY$1,$BH$2:$BR$2,$BH36:$BR36,0),0)</f>
        <v>0</v>
      </c>
      <c r="IZ36" s="26">
        <f>IF(IZ$2=InputTable[[#This Row],[Delivery Date]],_xlfn.XLOOKUP(IZ$1,$BH$2:$BR$2,$BH36:$BR36,0),0)</f>
        <v>0</v>
      </c>
      <c r="JA36" s="26">
        <f>IF(JA$2=InputTable[[#This Row],[Delivery Date]],_xlfn.XLOOKUP(JA$1,$BH$2:$BR$2,$BH36:$BR36,0),0)</f>
        <v>0</v>
      </c>
      <c r="JB36" s="26">
        <f>IF(JB$2=InputTable[[#This Row],[Delivery Date]],_xlfn.XLOOKUP(JB$1,$BH$2:$BR$2,$BH36:$BR36,0),0)</f>
        <v>0</v>
      </c>
      <c r="JD36" s="26" t="e">
        <f>IF(JD$2=InputTable[[#This Row],[Delivery Date]],_xlfn.XLOOKUP(JD$1,$BH$2:$BR$2,$BH36:$BR36,0),0)</f>
        <v>#REF!</v>
      </c>
      <c r="JE36" s="26">
        <f>IF(JE$2=InputTable[[#This Row],[Delivery Date]],_xlfn.XLOOKUP(JE$1,$BH$2:$BR$2,$BH36:$BR36,0),0)</f>
        <v>0</v>
      </c>
      <c r="JF36" s="26">
        <f>IF(JF$2=InputTable[[#This Row],[Delivery Date]],_xlfn.XLOOKUP(JF$1,$BH$2:$BR$2,$BH36:$BR36,0),0)</f>
        <v>0</v>
      </c>
      <c r="JG36" s="26">
        <f>IF(JG$2=InputTable[[#This Row],[Delivery Date]],_xlfn.XLOOKUP(JG$1,$BH$2:$BR$2,$BH36:$BR36,0),0)</f>
        <v>0</v>
      </c>
      <c r="JH36" s="26">
        <f>IF(JH$2=InputTable[[#This Row],[Delivery Date]],_xlfn.XLOOKUP(JH$1,$BH$2:$BR$2,$BH36:$BR36,0),0)</f>
        <v>0</v>
      </c>
      <c r="JI36" s="26">
        <f>IF(JI$2=InputTable[[#This Row],[Delivery Date]],_xlfn.XLOOKUP(JI$1,$BH$2:$BR$2,$BH36:$BR36,0),0)</f>
        <v>0</v>
      </c>
      <c r="JJ36" s="26">
        <f>IF(JJ$2=InputTable[[#This Row],[Delivery Date]],_xlfn.XLOOKUP(JJ$1,$BH$2:$BR$2,$BH36:$BR36,0),0)</f>
        <v>0</v>
      </c>
      <c r="JK36" s="26">
        <f>IF(JK$2=InputTable[[#This Row],[Delivery Date]],_xlfn.XLOOKUP(JK$1,$BH$2:$BR$2,$BH36:$BR36,0),0)</f>
        <v>0</v>
      </c>
      <c r="JL36" s="26">
        <f>IF(JL$2=InputTable[[#This Row],[Delivery Date]],_xlfn.XLOOKUP(JL$1,$BH$2:$BR$2,$BH36:$BR36,0),0)</f>
        <v>0</v>
      </c>
      <c r="JN36" s="26" t="e">
        <f>IF(JN$2=InputTable[[#This Row],[Delivery Date]],_xlfn.XLOOKUP(JN$1,$BH$2:$BR$2,$BH36:$BR36,0),0)</f>
        <v>#REF!</v>
      </c>
      <c r="JO36" s="26">
        <f>IF(JO$2=InputTable[[#This Row],[Delivery Date]],_xlfn.XLOOKUP(JO$1,$BH$2:$BR$2,$BH36:$BR36,0),0)</f>
        <v>0</v>
      </c>
      <c r="JP36" s="26">
        <f>IF(JP$2=InputTable[[#This Row],[Delivery Date]],_xlfn.XLOOKUP(JP$1,$BH$2:$BR$2,$BH36:$BR36,0),0)</f>
        <v>0</v>
      </c>
      <c r="JQ36" s="26">
        <f>IF(JQ$2=InputTable[[#This Row],[Delivery Date]],_xlfn.XLOOKUP(JQ$1,$BH$2:$BR$2,$BH36:$BR36,0),0)</f>
        <v>0</v>
      </c>
      <c r="JR36" s="26">
        <f>IF(JR$2=InputTable[[#This Row],[Delivery Date]],_xlfn.XLOOKUP(JR$1,$BH$2:$BR$2,$BH36:$BR36,0),0)</f>
        <v>0</v>
      </c>
      <c r="JS36" s="26">
        <f>IF(JS$2=InputTable[[#This Row],[Delivery Date]],_xlfn.XLOOKUP(JS$1,$BH$2:$BR$2,$BH36:$BR36,0),0)</f>
        <v>8</v>
      </c>
      <c r="JT36" s="26">
        <f>IF(JT$2=InputTable[[#This Row],[Delivery Date]],_xlfn.XLOOKUP(JT$1,$BH$2:$BR$2,$BH36:$BR36,0),0)</f>
        <v>0</v>
      </c>
      <c r="JU36" s="26">
        <f>IF(JU$2=InputTable[[#This Row],[Delivery Date]],_xlfn.XLOOKUP(JU$1,$BH$2:$BR$2,$BH36:$BR36,0),0)</f>
        <v>0</v>
      </c>
      <c r="JV36" s="26">
        <f>IF(JV$2=InputTable[[#This Row],[Delivery Date]],_xlfn.XLOOKUP(JV$1,$BH$2:$BR$2,$BH36:$BR36,0),0)</f>
        <v>0</v>
      </c>
      <c r="JX36" s="26" t="e">
        <f>IF(JX$2=InputTable[[#This Row],[Delivery Date]],_xlfn.XLOOKUP(JX$1,$BH$2:$BR$2,$BH36:$BR36,0),0)</f>
        <v>#REF!</v>
      </c>
      <c r="JY36" s="26">
        <f>IF(JY$2=InputTable[[#This Row],[Delivery Date]],_xlfn.XLOOKUP(JY$1,$BH$2:$BR$2,$BH36:$BR36,0),0)</f>
        <v>0</v>
      </c>
      <c r="JZ36" s="26">
        <f>IF(JZ$2=InputTable[[#This Row],[Delivery Date]],_xlfn.XLOOKUP(JZ$1,$BH$2:$BR$2,$BH36:$BR36,0),0)</f>
        <v>0</v>
      </c>
      <c r="KA36" s="26">
        <f>IF(KA$2=InputTable[[#This Row],[Delivery Date]],_xlfn.XLOOKUP(KA$1,$BH$2:$BR$2,$BH36:$BR36,0),0)</f>
        <v>0</v>
      </c>
      <c r="KB36" s="26">
        <f>IF(KB$2=InputTable[[#This Row],[Delivery Date]],_xlfn.XLOOKUP(KB$1,$BH$2:$BR$2,$BH36:$BR36,0),0)</f>
        <v>0</v>
      </c>
      <c r="KC36" s="26">
        <f>IF(KC$2=InputTable[[#This Row],[Delivery Date]],_xlfn.XLOOKUP(KC$1,$BH$2:$BR$2,$BH36:$BR36,0),0)</f>
        <v>0</v>
      </c>
      <c r="KD36" s="26">
        <f>IF(KD$2=InputTable[[#This Row],[Delivery Date]],_xlfn.XLOOKUP(KD$1,$BH$2:$BR$2,$BH36:$BR36,0),0)</f>
        <v>0</v>
      </c>
      <c r="KE36" s="26">
        <f>IF(KE$2=InputTable[[#This Row],[Delivery Date]],_xlfn.XLOOKUP(KE$1,$BH$2:$BR$2,$BH36:$BR36,0),0)</f>
        <v>0</v>
      </c>
      <c r="KF36" s="26">
        <f>IF(KF$2=InputTable[[#This Row],[Delivery Date]],_xlfn.XLOOKUP(KF$1,$BH$2:$BR$2,$BH36:$BR36,0),0)</f>
        <v>0</v>
      </c>
    </row>
    <row r="37" spans="1:292" ht="39.6" customHeight="1" x14ac:dyDescent="0.25">
      <c r="A37" s="141" t="s">
        <v>155</v>
      </c>
      <c r="B37" s="141" t="s">
        <v>156</v>
      </c>
      <c r="C37" s="92" t="s">
        <v>60</v>
      </c>
      <c r="D37" s="125" t="s">
        <v>232</v>
      </c>
      <c r="E37" s="193" t="s">
        <v>233</v>
      </c>
      <c r="F37" s="92" t="s">
        <v>24</v>
      </c>
      <c r="G37" s="114">
        <v>2024</v>
      </c>
      <c r="H37" s="102" t="s">
        <v>100</v>
      </c>
      <c r="I37" s="98" t="s">
        <v>98</v>
      </c>
      <c r="J37" s="126" t="s">
        <v>209</v>
      </c>
      <c r="K37" s="95" t="e">
        <f>VLOOKUP((InputTable[[#This Row],[Starting Date]]&amp; " - " &amp;InputTable[[#This Row],[Delivery Date]]),'System List'!$F$40:$H$83,2,FALSE)</f>
        <v>#N/A</v>
      </c>
      <c r="L37" s="95" t="e">
        <f>VLOOKUP(InputTable[[#This Row],[Duration]],Duration,2,FALSE)</f>
        <v>#N/A</v>
      </c>
      <c r="M37" s="126"/>
      <c r="N37" s="98" t="s">
        <v>111</v>
      </c>
      <c r="O37" s="98" t="s">
        <v>111</v>
      </c>
      <c r="P37" s="98" t="s">
        <v>111</v>
      </c>
      <c r="Q37" s="98"/>
      <c r="R37" s="98"/>
      <c r="S37" s="92" t="s">
        <v>209</v>
      </c>
      <c r="T37" s="95" cm="1">
        <f t="array" ref="T3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</v>
      </c>
      <c r="U37" s="138"/>
      <c r="V37" s="98"/>
      <c r="W37" s="98"/>
      <c r="X37" s="98"/>
      <c r="Y37" s="98"/>
      <c r="Z37" s="98" t="s">
        <v>111</v>
      </c>
      <c r="AA37" s="98"/>
      <c r="AB37" s="98"/>
      <c r="AC37" s="98"/>
      <c r="AD37" s="92">
        <f>COUNTA(InputTable[[#This Row],[CORPHRFIN]:[SALES]])</f>
        <v>1</v>
      </c>
      <c r="AE37" s="88" cm="1">
        <f t="array" ref="AE37">SUM(
_xlfn.XLOOKUP(InputTable[[#This Row],[CORPHRFIN]:[SALES]],'System List'!$F$4:$F$7,'System List'!$H$4:$H$7,0))</f>
        <v>5</v>
      </c>
      <c r="AF37" s="140"/>
      <c r="AG37" s="101"/>
      <c r="AH37" s="101"/>
      <c r="AI37" s="101"/>
      <c r="AJ37" s="101"/>
      <c r="AK37" s="101"/>
      <c r="AL37" s="101" t="s">
        <v>111</v>
      </c>
      <c r="AM37" s="101"/>
      <c r="AN37" s="101"/>
      <c r="AO37" s="101"/>
      <c r="AP37" s="101"/>
      <c r="AQ37" s="101"/>
      <c r="AR37" s="88" cm="1">
        <f t="array" ref="AR37">SUM(
_xlfn.XLOOKUP(InputTable[[#This Row],[Impact on - CIAL]:[Impact on - STRAT]],'System List'!$F$4:$F$7,'System List'!$H$4:$H$7,0))</f>
        <v>5</v>
      </c>
      <c r="AS37" s="88" t="e">
        <f>VLOOKUP(InputTable[[#This Row],[Duration]],Duration,2,FALSE)+InputTable[[#This Row],[Resource Score]]</f>
        <v>#N/A</v>
      </c>
      <c r="AT3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7" s="24" t="e">
        <f>InputTable[[#This Row],[Value Score]]/InputTable[[#This Row],[EFFORT SCORE]]*100</f>
        <v>#N/A</v>
      </c>
      <c r="AV37" s="25" t="str">
        <f>InputTable[[#This Row],[IS Portfolio Ref ID]]</f>
        <v>ISPRJ-34</v>
      </c>
      <c r="AW37" s="25" t="s">
        <v>234</v>
      </c>
      <c r="AX37" s="208" t="s">
        <v>154</v>
      </c>
      <c r="AY37" s="25">
        <v>1800</v>
      </c>
      <c r="AZ37" s="209">
        <v>0</v>
      </c>
      <c r="BA37" s="209">
        <v>158000</v>
      </c>
      <c r="BB37" s="209"/>
      <c r="BC37" s="189">
        <f>SUM(InputTable[[#This Row],[Opex IS Budget (full project)]]+InputTable[[#This Row],[Capex IS Budget (full project)]])</f>
        <v>158000</v>
      </c>
      <c r="BD37" s="188">
        <v>2</v>
      </c>
      <c r="BE37" s="188"/>
      <c r="BF37" s="70"/>
      <c r="BH37" s="2">
        <f>IFERROR(VLOOKUP(InputTable[[#This Row],[Impact on - CIAL]],'System List'!$F$4:$H$7,3,FALSE),0)</f>
        <v>0</v>
      </c>
      <c r="BI37" s="2">
        <f>IFERROR(VLOOKUP(InputTable[[#This Row],[Impact on - COM]],'System List'!$F$4:$H$7,3,FALSE),0)</f>
        <v>0</v>
      </c>
      <c r="BJ37" s="2">
        <f>IFERROR(VLOOKUP(InputTable[[#This Row],[Impact on - FIN]],'System List'!$F$4:$H$7,3,FALSE),0)</f>
        <v>0</v>
      </c>
      <c r="BK37" s="2">
        <f>IFERROR(VLOOKUP(InputTable[[#This Row],[Impact on - GEN SEC]],'System List'!$F$4:$H$7,3,FALSE),0)</f>
        <v>0</v>
      </c>
      <c r="BL37" s="2">
        <f>IFERROR(VLOOKUP(InputTable[[#This Row],[Impact on - HR]],'System List'!$F$4:$H$7,3,FALSE),0)</f>
        <v>0</v>
      </c>
      <c r="BM37" s="2">
        <f>IFERROR(VLOOKUP(InputTable[[#This Row],[Impact on - IS]],'System List'!$F$4:$H$7,3,FALSE),0)</f>
        <v>5</v>
      </c>
      <c r="BN37" s="2">
        <f>IFERROR(VLOOKUP(InputTable[[#This Row],[Impact on - OPS]],'System List'!$F$4:$H$7,3,FALSE),0)</f>
        <v>0</v>
      </c>
      <c r="BO37" s="2">
        <f>IFERROR(VLOOKUP(InputTable[[#This Row],[Impact on - ROLL STOCK]],'System List'!$F$4:$H$7,3,FALSE),0)</f>
        <v>0</v>
      </c>
      <c r="BP37" s="2">
        <f>IFERROR(VLOOKUP(InputTable[[#This Row],[Impact on - SAFETY]],'System List'!$F$4:$H$7,3,FALSE),0)</f>
        <v>0</v>
      </c>
      <c r="BQ37" s="2">
        <f>IFERROR(VLOOKUP(InputTable[[#This Row],[Impact on - STATION]],'System List'!$F$4:$H$7,3,FALSE),0)</f>
        <v>0</v>
      </c>
      <c r="BR37" s="2">
        <f>IFERROR(VLOOKUP(InputTable[[#This Row],[Impact on - STRAT]],'System List'!$F$4:$H$7,3,FALSE),0)</f>
        <v>0</v>
      </c>
      <c r="BT37" s="2">
        <f>IFERROR(VLOOKUP(InputTable[[#This Row],[CORPHRFIN]],'System List'!$F$4:$H$7,3,FALSE),0)</f>
        <v>0</v>
      </c>
      <c r="BU37" s="2">
        <f>IFERROR(VLOOKUP(InputTable[[#This Row],[CUST]],'System List'!$F$4:$H$7,3,FALSE),0)</f>
        <v>0</v>
      </c>
      <c r="BV37" s="2">
        <f>IFERROR(VLOOKUP(InputTable[[#This Row],[CYBER]],'System List'!$F$4:$H$7,3,FALSE),0)</f>
        <v>0</v>
      </c>
      <c r="BW37" s="2">
        <f>IFERROR(VLOOKUP(InputTable[[#This Row],[DATA]],'System List'!$F$4:$H$7,3,FALSE),0)</f>
        <v>0</v>
      </c>
      <c r="BX37" s="2">
        <f>IFERROR(VLOOKUP(InputTable[[#This Row],[INFRA]],'System List'!$F$4:$H$7,3,FALSE),0)</f>
        <v>5</v>
      </c>
      <c r="BY37" s="2">
        <f>IFERROR(VLOOKUP(InputTable[[#This Row],[OPERATIONS]],'System List'!$F$4:$H$7,3,FALSE),0)</f>
        <v>0</v>
      </c>
      <c r="BZ37" s="2">
        <f>IFERROR(VLOOKUP(InputTable[[#This Row],[PMO]],'System List'!$F$4:$H$7,3,FALSE),0)</f>
        <v>0</v>
      </c>
      <c r="CA37" s="2">
        <f>IFERROR(VLOOKUP(InputTable[[#This Row],[SALES]],'System List'!$F$4:$H$7,3,FALSE),0)</f>
        <v>0</v>
      </c>
      <c r="CC37" s="2" cm="1">
        <f t="array" ref="CC3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7" s="2" cm="1">
        <f t="array" ref="CD3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7" s="2" cm="1">
        <f t="array" ref="CE3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7" s="2" cm="1">
        <f t="array" ref="CF3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7" s="2" cm="1">
        <f t="array" ref="CG3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7" s="2" cm="1">
        <f t="array" ref="CH3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7" s="2" cm="1">
        <f t="array" ref="CI3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7" s="2" cm="1">
        <f t="array" ref="CJ3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7" s="2" cm="1">
        <f t="array" ref="CK3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3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3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7" s="26">
        <f t="shared" si="78"/>
        <v>0</v>
      </c>
      <c r="CY37" s="26">
        <f t="shared" si="79"/>
        <v>0</v>
      </c>
      <c r="CZ37" s="26">
        <f t="shared" si="80"/>
        <v>0</v>
      </c>
      <c r="DA37" s="26">
        <f t="shared" si="81"/>
        <v>0</v>
      </c>
      <c r="DB37" s="26">
        <f t="shared" si="82"/>
        <v>0</v>
      </c>
      <c r="DC37" s="26">
        <f t="shared" si="83"/>
        <v>0</v>
      </c>
      <c r="DD37" s="26">
        <f t="shared" si="84"/>
        <v>0</v>
      </c>
      <c r="DE37" s="26">
        <f t="shared" si="85"/>
        <v>0</v>
      </c>
      <c r="DF37" s="26">
        <f t="shared" si="86"/>
        <v>0</v>
      </c>
      <c r="DH37" s="26">
        <f t="shared" si="87"/>
        <v>0</v>
      </c>
      <c r="DI37" s="26">
        <f t="shared" si="88"/>
        <v>0</v>
      </c>
      <c r="DJ37" s="26">
        <f t="shared" si="89"/>
        <v>0</v>
      </c>
      <c r="DK37" s="26">
        <f t="shared" si="90"/>
        <v>0</v>
      </c>
      <c r="DL37" s="26">
        <f t="shared" si="91"/>
        <v>0</v>
      </c>
      <c r="DM37" s="26">
        <f t="shared" si="92"/>
        <v>0</v>
      </c>
      <c r="DN37" s="26">
        <f t="shared" si="93"/>
        <v>0</v>
      </c>
      <c r="DO37" s="26">
        <f t="shared" si="94"/>
        <v>0</v>
      </c>
      <c r="DP37" s="26">
        <f t="shared" si="95"/>
        <v>0</v>
      </c>
      <c r="DR37" s="26">
        <f t="shared" si="96"/>
        <v>0</v>
      </c>
      <c r="DS37" s="26">
        <f t="shared" si="97"/>
        <v>0</v>
      </c>
      <c r="DT37" s="26">
        <f t="shared" si="98"/>
        <v>0</v>
      </c>
      <c r="DU37" s="26">
        <f t="shared" si="99"/>
        <v>0</v>
      </c>
      <c r="DV37" s="26">
        <f t="shared" si="100"/>
        <v>0</v>
      </c>
      <c r="DW37" s="26">
        <f t="shared" si="101"/>
        <v>0</v>
      </c>
      <c r="DX37" s="26">
        <f t="shared" si="102"/>
        <v>0</v>
      </c>
      <c r="DY37" s="26">
        <f t="shared" si="103"/>
        <v>0</v>
      </c>
      <c r="DZ37" s="26">
        <f t="shared" si="104"/>
        <v>0</v>
      </c>
      <c r="EB37" s="26">
        <f t="shared" si="105"/>
        <v>0</v>
      </c>
      <c r="EC37" s="26">
        <f t="shared" si="106"/>
        <v>0</v>
      </c>
      <c r="ED37" s="26">
        <f t="shared" si="107"/>
        <v>0</v>
      </c>
      <c r="EE37" s="26">
        <f t="shared" si="108"/>
        <v>0</v>
      </c>
      <c r="EF37" s="26">
        <f t="shared" si="109"/>
        <v>0</v>
      </c>
      <c r="EG37" s="26">
        <f t="shared" si="110"/>
        <v>0</v>
      </c>
      <c r="EH37" s="26">
        <f t="shared" si="111"/>
        <v>0</v>
      </c>
      <c r="EI37" s="26">
        <f t="shared" si="112"/>
        <v>0</v>
      </c>
      <c r="EJ37" s="26">
        <f t="shared" si="113"/>
        <v>0</v>
      </c>
      <c r="EL37" s="26">
        <f t="shared" si="114"/>
        <v>0</v>
      </c>
      <c r="EM37" s="26">
        <f t="shared" si="115"/>
        <v>5</v>
      </c>
      <c r="EN37" s="26">
        <f t="shared" si="116"/>
        <v>5</v>
      </c>
      <c r="EO37" s="26">
        <f t="shared" si="117"/>
        <v>5</v>
      </c>
      <c r="EP37" s="26">
        <f t="shared" si="118"/>
        <v>5</v>
      </c>
      <c r="EQ37" s="26">
        <f t="shared" si="119"/>
        <v>5</v>
      </c>
      <c r="ER37" s="26">
        <f t="shared" si="120"/>
        <v>0</v>
      </c>
      <c r="ES37" s="26">
        <f t="shared" si="121"/>
        <v>0</v>
      </c>
      <c r="ET37" s="26">
        <f t="shared" si="122"/>
        <v>0</v>
      </c>
      <c r="EV37" s="26">
        <f t="shared" si="123"/>
        <v>0</v>
      </c>
      <c r="EW37" s="26">
        <f t="shared" si="124"/>
        <v>0</v>
      </c>
      <c r="EX37" s="26">
        <f t="shared" si="125"/>
        <v>0</v>
      </c>
      <c r="EY37" s="26">
        <f t="shared" si="126"/>
        <v>0</v>
      </c>
      <c r="EZ37" s="26">
        <f t="shared" si="127"/>
        <v>0</v>
      </c>
      <c r="FA37" s="26">
        <f t="shared" si="128"/>
        <v>0</v>
      </c>
      <c r="FB37" s="26">
        <f t="shared" si="129"/>
        <v>0</v>
      </c>
      <c r="FC37" s="26">
        <f t="shared" si="130"/>
        <v>0</v>
      </c>
      <c r="FD37" s="26">
        <f t="shared" si="131"/>
        <v>0</v>
      </c>
      <c r="FF37" s="26">
        <f t="shared" si="132"/>
        <v>0</v>
      </c>
      <c r="FG37" s="26">
        <f t="shared" si="133"/>
        <v>0</v>
      </c>
      <c r="FH37" s="26">
        <f t="shared" si="134"/>
        <v>0</v>
      </c>
      <c r="FI37" s="26">
        <f t="shared" si="135"/>
        <v>0</v>
      </c>
      <c r="FJ37" s="26">
        <f t="shared" si="136"/>
        <v>0</v>
      </c>
      <c r="FK37" s="26">
        <f t="shared" si="137"/>
        <v>0</v>
      </c>
      <c r="FL37" s="26">
        <f t="shared" si="138"/>
        <v>0</v>
      </c>
      <c r="FM37" s="26">
        <f t="shared" si="139"/>
        <v>0</v>
      </c>
      <c r="FN37" s="26">
        <f t="shared" si="140"/>
        <v>0</v>
      </c>
      <c r="FP37" s="26" t="e">
        <f t="shared" si="141"/>
        <v>#REF!</v>
      </c>
      <c r="FQ37" s="26" t="e">
        <f t="shared" si="142"/>
        <v>#REF!</v>
      </c>
      <c r="FR37" s="26" t="e">
        <f t="shared" si="143"/>
        <v>#REF!</v>
      </c>
      <c r="FS37" s="26" t="e">
        <f t="shared" si="144"/>
        <v>#REF!</v>
      </c>
      <c r="FT37" s="26" t="e">
        <f t="shared" si="145"/>
        <v>#REF!</v>
      </c>
      <c r="FU37" s="26" t="e">
        <f t="shared" si="146"/>
        <v>#REF!</v>
      </c>
      <c r="FV37" s="26" t="e">
        <f t="shared" si="147"/>
        <v>#REF!</v>
      </c>
      <c r="FW37" s="26" t="e">
        <f t="shared" si="148"/>
        <v>#REF!</v>
      </c>
      <c r="FX37" s="26" t="e">
        <f t="shared" si="149"/>
        <v>#REF!</v>
      </c>
      <c r="GB37" s="26" t="e">
        <f>IF(GB$2=InputTable[[#This Row],[Delivery Date]],_xlfn.XLOOKUP(GB$1,$BH$2:$BR$2,$BH37:$BR37,0),0)</f>
        <v>#REF!</v>
      </c>
      <c r="GC37" s="26">
        <f>IF(GC$2=InputTable[[#This Row],[Delivery Date]],_xlfn.XLOOKUP(GC$1,$BH$2:$BR$2,$BH37:$BR37,0),0)</f>
        <v>0</v>
      </c>
      <c r="GD37" s="26">
        <f>IF(GD$2=InputTable[[#This Row],[Delivery Date]],_xlfn.XLOOKUP(GD$1,$BH$2:$BR$2,$BH37:$BR37,0),0)</f>
        <v>0</v>
      </c>
      <c r="GE37" s="26">
        <f>IF(GE$2=InputTable[[#This Row],[Delivery Date]],_xlfn.XLOOKUP(GE$1,$BH$2:$BR$2,$BH37:$BR37,0),0)</f>
        <v>0</v>
      </c>
      <c r="GF37" s="26">
        <f>IF(GF$2=InputTable[[#This Row],[Delivery Date]],_xlfn.XLOOKUP(GF$1,$BH$2:$BR$2,$BH37:$BR37,0),0)</f>
        <v>0</v>
      </c>
      <c r="GG37" s="26">
        <f>IF(GG$2=InputTable[[#This Row],[Delivery Date]],_xlfn.XLOOKUP(GG$1,$BH$2:$BR$2,$BH37:$BR37,0),0)</f>
        <v>0</v>
      </c>
      <c r="GH37" s="26">
        <f>IF(GH$2=InputTable[[#This Row],[Delivery Date]],_xlfn.XLOOKUP(GH$1,$BH$2:$BR$2,$BH37:$BR37,0),0)</f>
        <v>0</v>
      </c>
      <c r="GI37" s="26">
        <f>IF(GI$2=InputTable[[#This Row],[Delivery Date]],_xlfn.XLOOKUP(GI$1,$BH$2:$BR$2,$BH37:$BR37,0),0)</f>
        <v>0</v>
      </c>
      <c r="GJ37" s="26">
        <f>IF(GJ$2=InputTable[[#This Row],[Delivery Date]],_xlfn.XLOOKUP(GJ$1,$BH$2:$BR$2,$BH37:$BR37,0),0)</f>
        <v>0</v>
      </c>
      <c r="GL37" s="26" t="e">
        <f>IF(GL$2=InputTable[[#This Row],[Delivery Date]],_xlfn.XLOOKUP(GL$1,$BH$2:$BR$2,$BH37:$BR37,0),0)</f>
        <v>#REF!</v>
      </c>
      <c r="GM37" s="26">
        <f>IF(GM$2=InputTable[[#This Row],[Delivery Date]],_xlfn.XLOOKUP(GM$1,$BH$2:$BR$2,$BH37:$BR37,0),0)</f>
        <v>0</v>
      </c>
      <c r="GN37" s="26">
        <f>IF(GN$2=InputTable[[#This Row],[Delivery Date]],_xlfn.XLOOKUP(GN$1,$BH$2:$BR$2,$BH37:$BR37,0),0)</f>
        <v>0</v>
      </c>
      <c r="GO37" s="26">
        <f>IF(GO$2=InputTable[[#This Row],[Delivery Date]],_xlfn.XLOOKUP(GO$1,$BH$2:$BR$2,$BH37:$BR37,0),0)</f>
        <v>0</v>
      </c>
      <c r="GP37" s="26">
        <f>IF(GP$2=InputTable[[#This Row],[Delivery Date]],_xlfn.XLOOKUP(GP$1,$BH$2:$BR$2,$BH37:$BR37,0),0)</f>
        <v>0</v>
      </c>
      <c r="GQ37" s="26">
        <f>IF(GQ$2=InputTable[[#This Row],[Delivery Date]],_xlfn.XLOOKUP(GQ$1,$BH$2:$BR$2,$BH37:$BR37,0),0)</f>
        <v>0</v>
      </c>
      <c r="GR37" s="26">
        <f>IF(GR$2=InputTable[[#This Row],[Delivery Date]],_xlfn.XLOOKUP(GR$1,$BH$2:$BR$2,$BH37:$BR37,0),0)</f>
        <v>0</v>
      </c>
      <c r="GS37" s="26">
        <f>IF(GS$2=InputTable[[#This Row],[Delivery Date]],_xlfn.XLOOKUP(GS$1,$BH$2:$BR$2,$BH37:$BR37,0),0)</f>
        <v>0</v>
      </c>
      <c r="GT37" s="26">
        <f>IF(GT$2=InputTable[[#This Row],[Delivery Date]],_xlfn.XLOOKUP(GT$1,$BH$2:$BR$2,$BH37:$BR37,0),0)</f>
        <v>0</v>
      </c>
      <c r="GV37" s="26" t="e">
        <f>IF(GV$2=InputTable[[#This Row],[Delivery Date]],_xlfn.XLOOKUP(GV$1,$BH$2:$BR$2,$BH37:$BR37,0),0)</f>
        <v>#REF!</v>
      </c>
      <c r="GW37" s="26">
        <f>IF(GW$2=InputTable[[#This Row],[Delivery Date]],_xlfn.XLOOKUP(GW$1,$BH$2:$BR$2,$BH37:$BR37,0),0)</f>
        <v>0</v>
      </c>
      <c r="GX37" s="26">
        <f>IF(GX$2=InputTable[[#This Row],[Delivery Date]],_xlfn.XLOOKUP(GX$1,$BH$2:$BR$2,$BH37:$BR37,0),0)</f>
        <v>0</v>
      </c>
      <c r="GY37" s="26">
        <f>IF(GY$2=InputTable[[#This Row],[Delivery Date]],_xlfn.XLOOKUP(GY$1,$BH$2:$BR$2,$BH37:$BR37,0),0)</f>
        <v>0</v>
      </c>
      <c r="GZ37" s="26">
        <f>IF(GZ$2=InputTable[[#This Row],[Delivery Date]],_xlfn.XLOOKUP(GZ$1,$BH$2:$BR$2,$BH37:$BR37,0),0)</f>
        <v>0</v>
      </c>
      <c r="HA37" s="26">
        <f>IF(HA$2=InputTable[[#This Row],[Delivery Date]],_xlfn.XLOOKUP(HA$1,$BH$2:$BR$2,$BH37:$BR37,0),0)</f>
        <v>0</v>
      </c>
      <c r="HB37" s="26">
        <f>IF(HB$2=InputTable[[#This Row],[Delivery Date]],_xlfn.XLOOKUP(HB$1,$BH$2:$BR$2,$BH37:$BR37,0),0)</f>
        <v>0</v>
      </c>
      <c r="HC37" s="26">
        <f>IF(HC$2=InputTable[[#This Row],[Delivery Date]],_xlfn.XLOOKUP(HC$1,$BH$2:$BR$2,$BH37:$BR37,0),0)</f>
        <v>0</v>
      </c>
      <c r="HD37" s="26">
        <f>IF(HD$2=InputTable[[#This Row],[Delivery Date]],_xlfn.XLOOKUP(HD$1,$BH$2:$BR$2,$BH37:$BR37,0),0)</f>
        <v>0</v>
      </c>
      <c r="HF37" s="26" t="e">
        <f>IF(HF$2=InputTable[[#This Row],[Delivery Date]],_xlfn.XLOOKUP(HF$1,$BH$2:$BR$2,$BH37:$BR37,0),0)</f>
        <v>#REF!</v>
      </c>
      <c r="HG37" s="26">
        <f>IF(HG$2=InputTable[[#This Row],[Delivery Date]],_xlfn.XLOOKUP(HG$1,$BH$2:$BR$2,$BH37:$BR37,0),0)</f>
        <v>0</v>
      </c>
      <c r="HH37" s="26">
        <f>IF(HH$2=InputTable[[#This Row],[Delivery Date]],_xlfn.XLOOKUP(HH$1,$BH$2:$BR$2,$BH37:$BR37,0),0)</f>
        <v>0</v>
      </c>
      <c r="HI37" s="26">
        <f>IF(HI$2=InputTable[[#This Row],[Delivery Date]],_xlfn.XLOOKUP(HI$1,$BH$2:$BR$2,$BH37:$BR37,0),0)</f>
        <v>0</v>
      </c>
      <c r="HJ37" s="26">
        <f>IF(HJ$2=InputTable[[#This Row],[Delivery Date]],_xlfn.XLOOKUP(HJ$1,$BH$2:$BR$2,$BH37:$BR37,0),0)</f>
        <v>0</v>
      </c>
      <c r="HK37" s="26">
        <f>IF(HK$2=InputTable[[#This Row],[Delivery Date]],_xlfn.XLOOKUP(HK$1,$BH$2:$BR$2,$BH37:$BR37,0),0)</f>
        <v>0</v>
      </c>
      <c r="HL37" s="26">
        <f>IF(HL$2=InputTable[[#This Row],[Delivery Date]],_xlfn.XLOOKUP(HL$1,$BH$2:$BR$2,$BH37:$BR37,0),0)</f>
        <v>0</v>
      </c>
      <c r="HM37" s="26">
        <f>IF(HM$2=InputTable[[#This Row],[Delivery Date]],_xlfn.XLOOKUP(HM$1,$BH$2:$BR$2,$BH37:$BR37,0),0)</f>
        <v>0</v>
      </c>
      <c r="HN37" s="26">
        <f>IF(HN$2=InputTable[[#This Row],[Delivery Date]],_xlfn.XLOOKUP(HN$1,$BH$2:$BR$2,$BH37:$BR37,0),0)</f>
        <v>0</v>
      </c>
      <c r="HP37" s="26" t="e">
        <f>IF(HP$2=InputTable[[#This Row],[Delivery Date]],_xlfn.XLOOKUP(HP$1,$BH$2:$BR$2,$BH37:$BR37,0),0)</f>
        <v>#REF!</v>
      </c>
      <c r="HQ37" s="26">
        <f>IF(HQ$2=InputTable[[#This Row],[Delivery Date]],_xlfn.XLOOKUP(HQ$1,$BH$2:$BR$2,$BH37:$BR37,0),0)</f>
        <v>0</v>
      </c>
      <c r="HR37" s="26">
        <f>IF(HR$2=InputTable[[#This Row],[Delivery Date]],_xlfn.XLOOKUP(HR$1,$BH$2:$BR$2,$BH37:$BR37,0),0)</f>
        <v>0</v>
      </c>
      <c r="HS37" s="26">
        <f>IF(HS$2=InputTable[[#This Row],[Delivery Date]],_xlfn.XLOOKUP(HS$1,$BH$2:$BR$2,$BH37:$BR37,0),0)</f>
        <v>0</v>
      </c>
      <c r="HT37" s="26">
        <f>IF(HT$2=InputTable[[#This Row],[Delivery Date]],_xlfn.XLOOKUP(HT$1,$BH$2:$BR$2,$BH37:$BR37,0),0)</f>
        <v>0</v>
      </c>
      <c r="HU37" s="26">
        <f>IF(HU$2=InputTable[[#This Row],[Delivery Date]],_xlfn.XLOOKUP(HU$1,$BH$2:$BR$2,$BH37:$BR37,0),0)</f>
        <v>0</v>
      </c>
      <c r="HV37" s="26">
        <f>IF(HV$2=InputTable[[#This Row],[Delivery Date]],_xlfn.XLOOKUP(HV$1,$BH$2:$BR$2,$BH37:$BR37,0),0)</f>
        <v>0</v>
      </c>
      <c r="HW37" s="26">
        <f>IF(HW$2=InputTable[[#This Row],[Delivery Date]],_xlfn.XLOOKUP(HW$1,$BH$2:$BR$2,$BH37:$BR37,0),0)</f>
        <v>0</v>
      </c>
      <c r="HX37" s="26">
        <f>IF(HX$2=InputTable[[#This Row],[Delivery Date]],_xlfn.XLOOKUP(HX$1,$BH$2:$BR$2,$BH37:$BR37,0),0)</f>
        <v>0</v>
      </c>
      <c r="HZ37" s="26" t="e">
        <f>IF(HZ$2=InputTable[[#This Row],[Delivery Date]],_xlfn.XLOOKUP(HZ$1,$BH$2:$BR$2,$BH37:$BR37,0),0)</f>
        <v>#REF!</v>
      </c>
      <c r="IA37" s="26">
        <f>IF(IA$2=InputTable[[#This Row],[Delivery Date]],_xlfn.XLOOKUP(IA$1,$BH$2:$BR$2,$BH37:$BR37,0),0)</f>
        <v>0</v>
      </c>
      <c r="IB37" s="26">
        <f>IF(IB$2=InputTable[[#This Row],[Delivery Date]],_xlfn.XLOOKUP(IB$1,$BH$2:$BR$2,$BH37:$BR37,0),0)</f>
        <v>0</v>
      </c>
      <c r="IC37" s="26">
        <f>IF(IC$2=InputTable[[#This Row],[Delivery Date]],_xlfn.XLOOKUP(IC$1,$BH$2:$BR$2,$BH37:$BR37,0),0)</f>
        <v>0</v>
      </c>
      <c r="ID37" s="26">
        <f>IF(ID$2=InputTable[[#This Row],[Delivery Date]],_xlfn.XLOOKUP(ID$1,$BH$2:$BR$2,$BH37:$BR37,0),0)</f>
        <v>0</v>
      </c>
      <c r="IE37" s="26">
        <f>IF(IE$2=InputTable[[#This Row],[Delivery Date]],_xlfn.XLOOKUP(IE$1,$BH$2:$BR$2,$BH37:$BR37,0),0)</f>
        <v>5</v>
      </c>
      <c r="IF37" s="26">
        <f>IF(IF$2=InputTable[[#This Row],[Delivery Date]],_xlfn.XLOOKUP(IF$1,$BH$2:$BR$2,$BH37:$BR37,0),0)</f>
        <v>0</v>
      </c>
      <c r="IG37" s="26">
        <f>IF(IG$2=InputTable[[#This Row],[Delivery Date]],_xlfn.XLOOKUP(IG$1,$BH$2:$BR$2,$BH37:$BR37,0),0)</f>
        <v>0</v>
      </c>
      <c r="IH37" s="26">
        <f>IF(IH$2=InputTable[[#This Row],[Delivery Date]],_xlfn.XLOOKUP(IH$1,$BH$2:$BR$2,$BH37:$BR37,0),0)</f>
        <v>0</v>
      </c>
      <c r="IJ37" s="26" t="e">
        <f>IF(IJ$2=InputTable[[#This Row],[Delivery Date]],_xlfn.XLOOKUP(IJ$1,$BH$2:$BR$2,$BH37:$BR37,0),0)</f>
        <v>#REF!</v>
      </c>
      <c r="IK37" s="26">
        <f>IF(IK$2=InputTable[[#This Row],[Delivery Date]],_xlfn.XLOOKUP(IK$1,$BH$2:$BR$2,$BH37:$BR37,0),0)</f>
        <v>0</v>
      </c>
      <c r="IL37" s="26">
        <f>IF(IL$2=InputTable[[#This Row],[Delivery Date]],_xlfn.XLOOKUP(IL$1,$BH$2:$BR$2,$BH37:$BR37,0),0)</f>
        <v>0</v>
      </c>
      <c r="IM37" s="26">
        <f>IF(IM$2=InputTable[[#This Row],[Delivery Date]],_xlfn.XLOOKUP(IM$1,$BH$2:$BR$2,$BH37:$BR37,0),0)</f>
        <v>0</v>
      </c>
      <c r="IN37" s="26">
        <f>IF(IN$2=InputTable[[#This Row],[Delivery Date]],_xlfn.XLOOKUP(IN$1,$BH$2:$BR$2,$BH37:$BR37,0),0)</f>
        <v>0</v>
      </c>
      <c r="IO37" s="26">
        <f>IF(IO$2=InputTable[[#This Row],[Delivery Date]],_xlfn.XLOOKUP(IO$1,$BH$2:$BR$2,$BH37:$BR37,0),0)</f>
        <v>0</v>
      </c>
      <c r="IP37" s="26">
        <f>IF(IP$2=InputTable[[#This Row],[Delivery Date]],_xlfn.XLOOKUP(IP$1,$BH$2:$BR$2,$BH37:$BR37,0),0)</f>
        <v>0</v>
      </c>
      <c r="IQ37" s="26">
        <f>IF(IQ$2=InputTable[[#This Row],[Delivery Date]],_xlfn.XLOOKUP(IQ$1,$BH$2:$BR$2,$BH37:$BR37,0),0)</f>
        <v>0</v>
      </c>
      <c r="IR37" s="26">
        <f>IF(IR$2=InputTable[[#This Row],[Delivery Date]],_xlfn.XLOOKUP(IR$1,$BH$2:$BR$2,$BH37:$BR37,0),0)</f>
        <v>0</v>
      </c>
      <c r="IT37" s="26" t="e">
        <f>IF(IT$2=InputTable[[#This Row],[Delivery Date]],_xlfn.XLOOKUP(IT$1,$BH$2:$BR$2,$BH37:$BR37,0),0)</f>
        <v>#REF!</v>
      </c>
      <c r="IU37" s="26">
        <f>IF(IU$2=InputTable[[#This Row],[Delivery Date]],_xlfn.XLOOKUP(IU$1,$BH$2:$BR$2,$BH37:$BR37,0),0)</f>
        <v>0</v>
      </c>
      <c r="IV37" s="26">
        <f>IF(IV$2=InputTable[[#This Row],[Delivery Date]],_xlfn.XLOOKUP(IV$1,$BH$2:$BR$2,$BH37:$BR37,0),0)</f>
        <v>0</v>
      </c>
      <c r="IW37" s="26">
        <f>IF(IW$2=InputTable[[#This Row],[Delivery Date]],_xlfn.XLOOKUP(IW$1,$BH$2:$BR$2,$BH37:$BR37,0),0)</f>
        <v>0</v>
      </c>
      <c r="IX37" s="26">
        <f>IF(IX$2=InputTable[[#This Row],[Delivery Date]],_xlfn.XLOOKUP(IX$1,$BH$2:$BR$2,$BH37:$BR37,0),0)</f>
        <v>0</v>
      </c>
      <c r="IY37" s="26">
        <f>IF(IY$2=InputTable[[#This Row],[Delivery Date]],_xlfn.XLOOKUP(IY$1,$BH$2:$BR$2,$BH37:$BR37,0),0)</f>
        <v>0</v>
      </c>
      <c r="IZ37" s="26">
        <f>IF(IZ$2=InputTable[[#This Row],[Delivery Date]],_xlfn.XLOOKUP(IZ$1,$BH$2:$BR$2,$BH37:$BR37,0),0)</f>
        <v>0</v>
      </c>
      <c r="JA37" s="26">
        <f>IF(JA$2=InputTable[[#This Row],[Delivery Date]],_xlfn.XLOOKUP(JA$1,$BH$2:$BR$2,$BH37:$BR37,0),0)</f>
        <v>0</v>
      </c>
      <c r="JB37" s="26">
        <f>IF(JB$2=InputTable[[#This Row],[Delivery Date]],_xlfn.XLOOKUP(JB$1,$BH$2:$BR$2,$BH37:$BR37,0),0)</f>
        <v>0</v>
      </c>
      <c r="JD37" s="26" t="e">
        <f>IF(JD$2=InputTable[[#This Row],[Delivery Date]],_xlfn.XLOOKUP(JD$1,$BH$2:$BR$2,$BH37:$BR37,0),0)</f>
        <v>#REF!</v>
      </c>
      <c r="JE37" s="26">
        <f>IF(JE$2=InputTable[[#This Row],[Delivery Date]],_xlfn.XLOOKUP(JE$1,$BH$2:$BR$2,$BH37:$BR37,0),0)</f>
        <v>0</v>
      </c>
      <c r="JF37" s="26">
        <f>IF(JF$2=InputTable[[#This Row],[Delivery Date]],_xlfn.XLOOKUP(JF$1,$BH$2:$BR$2,$BH37:$BR37,0),0)</f>
        <v>0</v>
      </c>
      <c r="JG37" s="26">
        <f>IF(JG$2=InputTable[[#This Row],[Delivery Date]],_xlfn.XLOOKUP(JG$1,$BH$2:$BR$2,$BH37:$BR37,0),0)</f>
        <v>0</v>
      </c>
      <c r="JH37" s="26">
        <f>IF(JH$2=InputTable[[#This Row],[Delivery Date]],_xlfn.XLOOKUP(JH$1,$BH$2:$BR$2,$BH37:$BR37,0),0)</f>
        <v>0</v>
      </c>
      <c r="JI37" s="26">
        <f>IF(JI$2=InputTable[[#This Row],[Delivery Date]],_xlfn.XLOOKUP(JI$1,$BH$2:$BR$2,$BH37:$BR37,0),0)</f>
        <v>0</v>
      </c>
      <c r="JJ37" s="26">
        <f>IF(JJ$2=InputTable[[#This Row],[Delivery Date]],_xlfn.XLOOKUP(JJ$1,$BH$2:$BR$2,$BH37:$BR37,0),0)</f>
        <v>0</v>
      </c>
      <c r="JK37" s="26">
        <f>IF(JK$2=InputTable[[#This Row],[Delivery Date]],_xlfn.XLOOKUP(JK$1,$BH$2:$BR$2,$BH37:$BR37,0),0)</f>
        <v>0</v>
      </c>
      <c r="JL37" s="26">
        <f>IF(JL$2=InputTable[[#This Row],[Delivery Date]],_xlfn.XLOOKUP(JL$1,$BH$2:$BR$2,$BH37:$BR37,0),0)</f>
        <v>0</v>
      </c>
      <c r="JN37" s="26" t="e">
        <f>IF(JN$2=InputTable[[#This Row],[Delivery Date]],_xlfn.XLOOKUP(JN$1,$BH$2:$BR$2,$BH37:$BR37,0),0)</f>
        <v>#REF!</v>
      </c>
      <c r="JO37" s="26">
        <f>IF(JO$2=InputTable[[#This Row],[Delivery Date]],_xlfn.XLOOKUP(JO$1,$BH$2:$BR$2,$BH37:$BR37,0),0)</f>
        <v>0</v>
      </c>
      <c r="JP37" s="26">
        <f>IF(JP$2=InputTable[[#This Row],[Delivery Date]],_xlfn.XLOOKUP(JP$1,$BH$2:$BR$2,$BH37:$BR37,0),0)</f>
        <v>0</v>
      </c>
      <c r="JQ37" s="26">
        <f>IF(JQ$2=InputTable[[#This Row],[Delivery Date]],_xlfn.XLOOKUP(JQ$1,$BH$2:$BR$2,$BH37:$BR37,0),0)</f>
        <v>0</v>
      </c>
      <c r="JR37" s="26">
        <f>IF(JR$2=InputTable[[#This Row],[Delivery Date]],_xlfn.XLOOKUP(JR$1,$BH$2:$BR$2,$BH37:$BR37,0),0)</f>
        <v>0</v>
      </c>
      <c r="JS37" s="26">
        <f>IF(JS$2=InputTable[[#This Row],[Delivery Date]],_xlfn.XLOOKUP(JS$1,$BH$2:$BR$2,$BH37:$BR37,0),0)</f>
        <v>0</v>
      </c>
      <c r="JT37" s="26">
        <f>IF(JT$2=InputTable[[#This Row],[Delivery Date]],_xlfn.XLOOKUP(JT$1,$BH$2:$BR$2,$BH37:$BR37,0),0)</f>
        <v>0</v>
      </c>
      <c r="JU37" s="26">
        <f>IF(JU$2=InputTable[[#This Row],[Delivery Date]],_xlfn.XLOOKUP(JU$1,$BH$2:$BR$2,$BH37:$BR37,0),0)</f>
        <v>0</v>
      </c>
      <c r="JV37" s="26">
        <f>IF(JV$2=InputTable[[#This Row],[Delivery Date]],_xlfn.XLOOKUP(JV$1,$BH$2:$BR$2,$BH37:$BR37,0),0)</f>
        <v>0</v>
      </c>
      <c r="JX37" s="26" t="e">
        <f>IF(JX$2=InputTable[[#This Row],[Delivery Date]],_xlfn.XLOOKUP(JX$1,$BH$2:$BR$2,$BH37:$BR37,0),0)</f>
        <v>#REF!</v>
      </c>
      <c r="JY37" s="26">
        <f>IF(JY$2=InputTable[[#This Row],[Delivery Date]],_xlfn.XLOOKUP(JY$1,$BH$2:$BR$2,$BH37:$BR37,0),0)</f>
        <v>0</v>
      </c>
      <c r="JZ37" s="26">
        <f>IF(JZ$2=InputTable[[#This Row],[Delivery Date]],_xlfn.XLOOKUP(JZ$1,$BH$2:$BR$2,$BH37:$BR37,0),0)</f>
        <v>0</v>
      </c>
      <c r="KA37" s="26">
        <f>IF(KA$2=InputTable[[#This Row],[Delivery Date]],_xlfn.XLOOKUP(KA$1,$BH$2:$BR$2,$BH37:$BR37,0),0)</f>
        <v>0</v>
      </c>
      <c r="KB37" s="26">
        <f>IF(KB$2=InputTable[[#This Row],[Delivery Date]],_xlfn.XLOOKUP(KB$1,$BH$2:$BR$2,$BH37:$BR37,0),0)</f>
        <v>0</v>
      </c>
      <c r="KC37" s="26">
        <f>IF(KC$2=InputTable[[#This Row],[Delivery Date]],_xlfn.XLOOKUP(KC$1,$BH$2:$BR$2,$BH37:$BR37,0),0)</f>
        <v>0</v>
      </c>
      <c r="KD37" s="26">
        <f>IF(KD$2=InputTable[[#This Row],[Delivery Date]],_xlfn.XLOOKUP(KD$1,$BH$2:$BR$2,$BH37:$BR37,0),0)</f>
        <v>0</v>
      </c>
      <c r="KE37" s="26">
        <f>IF(KE$2=InputTable[[#This Row],[Delivery Date]],_xlfn.XLOOKUP(KE$1,$BH$2:$BR$2,$BH37:$BR37,0),0)</f>
        <v>0</v>
      </c>
      <c r="KF37" s="26">
        <f>IF(KF$2=InputTable[[#This Row],[Delivery Date]],_xlfn.XLOOKUP(KF$1,$BH$2:$BR$2,$BH37:$BR37,0),0)</f>
        <v>0</v>
      </c>
    </row>
    <row r="38" spans="1:292" ht="39.6" hidden="1" customHeight="1" x14ac:dyDescent="0.25">
      <c r="A38" s="141" t="s">
        <v>235</v>
      </c>
      <c r="B38" s="141" t="s">
        <v>114</v>
      </c>
      <c r="C38" s="92" t="s">
        <v>59</v>
      </c>
      <c r="D38" s="125" t="s">
        <v>236</v>
      </c>
      <c r="E38" s="142" t="s">
        <v>237</v>
      </c>
      <c r="F38" s="92" t="s">
        <v>96</v>
      </c>
      <c r="G38" s="114" t="s">
        <v>97</v>
      </c>
      <c r="H38" s="102" t="s">
        <v>139</v>
      </c>
      <c r="I38" s="98" t="s">
        <v>98</v>
      </c>
      <c r="J38" s="202"/>
      <c r="K38" s="95" t="e">
        <f>VLOOKUP((InputTable[[#This Row],[Starting Date]]&amp; " - " &amp;InputTable[[#This Row],[Delivery Date]]),'System List'!$F$40:$H$83,2,FALSE)</f>
        <v>#N/A</v>
      </c>
      <c r="L38" s="95" t="e">
        <f>VLOOKUP(InputTable[[#This Row],[Duration]],Duration,2,FALSE)</f>
        <v>#N/A</v>
      </c>
      <c r="M38" s="202"/>
      <c r="N38" s="98"/>
      <c r="O38" s="98" t="s">
        <v>100</v>
      </c>
      <c r="P38" s="98"/>
      <c r="Q38" s="98"/>
      <c r="R38" s="98" t="s">
        <v>139</v>
      </c>
      <c r="S38" s="92"/>
      <c r="T38" s="95" cm="1">
        <f t="array" ref="T3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</v>
      </c>
      <c r="U38" s="138"/>
      <c r="V38" s="98"/>
      <c r="W38" s="98" t="s">
        <v>111</v>
      </c>
      <c r="X38" s="98"/>
      <c r="Y38" s="100" t="s">
        <v>100</v>
      </c>
      <c r="Z38" s="98"/>
      <c r="AA38" s="98"/>
      <c r="AB38" s="100"/>
      <c r="AC38" s="98" t="s">
        <v>111</v>
      </c>
      <c r="AD38" s="92">
        <f>COUNTA(InputTable[[#This Row],[CORPHRFIN]:[SALES]])</f>
        <v>3</v>
      </c>
      <c r="AE38" s="88" cm="1">
        <f t="array" ref="AE38">SUM(
_xlfn.XLOOKUP(InputTable[[#This Row],[CORPHRFIN]:[SALES]],'System List'!$F$4:$F$7,'System List'!$H$4:$H$7,0))</f>
        <v>23</v>
      </c>
      <c r="AF38" s="140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88" cm="1">
        <f t="array" ref="AR38">SUM(
_xlfn.XLOOKUP(InputTable[[#This Row],[Impact on - CIAL]:[Impact on - STRAT]],'System List'!$F$4:$F$7,'System List'!$H$4:$H$7,0))</f>
        <v>0</v>
      </c>
      <c r="AS38" s="88" t="e">
        <f>VLOOKUP(InputTable[[#This Row],[Duration]],Duration,2,FALSE)+InputTable[[#This Row],[Resource Score]]</f>
        <v>#N/A</v>
      </c>
      <c r="AT3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38" s="24" t="e">
        <f>InputTable[[#This Row],[Value Score]]/InputTable[[#This Row],[EFFORT SCORE]]*100</f>
        <v>#N/A</v>
      </c>
      <c r="AV38" s="25" t="str">
        <f>InputTable[[#This Row],[IS Portfolio Ref ID]]</f>
        <v>ISPRJ-3</v>
      </c>
      <c r="AW38" s="25" t="s">
        <v>222</v>
      </c>
      <c r="AX38" s="208" t="s">
        <v>238</v>
      </c>
      <c r="AY38" s="25"/>
      <c r="AZ38" s="209">
        <v>0</v>
      </c>
      <c r="BA38" s="209">
        <v>0</v>
      </c>
      <c r="BB38" s="209"/>
      <c r="BC38" s="189">
        <f>SUM(InputTable[[#This Row],[Opex IS Budget (full project)]]+InputTable[[#This Row],[Capex IS Budget (full project)]])</f>
        <v>0</v>
      </c>
      <c r="BD38" s="188">
        <v>1</v>
      </c>
      <c r="BE38" s="188"/>
      <c r="BF38" s="70"/>
      <c r="BH38" s="2">
        <f>IFERROR(VLOOKUP(InputTable[[#This Row],[Impact on - CIAL]],'System List'!$F$4:$H$7,3,FALSE),0)</f>
        <v>0</v>
      </c>
      <c r="BI38" s="2">
        <f>IFERROR(VLOOKUP(InputTable[[#This Row],[Impact on - COM]],'System List'!$F$4:$H$7,3,FALSE),0)</f>
        <v>0</v>
      </c>
      <c r="BJ38" s="2">
        <f>IFERROR(VLOOKUP(InputTable[[#This Row],[Impact on - FIN]],'System List'!$F$4:$H$7,3,FALSE),0)</f>
        <v>0</v>
      </c>
      <c r="BK38" s="2">
        <f>IFERROR(VLOOKUP(InputTable[[#This Row],[Impact on - GEN SEC]],'System List'!$F$4:$H$7,3,FALSE),0)</f>
        <v>0</v>
      </c>
      <c r="BL38" s="2">
        <f>IFERROR(VLOOKUP(InputTable[[#This Row],[Impact on - HR]],'System List'!$F$4:$H$7,3,FALSE),0)</f>
        <v>0</v>
      </c>
      <c r="BM38" s="2">
        <f>IFERROR(VLOOKUP(InputTable[[#This Row],[Impact on - IS]],'System List'!$F$4:$H$7,3,FALSE),0)</f>
        <v>0</v>
      </c>
      <c r="BN38" s="2">
        <f>IFERROR(VLOOKUP(InputTable[[#This Row],[Impact on - OPS]],'System List'!$F$4:$H$7,3,FALSE),0)</f>
        <v>0</v>
      </c>
      <c r="BO38" s="2">
        <f>IFERROR(VLOOKUP(InputTable[[#This Row],[Impact on - ROLL STOCK]],'System List'!$F$4:$H$7,3,FALSE),0)</f>
        <v>0</v>
      </c>
      <c r="BP38" s="2">
        <f>IFERROR(VLOOKUP(InputTable[[#This Row],[Impact on - SAFETY]],'System List'!$F$4:$H$7,3,FALSE),0)</f>
        <v>0</v>
      </c>
      <c r="BQ38" s="2">
        <f>IFERROR(VLOOKUP(InputTable[[#This Row],[Impact on - STATION]],'System List'!$F$4:$H$7,3,FALSE),0)</f>
        <v>0</v>
      </c>
      <c r="BR38" s="2">
        <f>IFERROR(VLOOKUP(InputTable[[#This Row],[Impact on - STRAT]],'System List'!$F$4:$H$7,3,FALSE),0)</f>
        <v>0</v>
      </c>
      <c r="BT38" s="2">
        <f>IFERROR(VLOOKUP(InputTable[[#This Row],[CORPHRFIN]],'System List'!$F$4:$H$7,3,FALSE),0)</f>
        <v>0</v>
      </c>
      <c r="BU38" s="2">
        <f>IFERROR(VLOOKUP(InputTable[[#This Row],[CUST]],'System List'!$F$4:$H$7,3,FALSE),0)</f>
        <v>5</v>
      </c>
      <c r="BV38" s="2">
        <f>IFERROR(VLOOKUP(InputTable[[#This Row],[CYBER]],'System List'!$F$4:$H$7,3,FALSE),0)</f>
        <v>0</v>
      </c>
      <c r="BW38" s="2">
        <f>IFERROR(VLOOKUP(InputTable[[#This Row],[DATA]],'System List'!$F$4:$H$7,3,FALSE),0)</f>
        <v>13</v>
      </c>
      <c r="BX38" s="2">
        <f>IFERROR(VLOOKUP(InputTable[[#This Row],[INFRA]],'System List'!$F$4:$H$7,3,FALSE),0)</f>
        <v>0</v>
      </c>
      <c r="BY38" s="2">
        <f>IFERROR(VLOOKUP(InputTable[[#This Row],[OPERATIONS]],'System List'!$F$4:$H$7,3,FALSE),0)</f>
        <v>0</v>
      </c>
      <c r="BZ38" s="2">
        <f>IFERROR(VLOOKUP(InputTable[[#This Row],[PMO]],'System List'!$F$4:$H$7,3,FALSE),0)</f>
        <v>0</v>
      </c>
      <c r="CA38" s="2">
        <f>IFERROR(VLOOKUP(InputTable[[#This Row],[SALES]],'System List'!$F$4:$H$7,3,FALSE),0)</f>
        <v>5</v>
      </c>
      <c r="CC38" s="2" cm="1">
        <f t="array" ref="CC3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38" s="2" cm="1">
        <f t="array" ref="CD3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38" s="2" cm="1">
        <f t="array" ref="CE3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38" s="2" cm="1">
        <f t="array" ref="CF3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38" s="2" cm="1">
        <f t="array" ref="CG3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38" s="2" cm="1">
        <f t="array" ref="CH3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38" s="2" cm="1">
        <f t="array" ref="CI3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38" s="2" cm="1">
        <f t="array" ref="CJ3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38" s="2" cm="1">
        <f t="array" ref="CK3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3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3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3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3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3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3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3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3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3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38" s="26">
        <f t="shared" si="78"/>
        <v>0</v>
      </c>
      <c r="CY38" s="26">
        <f t="shared" si="79"/>
        <v>0</v>
      </c>
      <c r="CZ38" s="26">
        <f t="shared" si="80"/>
        <v>0</v>
      </c>
      <c r="DA38" s="26">
        <f t="shared" si="81"/>
        <v>0</v>
      </c>
      <c r="DB38" s="26">
        <f t="shared" si="82"/>
        <v>0</v>
      </c>
      <c r="DC38" s="26">
        <f t="shared" si="83"/>
        <v>0</v>
      </c>
      <c r="DD38" s="26">
        <f t="shared" si="84"/>
        <v>0</v>
      </c>
      <c r="DE38" s="26">
        <f t="shared" si="85"/>
        <v>0</v>
      </c>
      <c r="DF38" s="26">
        <f t="shared" si="86"/>
        <v>0</v>
      </c>
      <c r="DH38" s="26">
        <f t="shared" si="87"/>
        <v>0</v>
      </c>
      <c r="DI38" s="26">
        <f t="shared" si="88"/>
        <v>0</v>
      </c>
      <c r="DJ38" s="26">
        <f t="shared" si="89"/>
        <v>5</v>
      </c>
      <c r="DK38" s="26">
        <f t="shared" si="90"/>
        <v>5</v>
      </c>
      <c r="DL38" s="26">
        <f t="shared" si="91"/>
        <v>5</v>
      </c>
      <c r="DM38" s="26">
        <f t="shared" si="92"/>
        <v>5</v>
      </c>
      <c r="DN38" s="26">
        <f t="shared" si="93"/>
        <v>0</v>
      </c>
      <c r="DO38" s="26">
        <f t="shared" si="94"/>
        <v>0</v>
      </c>
      <c r="DP38" s="26">
        <f t="shared" si="95"/>
        <v>0</v>
      </c>
      <c r="DR38" s="26">
        <f t="shared" si="96"/>
        <v>0</v>
      </c>
      <c r="DS38" s="26">
        <f t="shared" si="97"/>
        <v>0</v>
      </c>
      <c r="DT38" s="26">
        <f t="shared" si="98"/>
        <v>0</v>
      </c>
      <c r="DU38" s="26">
        <f t="shared" si="99"/>
        <v>0</v>
      </c>
      <c r="DV38" s="26">
        <f t="shared" si="100"/>
        <v>0</v>
      </c>
      <c r="DW38" s="26">
        <f t="shared" si="101"/>
        <v>0</v>
      </c>
      <c r="DX38" s="26">
        <f t="shared" si="102"/>
        <v>0</v>
      </c>
      <c r="DY38" s="26">
        <f t="shared" si="103"/>
        <v>0</v>
      </c>
      <c r="DZ38" s="26">
        <f t="shared" si="104"/>
        <v>0</v>
      </c>
      <c r="EB38" s="26">
        <f t="shared" si="105"/>
        <v>0</v>
      </c>
      <c r="EC38" s="26">
        <f t="shared" si="106"/>
        <v>0</v>
      </c>
      <c r="ED38" s="26">
        <f t="shared" si="107"/>
        <v>13</v>
      </c>
      <c r="EE38" s="26">
        <f t="shared" si="108"/>
        <v>13</v>
      </c>
      <c r="EF38" s="26">
        <f t="shared" si="109"/>
        <v>13</v>
      </c>
      <c r="EG38" s="26">
        <f t="shared" si="110"/>
        <v>13</v>
      </c>
      <c r="EH38" s="26">
        <f t="shared" si="111"/>
        <v>0</v>
      </c>
      <c r="EI38" s="26">
        <f t="shared" si="112"/>
        <v>0</v>
      </c>
      <c r="EJ38" s="26">
        <f t="shared" si="113"/>
        <v>0</v>
      </c>
      <c r="EL38" s="26">
        <f t="shared" si="114"/>
        <v>0</v>
      </c>
      <c r="EM38" s="26">
        <f t="shared" si="115"/>
        <v>0</v>
      </c>
      <c r="EN38" s="26">
        <f t="shared" si="116"/>
        <v>0</v>
      </c>
      <c r="EO38" s="26">
        <f t="shared" si="117"/>
        <v>0</v>
      </c>
      <c r="EP38" s="26">
        <f t="shared" si="118"/>
        <v>0</v>
      </c>
      <c r="EQ38" s="26">
        <f t="shared" si="119"/>
        <v>0</v>
      </c>
      <c r="ER38" s="26">
        <f t="shared" si="120"/>
        <v>0</v>
      </c>
      <c r="ES38" s="26">
        <f t="shared" si="121"/>
        <v>0</v>
      </c>
      <c r="ET38" s="26">
        <f t="shared" si="122"/>
        <v>0</v>
      </c>
      <c r="EV38" s="26">
        <f t="shared" si="123"/>
        <v>0</v>
      </c>
      <c r="EW38" s="26">
        <f t="shared" si="124"/>
        <v>0</v>
      </c>
      <c r="EX38" s="26">
        <f t="shared" si="125"/>
        <v>0</v>
      </c>
      <c r="EY38" s="26">
        <f t="shared" si="126"/>
        <v>0</v>
      </c>
      <c r="EZ38" s="26">
        <f t="shared" si="127"/>
        <v>0</v>
      </c>
      <c r="FA38" s="26">
        <f t="shared" si="128"/>
        <v>0</v>
      </c>
      <c r="FB38" s="26">
        <f t="shared" si="129"/>
        <v>0</v>
      </c>
      <c r="FC38" s="26">
        <f t="shared" si="130"/>
        <v>0</v>
      </c>
      <c r="FD38" s="26">
        <f t="shared" si="131"/>
        <v>0</v>
      </c>
      <c r="FF38" s="26">
        <f t="shared" si="132"/>
        <v>0</v>
      </c>
      <c r="FG38" s="26">
        <f t="shared" si="133"/>
        <v>0</v>
      </c>
      <c r="FH38" s="26">
        <f t="shared" si="134"/>
        <v>0</v>
      </c>
      <c r="FI38" s="26">
        <f t="shared" si="135"/>
        <v>0</v>
      </c>
      <c r="FJ38" s="26">
        <f t="shared" si="136"/>
        <v>0</v>
      </c>
      <c r="FK38" s="26">
        <f t="shared" si="137"/>
        <v>0</v>
      </c>
      <c r="FL38" s="26">
        <f t="shared" si="138"/>
        <v>0</v>
      </c>
      <c r="FM38" s="26">
        <f t="shared" si="139"/>
        <v>0</v>
      </c>
      <c r="FN38" s="26">
        <f t="shared" si="140"/>
        <v>0</v>
      </c>
      <c r="FP38" s="26" t="e">
        <f t="shared" si="141"/>
        <v>#REF!</v>
      </c>
      <c r="FQ38" s="26" t="e">
        <f t="shared" si="142"/>
        <v>#REF!</v>
      </c>
      <c r="FR38" s="26" t="e">
        <f t="shared" si="143"/>
        <v>#REF!</v>
      </c>
      <c r="FS38" s="26" t="e">
        <f t="shared" si="144"/>
        <v>#REF!</v>
      </c>
      <c r="FT38" s="26" t="e">
        <f t="shared" si="145"/>
        <v>#REF!</v>
      </c>
      <c r="FU38" s="26" t="e">
        <f t="shared" si="146"/>
        <v>#REF!</v>
      </c>
      <c r="FV38" s="26" t="e">
        <f t="shared" si="147"/>
        <v>#REF!</v>
      </c>
      <c r="FW38" s="26" t="e">
        <f t="shared" si="148"/>
        <v>#REF!</v>
      </c>
      <c r="FX38" s="26" t="e">
        <f t="shared" si="149"/>
        <v>#REF!</v>
      </c>
      <c r="GB38" s="26" t="e">
        <f>IF(GB$2=InputTable[[#This Row],[Delivery Date]],_xlfn.XLOOKUP(GB$1,$BH$2:$BR$2,$BH38:$BR38,0),0)</f>
        <v>#REF!</v>
      </c>
      <c r="GC38" s="26">
        <f>IF(GC$2=InputTable[[#This Row],[Delivery Date]],_xlfn.XLOOKUP(GC$1,$BH$2:$BR$2,$BH38:$BR38,0),0)</f>
        <v>0</v>
      </c>
      <c r="GD38" s="26">
        <f>IF(GD$2=InputTable[[#This Row],[Delivery Date]],_xlfn.XLOOKUP(GD$1,$BH$2:$BR$2,$BH38:$BR38,0),0)</f>
        <v>0</v>
      </c>
      <c r="GE38" s="26">
        <f>IF(GE$2=InputTable[[#This Row],[Delivery Date]],_xlfn.XLOOKUP(GE$1,$BH$2:$BR$2,$BH38:$BR38,0),0)</f>
        <v>0</v>
      </c>
      <c r="GF38" s="26">
        <f>IF(GF$2=InputTable[[#This Row],[Delivery Date]],_xlfn.XLOOKUP(GF$1,$BH$2:$BR$2,$BH38:$BR38,0),0)</f>
        <v>0</v>
      </c>
      <c r="GG38" s="26">
        <f>IF(GG$2=InputTable[[#This Row],[Delivery Date]],_xlfn.XLOOKUP(GG$1,$BH$2:$BR$2,$BH38:$BR38,0),0)</f>
        <v>0</v>
      </c>
      <c r="GH38" s="26">
        <f>IF(GH$2=InputTable[[#This Row],[Delivery Date]],_xlfn.XLOOKUP(GH$1,$BH$2:$BR$2,$BH38:$BR38,0),0)</f>
        <v>0</v>
      </c>
      <c r="GI38" s="26">
        <f>IF(GI$2=InputTable[[#This Row],[Delivery Date]],_xlfn.XLOOKUP(GI$1,$BH$2:$BR$2,$BH38:$BR38,0),0)</f>
        <v>0</v>
      </c>
      <c r="GJ38" s="26">
        <f>IF(GJ$2=InputTable[[#This Row],[Delivery Date]],_xlfn.XLOOKUP(GJ$1,$BH$2:$BR$2,$BH38:$BR38,0),0)</f>
        <v>0</v>
      </c>
      <c r="GL38" s="26" t="e">
        <f>IF(GL$2=InputTable[[#This Row],[Delivery Date]],_xlfn.XLOOKUP(GL$1,$BH$2:$BR$2,$BH38:$BR38,0),0)</f>
        <v>#REF!</v>
      </c>
      <c r="GM38" s="26">
        <f>IF(GM$2=InputTable[[#This Row],[Delivery Date]],_xlfn.XLOOKUP(GM$1,$BH$2:$BR$2,$BH38:$BR38,0),0)</f>
        <v>0</v>
      </c>
      <c r="GN38" s="26">
        <f>IF(GN$2=InputTable[[#This Row],[Delivery Date]],_xlfn.XLOOKUP(GN$1,$BH$2:$BR$2,$BH38:$BR38,0),0)</f>
        <v>0</v>
      </c>
      <c r="GO38" s="26">
        <f>IF(GO$2=InputTable[[#This Row],[Delivery Date]],_xlfn.XLOOKUP(GO$1,$BH$2:$BR$2,$BH38:$BR38,0),0)</f>
        <v>0</v>
      </c>
      <c r="GP38" s="26">
        <f>IF(GP$2=InputTable[[#This Row],[Delivery Date]],_xlfn.XLOOKUP(GP$1,$BH$2:$BR$2,$BH38:$BR38,0),0)</f>
        <v>0</v>
      </c>
      <c r="GQ38" s="26">
        <f>IF(GQ$2=InputTable[[#This Row],[Delivery Date]],_xlfn.XLOOKUP(GQ$1,$BH$2:$BR$2,$BH38:$BR38,0),0)</f>
        <v>0</v>
      </c>
      <c r="GR38" s="26">
        <f>IF(GR$2=InputTable[[#This Row],[Delivery Date]],_xlfn.XLOOKUP(GR$1,$BH$2:$BR$2,$BH38:$BR38,0),0)</f>
        <v>0</v>
      </c>
      <c r="GS38" s="26">
        <f>IF(GS$2=InputTable[[#This Row],[Delivery Date]],_xlfn.XLOOKUP(GS$1,$BH$2:$BR$2,$BH38:$BR38,0),0)</f>
        <v>0</v>
      </c>
      <c r="GT38" s="26">
        <f>IF(GT$2=InputTable[[#This Row],[Delivery Date]],_xlfn.XLOOKUP(GT$1,$BH$2:$BR$2,$BH38:$BR38,0),0)</f>
        <v>0</v>
      </c>
      <c r="GV38" s="26" t="e">
        <f>IF(GV$2=InputTable[[#This Row],[Delivery Date]],_xlfn.XLOOKUP(GV$1,$BH$2:$BR$2,$BH38:$BR38,0),0)</f>
        <v>#REF!</v>
      </c>
      <c r="GW38" s="26">
        <f>IF(GW$2=InputTable[[#This Row],[Delivery Date]],_xlfn.XLOOKUP(GW$1,$BH$2:$BR$2,$BH38:$BR38,0),0)</f>
        <v>0</v>
      </c>
      <c r="GX38" s="26">
        <f>IF(GX$2=InputTable[[#This Row],[Delivery Date]],_xlfn.XLOOKUP(GX$1,$BH$2:$BR$2,$BH38:$BR38,0),0)</f>
        <v>0</v>
      </c>
      <c r="GY38" s="26">
        <f>IF(GY$2=InputTable[[#This Row],[Delivery Date]],_xlfn.XLOOKUP(GY$1,$BH$2:$BR$2,$BH38:$BR38,0),0)</f>
        <v>0</v>
      </c>
      <c r="GZ38" s="26">
        <f>IF(GZ$2=InputTable[[#This Row],[Delivery Date]],_xlfn.XLOOKUP(GZ$1,$BH$2:$BR$2,$BH38:$BR38,0),0)</f>
        <v>0</v>
      </c>
      <c r="HA38" s="26">
        <f>IF(HA$2=InputTable[[#This Row],[Delivery Date]],_xlfn.XLOOKUP(HA$1,$BH$2:$BR$2,$BH38:$BR38,0),0)</f>
        <v>0</v>
      </c>
      <c r="HB38" s="26">
        <f>IF(HB$2=InputTable[[#This Row],[Delivery Date]],_xlfn.XLOOKUP(HB$1,$BH$2:$BR$2,$BH38:$BR38,0),0)</f>
        <v>0</v>
      </c>
      <c r="HC38" s="26">
        <f>IF(HC$2=InputTable[[#This Row],[Delivery Date]],_xlfn.XLOOKUP(HC$1,$BH$2:$BR$2,$BH38:$BR38,0),0)</f>
        <v>0</v>
      </c>
      <c r="HD38" s="26">
        <f>IF(HD$2=InputTable[[#This Row],[Delivery Date]],_xlfn.XLOOKUP(HD$1,$BH$2:$BR$2,$BH38:$BR38,0),0)</f>
        <v>0</v>
      </c>
      <c r="HF38" s="26" t="e">
        <f>IF(HF$2=InputTable[[#This Row],[Delivery Date]],_xlfn.XLOOKUP(HF$1,$BH$2:$BR$2,$BH38:$BR38,0),0)</f>
        <v>#REF!</v>
      </c>
      <c r="HG38" s="26">
        <f>IF(HG$2=InputTable[[#This Row],[Delivery Date]],_xlfn.XLOOKUP(HG$1,$BH$2:$BR$2,$BH38:$BR38,0),0)</f>
        <v>0</v>
      </c>
      <c r="HH38" s="26">
        <f>IF(HH$2=InputTable[[#This Row],[Delivery Date]],_xlfn.XLOOKUP(HH$1,$BH$2:$BR$2,$BH38:$BR38,0),0)</f>
        <v>0</v>
      </c>
      <c r="HI38" s="26">
        <f>IF(HI$2=InputTable[[#This Row],[Delivery Date]],_xlfn.XLOOKUP(HI$1,$BH$2:$BR$2,$BH38:$BR38,0),0)</f>
        <v>0</v>
      </c>
      <c r="HJ38" s="26">
        <f>IF(HJ$2=InputTable[[#This Row],[Delivery Date]],_xlfn.XLOOKUP(HJ$1,$BH$2:$BR$2,$BH38:$BR38,0),0)</f>
        <v>0</v>
      </c>
      <c r="HK38" s="26">
        <f>IF(HK$2=InputTable[[#This Row],[Delivery Date]],_xlfn.XLOOKUP(HK$1,$BH$2:$BR$2,$BH38:$BR38,0),0)</f>
        <v>0</v>
      </c>
      <c r="HL38" s="26">
        <f>IF(HL$2=InputTable[[#This Row],[Delivery Date]],_xlfn.XLOOKUP(HL$1,$BH$2:$BR$2,$BH38:$BR38,0),0)</f>
        <v>0</v>
      </c>
      <c r="HM38" s="26">
        <f>IF(HM$2=InputTable[[#This Row],[Delivery Date]],_xlfn.XLOOKUP(HM$1,$BH$2:$BR$2,$BH38:$BR38,0),0)</f>
        <v>0</v>
      </c>
      <c r="HN38" s="26">
        <f>IF(HN$2=InputTable[[#This Row],[Delivery Date]],_xlfn.XLOOKUP(HN$1,$BH$2:$BR$2,$BH38:$BR38,0),0)</f>
        <v>0</v>
      </c>
      <c r="HP38" s="26" t="e">
        <f>IF(HP$2=InputTable[[#This Row],[Delivery Date]],_xlfn.XLOOKUP(HP$1,$BH$2:$BR$2,$BH38:$BR38,0),0)</f>
        <v>#REF!</v>
      </c>
      <c r="HQ38" s="26">
        <f>IF(HQ$2=InputTable[[#This Row],[Delivery Date]],_xlfn.XLOOKUP(HQ$1,$BH$2:$BR$2,$BH38:$BR38,0),0)</f>
        <v>0</v>
      </c>
      <c r="HR38" s="26">
        <f>IF(HR$2=InputTable[[#This Row],[Delivery Date]],_xlfn.XLOOKUP(HR$1,$BH$2:$BR$2,$BH38:$BR38,0),0)</f>
        <v>0</v>
      </c>
      <c r="HS38" s="26">
        <f>IF(HS$2=InputTable[[#This Row],[Delivery Date]],_xlfn.XLOOKUP(HS$1,$BH$2:$BR$2,$BH38:$BR38,0),0)</f>
        <v>0</v>
      </c>
      <c r="HT38" s="26">
        <f>IF(HT$2=InputTable[[#This Row],[Delivery Date]],_xlfn.XLOOKUP(HT$1,$BH$2:$BR$2,$BH38:$BR38,0),0)</f>
        <v>0</v>
      </c>
      <c r="HU38" s="26">
        <f>IF(HU$2=InputTable[[#This Row],[Delivery Date]],_xlfn.XLOOKUP(HU$1,$BH$2:$BR$2,$BH38:$BR38,0),0)</f>
        <v>0</v>
      </c>
      <c r="HV38" s="26">
        <f>IF(HV$2=InputTable[[#This Row],[Delivery Date]],_xlfn.XLOOKUP(HV$1,$BH$2:$BR$2,$BH38:$BR38,0),0)</f>
        <v>0</v>
      </c>
      <c r="HW38" s="26">
        <f>IF(HW$2=InputTable[[#This Row],[Delivery Date]],_xlfn.XLOOKUP(HW$1,$BH$2:$BR$2,$BH38:$BR38,0),0)</f>
        <v>0</v>
      </c>
      <c r="HX38" s="26">
        <f>IF(HX$2=InputTable[[#This Row],[Delivery Date]],_xlfn.XLOOKUP(HX$1,$BH$2:$BR$2,$BH38:$BR38,0),0)</f>
        <v>0</v>
      </c>
      <c r="HZ38" s="26" t="e">
        <f>IF(HZ$2=InputTable[[#This Row],[Delivery Date]],_xlfn.XLOOKUP(HZ$1,$BH$2:$BR$2,$BH38:$BR38,0),0)</f>
        <v>#REF!</v>
      </c>
      <c r="IA38" s="26">
        <f>IF(IA$2=InputTable[[#This Row],[Delivery Date]],_xlfn.XLOOKUP(IA$1,$BH$2:$BR$2,$BH38:$BR38,0),0)</f>
        <v>0</v>
      </c>
      <c r="IB38" s="26">
        <f>IF(IB$2=InputTable[[#This Row],[Delivery Date]],_xlfn.XLOOKUP(IB$1,$BH$2:$BR$2,$BH38:$BR38,0),0)</f>
        <v>0</v>
      </c>
      <c r="IC38" s="26">
        <f>IF(IC$2=InputTable[[#This Row],[Delivery Date]],_xlfn.XLOOKUP(IC$1,$BH$2:$BR$2,$BH38:$BR38,0),0)</f>
        <v>0</v>
      </c>
      <c r="ID38" s="26">
        <f>IF(ID$2=InputTable[[#This Row],[Delivery Date]],_xlfn.XLOOKUP(ID$1,$BH$2:$BR$2,$BH38:$BR38,0),0)</f>
        <v>0</v>
      </c>
      <c r="IE38" s="26">
        <f>IF(IE$2=InputTable[[#This Row],[Delivery Date]],_xlfn.XLOOKUP(IE$1,$BH$2:$BR$2,$BH38:$BR38,0),0)</f>
        <v>0</v>
      </c>
      <c r="IF38" s="26">
        <f>IF(IF$2=InputTable[[#This Row],[Delivery Date]],_xlfn.XLOOKUP(IF$1,$BH$2:$BR$2,$BH38:$BR38,0),0)</f>
        <v>0</v>
      </c>
      <c r="IG38" s="26">
        <f>IF(IG$2=InputTable[[#This Row],[Delivery Date]],_xlfn.XLOOKUP(IG$1,$BH$2:$BR$2,$BH38:$BR38,0),0)</f>
        <v>0</v>
      </c>
      <c r="IH38" s="26">
        <f>IF(IH$2=InputTable[[#This Row],[Delivery Date]],_xlfn.XLOOKUP(IH$1,$BH$2:$BR$2,$BH38:$BR38,0),0)</f>
        <v>0</v>
      </c>
      <c r="IJ38" s="26" t="e">
        <f>IF(IJ$2=InputTable[[#This Row],[Delivery Date]],_xlfn.XLOOKUP(IJ$1,$BH$2:$BR$2,$BH38:$BR38,0),0)</f>
        <v>#REF!</v>
      </c>
      <c r="IK38" s="26">
        <f>IF(IK$2=InputTable[[#This Row],[Delivery Date]],_xlfn.XLOOKUP(IK$1,$BH$2:$BR$2,$BH38:$BR38,0),0)</f>
        <v>0</v>
      </c>
      <c r="IL38" s="26">
        <f>IF(IL$2=InputTable[[#This Row],[Delivery Date]],_xlfn.XLOOKUP(IL$1,$BH$2:$BR$2,$BH38:$BR38,0),0)</f>
        <v>0</v>
      </c>
      <c r="IM38" s="26">
        <f>IF(IM$2=InputTable[[#This Row],[Delivery Date]],_xlfn.XLOOKUP(IM$1,$BH$2:$BR$2,$BH38:$BR38,0),0)</f>
        <v>0</v>
      </c>
      <c r="IN38" s="26">
        <f>IF(IN$2=InputTable[[#This Row],[Delivery Date]],_xlfn.XLOOKUP(IN$1,$BH$2:$BR$2,$BH38:$BR38,0),0)</f>
        <v>0</v>
      </c>
      <c r="IO38" s="26">
        <f>IF(IO$2=InputTable[[#This Row],[Delivery Date]],_xlfn.XLOOKUP(IO$1,$BH$2:$BR$2,$BH38:$BR38,0),0)</f>
        <v>0</v>
      </c>
      <c r="IP38" s="26">
        <f>IF(IP$2=InputTable[[#This Row],[Delivery Date]],_xlfn.XLOOKUP(IP$1,$BH$2:$BR$2,$BH38:$BR38,0),0)</f>
        <v>0</v>
      </c>
      <c r="IQ38" s="26">
        <f>IF(IQ$2=InputTable[[#This Row],[Delivery Date]],_xlfn.XLOOKUP(IQ$1,$BH$2:$BR$2,$BH38:$BR38,0),0)</f>
        <v>0</v>
      </c>
      <c r="IR38" s="26">
        <f>IF(IR$2=InputTable[[#This Row],[Delivery Date]],_xlfn.XLOOKUP(IR$1,$BH$2:$BR$2,$BH38:$BR38,0),0)</f>
        <v>0</v>
      </c>
      <c r="IT38" s="26" t="e">
        <f>IF(IT$2=InputTable[[#This Row],[Delivery Date]],_xlfn.XLOOKUP(IT$1,$BH$2:$BR$2,$BH38:$BR38,0),0)</f>
        <v>#REF!</v>
      </c>
      <c r="IU38" s="26">
        <f>IF(IU$2=InputTable[[#This Row],[Delivery Date]],_xlfn.XLOOKUP(IU$1,$BH$2:$BR$2,$BH38:$BR38,0),0)</f>
        <v>0</v>
      </c>
      <c r="IV38" s="26">
        <f>IF(IV$2=InputTable[[#This Row],[Delivery Date]],_xlfn.XLOOKUP(IV$1,$BH$2:$BR$2,$BH38:$BR38,0),0)</f>
        <v>0</v>
      </c>
      <c r="IW38" s="26">
        <f>IF(IW$2=InputTable[[#This Row],[Delivery Date]],_xlfn.XLOOKUP(IW$1,$BH$2:$BR$2,$BH38:$BR38,0),0)</f>
        <v>0</v>
      </c>
      <c r="IX38" s="26">
        <f>IF(IX$2=InputTable[[#This Row],[Delivery Date]],_xlfn.XLOOKUP(IX$1,$BH$2:$BR$2,$BH38:$BR38,0),0)</f>
        <v>0</v>
      </c>
      <c r="IY38" s="26">
        <f>IF(IY$2=InputTable[[#This Row],[Delivery Date]],_xlfn.XLOOKUP(IY$1,$BH$2:$BR$2,$BH38:$BR38,0),0)</f>
        <v>0</v>
      </c>
      <c r="IZ38" s="26">
        <f>IF(IZ$2=InputTable[[#This Row],[Delivery Date]],_xlfn.XLOOKUP(IZ$1,$BH$2:$BR$2,$BH38:$BR38,0),0)</f>
        <v>0</v>
      </c>
      <c r="JA38" s="26">
        <f>IF(JA$2=InputTable[[#This Row],[Delivery Date]],_xlfn.XLOOKUP(JA$1,$BH$2:$BR$2,$BH38:$BR38,0),0)</f>
        <v>0</v>
      </c>
      <c r="JB38" s="26">
        <f>IF(JB$2=InputTable[[#This Row],[Delivery Date]],_xlfn.XLOOKUP(JB$1,$BH$2:$BR$2,$BH38:$BR38,0),0)</f>
        <v>0</v>
      </c>
      <c r="JD38" s="26" t="e">
        <f>IF(JD$2=InputTable[[#This Row],[Delivery Date]],_xlfn.XLOOKUP(JD$1,$BH$2:$BR$2,$BH38:$BR38,0),0)</f>
        <v>#REF!</v>
      </c>
      <c r="JE38" s="26">
        <f>IF(JE$2=InputTable[[#This Row],[Delivery Date]],_xlfn.XLOOKUP(JE$1,$BH$2:$BR$2,$BH38:$BR38,0),0)</f>
        <v>0</v>
      </c>
      <c r="JF38" s="26">
        <f>IF(JF$2=InputTable[[#This Row],[Delivery Date]],_xlfn.XLOOKUP(JF$1,$BH$2:$BR$2,$BH38:$BR38,0),0)</f>
        <v>0</v>
      </c>
      <c r="JG38" s="26">
        <f>IF(JG$2=InputTable[[#This Row],[Delivery Date]],_xlfn.XLOOKUP(JG$1,$BH$2:$BR$2,$BH38:$BR38,0),0)</f>
        <v>0</v>
      </c>
      <c r="JH38" s="26">
        <f>IF(JH$2=InputTable[[#This Row],[Delivery Date]],_xlfn.XLOOKUP(JH$1,$BH$2:$BR$2,$BH38:$BR38,0),0)</f>
        <v>0</v>
      </c>
      <c r="JI38" s="26">
        <f>IF(JI$2=InputTable[[#This Row],[Delivery Date]],_xlfn.XLOOKUP(JI$1,$BH$2:$BR$2,$BH38:$BR38,0),0)</f>
        <v>0</v>
      </c>
      <c r="JJ38" s="26">
        <f>IF(JJ$2=InputTable[[#This Row],[Delivery Date]],_xlfn.XLOOKUP(JJ$1,$BH$2:$BR$2,$BH38:$BR38,0),0)</f>
        <v>0</v>
      </c>
      <c r="JK38" s="26">
        <f>IF(JK$2=InputTable[[#This Row],[Delivery Date]],_xlfn.XLOOKUP(JK$1,$BH$2:$BR$2,$BH38:$BR38,0),0)</f>
        <v>0</v>
      </c>
      <c r="JL38" s="26">
        <f>IF(JL$2=InputTable[[#This Row],[Delivery Date]],_xlfn.XLOOKUP(JL$1,$BH$2:$BR$2,$BH38:$BR38,0),0)</f>
        <v>0</v>
      </c>
      <c r="JN38" s="26" t="e">
        <f>IF(JN$2=InputTable[[#This Row],[Delivery Date]],_xlfn.XLOOKUP(JN$1,$BH$2:$BR$2,$BH38:$BR38,0),0)</f>
        <v>#REF!</v>
      </c>
      <c r="JO38" s="26">
        <f>IF(JO$2=InputTable[[#This Row],[Delivery Date]],_xlfn.XLOOKUP(JO$1,$BH$2:$BR$2,$BH38:$BR38,0),0)</f>
        <v>0</v>
      </c>
      <c r="JP38" s="26">
        <f>IF(JP$2=InputTable[[#This Row],[Delivery Date]],_xlfn.XLOOKUP(JP$1,$BH$2:$BR$2,$BH38:$BR38,0),0)</f>
        <v>0</v>
      </c>
      <c r="JQ38" s="26">
        <f>IF(JQ$2=InputTable[[#This Row],[Delivery Date]],_xlfn.XLOOKUP(JQ$1,$BH$2:$BR$2,$BH38:$BR38,0),0)</f>
        <v>0</v>
      </c>
      <c r="JR38" s="26">
        <f>IF(JR$2=InputTable[[#This Row],[Delivery Date]],_xlfn.XLOOKUP(JR$1,$BH$2:$BR$2,$BH38:$BR38,0),0)</f>
        <v>0</v>
      </c>
      <c r="JS38" s="26">
        <f>IF(JS$2=InputTable[[#This Row],[Delivery Date]],_xlfn.XLOOKUP(JS$1,$BH$2:$BR$2,$BH38:$BR38,0),0)</f>
        <v>0</v>
      </c>
      <c r="JT38" s="26">
        <f>IF(JT$2=InputTable[[#This Row],[Delivery Date]],_xlfn.XLOOKUP(JT$1,$BH$2:$BR$2,$BH38:$BR38,0),0)</f>
        <v>0</v>
      </c>
      <c r="JU38" s="26">
        <f>IF(JU$2=InputTable[[#This Row],[Delivery Date]],_xlfn.XLOOKUP(JU$1,$BH$2:$BR$2,$BH38:$BR38,0),0)</f>
        <v>0</v>
      </c>
      <c r="JV38" s="26">
        <f>IF(JV$2=InputTable[[#This Row],[Delivery Date]],_xlfn.XLOOKUP(JV$1,$BH$2:$BR$2,$BH38:$BR38,0),0)</f>
        <v>0</v>
      </c>
      <c r="JX38" s="26" t="e">
        <f>IF(JX$2=InputTable[[#This Row],[Delivery Date]],_xlfn.XLOOKUP(JX$1,$BH$2:$BR$2,$BH38:$BR38,0),0)</f>
        <v>#REF!</v>
      </c>
      <c r="JY38" s="26">
        <f>IF(JY$2=InputTable[[#This Row],[Delivery Date]],_xlfn.XLOOKUP(JY$1,$BH$2:$BR$2,$BH38:$BR38,0),0)</f>
        <v>0</v>
      </c>
      <c r="JZ38" s="26">
        <f>IF(JZ$2=InputTable[[#This Row],[Delivery Date]],_xlfn.XLOOKUP(JZ$1,$BH$2:$BR$2,$BH38:$BR38,0),0)</f>
        <v>0</v>
      </c>
      <c r="KA38" s="26">
        <f>IF(KA$2=InputTable[[#This Row],[Delivery Date]],_xlfn.XLOOKUP(KA$1,$BH$2:$BR$2,$BH38:$BR38,0),0)</f>
        <v>0</v>
      </c>
      <c r="KB38" s="26">
        <f>IF(KB$2=InputTable[[#This Row],[Delivery Date]],_xlfn.XLOOKUP(KB$1,$BH$2:$BR$2,$BH38:$BR38,0),0)</f>
        <v>0</v>
      </c>
      <c r="KC38" s="26">
        <f>IF(KC$2=InputTable[[#This Row],[Delivery Date]],_xlfn.XLOOKUP(KC$1,$BH$2:$BR$2,$BH38:$BR38,0),0)</f>
        <v>0</v>
      </c>
      <c r="KD38" s="26">
        <f>IF(KD$2=InputTable[[#This Row],[Delivery Date]],_xlfn.XLOOKUP(KD$1,$BH$2:$BR$2,$BH38:$BR38,0),0)</f>
        <v>0</v>
      </c>
      <c r="KE38" s="26">
        <f>IF(KE$2=InputTable[[#This Row],[Delivery Date]],_xlfn.XLOOKUP(KE$1,$BH$2:$BR$2,$BH38:$BR38,0),0)</f>
        <v>0</v>
      </c>
      <c r="KF38" s="26">
        <f>IF(KF$2=InputTable[[#This Row],[Delivery Date]],_xlfn.XLOOKUP(KF$1,$BH$2:$BR$2,$BH38:$BR38,0),0)</f>
        <v>0</v>
      </c>
    </row>
    <row r="39" spans="1:292" ht="39.6" customHeight="1" x14ac:dyDescent="0.25">
      <c r="A39" s="141" t="s">
        <v>134</v>
      </c>
      <c r="B39" s="141" t="s">
        <v>104</v>
      </c>
      <c r="C39" s="92" t="s">
        <v>56</v>
      </c>
      <c r="D39" s="125" t="s">
        <v>239</v>
      </c>
      <c r="E39" s="193" t="s">
        <v>240</v>
      </c>
      <c r="F39" s="92" t="s">
        <v>241</v>
      </c>
      <c r="G39" s="114">
        <v>2026</v>
      </c>
      <c r="H39" s="102" t="s">
        <v>100</v>
      </c>
      <c r="I39" s="98" t="s">
        <v>242</v>
      </c>
      <c r="J39" s="126" t="s">
        <v>145</v>
      </c>
      <c r="K39" s="95" t="str">
        <f>VLOOKUP((InputTable[[#This Row],[Starting Date]]&amp; " - " &amp;InputTable[[#This Row],[Delivery Date]]),'System List'!$F$40:$H$83,2,FALSE)</f>
        <v>&gt;2 Years</v>
      </c>
      <c r="L39" s="95">
        <f>VLOOKUP(InputTable[[#This Row],[Duration]],Duration,2,FALSE)</f>
        <v>13</v>
      </c>
      <c r="M39" s="126" t="s">
        <v>138</v>
      </c>
      <c r="N39" s="98"/>
      <c r="O39" s="98"/>
      <c r="P39" s="98"/>
      <c r="Q39" s="98" t="s">
        <v>100</v>
      </c>
      <c r="R39" s="98" t="s">
        <v>139</v>
      </c>
      <c r="S39" s="92"/>
      <c r="T39" s="95" cm="1">
        <f t="array" ref="T3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3.7</v>
      </c>
      <c r="U39" s="138"/>
      <c r="V39" s="98" t="s">
        <v>100</v>
      </c>
      <c r="W39" s="98"/>
      <c r="X39" s="98" t="s">
        <v>111</v>
      </c>
      <c r="Y39" s="98" t="s">
        <v>139</v>
      </c>
      <c r="Z39" s="98" t="s">
        <v>139</v>
      </c>
      <c r="AA39" s="98"/>
      <c r="AB39" s="98" t="s">
        <v>139</v>
      </c>
      <c r="AC39" s="98"/>
      <c r="AD39" s="92">
        <f>COUNTA(InputTable[[#This Row],[CORPHRFIN]:[SALES]])</f>
        <v>5</v>
      </c>
      <c r="AE39" s="88" cm="1">
        <f t="array" ref="AE39">SUM(
_xlfn.XLOOKUP(InputTable[[#This Row],[CORPHRFIN]:[SALES]],'System List'!$F$4:$F$7,'System List'!$H$4:$H$7,0))</f>
        <v>42</v>
      </c>
      <c r="AF39" s="140"/>
      <c r="AG39" s="101"/>
      <c r="AH39" s="101"/>
      <c r="AI39" s="101" t="s">
        <v>139</v>
      </c>
      <c r="AJ39" s="101"/>
      <c r="AK39" s="101"/>
      <c r="AL39" s="101" t="s">
        <v>111</v>
      </c>
      <c r="AM39" s="101"/>
      <c r="AN39" s="101"/>
      <c r="AO39" s="101"/>
      <c r="AP39" s="101"/>
      <c r="AQ39" s="101"/>
      <c r="AR39" s="88" cm="1">
        <f t="array" ref="AR39">SUM(
_xlfn.XLOOKUP(InputTable[[#This Row],[Impact on - CIAL]:[Impact on - STRAT]],'System List'!$F$4:$F$7,'System List'!$H$4:$H$7,0))</f>
        <v>13</v>
      </c>
      <c r="AS39" s="88">
        <f>VLOOKUP(InputTable[[#This Row],[Duration]],Duration,2,FALSE)+InputTable[[#This Row],[Resource Score]]</f>
        <v>55</v>
      </c>
      <c r="AT39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80.769230769230774</v>
      </c>
      <c r="AU39" s="24">
        <f>InputTable[[#This Row],[Value Score]]/InputTable[[#This Row],[EFFORT SCORE]]*100</f>
        <v>6.7272727272727275</v>
      </c>
      <c r="AV39" s="25" t="str">
        <f>InputTable[[#This Row],[IS Portfolio Ref ID]]</f>
        <v>ISPRJ-25</v>
      </c>
      <c r="AW39" s="25" t="s">
        <v>243</v>
      </c>
      <c r="AX39" s="208" t="s">
        <v>141</v>
      </c>
      <c r="AY39" s="25"/>
      <c r="AZ39" s="209">
        <v>0</v>
      </c>
      <c r="BA39" s="209">
        <v>0</v>
      </c>
      <c r="BB39" s="209"/>
      <c r="BC39" s="189">
        <v>11000000</v>
      </c>
      <c r="BD39" s="188">
        <v>1</v>
      </c>
      <c r="BE39" s="188"/>
      <c r="BF39" s="7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T39" s="2"/>
      <c r="BU39" s="2"/>
      <c r="BV39" s="2"/>
      <c r="BW39" s="2"/>
      <c r="BX39" s="2"/>
      <c r="BY39" s="2"/>
      <c r="BZ39" s="2"/>
      <c r="CA39" s="2"/>
      <c r="CC39" s="2"/>
      <c r="CD39" s="2"/>
      <c r="CE39" s="2"/>
      <c r="CF39" s="2"/>
      <c r="CG39" s="2"/>
      <c r="CH39" s="2"/>
      <c r="CI39" s="2"/>
      <c r="CJ39" s="2"/>
      <c r="CK39" s="2"/>
      <c r="CN39" s="2"/>
      <c r="CO39" s="2"/>
      <c r="CP39" s="2"/>
      <c r="CQ39" s="2"/>
      <c r="CR39" s="2"/>
      <c r="CS39" s="2"/>
      <c r="CT39" s="2"/>
      <c r="CU39" s="2"/>
      <c r="CV39" s="2"/>
      <c r="CX39" s="26"/>
      <c r="CY39" s="26"/>
      <c r="CZ39" s="26"/>
      <c r="DA39" s="26"/>
      <c r="DB39" s="26"/>
      <c r="DC39" s="26"/>
      <c r="DD39" s="26"/>
      <c r="DE39" s="26"/>
      <c r="DF39" s="26"/>
      <c r="DH39" s="26"/>
      <c r="DI39" s="26"/>
      <c r="DJ39" s="26"/>
      <c r="DK39" s="26"/>
      <c r="DL39" s="26"/>
      <c r="DM39" s="26"/>
      <c r="DN39" s="26"/>
      <c r="DO39" s="26"/>
      <c r="DP39" s="26"/>
      <c r="DR39" s="26"/>
      <c r="DS39" s="26"/>
      <c r="DT39" s="26"/>
      <c r="DU39" s="26"/>
      <c r="DV39" s="26"/>
      <c r="DW39" s="26"/>
      <c r="DX39" s="26"/>
      <c r="DY39" s="26"/>
      <c r="DZ39" s="26"/>
      <c r="EB39" s="26"/>
      <c r="EC39" s="26"/>
      <c r="ED39" s="26"/>
      <c r="EE39" s="26"/>
      <c r="EF39" s="26"/>
      <c r="EG39" s="26"/>
      <c r="EH39" s="26"/>
      <c r="EI39" s="26"/>
      <c r="EJ39" s="26"/>
      <c r="EL39" s="26"/>
      <c r="EM39" s="26"/>
      <c r="EN39" s="26"/>
      <c r="EO39" s="26"/>
      <c r="EP39" s="26"/>
      <c r="EQ39" s="26"/>
      <c r="ER39" s="26"/>
      <c r="ES39" s="26"/>
      <c r="ET39" s="26"/>
      <c r="EV39" s="26"/>
      <c r="EW39" s="26"/>
      <c r="EX39" s="26"/>
      <c r="EY39" s="26"/>
      <c r="EZ39" s="26"/>
      <c r="FA39" s="26"/>
      <c r="FB39" s="26"/>
      <c r="FC39" s="26"/>
      <c r="FD39" s="26"/>
      <c r="FF39" s="26"/>
      <c r="FG39" s="26"/>
      <c r="FH39" s="26"/>
      <c r="FI39" s="26"/>
      <c r="FJ39" s="26"/>
      <c r="FK39" s="26"/>
      <c r="FL39" s="26"/>
      <c r="FM39" s="26"/>
      <c r="FN39" s="26"/>
      <c r="FP39" s="26"/>
      <c r="FQ39" s="26"/>
      <c r="FR39" s="26"/>
      <c r="FS39" s="26"/>
      <c r="FT39" s="26"/>
      <c r="FU39" s="26"/>
      <c r="FV39" s="26"/>
      <c r="FW39" s="26"/>
      <c r="FX39" s="26"/>
      <c r="GB39" s="26"/>
      <c r="GC39" s="26"/>
      <c r="GD39" s="26"/>
      <c r="GE39" s="26"/>
      <c r="GF39" s="26"/>
      <c r="GG39" s="26"/>
      <c r="GH39" s="26"/>
      <c r="GI39" s="26"/>
      <c r="GJ39" s="26"/>
      <c r="GL39" s="26"/>
      <c r="GM39" s="26"/>
      <c r="GN39" s="26"/>
      <c r="GO39" s="26"/>
      <c r="GP39" s="26"/>
      <c r="GQ39" s="26"/>
      <c r="GR39" s="26"/>
      <c r="GS39" s="26"/>
      <c r="GT39" s="26"/>
      <c r="GV39" s="26"/>
      <c r="GW39" s="26"/>
      <c r="GX39" s="26"/>
      <c r="GY39" s="26"/>
      <c r="GZ39" s="26"/>
      <c r="HA39" s="26"/>
      <c r="HB39" s="26"/>
      <c r="HC39" s="26"/>
      <c r="HD39" s="26"/>
      <c r="HF39" s="26"/>
      <c r="HG39" s="26"/>
      <c r="HH39" s="26"/>
      <c r="HI39" s="26"/>
      <c r="HJ39" s="26"/>
      <c r="HK39" s="26"/>
      <c r="HL39" s="26"/>
      <c r="HM39" s="26"/>
      <c r="HN39" s="26"/>
      <c r="HP39" s="26"/>
      <c r="HQ39" s="26"/>
      <c r="HR39" s="26"/>
      <c r="HS39" s="26"/>
      <c r="HT39" s="26"/>
      <c r="HU39" s="26"/>
      <c r="HV39" s="26"/>
      <c r="HW39" s="26"/>
      <c r="HX39" s="26"/>
      <c r="HZ39" s="26"/>
      <c r="IA39" s="26"/>
      <c r="IB39" s="26"/>
      <c r="IC39" s="26"/>
      <c r="ID39" s="26"/>
      <c r="IE39" s="26"/>
      <c r="IF39" s="26"/>
      <c r="IG39" s="26"/>
      <c r="IH39" s="26"/>
      <c r="IJ39" s="26"/>
      <c r="IK39" s="26"/>
      <c r="IL39" s="26"/>
      <c r="IM39" s="26"/>
      <c r="IN39" s="26"/>
      <c r="IO39" s="26"/>
      <c r="IP39" s="26"/>
      <c r="IQ39" s="26"/>
      <c r="IR39" s="26"/>
      <c r="IT39" s="26"/>
      <c r="IU39" s="26"/>
      <c r="IV39" s="26"/>
      <c r="IW39" s="26"/>
      <c r="IX39" s="26"/>
      <c r="IY39" s="26"/>
      <c r="IZ39" s="26"/>
      <c r="JA39" s="26"/>
      <c r="JB39" s="26"/>
      <c r="JD39" s="26"/>
      <c r="JE39" s="26"/>
      <c r="JF39" s="26"/>
      <c r="JG39" s="26"/>
      <c r="JH39" s="26"/>
      <c r="JI39" s="26"/>
      <c r="JJ39" s="26"/>
      <c r="JK39" s="26"/>
      <c r="JL39" s="26"/>
      <c r="JN39" s="26"/>
      <c r="JO39" s="26"/>
      <c r="JP39" s="26"/>
      <c r="JQ39" s="26"/>
      <c r="JR39" s="26"/>
      <c r="JS39" s="26"/>
      <c r="JT39" s="26"/>
      <c r="JU39" s="26"/>
      <c r="JV39" s="26"/>
      <c r="JX39" s="26"/>
      <c r="JY39" s="26"/>
      <c r="JZ39" s="26"/>
      <c r="KA39" s="26"/>
      <c r="KB39" s="26"/>
      <c r="KC39" s="26"/>
      <c r="KD39" s="26"/>
      <c r="KE39" s="26"/>
      <c r="KF39" s="26"/>
    </row>
    <row r="40" spans="1:292" ht="39.6" customHeight="1" x14ac:dyDescent="0.25">
      <c r="A40" s="141" t="s">
        <v>134</v>
      </c>
      <c r="B40" s="141" t="s">
        <v>92</v>
      </c>
      <c r="C40" s="92" t="s">
        <v>59</v>
      </c>
      <c r="D40" s="125" t="s">
        <v>244</v>
      </c>
      <c r="E40" s="193" t="s">
        <v>245</v>
      </c>
      <c r="F40" s="92" t="s">
        <v>24</v>
      </c>
      <c r="G40" s="92">
        <v>2024</v>
      </c>
      <c r="H40" s="92" t="s">
        <v>100</v>
      </c>
      <c r="I40" s="92" t="s">
        <v>193</v>
      </c>
      <c r="J40" s="125"/>
      <c r="K40" s="95" t="e">
        <f>VLOOKUP((InputTable[[#This Row],[Starting Date]]&amp; " - " &amp;InputTable[[#This Row],[Delivery Date]]),'System List'!$F$40:$H$83,2,FALSE)</f>
        <v>#N/A</v>
      </c>
      <c r="L40" s="95" t="e">
        <f>VLOOKUP(InputTable[[#This Row],[Duration]],Duration,2,FALSE)</f>
        <v>#N/A</v>
      </c>
      <c r="M40" s="125" t="s">
        <v>246</v>
      </c>
      <c r="N40" s="92"/>
      <c r="O40" s="92"/>
      <c r="P40" s="92" t="s">
        <v>139</v>
      </c>
      <c r="Q40" s="92" t="s">
        <v>111</v>
      </c>
      <c r="R40" s="92" t="s">
        <v>111</v>
      </c>
      <c r="S40" s="92"/>
      <c r="T40" s="95" cm="1">
        <f t="array" ref="T4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3.6</v>
      </c>
      <c r="U40" s="138"/>
      <c r="V40" s="92"/>
      <c r="W40" s="92"/>
      <c r="X40" s="92"/>
      <c r="Y40" s="92" t="s">
        <v>100</v>
      </c>
      <c r="Z40" s="92"/>
      <c r="AA40" s="92" t="s">
        <v>139</v>
      </c>
      <c r="AB40" s="92"/>
      <c r="AC40" s="92"/>
      <c r="AD40" s="92">
        <f>COUNTA(InputTable[[#This Row],[CORPHRFIN]:[SALES]])</f>
        <v>2</v>
      </c>
      <c r="AE40" s="88" cm="1">
        <f t="array" ref="AE40">SUM(
_xlfn.XLOOKUP(InputTable[[#This Row],[CORPHRFIN]:[SALES]],'System List'!$F$4:$F$7,'System List'!$H$4:$H$7,0))</f>
        <v>21</v>
      </c>
      <c r="AF40" s="140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88" cm="1">
        <f t="array" ref="AR40">SUM(
_xlfn.XLOOKUP(InputTable[[#This Row],[Impact on - CIAL]:[Impact on - STRAT]],'System List'!$F$4:$F$7,'System List'!$H$4:$H$7,0))</f>
        <v>0</v>
      </c>
      <c r="AS40" s="88" t="e">
        <f>VLOOKUP(InputTable[[#This Row],[Duration]],Duration,2,FALSE)+InputTable[[#This Row],[Resource Score]]</f>
        <v>#N/A</v>
      </c>
      <c r="AT4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0" s="24" t="e">
        <f>InputTable[[#This Row],[Value Score]]/InputTable[[#This Row],[EFFORT SCORE]]*100</f>
        <v>#N/A</v>
      </c>
      <c r="AV40" s="25" t="str">
        <f>InputTable[[#This Row],[IS Portfolio Ref ID]]</f>
        <v>ISPRJ-27</v>
      </c>
      <c r="AW40" s="25" t="s">
        <v>225</v>
      </c>
      <c r="AX40" s="208" t="s">
        <v>154</v>
      </c>
      <c r="AY40" s="25" t="s">
        <v>247</v>
      </c>
      <c r="AZ40" s="209">
        <v>37500</v>
      </c>
      <c r="BA40" s="209">
        <v>0</v>
      </c>
      <c r="BB40" s="209"/>
      <c r="BC40" s="189">
        <v>157500</v>
      </c>
      <c r="BD40" s="188">
        <v>1</v>
      </c>
      <c r="BE40" s="188">
        <v>5</v>
      </c>
      <c r="BF40" s="70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T40" s="2"/>
      <c r="BU40" s="2"/>
      <c r="BV40" s="2"/>
      <c r="BW40" s="2"/>
      <c r="BX40" s="2"/>
      <c r="BY40" s="2"/>
      <c r="BZ40" s="2"/>
      <c r="CA40" s="2"/>
      <c r="CC40" s="2"/>
      <c r="CD40" s="2"/>
      <c r="CE40" s="2"/>
      <c r="CF40" s="2"/>
      <c r="CG40" s="2"/>
      <c r="CH40" s="2"/>
      <c r="CI40" s="2"/>
      <c r="CJ40" s="2"/>
      <c r="CK40" s="2"/>
      <c r="CN40" s="2"/>
      <c r="CO40" s="2"/>
      <c r="CP40" s="2"/>
      <c r="CQ40" s="2"/>
      <c r="CR40" s="2"/>
      <c r="CS40" s="2"/>
      <c r="CT40" s="2"/>
      <c r="CU40" s="2"/>
      <c r="CV40" s="2"/>
      <c r="CX40" s="26"/>
      <c r="CY40" s="26"/>
      <c r="CZ40" s="26"/>
      <c r="DA40" s="26"/>
      <c r="DB40" s="26"/>
      <c r="DC40" s="26"/>
      <c r="DD40" s="26"/>
      <c r="DE40" s="26"/>
      <c r="DF40" s="26"/>
      <c r="DH40" s="26"/>
      <c r="DI40" s="26"/>
      <c r="DJ40" s="26"/>
      <c r="DK40" s="26"/>
      <c r="DL40" s="26"/>
      <c r="DM40" s="26"/>
      <c r="DN40" s="26"/>
      <c r="DO40" s="26"/>
      <c r="DP40" s="26"/>
      <c r="DR40" s="26"/>
      <c r="DS40" s="26"/>
      <c r="DT40" s="26"/>
      <c r="DU40" s="26"/>
      <c r="DV40" s="26"/>
      <c r="DW40" s="26"/>
      <c r="DX40" s="26"/>
      <c r="DY40" s="26"/>
      <c r="DZ40" s="26"/>
      <c r="EB40" s="26"/>
      <c r="EC40" s="26"/>
      <c r="ED40" s="26"/>
      <c r="EE40" s="26"/>
      <c r="EF40" s="26"/>
      <c r="EG40" s="26"/>
      <c r="EH40" s="26"/>
      <c r="EI40" s="26"/>
      <c r="EJ40" s="26"/>
      <c r="EL40" s="26"/>
      <c r="EM40" s="26"/>
      <c r="EN40" s="26"/>
      <c r="EO40" s="26"/>
      <c r="EP40" s="26"/>
      <c r="EQ40" s="26"/>
      <c r="ER40" s="26"/>
      <c r="ES40" s="26"/>
      <c r="ET40" s="26"/>
      <c r="EV40" s="26"/>
      <c r="EW40" s="26"/>
      <c r="EX40" s="26"/>
      <c r="EY40" s="26"/>
      <c r="EZ40" s="26"/>
      <c r="FA40" s="26"/>
      <c r="FB40" s="26"/>
      <c r="FC40" s="26"/>
      <c r="FD40" s="26"/>
      <c r="FF40" s="26"/>
      <c r="FG40" s="26"/>
      <c r="FH40" s="26"/>
      <c r="FI40" s="26"/>
      <c r="FJ40" s="26"/>
      <c r="FK40" s="26"/>
      <c r="FL40" s="26"/>
      <c r="FM40" s="26"/>
      <c r="FN40" s="26"/>
      <c r="FP40" s="26"/>
      <c r="FQ40" s="26"/>
      <c r="FR40" s="26"/>
      <c r="FS40" s="26"/>
      <c r="FT40" s="26"/>
      <c r="FU40" s="26"/>
      <c r="FV40" s="26"/>
      <c r="FW40" s="26"/>
      <c r="FX40" s="26"/>
      <c r="GB40" s="26"/>
      <c r="GC40" s="26"/>
      <c r="GD40" s="26"/>
      <c r="GE40" s="26"/>
      <c r="GF40" s="26"/>
      <c r="GG40" s="26"/>
      <c r="GH40" s="26"/>
      <c r="GI40" s="26"/>
      <c r="GJ40" s="26"/>
      <c r="GL40" s="26"/>
      <c r="GM40" s="26"/>
      <c r="GN40" s="26"/>
      <c r="GO40" s="26"/>
      <c r="GP40" s="26"/>
      <c r="GQ40" s="26"/>
      <c r="GR40" s="26"/>
      <c r="GS40" s="26"/>
      <c r="GT40" s="26"/>
      <c r="GV40" s="26"/>
      <c r="GW40" s="26"/>
      <c r="GX40" s="26"/>
      <c r="GY40" s="26"/>
      <c r="GZ40" s="26"/>
      <c r="HA40" s="26"/>
      <c r="HB40" s="26"/>
      <c r="HC40" s="26"/>
      <c r="HD40" s="26"/>
      <c r="HF40" s="26"/>
      <c r="HG40" s="26"/>
      <c r="HH40" s="26"/>
      <c r="HI40" s="26"/>
      <c r="HJ40" s="26"/>
      <c r="HK40" s="26"/>
      <c r="HL40" s="26"/>
      <c r="HM40" s="26"/>
      <c r="HN40" s="26"/>
      <c r="HP40" s="26"/>
      <c r="HQ40" s="26"/>
      <c r="HR40" s="26"/>
      <c r="HS40" s="26"/>
      <c r="HT40" s="26"/>
      <c r="HU40" s="26"/>
      <c r="HV40" s="26"/>
      <c r="HW40" s="26"/>
      <c r="HX40" s="26"/>
      <c r="HZ40" s="26"/>
      <c r="IA40" s="26"/>
      <c r="IB40" s="26"/>
      <c r="IC40" s="26"/>
      <c r="ID40" s="26"/>
      <c r="IE40" s="26"/>
      <c r="IF40" s="26"/>
      <c r="IG40" s="26"/>
      <c r="IH40" s="26"/>
      <c r="IJ40" s="26"/>
      <c r="IK40" s="26"/>
      <c r="IL40" s="26"/>
      <c r="IM40" s="26"/>
      <c r="IN40" s="26"/>
      <c r="IO40" s="26"/>
      <c r="IP40" s="26"/>
      <c r="IQ40" s="26"/>
      <c r="IR40" s="26"/>
      <c r="IT40" s="26"/>
      <c r="IU40" s="26"/>
      <c r="IV40" s="26"/>
      <c r="IW40" s="26"/>
      <c r="IX40" s="26"/>
      <c r="IY40" s="26"/>
      <c r="IZ40" s="26"/>
      <c r="JA40" s="26"/>
      <c r="JB40" s="26"/>
      <c r="JD40" s="26"/>
      <c r="JE40" s="26"/>
      <c r="JF40" s="26"/>
      <c r="JG40" s="26"/>
      <c r="JH40" s="26"/>
      <c r="JI40" s="26"/>
      <c r="JJ40" s="26"/>
      <c r="JK40" s="26"/>
      <c r="JL40" s="26"/>
      <c r="JN40" s="26"/>
      <c r="JO40" s="26"/>
      <c r="JP40" s="26"/>
      <c r="JQ40" s="26"/>
      <c r="JR40" s="26"/>
      <c r="JS40" s="26"/>
      <c r="JT40" s="26"/>
      <c r="JU40" s="26"/>
      <c r="JV40" s="26"/>
      <c r="JX40" s="26"/>
      <c r="JY40" s="26"/>
      <c r="JZ40" s="26"/>
      <c r="KA40" s="26"/>
      <c r="KB40" s="26"/>
      <c r="KC40" s="26"/>
      <c r="KD40" s="26"/>
      <c r="KE40" s="26"/>
      <c r="KF40" s="26"/>
    </row>
    <row r="41" spans="1:292" ht="39.6" customHeight="1" x14ac:dyDescent="0.25">
      <c r="A41" s="141" t="s">
        <v>181</v>
      </c>
      <c r="B41" s="141" t="s">
        <v>92</v>
      </c>
      <c r="C41" s="92" t="s">
        <v>60</v>
      </c>
      <c r="D41" s="125" t="s">
        <v>248</v>
      </c>
      <c r="E41" s="193" t="s">
        <v>249</v>
      </c>
      <c r="F41" s="92" t="s">
        <v>159</v>
      </c>
      <c r="G41" s="92" t="s">
        <v>160</v>
      </c>
      <c r="H41" s="92" t="s">
        <v>100</v>
      </c>
      <c r="I41" s="92">
        <v>2026</v>
      </c>
      <c r="J41" s="125" t="s">
        <v>209</v>
      </c>
      <c r="K41" s="95" t="e">
        <f>VLOOKUP((InputTable[[#This Row],[Starting Date]]&amp; " - " &amp;InputTable[[#This Row],[Delivery Date]]),'System List'!$F$40:$H$83,2,FALSE)</f>
        <v>#N/A</v>
      </c>
      <c r="L41" s="95" t="e">
        <f>VLOOKUP(InputTable[[#This Row],[Duration]],Duration,2,FALSE)</f>
        <v>#N/A</v>
      </c>
      <c r="M41" s="125"/>
      <c r="N41" s="92" t="s">
        <v>139</v>
      </c>
      <c r="O41" s="92"/>
      <c r="P41" s="92" t="s">
        <v>111</v>
      </c>
      <c r="Q41" s="92" t="s">
        <v>111</v>
      </c>
      <c r="R41" s="92"/>
      <c r="S41" s="92" t="s">
        <v>209</v>
      </c>
      <c r="T41" s="95" cm="1">
        <f t="array" ref="T4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3.1</v>
      </c>
      <c r="U41" s="138"/>
      <c r="V41" s="92"/>
      <c r="W41" s="92"/>
      <c r="X41" s="92"/>
      <c r="Y41" s="92"/>
      <c r="Z41" s="92" t="s">
        <v>100</v>
      </c>
      <c r="AA41" s="92"/>
      <c r="AB41" s="92"/>
      <c r="AC41" s="92"/>
      <c r="AD41" s="92">
        <f>COUNTA(InputTable[[#This Row],[CORPHRFIN]:[SALES]])</f>
        <v>1</v>
      </c>
      <c r="AE41" s="88" cm="1">
        <f t="array" ref="AE41">SUM(
_xlfn.XLOOKUP(InputTable[[#This Row],[CORPHRFIN]:[SALES]],'System List'!$F$4:$F$7,'System List'!$H$4:$H$7,0))</f>
        <v>13</v>
      </c>
      <c r="AF41" s="140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88" cm="1">
        <f t="array" ref="AR41">SUM(
_xlfn.XLOOKUP(InputTable[[#This Row],[Impact on - CIAL]:[Impact on - STRAT]],'System List'!$F$4:$F$7,'System List'!$H$4:$H$7,0))</f>
        <v>0</v>
      </c>
      <c r="AS41" s="88" t="e">
        <f>VLOOKUP(InputTable[[#This Row],[Duration]],Duration,2,FALSE)+InputTable[[#This Row],[Resource Score]]</f>
        <v>#N/A</v>
      </c>
      <c r="AT4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1" s="24" t="e">
        <f>InputTable[[#This Row],[Value Score]]/InputTable[[#This Row],[EFFORT SCORE]]*100</f>
        <v>#N/A</v>
      </c>
      <c r="AV41" s="25" t="str">
        <f>InputTable[[#This Row],[IS Portfolio Ref ID]]</f>
        <v>ISPRJ-33</v>
      </c>
      <c r="AW41" s="25" t="s">
        <v>234</v>
      </c>
      <c r="AX41" s="208" t="s">
        <v>154</v>
      </c>
      <c r="AY41" s="25"/>
      <c r="AZ41" s="209">
        <v>0</v>
      </c>
      <c r="BA41" s="209">
        <v>150000</v>
      </c>
      <c r="BB41" s="209"/>
      <c r="BC41" s="189">
        <f>SUM(InputTable[[#This Row],[Opex IS Budget (full project)]]+InputTable[[#This Row],[Capex IS Budget (full project)]])</f>
        <v>150000</v>
      </c>
      <c r="BD41" s="188">
        <v>3</v>
      </c>
      <c r="BE41" s="188"/>
      <c r="BF41" s="70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T41" s="2"/>
      <c r="BU41" s="2"/>
      <c r="BV41" s="2"/>
      <c r="BW41" s="2"/>
      <c r="BX41" s="2"/>
      <c r="BY41" s="2"/>
      <c r="BZ41" s="2"/>
      <c r="CA41" s="2"/>
      <c r="CC41" s="2"/>
      <c r="CD41" s="2"/>
      <c r="CE41" s="2"/>
      <c r="CF41" s="2"/>
      <c r="CG41" s="2"/>
      <c r="CH41" s="2"/>
      <c r="CI41" s="2"/>
      <c r="CJ41" s="2"/>
      <c r="CK41" s="2"/>
      <c r="CN41" s="2"/>
      <c r="CO41" s="2"/>
      <c r="CP41" s="2"/>
      <c r="CQ41" s="2"/>
      <c r="CR41" s="2"/>
      <c r="CS41" s="2"/>
      <c r="CT41" s="2"/>
      <c r="CU41" s="2"/>
      <c r="CV41" s="2"/>
      <c r="CX41" s="26"/>
      <c r="CY41" s="26"/>
      <c r="CZ41" s="26"/>
      <c r="DA41" s="26"/>
      <c r="DB41" s="26"/>
      <c r="DC41" s="26"/>
      <c r="DD41" s="26"/>
      <c r="DE41" s="26"/>
      <c r="DF41" s="26"/>
      <c r="DH41" s="26"/>
      <c r="DI41" s="26"/>
      <c r="DJ41" s="26"/>
      <c r="DK41" s="26"/>
      <c r="DL41" s="26"/>
      <c r="DM41" s="26"/>
      <c r="DN41" s="26"/>
      <c r="DO41" s="26"/>
      <c r="DP41" s="26"/>
      <c r="DR41" s="26"/>
      <c r="DS41" s="26"/>
      <c r="DT41" s="26"/>
      <c r="DU41" s="26"/>
      <c r="DV41" s="26"/>
      <c r="DW41" s="26"/>
      <c r="DX41" s="26"/>
      <c r="DY41" s="26"/>
      <c r="DZ41" s="26"/>
      <c r="EB41" s="26"/>
      <c r="EC41" s="26"/>
      <c r="ED41" s="26"/>
      <c r="EE41" s="26"/>
      <c r="EF41" s="26"/>
      <c r="EG41" s="26"/>
      <c r="EH41" s="26"/>
      <c r="EI41" s="26"/>
      <c r="EJ41" s="26"/>
      <c r="EL41" s="26"/>
      <c r="EM41" s="26"/>
      <c r="EN41" s="26"/>
      <c r="EO41" s="26"/>
      <c r="EP41" s="26"/>
      <c r="EQ41" s="26"/>
      <c r="ER41" s="26"/>
      <c r="ES41" s="26"/>
      <c r="ET41" s="26"/>
      <c r="EV41" s="26"/>
      <c r="EW41" s="26"/>
      <c r="EX41" s="26"/>
      <c r="EY41" s="26"/>
      <c r="EZ41" s="26"/>
      <c r="FA41" s="26"/>
      <c r="FB41" s="26"/>
      <c r="FC41" s="26"/>
      <c r="FD41" s="26"/>
      <c r="FF41" s="26"/>
      <c r="FG41" s="26"/>
      <c r="FH41" s="26"/>
      <c r="FI41" s="26"/>
      <c r="FJ41" s="26"/>
      <c r="FK41" s="26"/>
      <c r="FL41" s="26"/>
      <c r="FM41" s="26"/>
      <c r="FN41" s="26"/>
      <c r="FP41" s="26"/>
      <c r="FQ41" s="26"/>
      <c r="FR41" s="26"/>
      <c r="FS41" s="26"/>
      <c r="FT41" s="26"/>
      <c r="FU41" s="26"/>
      <c r="FV41" s="26"/>
      <c r="FW41" s="26"/>
      <c r="FX41" s="26"/>
      <c r="GB41" s="26"/>
      <c r="GC41" s="26"/>
      <c r="GD41" s="26"/>
      <c r="GE41" s="26"/>
      <c r="GF41" s="26"/>
      <c r="GG41" s="26"/>
      <c r="GH41" s="26"/>
      <c r="GI41" s="26"/>
      <c r="GJ41" s="26"/>
      <c r="GL41" s="26"/>
      <c r="GM41" s="26"/>
      <c r="GN41" s="26"/>
      <c r="GO41" s="26"/>
      <c r="GP41" s="26"/>
      <c r="GQ41" s="26"/>
      <c r="GR41" s="26"/>
      <c r="GS41" s="26"/>
      <c r="GT41" s="26"/>
      <c r="GV41" s="26"/>
      <c r="GW41" s="26"/>
      <c r="GX41" s="26"/>
      <c r="GY41" s="26"/>
      <c r="GZ41" s="26"/>
      <c r="HA41" s="26"/>
      <c r="HB41" s="26"/>
      <c r="HC41" s="26"/>
      <c r="HD41" s="26"/>
      <c r="HF41" s="26"/>
      <c r="HG41" s="26"/>
      <c r="HH41" s="26"/>
      <c r="HI41" s="26"/>
      <c r="HJ41" s="26"/>
      <c r="HK41" s="26"/>
      <c r="HL41" s="26"/>
      <c r="HM41" s="26"/>
      <c r="HN41" s="26"/>
      <c r="HP41" s="26"/>
      <c r="HQ41" s="26"/>
      <c r="HR41" s="26"/>
      <c r="HS41" s="26"/>
      <c r="HT41" s="26"/>
      <c r="HU41" s="26"/>
      <c r="HV41" s="26"/>
      <c r="HW41" s="26"/>
      <c r="HX41" s="26"/>
      <c r="HZ41" s="26"/>
      <c r="IA41" s="26"/>
      <c r="IB41" s="26"/>
      <c r="IC41" s="26"/>
      <c r="ID41" s="26"/>
      <c r="IE41" s="26"/>
      <c r="IF41" s="26"/>
      <c r="IG41" s="26"/>
      <c r="IH41" s="26"/>
      <c r="IJ41" s="26"/>
      <c r="IK41" s="26"/>
      <c r="IL41" s="26"/>
      <c r="IM41" s="26"/>
      <c r="IN41" s="26"/>
      <c r="IO41" s="26"/>
      <c r="IP41" s="26"/>
      <c r="IQ41" s="26"/>
      <c r="IR41" s="26"/>
      <c r="IT41" s="26"/>
      <c r="IU41" s="26"/>
      <c r="IV41" s="26"/>
      <c r="IW41" s="26"/>
      <c r="IX41" s="26"/>
      <c r="IY41" s="26"/>
      <c r="IZ41" s="26"/>
      <c r="JA41" s="26"/>
      <c r="JB41" s="26"/>
      <c r="JD41" s="26"/>
      <c r="JE41" s="26"/>
      <c r="JF41" s="26"/>
      <c r="JG41" s="26"/>
      <c r="JH41" s="26"/>
      <c r="JI41" s="26"/>
      <c r="JJ41" s="26"/>
      <c r="JK41" s="26"/>
      <c r="JL41" s="26"/>
      <c r="JN41" s="26"/>
      <c r="JO41" s="26"/>
      <c r="JP41" s="26"/>
      <c r="JQ41" s="26"/>
      <c r="JR41" s="26"/>
      <c r="JS41" s="26"/>
      <c r="JT41" s="26"/>
      <c r="JU41" s="26"/>
      <c r="JV41" s="26"/>
      <c r="JX41" s="26"/>
      <c r="JY41" s="26"/>
      <c r="JZ41" s="26"/>
      <c r="KA41" s="26"/>
      <c r="KB41" s="26"/>
      <c r="KC41" s="26"/>
      <c r="KD41" s="26"/>
      <c r="KE41" s="26"/>
      <c r="KF41" s="26"/>
    </row>
    <row r="42" spans="1:292" ht="39.6" customHeight="1" x14ac:dyDescent="0.25">
      <c r="A42" s="125"/>
      <c r="B42" s="141" t="s">
        <v>156</v>
      </c>
      <c r="C42" s="92" t="s">
        <v>59</v>
      </c>
      <c r="D42" s="125" t="s">
        <v>250</v>
      </c>
      <c r="E42" s="142" t="s">
        <v>629</v>
      </c>
      <c r="F42" s="98" t="s">
        <v>61</v>
      </c>
      <c r="G42" s="92" t="s">
        <v>160</v>
      </c>
      <c r="H42" s="92"/>
      <c r="I42" s="98" t="s">
        <v>123</v>
      </c>
      <c r="J42" s="125"/>
      <c r="K42" s="92" t="e">
        <f>VLOOKUP((InputTable[[#This Row],[Starting Date]]&amp; " - " &amp;InputTable[[#This Row],[Delivery Date]]),'System List'!$F$40:$H$83,2,FALSE)</f>
        <v>#N/A</v>
      </c>
      <c r="L42" s="92" t="e">
        <f>VLOOKUP(InputTable[[#This Row],[Duration]],Duration,2,FALSE)</f>
        <v>#N/A</v>
      </c>
      <c r="M42" s="218"/>
      <c r="N42" s="92"/>
      <c r="O42" s="92"/>
      <c r="P42" s="92" t="s">
        <v>100</v>
      </c>
      <c r="Q42" s="92"/>
      <c r="R42" s="92"/>
      <c r="S42" s="92"/>
      <c r="T42" s="95" cm="1">
        <f t="array" ref="T4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2.6</v>
      </c>
      <c r="U42" s="138"/>
      <c r="V42" s="92"/>
      <c r="W42" s="92"/>
      <c r="X42" s="92"/>
      <c r="Y42" s="92"/>
      <c r="Z42" s="92"/>
      <c r="AA42" s="92"/>
      <c r="AB42" s="92"/>
      <c r="AC42" s="92"/>
      <c r="AD42" s="92">
        <f>COUNTA(InputTable[[#This Row],[CORPHRFIN]:[SALES]])</f>
        <v>0</v>
      </c>
      <c r="AE42" s="88" cm="1">
        <f t="array" ref="AE42">SUM(
_xlfn.XLOOKUP(InputTable[[#This Row],[CORPHRFIN]:[SALES]],'System List'!$F$4:$F$7,'System List'!$H$4:$H$7,0))</f>
        <v>0</v>
      </c>
      <c r="AF42" s="140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88" cm="1">
        <f t="array" ref="AR42">SUM(
_xlfn.XLOOKUP(InputTable[[#This Row],[Impact on - CIAL]:[Impact on - STRAT]],'System List'!$F$4:$F$7,'System List'!$H$4:$H$7,0))</f>
        <v>0</v>
      </c>
      <c r="AS42" s="88" t="e">
        <f>VLOOKUP(InputTable[[#This Row],[Duration]],Duration,2,FALSE)+InputTable[[#This Row],[Resource Score]]</f>
        <v>#N/A</v>
      </c>
      <c r="AT4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2" s="24" t="e">
        <f>InputTable[[#This Row],[Value Score]]/InputTable[[#This Row],[EFFORT SCORE]]*100</f>
        <v>#N/A</v>
      </c>
      <c r="AV42" s="25"/>
      <c r="AW42" s="25" t="s">
        <v>225</v>
      </c>
      <c r="AX42" s="208" t="s">
        <v>180</v>
      </c>
      <c r="AY42" s="25"/>
      <c r="AZ42" s="189"/>
      <c r="BA42" s="189"/>
      <c r="BB42" s="189"/>
      <c r="BC42" s="189">
        <v>150000</v>
      </c>
      <c r="BD42" s="188">
        <v>1</v>
      </c>
      <c r="BE42" s="188">
        <v>2</v>
      </c>
      <c r="BF42" s="70"/>
      <c r="BH42" s="2">
        <f>IFERROR(VLOOKUP(InputTable[[#This Row],[Impact on - CIAL]],'System List'!$F$4:$H$7,3,FALSE),0)</f>
        <v>0</v>
      </c>
      <c r="BI42" s="2">
        <f>IFERROR(VLOOKUP(InputTable[[#This Row],[Impact on - COM]],'System List'!$F$4:$H$7,3,FALSE),0)</f>
        <v>0</v>
      </c>
      <c r="BJ42" s="2">
        <f>IFERROR(VLOOKUP(InputTable[[#This Row],[Impact on - FIN]],'System List'!$F$4:$H$7,3,FALSE),0)</f>
        <v>0</v>
      </c>
      <c r="BK42" s="2">
        <f>IFERROR(VLOOKUP(InputTable[[#This Row],[Impact on - GEN SEC]],'System List'!$F$4:$H$7,3,FALSE),0)</f>
        <v>0</v>
      </c>
      <c r="BL42" s="2">
        <f>IFERROR(VLOOKUP(InputTable[[#This Row],[Impact on - HR]],'System List'!$F$4:$H$7,3,FALSE),0)</f>
        <v>0</v>
      </c>
      <c r="BM42" s="2">
        <f>IFERROR(VLOOKUP(InputTable[[#This Row],[Impact on - IS]],'System List'!$F$4:$H$7,3,FALSE),0)</f>
        <v>0</v>
      </c>
      <c r="BN42" s="2">
        <f>IFERROR(VLOOKUP(InputTable[[#This Row],[Impact on - OPS]],'System List'!$F$4:$H$7,3,FALSE),0)</f>
        <v>0</v>
      </c>
      <c r="BO42" s="2">
        <f>IFERROR(VLOOKUP(InputTable[[#This Row],[Impact on - ROLL STOCK]],'System List'!$F$4:$H$7,3,FALSE),0)</f>
        <v>0</v>
      </c>
      <c r="BP42" s="2">
        <f>IFERROR(VLOOKUP(InputTable[[#This Row],[Impact on - SAFETY]],'System List'!$F$4:$H$7,3,FALSE),0)</f>
        <v>0</v>
      </c>
      <c r="BQ42" s="2">
        <f>IFERROR(VLOOKUP(InputTable[[#This Row],[Impact on - STATION]],'System List'!$F$4:$H$7,3,FALSE),0)</f>
        <v>0</v>
      </c>
      <c r="BR42" s="2">
        <f>IFERROR(VLOOKUP(InputTable[[#This Row],[Impact on - STRAT]],'System List'!$F$4:$H$7,3,FALSE),0)</f>
        <v>0</v>
      </c>
      <c r="BT42" s="2">
        <f>IFERROR(VLOOKUP(InputTable[[#This Row],[CORPHRFIN]],'System List'!$F$4:$H$7,3,FALSE),0)</f>
        <v>0</v>
      </c>
      <c r="BU42" s="2">
        <f>IFERROR(VLOOKUP(InputTable[[#This Row],[CUST]],'System List'!$F$4:$H$7,3,FALSE),0)</f>
        <v>0</v>
      </c>
      <c r="BV42" s="2">
        <f>IFERROR(VLOOKUP(InputTable[[#This Row],[CYBER]],'System List'!$F$4:$H$7,3,FALSE),0)</f>
        <v>0</v>
      </c>
      <c r="BW42" s="2">
        <f>IFERROR(VLOOKUP(InputTable[[#This Row],[DATA]],'System List'!$F$4:$H$7,3,FALSE),0)</f>
        <v>0</v>
      </c>
      <c r="BX42" s="2">
        <f>IFERROR(VLOOKUP(InputTable[[#This Row],[INFRA]],'System List'!$F$4:$H$7,3,FALSE),0)</f>
        <v>0</v>
      </c>
      <c r="BY42" s="2">
        <f>IFERROR(VLOOKUP(InputTable[[#This Row],[OPERATIONS]],'System List'!$F$4:$H$7,3,FALSE),0)</f>
        <v>0</v>
      </c>
      <c r="BZ42" s="2">
        <f>IFERROR(VLOOKUP(InputTable[[#This Row],[PMO]],'System List'!$F$4:$H$7,3,FALSE),0)</f>
        <v>0</v>
      </c>
      <c r="CA42" s="2">
        <f>IFERROR(VLOOKUP(InputTable[[#This Row],[SALES]],'System List'!$F$4:$H$7,3,FALSE),0)</f>
        <v>0</v>
      </c>
      <c r="CC42" s="2" cm="1">
        <f t="array" ref="CC4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2" s="2" cm="1">
        <f t="array" ref="CD4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2" s="2" cm="1">
        <f t="array" ref="CE4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2" s="2" cm="1">
        <f t="array" ref="CF4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2" s="2" cm="1">
        <f t="array" ref="CG4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2" s="2" cm="1">
        <f t="array" ref="CH4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2" s="2" cm="1">
        <f t="array" ref="CI4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2" s="2" cm="1">
        <f t="array" ref="CJ4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2" s="2" cm="1">
        <f t="array" ref="CK4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4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4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4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4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4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2" s="26">
        <f t="shared" ref="CX42:CX71" si="151">CN42*_xlfn.XLOOKUP(CX$1,$BT$2:$CA$2,$BT42:$CA42,0)</f>
        <v>0</v>
      </c>
      <c r="CY42" s="26">
        <f t="shared" ref="CY42:CY71" si="152">CO42*_xlfn.XLOOKUP(CY$1,$BT$2:$CA$2,$BT42:$CA42,0)</f>
        <v>0</v>
      </c>
      <c r="CZ42" s="26">
        <f t="shared" ref="CZ42:CZ71" si="153">CP42*_xlfn.XLOOKUP(CZ$1,$BT$2:$CA$2,$BT42:$CA42,0)</f>
        <v>0</v>
      </c>
      <c r="DA42" s="26">
        <f t="shared" ref="DA42:DA71" si="154">CQ42*_xlfn.XLOOKUP(DA$1,$BT$2:$CA$2,$BT42:$CA42,0)</f>
        <v>0</v>
      </c>
      <c r="DB42" s="26">
        <f t="shared" ref="DB42:DB71" si="155">CR42*_xlfn.XLOOKUP(DB$1,$BT$2:$CA$2,$BT42:$CA42,0)</f>
        <v>0</v>
      </c>
      <c r="DC42" s="26">
        <f t="shared" ref="DC42:DC71" si="156">CS42*_xlfn.XLOOKUP(DC$1,$BT$2:$CA$2,$BT42:$CA42,0)</f>
        <v>0</v>
      </c>
      <c r="DD42" s="26">
        <f t="shared" ref="DD42:DD71" si="157">CT42*_xlfn.XLOOKUP(DD$1,$BT$2:$CA$2,$BT42:$CA42,0)</f>
        <v>0</v>
      </c>
      <c r="DE42" s="26">
        <f t="shared" ref="DE42:DE71" si="158">CU42*_xlfn.XLOOKUP(DE$1,$BT$2:$CA$2,$BT42:$CA42,0)</f>
        <v>0</v>
      </c>
      <c r="DF42" s="26">
        <f t="shared" ref="DF42:DF71" si="159">CV42*_xlfn.XLOOKUP(DF$1,$BT$2:$CA$2,$BT42:$CA42,0)</f>
        <v>0</v>
      </c>
      <c r="DH42" s="26">
        <f t="shared" ref="DH42:DH71" si="160">$CN42*_xlfn.XLOOKUP(DH$1,$BT$2:$CA$2,$BT42:$CA42,0)</f>
        <v>0</v>
      </c>
      <c r="DI42" s="26">
        <f t="shared" ref="DI42:DI71" si="161">$CO42*_xlfn.XLOOKUP(DI$1,$BT$2:$CA$2,$BT42:$CA42,0)</f>
        <v>0</v>
      </c>
      <c r="DJ42" s="26">
        <f t="shared" ref="DJ42:DJ71" si="162">$CP42*_xlfn.XLOOKUP(DJ$1,$BT$2:$CA$2,$BT42:$CA42,0)</f>
        <v>0</v>
      </c>
      <c r="DK42" s="26">
        <f t="shared" ref="DK42:DK71" si="163">$CQ42*_xlfn.XLOOKUP(DK$1,$BT$2:$CA$2,$BT42:$CA42,0)</f>
        <v>0</v>
      </c>
      <c r="DL42" s="26">
        <f t="shared" ref="DL42:DL71" si="164">$CR42*_xlfn.XLOOKUP(DL$1,$BT$2:$CA$2,$BT42:$CA42,0)</f>
        <v>0</v>
      </c>
      <c r="DM42" s="26">
        <f t="shared" ref="DM42:DM71" si="165">$CS42*_xlfn.XLOOKUP(DM$1,$BT$2:$CA$2,$BT42:$CA42,0)</f>
        <v>0</v>
      </c>
      <c r="DN42" s="26">
        <f t="shared" ref="DN42:DN71" si="166">$CT42*_xlfn.XLOOKUP(DN$1,$BT$2:$CA$2,$BT42:$CA42,0)</f>
        <v>0</v>
      </c>
      <c r="DO42" s="26">
        <f t="shared" ref="DO42:DO71" si="167">$CU42*_xlfn.XLOOKUP(DO$1,$BT$2:$CA$2,$BT42:$CA42,0)</f>
        <v>0</v>
      </c>
      <c r="DP42" s="26">
        <f t="shared" ref="DP42:DP71" si="168">$CV42*_xlfn.XLOOKUP(DP$1,$BT$2:$CA$2,$BT42:$CA42,0)</f>
        <v>0</v>
      </c>
      <c r="DR42" s="26">
        <f t="shared" ref="DR42:DR71" si="169">$CN42*_xlfn.XLOOKUP(DR$1,$BT$2:$CA$2,$BT42:$CA42,0)</f>
        <v>0</v>
      </c>
      <c r="DS42" s="26">
        <f t="shared" ref="DS42:DS71" si="170">$CO42*_xlfn.XLOOKUP(DS$1,$BT$2:$CA$2,$BT42:$CA42,0)</f>
        <v>0</v>
      </c>
      <c r="DT42" s="26">
        <f t="shared" ref="DT42:DT71" si="171">$CP42*_xlfn.XLOOKUP(DT$1,$BT$2:$CA$2,$BT42:$CA42,0)</f>
        <v>0</v>
      </c>
      <c r="DU42" s="26">
        <f t="shared" ref="DU42:DU71" si="172">$CQ42*_xlfn.XLOOKUP(DU$1,$BT$2:$CA$2,$BT42:$CA42,0)</f>
        <v>0</v>
      </c>
      <c r="DV42" s="26">
        <f t="shared" ref="DV42:DV71" si="173">$CR42*_xlfn.XLOOKUP(DV$1,$BT$2:$CA$2,$BT42:$CA42,0)</f>
        <v>0</v>
      </c>
      <c r="DW42" s="26">
        <f t="shared" ref="DW42:DW71" si="174">$CS42*_xlfn.XLOOKUP(DW$1,$BT$2:$CA$2,$BT42:$CA42,0)</f>
        <v>0</v>
      </c>
      <c r="DX42" s="26">
        <f t="shared" ref="DX42:DX71" si="175">$CT42*_xlfn.XLOOKUP(DX$1,$BT$2:$CA$2,$BT42:$CA42,0)</f>
        <v>0</v>
      </c>
      <c r="DY42" s="26">
        <f t="shared" ref="DY42:DY71" si="176">$CU42*_xlfn.XLOOKUP(DY$1,$BT$2:$CA$2,$BT42:$CA42,0)</f>
        <v>0</v>
      </c>
      <c r="DZ42" s="26">
        <f t="shared" ref="DZ42:DZ71" si="177">$CV42*_xlfn.XLOOKUP(DZ$1,$BT$2:$CA$2,$BT42:$CA42,0)</f>
        <v>0</v>
      </c>
      <c r="EB42" s="26">
        <f t="shared" ref="EB42:EB71" si="178">$CN42*_xlfn.XLOOKUP(EB$1,$BT$2:$CA$2,$BT42:$CA42,0)</f>
        <v>0</v>
      </c>
      <c r="EC42" s="26">
        <f t="shared" ref="EC42:EC71" si="179">$CO42*_xlfn.XLOOKUP(EC$1,$BT$2:$CA$2,$BT42:$CA42,0)</f>
        <v>0</v>
      </c>
      <c r="ED42" s="26">
        <f t="shared" ref="ED42:ED71" si="180">$CP42*_xlfn.XLOOKUP(ED$1,$BT$2:$CA$2,$BT42:$CA42,0)</f>
        <v>0</v>
      </c>
      <c r="EE42" s="26">
        <f t="shared" ref="EE42:EE71" si="181">$CQ42*_xlfn.XLOOKUP(EE$1,$BT$2:$CA$2,$BT42:$CA42,0)</f>
        <v>0</v>
      </c>
      <c r="EF42" s="26">
        <f t="shared" ref="EF42:EF71" si="182">$CR42*_xlfn.XLOOKUP(EF$1,$BT$2:$CA$2,$BT42:$CA42,0)</f>
        <v>0</v>
      </c>
      <c r="EG42" s="26">
        <f t="shared" ref="EG42:EG71" si="183">$CS42*_xlfn.XLOOKUP(EG$1,$BT$2:$CA$2,$BT42:$CA42,0)</f>
        <v>0</v>
      </c>
      <c r="EH42" s="26">
        <f t="shared" ref="EH42:EH71" si="184">$CT42*_xlfn.XLOOKUP(EH$1,$BT$2:$CA$2,$BT42:$CA42,0)</f>
        <v>0</v>
      </c>
      <c r="EI42" s="26">
        <f t="shared" ref="EI42:EI71" si="185">$CU42*_xlfn.XLOOKUP(EI$1,$BT$2:$CA$2,$BT42:$CA42,0)</f>
        <v>0</v>
      </c>
      <c r="EJ42" s="26">
        <f t="shared" ref="EJ42:EJ71" si="186">$CV42*_xlfn.XLOOKUP(EJ$1,$BT$2:$CA$2,$BT42:$CA42,0)</f>
        <v>0</v>
      </c>
      <c r="EL42" s="26">
        <f t="shared" ref="EL42:EL71" si="187">$CN42*_xlfn.XLOOKUP(EL$1,$BT$2:$CA$2,$BT42:$CA42,0)</f>
        <v>0</v>
      </c>
      <c r="EM42" s="26">
        <f t="shared" ref="EM42:EM71" si="188">$CO42*_xlfn.XLOOKUP(EM$1,$BT$2:$CA$2,$BT42:$CA42,0)</f>
        <v>0</v>
      </c>
      <c r="EN42" s="26">
        <f t="shared" ref="EN42:EN71" si="189">$CP42*_xlfn.XLOOKUP(EN$1,$BT$2:$CA$2,$BT42:$CA42,0)</f>
        <v>0</v>
      </c>
      <c r="EO42" s="26">
        <f t="shared" ref="EO42:EO71" si="190">$CQ42*_xlfn.XLOOKUP(EO$1,$BT$2:$CA$2,$BT42:$CA42,0)</f>
        <v>0</v>
      </c>
      <c r="EP42" s="26">
        <f t="shared" ref="EP42:EP71" si="191">$CR42*_xlfn.XLOOKUP(EP$1,$BT$2:$CA$2,$BT42:$CA42,0)</f>
        <v>0</v>
      </c>
      <c r="EQ42" s="26">
        <f t="shared" ref="EQ42:EQ71" si="192">$CS42*_xlfn.XLOOKUP(EQ$1,$BT$2:$CA$2,$BT42:$CA42,0)</f>
        <v>0</v>
      </c>
      <c r="ER42" s="26">
        <f t="shared" ref="ER42:ER71" si="193">$CT42*_xlfn.XLOOKUP(ER$1,$BT$2:$CA$2,$BT42:$CA42,0)</f>
        <v>0</v>
      </c>
      <c r="ES42" s="26">
        <f t="shared" ref="ES42:ES71" si="194">$CU42*_xlfn.XLOOKUP(ES$1,$BT$2:$CA$2,$BT42:$CA42,0)</f>
        <v>0</v>
      </c>
      <c r="ET42" s="26">
        <f t="shared" ref="ET42:ET71" si="195">$CV42*_xlfn.XLOOKUP(ET$1,$BT$2:$CA$2,$BT42:$CA42,0)</f>
        <v>0</v>
      </c>
      <c r="EV42" s="26">
        <f t="shared" ref="EV42:EV71" si="196">$CN42*_xlfn.XLOOKUP(EV$1,$BT$2:$CA$2,$BT42:$CA42,0)</f>
        <v>0</v>
      </c>
      <c r="EW42" s="26">
        <f t="shared" ref="EW42:EW71" si="197">$CO42*_xlfn.XLOOKUP(EW$1,$BT$2:$CA$2,$BT42:$CA42,0)</f>
        <v>0</v>
      </c>
      <c r="EX42" s="26">
        <f t="shared" ref="EX42:EX71" si="198">$CP42*_xlfn.XLOOKUP(EX$1,$BT$2:$CA$2,$BT42:$CA42,0)</f>
        <v>0</v>
      </c>
      <c r="EY42" s="26">
        <f t="shared" ref="EY42:EY71" si="199">$CQ42*_xlfn.XLOOKUP(EY$1,$BT$2:$CA$2,$BT42:$CA42,0)</f>
        <v>0</v>
      </c>
      <c r="EZ42" s="26">
        <f t="shared" ref="EZ42:EZ71" si="200">$CR42*_xlfn.XLOOKUP(EZ$1,$BT$2:$CA$2,$BT42:$CA42,0)</f>
        <v>0</v>
      </c>
      <c r="FA42" s="26">
        <f t="shared" ref="FA42:FA71" si="201">$CS42*_xlfn.XLOOKUP(FA$1,$BT$2:$CA$2,$BT42:$CA42,0)</f>
        <v>0</v>
      </c>
      <c r="FB42" s="26">
        <f t="shared" ref="FB42:FB71" si="202">$CT42*_xlfn.XLOOKUP(FB$1,$BT$2:$CA$2,$BT42:$CA42,0)</f>
        <v>0</v>
      </c>
      <c r="FC42" s="26">
        <f t="shared" ref="FC42:FC71" si="203">$CU42*_xlfn.XLOOKUP(FC$1,$BT$2:$CA$2,$BT42:$CA42,0)</f>
        <v>0</v>
      </c>
      <c r="FD42" s="26">
        <f t="shared" ref="FD42:FD71" si="204">$CV42*_xlfn.XLOOKUP(FD$1,$BT$2:$CA$2,$BT42:$CA42,0)</f>
        <v>0</v>
      </c>
      <c r="FF42" s="26">
        <f t="shared" ref="FF42:FF71" si="205">$CN42*_xlfn.XLOOKUP(FF$1,$BT$2:$CA$2,$BT42:$CA42,0)</f>
        <v>0</v>
      </c>
      <c r="FG42" s="26">
        <f t="shared" ref="FG42:FG71" si="206">$CO42*_xlfn.XLOOKUP(FG$1,$BT$2:$CA$2,$BT42:$CA42,0)</f>
        <v>0</v>
      </c>
      <c r="FH42" s="26">
        <f t="shared" ref="FH42:FH71" si="207">$CP42*_xlfn.XLOOKUP(FH$1,$BT$2:$CA$2,$BT42:$CA42,0)</f>
        <v>0</v>
      </c>
      <c r="FI42" s="26">
        <f t="shared" ref="FI42:FI71" si="208">$CQ42*_xlfn.XLOOKUP(FI$1,$BT$2:$CA$2,$BT42:$CA42,0)</f>
        <v>0</v>
      </c>
      <c r="FJ42" s="26">
        <f t="shared" ref="FJ42:FJ71" si="209">$CR42*_xlfn.XLOOKUP(FJ$1,$BT$2:$CA$2,$BT42:$CA42,0)</f>
        <v>0</v>
      </c>
      <c r="FK42" s="26">
        <f t="shared" ref="FK42:FK71" si="210">$CS42*_xlfn.XLOOKUP(FK$1,$BT$2:$CA$2,$BT42:$CA42,0)</f>
        <v>0</v>
      </c>
      <c r="FL42" s="26">
        <f t="shared" ref="FL42:FL71" si="211">$CT42*_xlfn.XLOOKUP(FL$1,$BT$2:$CA$2,$BT42:$CA42,0)</f>
        <v>0</v>
      </c>
      <c r="FM42" s="26">
        <f t="shared" ref="FM42:FM71" si="212">$CU42*_xlfn.XLOOKUP(FM$1,$BT$2:$CA$2,$BT42:$CA42,0)</f>
        <v>0</v>
      </c>
      <c r="FN42" s="26">
        <f t="shared" ref="FN42:FN71" si="213">$CV42*_xlfn.XLOOKUP(FN$1,$BT$2:$CA$2,$BT42:$CA42,0)</f>
        <v>0</v>
      </c>
      <c r="FP42" s="26" t="e">
        <f t="shared" ref="FP42:FP71" si="214">$CN42*_xlfn.XLOOKUP(FP$1,$BT$2:$CA$2,$BT42:$CA42,0)</f>
        <v>#REF!</v>
      </c>
      <c r="FQ42" s="26" t="e">
        <f t="shared" ref="FQ42:FQ71" si="215">$CO42*_xlfn.XLOOKUP(FQ$1,$BT$2:$CA$2,$BT42:$CA42,0)</f>
        <v>#REF!</v>
      </c>
      <c r="FR42" s="26" t="e">
        <f t="shared" ref="FR42:FR71" si="216">$CP42*_xlfn.XLOOKUP(FR$1,$BT$2:$CA$2,$BT42:$CA42,0)</f>
        <v>#REF!</v>
      </c>
      <c r="FS42" s="26" t="e">
        <f t="shared" ref="FS42:FS71" si="217">$CQ42*_xlfn.XLOOKUP(FS$1,$BT$2:$CA$2,$BT42:$CA42,0)</f>
        <v>#REF!</v>
      </c>
      <c r="FT42" s="26" t="e">
        <f t="shared" ref="FT42:FT71" si="218">$CR42*_xlfn.XLOOKUP(FT$1,$BT$2:$CA$2,$BT42:$CA42,0)</f>
        <v>#REF!</v>
      </c>
      <c r="FU42" s="26" t="e">
        <f t="shared" ref="FU42:FU71" si="219">$CS42*_xlfn.XLOOKUP(FU$1,$BT$2:$CA$2,$BT42:$CA42,0)</f>
        <v>#REF!</v>
      </c>
      <c r="FV42" s="26" t="e">
        <f t="shared" ref="FV42:FV71" si="220">$CT42*_xlfn.XLOOKUP(FV$1,$BT$2:$CA$2,$BT42:$CA42,0)</f>
        <v>#REF!</v>
      </c>
      <c r="FW42" s="26" t="e">
        <f t="shared" ref="FW42:FW71" si="221">$CU42*_xlfn.XLOOKUP(FW$1,$BT$2:$CA$2,$BT42:$CA42,0)</f>
        <v>#REF!</v>
      </c>
      <c r="FX42" s="26" t="e">
        <f t="shared" ref="FX42:FX71" si="222">$CV42*_xlfn.XLOOKUP(FX$1,$BT$2:$CA$2,$BT42:$CA42,0)</f>
        <v>#REF!</v>
      </c>
      <c r="GB42" s="26" t="e">
        <f>IF(GB$2=InputTable[[#This Row],[Delivery Date]],_xlfn.XLOOKUP(GB$1,$BH$2:$BR$2,$BH42:$BR42,0),0)</f>
        <v>#REF!</v>
      </c>
      <c r="GC42" s="26">
        <f>IF(GC$2=InputTable[[#This Row],[Delivery Date]],_xlfn.XLOOKUP(GC$1,$BH$2:$BR$2,$BH42:$BR42,0),0)</f>
        <v>0</v>
      </c>
      <c r="GD42" s="26">
        <f>IF(GD$2=InputTable[[#This Row],[Delivery Date]],_xlfn.XLOOKUP(GD$1,$BH$2:$BR$2,$BH42:$BR42,0),0)</f>
        <v>0</v>
      </c>
      <c r="GE42" s="26">
        <f>IF(GE$2=InputTable[[#This Row],[Delivery Date]],_xlfn.XLOOKUP(GE$1,$BH$2:$BR$2,$BH42:$BR42,0),0)</f>
        <v>0</v>
      </c>
      <c r="GF42" s="26">
        <f>IF(GF$2=InputTable[[#This Row],[Delivery Date]],_xlfn.XLOOKUP(GF$1,$BH$2:$BR$2,$BH42:$BR42,0),0)</f>
        <v>0</v>
      </c>
      <c r="GG42" s="26">
        <f>IF(GG$2=InputTable[[#This Row],[Delivery Date]],_xlfn.XLOOKUP(GG$1,$BH$2:$BR$2,$BH42:$BR42,0),0)</f>
        <v>0</v>
      </c>
      <c r="GH42" s="26">
        <f>IF(GH$2=InputTable[[#This Row],[Delivery Date]],_xlfn.XLOOKUP(GH$1,$BH$2:$BR$2,$BH42:$BR42,0),0)</f>
        <v>0</v>
      </c>
      <c r="GI42" s="26">
        <f>IF(GI$2=InputTable[[#This Row],[Delivery Date]],_xlfn.XLOOKUP(GI$1,$BH$2:$BR$2,$BH42:$BR42,0),0)</f>
        <v>0</v>
      </c>
      <c r="GJ42" s="26">
        <f>IF(GJ$2=InputTable[[#This Row],[Delivery Date]],_xlfn.XLOOKUP(GJ$1,$BH$2:$BR$2,$BH42:$BR42,0),0)</f>
        <v>0</v>
      </c>
      <c r="GL42" s="26" t="e">
        <f>IF(GL$2=InputTable[[#This Row],[Delivery Date]],_xlfn.XLOOKUP(GL$1,$BH$2:$BR$2,$BH42:$BR42,0),0)</f>
        <v>#REF!</v>
      </c>
      <c r="GM42" s="26">
        <f>IF(GM$2=InputTable[[#This Row],[Delivery Date]],_xlfn.XLOOKUP(GM$1,$BH$2:$BR$2,$BH42:$BR42,0),0)</f>
        <v>0</v>
      </c>
      <c r="GN42" s="26">
        <f>IF(GN$2=InputTable[[#This Row],[Delivery Date]],_xlfn.XLOOKUP(GN$1,$BH$2:$BR$2,$BH42:$BR42,0),0)</f>
        <v>0</v>
      </c>
      <c r="GO42" s="26">
        <f>IF(GO$2=InputTable[[#This Row],[Delivery Date]],_xlfn.XLOOKUP(GO$1,$BH$2:$BR$2,$BH42:$BR42,0),0)</f>
        <v>0</v>
      </c>
      <c r="GP42" s="26">
        <f>IF(GP$2=InputTable[[#This Row],[Delivery Date]],_xlfn.XLOOKUP(GP$1,$BH$2:$BR$2,$BH42:$BR42,0),0)</f>
        <v>0</v>
      </c>
      <c r="GQ42" s="26">
        <f>IF(GQ$2=InputTable[[#This Row],[Delivery Date]],_xlfn.XLOOKUP(GQ$1,$BH$2:$BR$2,$BH42:$BR42,0),0)</f>
        <v>0</v>
      </c>
      <c r="GR42" s="26">
        <f>IF(GR$2=InputTable[[#This Row],[Delivery Date]],_xlfn.XLOOKUP(GR$1,$BH$2:$BR$2,$BH42:$BR42,0),0)</f>
        <v>0</v>
      </c>
      <c r="GS42" s="26">
        <f>IF(GS$2=InputTable[[#This Row],[Delivery Date]],_xlfn.XLOOKUP(GS$1,$BH$2:$BR$2,$BH42:$BR42,0),0)</f>
        <v>0</v>
      </c>
      <c r="GT42" s="26">
        <f>IF(GT$2=InputTable[[#This Row],[Delivery Date]],_xlfn.XLOOKUP(GT$1,$BH$2:$BR$2,$BH42:$BR42,0),0)</f>
        <v>0</v>
      </c>
      <c r="GV42" s="26" t="e">
        <f>IF(GV$2=InputTable[[#This Row],[Delivery Date]],_xlfn.XLOOKUP(GV$1,$BH$2:$BR$2,$BH42:$BR42,0),0)</f>
        <v>#REF!</v>
      </c>
      <c r="GW42" s="26">
        <f>IF(GW$2=InputTable[[#This Row],[Delivery Date]],_xlfn.XLOOKUP(GW$1,$BH$2:$BR$2,$BH42:$BR42,0),0)</f>
        <v>0</v>
      </c>
      <c r="GX42" s="26">
        <f>IF(GX$2=InputTable[[#This Row],[Delivery Date]],_xlfn.XLOOKUP(GX$1,$BH$2:$BR$2,$BH42:$BR42,0),0)</f>
        <v>0</v>
      </c>
      <c r="GY42" s="26">
        <f>IF(GY$2=InputTable[[#This Row],[Delivery Date]],_xlfn.XLOOKUP(GY$1,$BH$2:$BR$2,$BH42:$BR42,0),0)</f>
        <v>0</v>
      </c>
      <c r="GZ42" s="26">
        <f>IF(GZ$2=InputTable[[#This Row],[Delivery Date]],_xlfn.XLOOKUP(GZ$1,$BH$2:$BR$2,$BH42:$BR42,0),0)</f>
        <v>0</v>
      </c>
      <c r="HA42" s="26">
        <f>IF(HA$2=InputTable[[#This Row],[Delivery Date]],_xlfn.XLOOKUP(HA$1,$BH$2:$BR$2,$BH42:$BR42,0),0)</f>
        <v>0</v>
      </c>
      <c r="HB42" s="26">
        <f>IF(HB$2=InputTable[[#This Row],[Delivery Date]],_xlfn.XLOOKUP(HB$1,$BH$2:$BR$2,$BH42:$BR42,0),0)</f>
        <v>0</v>
      </c>
      <c r="HC42" s="26">
        <f>IF(HC$2=InputTable[[#This Row],[Delivery Date]],_xlfn.XLOOKUP(HC$1,$BH$2:$BR$2,$BH42:$BR42,0),0)</f>
        <v>0</v>
      </c>
      <c r="HD42" s="26">
        <f>IF(HD$2=InputTable[[#This Row],[Delivery Date]],_xlfn.XLOOKUP(HD$1,$BH$2:$BR$2,$BH42:$BR42,0),0)</f>
        <v>0</v>
      </c>
      <c r="HF42" s="26" t="e">
        <f>IF(HF$2=InputTable[[#This Row],[Delivery Date]],_xlfn.XLOOKUP(HF$1,$BH$2:$BR$2,$BH42:$BR42,0),0)</f>
        <v>#REF!</v>
      </c>
      <c r="HG42" s="26">
        <f>IF(HG$2=InputTable[[#This Row],[Delivery Date]],_xlfn.XLOOKUP(HG$1,$BH$2:$BR$2,$BH42:$BR42,0),0)</f>
        <v>0</v>
      </c>
      <c r="HH42" s="26">
        <f>IF(HH$2=InputTable[[#This Row],[Delivery Date]],_xlfn.XLOOKUP(HH$1,$BH$2:$BR$2,$BH42:$BR42,0),0)</f>
        <v>0</v>
      </c>
      <c r="HI42" s="26">
        <f>IF(HI$2=InputTable[[#This Row],[Delivery Date]],_xlfn.XLOOKUP(HI$1,$BH$2:$BR$2,$BH42:$BR42,0),0)</f>
        <v>0</v>
      </c>
      <c r="HJ42" s="26">
        <f>IF(HJ$2=InputTable[[#This Row],[Delivery Date]],_xlfn.XLOOKUP(HJ$1,$BH$2:$BR$2,$BH42:$BR42,0),0)</f>
        <v>0</v>
      </c>
      <c r="HK42" s="26">
        <f>IF(HK$2=InputTable[[#This Row],[Delivery Date]],_xlfn.XLOOKUP(HK$1,$BH$2:$BR$2,$BH42:$BR42,0),0)</f>
        <v>0</v>
      </c>
      <c r="HL42" s="26">
        <f>IF(HL$2=InputTable[[#This Row],[Delivery Date]],_xlfn.XLOOKUP(HL$1,$BH$2:$BR$2,$BH42:$BR42,0),0)</f>
        <v>0</v>
      </c>
      <c r="HM42" s="26">
        <f>IF(HM$2=InputTable[[#This Row],[Delivery Date]],_xlfn.XLOOKUP(HM$1,$BH$2:$BR$2,$BH42:$BR42,0),0)</f>
        <v>0</v>
      </c>
      <c r="HN42" s="26">
        <f>IF(HN$2=InputTable[[#This Row],[Delivery Date]],_xlfn.XLOOKUP(HN$1,$BH$2:$BR$2,$BH42:$BR42,0),0)</f>
        <v>0</v>
      </c>
      <c r="HP42" s="26" t="e">
        <f>IF(HP$2=InputTable[[#This Row],[Delivery Date]],_xlfn.XLOOKUP(HP$1,$BH$2:$BR$2,$BH42:$BR42,0),0)</f>
        <v>#REF!</v>
      </c>
      <c r="HQ42" s="26">
        <f>IF(HQ$2=InputTable[[#This Row],[Delivery Date]],_xlfn.XLOOKUP(HQ$1,$BH$2:$BR$2,$BH42:$BR42,0),0)</f>
        <v>0</v>
      </c>
      <c r="HR42" s="26">
        <f>IF(HR$2=InputTable[[#This Row],[Delivery Date]],_xlfn.XLOOKUP(HR$1,$BH$2:$BR$2,$BH42:$BR42,0),0)</f>
        <v>0</v>
      </c>
      <c r="HS42" s="26">
        <f>IF(HS$2=InputTable[[#This Row],[Delivery Date]],_xlfn.XLOOKUP(HS$1,$BH$2:$BR$2,$BH42:$BR42,0),0)</f>
        <v>0</v>
      </c>
      <c r="HT42" s="26">
        <f>IF(HT$2=InputTable[[#This Row],[Delivery Date]],_xlfn.XLOOKUP(HT$1,$BH$2:$BR$2,$BH42:$BR42,0),0)</f>
        <v>0</v>
      </c>
      <c r="HU42" s="26">
        <f>IF(HU$2=InputTable[[#This Row],[Delivery Date]],_xlfn.XLOOKUP(HU$1,$BH$2:$BR$2,$BH42:$BR42,0),0)</f>
        <v>0</v>
      </c>
      <c r="HV42" s="26">
        <f>IF(HV$2=InputTable[[#This Row],[Delivery Date]],_xlfn.XLOOKUP(HV$1,$BH$2:$BR$2,$BH42:$BR42,0),0)</f>
        <v>0</v>
      </c>
      <c r="HW42" s="26">
        <f>IF(HW$2=InputTable[[#This Row],[Delivery Date]],_xlfn.XLOOKUP(HW$1,$BH$2:$BR$2,$BH42:$BR42,0),0)</f>
        <v>0</v>
      </c>
      <c r="HX42" s="26">
        <f>IF(HX$2=InputTable[[#This Row],[Delivery Date]],_xlfn.XLOOKUP(HX$1,$BH$2:$BR$2,$BH42:$BR42,0),0)</f>
        <v>0</v>
      </c>
      <c r="HZ42" s="26" t="e">
        <f>IF(HZ$2=InputTable[[#This Row],[Delivery Date]],_xlfn.XLOOKUP(HZ$1,$BH$2:$BR$2,$BH42:$BR42,0),0)</f>
        <v>#REF!</v>
      </c>
      <c r="IA42" s="26">
        <f>IF(IA$2=InputTable[[#This Row],[Delivery Date]],_xlfn.XLOOKUP(IA$1,$BH$2:$BR$2,$BH42:$BR42,0),0)</f>
        <v>0</v>
      </c>
      <c r="IB42" s="26">
        <f>IF(IB$2=InputTable[[#This Row],[Delivery Date]],_xlfn.XLOOKUP(IB$1,$BH$2:$BR$2,$BH42:$BR42,0),0)</f>
        <v>0</v>
      </c>
      <c r="IC42" s="26">
        <f>IF(IC$2=InputTable[[#This Row],[Delivery Date]],_xlfn.XLOOKUP(IC$1,$BH$2:$BR$2,$BH42:$BR42,0),0)</f>
        <v>0</v>
      </c>
      <c r="ID42" s="26">
        <f>IF(ID$2=InputTable[[#This Row],[Delivery Date]],_xlfn.XLOOKUP(ID$1,$BH$2:$BR$2,$BH42:$BR42,0),0)</f>
        <v>0</v>
      </c>
      <c r="IE42" s="26">
        <f>IF(IE$2=InputTable[[#This Row],[Delivery Date]],_xlfn.XLOOKUP(IE$1,$BH$2:$BR$2,$BH42:$BR42,0),0)</f>
        <v>0</v>
      </c>
      <c r="IF42" s="26">
        <f>IF(IF$2=InputTable[[#This Row],[Delivery Date]],_xlfn.XLOOKUP(IF$1,$BH$2:$BR$2,$BH42:$BR42,0),0)</f>
        <v>0</v>
      </c>
      <c r="IG42" s="26">
        <f>IF(IG$2=InputTable[[#This Row],[Delivery Date]],_xlfn.XLOOKUP(IG$1,$BH$2:$BR$2,$BH42:$BR42,0),0)</f>
        <v>0</v>
      </c>
      <c r="IH42" s="26">
        <f>IF(IH$2=InputTable[[#This Row],[Delivery Date]],_xlfn.XLOOKUP(IH$1,$BH$2:$BR$2,$BH42:$BR42,0),0)</f>
        <v>0</v>
      </c>
      <c r="IJ42" s="26" t="e">
        <f>IF(IJ$2=InputTable[[#This Row],[Delivery Date]],_xlfn.XLOOKUP(IJ$1,$BH$2:$BR$2,$BH42:$BR42,0),0)</f>
        <v>#REF!</v>
      </c>
      <c r="IK42" s="26">
        <f>IF(IK$2=InputTable[[#This Row],[Delivery Date]],_xlfn.XLOOKUP(IK$1,$BH$2:$BR$2,$BH42:$BR42,0),0)</f>
        <v>0</v>
      </c>
      <c r="IL42" s="26">
        <f>IF(IL$2=InputTable[[#This Row],[Delivery Date]],_xlfn.XLOOKUP(IL$1,$BH$2:$BR$2,$BH42:$BR42,0),0)</f>
        <v>0</v>
      </c>
      <c r="IM42" s="26">
        <f>IF(IM$2=InputTable[[#This Row],[Delivery Date]],_xlfn.XLOOKUP(IM$1,$BH$2:$BR$2,$BH42:$BR42,0),0)</f>
        <v>0</v>
      </c>
      <c r="IN42" s="26">
        <f>IF(IN$2=InputTable[[#This Row],[Delivery Date]],_xlfn.XLOOKUP(IN$1,$BH$2:$BR$2,$BH42:$BR42,0),0)</f>
        <v>0</v>
      </c>
      <c r="IO42" s="26">
        <f>IF(IO$2=InputTable[[#This Row],[Delivery Date]],_xlfn.XLOOKUP(IO$1,$BH$2:$BR$2,$BH42:$BR42,0),0)</f>
        <v>0</v>
      </c>
      <c r="IP42" s="26">
        <f>IF(IP$2=InputTable[[#This Row],[Delivery Date]],_xlfn.XLOOKUP(IP$1,$BH$2:$BR$2,$BH42:$BR42,0),0)</f>
        <v>0</v>
      </c>
      <c r="IQ42" s="26">
        <f>IF(IQ$2=InputTable[[#This Row],[Delivery Date]],_xlfn.XLOOKUP(IQ$1,$BH$2:$BR$2,$BH42:$BR42,0),0)</f>
        <v>0</v>
      </c>
      <c r="IR42" s="26">
        <f>IF(IR$2=InputTable[[#This Row],[Delivery Date]],_xlfn.XLOOKUP(IR$1,$BH$2:$BR$2,$BH42:$BR42,0),0)</f>
        <v>0</v>
      </c>
      <c r="IT42" s="26" t="e">
        <f>IF(IT$2=InputTable[[#This Row],[Delivery Date]],_xlfn.XLOOKUP(IT$1,$BH$2:$BR$2,$BH42:$BR42,0),0)</f>
        <v>#REF!</v>
      </c>
      <c r="IU42" s="26">
        <f>IF(IU$2=InputTable[[#This Row],[Delivery Date]],_xlfn.XLOOKUP(IU$1,$BH$2:$BR$2,$BH42:$BR42,0),0)</f>
        <v>0</v>
      </c>
      <c r="IV42" s="26">
        <f>IF(IV$2=InputTable[[#This Row],[Delivery Date]],_xlfn.XLOOKUP(IV$1,$BH$2:$BR$2,$BH42:$BR42,0),0)</f>
        <v>0</v>
      </c>
      <c r="IW42" s="26">
        <f>IF(IW$2=InputTable[[#This Row],[Delivery Date]],_xlfn.XLOOKUP(IW$1,$BH$2:$BR$2,$BH42:$BR42,0),0)</f>
        <v>0</v>
      </c>
      <c r="IX42" s="26">
        <f>IF(IX$2=InputTable[[#This Row],[Delivery Date]],_xlfn.XLOOKUP(IX$1,$BH$2:$BR$2,$BH42:$BR42,0),0)</f>
        <v>0</v>
      </c>
      <c r="IY42" s="26">
        <f>IF(IY$2=InputTable[[#This Row],[Delivery Date]],_xlfn.XLOOKUP(IY$1,$BH$2:$BR$2,$BH42:$BR42,0),0)</f>
        <v>0</v>
      </c>
      <c r="IZ42" s="26">
        <f>IF(IZ$2=InputTable[[#This Row],[Delivery Date]],_xlfn.XLOOKUP(IZ$1,$BH$2:$BR$2,$BH42:$BR42,0),0)</f>
        <v>0</v>
      </c>
      <c r="JA42" s="26">
        <f>IF(JA$2=InputTable[[#This Row],[Delivery Date]],_xlfn.XLOOKUP(JA$1,$BH$2:$BR$2,$BH42:$BR42,0),0)</f>
        <v>0</v>
      </c>
      <c r="JB42" s="26">
        <f>IF(JB$2=InputTable[[#This Row],[Delivery Date]],_xlfn.XLOOKUP(JB$1,$BH$2:$BR$2,$BH42:$BR42,0),0)</f>
        <v>0</v>
      </c>
      <c r="JD42" s="26" t="e">
        <f>IF(JD$2=InputTable[[#This Row],[Delivery Date]],_xlfn.XLOOKUP(JD$1,$BH$2:$BR$2,$BH42:$BR42,0),0)</f>
        <v>#REF!</v>
      </c>
      <c r="JE42" s="26">
        <f>IF(JE$2=InputTable[[#This Row],[Delivery Date]],_xlfn.XLOOKUP(JE$1,$BH$2:$BR$2,$BH42:$BR42,0),0)</f>
        <v>0</v>
      </c>
      <c r="JF42" s="26">
        <f>IF(JF$2=InputTable[[#This Row],[Delivery Date]],_xlfn.XLOOKUP(JF$1,$BH$2:$BR$2,$BH42:$BR42,0),0)</f>
        <v>0</v>
      </c>
      <c r="JG42" s="26">
        <f>IF(JG$2=InputTable[[#This Row],[Delivery Date]],_xlfn.XLOOKUP(JG$1,$BH$2:$BR$2,$BH42:$BR42,0),0)</f>
        <v>0</v>
      </c>
      <c r="JH42" s="26">
        <f>IF(JH$2=InputTable[[#This Row],[Delivery Date]],_xlfn.XLOOKUP(JH$1,$BH$2:$BR$2,$BH42:$BR42,0),0)</f>
        <v>0</v>
      </c>
      <c r="JI42" s="26">
        <f>IF(JI$2=InputTable[[#This Row],[Delivery Date]],_xlfn.XLOOKUP(JI$1,$BH$2:$BR$2,$BH42:$BR42,0),0)</f>
        <v>0</v>
      </c>
      <c r="JJ42" s="26">
        <f>IF(JJ$2=InputTable[[#This Row],[Delivery Date]],_xlfn.XLOOKUP(JJ$1,$BH$2:$BR$2,$BH42:$BR42,0),0)</f>
        <v>0</v>
      </c>
      <c r="JK42" s="26">
        <f>IF(JK$2=InputTable[[#This Row],[Delivery Date]],_xlfn.XLOOKUP(JK$1,$BH$2:$BR$2,$BH42:$BR42,0),0)</f>
        <v>0</v>
      </c>
      <c r="JL42" s="26">
        <f>IF(JL$2=InputTable[[#This Row],[Delivery Date]],_xlfn.XLOOKUP(JL$1,$BH$2:$BR$2,$BH42:$BR42,0),0)</f>
        <v>0</v>
      </c>
      <c r="JN42" s="26" t="e">
        <f>IF(JN$2=InputTable[[#This Row],[Delivery Date]],_xlfn.XLOOKUP(JN$1,$BH$2:$BR$2,$BH42:$BR42,0),0)</f>
        <v>#REF!</v>
      </c>
      <c r="JO42" s="26">
        <f>IF(JO$2=InputTable[[#This Row],[Delivery Date]],_xlfn.XLOOKUP(JO$1,$BH$2:$BR$2,$BH42:$BR42,0),0)</f>
        <v>0</v>
      </c>
      <c r="JP42" s="26">
        <f>IF(JP$2=InputTable[[#This Row],[Delivery Date]],_xlfn.XLOOKUP(JP$1,$BH$2:$BR$2,$BH42:$BR42,0),0)</f>
        <v>0</v>
      </c>
      <c r="JQ42" s="26">
        <f>IF(JQ$2=InputTable[[#This Row],[Delivery Date]],_xlfn.XLOOKUP(JQ$1,$BH$2:$BR$2,$BH42:$BR42,0),0)</f>
        <v>0</v>
      </c>
      <c r="JR42" s="26">
        <f>IF(JR$2=InputTable[[#This Row],[Delivery Date]],_xlfn.XLOOKUP(JR$1,$BH$2:$BR$2,$BH42:$BR42,0),0)</f>
        <v>0</v>
      </c>
      <c r="JS42" s="26">
        <f>IF(JS$2=InputTable[[#This Row],[Delivery Date]],_xlfn.XLOOKUP(JS$1,$BH$2:$BR$2,$BH42:$BR42,0),0)</f>
        <v>0</v>
      </c>
      <c r="JT42" s="26">
        <f>IF(JT$2=InputTable[[#This Row],[Delivery Date]],_xlfn.XLOOKUP(JT$1,$BH$2:$BR$2,$BH42:$BR42,0),0)</f>
        <v>0</v>
      </c>
      <c r="JU42" s="26">
        <f>IF(JU$2=InputTable[[#This Row],[Delivery Date]],_xlfn.XLOOKUP(JU$1,$BH$2:$BR$2,$BH42:$BR42,0),0)</f>
        <v>0</v>
      </c>
      <c r="JV42" s="26">
        <f>IF(JV$2=InputTable[[#This Row],[Delivery Date]],_xlfn.XLOOKUP(JV$1,$BH$2:$BR$2,$BH42:$BR42,0),0)</f>
        <v>0</v>
      </c>
      <c r="JX42" s="26" t="e">
        <f>IF(JX$2=InputTable[[#This Row],[Delivery Date]],_xlfn.XLOOKUP(JX$1,$BH$2:$BR$2,$BH42:$BR42,0),0)</f>
        <v>#REF!</v>
      </c>
      <c r="JY42" s="26">
        <f>IF(JY$2=InputTable[[#This Row],[Delivery Date]],_xlfn.XLOOKUP(JY$1,$BH$2:$BR$2,$BH42:$BR42,0),0)</f>
        <v>0</v>
      </c>
      <c r="JZ42" s="26">
        <f>IF(JZ$2=InputTable[[#This Row],[Delivery Date]],_xlfn.XLOOKUP(JZ$1,$BH$2:$BR$2,$BH42:$BR42,0),0)</f>
        <v>0</v>
      </c>
      <c r="KA42" s="26">
        <f>IF(KA$2=InputTable[[#This Row],[Delivery Date]],_xlfn.XLOOKUP(KA$1,$BH$2:$BR$2,$BH42:$BR42,0),0)</f>
        <v>0</v>
      </c>
      <c r="KB42" s="26">
        <f>IF(KB$2=InputTable[[#This Row],[Delivery Date]],_xlfn.XLOOKUP(KB$1,$BH$2:$BR$2,$BH42:$BR42,0),0)</f>
        <v>0</v>
      </c>
      <c r="KC42" s="26">
        <f>IF(KC$2=InputTable[[#This Row],[Delivery Date]],_xlfn.XLOOKUP(KC$1,$BH$2:$BR$2,$BH42:$BR42,0),0)</f>
        <v>0</v>
      </c>
      <c r="KD42" s="26">
        <f>IF(KD$2=InputTable[[#This Row],[Delivery Date]],_xlfn.XLOOKUP(KD$1,$BH$2:$BR$2,$BH42:$BR42,0),0)</f>
        <v>0</v>
      </c>
      <c r="KE42" s="26">
        <f>IF(KE$2=InputTable[[#This Row],[Delivery Date]],_xlfn.XLOOKUP(KE$1,$BH$2:$BR$2,$BH42:$BR42,0),0)</f>
        <v>0</v>
      </c>
      <c r="KF42" s="26">
        <f>IF(KF$2=InputTable[[#This Row],[Delivery Date]],_xlfn.XLOOKUP(KF$1,$BH$2:$BR$2,$BH42:$BR42,0),0)</f>
        <v>0</v>
      </c>
    </row>
    <row r="43" spans="1:292" ht="39.6" hidden="1" customHeight="1" x14ac:dyDescent="0.25">
      <c r="A43" s="141" t="s">
        <v>181</v>
      </c>
      <c r="B43" s="141" t="s">
        <v>156</v>
      </c>
      <c r="C43" s="92" t="s">
        <v>61</v>
      </c>
      <c r="D43" s="125" t="s">
        <v>251</v>
      </c>
      <c r="E43" s="193" t="s">
        <v>252</v>
      </c>
      <c r="F43" s="92" t="s">
        <v>61</v>
      </c>
      <c r="G43" s="114">
        <v>2024</v>
      </c>
      <c r="H43" s="92" t="s">
        <v>100</v>
      </c>
      <c r="I43" s="92" t="s">
        <v>160</v>
      </c>
      <c r="J43" s="125"/>
      <c r="K43" s="95" t="e">
        <f>VLOOKUP((InputTable[[#This Row],[Starting Date]]&amp; " - " &amp;InputTable[[#This Row],[Delivery Date]]),'System List'!$F$40:$H$83,2,FALSE)</f>
        <v>#N/A</v>
      </c>
      <c r="L43" s="95" t="e">
        <f>VLOOKUP(InputTable[[#This Row],[Duration]],Duration,2,FALSE)</f>
        <v>#N/A</v>
      </c>
      <c r="M43" s="125"/>
      <c r="N43" s="92" t="s">
        <v>111</v>
      </c>
      <c r="O43" s="92"/>
      <c r="P43" s="92" t="s">
        <v>111</v>
      </c>
      <c r="Q43" s="92"/>
      <c r="R43" s="92" t="s">
        <v>111</v>
      </c>
      <c r="S43" s="92"/>
      <c r="T43" s="95" cm="1">
        <f t="array" ref="T4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3.5</v>
      </c>
      <c r="U43" s="138"/>
      <c r="V43" s="92"/>
      <c r="W43" s="92"/>
      <c r="X43" s="92"/>
      <c r="Y43" s="92" t="s">
        <v>100</v>
      </c>
      <c r="Z43" s="92"/>
      <c r="AA43" s="92" t="s">
        <v>139</v>
      </c>
      <c r="AB43" s="92"/>
      <c r="AC43" s="92"/>
      <c r="AD43" s="92">
        <f>COUNTA(InputTable[[#This Row],[CORPHRFIN]:[SALES]])</f>
        <v>2</v>
      </c>
      <c r="AE43" s="88" cm="1">
        <f t="array" ref="AE43">SUM(
_xlfn.XLOOKUP(InputTable[[#This Row],[CORPHRFIN]:[SALES]],'System List'!$F$4:$F$7,'System List'!$H$4:$H$7,0))</f>
        <v>21</v>
      </c>
      <c r="AF43" s="140"/>
      <c r="AG43" s="96"/>
      <c r="AH43" s="96" t="s">
        <v>139</v>
      </c>
      <c r="AI43" s="96"/>
      <c r="AJ43" s="96"/>
      <c r="AK43" s="96"/>
      <c r="AL43" s="96" t="s">
        <v>100</v>
      </c>
      <c r="AM43" s="96" t="s">
        <v>100</v>
      </c>
      <c r="AN43" s="96" t="s">
        <v>139</v>
      </c>
      <c r="AO43" s="96" t="s">
        <v>111</v>
      </c>
      <c r="AP43" s="96" t="s">
        <v>100</v>
      </c>
      <c r="AQ43" s="96"/>
      <c r="AR43" s="88" cm="1">
        <f t="array" ref="AR43">SUM(
_xlfn.XLOOKUP(InputTable[[#This Row],[Impact on - CIAL]:[Impact on - STRAT]],'System List'!$F$4:$F$7,'System List'!$H$4:$H$7,0))</f>
        <v>60</v>
      </c>
      <c r="AS43" s="88" t="e">
        <f>VLOOKUP(InputTable[[#This Row],[Duration]],Duration,2,FALSE)+InputTable[[#This Row],[Resource Score]]</f>
        <v>#N/A</v>
      </c>
      <c r="AT4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3" s="24" t="e">
        <f>InputTable[[#This Row],[Value Score]]/InputTable[[#This Row],[EFFORT SCORE]]*100</f>
        <v>#N/A</v>
      </c>
      <c r="AV43" s="25" t="str">
        <f>InputTable[[#This Row],[IS Portfolio Ref ID]]</f>
        <v>ISPRJ-28</v>
      </c>
      <c r="AW43" s="25" t="s">
        <v>194</v>
      </c>
      <c r="AX43" s="208" t="s">
        <v>113</v>
      </c>
      <c r="AY43" s="25" t="s">
        <v>247</v>
      </c>
      <c r="AZ43" s="209">
        <v>0</v>
      </c>
      <c r="BA43" s="209">
        <v>250000</v>
      </c>
      <c r="BB43" s="209"/>
      <c r="BC43" s="189">
        <f>SUM(InputTable[[#This Row],[Opex IS Budget (full project)]]+InputTable[[#This Row],[Capex IS Budget (full project)]])</f>
        <v>250000</v>
      </c>
      <c r="BD43" s="188">
        <v>2</v>
      </c>
      <c r="BE43" s="188">
        <v>3</v>
      </c>
      <c r="BF43" s="70"/>
      <c r="BH43" s="2">
        <f>IFERROR(VLOOKUP(InputTable[[#This Row],[Impact on - CIAL]],'System List'!$F$4:$H$7,3,FALSE),0)</f>
        <v>0</v>
      </c>
      <c r="BI43" s="2">
        <f>IFERROR(VLOOKUP(InputTable[[#This Row],[Impact on - COM]],'System List'!$F$4:$H$7,3,FALSE),0)</f>
        <v>8</v>
      </c>
      <c r="BJ43" s="2">
        <f>IFERROR(VLOOKUP(InputTable[[#This Row],[Impact on - FIN]],'System List'!$F$4:$H$7,3,FALSE),0)</f>
        <v>0</v>
      </c>
      <c r="BK43" s="2">
        <f>IFERROR(VLOOKUP(InputTable[[#This Row],[Impact on - GEN SEC]],'System List'!$F$4:$H$7,3,FALSE),0)</f>
        <v>0</v>
      </c>
      <c r="BL43" s="2">
        <f>IFERROR(VLOOKUP(InputTable[[#This Row],[Impact on - HR]],'System List'!$F$4:$H$7,3,FALSE),0)</f>
        <v>0</v>
      </c>
      <c r="BM43" s="2">
        <f>IFERROR(VLOOKUP(InputTable[[#This Row],[Impact on - IS]],'System List'!$F$4:$H$7,3,FALSE),0)</f>
        <v>13</v>
      </c>
      <c r="BN43" s="2">
        <f>IFERROR(VLOOKUP(InputTable[[#This Row],[Impact on - OPS]],'System List'!$F$4:$H$7,3,FALSE),0)</f>
        <v>13</v>
      </c>
      <c r="BO43" s="2">
        <f>IFERROR(VLOOKUP(InputTable[[#This Row],[Impact on - ROLL STOCK]],'System List'!$F$4:$H$7,3,FALSE),0)</f>
        <v>8</v>
      </c>
      <c r="BP43" s="2">
        <f>IFERROR(VLOOKUP(InputTable[[#This Row],[Impact on - SAFETY]],'System List'!$F$4:$H$7,3,FALSE),0)</f>
        <v>5</v>
      </c>
      <c r="BQ43" s="2">
        <f>IFERROR(VLOOKUP(InputTable[[#This Row],[Impact on - STATION]],'System List'!$F$4:$H$7,3,FALSE),0)</f>
        <v>13</v>
      </c>
      <c r="BR43" s="2">
        <f>IFERROR(VLOOKUP(InputTable[[#This Row],[Impact on - STRAT]],'System List'!$F$4:$H$7,3,FALSE),0)</f>
        <v>0</v>
      </c>
      <c r="BT43" s="2">
        <f>IFERROR(VLOOKUP(InputTable[[#This Row],[CORPHRFIN]],'System List'!$F$4:$H$7,3,FALSE),0)</f>
        <v>0</v>
      </c>
      <c r="BU43" s="2">
        <f>IFERROR(VLOOKUP(InputTable[[#This Row],[CUST]],'System List'!$F$4:$H$7,3,FALSE),0)</f>
        <v>0</v>
      </c>
      <c r="BV43" s="2">
        <f>IFERROR(VLOOKUP(InputTable[[#This Row],[CYBER]],'System List'!$F$4:$H$7,3,FALSE),0)</f>
        <v>0</v>
      </c>
      <c r="BW43" s="2">
        <f>IFERROR(VLOOKUP(InputTable[[#This Row],[DATA]],'System List'!$F$4:$H$7,3,FALSE),0)</f>
        <v>13</v>
      </c>
      <c r="BX43" s="2">
        <f>IFERROR(VLOOKUP(InputTable[[#This Row],[INFRA]],'System List'!$F$4:$H$7,3,FALSE),0)</f>
        <v>0</v>
      </c>
      <c r="BY43" s="2">
        <f>IFERROR(VLOOKUP(InputTable[[#This Row],[OPERATIONS]],'System List'!$F$4:$H$7,3,FALSE),0)</f>
        <v>8</v>
      </c>
      <c r="BZ43" s="2">
        <f>IFERROR(VLOOKUP(InputTable[[#This Row],[PMO]],'System List'!$F$4:$H$7,3,FALSE),0)</f>
        <v>0</v>
      </c>
      <c r="CA43" s="2">
        <f>IFERROR(VLOOKUP(InputTable[[#This Row],[SALES]],'System List'!$F$4:$H$7,3,FALSE),0)</f>
        <v>0</v>
      </c>
      <c r="CC43" s="2" cm="1">
        <f t="array" ref="CC4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3" s="2" cm="1">
        <f t="array" ref="CD4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3" s="2" cm="1">
        <f t="array" ref="CE4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3" s="2" cm="1">
        <f t="array" ref="CF4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3" s="2" cm="1">
        <f t="array" ref="CG4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3" s="2" cm="1">
        <f t="array" ref="CH4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3" s="2" cm="1">
        <f t="array" ref="CI4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3" s="2" cm="1">
        <f t="array" ref="CJ4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3" s="2" cm="1">
        <f t="array" ref="CK4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4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4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4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4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4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3" s="26">
        <f t="shared" si="151"/>
        <v>0</v>
      </c>
      <c r="CY43" s="26">
        <f t="shared" si="152"/>
        <v>0</v>
      </c>
      <c r="CZ43" s="26">
        <f t="shared" si="153"/>
        <v>0</v>
      </c>
      <c r="DA43" s="26">
        <f t="shared" si="154"/>
        <v>0</v>
      </c>
      <c r="DB43" s="26">
        <f t="shared" si="155"/>
        <v>0</v>
      </c>
      <c r="DC43" s="26">
        <f t="shared" si="156"/>
        <v>0</v>
      </c>
      <c r="DD43" s="26">
        <f t="shared" si="157"/>
        <v>0</v>
      </c>
      <c r="DE43" s="26">
        <f t="shared" si="158"/>
        <v>0</v>
      </c>
      <c r="DF43" s="26">
        <f t="shared" si="159"/>
        <v>0</v>
      </c>
      <c r="DH43" s="26">
        <f t="shared" si="160"/>
        <v>0</v>
      </c>
      <c r="DI43" s="26">
        <f t="shared" si="161"/>
        <v>0</v>
      </c>
      <c r="DJ43" s="26">
        <f t="shared" si="162"/>
        <v>0</v>
      </c>
      <c r="DK43" s="26">
        <f t="shared" si="163"/>
        <v>0</v>
      </c>
      <c r="DL43" s="26">
        <f t="shared" si="164"/>
        <v>0</v>
      </c>
      <c r="DM43" s="26">
        <f t="shared" si="165"/>
        <v>0</v>
      </c>
      <c r="DN43" s="26">
        <f t="shared" si="166"/>
        <v>0</v>
      </c>
      <c r="DO43" s="26">
        <f t="shared" si="167"/>
        <v>0</v>
      </c>
      <c r="DP43" s="26">
        <f t="shared" si="168"/>
        <v>0</v>
      </c>
      <c r="DR43" s="26">
        <f t="shared" si="169"/>
        <v>0</v>
      </c>
      <c r="DS43" s="26">
        <f t="shared" si="170"/>
        <v>0</v>
      </c>
      <c r="DT43" s="26">
        <f t="shared" si="171"/>
        <v>0</v>
      </c>
      <c r="DU43" s="26">
        <f t="shared" si="172"/>
        <v>0</v>
      </c>
      <c r="DV43" s="26">
        <f t="shared" si="173"/>
        <v>0</v>
      </c>
      <c r="DW43" s="26">
        <f t="shared" si="174"/>
        <v>0</v>
      </c>
      <c r="DX43" s="26">
        <f t="shared" si="175"/>
        <v>0</v>
      </c>
      <c r="DY43" s="26">
        <f t="shared" si="176"/>
        <v>0</v>
      </c>
      <c r="DZ43" s="26">
        <f t="shared" si="177"/>
        <v>0</v>
      </c>
      <c r="EB43" s="26">
        <f t="shared" si="178"/>
        <v>0</v>
      </c>
      <c r="EC43" s="26">
        <f t="shared" si="179"/>
        <v>13</v>
      </c>
      <c r="ED43" s="26">
        <f t="shared" si="180"/>
        <v>13</v>
      </c>
      <c r="EE43" s="26">
        <f t="shared" si="181"/>
        <v>13</v>
      </c>
      <c r="EF43" s="26">
        <f t="shared" si="182"/>
        <v>0</v>
      </c>
      <c r="EG43" s="26">
        <f t="shared" si="183"/>
        <v>0</v>
      </c>
      <c r="EH43" s="26">
        <f t="shared" si="184"/>
        <v>0</v>
      </c>
      <c r="EI43" s="26">
        <f t="shared" si="185"/>
        <v>0</v>
      </c>
      <c r="EJ43" s="26">
        <f t="shared" si="186"/>
        <v>0</v>
      </c>
      <c r="EL43" s="26">
        <f t="shared" si="187"/>
        <v>0</v>
      </c>
      <c r="EM43" s="26">
        <f t="shared" si="188"/>
        <v>0</v>
      </c>
      <c r="EN43" s="26">
        <f t="shared" si="189"/>
        <v>0</v>
      </c>
      <c r="EO43" s="26">
        <f t="shared" si="190"/>
        <v>0</v>
      </c>
      <c r="EP43" s="26">
        <f t="shared" si="191"/>
        <v>0</v>
      </c>
      <c r="EQ43" s="26">
        <f t="shared" si="192"/>
        <v>0</v>
      </c>
      <c r="ER43" s="26">
        <f t="shared" si="193"/>
        <v>0</v>
      </c>
      <c r="ES43" s="26">
        <f t="shared" si="194"/>
        <v>0</v>
      </c>
      <c r="ET43" s="26">
        <f t="shared" si="195"/>
        <v>0</v>
      </c>
      <c r="EV43" s="26">
        <f t="shared" si="196"/>
        <v>0</v>
      </c>
      <c r="EW43" s="26">
        <f t="shared" si="197"/>
        <v>8</v>
      </c>
      <c r="EX43" s="26">
        <f t="shared" si="198"/>
        <v>8</v>
      </c>
      <c r="EY43" s="26">
        <f t="shared" si="199"/>
        <v>8</v>
      </c>
      <c r="EZ43" s="26">
        <f t="shared" si="200"/>
        <v>0</v>
      </c>
      <c r="FA43" s="26">
        <f t="shared" si="201"/>
        <v>0</v>
      </c>
      <c r="FB43" s="26">
        <f t="shared" si="202"/>
        <v>0</v>
      </c>
      <c r="FC43" s="26">
        <f t="shared" si="203"/>
        <v>0</v>
      </c>
      <c r="FD43" s="26">
        <f t="shared" si="204"/>
        <v>0</v>
      </c>
      <c r="FF43" s="26">
        <f t="shared" si="205"/>
        <v>0</v>
      </c>
      <c r="FG43" s="26">
        <f t="shared" si="206"/>
        <v>0</v>
      </c>
      <c r="FH43" s="26">
        <f t="shared" si="207"/>
        <v>0</v>
      </c>
      <c r="FI43" s="26">
        <f t="shared" si="208"/>
        <v>0</v>
      </c>
      <c r="FJ43" s="26">
        <f t="shared" si="209"/>
        <v>0</v>
      </c>
      <c r="FK43" s="26">
        <f t="shared" si="210"/>
        <v>0</v>
      </c>
      <c r="FL43" s="26">
        <f t="shared" si="211"/>
        <v>0</v>
      </c>
      <c r="FM43" s="26">
        <f t="shared" si="212"/>
        <v>0</v>
      </c>
      <c r="FN43" s="26">
        <f t="shared" si="213"/>
        <v>0</v>
      </c>
      <c r="FP43" s="26" t="e">
        <f t="shared" si="214"/>
        <v>#REF!</v>
      </c>
      <c r="FQ43" s="26" t="e">
        <f t="shared" si="215"/>
        <v>#REF!</v>
      </c>
      <c r="FR43" s="26" t="e">
        <f t="shared" si="216"/>
        <v>#REF!</v>
      </c>
      <c r="FS43" s="26" t="e">
        <f t="shared" si="217"/>
        <v>#REF!</v>
      </c>
      <c r="FT43" s="26" t="e">
        <f t="shared" si="218"/>
        <v>#REF!</v>
      </c>
      <c r="FU43" s="26" t="e">
        <f t="shared" si="219"/>
        <v>#REF!</v>
      </c>
      <c r="FV43" s="26" t="e">
        <f t="shared" si="220"/>
        <v>#REF!</v>
      </c>
      <c r="FW43" s="26" t="e">
        <f t="shared" si="221"/>
        <v>#REF!</v>
      </c>
      <c r="FX43" s="26" t="e">
        <f t="shared" si="222"/>
        <v>#REF!</v>
      </c>
      <c r="GB43" s="26" t="e">
        <f>IF(GB$2=InputTable[[#This Row],[Delivery Date]],_xlfn.XLOOKUP(GB$1,$BH$2:$BR$2,$BH43:$BR43,0),0)</f>
        <v>#REF!</v>
      </c>
      <c r="GC43" s="26">
        <f>IF(GC$2=InputTable[[#This Row],[Delivery Date]],_xlfn.XLOOKUP(GC$1,$BH$2:$BR$2,$BH43:$BR43,0),0)</f>
        <v>0</v>
      </c>
      <c r="GD43" s="26">
        <f>IF(GD$2=InputTable[[#This Row],[Delivery Date]],_xlfn.XLOOKUP(GD$1,$BH$2:$BR$2,$BH43:$BR43,0),0)</f>
        <v>0</v>
      </c>
      <c r="GE43" s="26">
        <f>IF(GE$2=InputTable[[#This Row],[Delivery Date]],_xlfn.XLOOKUP(GE$1,$BH$2:$BR$2,$BH43:$BR43,0),0)</f>
        <v>0</v>
      </c>
      <c r="GF43" s="26">
        <f>IF(GF$2=InputTable[[#This Row],[Delivery Date]],_xlfn.XLOOKUP(GF$1,$BH$2:$BR$2,$BH43:$BR43,0),0)</f>
        <v>0</v>
      </c>
      <c r="GG43" s="26">
        <f>IF(GG$2=InputTable[[#This Row],[Delivery Date]],_xlfn.XLOOKUP(GG$1,$BH$2:$BR$2,$BH43:$BR43,0),0)</f>
        <v>0</v>
      </c>
      <c r="GH43" s="26">
        <f>IF(GH$2=InputTable[[#This Row],[Delivery Date]],_xlfn.XLOOKUP(GH$1,$BH$2:$BR$2,$BH43:$BR43,0),0)</f>
        <v>0</v>
      </c>
      <c r="GI43" s="26">
        <f>IF(GI$2=InputTable[[#This Row],[Delivery Date]],_xlfn.XLOOKUP(GI$1,$BH$2:$BR$2,$BH43:$BR43,0),0)</f>
        <v>0</v>
      </c>
      <c r="GJ43" s="26">
        <f>IF(GJ$2=InputTable[[#This Row],[Delivery Date]],_xlfn.XLOOKUP(GJ$1,$BH$2:$BR$2,$BH43:$BR43,0),0)</f>
        <v>0</v>
      </c>
      <c r="GL43" s="26" t="e">
        <f>IF(GL$2=InputTable[[#This Row],[Delivery Date]],_xlfn.XLOOKUP(GL$1,$BH$2:$BR$2,$BH43:$BR43,0),0)</f>
        <v>#REF!</v>
      </c>
      <c r="GM43" s="26">
        <f>IF(GM$2=InputTable[[#This Row],[Delivery Date]],_xlfn.XLOOKUP(GM$1,$BH$2:$BR$2,$BH43:$BR43,0),0)</f>
        <v>0</v>
      </c>
      <c r="GN43" s="26">
        <f>IF(GN$2=InputTable[[#This Row],[Delivery Date]],_xlfn.XLOOKUP(GN$1,$BH$2:$BR$2,$BH43:$BR43,0),0)</f>
        <v>0</v>
      </c>
      <c r="GO43" s="26">
        <f>IF(GO$2=InputTable[[#This Row],[Delivery Date]],_xlfn.XLOOKUP(GO$1,$BH$2:$BR$2,$BH43:$BR43,0),0)</f>
        <v>8</v>
      </c>
      <c r="GP43" s="26">
        <f>IF(GP$2=InputTable[[#This Row],[Delivery Date]],_xlfn.XLOOKUP(GP$1,$BH$2:$BR$2,$BH43:$BR43,0),0)</f>
        <v>0</v>
      </c>
      <c r="GQ43" s="26">
        <f>IF(GQ$2=InputTable[[#This Row],[Delivery Date]],_xlfn.XLOOKUP(GQ$1,$BH$2:$BR$2,$BH43:$BR43,0),0)</f>
        <v>0</v>
      </c>
      <c r="GR43" s="26">
        <f>IF(GR$2=InputTable[[#This Row],[Delivery Date]],_xlfn.XLOOKUP(GR$1,$BH$2:$BR$2,$BH43:$BR43,0),0)</f>
        <v>0</v>
      </c>
      <c r="GS43" s="26">
        <f>IF(GS$2=InputTable[[#This Row],[Delivery Date]],_xlfn.XLOOKUP(GS$1,$BH$2:$BR$2,$BH43:$BR43,0),0)</f>
        <v>0</v>
      </c>
      <c r="GT43" s="26">
        <f>IF(GT$2=InputTable[[#This Row],[Delivery Date]],_xlfn.XLOOKUP(GT$1,$BH$2:$BR$2,$BH43:$BR43,0),0)</f>
        <v>0</v>
      </c>
      <c r="GV43" s="26" t="e">
        <f>IF(GV$2=InputTable[[#This Row],[Delivery Date]],_xlfn.XLOOKUP(GV$1,$BH$2:$BR$2,$BH43:$BR43,0),0)</f>
        <v>#REF!</v>
      </c>
      <c r="GW43" s="26">
        <f>IF(GW$2=InputTable[[#This Row],[Delivery Date]],_xlfn.XLOOKUP(GW$1,$BH$2:$BR$2,$BH43:$BR43,0),0)</f>
        <v>0</v>
      </c>
      <c r="GX43" s="26">
        <f>IF(GX$2=InputTable[[#This Row],[Delivery Date]],_xlfn.XLOOKUP(GX$1,$BH$2:$BR$2,$BH43:$BR43,0),0)</f>
        <v>0</v>
      </c>
      <c r="GY43" s="26">
        <f>IF(GY$2=InputTable[[#This Row],[Delivery Date]],_xlfn.XLOOKUP(GY$1,$BH$2:$BR$2,$BH43:$BR43,0),0)</f>
        <v>0</v>
      </c>
      <c r="GZ43" s="26">
        <f>IF(GZ$2=InputTable[[#This Row],[Delivery Date]],_xlfn.XLOOKUP(GZ$1,$BH$2:$BR$2,$BH43:$BR43,0),0)</f>
        <v>0</v>
      </c>
      <c r="HA43" s="26">
        <f>IF(HA$2=InputTable[[#This Row],[Delivery Date]],_xlfn.XLOOKUP(HA$1,$BH$2:$BR$2,$BH43:$BR43,0),0)</f>
        <v>0</v>
      </c>
      <c r="HB43" s="26">
        <f>IF(HB$2=InputTable[[#This Row],[Delivery Date]],_xlfn.XLOOKUP(HB$1,$BH$2:$BR$2,$BH43:$BR43,0),0)</f>
        <v>0</v>
      </c>
      <c r="HC43" s="26">
        <f>IF(HC$2=InputTable[[#This Row],[Delivery Date]],_xlfn.XLOOKUP(HC$1,$BH$2:$BR$2,$BH43:$BR43,0),0)</f>
        <v>0</v>
      </c>
      <c r="HD43" s="26">
        <f>IF(HD$2=InputTable[[#This Row],[Delivery Date]],_xlfn.XLOOKUP(HD$1,$BH$2:$BR$2,$BH43:$BR43,0),0)</f>
        <v>0</v>
      </c>
      <c r="HF43" s="26" t="e">
        <f>IF(HF$2=InputTable[[#This Row],[Delivery Date]],_xlfn.XLOOKUP(HF$1,$BH$2:$BR$2,$BH43:$BR43,0),0)</f>
        <v>#REF!</v>
      </c>
      <c r="HG43" s="26">
        <f>IF(HG$2=InputTable[[#This Row],[Delivery Date]],_xlfn.XLOOKUP(HG$1,$BH$2:$BR$2,$BH43:$BR43,0),0)</f>
        <v>0</v>
      </c>
      <c r="HH43" s="26">
        <f>IF(HH$2=InputTable[[#This Row],[Delivery Date]],_xlfn.XLOOKUP(HH$1,$BH$2:$BR$2,$BH43:$BR43,0),0)</f>
        <v>0</v>
      </c>
      <c r="HI43" s="26">
        <f>IF(HI$2=InputTable[[#This Row],[Delivery Date]],_xlfn.XLOOKUP(HI$1,$BH$2:$BR$2,$BH43:$BR43,0),0)</f>
        <v>0</v>
      </c>
      <c r="HJ43" s="26">
        <f>IF(HJ$2=InputTable[[#This Row],[Delivery Date]],_xlfn.XLOOKUP(HJ$1,$BH$2:$BR$2,$BH43:$BR43,0),0)</f>
        <v>0</v>
      </c>
      <c r="HK43" s="26">
        <f>IF(HK$2=InputTable[[#This Row],[Delivery Date]],_xlfn.XLOOKUP(HK$1,$BH$2:$BR$2,$BH43:$BR43,0),0)</f>
        <v>0</v>
      </c>
      <c r="HL43" s="26">
        <f>IF(HL$2=InputTable[[#This Row],[Delivery Date]],_xlfn.XLOOKUP(HL$1,$BH$2:$BR$2,$BH43:$BR43,0),0)</f>
        <v>0</v>
      </c>
      <c r="HM43" s="26">
        <f>IF(HM$2=InputTable[[#This Row],[Delivery Date]],_xlfn.XLOOKUP(HM$1,$BH$2:$BR$2,$BH43:$BR43,0),0)</f>
        <v>0</v>
      </c>
      <c r="HN43" s="26">
        <f>IF(HN$2=InputTable[[#This Row],[Delivery Date]],_xlfn.XLOOKUP(HN$1,$BH$2:$BR$2,$BH43:$BR43,0),0)</f>
        <v>0</v>
      </c>
      <c r="HP43" s="26" t="e">
        <f>IF(HP$2=InputTable[[#This Row],[Delivery Date]],_xlfn.XLOOKUP(HP$1,$BH$2:$BR$2,$BH43:$BR43,0),0)</f>
        <v>#REF!</v>
      </c>
      <c r="HQ43" s="26">
        <f>IF(HQ$2=InputTable[[#This Row],[Delivery Date]],_xlfn.XLOOKUP(HQ$1,$BH$2:$BR$2,$BH43:$BR43,0),0)</f>
        <v>0</v>
      </c>
      <c r="HR43" s="26">
        <f>IF(HR$2=InputTable[[#This Row],[Delivery Date]],_xlfn.XLOOKUP(HR$1,$BH$2:$BR$2,$BH43:$BR43,0),0)</f>
        <v>0</v>
      </c>
      <c r="HS43" s="26">
        <f>IF(HS$2=InputTable[[#This Row],[Delivery Date]],_xlfn.XLOOKUP(HS$1,$BH$2:$BR$2,$BH43:$BR43,0),0)</f>
        <v>0</v>
      </c>
      <c r="HT43" s="26">
        <f>IF(HT$2=InputTable[[#This Row],[Delivery Date]],_xlfn.XLOOKUP(HT$1,$BH$2:$BR$2,$BH43:$BR43,0),0)</f>
        <v>0</v>
      </c>
      <c r="HU43" s="26">
        <f>IF(HU$2=InputTable[[#This Row],[Delivery Date]],_xlfn.XLOOKUP(HU$1,$BH$2:$BR$2,$BH43:$BR43,0),0)</f>
        <v>0</v>
      </c>
      <c r="HV43" s="26">
        <f>IF(HV$2=InputTable[[#This Row],[Delivery Date]],_xlfn.XLOOKUP(HV$1,$BH$2:$BR$2,$BH43:$BR43,0),0)</f>
        <v>0</v>
      </c>
      <c r="HW43" s="26">
        <f>IF(HW$2=InputTable[[#This Row],[Delivery Date]],_xlfn.XLOOKUP(HW$1,$BH$2:$BR$2,$BH43:$BR43,0),0)</f>
        <v>0</v>
      </c>
      <c r="HX43" s="26">
        <f>IF(HX$2=InputTable[[#This Row],[Delivery Date]],_xlfn.XLOOKUP(HX$1,$BH$2:$BR$2,$BH43:$BR43,0),0)</f>
        <v>0</v>
      </c>
      <c r="HZ43" s="26" t="e">
        <f>IF(HZ$2=InputTable[[#This Row],[Delivery Date]],_xlfn.XLOOKUP(HZ$1,$BH$2:$BR$2,$BH43:$BR43,0),0)</f>
        <v>#REF!</v>
      </c>
      <c r="IA43" s="26">
        <f>IF(IA$2=InputTable[[#This Row],[Delivery Date]],_xlfn.XLOOKUP(IA$1,$BH$2:$BR$2,$BH43:$BR43,0),0)</f>
        <v>0</v>
      </c>
      <c r="IB43" s="26">
        <f>IF(IB$2=InputTable[[#This Row],[Delivery Date]],_xlfn.XLOOKUP(IB$1,$BH$2:$BR$2,$BH43:$BR43,0),0)</f>
        <v>0</v>
      </c>
      <c r="IC43" s="26">
        <f>IF(IC$2=InputTable[[#This Row],[Delivery Date]],_xlfn.XLOOKUP(IC$1,$BH$2:$BR$2,$BH43:$BR43,0),0)</f>
        <v>13</v>
      </c>
      <c r="ID43" s="26">
        <f>IF(ID$2=InputTable[[#This Row],[Delivery Date]],_xlfn.XLOOKUP(ID$1,$BH$2:$BR$2,$BH43:$BR43,0),0)</f>
        <v>0</v>
      </c>
      <c r="IE43" s="26">
        <f>IF(IE$2=InputTable[[#This Row],[Delivery Date]],_xlfn.XLOOKUP(IE$1,$BH$2:$BR$2,$BH43:$BR43,0),0)</f>
        <v>0</v>
      </c>
      <c r="IF43" s="26">
        <f>IF(IF$2=InputTable[[#This Row],[Delivery Date]],_xlfn.XLOOKUP(IF$1,$BH$2:$BR$2,$BH43:$BR43,0),0)</f>
        <v>0</v>
      </c>
      <c r="IG43" s="26">
        <f>IF(IG$2=InputTable[[#This Row],[Delivery Date]],_xlfn.XLOOKUP(IG$1,$BH$2:$BR$2,$BH43:$BR43,0),0)</f>
        <v>0</v>
      </c>
      <c r="IH43" s="26">
        <f>IF(IH$2=InputTable[[#This Row],[Delivery Date]],_xlfn.XLOOKUP(IH$1,$BH$2:$BR$2,$BH43:$BR43,0),0)</f>
        <v>0</v>
      </c>
      <c r="IJ43" s="26" t="e">
        <f>IF(IJ$2=InputTable[[#This Row],[Delivery Date]],_xlfn.XLOOKUP(IJ$1,$BH$2:$BR$2,$BH43:$BR43,0),0)</f>
        <v>#REF!</v>
      </c>
      <c r="IK43" s="26">
        <f>IF(IK$2=InputTable[[#This Row],[Delivery Date]],_xlfn.XLOOKUP(IK$1,$BH$2:$BR$2,$BH43:$BR43,0),0)</f>
        <v>0</v>
      </c>
      <c r="IL43" s="26">
        <f>IF(IL$2=InputTable[[#This Row],[Delivery Date]],_xlfn.XLOOKUP(IL$1,$BH$2:$BR$2,$BH43:$BR43,0),0)</f>
        <v>0</v>
      </c>
      <c r="IM43" s="26">
        <f>IF(IM$2=InputTable[[#This Row],[Delivery Date]],_xlfn.XLOOKUP(IM$1,$BH$2:$BR$2,$BH43:$BR43,0),0)</f>
        <v>13</v>
      </c>
      <c r="IN43" s="26">
        <f>IF(IN$2=InputTable[[#This Row],[Delivery Date]],_xlfn.XLOOKUP(IN$1,$BH$2:$BR$2,$BH43:$BR43,0),0)</f>
        <v>0</v>
      </c>
      <c r="IO43" s="26">
        <f>IF(IO$2=InputTable[[#This Row],[Delivery Date]],_xlfn.XLOOKUP(IO$1,$BH$2:$BR$2,$BH43:$BR43,0),0)</f>
        <v>0</v>
      </c>
      <c r="IP43" s="26">
        <f>IF(IP$2=InputTable[[#This Row],[Delivery Date]],_xlfn.XLOOKUP(IP$1,$BH$2:$BR$2,$BH43:$BR43,0),0)</f>
        <v>0</v>
      </c>
      <c r="IQ43" s="26">
        <f>IF(IQ$2=InputTable[[#This Row],[Delivery Date]],_xlfn.XLOOKUP(IQ$1,$BH$2:$BR$2,$BH43:$BR43,0),0)</f>
        <v>0</v>
      </c>
      <c r="IR43" s="26">
        <f>IF(IR$2=InputTable[[#This Row],[Delivery Date]],_xlfn.XLOOKUP(IR$1,$BH$2:$BR$2,$BH43:$BR43,0),0)</f>
        <v>0</v>
      </c>
      <c r="IT43" s="26" t="e">
        <f>IF(IT$2=InputTable[[#This Row],[Delivery Date]],_xlfn.XLOOKUP(IT$1,$BH$2:$BR$2,$BH43:$BR43,0),0)</f>
        <v>#REF!</v>
      </c>
      <c r="IU43" s="26">
        <f>IF(IU$2=InputTable[[#This Row],[Delivery Date]],_xlfn.XLOOKUP(IU$1,$BH$2:$BR$2,$BH43:$BR43,0),0)</f>
        <v>0</v>
      </c>
      <c r="IV43" s="26">
        <f>IF(IV$2=InputTable[[#This Row],[Delivery Date]],_xlfn.XLOOKUP(IV$1,$BH$2:$BR$2,$BH43:$BR43,0),0)</f>
        <v>0</v>
      </c>
      <c r="IW43" s="26">
        <f>IF(IW$2=InputTable[[#This Row],[Delivery Date]],_xlfn.XLOOKUP(IW$1,$BH$2:$BR$2,$BH43:$BR43,0),0)</f>
        <v>8</v>
      </c>
      <c r="IX43" s="26">
        <f>IF(IX$2=InputTable[[#This Row],[Delivery Date]],_xlfn.XLOOKUP(IX$1,$BH$2:$BR$2,$BH43:$BR43,0),0)</f>
        <v>0</v>
      </c>
      <c r="IY43" s="26">
        <f>IF(IY$2=InputTable[[#This Row],[Delivery Date]],_xlfn.XLOOKUP(IY$1,$BH$2:$BR$2,$BH43:$BR43,0),0)</f>
        <v>0</v>
      </c>
      <c r="IZ43" s="26">
        <f>IF(IZ$2=InputTable[[#This Row],[Delivery Date]],_xlfn.XLOOKUP(IZ$1,$BH$2:$BR$2,$BH43:$BR43,0),0)</f>
        <v>0</v>
      </c>
      <c r="JA43" s="26">
        <f>IF(JA$2=InputTable[[#This Row],[Delivery Date]],_xlfn.XLOOKUP(JA$1,$BH$2:$BR$2,$BH43:$BR43,0),0)</f>
        <v>0</v>
      </c>
      <c r="JB43" s="26">
        <f>IF(JB$2=InputTable[[#This Row],[Delivery Date]],_xlfn.XLOOKUP(JB$1,$BH$2:$BR$2,$BH43:$BR43,0),0)</f>
        <v>0</v>
      </c>
      <c r="JD43" s="26" t="e">
        <f>IF(JD$2=InputTable[[#This Row],[Delivery Date]],_xlfn.XLOOKUP(JD$1,$BH$2:$BR$2,$BH43:$BR43,0),0)</f>
        <v>#REF!</v>
      </c>
      <c r="JE43" s="26">
        <f>IF(JE$2=InputTable[[#This Row],[Delivery Date]],_xlfn.XLOOKUP(JE$1,$BH$2:$BR$2,$BH43:$BR43,0),0)</f>
        <v>0</v>
      </c>
      <c r="JF43" s="26">
        <f>IF(JF$2=InputTable[[#This Row],[Delivery Date]],_xlfn.XLOOKUP(JF$1,$BH$2:$BR$2,$BH43:$BR43,0),0)</f>
        <v>0</v>
      </c>
      <c r="JG43" s="26">
        <f>IF(JG$2=InputTable[[#This Row],[Delivery Date]],_xlfn.XLOOKUP(JG$1,$BH$2:$BR$2,$BH43:$BR43,0),0)</f>
        <v>5</v>
      </c>
      <c r="JH43" s="26">
        <f>IF(JH$2=InputTable[[#This Row],[Delivery Date]],_xlfn.XLOOKUP(JH$1,$BH$2:$BR$2,$BH43:$BR43,0),0)</f>
        <v>0</v>
      </c>
      <c r="JI43" s="26">
        <f>IF(JI$2=InputTable[[#This Row],[Delivery Date]],_xlfn.XLOOKUP(JI$1,$BH$2:$BR$2,$BH43:$BR43,0),0)</f>
        <v>0</v>
      </c>
      <c r="JJ43" s="26">
        <f>IF(JJ$2=InputTable[[#This Row],[Delivery Date]],_xlfn.XLOOKUP(JJ$1,$BH$2:$BR$2,$BH43:$BR43,0),0)</f>
        <v>0</v>
      </c>
      <c r="JK43" s="26">
        <f>IF(JK$2=InputTable[[#This Row],[Delivery Date]],_xlfn.XLOOKUP(JK$1,$BH$2:$BR$2,$BH43:$BR43,0),0)</f>
        <v>0</v>
      </c>
      <c r="JL43" s="26">
        <f>IF(JL$2=InputTable[[#This Row],[Delivery Date]],_xlfn.XLOOKUP(JL$1,$BH$2:$BR$2,$BH43:$BR43,0),0)</f>
        <v>0</v>
      </c>
      <c r="JN43" s="26" t="e">
        <f>IF(JN$2=InputTable[[#This Row],[Delivery Date]],_xlfn.XLOOKUP(JN$1,$BH$2:$BR$2,$BH43:$BR43,0),0)</f>
        <v>#REF!</v>
      </c>
      <c r="JO43" s="26">
        <f>IF(JO$2=InputTable[[#This Row],[Delivery Date]],_xlfn.XLOOKUP(JO$1,$BH$2:$BR$2,$BH43:$BR43,0),0)</f>
        <v>0</v>
      </c>
      <c r="JP43" s="26">
        <f>IF(JP$2=InputTable[[#This Row],[Delivery Date]],_xlfn.XLOOKUP(JP$1,$BH$2:$BR$2,$BH43:$BR43,0),0)</f>
        <v>0</v>
      </c>
      <c r="JQ43" s="26">
        <f>IF(JQ$2=InputTable[[#This Row],[Delivery Date]],_xlfn.XLOOKUP(JQ$1,$BH$2:$BR$2,$BH43:$BR43,0),0)</f>
        <v>13</v>
      </c>
      <c r="JR43" s="26">
        <f>IF(JR$2=InputTable[[#This Row],[Delivery Date]],_xlfn.XLOOKUP(JR$1,$BH$2:$BR$2,$BH43:$BR43,0),0)</f>
        <v>0</v>
      </c>
      <c r="JS43" s="26">
        <f>IF(JS$2=InputTable[[#This Row],[Delivery Date]],_xlfn.XLOOKUP(JS$1,$BH$2:$BR$2,$BH43:$BR43,0),0)</f>
        <v>0</v>
      </c>
      <c r="JT43" s="26">
        <f>IF(JT$2=InputTable[[#This Row],[Delivery Date]],_xlfn.XLOOKUP(JT$1,$BH$2:$BR$2,$BH43:$BR43,0),0)</f>
        <v>0</v>
      </c>
      <c r="JU43" s="26">
        <f>IF(JU$2=InputTable[[#This Row],[Delivery Date]],_xlfn.XLOOKUP(JU$1,$BH$2:$BR$2,$BH43:$BR43,0),0)</f>
        <v>0</v>
      </c>
      <c r="JV43" s="26">
        <f>IF(JV$2=InputTable[[#This Row],[Delivery Date]],_xlfn.XLOOKUP(JV$1,$BH$2:$BR$2,$BH43:$BR43,0),0)</f>
        <v>0</v>
      </c>
      <c r="JX43" s="26" t="e">
        <f>IF(JX$2=InputTable[[#This Row],[Delivery Date]],_xlfn.XLOOKUP(JX$1,$BH$2:$BR$2,$BH43:$BR43,0),0)</f>
        <v>#REF!</v>
      </c>
      <c r="JY43" s="26">
        <f>IF(JY$2=InputTable[[#This Row],[Delivery Date]],_xlfn.XLOOKUP(JY$1,$BH$2:$BR$2,$BH43:$BR43,0),0)</f>
        <v>0</v>
      </c>
      <c r="JZ43" s="26">
        <f>IF(JZ$2=InputTable[[#This Row],[Delivery Date]],_xlfn.XLOOKUP(JZ$1,$BH$2:$BR$2,$BH43:$BR43,0),0)</f>
        <v>0</v>
      </c>
      <c r="KA43" s="26">
        <f>IF(KA$2=InputTable[[#This Row],[Delivery Date]],_xlfn.XLOOKUP(KA$1,$BH$2:$BR$2,$BH43:$BR43,0),0)</f>
        <v>0</v>
      </c>
      <c r="KB43" s="26">
        <f>IF(KB$2=InputTable[[#This Row],[Delivery Date]],_xlfn.XLOOKUP(KB$1,$BH$2:$BR$2,$BH43:$BR43,0),0)</f>
        <v>0</v>
      </c>
      <c r="KC43" s="26">
        <f>IF(KC$2=InputTable[[#This Row],[Delivery Date]],_xlfn.XLOOKUP(KC$1,$BH$2:$BR$2,$BH43:$BR43,0),0)</f>
        <v>0</v>
      </c>
      <c r="KD43" s="26">
        <f>IF(KD$2=InputTable[[#This Row],[Delivery Date]],_xlfn.XLOOKUP(KD$1,$BH$2:$BR$2,$BH43:$BR43,0),0)</f>
        <v>0</v>
      </c>
      <c r="KE43" s="26">
        <f>IF(KE$2=InputTable[[#This Row],[Delivery Date]],_xlfn.XLOOKUP(KE$1,$BH$2:$BR$2,$BH43:$BR43,0),0)</f>
        <v>0</v>
      </c>
      <c r="KF43" s="26">
        <f>IF(KF$2=InputTable[[#This Row],[Delivery Date]],_xlfn.XLOOKUP(KF$1,$BH$2:$BR$2,$BH43:$BR43,0),0)</f>
        <v>0</v>
      </c>
    </row>
    <row r="44" spans="1:292" ht="39.6" customHeight="1" x14ac:dyDescent="0.25">
      <c r="A44" s="141" t="s">
        <v>134</v>
      </c>
      <c r="B44" s="141" t="s">
        <v>92</v>
      </c>
      <c r="C44" s="92" t="s">
        <v>60</v>
      </c>
      <c r="D44" s="125" t="s">
        <v>253</v>
      </c>
      <c r="E44" s="193" t="s">
        <v>254</v>
      </c>
      <c r="F44" s="92" t="s">
        <v>61</v>
      </c>
      <c r="G44" s="92" t="s">
        <v>137</v>
      </c>
      <c r="H44" s="92"/>
      <c r="I44" s="92">
        <v>2026</v>
      </c>
      <c r="J44" s="126" t="s">
        <v>209</v>
      </c>
      <c r="K44" s="95" t="e">
        <f>VLOOKUP((InputTable[[#This Row],[Starting Date]]&amp; " - " &amp;InputTable[[#This Row],[Delivery Date]]),'System List'!$F$40:$H$83,2,FALSE)</f>
        <v>#N/A</v>
      </c>
      <c r="L44" s="95" t="e">
        <f>VLOOKUP(InputTable[[#This Row],[Duration]],Duration,2,FALSE)</f>
        <v>#N/A</v>
      </c>
      <c r="M44" s="125"/>
      <c r="N44" s="92" t="s">
        <v>111</v>
      </c>
      <c r="O44" s="92"/>
      <c r="P44" s="92"/>
      <c r="Q44" s="92" t="s">
        <v>139</v>
      </c>
      <c r="R44" s="92"/>
      <c r="S44" s="92" t="s">
        <v>209</v>
      </c>
      <c r="T44" s="95" cm="1">
        <f t="array" ref="T4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1.8</v>
      </c>
      <c r="U44" s="138"/>
      <c r="V44" s="92"/>
      <c r="W44" s="92"/>
      <c r="X44" s="92" t="s">
        <v>111</v>
      </c>
      <c r="Y44" s="92"/>
      <c r="Z44" s="92" t="s">
        <v>111</v>
      </c>
      <c r="AA44" s="92"/>
      <c r="AB44" s="92"/>
      <c r="AC44" s="92"/>
      <c r="AD44" s="92">
        <f>COUNTA(InputTable[[#This Row],[CORPHRFIN]:[SALES]])</f>
        <v>2</v>
      </c>
      <c r="AE44" s="88" cm="1">
        <f t="array" ref="AE44">SUM(
_xlfn.XLOOKUP(InputTable[[#This Row],[CORPHRFIN]:[SALES]],'System List'!$F$4:$F$7,'System List'!$H$4:$H$7,0))</f>
        <v>10</v>
      </c>
      <c r="AF44" s="140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88" cm="1">
        <f t="array" ref="AR44">SUM(
_xlfn.XLOOKUP(InputTable[[#This Row],[Impact on - CIAL]:[Impact on - STRAT]],'System List'!$F$4:$F$7,'System List'!$H$4:$H$7,0))</f>
        <v>0</v>
      </c>
      <c r="AS44" s="88" t="e">
        <f>VLOOKUP(InputTable[[#This Row],[Duration]],Duration,2,FALSE)+InputTable[[#This Row],[Resource Score]]</f>
        <v>#N/A</v>
      </c>
      <c r="AT4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4" s="24" t="e">
        <f>InputTable[[#This Row],[Value Score]]/InputTable[[#This Row],[EFFORT SCORE]]*100</f>
        <v>#N/A</v>
      </c>
      <c r="AV44" s="25" t="str">
        <f>InputTable[[#This Row],[IS Portfolio Ref ID]]</f>
        <v>ISPRJ-61</v>
      </c>
      <c r="AW44" s="25" t="s">
        <v>255</v>
      </c>
      <c r="AX44" s="208" t="s">
        <v>154</v>
      </c>
      <c r="AY44" s="25"/>
      <c r="AZ44" s="209">
        <v>0</v>
      </c>
      <c r="BA44" s="209">
        <v>142000</v>
      </c>
      <c r="BB44" s="209"/>
      <c r="BC44" s="189">
        <f>SUM(InputTable[[#This Row],[Opex IS Budget (full project)]]+InputTable[[#This Row],[Capex IS Budget (full project)]])</f>
        <v>142000</v>
      </c>
      <c r="BD44" s="188">
        <v>1</v>
      </c>
      <c r="BE44" s="188"/>
      <c r="BF44" s="70"/>
      <c r="BH44" s="2">
        <f>IFERROR(VLOOKUP(InputTable[[#This Row],[Impact on - CIAL]],'System List'!$F$4:$H$7,3,FALSE),0)</f>
        <v>0</v>
      </c>
      <c r="BI44" s="2">
        <f>IFERROR(VLOOKUP(InputTable[[#This Row],[Impact on - COM]],'System List'!$F$4:$H$7,3,FALSE),0)</f>
        <v>0</v>
      </c>
      <c r="BJ44" s="2">
        <f>IFERROR(VLOOKUP(InputTable[[#This Row],[Impact on - FIN]],'System List'!$F$4:$H$7,3,FALSE),0)</f>
        <v>0</v>
      </c>
      <c r="BK44" s="2">
        <f>IFERROR(VLOOKUP(InputTable[[#This Row],[Impact on - GEN SEC]],'System List'!$F$4:$H$7,3,FALSE),0)</f>
        <v>0</v>
      </c>
      <c r="BL44" s="2">
        <f>IFERROR(VLOOKUP(InputTable[[#This Row],[Impact on - HR]],'System List'!$F$4:$H$7,3,FALSE),0)</f>
        <v>0</v>
      </c>
      <c r="BM44" s="2">
        <f>IFERROR(VLOOKUP(InputTable[[#This Row],[Impact on - IS]],'System List'!$F$4:$H$7,3,FALSE),0)</f>
        <v>0</v>
      </c>
      <c r="BN44" s="2">
        <f>IFERROR(VLOOKUP(InputTable[[#This Row],[Impact on - OPS]],'System List'!$F$4:$H$7,3,FALSE),0)</f>
        <v>0</v>
      </c>
      <c r="BO44" s="2">
        <f>IFERROR(VLOOKUP(InputTable[[#This Row],[Impact on - ROLL STOCK]],'System List'!$F$4:$H$7,3,FALSE),0)</f>
        <v>0</v>
      </c>
      <c r="BP44" s="2">
        <f>IFERROR(VLOOKUP(InputTable[[#This Row],[Impact on - SAFETY]],'System List'!$F$4:$H$7,3,FALSE),0)</f>
        <v>0</v>
      </c>
      <c r="BQ44" s="2">
        <f>IFERROR(VLOOKUP(InputTable[[#This Row],[Impact on - STATION]],'System List'!$F$4:$H$7,3,FALSE),0)</f>
        <v>0</v>
      </c>
      <c r="BR44" s="2">
        <f>IFERROR(VLOOKUP(InputTable[[#This Row],[Impact on - STRAT]],'System List'!$F$4:$H$7,3,FALSE),0)</f>
        <v>0</v>
      </c>
      <c r="BT44" s="2">
        <f>IFERROR(VLOOKUP(InputTable[[#This Row],[CORPHRFIN]],'System List'!$F$4:$H$7,3,FALSE),0)</f>
        <v>0</v>
      </c>
      <c r="BU44" s="2">
        <f>IFERROR(VLOOKUP(InputTable[[#This Row],[CUST]],'System List'!$F$4:$H$7,3,FALSE),0)</f>
        <v>0</v>
      </c>
      <c r="BV44" s="2">
        <f>IFERROR(VLOOKUP(InputTable[[#This Row],[CYBER]],'System List'!$F$4:$H$7,3,FALSE),0)</f>
        <v>5</v>
      </c>
      <c r="BW44" s="2">
        <f>IFERROR(VLOOKUP(InputTable[[#This Row],[DATA]],'System List'!$F$4:$H$7,3,FALSE),0)</f>
        <v>0</v>
      </c>
      <c r="BX44" s="2">
        <f>IFERROR(VLOOKUP(InputTable[[#This Row],[INFRA]],'System List'!$F$4:$H$7,3,FALSE),0)</f>
        <v>5</v>
      </c>
      <c r="BY44" s="2">
        <f>IFERROR(VLOOKUP(InputTable[[#This Row],[OPERATIONS]],'System List'!$F$4:$H$7,3,FALSE),0)</f>
        <v>0</v>
      </c>
      <c r="BZ44" s="2">
        <f>IFERROR(VLOOKUP(InputTable[[#This Row],[PMO]],'System List'!$F$4:$H$7,3,FALSE),0)</f>
        <v>0</v>
      </c>
      <c r="CA44" s="2">
        <f>IFERROR(VLOOKUP(InputTable[[#This Row],[SALES]],'System List'!$F$4:$H$7,3,FALSE),0)</f>
        <v>0</v>
      </c>
      <c r="CC44" s="2" cm="1">
        <f t="array" ref="CC4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4" s="2" cm="1">
        <f t="array" ref="CD4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4" s="2" cm="1">
        <f t="array" ref="CE4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4" s="2" cm="1">
        <f t="array" ref="CF4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4" s="2" cm="1">
        <f t="array" ref="CG4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4" s="2" cm="1">
        <f t="array" ref="CH4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4" s="2" cm="1">
        <f t="array" ref="CI4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4" s="2" cm="1">
        <f t="array" ref="CJ4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4" s="2" cm="1">
        <f t="array" ref="CK4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4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4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4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4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4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4" s="26">
        <f t="shared" si="151"/>
        <v>0</v>
      </c>
      <c r="CY44" s="26">
        <f t="shared" si="152"/>
        <v>0</v>
      </c>
      <c r="CZ44" s="26">
        <f t="shared" si="153"/>
        <v>0</v>
      </c>
      <c r="DA44" s="26">
        <f t="shared" si="154"/>
        <v>0</v>
      </c>
      <c r="DB44" s="26">
        <f t="shared" si="155"/>
        <v>0</v>
      </c>
      <c r="DC44" s="26">
        <f t="shared" si="156"/>
        <v>0</v>
      </c>
      <c r="DD44" s="26">
        <f t="shared" si="157"/>
        <v>0</v>
      </c>
      <c r="DE44" s="26">
        <f t="shared" si="158"/>
        <v>0</v>
      </c>
      <c r="DF44" s="26">
        <f t="shared" si="159"/>
        <v>0</v>
      </c>
      <c r="DH44" s="26">
        <f t="shared" si="160"/>
        <v>0</v>
      </c>
      <c r="DI44" s="26">
        <f t="shared" si="161"/>
        <v>0</v>
      </c>
      <c r="DJ44" s="26">
        <f t="shared" si="162"/>
        <v>0</v>
      </c>
      <c r="DK44" s="26">
        <f t="shared" si="163"/>
        <v>0</v>
      </c>
      <c r="DL44" s="26">
        <f t="shared" si="164"/>
        <v>0</v>
      </c>
      <c r="DM44" s="26">
        <f t="shared" si="165"/>
        <v>0</v>
      </c>
      <c r="DN44" s="26">
        <f t="shared" si="166"/>
        <v>0</v>
      </c>
      <c r="DO44" s="26">
        <f t="shared" si="167"/>
        <v>0</v>
      </c>
      <c r="DP44" s="26">
        <f t="shared" si="168"/>
        <v>0</v>
      </c>
      <c r="DR44" s="26">
        <f t="shared" si="169"/>
        <v>0</v>
      </c>
      <c r="DS44" s="26">
        <f t="shared" si="170"/>
        <v>0</v>
      </c>
      <c r="DT44" s="26">
        <f t="shared" si="171"/>
        <v>0</v>
      </c>
      <c r="DU44" s="26">
        <f t="shared" si="172"/>
        <v>0</v>
      </c>
      <c r="DV44" s="26">
        <f t="shared" si="173"/>
        <v>5</v>
      </c>
      <c r="DW44" s="26">
        <f t="shared" si="174"/>
        <v>5</v>
      </c>
      <c r="DX44" s="26">
        <f t="shared" si="175"/>
        <v>0</v>
      </c>
      <c r="DY44" s="26">
        <f t="shared" si="176"/>
        <v>0</v>
      </c>
      <c r="DZ44" s="26">
        <f t="shared" si="177"/>
        <v>0</v>
      </c>
      <c r="EB44" s="26">
        <f t="shared" si="178"/>
        <v>0</v>
      </c>
      <c r="EC44" s="26">
        <f t="shared" si="179"/>
        <v>0</v>
      </c>
      <c r="ED44" s="26">
        <f t="shared" si="180"/>
        <v>0</v>
      </c>
      <c r="EE44" s="26">
        <f t="shared" si="181"/>
        <v>0</v>
      </c>
      <c r="EF44" s="26">
        <f t="shared" si="182"/>
        <v>0</v>
      </c>
      <c r="EG44" s="26">
        <f t="shared" si="183"/>
        <v>0</v>
      </c>
      <c r="EH44" s="26">
        <f t="shared" si="184"/>
        <v>0</v>
      </c>
      <c r="EI44" s="26">
        <f t="shared" si="185"/>
        <v>0</v>
      </c>
      <c r="EJ44" s="26">
        <f t="shared" si="186"/>
        <v>0</v>
      </c>
      <c r="EL44" s="26">
        <f t="shared" si="187"/>
        <v>0</v>
      </c>
      <c r="EM44" s="26">
        <f t="shared" si="188"/>
        <v>0</v>
      </c>
      <c r="EN44" s="26">
        <f t="shared" si="189"/>
        <v>0</v>
      </c>
      <c r="EO44" s="26">
        <f t="shared" si="190"/>
        <v>0</v>
      </c>
      <c r="EP44" s="26">
        <f t="shared" si="191"/>
        <v>5</v>
      </c>
      <c r="EQ44" s="26">
        <f t="shared" si="192"/>
        <v>5</v>
      </c>
      <c r="ER44" s="26">
        <f t="shared" si="193"/>
        <v>0</v>
      </c>
      <c r="ES44" s="26">
        <f t="shared" si="194"/>
        <v>0</v>
      </c>
      <c r="ET44" s="26">
        <f t="shared" si="195"/>
        <v>0</v>
      </c>
      <c r="EV44" s="26">
        <f t="shared" si="196"/>
        <v>0</v>
      </c>
      <c r="EW44" s="26">
        <f t="shared" si="197"/>
        <v>0</v>
      </c>
      <c r="EX44" s="26">
        <f t="shared" si="198"/>
        <v>0</v>
      </c>
      <c r="EY44" s="26">
        <f t="shared" si="199"/>
        <v>0</v>
      </c>
      <c r="EZ44" s="26">
        <f t="shared" si="200"/>
        <v>0</v>
      </c>
      <c r="FA44" s="26">
        <f t="shared" si="201"/>
        <v>0</v>
      </c>
      <c r="FB44" s="26">
        <f t="shared" si="202"/>
        <v>0</v>
      </c>
      <c r="FC44" s="26">
        <f t="shared" si="203"/>
        <v>0</v>
      </c>
      <c r="FD44" s="26">
        <f t="shared" si="204"/>
        <v>0</v>
      </c>
      <c r="FF44" s="26">
        <f t="shared" si="205"/>
        <v>0</v>
      </c>
      <c r="FG44" s="26">
        <f t="shared" si="206"/>
        <v>0</v>
      </c>
      <c r="FH44" s="26">
        <f t="shared" si="207"/>
        <v>0</v>
      </c>
      <c r="FI44" s="26">
        <f t="shared" si="208"/>
        <v>0</v>
      </c>
      <c r="FJ44" s="26">
        <f t="shared" si="209"/>
        <v>0</v>
      </c>
      <c r="FK44" s="26">
        <f t="shared" si="210"/>
        <v>0</v>
      </c>
      <c r="FL44" s="26">
        <f t="shared" si="211"/>
        <v>0</v>
      </c>
      <c r="FM44" s="26">
        <f t="shared" si="212"/>
        <v>0</v>
      </c>
      <c r="FN44" s="26">
        <f t="shared" si="213"/>
        <v>0</v>
      </c>
      <c r="FP44" s="26" t="e">
        <f t="shared" si="214"/>
        <v>#REF!</v>
      </c>
      <c r="FQ44" s="26" t="e">
        <f t="shared" si="215"/>
        <v>#REF!</v>
      </c>
      <c r="FR44" s="26" t="e">
        <f t="shared" si="216"/>
        <v>#REF!</v>
      </c>
      <c r="FS44" s="26" t="e">
        <f t="shared" si="217"/>
        <v>#REF!</v>
      </c>
      <c r="FT44" s="26" t="e">
        <f t="shared" si="218"/>
        <v>#REF!</v>
      </c>
      <c r="FU44" s="26" t="e">
        <f t="shared" si="219"/>
        <v>#REF!</v>
      </c>
      <c r="FV44" s="26" t="e">
        <f t="shared" si="220"/>
        <v>#REF!</v>
      </c>
      <c r="FW44" s="26" t="e">
        <f t="shared" si="221"/>
        <v>#REF!</v>
      </c>
      <c r="FX44" s="26" t="e">
        <f t="shared" si="222"/>
        <v>#REF!</v>
      </c>
      <c r="GB44" s="26" t="e">
        <f>IF(GB$2=InputTable[[#This Row],[Delivery Date]],_xlfn.XLOOKUP(GB$1,$BH$2:$BR$2,$BH44:$BR44,0),0)</f>
        <v>#REF!</v>
      </c>
      <c r="GC44" s="26">
        <f>IF(GC$2=InputTable[[#This Row],[Delivery Date]],_xlfn.XLOOKUP(GC$1,$BH$2:$BR$2,$BH44:$BR44,0),0)</f>
        <v>0</v>
      </c>
      <c r="GD44" s="26">
        <f>IF(GD$2=InputTable[[#This Row],[Delivery Date]],_xlfn.XLOOKUP(GD$1,$BH$2:$BR$2,$BH44:$BR44,0),0)</f>
        <v>0</v>
      </c>
      <c r="GE44" s="26">
        <f>IF(GE$2=InputTable[[#This Row],[Delivery Date]],_xlfn.XLOOKUP(GE$1,$BH$2:$BR$2,$BH44:$BR44,0),0)</f>
        <v>0</v>
      </c>
      <c r="GF44" s="26">
        <f>IF(GF$2=InputTable[[#This Row],[Delivery Date]],_xlfn.XLOOKUP(GF$1,$BH$2:$BR$2,$BH44:$BR44,0),0)</f>
        <v>0</v>
      </c>
      <c r="GG44" s="26">
        <f>IF(GG$2=InputTable[[#This Row],[Delivery Date]],_xlfn.XLOOKUP(GG$1,$BH$2:$BR$2,$BH44:$BR44,0),0)</f>
        <v>0</v>
      </c>
      <c r="GH44" s="26">
        <f>IF(GH$2=InputTable[[#This Row],[Delivery Date]],_xlfn.XLOOKUP(GH$1,$BH$2:$BR$2,$BH44:$BR44,0),0)</f>
        <v>0</v>
      </c>
      <c r="GI44" s="26">
        <f>IF(GI$2=InputTable[[#This Row],[Delivery Date]],_xlfn.XLOOKUP(GI$1,$BH$2:$BR$2,$BH44:$BR44,0),0)</f>
        <v>0</v>
      </c>
      <c r="GJ44" s="26">
        <f>IF(GJ$2=InputTable[[#This Row],[Delivery Date]],_xlfn.XLOOKUP(GJ$1,$BH$2:$BR$2,$BH44:$BR44,0),0)</f>
        <v>0</v>
      </c>
      <c r="GL44" s="26" t="e">
        <f>IF(GL$2=InputTable[[#This Row],[Delivery Date]],_xlfn.XLOOKUP(GL$1,$BH$2:$BR$2,$BH44:$BR44,0),0)</f>
        <v>#REF!</v>
      </c>
      <c r="GM44" s="26">
        <f>IF(GM$2=InputTable[[#This Row],[Delivery Date]],_xlfn.XLOOKUP(GM$1,$BH$2:$BR$2,$BH44:$BR44,0),0)</f>
        <v>0</v>
      </c>
      <c r="GN44" s="26">
        <f>IF(GN$2=InputTable[[#This Row],[Delivery Date]],_xlfn.XLOOKUP(GN$1,$BH$2:$BR$2,$BH44:$BR44,0),0)</f>
        <v>0</v>
      </c>
      <c r="GO44" s="26">
        <f>IF(GO$2=InputTable[[#This Row],[Delivery Date]],_xlfn.XLOOKUP(GO$1,$BH$2:$BR$2,$BH44:$BR44,0),0)</f>
        <v>0</v>
      </c>
      <c r="GP44" s="26">
        <f>IF(GP$2=InputTable[[#This Row],[Delivery Date]],_xlfn.XLOOKUP(GP$1,$BH$2:$BR$2,$BH44:$BR44,0),0)</f>
        <v>0</v>
      </c>
      <c r="GQ44" s="26">
        <f>IF(GQ$2=InputTable[[#This Row],[Delivery Date]],_xlfn.XLOOKUP(GQ$1,$BH$2:$BR$2,$BH44:$BR44,0),0)</f>
        <v>0</v>
      </c>
      <c r="GR44" s="26">
        <f>IF(GR$2=InputTable[[#This Row],[Delivery Date]],_xlfn.XLOOKUP(GR$1,$BH$2:$BR$2,$BH44:$BR44,0),0)</f>
        <v>0</v>
      </c>
      <c r="GS44" s="26">
        <f>IF(GS$2=InputTable[[#This Row],[Delivery Date]],_xlfn.XLOOKUP(GS$1,$BH$2:$BR$2,$BH44:$BR44,0),0)</f>
        <v>0</v>
      </c>
      <c r="GT44" s="26">
        <f>IF(GT$2=InputTable[[#This Row],[Delivery Date]],_xlfn.XLOOKUP(GT$1,$BH$2:$BR$2,$BH44:$BR44,0),0)</f>
        <v>0</v>
      </c>
      <c r="GV44" s="26" t="e">
        <f>IF(GV$2=InputTable[[#This Row],[Delivery Date]],_xlfn.XLOOKUP(GV$1,$BH$2:$BR$2,$BH44:$BR44,0),0)</f>
        <v>#REF!</v>
      </c>
      <c r="GW44" s="26">
        <f>IF(GW$2=InputTable[[#This Row],[Delivery Date]],_xlfn.XLOOKUP(GW$1,$BH$2:$BR$2,$BH44:$BR44,0),0)</f>
        <v>0</v>
      </c>
      <c r="GX44" s="26">
        <f>IF(GX$2=InputTable[[#This Row],[Delivery Date]],_xlfn.XLOOKUP(GX$1,$BH$2:$BR$2,$BH44:$BR44,0),0)</f>
        <v>0</v>
      </c>
      <c r="GY44" s="26">
        <f>IF(GY$2=InputTable[[#This Row],[Delivery Date]],_xlfn.XLOOKUP(GY$1,$BH$2:$BR$2,$BH44:$BR44,0),0)</f>
        <v>0</v>
      </c>
      <c r="GZ44" s="26">
        <f>IF(GZ$2=InputTable[[#This Row],[Delivery Date]],_xlfn.XLOOKUP(GZ$1,$BH$2:$BR$2,$BH44:$BR44,0),0)</f>
        <v>0</v>
      </c>
      <c r="HA44" s="26">
        <f>IF(HA$2=InputTable[[#This Row],[Delivery Date]],_xlfn.XLOOKUP(HA$1,$BH$2:$BR$2,$BH44:$BR44,0),0)</f>
        <v>0</v>
      </c>
      <c r="HB44" s="26">
        <f>IF(HB$2=InputTable[[#This Row],[Delivery Date]],_xlfn.XLOOKUP(HB$1,$BH$2:$BR$2,$BH44:$BR44,0),0)</f>
        <v>0</v>
      </c>
      <c r="HC44" s="26">
        <f>IF(HC$2=InputTable[[#This Row],[Delivery Date]],_xlfn.XLOOKUP(HC$1,$BH$2:$BR$2,$BH44:$BR44,0),0)</f>
        <v>0</v>
      </c>
      <c r="HD44" s="26">
        <f>IF(HD$2=InputTable[[#This Row],[Delivery Date]],_xlfn.XLOOKUP(HD$1,$BH$2:$BR$2,$BH44:$BR44,0),0)</f>
        <v>0</v>
      </c>
      <c r="HF44" s="26" t="e">
        <f>IF(HF$2=InputTable[[#This Row],[Delivery Date]],_xlfn.XLOOKUP(HF$1,$BH$2:$BR$2,$BH44:$BR44,0),0)</f>
        <v>#REF!</v>
      </c>
      <c r="HG44" s="26">
        <f>IF(HG$2=InputTable[[#This Row],[Delivery Date]],_xlfn.XLOOKUP(HG$1,$BH$2:$BR$2,$BH44:$BR44,0),0)</f>
        <v>0</v>
      </c>
      <c r="HH44" s="26">
        <f>IF(HH$2=InputTable[[#This Row],[Delivery Date]],_xlfn.XLOOKUP(HH$1,$BH$2:$BR$2,$BH44:$BR44,0),0)</f>
        <v>0</v>
      </c>
      <c r="HI44" s="26">
        <f>IF(HI$2=InputTable[[#This Row],[Delivery Date]],_xlfn.XLOOKUP(HI$1,$BH$2:$BR$2,$BH44:$BR44,0),0)</f>
        <v>0</v>
      </c>
      <c r="HJ44" s="26">
        <f>IF(HJ$2=InputTable[[#This Row],[Delivery Date]],_xlfn.XLOOKUP(HJ$1,$BH$2:$BR$2,$BH44:$BR44,0),0)</f>
        <v>0</v>
      </c>
      <c r="HK44" s="26">
        <f>IF(HK$2=InputTable[[#This Row],[Delivery Date]],_xlfn.XLOOKUP(HK$1,$BH$2:$BR$2,$BH44:$BR44,0),0)</f>
        <v>0</v>
      </c>
      <c r="HL44" s="26">
        <f>IF(HL$2=InputTable[[#This Row],[Delivery Date]],_xlfn.XLOOKUP(HL$1,$BH$2:$BR$2,$BH44:$BR44,0),0)</f>
        <v>0</v>
      </c>
      <c r="HM44" s="26">
        <f>IF(HM$2=InputTable[[#This Row],[Delivery Date]],_xlfn.XLOOKUP(HM$1,$BH$2:$BR$2,$BH44:$BR44,0),0)</f>
        <v>0</v>
      </c>
      <c r="HN44" s="26">
        <f>IF(HN$2=InputTable[[#This Row],[Delivery Date]],_xlfn.XLOOKUP(HN$1,$BH$2:$BR$2,$BH44:$BR44,0),0)</f>
        <v>0</v>
      </c>
      <c r="HP44" s="26" t="e">
        <f>IF(HP$2=InputTable[[#This Row],[Delivery Date]],_xlfn.XLOOKUP(HP$1,$BH$2:$BR$2,$BH44:$BR44,0),0)</f>
        <v>#REF!</v>
      </c>
      <c r="HQ44" s="26">
        <f>IF(HQ$2=InputTable[[#This Row],[Delivery Date]],_xlfn.XLOOKUP(HQ$1,$BH$2:$BR$2,$BH44:$BR44,0),0)</f>
        <v>0</v>
      </c>
      <c r="HR44" s="26">
        <f>IF(HR$2=InputTable[[#This Row],[Delivery Date]],_xlfn.XLOOKUP(HR$1,$BH$2:$BR$2,$BH44:$BR44,0),0)</f>
        <v>0</v>
      </c>
      <c r="HS44" s="26">
        <f>IF(HS$2=InputTable[[#This Row],[Delivery Date]],_xlfn.XLOOKUP(HS$1,$BH$2:$BR$2,$BH44:$BR44,0),0)</f>
        <v>0</v>
      </c>
      <c r="HT44" s="26">
        <f>IF(HT$2=InputTable[[#This Row],[Delivery Date]],_xlfn.XLOOKUP(HT$1,$BH$2:$BR$2,$BH44:$BR44,0),0)</f>
        <v>0</v>
      </c>
      <c r="HU44" s="26">
        <f>IF(HU$2=InputTable[[#This Row],[Delivery Date]],_xlfn.XLOOKUP(HU$1,$BH$2:$BR$2,$BH44:$BR44,0),0)</f>
        <v>0</v>
      </c>
      <c r="HV44" s="26">
        <f>IF(HV$2=InputTable[[#This Row],[Delivery Date]],_xlfn.XLOOKUP(HV$1,$BH$2:$BR$2,$BH44:$BR44,0),0)</f>
        <v>0</v>
      </c>
      <c r="HW44" s="26">
        <f>IF(HW$2=InputTable[[#This Row],[Delivery Date]],_xlfn.XLOOKUP(HW$1,$BH$2:$BR$2,$BH44:$BR44,0),0)</f>
        <v>0</v>
      </c>
      <c r="HX44" s="26">
        <f>IF(HX$2=InputTable[[#This Row],[Delivery Date]],_xlfn.XLOOKUP(HX$1,$BH$2:$BR$2,$BH44:$BR44,0),0)</f>
        <v>0</v>
      </c>
      <c r="HZ44" s="26" t="e">
        <f>IF(HZ$2=InputTable[[#This Row],[Delivery Date]],_xlfn.XLOOKUP(HZ$1,$BH$2:$BR$2,$BH44:$BR44,0),0)</f>
        <v>#REF!</v>
      </c>
      <c r="IA44" s="26">
        <f>IF(IA$2=InputTable[[#This Row],[Delivery Date]],_xlfn.XLOOKUP(IA$1,$BH$2:$BR$2,$BH44:$BR44,0),0)</f>
        <v>0</v>
      </c>
      <c r="IB44" s="26">
        <f>IF(IB$2=InputTable[[#This Row],[Delivery Date]],_xlfn.XLOOKUP(IB$1,$BH$2:$BR$2,$BH44:$BR44,0),0)</f>
        <v>0</v>
      </c>
      <c r="IC44" s="26">
        <f>IF(IC$2=InputTable[[#This Row],[Delivery Date]],_xlfn.XLOOKUP(IC$1,$BH$2:$BR$2,$BH44:$BR44,0),0)</f>
        <v>0</v>
      </c>
      <c r="ID44" s="26">
        <f>IF(ID$2=InputTable[[#This Row],[Delivery Date]],_xlfn.XLOOKUP(ID$1,$BH$2:$BR$2,$BH44:$BR44,0),0)</f>
        <v>0</v>
      </c>
      <c r="IE44" s="26">
        <f>IF(IE$2=InputTable[[#This Row],[Delivery Date]],_xlfn.XLOOKUP(IE$1,$BH$2:$BR$2,$BH44:$BR44,0),0)</f>
        <v>0</v>
      </c>
      <c r="IF44" s="26">
        <f>IF(IF$2=InputTable[[#This Row],[Delivery Date]],_xlfn.XLOOKUP(IF$1,$BH$2:$BR$2,$BH44:$BR44,0),0)</f>
        <v>0</v>
      </c>
      <c r="IG44" s="26">
        <f>IF(IG$2=InputTable[[#This Row],[Delivery Date]],_xlfn.XLOOKUP(IG$1,$BH$2:$BR$2,$BH44:$BR44,0),0)</f>
        <v>0</v>
      </c>
      <c r="IH44" s="26">
        <f>IF(IH$2=InputTable[[#This Row],[Delivery Date]],_xlfn.XLOOKUP(IH$1,$BH$2:$BR$2,$BH44:$BR44,0),0)</f>
        <v>0</v>
      </c>
      <c r="IJ44" s="26" t="e">
        <f>IF(IJ$2=InputTable[[#This Row],[Delivery Date]],_xlfn.XLOOKUP(IJ$1,$BH$2:$BR$2,$BH44:$BR44,0),0)</f>
        <v>#REF!</v>
      </c>
      <c r="IK44" s="26">
        <f>IF(IK$2=InputTable[[#This Row],[Delivery Date]],_xlfn.XLOOKUP(IK$1,$BH$2:$BR$2,$BH44:$BR44,0),0)</f>
        <v>0</v>
      </c>
      <c r="IL44" s="26">
        <f>IF(IL$2=InputTable[[#This Row],[Delivery Date]],_xlfn.XLOOKUP(IL$1,$BH$2:$BR$2,$BH44:$BR44,0),0)</f>
        <v>0</v>
      </c>
      <c r="IM44" s="26">
        <f>IF(IM$2=InputTable[[#This Row],[Delivery Date]],_xlfn.XLOOKUP(IM$1,$BH$2:$BR$2,$BH44:$BR44,0),0)</f>
        <v>0</v>
      </c>
      <c r="IN44" s="26">
        <f>IF(IN$2=InputTable[[#This Row],[Delivery Date]],_xlfn.XLOOKUP(IN$1,$BH$2:$BR$2,$BH44:$BR44,0),0)</f>
        <v>0</v>
      </c>
      <c r="IO44" s="26">
        <f>IF(IO$2=InputTable[[#This Row],[Delivery Date]],_xlfn.XLOOKUP(IO$1,$BH$2:$BR$2,$BH44:$BR44,0),0)</f>
        <v>0</v>
      </c>
      <c r="IP44" s="26">
        <f>IF(IP$2=InputTable[[#This Row],[Delivery Date]],_xlfn.XLOOKUP(IP$1,$BH$2:$BR$2,$BH44:$BR44,0),0)</f>
        <v>0</v>
      </c>
      <c r="IQ44" s="26">
        <f>IF(IQ$2=InputTable[[#This Row],[Delivery Date]],_xlfn.XLOOKUP(IQ$1,$BH$2:$BR$2,$BH44:$BR44,0),0)</f>
        <v>0</v>
      </c>
      <c r="IR44" s="26">
        <f>IF(IR$2=InputTable[[#This Row],[Delivery Date]],_xlfn.XLOOKUP(IR$1,$BH$2:$BR$2,$BH44:$BR44,0),0)</f>
        <v>0</v>
      </c>
      <c r="IT44" s="26" t="e">
        <f>IF(IT$2=InputTable[[#This Row],[Delivery Date]],_xlfn.XLOOKUP(IT$1,$BH$2:$BR$2,$BH44:$BR44,0),0)</f>
        <v>#REF!</v>
      </c>
      <c r="IU44" s="26">
        <f>IF(IU$2=InputTable[[#This Row],[Delivery Date]],_xlfn.XLOOKUP(IU$1,$BH$2:$BR$2,$BH44:$BR44,0),0)</f>
        <v>0</v>
      </c>
      <c r="IV44" s="26">
        <f>IF(IV$2=InputTable[[#This Row],[Delivery Date]],_xlfn.XLOOKUP(IV$1,$BH$2:$BR$2,$BH44:$BR44,0),0)</f>
        <v>0</v>
      </c>
      <c r="IW44" s="26">
        <f>IF(IW$2=InputTable[[#This Row],[Delivery Date]],_xlfn.XLOOKUP(IW$1,$BH$2:$BR$2,$BH44:$BR44,0),0)</f>
        <v>0</v>
      </c>
      <c r="IX44" s="26">
        <f>IF(IX$2=InputTable[[#This Row],[Delivery Date]],_xlfn.XLOOKUP(IX$1,$BH$2:$BR$2,$BH44:$BR44,0),0)</f>
        <v>0</v>
      </c>
      <c r="IY44" s="26">
        <f>IF(IY$2=InputTable[[#This Row],[Delivery Date]],_xlfn.XLOOKUP(IY$1,$BH$2:$BR$2,$BH44:$BR44,0),0)</f>
        <v>0</v>
      </c>
      <c r="IZ44" s="26">
        <f>IF(IZ$2=InputTable[[#This Row],[Delivery Date]],_xlfn.XLOOKUP(IZ$1,$BH$2:$BR$2,$BH44:$BR44,0),0)</f>
        <v>0</v>
      </c>
      <c r="JA44" s="26">
        <f>IF(JA$2=InputTable[[#This Row],[Delivery Date]],_xlfn.XLOOKUP(JA$1,$BH$2:$BR$2,$BH44:$BR44,0),0)</f>
        <v>0</v>
      </c>
      <c r="JB44" s="26">
        <f>IF(JB$2=InputTable[[#This Row],[Delivery Date]],_xlfn.XLOOKUP(JB$1,$BH$2:$BR$2,$BH44:$BR44,0),0)</f>
        <v>0</v>
      </c>
      <c r="JD44" s="26" t="e">
        <f>IF(JD$2=InputTable[[#This Row],[Delivery Date]],_xlfn.XLOOKUP(JD$1,$BH$2:$BR$2,$BH44:$BR44,0),0)</f>
        <v>#REF!</v>
      </c>
      <c r="JE44" s="26">
        <f>IF(JE$2=InputTable[[#This Row],[Delivery Date]],_xlfn.XLOOKUP(JE$1,$BH$2:$BR$2,$BH44:$BR44,0),0)</f>
        <v>0</v>
      </c>
      <c r="JF44" s="26">
        <f>IF(JF$2=InputTable[[#This Row],[Delivery Date]],_xlfn.XLOOKUP(JF$1,$BH$2:$BR$2,$BH44:$BR44,0),0)</f>
        <v>0</v>
      </c>
      <c r="JG44" s="26">
        <f>IF(JG$2=InputTable[[#This Row],[Delivery Date]],_xlfn.XLOOKUP(JG$1,$BH$2:$BR$2,$BH44:$BR44,0),0)</f>
        <v>0</v>
      </c>
      <c r="JH44" s="26">
        <f>IF(JH$2=InputTable[[#This Row],[Delivery Date]],_xlfn.XLOOKUP(JH$1,$BH$2:$BR$2,$BH44:$BR44,0),0)</f>
        <v>0</v>
      </c>
      <c r="JI44" s="26">
        <f>IF(JI$2=InputTable[[#This Row],[Delivery Date]],_xlfn.XLOOKUP(JI$1,$BH$2:$BR$2,$BH44:$BR44,0),0)</f>
        <v>0</v>
      </c>
      <c r="JJ44" s="26">
        <f>IF(JJ$2=InputTable[[#This Row],[Delivery Date]],_xlfn.XLOOKUP(JJ$1,$BH$2:$BR$2,$BH44:$BR44,0),0)</f>
        <v>0</v>
      </c>
      <c r="JK44" s="26">
        <f>IF(JK$2=InputTable[[#This Row],[Delivery Date]],_xlfn.XLOOKUP(JK$1,$BH$2:$BR$2,$BH44:$BR44,0),0)</f>
        <v>0</v>
      </c>
      <c r="JL44" s="26">
        <f>IF(JL$2=InputTable[[#This Row],[Delivery Date]],_xlfn.XLOOKUP(JL$1,$BH$2:$BR$2,$BH44:$BR44,0),0)</f>
        <v>0</v>
      </c>
      <c r="JN44" s="26" t="e">
        <f>IF(JN$2=InputTable[[#This Row],[Delivery Date]],_xlfn.XLOOKUP(JN$1,$BH$2:$BR$2,$BH44:$BR44,0),0)</f>
        <v>#REF!</v>
      </c>
      <c r="JO44" s="26">
        <f>IF(JO$2=InputTable[[#This Row],[Delivery Date]],_xlfn.XLOOKUP(JO$1,$BH$2:$BR$2,$BH44:$BR44,0),0)</f>
        <v>0</v>
      </c>
      <c r="JP44" s="26">
        <f>IF(JP$2=InputTable[[#This Row],[Delivery Date]],_xlfn.XLOOKUP(JP$1,$BH$2:$BR$2,$BH44:$BR44,0),0)</f>
        <v>0</v>
      </c>
      <c r="JQ44" s="26">
        <f>IF(JQ$2=InputTable[[#This Row],[Delivery Date]],_xlfn.XLOOKUP(JQ$1,$BH$2:$BR$2,$BH44:$BR44,0),0)</f>
        <v>0</v>
      </c>
      <c r="JR44" s="26">
        <f>IF(JR$2=InputTable[[#This Row],[Delivery Date]],_xlfn.XLOOKUP(JR$1,$BH$2:$BR$2,$BH44:$BR44,0),0)</f>
        <v>0</v>
      </c>
      <c r="JS44" s="26">
        <f>IF(JS$2=InputTable[[#This Row],[Delivery Date]],_xlfn.XLOOKUP(JS$1,$BH$2:$BR$2,$BH44:$BR44,0),0)</f>
        <v>0</v>
      </c>
      <c r="JT44" s="26">
        <f>IF(JT$2=InputTable[[#This Row],[Delivery Date]],_xlfn.XLOOKUP(JT$1,$BH$2:$BR$2,$BH44:$BR44,0),0)</f>
        <v>0</v>
      </c>
      <c r="JU44" s="26">
        <f>IF(JU$2=InputTable[[#This Row],[Delivery Date]],_xlfn.XLOOKUP(JU$1,$BH$2:$BR$2,$BH44:$BR44,0),0)</f>
        <v>0</v>
      </c>
      <c r="JV44" s="26">
        <f>IF(JV$2=InputTable[[#This Row],[Delivery Date]],_xlfn.XLOOKUP(JV$1,$BH$2:$BR$2,$BH44:$BR44,0),0)</f>
        <v>0</v>
      </c>
      <c r="JX44" s="26" t="e">
        <f>IF(JX$2=InputTable[[#This Row],[Delivery Date]],_xlfn.XLOOKUP(JX$1,$BH$2:$BR$2,$BH44:$BR44,0),0)</f>
        <v>#REF!</v>
      </c>
      <c r="JY44" s="26">
        <f>IF(JY$2=InputTable[[#This Row],[Delivery Date]],_xlfn.XLOOKUP(JY$1,$BH$2:$BR$2,$BH44:$BR44,0),0)</f>
        <v>0</v>
      </c>
      <c r="JZ44" s="26">
        <f>IF(JZ$2=InputTable[[#This Row],[Delivery Date]],_xlfn.XLOOKUP(JZ$1,$BH$2:$BR$2,$BH44:$BR44,0),0)</f>
        <v>0</v>
      </c>
      <c r="KA44" s="26">
        <f>IF(KA$2=InputTable[[#This Row],[Delivery Date]],_xlfn.XLOOKUP(KA$1,$BH$2:$BR$2,$BH44:$BR44,0),0)</f>
        <v>0</v>
      </c>
      <c r="KB44" s="26">
        <f>IF(KB$2=InputTable[[#This Row],[Delivery Date]],_xlfn.XLOOKUP(KB$1,$BH$2:$BR$2,$BH44:$BR44,0),0)</f>
        <v>0</v>
      </c>
      <c r="KC44" s="26">
        <f>IF(KC$2=InputTable[[#This Row],[Delivery Date]],_xlfn.XLOOKUP(KC$1,$BH$2:$BR$2,$BH44:$BR44,0),0)</f>
        <v>0</v>
      </c>
      <c r="KD44" s="26">
        <f>IF(KD$2=InputTable[[#This Row],[Delivery Date]],_xlfn.XLOOKUP(KD$1,$BH$2:$BR$2,$BH44:$BR44,0),0)</f>
        <v>0</v>
      </c>
      <c r="KE44" s="26">
        <f>IF(KE$2=InputTable[[#This Row],[Delivery Date]],_xlfn.XLOOKUP(KE$1,$BH$2:$BR$2,$BH44:$BR44,0),0)</f>
        <v>0</v>
      </c>
      <c r="KF44" s="26">
        <f>IF(KF$2=InputTable[[#This Row],[Delivery Date]],_xlfn.XLOOKUP(KF$1,$BH$2:$BR$2,$BH44:$BR44,0),0)</f>
        <v>0</v>
      </c>
    </row>
    <row r="45" spans="1:292" ht="39.6" hidden="1" customHeight="1" x14ac:dyDescent="0.25">
      <c r="A45" s="141" t="s">
        <v>181</v>
      </c>
      <c r="B45" s="141" t="s">
        <v>156</v>
      </c>
      <c r="C45" s="92" t="s">
        <v>61</v>
      </c>
      <c r="D45" s="125" t="s">
        <v>256</v>
      </c>
      <c r="E45" s="193" t="s">
        <v>257</v>
      </c>
      <c r="F45" s="92" t="s">
        <v>61</v>
      </c>
      <c r="G45" s="92">
        <v>2024</v>
      </c>
      <c r="H45" s="92" t="s">
        <v>100</v>
      </c>
      <c r="I45" s="92" t="s">
        <v>160</v>
      </c>
      <c r="J45" s="125" t="s">
        <v>145</v>
      </c>
      <c r="K45" s="95" t="e">
        <f>VLOOKUP((InputTable[[#This Row],[Starting Date]]&amp; " - " &amp;InputTable[[#This Row],[Delivery Date]]),'System List'!$F$40:$H$83,2,FALSE)</f>
        <v>#N/A</v>
      </c>
      <c r="L45" s="95" t="e">
        <f>VLOOKUP(InputTable[[#This Row],[Duration]],Duration,2,FALSE)</f>
        <v>#N/A</v>
      </c>
      <c r="M45" s="125"/>
      <c r="N45" s="92"/>
      <c r="O45" s="92"/>
      <c r="P45" s="92" t="s">
        <v>139</v>
      </c>
      <c r="Q45" s="92"/>
      <c r="R45" s="92" t="s">
        <v>111</v>
      </c>
      <c r="S45" s="92"/>
      <c r="T45" s="95" cm="1">
        <f t="array" ref="T4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3.1</v>
      </c>
      <c r="U45" s="138"/>
      <c r="V45" s="92"/>
      <c r="W45" s="92"/>
      <c r="X45" s="92"/>
      <c r="Y45" s="92" t="s">
        <v>139</v>
      </c>
      <c r="Z45" s="92" t="s">
        <v>111</v>
      </c>
      <c r="AA45" s="92" t="s">
        <v>139</v>
      </c>
      <c r="AB45" s="92"/>
      <c r="AC45" s="92"/>
      <c r="AD45" s="92">
        <f>COUNTA(InputTable[[#This Row],[CORPHRFIN]:[SALES]])</f>
        <v>3</v>
      </c>
      <c r="AE45" s="88" cm="1">
        <f t="array" ref="AE45">SUM(
_xlfn.XLOOKUP(InputTable[[#This Row],[CORPHRFIN]:[SALES]],'System List'!$F$4:$F$7,'System List'!$H$4:$H$7,0))</f>
        <v>21</v>
      </c>
      <c r="AF45" s="140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88" cm="1">
        <f t="array" ref="AR45">SUM(
_xlfn.XLOOKUP(InputTable[[#This Row],[Impact on - CIAL]:[Impact on - STRAT]],'System List'!$F$4:$F$7,'System List'!$H$4:$H$7,0))</f>
        <v>0</v>
      </c>
      <c r="AS45" s="88" t="e">
        <f>VLOOKUP(InputTable[[#This Row],[Duration]],Duration,2,FALSE)+InputTable[[#This Row],[Resource Score]]</f>
        <v>#N/A</v>
      </c>
      <c r="AT4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5" s="24" t="e">
        <f>InputTable[[#This Row],[Value Score]]/InputTable[[#This Row],[EFFORT SCORE]]*100</f>
        <v>#N/A</v>
      </c>
      <c r="AV45" s="25" t="str">
        <f>InputTable[[#This Row],[IS Portfolio Ref ID]]</f>
        <v>ISPRJ-31</v>
      </c>
      <c r="AW45" s="25" t="s">
        <v>258</v>
      </c>
      <c r="AX45" s="208" t="s">
        <v>259</v>
      </c>
      <c r="AY45" s="25" t="s">
        <v>247</v>
      </c>
      <c r="AZ45" s="209">
        <v>0</v>
      </c>
      <c r="BA45" s="209">
        <v>0</v>
      </c>
      <c r="BB45" s="209"/>
      <c r="BC45" s="189">
        <v>2825258</v>
      </c>
      <c r="BD45" s="188">
        <v>1</v>
      </c>
      <c r="BE45" s="188">
        <v>3</v>
      </c>
      <c r="BF45" s="70"/>
      <c r="BH45" s="2">
        <f>IFERROR(VLOOKUP(InputTable[[#This Row],[Impact on - CIAL]],'System List'!$F$4:$H$7,3,FALSE),0)</f>
        <v>0</v>
      </c>
      <c r="BI45" s="2">
        <f>IFERROR(VLOOKUP(InputTable[[#This Row],[Impact on - COM]],'System List'!$F$4:$H$7,3,FALSE),0)</f>
        <v>0</v>
      </c>
      <c r="BJ45" s="2">
        <f>IFERROR(VLOOKUP(InputTable[[#This Row],[Impact on - FIN]],'System List'!$F$4:$H$7,3,FALSE),0)</f>
        <v>0</v>
      </c>
      <c r="BK45" s="2">
        <f>IFERROR(VLOOKUP(InputTable[[#This Row],[Impact on - GEN SEC]],'System List'!$F$4:$H$7,3,FALSE),0)</f>
        <v>0</v>
      </c>
      <c r="BL45" s="2">
        <f>IFERROR(VLOOKUP(InputTable[[#This Row],[Impact on - HR]],'System List'!$F$4:$H$7,3,FALSE),0)</f>
        <v>0</v>
      </c>
      <c r="BM45" s="2">
        <f>IFERROR(VLOOKUP(InputTable[[#This Row],[Impact on - IS]],'System List'!$F$4:$H$7,3,FALSE),0)</f>
        <v>0</v>
      </c>
      <c r="BN45" s="2">
        <f>IFERROR(VLOOKUP(InputTable[[#This Row],[Impact on - OPS]],'System List'!$F$4:$H$7,3,FALSE),0)</f>
        <v>0</v>
      </c>
      <c r="BO45" s="2">
        <f>IFERROR(VLOOKUP(InputTable[[#This Row],[Impact on - ROLL STOCK]],'System List'!$F$4:$H$7,3,FALSE),0)</f>
        <v>0</v>
      </c>
      <c r="BP45" s="2">
        <f>IFERROR(VLOOKUP(InputTable[[#This Row],[Impact on - SAFETY]],'System List'!$F$4:$H$7,3,FALSE),0)</f>
        <v>0</v>
      </c>
      <c r="BQ45" s="2">
        <f>IFERROR(VLOOKUP(InputTable[[#This Row],[Impact on - STATION]],'System List'!$F$4:$H$7,3,FALSE),0)</f>
        <v>0</v>
      </c>
      <c r="BR45" s="2">
        <f>IFERROR(VLOOKUP(InputTable[[#This Row],[Impact on - STRAT]],'System List'!$F$4:$H$7,3,FALSE),0)</f>
        <v>0</v>
      </c>
      <c r="BT45" s="2">
        <f>IFERROR(VLOOKUP(InputTable[[#This Row],[CORPHRFIN]],'System List'!$F$4:$H$7,3,FALSE),0)</f>
        <v>0</v>
      </c>
      <c r="BU45" s="2">
        <f>IFERROR(VLOOKUP(InputTable[[#This Row],[CUST]],'System List'!$F$4:$H$7,3,FALSE),0)</f>
        <v>0</v>
      </c>
      <c r="BV45" s="2">
        <f>IFERROR(VLOOKUP(InputTable[[#This Row],[CYBER]],'System List'!$F$4:$H$7,3,FALSE),0)</f>
        <v>0</v>
      </c>
      <c r="BW45" s="2">
        <f>IFERROR(VLOOKUP(InputTable[[#This Row],[DATA]],'System List'!$F$4:$H$7,3,FALSE),0)</f>
        <v>8</v>
      </c>
      <c r="BX45" s="2">
        <f>IFERROR(VLOOKUP(InputTable[[#This Row],[INFRA]],'System List'!$F$4:$H$7,3,FALSE),0)</f>
        <v>5</v>
      </c>
      <c r="BY45" s="2">
        <f>IFERROR(VLOOKUP(InputTable[[#This Row],[OPERATIONS]],'System List'!$F$4:$H$7,3,FALSE),0)</f>
        <v>8</v>
      </c>
      <c r="BZ45" s="2">
        <f>IFERROR(VLOOKUP(InputTable[[#This Row],[PMO]],'System List'!$F$4:$H$7,3,FALSE),0)</f>
        <v>0</v>
      </c>
      <c r="CA45" s="2">
        <f>IFERROR(VLOOKUP(InputTable[[#This Row],[SALES]],'System List'!$F$4:$H$7,3,FALSE),0)</f>
        <v>0</v>
      </c>
      <c r="CC45" s="2" cm="1">
        <f t="array" ref="CC4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5" s="2" cm="1">
        <f t="array" ref="CD4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5" s="2" cm="1">
        <f t="array" ref="CE4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5" s="2" cm="1">
        <f t="array" ref="CF4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5" s="2" cm="1">
        <f t="array" ref="CG4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5" s="2" cm="1">
        <f t="array" ref="CH4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5" s="2" cm="1">
        <f t="array" ref="CI4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5" s="2" cm="1">
        <f t="array" ref="CJ4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5" s="2" cm="1">
        <f t="array" ref="CK4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4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4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4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4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4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5" s="26">
        <f t="shared" si="151"/>
        <v>0</v>
      </c>
      <c r="CY45" s="26">
        <f t="shared" si="152"/>
        <v>0</v>
      </c>
      <c r="CZ45" s="26">
        <f t="shared" si="153"/>
        <v>0</v>
      </c>
      <c r="DA45" s="26">
        <f t="shared" si="154"/>
        <v>0</v>
      </c>
      <c r="DB45" s="26">
        <f t="shared" si="155"/>
        <v>0</v>
      </c>
      <c r="DC45" s="26">
        <f t="shared" si="156"/>
        <v>0</v>
      </c>
      <c r="DD45" s="26">
        <f t="shared" si="157"/>
        <v>0</v>
      </c>
      <c r="DE45" s="26">
        <f t="shared" si="158"/>
        <v>0</v>
      </c>
      <c r="DF45" s="26">
        <f t="shared" si="159"/>
        <v>0</v>
      </c>
      <c r="DH45" s="26">
        <f t="shared" si="160"/>
        <v>0</v>
      </c>
      <c r="DI45" s="26">
        <f t="shared" si="161"/>
        <v>0</v>
      </c>
      <c r="DJ45" s="26">
        <f t="shared" si="162"/>
        <v>0</v>
      </c>
      <c r="DK45" s="26">
        <f t="shared" si="163"/>
        <v>0</v>
      </c>
      <c r="DL45" s="26">
        <f t="shared" si="164"/>
        <v>0</v>
      </c>
      <c r="DM45" s="26">
        <f t="shared" si="165"/>
        <v>0</v>
      </c>
      <c r="DN45" s="26">
        <f t="shared" si="166"/>
        <v>0</v>
      </c>
      <c r="DO45" s="26">
        <f t="shared" si="167"/>
        <v>0</v>
      </c>
      <c r="DP45" s="26">
        <f t="shared" si="168"/>
        <v>0</v>
      </c>
      <c r="DR45" s="26">
        <f t="shared" si="169"/>
        <v>0</v>
      </c>
      <c r="DS45" s="26">
        <f t="shared" si="170"/>
        <v>0</v>
      </c>
      <c r="DT45" s="26">
        <f t="shared" si="171"/>
        <v>0</v>
      </c>
      <c r="DU45" s="26">
        <f t="shared" si="172"/>
        <v>0</v>
      </c>
      <c r="DV45" s="26">
        <f t="shared" si="173"/>
        <v>0</v>
      </c>
      <c r="DW45" s="26">
        <f t="shared" si="174"/>
        <v>0</v>
      </c>
      <c r="DX45" s="26">
        <f t="shared" si="175"/>
        <v>0</v>
      </c>
      <c r="DY45" s="26">
        <f t="shared" si="176"/>
        <v>0</v>
      </c>
      <c r="DZ45" s="26">
        <f t="shared" si="177"/>
        <v>0</v>
      </c>
      <c r="EB45" s="26">
        <f t="shared" si="178"/>
        <v>0</v>
      </c>
      <c r="EC45" s="26">
        <f t="shared" si="179"/>
        <v>8</v>
      </c>
      <c r="ED45" s="26">
        <f t="shared" si="180"/>
        <v>8</v>
      </c>
      <c r="EE45" s="26">
        <f t="shared" si="181"/>
        <v>8</v>
      </c>
      <c r="EF45" s="26">
        <f t="shared" si="182"/>
        <v>0</v>
      </c>
      <c r="EG45" s="26">
        <f t="shared" si="183"/>
        <v>0</v>
      </c>
      <c r="EH45" s="26">
        <f t="shared" si="184"/>
        <v>0</v>
      </c>
      <c r="EI45" s="26">
        <f t="shared" si="185"/>
        <v>0</v>
      </c>
      <c r="EJ45" s="26">
        <f t="shared" si="186"/>
        <v>0</v>
      </c>
      <c r="EL45" s="26">
        <f t="shared" si="187"/>
        <v>0</v>
      </c>
      <c r="EM45" s="26">
        <f t="shared" si="188"/>
        <v>5</v>
      </c>
      <c r="EN45" s="26">
        <f t="shared" si="189"/>
        <v>5</v>
      </c>
      <c r="EO45" s="26">
        <f t="shared" si="190"/>
        <v>5</v>
      </c>
      <c r="EP45" s="26">
        <f t="shared" si="191"/>
        <v>0</v>
      </c>
      <c r="EQ45" s="26">
        <f t="shared" si="192"/>
        <v>0</v>
      </c>
      <c r="ER45" s="26">
        <f t="shared" si="193"/>
        <v>0</v>
      </c>
      <c r="ES45" s="26">
        <f t="shared" si="194"/>
        <v>0</v>
      </c>
      <c r="ET45" s="26">
        <f t="shared" si="195"/>
        <v>0</v>
      </c>
      <c r="EV45" s="26">
        <f t="shared" si="196"/>
        <v>0</v>
      </c>
      <c r="EW45" s="26">
        <f t="shared" si="197"/>
        <v>8</v>
      </c>
      <c r="EX45" s="26">
        <f t="shared" si="198"/>
        <v>8</v>
      </c>
      <c r="EY45" s="26">
        <f t="shared" si="199"/>
        <v>8</v>
      </c>
      <c r="EZ45" s="26">
        <f t="shared" si="200"/>
        <v>0</v>
      </c>
      <c r="FA45" s="26">
        <f t="shared" si="201"/>
        <v>0</v>
      </c>
      <c r="FB45" s="26">
        <f t="shared" si="202"/>
        <v>0</v>
      </c>
      <c r="FC45" s="26">
        <f t="shared" si="203"/>
        <v>0</v>
      </c>
      <c r="FD45" s="26">
        <f t="shared" si="204"/>
        <v>0</v>
      </c>
      <c r="FF45" s="26">
        <f t="shared" si="205"/>
        <v>0</v>
      </c>
      <c r="FG45" s="26">
        <f t="shared" si="206"/>
        <v>0</v>
      </c>
      <c r="FH45" s="26">
        <f t="shared" si="207"/>
        <v>0</v>
      </c>
      <c r="FI45" s="26">
        <f t="shared" si="208"/>
        <v>0</v>
      </c>
      <c r="FJ45" s="26">
        <f t="shared" si="209"/>
        <v>0</v>
      </c>
      <c r="FK45" s="26">
        <f t="shared" si="210"/>
        <v>0</v>
      </c>
      <c r="FL45" s="26">
        <f t="shared" si="211"/>
        <v>0</v>
      </c>
      <c r="FM45" s="26">
        <f t="shared" si="212"/>
        <v>0</v>
      </c>
      <c r="FN45" s="26">
        <f t="shared" si="213"/>
        <v>0</v>
      </c>
      <c r="FP45" s="26" t="e">
        <f t="shared" si="214"/>
        <v>#REF!</v>
      </c>
      <c r="FQ45" s="26" t="e">
        <f t="shared" si="215"/>
        <v>#REF!</v>
      </c>
      <c r="FR45" s="26" t="e">
        <f t="shared" si="216"/>
        <v>#REF!</v>
      </c>
      <c r="FS45" s="26" t="e">
        <f t="shared" si="217"/>
        <v>#REF!</v>
      </c>
      <c r="FT45" s="26" t="e">
        <f t="shared" si="218"/>
        <v>#REF!</v>
      </c>
      <c r="FU45" s="26" t="e">
        <f t="shared" si="219"/>
        <v>#REF!</v>
      </c>
      <c r="FV45" s="26" t="e">
        <f t="shared" si="220"/>
        <v>#REF!</v>
      </c>
      <c r="FW45" s="26" t="e">
        <f t="shared" si="221"/>
        <v>#REF!</v>
      </c>
      <c r="FX45" s="26" t="e">
        <f t="shared" si="222"/>
        <v>#REF!</v>
      </c>
      <c r="GB45" s="26" t="e">
        <f>IF(GB$2=InputTable[[#This Row],[Delivery Date]],_xlfn.XLOOKUP(GB$1,$BH$2:$BR$2,$BH45:$BR45,0),0)</f>
        <v>#REF!</v>
      </c>
      <c r="GC45" s="26">
        <f>IF(GC$2=InputTable[[#This Row],[Delivery Date]],_xlfn.XLOOKUP(GC$1,$BH$2:$BR$2,$BH45:$BR45,0),0)</f>
        <v>0</v>
      </c>
      <c r="GD45" s="26">
        <f>IF(GD$2=InputTable[[#This Row],[Delivery Date]],_xlfn.XLOOKUP(GD$1,$BH$2:$BR$2,$BH45:$BR45,0),0)</f>
        <v>0</v>
      </c>
      <c r="GE45" s="26">
        <f>IF(GE$2=InputTable[[#This Row],[Delivery Date]],_xlfn.XLOOKUP(GE$1,$BH$2:$BR$2,$BH45:$BR45,0),0)</f>
        <v>0</v>
      </c>
      <c r="GF45" s="26">
        <f>IF(GF$2=InputTable[[#This Row],[Delivery Date]],_xlfn.XLOOKUP(GF$1,$BH$2:$BR$2,$BH45:$BR45,0),0)</f>
        <v>0</v>
      </c>
      <c r="GG45" s="26">
        <f>IF(GG$2=InputTable[[#This Row],[Delivery Date]],_xlfn.XLOOKUP(GG$1,$BH$2:$BR$2,$BH45:$BR45,0),0)</f>
        <v>0</v>
      </c>
      <c r="GH45" s="26">
        <f>IF(GH$2=InputTable[[#This Row],[Delivery Date]],_xlfn.XLOOKUP(GH$1,$BH$2:$BR$2,$BH45:$BR45,0),0)</f>
        <v>0</v>
      </c>
      <c r="GI45" s="26">
        <f>IF(GI$2=InputTable[[#This Row],[Delivery Date]],_xlfn.XLOOKUP(GI$1,$BH$2:$BR$2,$BH45:$BR45,0),0)</f>
        <v>0</v>
      </c>
      <c r="GJ45" s="26">
        <f>IF(GJ$2=InputTable[[#This Row],[Delivery Date]],_xlfn.XLOOKUP(GJ$1,$BH$2:$BR$2,$BH45:$BR45,0),0)</f>
        <v>0</v>
      </c>
      <c r="GL45" s="26" t="e">
        <f>IF(GL$2=InputTable[[#This Row],[Delivery Date]],_xlfn.XLOOKUP(GL$1,$BH$2:$BR$2,$BH45:$BR45,0),0)</f>
        <v>#REF!</v>
      </c>
      <c r="GM45" s="26">
        <f>IF(GM$2=InputTable[[#This Row],[Delivery Date]],_xlfn.XLOOKUP(GM$1,$BH$2:$BR$2,$BH45:$BR45,0),0)</f>
        <v>0</v>
      </c>
      <c r="GN45" s="26">
        <f>IF(GN$2=InputTable[[#This Row],[Delivery Date]],_xlfn.XLOOKUP(GN$1,$BH$2:$BR$2,$BH45:$BR45,0),0)</f>
        <v>0</v>
      </c>
      <c r="GO45" s="26">
        <f>IF(GO$2=InputTable[[#This Row],[Delivery Date]],_xlfn.XLOOKUP(GO$1,$BH$2:$BR$2,$BH45:$BR45,0),0)</f>
        <v>0</v>
      </c>
      <c r="GP45" s="26">
        <f>IF(GP$2=InputTable[[#This Row],[Delivery Date]],_xlfn.XLOOKUP(GP$1,$BH$2:$BR$2,$BH45:$BR45,0),0)</f>
        <v>0</v>
      </c>
      <c r="GQ45" s="26">
        <f>IF(GQ$2=InputTable[[#This Row],[Delivery Date]],_xlfn.XLOOKUP(GQ$1,$BH$2:$BR$2,$BH45:$BR45,0),0)</f>
        <v>0</v>
      </c>
      <c r="GR45" s="26">
        <f>IF(GR$2=InputTable[[#This Row],[Delivery Date]],_xlfn.XLOOKUP(GR$1,$BH$2:$BR$2,$BH45:$BR45,0),0)</f>
        <v>0</v>
      </c>
      <c r="GS45" s="26">
        <f>IF(GS$2=InputTable[[#This Row],[Delivery Date]],_xlfn.XLOOKUP(GS$1,$BH$2:$BR$2,$BH45:$BR45,0),0)</f>
        <v>0</v>
      </c>
      <c r="GT45" s="26">
        <f>IF(GT$2=InputTable[[#This Row],[Delivery Date]],_xlfn.XLOOKUP(GT$1,$BH$2:$BR$2,$BH45:$BR45,0),0)</f>
        <v>0</v>
      </c>
      <c r="GV45" s="26" t="e">
        <f>IF(GV$2=InputTable[[#This Row],[Delivery Date]],_xlfn.XLOOKUP(GV$1,$BH$2:$BR$2,$BH45:$BR45,0),0)</f>
        <v>#REF!</v>
      </c>
      <c r="GW45" s="26">
        <f>IF(GW$2=InputTable[[#This Row],[Delivery Date]],_xlfn.XLOOKUP(GW$1,$BH$2:$BR$2,$BH45:$BR45,0),0)</f>
        <v>0</v>
      </c>
      <c r="GX45" s="26">
        <f>IF(GX$2=InputTable[[#This Row],[Delivery Date]],_xlfn.XLOOKUP(GX$1,$BH$2:$BR$2,$BH45:$BR45,0),0)</f>
        <v>0</v>
      </c>
      <c r="GY45" s="26">
        <f>IF(GY$2=InputTable[[#This Row],[Delivery Date]],_xlfn.XLOOKUP(GY$1,$BH$2:$BR$2,$BH45:$BR45,0),0)</f>
        <v>0</v>
      </c>
      <c r="GZ45" s="26">
        <f>IF(GZ$2=InputTable[[#This Row],[Delivery Date]],_xlfn.XLOOKUP(GZ$1,$BH$2:$BR$2,$BH45:$BR45,0),0)</f>
        <v>0</v>
      </c>
      <c r="HA45" s="26">
        <f>IF(HA$2=InputTable[[#This Row],[Delivery Date]],_xlfn.XLOOKUP(HA$1,$BH$2:$BR$2,$BH45:$BR45,0),0)</f>
        <v>0</v>
      </c>
      <c r="HB45" s="26">
        <f>IF(HB$2=InputTable[[#This Row],[Delivery Date]],_xlfn.XLOOKUP(HB$1,$BH$2:$BR$2,$BH45:$BR45,0),0)</f>
        <v>0</v>
      </c>
      <c r="HC45" s="26">
        <f>IF(HC$2=InputTable[[#This Row],[Delivery Date]],_xlfn.XLOOKUP(HC$1,$BH$2:$BR$2,$BH45:$BR45,0),0)</f>
        <v>0</v>
      </c>
      <c r="HD45" s="26">
        <f>IF(HD$2=InputTable[[#This Row],[Delivery Date]],_xlfn.XLOOKUP(HD$1,$BH$2:$BR$2,$BH45:$BR45,0),0)</f>
        <v>0</v>
      </c>
      <c r="HF45" s="26" t="e">
        <f>IF(HF$2=InputTable[[#This Row],[Delivery Date]],_xlfn.XLOOKUP(HF$1,$BH$2:$BR$2,$BH45:$BR45,0),0)</f>
        <v>#REF!</v>
      </c>
      <c r="HG45" s="26">
        <f>IF(HG$2=InputTable[[#This Row],[Delivery Date]],_xlfn.XLOOKUP(HG$1,$BH$2:$BR$2,$BH45:$BR45,0),0)</f>
        <v>0</v>
      </c>
      <c r="HH45" s="26">
        <f>IF(HH$2=InputTable[[#This Row],[Delivery Date]],_xlfn.XLOOKUP(HH$1,$BH$2:$BR$2,$BH45:$BR45,0),0)</f>
        <v>0</v>
      </c>
      <c r="HI45" s="26">
        <f>IF(HI$2=InputTable[[#This Row],[Delivery Date]],_xlfn.XLOOKUP(HI$1,$BH$2:$BR$2,$BH45:$BR45,0),0)</f>
        <v>0</v>
      </c>
      <c r="HJ45" s="26">
        <f>IF(HJ$2=InputTable[[#This Row],[Delivery Date]],_xlfn.XLOOKUP(HJ$1,$BH$2:$BR$2,$BH45:$BR45,0),0)</f>
        <v>0</v>
      </c>
      <c r="HK45" s="26">
        <f>IF(HK$2=InputTable[[#This Row],[Delivery Date]],_xlfn.XLOOKUP(HK$1,$BH$2:$BR$2,$BH45:$BR45,0),0)</f>
        <v>0</v>
      </c>
      <c r="HL45" s="26">
        <f>IF(HL$2=InputTable[[#This Row],[Delivery Date]],_xlfn.XLOOKUP(HL$1,$BH$2:$BR$2,$BH45:$BR45,0),0)</f>
        <v>0</v>
      </c>
      <c r="HM45" s="26">
        <f>IF(HM$2=InputTable[[#This Row],[Delivery Date]],_xlfn.XLOOKUP(HM$1,$BH$2:$BR$2,$BH45:$BR45,0),0)</f>
        <v>0</v>
      </c>
      <c r="HN45" s="26">
        <f>IF(HN$2=InputTable[[#This Row],[Delivery Date]],_xlfn.XLOOKUP(HN$1,$BH$2:$BR$2,$BH45:$BR45,0),0)</f>
        <v>0</v>
      </c>
      <c r="HP45" s="26" t="e">
        <f>IF(HP$2=InputTable[[#This Row],[Delivery Date]],_xlfn.XLOOKUP(HP$1,$BH$2:$BR$2,$BH45:$BR45,0),0)</f>
        <v>#REF!</v>
      </c>
      <c r="HQ45" s="26">
        <f>IF(HQ$2=InputTable[[#This Row],[Delivery Date]],_xlfn.XLOOKUP(HQ$1,$BH$2:$BR$2,$BH45:$BR45,0),0)</f>
        <v>0</v>
      </c>
      <c r="HR45" s="26">
        <f>IF(HR$2=InputTable[[#This Row],[Delivery Date]],_xlfn.XLOOKUP(HR$1,$BH$2:$BR$2,$BH45:$BR45,0),0)</f>
        <v>0</v>
      </c>
      <c r="HS45" s="26">
        <f>IF(HS$2=InputTable[[#This Row],[Delivery Date]],_xlfn.XLOOKUP(HS$1,$BH$2:$BR$2,$BH45:$BR45,0),0)</f>
        <v>0</v>
      </c>
      <c r="HT45" s="26">
        <f>IF(HT$2=InputTable[[#This Row],[Delivery Date]],_xlfn.XLOOKUP(HT$1,$BH$2:$BR$2,$BH45:$BR45,0),0)</f>
        <v>0</v>
      </c>
      <c r="HU45" s="26">
        <f>IF(HU$2=InputTable[[#This Row],[Delivery Date]],_xlfn.XLOOKUP(HU$1,$BH$2:$BR$2,$BH45:$BR45,0),0)</f>
        <v>0</v>
      </c>
      <c r="HV45" s="26">
        <f>IF(HV$2=InputTable[[#This Row],[Delivery Date]],_xlfn.XLOOKUP(HV$1,$BH$2:$BR$2,$BH45:$BR45,0),0)</f>
        <v>0</v>
      </c>
      <c r="HW45" s="26">
        <f>IF(HW$2=InputTable[[#This Row],[Delivery Date]],_xlfn.XLOOKUP(HW$1,$BH$2:$BR$2,$BH45:$BR45,0),0)</f>
        <v>0</v>
      </c>
      <c r="HX45" s="26">
        <f>IF(HX$2=InputTable[[#This Row],[Delivery Date]],_xlfn.XLOOKUP(HX$1,$BH$2:$BR$2,$BH45:$BR45,0),0)</f>
        <v>0</v>
      </c>
      <c r="HZ45" s="26" t="e">
        <f>IF(HZ$2=InputTable[[#This Row],[Delivery Date]],_xlfn.XLOOKUP(HZ$1,$BH$2:$BR$2,$BH45:$BR45,0),0)</f>
        <v>#REF!</v>
      </c>
      <c r="IA45" s="26">
        <f>IF(IA$2=InputTable[[#This Row],[Delivery Date]],_xlfn.XLOOKUP(IA$1,$BH$2:$BR$2,$BH45:$BR45,0),0)</f>
        <v>0</v>
      </c>
      <c r="IB45" s="26">
        <f>IF(IB$2=InputTable[[#This Row],[Delivery Date]],_xlfn.XLOOKUP(IB$1,$BH$2:$BR$2,$BH45:$BR45,0),0)</f>
        <v>0</v>
      </c>
      <c r="IC45" s="26">
        <f>IF(IC$2=InputTable[[#This Row],[Delivery Date]],_xlfn.XLOOKUP(IC$1,$BH$2:$BR$2,$BH45:$BR45,0),0)</f>
        <v>0</v>
      </c>
      <c r="ID45" s="26">
        <f>IF(ID$2=InputTable[[#This Row],[Delivery Date]],_xlfn.XLOOKUP(ID$1,$BH$2:$BR$2,$BH45:$BR45,0),0)</f>
        <v>0</v>
      </c>
      <c r="IE45" s="26">
        <f>IF(IE$2=InputTable[[#This Row],[Delivery Date]],_xlfn.XLOOKUP(IE$1,$BH$2:$BR$2,$BH45:$BR45,0),0)</f>
        <v>0</v>
      </c>
      <c r="IF45" s="26">
        <f>IF(IF$2=InputTable[[#This Row],[Delivery Date]],_xlfn.XLOOKUP(IF$1,$BH$2:$BR$2,$BH45:$BR45,0),0)</f>
        <v>0</v>
      </c>
      <c r="IG45" s="26">
        <f>IF(IG$2=InputTable[[#This Row],[Delivery Date]],_xlfn.XLOOKUP(IG$1,$BH$2:$BR$2,$BH45:$BR45,0),0)</f>
        <v>0</v>
      </c>
      <c r="IH45" s="26">
        <f>IF(IH$2=InputTable[[#This Row],[Delivery Date]],_xlfn.XLOOKUP(IH$1,$BH$2:$BR$2,$BH45:$BR45,0),0)</f>
        <v>0</v>
      </c>
      <c r="IJ45" s="26" t="e">
        <f>IF(IJ$2=InputTable[[#This Row],[Delivery Date]],_xlfn.XLOOKUP(IJ$1,$BH$2:$BR$2,$BH45:$BR45,0),0)</f>
        <v>#REF!</v>
      </c>
      <c r="IK45" s="26">
        <f>IF(IK$2=InputTable[[#This Row],[Delivery Date]],_xlfn.XLOOKUP(IK$1,$BH$2:$BR$2,$BH45:$BR45,0),0)</f>
        <v>0</v>
      </c>
      <c r="IL45" s="26">
        <f>IF(IL$2=InputTable[[#This Row],[Delivery Date]],_xlfn.XLOOKUP(IL$1,$BH$2:$BR$2,$BH45:$BR45,0),0)</f>
        <v>0</v>
      </c>
      <c r="IM45" s="26">
        <f>IF(IM$2=InputTable[[#This Row],[Delivery Date]],_xlfn.XLOOKUP(IM$1,$BH$2:$BR$2,$BH45:$BR45,0),0)</f>
        <v>0</v>
      </c>
      <c r="IN45" s="26">
        <f>IF(IN$2=InputTable[[#This Row],[Delivery Date]],_xlfn.XLOOKUP(IN$1,$BH$2:$BR$2,$BH45:$BR45,0),0)</f>
        <v>0</v>
      </c>
      <c r="IO45" s="26">
        <f>IF(IO$2=InputTable[[#This Row],[Delivery Date]],_xlfn.XLOOKUP(IO$1,$BH$2:$BR$2,$BH45:$BR45,0),0)</f>
        <v>0</v>
      </c>
      <c r="IP45" s="26">
        <f>IF(IP$2=InputTable[[#This Row],[Delivery Date]],_xlfn.XLOOKUP(IP$1,$BH$2:$BR$2,$BH45:$BR45,0),0)</f>
        <v>0</v>
      </c>
      <c r="IQ45" s="26">
        <f>IF(IQ$2=InputTable[[#This Row],[Delivery Date]],_xlfn.XLOOKUP(IQ$1,$BH$2:$BR$2,$BH45:$BR45,0),0)</f>
        <v>0</v>
      </c>
      <c r="IR45" s="26">
        <f>IF(IR$2=InputTable[[#This Row],[Delivery Date]],_xlfn.XLOOKUP(IR$1,$BH$2:$BR$2,$BH45:$BR45,0),0)</f>
        <v>0</v>
      </c>
      <c r="IT45" s="26" t="e">
        <f>IF(IT$2=InputTable[[#This Row],[Delivery Date]],_xlfn.XLOOKUP(IT$1,$BH$2:$BR$2,$BH45:$BR45,0),0)</f>
        <v>#REF!</v>
      </c>
      <c r="IU45" s="26">
        <f>IF(IU$2=InputTable[[#This Row],[Delivery Date]],_xlfn.XLOOKUP(IU$1,$BH$2:$BR$2,$BH45:$BR45,0),0)</f>
        <v>0</v>
      </c>
      <c r="IV45" s="26">
        <f>IF(IV$2=InputTable[[#This Row],[Delivery Date]],_xlfn.XLOOKUP(IV$1,$BH$2:$BR$2,$BH45:$BR45,0),0)</f>
        <v>0</v>
      </c>
      <c r="IW45" s="26">
        <f>IF(IW$2=InputTable[[#This Row],[Delivery Date]],_xlfn.XLOOKUP(IW$1,$BH$2:$BR$2,$BH45:$BR45,0),0)</f>
        <v>0</v>
      </c>
      <c r="IX45" s="26">
        <f>IF(IX$2=InputTable[[#This Row],[Delivery Date]],_xlfn.XLOOKUP(IX$1,$BH$2:$BR$2,$BH45:$BR45,0),0)</f>
        <v>0</v>
      </c>
      <c r="IY45" s="26">
        <f>IF(IY$2=InputTable[[#This Row],[Delivery Date]],_xlfn.XLOOKUP(IY$1,$BH$2:$BR$2,$BH45:$BR45,0),0)</f>
        <v>0</v>
      </c>
      <c r="IZ45" s="26">
        <f>IF(IZ$2=InputTable[[#This Row],[Delivery Date]],_xlfn.XLOOKUP(IZ$1,$BH$2:$BR$2,$BH45:$BR45,0),0)</f>
        <v>0</v>
      </c>
      <c r="JA45" s="26">
        <f>IF(JA$2=InputTable[[#This Row],[Delivery Date]],_xlfn.XLOOKUP(JA$1,$BH$2:$BR$2,$BH45:$BR45,0),0)</f>
        <v>0</v>
      </c>
      <c r="JB45" s="26">
        <f>IF(JB$2=InputTable[[#This Row],[Delivery Date]],_xlfn.XLOOKUP(JB$1,$BH$2:$BR$2,$BH45:$BR45,0),0)</f>
        <v>0</v>
      </c>
      <c r="JD45" s="26" t="e">
        <f>IF(JD$2=InputTable[[#This Row],[Delivery Date]],_xlfn.XLOOKUP(JD$1,$BH$2:$BR$2,$BH45:$BR45,0),0)</f>
        <v>#REF!</v>
      </c>
      <c r="JE45" s="26">
        <f>IF(JE$2=InputTable[[#This Row],[Delivery Date]],_xlfn.XLOOKUP(JE$1,$BH$2:$BR$2,$BH45:$BR45,0),0)</f>
        <v>0</v>
      </c>
      <c r="JF45" s="26">
        <f>IF(JF$2=InputTable[[#This Row],[Delivery Date]],_xlfn.XLOOKUP(JF$1,$BH$2:$BR$2,$BH45:$BR45,0),0)</f>
        <v>0</v>
      </c>
      <c r="JG45" s="26">
        <f>IF(JG$2=InputTable[[#This Row],[Delivery Date]],_xlfn.XLOOKUP(JG$1,$BH$2:$BR$2,$BH45:$BR45,0),0)</f>
        <v>0</v>
      </c>
      <c r="JH45" s="26">
        <f>IF(JH$2=InputTable[[#This Row],[Delivery Date]],_xlfn.XLOOKUP(JH$1,$BH$2:$BR$2,$BH45:$BR45,0),0)</f>
        <v>0</v>
      </c>
      <c r="JI45" s="26">
        <f>IF(JI$2=InputTable[[#This Row],[Delivery Date]],_xlfn.XLOOKUP(JI$1,$BH$2:$BR$2,$BH45:$BR45,0),0)</f>
        <v>0</v>
      </c>
      <c r="JJ45" s="26">
        <f>IF(JJ$2=InputTable[[#This Row],[Delivery Date]],_xlfn.XLOOKUP(JJ$1,$BH$2:$BR$2,$BH45:$BR45,0),0)</f>
        <v>0</v>
      </c>
      <c r="JK45" s="26">
        <f>IF(JK$2=InputTable[[#This Row],[Delivery Date]],_xlfn.XLOOKUP(JK$1,$BH$2:$BR$2,$BH45:$BR45,0),0)</f>
        <v>0</v>
      </c>
      <c r="JL45" s="26">
        <f>IF(JL$2=InputTable[[#This Row],[Delivery Date]],_xlfn.XLOOKUP(JL$1,$BH$2:$BR$2,$BH45:$BR45,0),0)</f>
        <v>0</v>
      </c>
      <c r="JN45" s="26" t="e">
        <f>IF(JN$2=InputTable[[#This Row],[Delivery Date]],_xlfn.XLOOKUP(JN$1,$BH$2:$BR$2,$BH45:$BR45,0),0)</f>
        <v>#REF!</v>
      </c>
      <c r="JO45" s="26">
        <f>IF(JO$2=InputTable[[#This Row],[Delivery Date]],_xlfn.XLOOKUP(JO$1,$BH$2:$BR$2,$BH45:$BR45,0),0)</f>
        <v>0</v>
      </c>
      <c r="JP45" s="26">
        <f>IF(JP$2=InputTable[[#This Row],[Delivery Date]],_xlfn.XLOOKUP(JP$1,$BH$2:$BR$2,$BH45:$BR45,0),0)</f>
        <v>0</v>
      </c>
      <c r="JQ45" s="26">
        <f>IF(JQ$2=InputTable[[#This Row],[Delivery Date]],_xlfn.XLOOKUP(JQ$1,$BH$2:$BR$2,$BH45:$BR45,0),0)</f>
        <v>0</v>
      </c>
      <c r="JR45" s="26">
        <f>IF(JR$2=InputTable[[#This Row],[Delivery Date]],_xlfn.XLOOKUP(JR$1,$BH$2:$BR$2,$BH45:$BR45,0),0)</f>
        <v>0</v>
      </c>
      <c r="JS45" s="26">
        <f>IF(JS$2=InputTable[[#This Row],[Delivery Date]],_xlfn.XLOOKUP(JS$1,$BH$2:$BR$2,$BH45:$BR45,0),0)</f>
        <v>0</v>
      </c>
      <c r="JT45" s="26">
        <f>IF(JT$2=InputTable[[#This Row],[Delivery Date]],_xlfn.XLOOKUP(JT$1,$BH$2:$BR$2,$BH45:$BR45,0),0)</f>
        <v>0</v>
      </c>
      <c r="JU45" s="26">
        <f>IF(JU$2=InputTable[[#This Row],[Delivery Date]],_xlfn.XLOOKUP(JU$1,$BH$2:$BR$2,$BH45:$BR45,0),0)</f>
        <v>0</v>
      </c>
      <c r="JV45" s="26">
        <f>IF(JV$2=InputTable[[#This Row],[Delivery Date]],_xlfn.XLOOKUP(JV$1,$BH$2:$BR$2,$BH45:$BR45,0),0)</f>
        <v>0</v>
      </c>
      <c r="JX45" s="26" t="e">
        <f>IF(JX$2=InputTable[[#This Row],[Delivery Date]],_xlfn.XLOOKUP(JX$1,$BH$2:$BR$2,$BH45:$BR45,0),0)</f>
        <v>#REF!</v>
      </c>
      <c r="JY45" s="26">
        <f>IF(JY$2=InputTable[[#This Row],[Delivery Date]],_xlfn.XLOOKUP(JY$1,$BH$2:$BR$2,$BH45:$BR45,0),0)</f>
        <v>0</v>
      </c>
      <c r="JZ45" s="26">
        <f>IF(JZ$2=InputTable[[#This Row],[Delivery Date]],_xlfn.XLOOKUP(JZ$1,$BH$2:$BR$2,$BH45:$BR45,0),0)</f>
        <v>0</v>
      </c>
      <c r="KA45" s="26">
        <f>IF(KA$2=InputTable[[#This Row],[Delivery Date]],_xlfn.XLOOKUP(KA$1,$BH$2:$BR$2,$BH45:$BR45,0),0)</f>
        <v>0</v>
      </c>
      <c r="KB45" s="26">
        <f>IF(KB$2=InputTable[[#This Row],[Delivery Date]],_xlfn.XLOOKUP(KB$1,$BH$2:$BR$2,$BH45:$BR45,0),0)</f>
        <v>0</v>
      </c>
      <c r="KC45" s="26">
        <f>IF(KC$2=InputTable[[#This Row],[Delivery Date]],_xlfn.XLOOKUP(KC$1,$BH$2:$BR$2,$BH45:$BR45,0),0)</f>
        <v>0</v>
      </c>
      <c r="KD45" s="26">
        <f>IF(KD$2=InputTable[[#This Row],[Delivery Date]],_xlfn.XLOOKUP(KD$1,$BH$2:$BR$2,$BH45:$BR45,0),0)</f>
        <v>0</v>
      </c>
      <c r="KE45" s="26">
        <f>IF(KE$2=InputTable[[#This Row],[Delivery Date]],_xlfn.XLOOKUP(KE$1,$BH$2:$BR$2,$BH45:$BR45,0),0)</f>
        <v>0</v>
      </c>
      <c r="KF45" s="26">
        <f>IF(KF$2=InputTable[[#This Row],[Delivery Date]],_xlfn.XLOOKUP(KF$1,$BH$2:$BR$2,$BH45:$BR45,0),0)</f>
        <v>0</v>
      </c>
    </row>
    <row r="46" spans="1:292" ht="39.6" hidden="1" customHeight="1" x14ac:dyDescent="0.25">
      <c r="A46" s="141" t="s">
        <v>235</v>
      </c>
      <c r="B46" s="141" t="s">
        <v>114</v>
      </c>
      <c r="C46" s="92" t="s">
        <v>57</v>
      </c>
      <c r="D46" s="125" t="s">
        <v>260</v>
      </c>
      <c r="E46" s="193" t="s">
        <v>261</v>
      </c>
      <c r="F46" s="92" t="s">
        <v>96</v>
      </c>
      <c r="G46" s="92" t="s">
        <v>97</v>
      </c>
      <c r="H46" s="99"/>
      <c r="I46" s="98">
        <v>2026</v>
      </c>
      <c r="J46" s="126"/>
      <c r="K46" s="95" t="e">
        <f>VLOOKUP((InputTable[[#This Row],[Starting Date]]&amp; " - " &amp;InputTable[[#This Row],[Delivery Date]]),'System List'!$F$40:$H$83,2,FALSE)</f>
        <v>#N/A</v>
      </c>
      <c r="L46" s="95" t="e">
        <f>VLOOKUP(InputTable[[#This Row],[Duration]],Duration,2,FALSE)</f>
        <v>#N/A</v>
      </c>
      <c r="M46" s="126"/>
      <c r="N46" s="98"/>
      <c r="O46" s="98"/>
      <c r="P46" s="98"/>
      <c r="Q46" s="98" t="s">
        <v>111</v>
      </c>
      <c r="R46" s="98" t="s">
        <v>111</v>
      </c>
      <c r="S46" s="92"/>
      <c r="T46" s="95" cm="1">
        <f t="array" ref="T4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</v>
      </c>
      <c r="U46" s="138"/>
      <c r="V46" s="98"/>
      <c r="W46" s="98" t="s">
        <v>139</v>
      </c>
      <c r="X46" s="98"/>
      <c r="Y46" s="98"/>
      <c r="Z46" s="98"/>
      <c r="AA46" s="98"/>
      <c r="AB46" s="100"/>
      <c r="AC46" s="98"/>
      <c r="AD46" s="92">
        <f>COUNTA(InputTable[[#This Row],[CORPHRFIN]:[SALES]])</f>
        <v>1</v>
      </c>
      <c r="AE46" s="88" cm="1">
        <f t="array" ref="AE46">SUM(
_xlfn.XLOOKUP(InputTable[[#This Row],[CORPHRFIN]:[SALES]],'System List'!$F$4:$F$7,'System List'!$H$4:$H$7,0))</f>
        <v>8</v>
      </c>
      <c r="AF46" s="140"/>
      <c r="AG46" s="101" t="s">
        <v>139</v>
      </c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88" cm="1">
        <f t="array" ref="AR46">SUM(
_xlfn.XLOOKUP(InputTable[[#This Row],[Impact on - CIAL]:[Impact on - STRAT]],'System List'!$F$4:$F$7,'System List'!$H$4:$H$7,0))</f>
        <v>8</v>
      </c>
      <c r="AS46" s="88" t="e">
        <f>VLOOKUP(InputTable[[#This Row],[Duration]],Duration,2,FALSE)+InputTable[[#This Row],[Resource Score]]</f>
        <v>#N/A</v>
      </c>
      <c r="AT4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6" s="24" t="e">
        <f>InputTable[[#This Row],[Value Score]]/InputTable[[#This Row],[EFFORT SCORE]]*100</f>
        <v>#N/A</v>
      </c>
      <c r="AV46" s="25" t="str">
        <f>InputTable[[#This Row],[IS Portfolio Ref ID]]</f>
        <v>ISPRJ-56</v>
      </c>
      <c r="AW46" s="25" t="s">
        <v>262</v>
      </c>
      <c r="AX46" s="208" t="s">
        <v>154</v>
      </c>
      <c r="AY46" s="25" t="s">
        <v>263</v>
      </c>
      <c r="AZ46" s="209">
        <v>136368</v>
      </c>
      <c r="BA46" s="209">
        <v>0</v>
      </c>
      <c r="BB46" s="209"/>
      <c r="BC46" s="189">
        <f>SUM(InputTable[[#This Row],[Opex IS Budget (full project)]]+InputTable[[#This Row],[Capex IS Budget (full project)]])</f>
        <v>136368</v>
      </c>
      <c r="BD46" s="188">
        <v>1</v>
      </c>
      <c r="BE46" s="188"/>
      <c r="BF46" s="70"/>
      <c r="BH46" s="2">
        <f>IFERROR(VLOOKUP(InputTable[[#This Row],[Impact on - CIAL]],'System List'!$F$4:$H$7,3,FALSE),0)</f>
        <v>8</v>
      </c>
      <c r="BI46" s="2">
        <f>IFERROR(VLOOKUP(InputTable[[#This Row],[Impact on - COM]],'System List'!$F$4:$H$7,3,FALSE),0)</f>
        <v>0</v>
      </c>
      <c r="BJ46" s="2">
        <f>IFERROR(VLOOKUP(InputTable[[#This Row],[Impact on - FIN]],'System List'!$F$4:$H$7,3,FALSE),0)</f>
        <v>0</v>
      </c>
      <c r="BK46" s="2">
        <f>IFERROR(VLOOKUP(InputTable[[#This Row],[Impact on - GEN SEC]],'System List'!$F$4:$H$7,3,FALSE),0)</f>
        <v>0</v>
      </c>
      <c r="BL46" s="2">
        <f>IFERROR(VLOOKUP(InputTable[[#This Row],[Impact on - HR]],'System List'!$F$4:$H$7,3,FALSE),0)</f>
        <v>0</v>
      </c>
      <c r="BM46" s="2">
        <f>IFERROR(VLOOKUP(InputTable[[#This Row],[Impact on - IS]],'System List'!$F$4:$H$7,3,FALSE),0)</f>
        <v>0</v>
      </c>
      <c r="BN46" s="2">
        <f>IFERROR(VLOOKUP(InputTable[[#This Row],[Impact on - OPS]],'System List'!$F$4:$H$7,3,FALSE),0)</f>
        <v>0</v>
      </c>
      <c r="BO46" s="2">
        <f>IFERROR(VLOOKUP(InputTable[[#This Row],[Impact on - ROLL STOCK]],'System List'!$F$4:$H$7,3,FALSE),0)</f>
        <v>0</v>
      </c>
      <c r="BP46" s="2">
        <f>IFERROR(VLOOKUP(InputTable[[#This Row],[Impact on - SAFETY]],'System List'!$F$4:$H$7,3,FALSE),0)</f>
        <v>0</v>
      </c>
      <c r="BQ46" s="2">
        <f>IFERROR(VLOOKUP(InputTable[[#This Row],[Impact on - STATION]],'System List'!$F$4:$H$7,3,FALSE),0)</f>
        <v>0</v>
      </c>
      <c r="BR46" s="2">
        <f>IFERROR(VLOOKUP(InputTable[[#This Row],[Impact on - STRAT]],'System List'!$F$4:$H$7,3,FALSE),0)</f>
        <v>0</v>
      </c>
      <c r="BT46" s="2">
        <f>IFERROR(VLOOKUP(InputTable[[#This Row],[CORPHRFIN]],'System List'!$F$4:$H$7,3,FALSE),0)</f>
        <v>0</v>
      </c>
      <c r="BU46" s="2">
        <f>IFERROR(VLOOKUP(InputTable[[#This Row],[CUST]],'System List'!$F$4:$H$7,3,FALSE),0)</f>
        <v>8</v>
      </c>
      <c r="BV46" s="2">
        <f>IFERROR(VLOOKUP(InputTable[[#This Row],[CYBER]],'System List'!$F$4:$H$7,3,FALSE),0)</f>
        <v>0</v>
      </c>
      <c r="BW46" s="2">
        <f>IFERROR(VLOOKUP(InputTable[[#This Row],[DATA]],'System List'!$F$4:$H$7,3,FALSE),0)</f>
        <v>0</v>
      </c>
      <c r="BX46" s="2">
        <f>IFERROR(VLOOKUP(InputTable[[#This Row],[INFRA]],'System List'!$F$4:$H$7,3,FALSE),0)</f>
        <v>0</v>
      </c>
      <c r="BY46" s="2">
        <f>IFERROR(VLOOKUP(InputTable[[#This Row],[OPERATIONS]],'System List'!$F$4:$H$7,3,FALSE),0)</f>
        <v>0</v>
      </c>
      <c r="BZ46" s="2">
        <f>IFERROR(VLOOKUP(InputTable[[#This Row],[PMO]],'System List'!$F$4:$H$7,3,FALSE),0)</f>
        <v>0</v>
      </c>
      <c r="CA46" s="2">
        <f>IFERROR(VLOOKUP(InputTable[[#This Row],[SALES]],'System List'!$F$4:$H$7,3,FALSE),0)</f>
        <v>0</v>
      </c>
      <c r="CC46" s="2" cm="1">
        <f t="array" ref="CC4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6" s="2" cm="1">
        <f t="array" ref="CD4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6" s="2" cm="1">
        <f t="array" ref="CE4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6" s="2" cm="1">
        <f t="array" ref="CF4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6" s="2" cm="1">
        <f t="array" ref="CG4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6" s="2" cm="1">
        <f t="array" ref="CH4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6" s="2" cm="1">
        <f t="array" ref="CI4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6" s="2" cm="1">
        <f t="array" ref="CJ4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6" s="2" cm="1">
        <f t="array" ref="CK4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4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4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4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4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4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6" s="26">
        <f t="shared" ref="CX46:DF47" si="223">CN46*_xlfn.XLOOKUP(CX$1,$BT$2:$CA$2,$BT46:$CA46,0)</f>
        <v>0</v>
      </c>
      <c r="CY46" s="26">
        <f t="shared" si="223"/>
        <v>0</v>
      </c>
      <c r="CZ46" s="26">
        <f t="shared" si="223"/>
        <v>0</v>
      </c>
      <c r="DA46" s="26">
        <f t="shared" si="223"/>
        <v>0</v>
      </c>
      <c r="DB46" s="26">
        <f t="shared" si="223"/>
        <v>0</v>
      </c>
      <c r="DC46" s="26">
        <f t="shared" si="223"/>
        <v>0</v>
      </c>
      <c r="DD46" s="26">
        <f t="shared" si="223"/>
        <v>0</v>
      </c>
      <c r="DE46" s="26">
        <f t="shared" si="223"/>
        <v>0</v>
      </c>
      <c r="DF46" s="26">
        <f t="shared" si="223"/>
        <v>0</v>
      </c>
      <c r="DH46" s="26">
        <f>$CN46*_xlfn.XLOOKUP(DH$1,$BT$2:$CA$2,$BT46:$CA46,0)</f>
        <v>0</v>
      </c>
      <c r="DI46" s="26">
        <f>$CO46*_xlfn.XLOOKUP(DI$1,$BT$2:$CA$2,$BT46:$CA46,0)</f>
        <v>0</v>
      </c>
      <c r="DJ46" s="26">
        <f>$CP46*_xlfn.XLOOKUP(DJ$1,$BT$2:$CA$2,$BT46:$CA46,0)</f>
        <v>8</v>
      </c>
      <c r="DK46" s="26">
        <f>$CQ46*_xlfn.XLOOKUP(DK$1,$BT$2:$CA$2,$BT46:$CA46,0)</f>
        <v>8</v>
      </c>
      <c r="DL46" s="26">
        <f>$CR46*_xlfn.XLOOKUP(DL$1,$BT$2:$CA$2,$BT46:$CA46,0)</f>
        <v>8</v>
      </c>
      <c r="DM46" s="26">
        <f>$CS46*_xlfn.XLOOKUP(DM$1,$BT$2:$CA$2,$BT46:$CA46,0)</f>
        <v>8</v>
      </c>
      <c r="DN46" s="26">
        <f>$CT46*_xlfn.XLOOKUP(DN$1,$BT$2:$CA$2,$BT46:$CA46,0)</f>
        <v>0</v>
      </c>
      <c r="DO46" s="26">
        <f>$CU46*_xlfn.XLOOKUP(DO$1,$BT$2:$CA$2,$BT46:$CA46,0)</f>
        <v>0</v>
      </c>
      <c r="DP46" s="26">
        <f>$CV46*_xlfn.XLOOKUP(DP$1,$BT$2:$CA$2,$BT46:$CA46,0)</f>
        <v>0</v>
      </c>
      <c r="DR46" s="26">
        <f>$CN46*_xlfn.XLOOKUP(DR$1,$BT$2:$CA$2,$BT46:$CA46,0)</f>
        <v>0</v>
      </c>
      <c r="DS46" s="26">
        <f>$CO46*_xlfn.XLOOKUP(DS$1,$BT$2:$CA$2,$BT46:$CA46,0)</f>
        <v>0</v>
      </c>
      <c r="DT46" s="26">
        <f>$CP46*_xlfn.XLOOKUP(DT$1,$BT$2:$CA$2,$BT46:$CA46,0)</f>
        <v>0</v>
      </c>
      <c r="DU46" s="26">
        <f>$CQ46*_xlfn.XLOOKUP(DU$1,$BT$2:$CA$2,$BT46:$CA46,0)</f>
        <v>0</v>
      </c>
      <c r="DV46" s="26">
        <f>$CR46*_xlfn.XLOOKUP(DV$1,$BT$2:$CA$2,$BT46:$CA46,0)</f>
        <v>0</v>
      </c>
      <c r="DW46" s="26">
        <f>$CS46*_xlfn.XLOOKUP(DW$1,$BT$2:$CA$2,$BT46:$CA46,0)</f>
        <v>0</v>
      </c>
      <c r="DX46" s="26">
        <f>$CT46*_xlfn.XLOOKUP(DX$1,$BT$2:$CA$2,$BT46:$CA46,0)</f>
        <v>0</v>
      </c>
      <c r="DY46" s="26">
        <f>$CU46*_xlfn.XLOOKUP(DY$1,$BT$2:$CA$2,$BT46:$CA46,0)</f>
        <v>0</v>
      </c>
      <c r="DZ46" s="26">
        <f>$CV46*_xlfn.XLOOKUP(DZ$1,$BT$2:$CA$2,$BT46:$CA46,0)</f>
        <v>0</v>
      </c>
      <c r="EB46" s="26">
        <f>$CN46*_xlfn.XLOOKUP(EB$1,$BT$2:$CA$2,$BT46:$CA46,0)</f>
        <v>0</v>
      </c>
      <c r="EC46" s="26">
        <f>$CO46*_xlfn.XLOOKUP(EC$1,$BT$2:$CA$2,$BT46:$CA46,0)</f>
        <v>0</v>
      </c>
      <c r="ED46" s="26">
        <f>$CP46*_xlfn.XLOOKUP(ED$1,$BT$2:$CA$2,$BT46:$CA46,0)</f>
        <v>0</v>
      </c>
      <c r="EE46" s="26">
        <f>$CQ46*_xlfn.XLOOKUP(EE$1,$BT$2:$CA$2,$BT46:$CA46,0)</f>
        <v>0</v>
      </c>
      <c r="EF46" s="26">
        <f>$CR46*_xlfn.XLOOKUP(EF$1,$BT$2:$CA$2,$BT46:$CA46,0)</f>
        <v>0</v>
      </c>
      <c r="EG46" s="26">
        <f>$CS46*_xlfn.XLOOKUP(EG$1,$BT$2:$CA$2,$BT46:$CA46,0)</f>
        <v>0</v>
      </c>
      <c r="EH46" s="26">
        <f>$CT46*_xlfn.XLOOKUP(EH$1,$BT$2:$CA$2,$BT46:$CA46,0)</f>
        <v>0</v>
      </c>
      <c r="EI46" s="26">
        <f>$CU46*_xlfn.XLOOKUP(EI$1,$BT$2:$CA$2,$BT46:$CA46,0)</f>
        <v>0</v>
      </c>
      <c r="EJ46" s="26">
        <f>$CV46*_xlfn.XLOOKUP(EJ$1,$BT$2:$CA$2,$BT46:$CA46,0)</f>
        <v>0</v>
      </c>
      <c r="EL46" s="26">
        <f>$CN46*_xlfn.XLOOKUP(EL$1,$BT$2:$CA$2,$BT46:$CA46,0)</f>
        <v>0</v>
      </c>
      <c r="EM46" s="26">
        <f>$CO46*_xlfn.XLOOKUP(EM$1,$BT$2:$CA$2,$BT46:$CA46,0)</f>
        <v>0</v>
      </c>
      <c r="EN46" s="26">
        <f>$CP46*_xlfn.XLOOKUP(EN$1,$BT$2:$CA$2,$BT46:$CA46,0)</f>
        <v>0</v>
      </c>
      <c r="EO46" s="26">
        <f>$CQ46*_xlfn.XLOOKUP(EO$1,$BT$2:$CA$2,$BT46:$CA46,0)</f>
        <v>0</v>
      </c>
      <c r="EP46" s="26">
        <f>$CR46*_xlfn.XLOOKUP(EP$1,$BT$2:$CA$2,$BT46:$CA46,0)</f>
        <v>0</v>
      </c>
      <c r="EQ46" s="26">
        <f>$CS46*_xlfn.XLOOKUP(EQ$1,$BT$2:$CA$2,$BT46:$CA46,0)</f>
        <v>0</v>
      </c>
      <c r="ER46" s="26">
        <f>$CT46*_xlfn.XLOOKUP(ER$1,$BT$2:$CA$2,$BT46:$CA46,0)</f>
        <v>0</v>
      </c>
      <c r="ES46" s="26">
        <f>$CU46*_xlfn.XLOOKUP(ES$1,$BT$2:$CA$2,$BT46:$CA46,0)</f>
        <v>0</v>
      </c>
      <c r="ET46" s="26">
        <f>$CV46*_xlfn.XLOOKUP(ET$1,$BT$2:$CA$2,$BT46:$CA46,0)</f>
        <v>0</v>
      </c>
      <c r="EV46" s="26">
        <f>$CN46*_xlfn.XLOOKUP(EV$1,$BT$2:$CA$2,$BT46:$CA46,0)</f>
        <v>0</v>
      </c>
      <c r="EW46" s="26">
        <f>$CO46*_xlfn.XLOOKUP(EW$1,$BT$2:$CA$2,$BT46:$CA46,0)</f>
        <v>0</v>
      </c>
      <c r="EX46" s="26">
        <f>$CP46*_xlfn.XLOOKUP(EX$1,$BT$2:$CA$2,$BT46:$CA46,0)</f>
        <v>0</v>
      </c>
      <c r="EY46" s="26">
        <f>$CQ46*_xlfn.XLOOKUP(EY$1,$BT$2:$CA$2,$BT46:$CA46,0)</f>
        <v>0</v>
      </c>
      <c r="EZ46" s="26">
        <f>$CR46*_xlfn.XLOOKUP(EZ$1,$BT$2:$CA$2,$BT46:$CA46,0)</f>
        <v>0</v>
      </c>
      <c r="FA46" s="26">
        <f>$CS46*_xlfn.XLOOKUP(FA$1,$BT$2:$CA$2,$BT46:$CA46,0)</f>
        <v>0</v>
      </c>
      <c r="FB46" s="26">
        <f>$CT46*_xlfn.XLOOKUP(FB$1,$BT$2:$CA$2,$BT46:$CA46,0)</f>
        <v>0</v>
      </c>
      <c r="FC46" s="26">
        <f>$CU46*_xlfn.XLOOKUP(FC$1,$BT$2:$CA$2,$BT46:$CA46,0)</f>
        <v>0</v>
      </c>
      <c r="FD46" s="26">
        <f>$CV46*_xlfn.XLOOKUP(FD$1,$BT$2:$CA$2,$BT46:$CA46,0)</f>
        <v>0</v>
      </c>
      <c r="FF46" s="26">
        <f>$CN46*_xlfn.XLOOKUP(FF$1,$BT$2:$CA$2,$BT46:$CA46,0)</f>
        <v>0</v>
      </c>
      <c r="FG46" s="26">
        <f>$CO46*_xlfn.XLOOKUP(FG$1,$BT$2:$CA$2,$BT46:$CA46,0)</f>
        <v>0</v>
      </c>
      <c r="FH46" s="26">
        <f>$CP46*_xlfn.XLOOKUP(FH$1,$BT$2:$CA$2,$BT46:$CA46,0)</f>
        <v>0</v>
      </c>
      <c r="FI46" s="26">
        <f>$CQ46*_xlfn.XLOOKUP(FI$1,$BT$2:$CA$2,$BT46:$CA46,0)</f>
        <v>0</v>
      </c>
      <c r="FJ46" s="26">
        <f>$CR46*_xlfn.XLOOKUP(FJ$1,$BT$2:$CA$2,$BT46:$CA46,0)</f>
        <v>0</v>
      </c>
      <c r="FK46" s="26">
        <f>$CS46*_xlfn.XLOOKUP(FK$1,$BT$2:$CA$2,$BT46:$CA46,0)</f>
        <v>0</v>
      </c>
      <c r="FL46" s="26">
        <f>$CT46*_xlfn.XLOOKUP(FL$1,$BT$2:$CA$2,$BT46:$CA46,0)</f>
        <v>0</v>
      </c>
      <c r="FM46" s="26">
        <f>$CU46*_xlfn.XLOOKUP(FM$1,$BT$2:$CA$2,$BT46:$CA46,0)</f>
        <v>0</v>
      </c>
      <c r="FN46" s="26">
        <f>$CV46*_xlfn.XLOOKUP(FN$1,$BT$2:$CA$2,$BT46:$CA46,0)</f>
        <v>0</v>
      </c>
      <c r="FP46" s="26" t="e">
        <f>$CN46*_xlfn.XLOOKUP(FP$1,$BT$2:$CA$2,$BT46:$CA46,0)</f>
        <v>#REF!</v>
      </c>
      <c r="FQ46" s="26" t="e">
        <f>$CO46*_xlfn.XLOOKUP(FQ$1,$BT$2:$CA$2,$BT46:$CA46,0)</f>
        <v>#REF!</v>
      </c>
      <c r="FR46" s="26" t="e">
        <f>$CP46*_xlfn.XLOOKUP(FR$1,$BT$2:$CA$2,$BT46:$CA46,0)</f>
        <v>#REF!</v>
      </c>
      <c r="FS46" s="26" t="e">
        <f>$CQ46*_xlfn.XLOOKUP(FS$1,$BT$2:$CA$2,$BT46:$CA46,0)</f>
        <v>#REF!</v>
      </c>
      <c r="FT46" s="26" t="e">
        <f>$CR46*_xlfn.XLOOKUP(FT$1,$BT$2:$CA$2,$BT46:$CA46,0)</f>
        <v>#REF!</v>
      </c>
      <c r="FU46" s="26" t="e">
        <f>$CS46*_xlfn.XLOOKUP(FU$1,$BT$2:$CA$2,$BT46:$CA46,0)</f>
        <v>#REF!</v>
      </c>
      <c r="FV46" s="26" t="e">
        <f>$CT46*_xlfn.XLOOKUP(FV$1,$BT$2:$CA$2,$BT46:$CA46,0)</f>
        <v>#REF!</v>
      </c>
      <c r="FW46" s="26" t="e">
        <f>$CU46*_xlfn.XLOOKUP(FW$1,$BT$2:$CA$2,$BT46:$CA46,0)</f>
        <v>#REF!</v>
      </c>
      <c r="FX46" s="26" t="e">
        <f>$CV46*_xlfn.XLOOKUP(FX$1,$BT$2:$CA$2,$BT46:$CA46,0)</f>
        <v>#REF!</v>
      </c>
      <c r="GB46" s="26" t="e">
        <f>IF(GB$2=InputTable[[#This Row],[Delivery Date]],_xlfn.XLOOKUP(GB$1,$BH$2:$BR$2,$BH46:$BR46,0),0)</f>
        <v>#REF!</v>
      </c>
      <c r="GC46" s="26">
        <f>IF(GC$2=InputTable[[#This Row],[Delivery Date]],_xlfn.XLOOKUP(GC$1,$BH$2:$BR$2,$BH46:$BR46,0),0)</f>
        <v>0</v>
      </c>
      <c r="GD46" s="26">
        <f>IF(GD$2=InputTable[[#This Row],[Delivery Date]],_xlfn.XLOOKUP(GD$1,$BH$2:$BR$2,$BH46:$BR46,0),0)</f>
        <v>0</v>
      </c>
      <c r="GE46" s="26">
        <f>IF(GE$2=InputTable[[#This Row],[Delivery Date]],_xlfn.XLOOKUP(GE$1,$BH$2:$BR$2,$BH46:$BR46,0),0)</f>
        <v>0</v>
      </c>
      <c r="GF46" s="26">
        <f>IF(GF$2=InputTable[[#This Row],[Delivery Date]],_xlfn.XLOOKUP(GF$1,$BH$2:$BR$2,$BH46:$BR46,0),0)</f>
        <v>0</v>
      </c>
      <c r="GG46" s="26">
        <f>IF(GG$2=InputTable[[#This Row],[Delivery Date]],_xlfn.XLOOKUP(GG$1,$BH$2:$BR$2,$BH46:$BR46,0),0)</f>
        <v>0</v>
      </c>
      <c r="GH46" s="26">
        <f>IF(GH$2=InputTable[[#This Row],[Delivery Date]],_xlfn.XLOOKUP(GH$1,$BH$2:$BR$2,$BH46:$BR46,0),0)</f>
        <v>0</v>
      </c>
      <c r="GI46" s="26">
        <f>IF(GI$2=InputTable[[#This Row],[Delivery Date]],_xlfn.XLOOKUP(GI$1,$BH$2:$BR$2,$BH46:$BR46,0),0)</f>
        <v>0</v>
      </c>
      <c r="GJ46" s="26">
        <f>IF(GJ$2=InputTable[[#This Row],[Delivery Date]],_xlfn.XLOOKUP(GJ$1,$BH$2:$BR$2,$BH46:$BR46,0),0)</f>
        <v>0</v>
      </c>
      <c r="GL46" s="26" t="e">
        <f>IF(GL$2=InputTable[[#This Row],[Delivery Date]],_xlfn.XLOOKUP(GL$1,$BH$2:$BR$2,$BH46:$BR46,0),0)</f>
        <v>#REF!</v>
      </c>
      <c r="GM46" s="26">
        <f>IF(GM$2=InputTable[[#This Row],[Delivery Date]],_xlfn.XLOOKUP(GM$1,$BH$2:$BR$2,$BH46:$BR46,0),0)</f>
        <v>0</v>
      </c>
      <c r="GN46" s="26">
        <f>IF(GN$2=InputTable[[#This Row],[Delivery Date]],_xlfn.XLOOKUP(GN$1,$BH$2:$BR$2,$BH46:$BR46,0),0)</f>
        <v>0</v>
      </c>
      <c r="GO46" s="26">
        <f>IF(GO$2=InputTable[[#This Row],[Delivery Date]],_xlfn.XLOOKUP(GO$1,$BH$2:$BR$2,$BH46:$BR46,0),0)</f>
        <v>0</v>
      </c>
      <c r="GP46" s="26">
        <f>IF(GP$2=InputTable[[#This Row],[Delivery Date]],_xlfn.XLOOKUP(GP$1,$BH$2:$BR$2,$BH46:$BR46,0),0)</f>
        <v>0</v>
      </c>
      <c r="GQ46" s="26">
        <f>IF(GQ$2=InputTable[[#This Row],[Delivery Date]],_xlfn.XLOOKUP(GQ$1,$BH$2:$BR$2,$BH46:$BR46,0),0)</f>
        <v>0</v>
      </c>
      <c r="GR46" s="26">
        <f>IF(GR$2=InputTable[[#This Row],[Delivery Date]],_xlfn.XLOOKUP(GR$1,$BH$2:$BR$2,$BH46:$BR46,0),0)</f>
        <v>0</v>
      </c>
      <c r="GS46" s="26">
        <f>IF(GS$2=InputTable[[#This Row],[Delivery Date]],_xlfn.XLOOKUP(GS$1,$BH$2:$BR$2,$BH46:$BR46,0),0)</f>
        <v>0</v>
      </c>
      <c r="GT46" s="26">
        <f>IF(GT$2=InputTable[[#This Row],[Delivery Date]],_xlfn.XLOOKUP(GT$1,$BH$2:$BR$2,$BH46:$BR46,0),0)</f>
        <v>0</v>
      </c>
      <c r="GV46" s="26" t="e">
        <f>IF(GV$2=InputTable[[#This Row],[Delivery Date]],_xlfn.XLOOKUP(GV$1,$BH$2:$BR$2,$BH46:$BR46,0),0)</f>
        <v>#REF!</v>
      </c>
      <c r="GW46" s="26">
        <f>IF(GW$2=InputTable[[#This Row],[Delivery Date]],_xlfn.XLOOKUP(GW$1,$BH$2:$BR$2,$BH46:$BR46,0),0)</f>
        <v>0</v>
      </c>
      <c r="GX46" s="26">
        <f>IF(GX$2=InputTable[[#This Row],[Delivery Date]],_xlfn.XLOOKUP(GX$1,$BH$2:$BR$2,$BH46:$BR46,0),0)</f>
        <v>0</v>
      </c>
      <c r="GY46" s="26">
        <f>IF(GY$2=InputTable[[#This Row],[Delivery Date]],_xlfn.XLOOKUP(GY$1,$BH$2:$BR$2,$BH46:$BR46,0),0)</f>
        <v>0</v>
      </c>
      <c r="GZ46" s="26">
        <f>IF(GZ$2=InputTable[[#This Row],[Delivery Date]],_xlfn.XLOOKUP(GZ$1,$BH$2:$BR$2,$BH46:$BR46,0),0)</f>
        <v>0</v>
      </c>
      <c r="HA46" s="26">
        <f>IF(HA$2=InputTable[[#This Row],[Delivery Date]],_xlfn.XLOOKUP(HA$1,$BH$2:$BR$2,$BH46:$BR46,0),0)</f>
        <v>0</v>
      </c>
      <c r="HB46" s="26">
        <f>IF(HB$2=InputTable[[#This Row],[Delivery Date]],_xlfn.XLOOKUP(HB$1,$BH$2:$BR$2,$BH46:$BR46,0),0)</f>
        <v>0</v>
      </c>
      <c r="HC46" s="26">
        <f>IF(HC$2=InputTable[[#This Row],[Delivery Date]],_xlfn.XLOOKUP(HC$1,$BH$2:$BR$2,$BH46:$BR46,0),0)</f>
        <v>0</v>
      </c>
      <c r="HD46" s="26">
        <f>IF(HD$2=InputTable[[#This Row],[Delivery Date]],_xlfn.XLOOKUP(HD$1,$BH$2:$BR$2,$BH46:$BR46,0),0)</f>
        <v>0</v>
      </c>
      <c r="HF46" s="26" t="e">
        <f>IF(HF$2=InputTable[[#This Row],[Delivery Date]],_xlfn.XLOOKUP(HF$1,$BH$2:$BR$2,$BH46:$BR46,0),0)</f>
        <v>#REF!</v>
      </c>
      <c r="HG46" s="26">
        <f>IF(HG$2=InputTable[[#This Row],[Delivery Date]],_xlfn.XLOOKUP(HG$1,$BH$2:$BR$2,$BH46:$BR46,0),0)</f>
        <v>0</v>
      </c>
      <c r="HH46" s="26">
        <f>IF(HH$2=InputTable[[#This Row],[Delivery Date]],_xlfn.XLOOKUP(HH$1,$BH$2:$BR$2,$BH46:$BR46,0),0)</f>
        <v>0</v>
      </c>
      <c r="HI46" s="26">
        <f>IF(HI$2=InputTable[[#This Row],[Delivery Date]],_xlfn.XLOOKUP(HI$1,$BH$2:$BR$2,$BH46:$BR46,0),0)</f>
        <v>0</v>
      </c>
      <c r="HJ46" s="26">
        <f>IF(HJ$2=InputTable[[#This Row],[Delivery Date]],_xlfn.XLOOKUP(HJ$1,$BH$2:$BR$2,$BH46:$BR46,0),0)</f>
        <v>0</v>
      </c>
      <c r="HK46" s="26">
        <f>IF(HK$2=InputTable[[#This Row],[Delivery Date]],_xlfn.XLOOKUP(HK$1,$BH$2:$BR$2,$BH46:$BR46,0),0)</f>
        <v>0</v>
      </c>
      <c r="HL46" s="26">
        <f>IF(HL$2=InputTable[[#This Row],[Delivery Date]],_xlfn.XLOOKUP(HL$1,$BH$2:$BR$2,$BH46:$BR46,0),0)</f>
        <v>0</v>
      </c>
      <c r="HM46" s="26">
        <f>IF(HM$2=InputTable[[#This Row],[Delivery Date]],_xlfn.XLOOKUP(HM$1,$BH$2:$BR$2,$BH46:$BR46,0),0)</f>
        <v>0</v>
      </c>
      <c r="HN46" s="26">
        <f>IF(HN$2=InputTable[[#This Row],[Delivery Date]],_xlfn.XLOOKUP(HN$1,$BH$2:$BR$2,$BH46:$BR46,0),0)</f>
        <v>0</v>
      </c>
      <c r="HP46" s="26" t="e">
        <f>IF(HP$2=InputTable[[#This Row],[Delivery Date]],_xlfn.XLOOKUP(HP$1,$BH$2:$BR$2,$BH46:$BR46,0),0)</f>
        <v>#REF!</v>
      </c>
      <c r="HQ46" s="26">
        <f>IF(HQ$2=InputTable[[#This Row],[Delivery Date]],_xlfn.XLOOKUP(HQ$1,$BH$2:$BR$2,$BH46:$BR46,0),0)</f>
        <v>0</v>
      </c>
      <c r="HR46" s="26">
        <f>IF(HR$2=InputTable[[#This Row],[Delivery Date]],_xlfn.XLOOKUP(HR$1,$BH$2:$BR$2,$BH46:$BR46,0),0)</f>
        <v>0</v>
      </c>
      <c r="HS46" s="26">
        <f>IF(HS$2=InputTable[[#This Row],[Delivery Date]],_xlfn.XLOOKUP(HS$1,$BH$2:$BR$2,$BH46:$BR46,0),0)</f>
        <v>0</v>
      </c>
      <c r="HT46" s="26">
        <f>IF(HT$2=InputTable[[#This Row],[Delivery Date]],_xlfn.XLOOKUP(HT$1,$BH$2:$BR$2,$BH46:$BR46,0),0)</f>
        <v>0</v>
      </c>
      <c r="HU46" s="26">
        <f>IF(HU$2=InputTable[[#This Row],[Delivery Date]],_xlfn.XLOOKUP(HU$1,$BH$2:$BR$2,$BH46:$BR46,0),0)</f>
        <v>0</v>
      </c>
      <c r="HV46" s="26">
        <f>IF(HV$2=InputTable[[#This Row],[Delivery Date]],_xlfn.XLOOKUP(HV$1,$BH$2:$BR$2,$BH46:$BR46,0),0)</f>
        <v>0</v>
      </c>
      <c r="HW46" s="26">
        <f>IF(HW$2=InputTable[[#This Row],[Delivery Date]],_xlfn.XLOOKUP(HW$1,$BH$2:$BR$2,$BH46:$BR46,0),0)</f>
        <v>0</v>
      </c>
      <c r="HX46" s="26">
        <f>IF(HX$2=InputTable[[#This Row],[Delivery Date]],_xlfn.XLOOKUP(HX$1,$BH$2:$BR$2,$BH46:$BR46,0),0)</f>
        <v>0</v>
      </c>
      <c r="HZ46" s="26" t="e">
        <f>IF(HZ$2=InputTable[[#This Row],[Delivery Date]],_xlfn.XLOOKUP(HZ$1,$BH$2:$BR$2,$BH46:$BR46,0),0)</f>
        <v>#REF!</v>
      </c>
      <c r="IA46" s="26">
        <f>IF(IA$2=InputTable[[#This Row],[Delivery Date]],_xlfn.XLOOKUP(IA$1,$BH$2:$BR$2,$BH46:$BR46,0),0)</f>
        <v>0</v>
      </c>
      <c r="IB46" s="26">
        <f>IF(IB$2=InputTable[[#This Row],[Delivery Date]],_xlfn.XLOOKUP(IB$1,$BH$2:$BR$2,$BH46:$BR46,0),0)</f>
        <v>0</v>
      </c>
      <c r="IC46" s="26">
        <f>IF(IC$2=InputTable[[#This Row],[Delivery Date]],_xlfn.XLOOKUP(IC$1,$BH$2:$BR$2,$BH46:$BR46,0),0)</f>
        <v>0</v>
      </c>
      <c r="ID46" s="26">
        <f>IF(ID$2=InputTable[[#This Row],[Delivery Date]],_xlfn.XLOOKUP(ID$1,$BH$2:$BR$2,$BH46:$BR46,0),0)</f>
        <v>0</v>
      </c>
      <c r="IE46" s="26">
        <f>IF(IE$2=InputTable[[#This Row],[Delivery Date]],_xlfn.XLOOKUP(IE$1,$BH$2:$BR$2,$BH46:$BR46,0),0)</f>
        <v>0</v>
      </c>
      <c r="IF46" s="26">
        <f>IF(IF$2=InputTable[[#This Row],[Delivery Date]],_xlfn.XLOOKUP(IF$1,$BH$2:$BR$2,$BH46:$BR46,0),0)</f>
        <v>0</v>
      </c>
      <c r="IG46" s="26">
        <f>IF(IG$2=InputTable[[#This Row],[Delivery Date]],_xlfn.XLOOKUP(IG$1,$BH$2:$BR$2,$BH46:$BR46,0),0)</f>
        <v>0</v>
      </c>
      <c r="IH46" s="26">
        <f>IF(IH$2=InputTable[[#This Row],[Delivery Date]],_xlfn.XLOOKUP(IH$1,$BH$2:$BR$2,$BH46:$BR46,0),0)</f>
        <v>0</v>
      </c>
      <c r="IJ46" s="26" t="e">
        <f>IF(IJ$2=InputTable[[#This Row],[Delivery Date]],_xlfn.XLOOKUP(IJ$1,$BH$2:$BR$2,$BH46:$BR46,0),0)</f>
        <v>#REF!</v>
      </c>
      <c r="IK46" s="26">
        <f>IF(IK$2=InputTable[[#This Row],[Delivery Date]],_xlfn.XLOOKUP(IK$1,$BH$2:$BR$2,$BH46:$BR46,0),0)</f>
        <v>0</v>
      </c>
      <c r="IL46" s="26">
        <f>IF(IL$2=InputTable[[#This Row],[Delivery Date]],_xlfn.XLOOKUP(IL$1,$BH$2:$BR$2,$BH46:$BR46,0),0)</f>
        <v>0</v>
      </c>
      <c r="IM46" s="26">
        <f>IF(IM$2=InputTable[[#This Row],[Delivery Date]],_xlfn.XLOOKUP(IM$1,$BH$2:$BR$2,$BH46:$BR46,0),0)</f>
        <v>0</v>
      </c>
      <c r="IN46" s="26">
        <f>IF(IN$2=InputTable[[#This Row],[Delivery Date]],_xlfn.XLOOKUP(IN$1,$BH$2:$BR$2,$BH46:$BR46,0),0)</f>
        <v>0</v>
      </c>
      <c r="IO46" s="26">
        <f>IF(IO$2=InputTable[[#This Row],[Delivery Date]],_xlfn.XLOOKUP(IO$1,$BH$2:$BR$2,$BH46:$BR46,0),0)</f>
        <v>0</v>
      </c>
      <c r="IP46" s="26">
        <f>IF(IP$2=InputTable[[#This Row],[Delivery Date]],_xlfn.XLOOKUP(IP$1,$BH$2:$BR$2,$BH46:$BR46,0),0)</f>
        <v>0</v>
      </c>
      <c r="IQ46" s="26">
        <f>IF(IQ$2=InputTable[[#This Row],[Delivery Date]],_xlfn.XLOOKUP(IQ$1,$BH$2:$BR$2,$BH46:$BR46,0),0)</f>
        <v>0</v>
      </c>
      <c r="IR46" s="26">
        <f>IF(IR$2=InputTable[[#This Row],[Delivery Date]],_xlfn.XLOOKUP(IR$1,$BH$2:$BR$2,$BH46:$BR46,0),0)</f>
        <v>0</v>
      </c>
      <c r="IT46" s="26" t="e">
        <f>IF(IT$2=InputTable[[#This Row],[Delivery Date]],_xlfn.XLOOKUP(IT$1,$BH$2:$BR$2,$BH46:$BR46,0),0)</f>
        <v>#REF!</v>
      </c>
      <c r="IU46" s="26">
        <f>IF(IU$2=InputTable[[#This Row],[Delivery Date]],_xlfn.XLOOKUP(IU$1,$BH$2:$BR$2,$BH46:$BR46,0),0)</f>
        <v>0</v>
      </c>
      <c r="IV46" s="26">
        <f>IF(IV$2=InputTable[[#This Row],[Delivery Date]],_xlfn.XLOOKUP(IV$1,$BH$2:$BR$2,$BH46:$BR46,0),0)</f>
        <v>0</v>
      </c>
      <c r="IW46" s="26">
        <f>IF(IW$2=InputTable[[#This Row],[Delivery Date]],_xlfn.XLOOKUP(IW$1,$BH$2:$BR$2,$BH46:$BR46,0),0)</f>
        <v>0</v>
      </c>
      <c r="IX46" s="26">
        <f>IF(IX$2=InputTable[[#This Row],[Delivery Date]],_xlfn.XLOOKUP(IX$1,$BH$2:$BR$2,$BH46:$BR46,0),0)</f>
        <v>0</v>
      </c>
      <c r="IY46" s="26">
        <f>IF(IY$2=InputTable[[#This Row],[Delivery Date]],_xlfn.XLOOKUP(IY$1,$BH$2:$BR$2,$BH46:$BR46,0),0)</f>
        <v>0</v>
      </c>
      <c r="IZ46" s="26">
        <f>IF(IZ$2=InputTable[[#This Row],[Delivery Date]],_xlfn.XLOOKUP(IZ$1,$BH$2:$BR$2,$BH46:$BR46,0),0)</f>
        <v>0</v>
      </c>
      <c r="JA46" s="26">
        <f>IF(JA$2=InputTable[[#This Row],[Delivery Date]],_xlfn.XLOOKUP(JA$1,$BH$2:$BR$2,$BH46:$BR46,0),0)</f>
        <v>0</v>
      </c>
      <c r="JB46" s="26">
        <f>IF(JB$2=InputTable[[#This Row],[Delivery Date]],_xlfn.XLOOKUP(JB$1,$BH$2:$BR$2,$BH46:$BR46,0),0)</f>
        <v>0</v>
      </c>
      <c r="JD46" s="26" t="e">
        <f>IF(JD$2=InputTable[[#This Row],[Delivery Date]],_xlfn.XLOOKUP(JD$1,$BH$2:$BR$2,$BH46:$BR46,0),0)</f>
        <v>#REF!</v>
      </c>
      <c r="JE46" s="26">
        <f>IF(JE$2=InputTable[[#This Row],[Delivery Date]],_xlfn.XLOOKUP(JE$1,$BH$2:$BR$2,$BH46:$BR46,0),0)</f>
        <v>0</v>
      </c>
      <c r="JF46" s="26">
        <f>IF(JF$2=InputTable[[#This Row],[Delivery Date]],_xlfn.XLOOKUP(JF$1,$BH$2:$BR$2,$BH46:$BR46,0),0)</f>
        <v>0</v>
      </c>
      <c r="JG46" s="26">
        <f>IF(JG$2=InputTable[[#This Row],[Delivery Date]],_xlfn.XLOOKUP(JG$1,$BH$2:$BR$2,$BH46:$BR46,0),0)</f>
        <v>0</v>
      </c>
      <c r="JH46" s="26">
        <f>IF(JH$2=InputTable[[#This Row],[Delivery Date]],_xlfn.XLOOKUP(JH$1,$BH$2:$BR$2,$BH46:$BR46,0),0)</f>
        <v>0</v>
      </c>
      <c r="JI46" s="26">
        <f>IF(JI$2=InputTable[[#This Row],[Delivery Date]],_xlfn.XLOOKUP(JI$1,$BH$2:$BR$2,$BH46:$BR46,0),0)</f>
        <v>0</v>
      </c>
      <c r="JJ46" s="26">
        <f>IF(JJ$2=InputTable[[#This Row],[Delivery Date]],_xlfn.XLOOKUP(JJ$1,$BH$2:$BR$2,$BH46:$BR46,0),0)</f>
        <v>0</v>
      </c>
      <c r="JK46" s="26">
        <f>IF(JK$2=InputTable[[#This Row],[Delivery Date]],_xlfn.XLOOKUP(JK$1,$BH$2:$BR$2,$BH46:$BR46,0),0)</f>
        <v>0</v>
      </c>
      <c r="JL46" s="26">
        <f>IF(JL$2=InputTable[[#This Row],[Delivery Date]],_xlfn.XLOOKUP(JL$1,$BH$2:$BR$2,$BH46:$BR46,0),0)</f>
        <v>0</v>
      </c>
      <c r="JN46" s="26" t="e">
        <f>IF(JN$2=InputTable[[#This Row],[Delivery Date]],_xlfn.XLOOKUP(JN$1,$BH$2:$BR$2,$BH46:$BR46,0),0)</f>
        <v>#REF!</v>
      </c>
      <c r="JO46" s="26">
        <f>IF(JO$2=InputTable[[#This Row],[Delivery Date]],_xlfn.XLOOKUP(JO$1,$BH$2:$BR$2,$BH46:$BR46,0),0)</f>
        <v>0</v>
      </c>
      <c r="JP46" s="26">
        <f>IF(JP$2=InputTable[[#This Row],[Delivery Date]],_xlfn.XLOOKUP(JP$1,$BH$2:$BR$2,$BH46:$BR46,0),0)</f>
        <v>0</v>
      </c>
      <c r="JQ46" s="26">
        <f>IF(JQ$2=InputTable[[#This Row],[Delivery Date]],_xlfn.XLOOKUP(JQ$1,$BH$2:$BR$2,$BH46:$BR46,0),0)</f>
        <v>0</v>
      </c>
      <c r="JR46" s="26">
        <f>IF(JR$2=InputTable[[#This Row],[Delivery Date]],_xlfn.XLOOKUP(JR$1,$BH$2:$BR$2,$BH46:$BR46,0),0)</f>
        <v>0</v>
      </c>
      <c r="JS46" s="26">
        <f>IF(JS$2=InputTable[[#This Row],[Delivery Date]],_xlfn.XLOOKUP(JS$1,$BH$2:$BR$2,$BH46:$BR46,0),0)</f>
        <v>0</v>
      </c>
      <c r="JT46" s="26">
        <f>IF(JT$2=InputTable[[#This Row],[Delivery Date]],_xlfn.XLOOKUP(JT$1,$BH$2:$BR$2,$BH46:$BR46,0),0)</f>
        <v>0</v>
      </c>
      <c r="JU46" s="26">
        <f>IF(JU$2=InputTable[[#This Row],[Delivery Date]],_xlfn.XLOOKUP(JU$1,$BH$2:$BR$2,$BH46:$BR46,0),0)</f>
        <v>0</v>
      </c>
      <c r="JV46" s="26">
        <f>IF(JV$2=InputTable[[#This Row],[Delivery Date]],_xlfn.XLOOKUP(JV$1,$BH$2:$BR$2,$BH46:$BR46,0),0)</f>
        <v>0</v>
      </c>
      <c r="JX46" s="26" t="e">
        <f>IF(JX$2=InputTable[[#This Row],[Delivery Date]],_xlfn.XLOOKUP(JX$1,$BH$2:$BR$2,$BH46:$BR46,0),0)</f>
        <v>#REF!</v>
      </c>
      <c r="JY46" s="26">
        <f>IF(JY$2=InputTable[[#This Row],[Delivery Date]],_xlfn.XLOOKUP(JY$1,$BH$2:$BR$2,$BH46:$BR46,0),0)</f>
        <v>0</v>
      </c>
      <c r="JZ46" s="26">
        <f>IF(JZ$2=InputTable[[#This Row],[Delivery Date]],_xlfn.XLOOKUP(JZ$1,$BH$2:$BR$2,$BH46:$BR46,0),0)</f>
        <v>0</v>
      </c>
      <c r="KA46" s="26">
        <f>IF(KA$2=InputTable[[#This Row],[Delivery Date]],_xlfn.XLOOKUP(KA$1,$BH$2:$BR$2,$BH46:$BR46,0),0)</f>
        <v>0</v>
      </c>
      <c r="KB46" s="26">
        <f>IF(KB$2=InputTable[[#This Row],[Delivery Date]],_xlfn.XLOOKUP(KB$1,$BH$2:$BR$2,$BH46:$BR46,0),0)</f>
        <v>0</v>
      </c>
      <c r="KC46" s="26">
        <f>IF(KC$2=InputTable[[#This Row],[Delivery Date]],_xlfn.XLOOKUP(KC$1,$BH$2:$BR$2,$BH46:$BR46,0),0)</f>
        <v>0</v>
      </c>
      <c r="KD46" s="26">
        <f>IF(KD$2=InputTable[[#This Row],[Delivery Date]],_xlfn.XLOOKUP(KD$1,$BH$2:$BR$2,$BH46:$BR46,0),0)</f>
        <v>0</v>
      </c>
      <c r="KE46" s="26">
        <f>IF(KE$2=InputTable[[#This Row],[Delivery Date]],_xlfn.XLOOKUP(KE$1,$BH$2:$BR$2,$BH46:$BR46,0),0)</f>
        <v>0</v>
      </c>
      <c r="KF46" s="26">
        <f>IF(KF$2=InputTable[[#This Row],[Delivery Date]],_xlfn.XLOOKUP(KF$1,$BH$2:$BR$2,$BH46:$BR46,0),0)</f>
        <v>0</v>
      </c>
    </row>
    <row r="47" spans="1:292" ht="39.6" hidden="1" customHeight="1" x14ac:dyDescent="0.25">
      <c r="A47" s="141" t="s">
        <v>149</v>
      </c>
      <c r="B47" s="141" t="s">
        <v>264</v>
      </c>
      <c r="C47" s="92" t="s">
        <v>61</v>
      </c>
      <c r="D47" s="125" t="s">
        <v>265</v>
      </c>
      <c r="E47" s="193" t="s">
        <v>266</v>
      </c>
      <c r="F47" s="92" t="s">
        <v>197</v>
      </c>
      <c r="G47" s="92">
        <v>2024</v>
      </c>
      <c r="H47" s="92" t="s">
        <v>100</v>
      </c>
      <c r="I47" s="92">
        <v>2026</v>
      </c>
      <c r="J47" s="125"/>
      <c r="K47" s="95" t="e">
        <f>VLOOKUP((InputTable[[#This Row],[Starting Date]]&amp; " - " &amp;InputTable[[#This Row],[Delivery Date]]),'System List'!$F$40:$H$83,2,FALSE)</f>
        <v>#N/A</v>
      </c>
      <c r="L47" s="95" t="e">
        <f>VLOOKUP(InputTable[[#This Row],[Duration]],Duration,2,FALSE)</f>
        <v>#N/A</v>
      </c>
      <c r="M47" s="125"/>
      <c r="N47" s="92" t="s">
        <v>139</v>
      </c>
      <c r="O47" s="92" t="s">
        <v>111</v>
      </c>
      <c r="P47" s="92" t="s">
        <v>111</v>
      </c>
      <c r="Q47" s="92" t="s">
        <v>111</v>
      </c>
      <c r="R47" s="92" t="s">
        <v>111</v>
      </c>
      <c r="S47" s="92"/>
      <c r="T47" s="95" cm="1">
        <f t="array" ref="T4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5.6</v>
      </c>
      <c r="U47" s="138"/>
      <c r="V47" s="92"/>
      <c r="W47" s="92"/>
      <c r="X47" s="92" t="s">
        <v>111</v>
      </c>
      <c r="Y47" s="92" t="s">
        <v>100</v>
      </c>
      <c r="Z47" s="92" t="s">
        <v>111</v>
      </c>
      <c r="AA47" s="92" t="s">
        <v>139</v>
      </c>
      <c r="AB47" s="92"/>
      <c r="AC47" s="92"/>
      <c r="AD47" s="92">
        <f>COUNTA(InputTable[[#This Row],[CORPHRFIN]:[SALES]])</f>
        <v>4</v>
      </c>
      <c r="AE47" s="88" cm="1">
        <f t="array" ref="AE47">SUM(
_xlfn.XLOOKUP(InputTable[[#This Row],[CORPHRFIN]:[SALES]],'System List'!$F$4:$F$7,'System List'!$H$4:$H$7,0))</f>
        <v>31</v>
      </c>
      <c r="AF47" s="140"/>
      <c r="AG47" s="96"/>
      <c r="AH47" s="96"/>
      <c r="AI47" s="96"/>
      <c r="AJ47" s="96"/>
      <c r="AK47" s="96"/>
      <c r="AL47" s="96" t="s">
        <v>111</v>
      </c>
      <c r="AM47" s="96"/>
      <c r="AN47" s="96" t="s">
        <v>100</v>
      </c>
      <c r="AO47" s="96"/>
      <c r="AP47" s="96"/>
      <c r="AQ47" s="96"/>
      <c r="AR47" s="88" cm="1">
        <f t="array" ref="AR47">SUM(
_xlfn.XLOOKUP(InputTable[[#This Row],[Impact on - CIAL]:[Impact on - STRAT]],'System List'!$F$4:$F$7,'System List'!$H$4:$H$7,0))</f>
        <v>18</v>
      </c>
      <c r="AS47" s="88" t="e">
        <f>VLOOKUP(InputTable[[#This Row],[Duration]],Duration,2,FALSE)+InputTable[[#This Row],[Resource Score]]</f>
        <v>#N/A</v>
      </c>
      <c r="AT4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7" s="24" t="e">
        <f>InputTable[[#This Row],[Value Score]]/InputTable[[#This Row],[EFFORT SCORE]]*100</f>
        <v>#N/A</v>
      </c>
      <c r="AV47" s="25" t="str">
        <f>InputTable[[#This Row],[IS Portfolio Ref ID]]</f>
        <v>ISPRJ-4</v>
      </c>
      <c r="AW47" s="25" t="s">
        <v>267</v>
      </c>
      <c r="AX47" s="208"/>
      <c r="AY47" s="25"/>
      <c r="AZ47" s="209">
        <v>0</v>
      </c>
      <c r="BA47" s="209">
        <v>253119</v>
      </c>
      <c r="BB47" s="209"/>
      <c r="BC47" s="189">
        <f>SUM(InputTable[[#This Row],[Opex IS Budget (full project)]]+InputTable[[#This Row],[Capex IS Budget (full project)]])</f>
        <v>253119</v>
      </c>
      <c r="BD47" s="188"/>
      <c r="BE47" s="188"/>
      <c r="BF47" s="70"/>
      <c r="BH47" s="2">
        <f>IFERROR(VLOOKUP(InputTable[[#This Row],[Impact on - CIAL]],'System List'!$F$4:$H$7,3,FALSE),0)</f>
        <v>0</v>
      </c>
      <c r="BI47" s="2">
        <f>IFERROR(VLOOKUP(InputTable[[#This Row],[Impact on - COM]],'System List'!$F$4:$H$7,3,FALSE),0)</f>
        <v>0</v>
      </c>
      <c r="BJ47" s="2">
        <f>IFERROR(VLOOKUP(InputTable[[#This Row],[Impact on - FIN]],'System List'!$F$4:$H$7,3,FALSE),0)</f>
        <v>0</v>
      </c>
      <c r="BK47" s="2">
        <f>IFERROR(VLOOKUP(InputTable[[#This Row],[Impact on - GEN SEC]],'System List'!$F$4:$H$7,3,FALSE),0)</f>
        <v>0</v>
      </c>
      <c r="BL47" s="2">
        <f>IFERROR(VLOOKUP(InputTable[[#This Row],[Impact on - HR]],'System List'!$F$4:$H$7,3,FALSE),0)</f>
        <v>0</v>
      </c>
      <c r="BM47" s="2">
        <f>IFERROR(VLOOKUP(InputTable[[#This Row],[Impact on - IS]],'System List'!$F$4:$H$7,3,FALSE),0)</f>
        <v>5</v>
      </c>
      <c r="BN47" s="2">
        <f>IFERROR(VLOOKUP(InputTable[[#This Row],[Impact on - OPS]],'System List'!$F$4:$H$7,3,FALSE),0)</f>
        <v>0</v>
      </c>
      <c r="BO47" s="2">
        <f>IFERROR(VLOOKUP(InputTable[[#This Row],[Impact on - ROLL STOCK]],'System List'!$F$4:$H$7,3,FALSE),0)</f>
        <v>13</v>
      </c>
      <c r="BP47" s="2">
        <f>IFERROR(VLOOKUP(InputTable[[#This Row],[Impact on - SAFETY]],'System List'!$F$4:$H$7,3,FALSE),0)</f>
        <v>0</v>
      </c>
      <c r="BQ47" s="2">
        <f>IFERROR(VLOOKUP(InputTable[[#This Row],[Impact on - STATION]],'System List'!$F$4:$H$7,3,FALSE),0)</f>
        <v>0</v>
      </c>
      <c r="BR47" s="2">
        <f>IFERROR(VLOOKUP(InputTable[[#This Row],[Impact on - STRAT]],'System List'!$F$4:$H$7,3,FALSE),0)</f>
        <v>0</v>
      </c>
      <c r="BT47" s="2">
        <f>IFERROR(VLOOKUP(InputTable[[#This Row],[CORPHRFIN]],'System List'!$F$4:$H$7,3,FALSE),0)</f>
        <v>0</v>
      </c>
      <c r="BU47" s="2">
        <f>IFERROR(VLOOKUP(InputTable[[#This Row],[CUST]],'System List'!$F$4:$H$7,3,FALSE),0)</f>
        <v>0</v>
      </c>
      <c r="BV47" s="2">
        <f>IFERROR(VLOOKUP(InputTable[[#This Row],[CYBER]],'System List'!$F$4:$H$7,3,FALSE),0)</f>
        <v>5</v>
      </c>
      <c r="BW47" s="2">
        <f>IFERROR(VLOOKUP(InputTable[[#This Row],[DATA]],'System List'!$F$4:$H$7,3,FALSE),0)</f>
        <v>13</v>
      </c>
      <c r="BX47" s="2">
        <f>IFERROR(VLOOKUP(InputTable[[#This Row],[INFRA]],'System List'!$F$4:$H$7,3,FALSE),0)</f>
        <v>5</v>
      </c>
      <c r="BY47" s="2">
        <f>IFERROR(VLOOKUP(InputTable[[#This Row],[OPERATIONS]],'System List'!$F$4:$H$7,3,FALSE),0)</f>
        <v>8</v>
      </c>
      <c r="BZ47" s="2">
        <f>IFERROR(VLOOKUP(InputTable[[#This Row],[PMO]],'System List'!$F$4:$H$7,3,FALSE),0)</f>
        <v>0</v>
      </c>
      <c r="CA47" s="2">
        <f>IFERROR(VLOOKUP(InputTable[[#This Row],[SALES]],'System List'!$F$4:$H$7,3,FALSE),0)</f>
        <v>0</v>
      </c>
      <c r="CC47" s="2" cm="1">
        <f t="array" ref="CC4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7" s="2" cm="1">
        <f t="array" ref="CD4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7" s="2" cm="1">
        <f t="array" ref="CE4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7" s="2" cm="1">
        <f t="array" ref="CF4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7" s="2" cm="1">
        <f t="array" ref="CG4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7" s="2" cm="1">
        <f t="array" ref="CH4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7" s="2" cm="1">
        <f t="array" ref="CI4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7" s="2" cm="1">
        <f t="array" ref="CJ4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7" s="2" cm="1">
        <f t="array" ref="CK4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7" s="2">
        <v>0</v>
      </c>
      <c r="CO4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4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4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4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4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4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4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4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7" s="26">
        <f t="shared" si="223"/>
        <v>0</v>
      </c>
      <c r="CY47" s="26">
        <f t="shared" si="223"/>
        <v>0</v>
      </c>
      <c r="CZ47" s="26">
        <f t="shared" si="223"/>
        <v>0</v>
      </c>
      <c r="DA47" s="26">
        <f t="shared" si="223"/>
        <v>0</v>
      </c>
      <c r="DB47" s="26">
        <f t="shared" si="223"/>
        <v>0</v>
      </c>
      <c r="DC47" s="26">
        <f t="shared" si="223"/>
        <v>0</v>
      </c>
      <c r="DD47" s="26">
        <f t="shared" si="223"/>
        <v>0</v>
      </c>
      <c r="DE47" s="26">
        <f t="shared" si="223"/>
        <v>0</v>
      </c>
      <c r="DF47" s="26">
        <f t="shared" si="223"/>
        <v>0</v>
      </c>
      <c r="DH47" s="26">
        <f>$CN47*_xlfn.XLOOKUP(DH$1,$BT$2:$CA$2,$BT47:$CA47,0)</f>
        <v>0</v>
      </c>
      <c r="DI47" s="26">
        <f>$CO47*_xlfn.XLOOKUP(DI$1,$BT$2:$CA$2,$BT47:$CA47,0)</f>
        <v>0</v>
      </c>
      <c r="DJ47" s="26">
        <f>$CP47*_xlfn.XLOOKUP(DJ$1,$BT$2:$CA$2,$BT47:$CA47,0)</f>
        <v>0</v>
      </c>
      <c r="DK47" s="26">
        <f>$CQ47*_xlfn.XLOOKUP(DK$1,$BT$2:$CA$2,$BT47:$CA47,0)</f>
        <v>0</v>
      </c>
      <c r="DL47" s="26">
        <f>$CR47*_xlfn.XLOOKUP(DL$1,$BT$2:$CA$2,$BT47:$CA47,0)</f>
        <v>0</v>
      </c>
      <c r="DM47" s="26">
        <f>$CS47*_xlfn.XLOOKUP(DM$1,$BT$2:$CA$2,$BT47:$CA47,0)</f>
        <v>0</v>
      </c>
      <c r="DN47" s="26">
        <f>$CT47*_xlfn.XLOOKUP(DN$1,$BT$2:$CA$2,$BT47:$CA47,0)</f>
        <v>0</v>
      </c>
      <c r="DO47" s="26">
        <f>$CU47*_xlfn.XLOOKUP(DO$1,$BT$2:$CA$2,$BT47:$CA47,0)</f>
        <v>0</v>
      </c>
      <c r="DP47" s="26">
        <f>$CV47*_xlfn.XLOOKUP(DP$1,$BT$2:$CA$2,$BT47:$CA47,0)</f>
        <v>0</v>
      </c>
      <c r="DR47" s="26">
        <f>$CN47*_xlfn.XLOOKUP(DR$1,$BT$2:$CA$2,$BT47:$CA47,0)</f>
        <v>0</v>
      </c>
      <c r="DS47" s="26">
        <f>$CO47*_xlfn.XLOOKUP(DS$1,$BT$2:$CA$2,$BT47:$CA47,0)</f>
        <v>5</v>
      </c>
      <c r="DT47" s="26">
        <f>$CP47*_xlfn.XLOOKUP(DT$1,$BT$2:$CA$2,$BT47:$CA47,0)</f>
        <v>5</v>
      </c>
      <c r="DU47" s="26">
        <f>$CQ47*_xlfn.XLOOKUP(DU$1,$BT$2:$CA$2,$BT47:$CA47,0)</f>
        <v>5</v>
      </c>
      <c r="DV47" s="26">
        <f>$CR47*_xlfn.XLOOKUP(DV$1,$BT$2:$CA$2,$BT47:$CA47,0)</f>
        <v>5</v>
      </c>
      <c r="DW47" s="26">
        <f>$CS47*_xlfn.XLOOKUP(DW$1,$BT$2:$CA$2,$BT47:$CA47,0)</f>
        <v>5</v>
      </c>
      <c r="DX47" s="26">
        <f>$CT47*_xlfn.XLOOKUP(DX$1,$BT$2:$CA$2,$BT47:$CA47,0)</f>
        <v>0</v>
      </c>
      <c r="DY47" s="26">
        <f>$CU47*_xlfn.XLOOKUP(DY$1,$BT$2:$CA$2,$BT47:$CA47,0)</f>
        <v>0</v>
      </c>
      <c r="DZ47" s="26">
        <f>$CV47*_xlfn.XLOOKUP(DZ$1,$BT$2:$CA$2,$BT47:$CA47,0)</f>
        <v>0</v>
      </c>
      <c r="EB47" s="26">
        <f>$CN47*_xlfn.XLOOKUP(EB$1,$BT$2:$CA$2,$BT47:$CA47,0)</f>
        <v>0</v>
      </c>
      <c r="EC47" s="26">
        <f>$CO47*_xlfn.XLOOKUP(EC$1,$BT$2:$CA$2,$BT47:$CA47,0)</f>
        <v>13</v>
      </c>
      <c r="ED47" s="26">
        <f>$CP47*_xlfn.XLOOKUP(ED$1,$BT$2:$CA$2,$BT47:$CA47,0)</f>
        <v>13</v>
      </c>
      <c r="EE47" s="26">
        <f>$CQ47*_xlfn.XLOOKUP(EE$1,$BT$2:$CA$2,$BT47:$CA47,0)</f>
        <v>13</v>
      </c>
      <c r="EF47" s="26">
        <f>$CR47*_xlfn.XLOOKUP(EF$1,$BT$2:$CA$2,$BT47:$CA47,0)</f>
        <v>13</v>
      </c>
      <c r="EG47" s="26">
        <f>$CS47*_xlfn.XLOOKUP(EG$1,$BT$2:$CA$2,$BT47:$CA47,0)</f>
        <v>13</v>
      </c>
      <c r="EH47" s="26">
        <f>$CT47*_xlfn.XLOOKUP(EH$1,$BT$2:$CA$2,$BT47:$CA47,0)</f>
        <v>0</v>
      </c>
      <c r="EI47" s="26">
        <f>$CU47*_xlfn.XLOOKUP(EI$1,$BT$2:$CA$2,$BT47:$CA47,0)</f>
        <v>0</v>
      </c>
      <c r="EJ47" s="26">
        <f>$CV47*_xlfn.XLOOKUP(EJ$1,$BT$2:$CA$2,$BT47:$CA47,0)</f>
        <v>0</v>
      </c>
      <c r="EL47" s="26">
        <f>$CN47*_xlfn.XLOOKUP(EL$1,$BT$2:$CA$2,$BT47:$CA47,0)</f>
        <v>0</v>
      </c>
      <c r="EM47" s="26">
        <f>$CO47*_xlfn.XLOOKUP(EM$1,$BT$2:$CA$2,$BT47:$CA47,0)</f>
        <v>5</v>
      </c>
      <c r="EN47" s="26">
        <f>$CP47*_xlfn.XLOOKUP(EN$1,$BT$2:$CA$2,$BT47:$CA47,0)</f>
        <v>5</v>
      </c>
      <c r="EO47" s="26">
        <f>$CQ47*_xlfn.XLOOKUP(EO$1,$BT$2:$CA$2,$BT47:$CA47,0)</f>
        <v>5</v>
      </c>
      <c r="EP47" s="26">
        <f>$CR47*_xlfn.XLOOKUP(EP$1,$BT$2:$CA$2,$BT47:$CA47,0)</f>
        <v>5</v>
      </c>
      <c r="EQ47" s="26">
        <f>$CS47*_xlfn.XLOOKUP(EQ$1,$BT$2:$CA$2,$BT47:$CA47,0)</f>
        <v>5</v>
      </c>
      <c r="ER47" s="26">
        <f>$CT47*_xlfn.XLOOKUP(ER$1,$BT$2:$CA$2,$BT47:$CA47,0)</f>
        <v>0</v>
      </c>
      <c r="ES47" s="26">
        <f>$CU47*_xlfn.XLOOKUP(ES$1,$BT$2:$CA$2,$BT47:$CA47,0)</f>
        <v>0</v>
      </c>
      <c r="ET47" s="26">
        <f>$CV47*_xlfn.XLOOKUP(ET$1,$BT$2:$CA$2,$BT47:$CA47,0)</f>
        <v>0</v>
      </c>
      <c r="EV47" s="26">
        <f>$CN47*_xlfn.XLOOKUP(EV$1,$BT$2:$CA$2,$BT47:$CA47,0)</f>
        <v>0</v>
      </c>
      <c r="EW47" s="26">
        <f>$CO47*_xlfn.XLOOKUP(EW$1,$BT$2:$CA$2,$BT47:$CA47,0)</f>
        <v>8</v>
      </c>
      <c r="EX47" s="26">
        <f>$CP47*_xlfn.XLOOKUP(EX$1,$BT$2:$CA$2,$BT47:$CA47,0)</f>
        <v>8</v>
      </c>
      <c r="EY47" s="26">
        <f>$CQ47*_xlfn.XLOOKUP(EY$1,$BT$2:$CA$2,$BT47:$CA47,0)</f>
        <v>8</v>
      </c>
      <c r="EZ47" s="26">
        <f>$CR47*_xlfn.XLOOKUP(EZ$1,$BT$2:$CA$2,$BT47:$CA47,0)</f>
        <v>8</v>
      </c>
      <c r="FA47" s="26">
        <f>$CS47*_xlfn.XLOOKUP(FA$1,$BT$2:$CA$2,$BT47:$CA47,0)</f>
        <v>8</v>
      </c>
      <c r="FB47" s="26">
        <f>$CT47*_xlfn.XLOOKUP(FB$1,$BT$2:$CA$2,$BT47:$CA47,0)</f>
        <v>0</v>
      </c>
      <c r="FC47" s="26">
        <f>$CU47*_xlfn.XLOOKUP(FC$1,$BT$2:$CA$2,$BT47:$CA47,0)</f>
        <v>0</v>
      </c>
      <c r="FD47" s="26">
        <f>$CV47*_xlfn.XLOOKUP(FD$1,$BT$2:$CA$2,$BT47:$CA47,0)</f>
        <v>0</v>
      </c>
      <c r="FF47" s="26">
        <f>$CN47*_xlfn.XLOOKUP(FF$1,$BT$2:$CA$2,$BT47:$CA47,0)</f>
        <v>0</v>
      </c>
      <c r="FG47" s="26">
        <f>$CO47*_xlfn.XLOOKUP(FG$1,$BT$2:$CA$2,$BT47:$CA47,0)</f>
        <v>0</v>
      </c>
      <c r="FH47" s="26">
        <f>$CP47*_xlfn.XLOOKUP(FH$1,$BT$2:$CA$2,$BT47:$CA47,0)</f>
        <v>0</v>
      </c>
      <c r="FI47" s="26">
        <f>$CQ47*_xlfn.XLOOKUP(FI$1,$BT$2:$CA$2,$BT47:$CA47,0)</f>
        <v>0</v>
      </c>
      <c r="FJ47" s="26">
        <f>$CR47*_xlfn.XLOOKUP(FJ$1,$BT$2:$CA$2,$BT47:$CA47,0)</f>
        <v>0</v>
      </c>
      <c r="FK47" s="26">
        <f>$CS47*_xlfn.XLOOKUP(FK$1,$BT$2:$CA$2,$BT47:$CA47,0)</f>
        <v>0</v>
      </c>
      <c r="FL47" s="26">
        <f>$CT47*_xlfn.XLOOKUP(FL$1,$BT$2:$CA$2,$BT47:$CA47,0)</f>
        <v>0</v>
      </c>
      <c r="FM47" s="26">
        <f>$CU47*_xlfn.XLOOKUP(FM$1,$BT$2:$CA$2,$BT47:$CA47,0)</f>
        <v>0</v>
      </c>
      <c r="FN47" s="26">
        <f>$CV47*_xlfn.XLOOKUP(FN$1,$BT$2:$CA$2,$BT47:$CA47,0)</f>
        <v>0</v>
      </c>
      <c r="FP47" s="26" t="e">
        <f>$CN47*_xlfn.XLOOKUP(FP$1,$BT$2:$CA$2,$BT47:$CA47,0)</f>
        <v>#REF!</v>
      </c>
      <c r="FQ47" s="26" t="e">
        <f>$CO47*_xlfn.XLOOKUP(FQ$1,$BT$2:$CA$2,$BT47:$CA47,0)</f>
        <v>#REF!</v>
      </c>
      <c r="FR47" s="26" t="e">
        <f>$CP47*_xlfn.XLOOKUP(FR$1,$BT$2:$CA$2,$BT47:$CA47,0)</f>
        <v>#REF!</v>
      </c>
      <c r="FS47" s="26" t="e">
        <f>$CQ47*_xlfn.XLOOKUP(FS$1,$BT$2:$CA$2,$BT47:$CA47,0)</f>
        <v>#REF!</v>
      </c>
      <c r="FT47" s="26" t="e">
        <f>$CR47*_xlfn.XLOOKUP(FT$1,$BT$2:$CA$2,$BT47:$CA47,0)</f>
        <v>#REF!</v>
      </c>
      <c r="FU47" s="26" t="e">
        <f>$CS47*_xlfn.XLOOKUP(FU$1,$BT$2:$CA$2,$BT47:$CA47,0)</f>
        <v>#REF!</v>
      </c>
      <c r="FV47" s="26" t="e">
        <f>$CT47*_xlfn.XLOOKUP(FV$1,$BT$2:$CA$2,$BT47:$CA47,0)</f>
        <v>#REF!</v>
      </c>
      <c r="FW47" s="26" t="e">
        <f>$CU47*_xlfn.XLOOKUP(FW$1,$BT$2:$CA$2,$BT47:$CA47,0)</f>
        <v>#REF!</v>
      </c>
      <c r="FX47" s="26" t="e">
        <f>$CV47*_xlfn.XLOOKUP(FX$1,$BT$2:$CA$2,$BT47:$CA47,0)</f>
        <v>#REF!</v>
      </c>
      <c r="GB47" s="26" t="e">
        <f>IF(GB$2=InputTable[[#This Row],[Delivery Date]],_xlfn.XLOOKUP(GB$1,$BH$2:$BR$2,$BH47:$BR47,0),0)</f>
        <v>#REF!</v>
      </c>
      <c r="GC47" s="26">
        <f>IF(GC$2=InputTable[[#This Row],[Delivery Date]],_xlfn.XLOOKUP(GC$1,$BH$2:$BR$2,$BH47:$BR47,0),0)</f>
        <v>0</v>
      </c>
      <c r="GD47" s="26">
        <f>IF(GD$2=InputTable[[#This Row],[Delivery Date]],_xlfn.XLOOKUP(GD$1,$BH$2:$BR$2,$BH47:$BR47,0),0)</f>
        <v>0</v>
      </c>
      <c r="GE47" s="26">
        <f>IF(GE$2=InputTable[[#This Row],[Delivery Date]],_xlfn.XLOOKUP(GE$1,$BH$2:$BR$2,$BH47:$BR47,0),0)</f>
        <v>0</v>
      </c>
      <c r="GF47" s="26">
        <f>IF(GF$2=InputTable[[#This Row],[Delivery Date]],_xlfn.XLOOKUP(GF$1,$BH$2:$BR$2,$BH47:$BR47,0),0)</f>
        <v>0</v>
      </c>
      <c r="GG47" s="26">
        <f>IF(GG$2=InputTable[[#This Row],[Delivery Date]],_xlfn.XLOOKUP(GG$1,$BH$2:$BR$2,$BH47:$BR47,0),0)</f>
        <v>0</v>
      </c>
      <c r="GH47" s="26">
        <f>IF(GH$2=InputTable[[#This Row],[Delivery Date]],_xlfn.XLOOKUP(GH$1,$BH$2:$BR$2,$BH47:$BR47,0),0)</f>
        <v>0</v>
      </c>
      <c r="GI47" s="26">
        <f>IF(GI$2=InputTable[[#This Row],[Delivery Date]],_xlfn.XLOOKUP(GI$1,$BH$2:$BR$2,$BH47:$BR47,0),0)</f>
        <v>0</v>
      </c>
      <c r="GJ47" s="26">
        <f>IF(GJ$2=InputTable[[#This Row],[Delivery Date]],_xlfn.XLOOKUP(GJ$1,$BH$2:$BR$2,$BH47:$BR47,0),0)</f>
        <v>0</v>
      </c>
      <c r="GL47" s="26" t="e">
        <f>IF(GL$2=InputTable[[#This Row],[Delivery Date]],_xlfn.XLOOKUP(GL$1,$BH$2:$BR$2,$BH47:$BR47,0),0)</f>
        <v>#REF!</v>
      </c>
      <c r="GM47" s="26">
        <f>IF(GM$2=InputTable[[#This Row],[Delivery Date]],_xlfn.XLOOKUP(GM$1,$BH$2:$BR$2,$BH47:$BR47,0),0)</f>
        <v>0</v>
      </c>
      <c r="GN47" s="26">
        <f>IF(GN$2=InputTable[[#This Row],[Delivery Date]],_xlfn.XLOOKUP(GN$1,$BH$2:$BR$2,$BH47:$BR47,0),0)</f>
        <v>0</v>
      </c>
      <c r="GO47" s="26">
        <f>IF(GO$2=InputTable[[#This Row],[Delivery Date]],_xlfn.XLOOKUP(GO$1,$BH$2:$BR$2,$BH47:$BR47,0),0)</f>
        <v>0</v>
      </c>
      <c r="GP47" s="26">
        <f>IF(GP$2=InputTable[[#This Row],[Delivery Date]],_xlfn.XLOOKUP(GP$1,$BH$2:$BR$2,$BH47:$BR47,0),0)</f>
        <v>0</v>
      </c>
      <c r="GQ47" s="26">
        <f>IF(GQ$2=InputTable[[#This Row],[Delivery Date]],_xlfn.XLOOKUP(GQ$1,$BH$2:$BR$2,$BH47:$BR47,0),0)</f>
        <v>0</v>
      </c>
      <c r="GR47" s="26">
        <f>IF(GR$2=InputTable[[#This Row],[Delivery Date]],_xlfn.XLOOKUP(GR$1,$BH$2:$BR$2,$BH47:$BR47,0),0)</f>
        <v>0</v>
      </c>
      <c r="GS47" s="26">
        <f>IF(GS$2=InputTable[[#This Row],[Delivery Date]],_xlfn.XLOOKUP(GS$1,$BH$2:$BR$2,$BH47:$BR47,0),0)</f>
        <v>0</v>
      </c>
      <c r="GT47" s="26">
        <f>IF(GT$2=InputTable[[#This Row],[Delivery Date]],_xlfn.XLOOKUP(GT$1,$BH$2:$BR$2,$BH47:$BR47,0),0)</f>
        <v>0</v>
      </c>
      <c r="GV47" s="26" t="e">
        <f>IF(GV$2=InputTable[[#This Row],[Delivery Date]],_xlfn.XLOOKUP(GV$1,$BH$2:$BR$2,$BH47:$BR47,0),0)</f>
        <v>#REF!</v>
      </c>
      <c r="GW47" s="26">
        <f>IF(GW$2=InputTable[[#This Row],[Delivery Date]],_xlfn.XLOOKUP(GW$1,$BH$2:$BR$2,$BH47:$BR47,0),0)</f>
        <v>0</v>
      </c>
      <c r="GX47" s="26">
        <f>IF(GX$2=InputTable[[#This Row],[Delivery Date]],_xlfn.XLOOKUP(GX$1,$BH$2:$BR$2,$BH47:$BR47,0),0)</f>
        <v>0</v>
      </c>
      <c r="GY47" s="26">
        <f>IF(GY$2=InputTable[[#This Row],[Delivery Date]],_xlfn.XLOOKUP(GY$1,$BH$2:$BR$2,$BH47:$BR47,0),0)</f>
        <v>0</v>
      </c>
      <c r="GZ47" s="26">
        <f>IF(GZ$2=InputTable[[#This Row],[Delivery Date]],_xlfn.XLOOKUP(GZ$1,$BH$2:$BR$2,$BH47:$BR47,0),0)</f>
        <v>0</v>
      </c>
      <c r="HA47" s="26">
        <f>IF(HA$2=InputTable[[#This Row],[Delivery Date]],_xlfn.XLOOKUP(HA$1,$BH$2:$BR$2,$BH47:$BR47,0),0)</f>
        <v>0</v>
      </c>
      <c r="HB47" s="26">
        <f>IF(HB$2=InputTable[[#This Row],[Delivery Date]],_xlfn.XLOOKUP(HB$1,$BH$2:$BR$2,$BH47:$BR47,0),0)</f>
        <v>0</v>
      </c>
      <c r="HC47" s="26">
        <f>IF(HC$2=InputTable[[#This Row],[Delivery Date]],_xlfn.XLOOKUP(HC$1,$BH$2:$BR$2,$BH47:$BR47,0),0)</f>
        <v>0</v>
      </c>
      <c r="HD47" s="26">
        <f>IF(HD$2=InputTable[[#This Row],[Delivery Date]],_xlfn.XLOOKUP(HD$1,$BH$2:$BR$2,$BH47:$BR47,0),0)</f>
        <v>0</v>
      </c>
      <c r="HF47" s="26" t="e">
        <f>IF(HF$2=InputTable[[#This Row],[Delivery Date]],_xlfn.XLOOKUP(HF$1,$BH$2:$BR$2,$BH47:$BR47,0),0)</f>
        <v>#REF!</v>
      </c>
      <c r="HG47" s="26">
        <f>IF(HG$2=InputTable[[#This Row],[Delivery Date]],_xlfn.XLOOKUP(HG$1,$BH$2:$BR$2,$BH47:$BR47,0),0)</f>
        <v>0</v>
      </c>
      <c r="HH47" s="26">
        <f>IF(HH$2=InputTable[[#This Row],[Delivery Date]],_xlfn.XLOOKUP(HH$1,$BH$2:$BR$2,$BH47:$BR47,0),0)</f>
        <v>0</v>
      </c>
      <c r="HI47" s="26">
        <f>IF(HI$2=InputTable[[#This Row],[Delivery Date]],_xlfn.XLOOKUP(HI$1,$BH$2:$BR$2,$BH47:$BR47,0),0)</f>
        <v>0</v>
      </c>
      <c r="HJ47" s="26">
        <f>IF(HJ$2=InputTable[[#This Row],[Delivery Date]],_xlfn.XLOOKUP(HJ$1,$BH$2:$BR$2,$BH47:$BR47,0),0)</f>
        <v>0</v>
      </c>
      <c r="HK47" s="26">
        <f>IF(HK$2=InputTable[[#This Row],[Delivery Date]],_xlfn.XLOOKUP(HK$1,$BH$2:$BR$2,$BH47:$BR47,0),0)</f>
        <v>0</v>
      </c>
      <c r="HL47" s="26">
        <f>IF(HL$2=InputTable[[#This Row],[Delivery Date]],_xlfn.XLOOKUP(HL$1,$BH$2:$BR$2,$BH47:$BR47,0),0)</f>
        <v>0</v>
      </c>
      <c r="HM47" s="26">
        <f>IF(HM$2=InputTable[[#This Row],[Delivery Date]],_xlfn.XLOOKUP(HM$1,$BH$2:$BR$2,$BH47:$BR47,0),0)</f>
        <v>0</v>
      </c>
      <c r="HN47" s="26">
        <f>IF(HN$2=InputTable[[#This Row],[Delivery Date]],_xlfn.XLOOKUP(HN$1,$BH$2:$BR$2,$BH47:$BR47,0),0)</f>
        <v>0</v>
      </c>
      <c r="HP47" s="26" t="e">
        <f>IF(HP$2=InputTable[[#This Row],[Delivery Date]],_xlfn.XLOOKUP(HP$1,$BH$2:$BR$2,$BH47:$BR47,0),0)</f>
        <v>#REF!</v>
      </c>
      <c r="HQ47" s="26">
        <f>IF(HQ$2=InputTable[[#This Row],[Delivery Date]],_xlfn.XLOOKUP(HQ$1,$BH$2:$BR$2,$BH47:$BR47,0),0)</f>
        <v>0</v>
      </c>
      <c r="HR47" s="26">
        <f>IF(HR$2=InputTable[[#This Row],[Delivery Date]],_xlfn.XLOOKUP(HR$1,$BH$2:$BR$2,$BH47:$BR47,0),0)</f>
        <v>0</v>
      </c>
      <c r="HS47" s="26">
        <f>IF(HS$2=InputTable[[#This Row],[Delivery Date]],_xlfn.XLOOKUP(HS$1,$BH$2:$BR$2,$BH47:$BR47,0),0)</f>
        <v>0</v>
      </c>
      <c r="HT47" s="26">
        <f>IF(HT$2=InputTable[[#This Row],[Delivery Date]],_xlfn.XLOOKUP(HT$1,$BH$2:$BR$2,$BH47:$BR47,0),0)</f>
        <v>0</v>
      </c>
      <c r="HU47" s="26">
        <f>IF(HU$2=InputTable[[#This Row],[Delivery Date]],_xlfn.XLOOKUP(HU$1,$BH$2:$BR$2,$BH47:$BR47,0),0)</f>
        <v>0</v>
      </c>
      <c r="HV47" s="26">
        <f>IF(HV$2=InputTable[[#This Row],[Delivery Date]],_xlfn.XLOOKUP(HV$1,$BH$2:$BR$2,$BH47:$BR47,0),0)</f>
        <v>0</v>
      </c>
      <c r="HW47" s="26">
        <f>IF(HW$2=InputTable[[#This Row],[Delivery Date]],_xlfn.XLOOKUP(HW$1,$BH$2:$BR$2,$BH47:$BR47,0),0)</f>
        <v>0</v>
      </c>
      <c r="HX47" s="26">
        <f>IF(HX$2=InputTable[[#This Row],[Delivery Date]],_xlfn.XLOOKUP(HX$1,$BH$2:$BR$2,$BH47:$BR47,0),0)</f>
        <v>0</v>
      </c>
      <c r="HZ47" s="26" t="e">
        <f>IF(HZ$2=InputTable[[#This Row],[Delivery Date]],_xlfn.XLOOKUP(HZ$1,$BH$2:$BR$2,$BH47:$BR47,0),0)</f>
        <v>#REF!</v>
      </c>
      <c r="IA47" s="26">
        <f>IF(IA$2=InputTable[[#This Row],[Delivery Date]],_xlfn.XLOOKUP(IA$1,$BH$2:$BR$2,$BH47:$BR47,0),0)</f>
        <v>0</v>
      </c>
      <c r="IB47" s="26">
        <f>IF(IB$2=InputTable[[#This Row],[Delivery Date]],_xlfn.XLOOKUP(IB$1,$BH$2:$BR$2,$BH47:$BR47,0),0)</f>
        <v>0</v>
      </c>
      <c r="IC47" s="26">
        <f>IF(IC$2=InputTable[[#This Row],[Delivery Date]],_xlfn.XLOOKUP(IC$1,$BH$2:$BR$2,$BH47:$BR47,0),0)</f>
        <v>0</v>
      </c>
      <c r="ID47" s="26">
        <f>IF(ID$2=InputTable[[#This Row],[Delivery Date]],_xlfn.XLOOKUP(ID$1,$BH$2:$BR$2,$BH47:$BR47,0),0)</f>
        <v>0</v>
      </c>
      <c r="IE47" s="26">
        <f>IF(IE$2=InputTable[[#This Row],[Delivery Date]],_xlfn.XLOOKUP(IE$1,$BH$2:$BR$2,$BH47:$BR47,0),0)</f>
        <v>0</v>
      </c>
      <c r="IF47" s="26">
        <f>IF(IF$2=InputTable[[#This Row],[Delivery Date]],_xlfn.XLOOKUP(IF$1,$BH$2:$BR$2,$BH47:$BR47,0),0)</f>
        <v>0</v>
      </c>
      <c r="IG47" s="26">
        <f>IF(IG$2=InputTable[[#This Row],[Delivery Date]],_xlfn.XLOOKUP(IG$1,$BH$2:$BR$2,$BH47:$BR47,0),0)</f>
        <v>0</v>
      </c>
      <c r="IH47" s="26">
        <f>IF(IH$2=InputTable[[#This Row],[Delivery Date]],_xlfn.XLOOKUP(IH$1,$BH$2:$BR$2,$BH47:$BR47,0),0)</f>
        <v>0</v>
      </c>
      <c r="IJ47" s="26" t="e">
        <f>IF(IJ$2=InputTable[[#This Row],[Delivery Date]],_xlfn.XLOOKUP(IJ$1,$BH$2:$BR$2,$BH47:$BR47,0),0)</f>
        <v>#REF!</v>
      </c>
      <c r="IK47" s="26">
        <f>IF(IK$2=InputTable[[#This Row],[Delivery Date]],_xlfn.XLOOKUP(IK$1,$BH$2:$BR$2,$BH47:$BR47,0),0)</f>
        <v>0</v>
      </c>
      <c r="IL47" s="26">
        <f>IF(IL$2=InputTable[[#This Row],[Delivery Date]],_xlfn.XLOOKUP(IL$1,$BH$2:$BR$2,$BH47:$BR47,0),0)</f>
        <v>0</v>
      </c>
      <c r="IM47" s="26">
        <f>IF(IM$2=InputTable[[#This Row],[Delivery Date]],_xlfn.XLOOKUP(IM$1,$BH$2:$BR$2,$BH47:$BR47,0),0)</f>
        <v>0</v>
      </c>
      <c r="IN47" s="26">
        <f>IF(IN$2=InputTable[[#This Row],[Delivery Date]],_xlfn.XLOOKUP(IN$1,$BH$2:$BR$2,$BH47:$BR47,0),0)</f>
        <v>0</v>
      </c>
      <c r="IO47" s="26">
        <f>IF(IO$2=InputTable[[#This Row],[Delivery Date]],_xlfn.XLOOKUP(IO$1,$BH$2:$BR$2,$BH47:$BR47,0),0)</f>
        <v>0</v>
      </c>
      <c r="IP47" s="26">
        <f>IF(IP$2=InputTable[[#This Row],[Delivery Date]],_xlfn.XLOOKUP(IP$1,$BH$2:$BR$2,$BH47:$BR47,0),0)</f>
        <v>0</v>
      </c>
      <c r="IQ47" s="26">
        <f>IF(IQ$2=InputTable[[#This Row],[Delivery Date]],_xlfn.XLOOKUP(IQ$1,$BH$2:$BR$2,$BH47:$BR47,0),0)</f>
        <v>0</v>
      </c>
      <c r="IR47" s="26">
        <f>IF(IR$2=InputTable[[#This Row],[Delivery Date]],_xlfn.XLOOKUP(IR$1,$BH$2:$BR$2,$BH47:$BR47,0),0)</f>
        <v>0</v>
      </c>
      <c r="IT47" s="26" t="e">
        <f>IF(IT$2=InputTable[[#This Row],[Delivery Date]],_xlfn.XLOOKUP(IT$1,$BH$2:$BR$2,$BH47:$BR47,0),0)</f>
        <v>#REF!</v>
      </c>
      <c r="IU47" s="26">
        <f>IF(IU$2=InputTable[[#This Row],[Delivery Date]],_xlfn.XLOOKUP(IU$1,$BH$2:$BR$2,$BH47:$BR47,0),0)</f>
        <v>0</v>
      </c>
      <c r="IV47" s="26">
        <f>IF(IV$2=InputTable[[#This Row],[Delivery Date]],_xlfn.XLOOKUP(IV$1,$BH$2:$BR$2,$BH47:$BR47,0),0)</f>
        <v>0</v>
      </c>
      <c r="IW47" s="26">
        <f>IF(IW$2=InputTable[[#This Row],[Delivery Date]],_xlfn.XLOOKUP(IW$1,$BH$2:$BR$2,$BH47:$BR47,0),0)</f>
        <v>0</v>
      </c>
      <c r="IX47" s="26">
        <f>IF(IX$2=InputTable[[#This Row],[Delivery Date]],_xlfn.XLOOKUP(IX$1,$BH$2:$BR$2,$BH47:$BR47,0),0)</f>
        <v>0</v>
      </c>
      <c r="IY47" s="26">
        <f>IF(IY$2=InputTable[[#This Row],[Delivery Date]],_xlfn.XLOOKUP(IY$1,$BH$2:$BR$2,$BH47:$BR47,0),0)</f>
        <v>0</v>
      </c>
      <c r="IZ47" s="26">
        <f>IF(IZ$2=InputTable[[#This Row],[Delivery Date]],_xlfn.XLOOKUP(IZ$1,$BH$2:$BR$2,$BH47:$BR47,0),0)</f>
        <v>0</v>
      </c>
      <c r="JA47" s="26">
        <f>IF(JA$2=InputTable[[#This Row],[Delivery Date]],_xlfn.XLOOKUP(JA$1,$BH$2:$BR$2,$BH47:$BR47,0),0)</f>
        <v>0</v>
      </c>
      <c r="JB47" s="26">
        <f>IF(JB$2=InputTable[[#This Row],[Delivery Date]],_xlfn.XLOOKUP(JB$1,$BH$2:$BR$2,$BH47:$BR47,0),0)</f>
        <v>0</v>
      </c>
      <c r="JD47" s="26" t="e">
        <f>IF(JD$2=InputTable[[#This Row],[Delivery Date]],_xlfn.XLOOKUP(JD$1,$BH$2:$BR$2,$BH47:$BR47,0),0)</f>
        <v>#REF!</v>
      </c>
      <c r="JE47" s="26">
        <f>IF(JE$2=InputTable[[#This Row],[Delivery Date]],_xlfn.XLOOKUP(JE$1,$BH$2:$BR$2,$BH47:$BR47,0),0)</f>
        <v>0</v>
      </c>
      <c r="JF47" s="26">
        <f>IF(JF$2=InputTable[[#This Row],[Delivery Date]],_xlfn.XLOOKUP(JF$1,$BH$2:$BR$2,$BH47:$BR47,0),0)</f>
        <v>0</v>
      </c>
      <c r="JG47" s="26">
        <f>IF(JG$2=InputTable[[#This Row],[Delivery Date]],_xlfn.XLOOKUP(JG$1,$BH$2:$BR$2,$BH47:$BR47,0),0)</f>
        <v>0</v>
      </c>
      <c r="JH47" s="26">
        <f>IF(JH$2=InputTable[[#This Row],[Delivery Date]],_xlfn.XLOOKUP(JH$1,$BH$2:$BR$2,$BH47:$BR47,0),0)</f>
        <v>0</v>
      </c>
      <c r="JI47" s="26">
        <f>IF(JI$2=InputTable[[#This Row],[Delivery Date]],_xlfn.XLOOKUP(JI$1,$BH$2:$BR$2,$BH47:$BR47,0),0)</f>
        <v>0</v>
      </c>
      <c r="JJ47" s="26">
        <f>IF(JJ$2=InputTable[[#This Row],[Delivery Date]],_xlfn.XLOOKUP(JJ$1,$BH$2:$BR$2,$BH47:$BR47,0),0)</f>
        <v>0</v>
      </c>
      <c r="JK47" s="26">
        <f>IF(JK$2=InputTable[[#This Row],[Delivery Date]],_xlfn.XLOOKUP(JK$1,$BH$2:$BR$2,$BH47:$BR47,0),0)</f>
        <v>0</v>
      </c>
      <c r="JL47" s="26">
        <f>IF(JL$2=InputTable[[#This Row],[Delivery Date]],_xlfn.XLOOKUP(JL$1,$BH$2:$BR$2,$BH47:$BR47,0),0)</f>
        <v>0</v>
      </c>
      <c r="JN47" s="26" t="e">
        <f>IF(JN$2=InputTable[[#This Row],[Delivery Date]],_xlfn.XLOOKUP(JN$1,$BH$2:$BR$2,$BH47:$BR47,0),0)</f>
        <v>#REF!</v>
      </c>
      <c r="JO47" s="26">
        <f>IF(JO$2=InputTable[[#This Row],[Delivery Date]],_xlfn.XLOOKUP(JO$1,$BH$2:$BR$2,$BH47:$BR47,0),0)</f>
        <v>0</v>
      </c>
      <c r="JP47" s="26">
        <f>IF(JP$2=InputTable[[#This Row],[Delivery Date]],_xlfn.XLOOKUP(JP$1,$BH$2:$BR$2,$BH47:$BR47,0),0)</f>
        <v>0</v>
      </c>
      <c r="JQ47" s="26">
        <f>IF(JQ$2=InputTable[[#This Row],[Delivery Date]],_xlfn.XLOOKUP(JQ$1,$BH$2:$BR$2,$BH47:$BR47,0),0)</f>
        <v>0</v>
      </c>
      <c r="JR47" s="26">
        <f>IF(JR$2=InputTable[[#This Row],[Delivery Date]],_xlfn.XLOOKUP(JR$1,$BH$2:$BR$2,$BH47:$BR47,0),0)</f>
        <v>0</v>
      </c>
      <c r="JS47" s="26">
        <f>IF(JS$2=InputTable[[#This Row],[Delivery Date]],_xlfn.XLOOKUP(JS$1,$BH$2:$BR$2,$BH47:$BR47,0),0)</f>
        <v>0</v>
      </c>
      <c r="JT47" s="26">
        <f>IF(JT$2=InputTable[[#This Row],[Delivery Date]],_xlfn.XLOOKUP(JT$1,$BH$2:$BR$2,$BH47:$BR47,0),0)</f>
        <v>0</v>
      </c>
      <c r="JU47" s="26">
        <f>IF(JU$2=InputTable[[#This Row],[Delivery Date]],_xlfn.XLOOKUP(JU$1,$BH$2:$BR$2,$BH47:$BR47,0),0)</f>
        <v>0</v>
      </c>
      <c r="JV47" s="26">
        <f>IF(JV$2=InputTable[[#This Row],[Delivery Date]],_xlfn.XLOOKUP(JV$1,$BH$2:$BR$2,$BH47:$BR47,0),0)</f>
        <v>0</v>
      </c>
      <c r="JX47" s="26" t="e">
        <f>IF(JX$2=InputTable[[#This Row],[Delivery Date]],_xlfn.XLOOKUP(JX$1,$BH$2:$BR$2,$BH47:$BR47,0),0)</f>
        <v>#REF!</v>
      </c>
      <c r="JY47" s="26">
        <f>IF(JY$2=InputTable[[#This Row],[Delivery Date]],_xlfn.XLOOKUP(JY$1,$BH$2:$BR$2,$BH47:$BR47,0),0)</f>
        <v>0</v>
      </c>
      <c r="JZ47" s="26">
        <f>IF(JZ$2=InputTable[[#This Row],[Delivery Date]],_xlfn.XLOOKUP(JZ$1,$BH$2:$BR$2,$BH47:$BR47,0),0)</f>
        <v>0</v>
      </c>
      <c r="KA47" s="26">
        <f>IF(KA$2=InputTable[[#This Row],[Delivery Date]],_xlfn.XLOOKUP(KA$1,$BH$2:$BR$2,$BH47:$BR47,0),0)</f>
        <v>0</v>
      </c>
      <c r="KB47" s="26">
        <f>IF(KB$2=InputTable[[#This Row],[Delivery Date]],_xlfn.XLOOKUP(KB$1,$BH$2:$BR$2,$BH47:$BR47,0),0)</f>
        <v>0</v>
      </c>
      <c r="KC47" s="26">
        <f>IF(KC$2=InputTable[[#This Row],[Delivery Date]],_xlfn.XLOOKUP(KC$1,$BH$2:$BR$2,$BH47:$BR47,0),0)</f>
        <v>0</v>
      </c>
      <c r="KD47" s="26">
        <f>IF(KD$2=InputTable[[#This Row],[Delivery Date]],_xlfn.XLOOKUP(KD$1,$BH$2:$BR$2,$BH47:$BR47,0),0)</f>
        <v>0</v>
      </c>
      <c r="KE47" s="26">
        <f>IF(KE$2=InputTable[[#This Row],[Delivery Date]],_xlfn.XLOOKUP(KE$1,$BH$2:$BR$2,$BH47:$BR47,0),0)</f>
        <v>0</v>
      </c>
      <c r="KF47" s="26">
        <f>IF(KF$2=InputTable[[#This Row],[Delivery Date]],_xlfn.XLOOKUP(KF$1,$BH$2:$BR$2,$BH47:$BR47,0),0)</f>
        <v>0</v>
      </c>
    </row>
    <row r="48" spans="1:292" ht="39.6" customHeight="1" x14ac:dyDescent="0.25">
      <c r="A48" s="141" t="s">
        <v>162</v>
      </c>
      <c r="B48" s="141" t="s">
        <v>92</v>
      </c>
      <c r="C48" s="92" t="s">
        <v>59</v>
      </c>
      <c r="D48" s="125" t="s">
        <v>268</v>
      </c>
      <c r="E48" s="142" t="s">
        <v>269</v>
      </c>
      <c r="F48" s="98" t="s">
        <v>61</v>
      </c>
      <c r="G48" s="92" t="s">
        <v>193</v>
      </c>
      <c r="H48" s="102"/>
      <c r="I48" s="98">
        <v>2026</v>
      </c>
      <c r="J48" s="125" t="s">
        <v>161</v>
      </c>
      <c r="K48" s="95" t="e">
        <f>VLOOKUP((InputTable[[#This Row],[Starting Date]]&amp; " - " &amp;InputTable[[#This Row],[Delivery Date]]),'System List'!$F$40:$H$83,2,FALSE)</f>
        <v>#N/A</v>
      </c>
      <c r="L48" s="95" t="e">
        <f>VLOOKUP(InputTable[[#This Row],[Duration]],Duration,2,FALSE)</f>
        <v>#N/A</v>
      </c>
      <c r="M48" s="125"/>
      <c r="N48" s="98"/>
      <c r="O48" s="98" t="s">
        <v>111</v>
      </c>
      <c r="P48" s="98" t="s">
        <v>111</v>
      </c>
      <c r="Q48" s="98" t="s">
        <v>111</v>
      </c>
      <c r="R48" s="98" t="s">
        <v>111</v>
      </c>
      <c r="S48" s="92"/>
      <c r="T48" s="95" cm="1">
        <f t="array" ref="T4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</v>
      </c>
      <c r="U48" s="138"/>
      <c r="V48" s="98"/>
      <c r="W48" s="98"/>
      <c r="X48" s="98"/>
      <c r="Y48" s="98" t="s">
        <v>100</v>
      </c>
      <c r="Z48" s="98"/>
      <c r="AA48" s="98" t="s">
        <v>139</v>
      </c>
      <c r="AB48" s="100"/>
      <c r="AC48" s="98"/>
      <c r="AD48" s="92">
        <f>COUNTA(InputTable[[#This Row],[CORPHRFIN]:[SALES]])</f>
        <v>2</v>
      </c>
      <c r="AE48" s="88" cm="1">
        <f t="array" ref="AE48">SUM(
_xlfn.XLOOKUP(InputTable[[#This Row],[CORPHRFIN]:[SALES]],'System List'!$F$4:$F$7,'System List'!$H$4:$H$7,0))</f>
        <v>21</v>
      </c>
      <c r="AF48" s="140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88" cm="1">
        <f t="array" ref="AR48">SUM(
_xlfn.XLOOKUP(InputTable[[#This Row],[Impact on - CIAL]:[Impact on - STRAT]],'System List'!$F$4:$F$7,'System List'!$H$4:$H$7,0))</f>
        <v>0</v>
      </c>
      <c r="AS48" s="88" t="e">
        <f>VLOOKUP(InputTable[[#This Row],[Duration]],Duration,2,FALSE)+InputTable[[#This Row],[Resource Score]]</f>
        <v>#N/A</v>
      </c>
      <c r="AT4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8" s="24" t="e">
        <f>InputTable[[#This Row],[Value Score]]/InputTable[[#This Row],[EFFORT SCORE]]*100</f>
        <v>#N/A</v>
      </c>
      <c r="AV48" s="25" t="str">
        <f>InputTable[[#This Row],[IS Portfolio Ref ID]]</f>
        <v>ISPRJ-21</v>
      </c>
      <c r="AW48" s="25" t="s">
        <v>225</v>
      </c>
      <c r="AX48" s="208" t="s">
        <v>180</v>
      </c>
      <c r="AY48" s="25"/>
      <c r="AZ48" s="209"/>
      <c r="BA48" s="209"/>
      <c r="BB48" s="209"/>
      <c r="BC48" s="189">
        <v>135000</v>
      </c>
      <c r="BD48" s="188">
        <v>1</v>
      </c>
      <c r="BE48" s="188">
        <v>1</v>
      </c>
      <c r="BF48" s="70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T48" s="2"/>
      <c r="BU48" s="2"/>
      <c r="BV48" s="2"/>
      <c r="BW48" s="2"/>
      <c r="BX48" s="2"/>
      <c r="BY48" s="2"/>
      <c r="BZ48" s="2"/>
      <c r="CA48" s="2"/>
      <c r="CC48" s="2"/>
      <c r="CD48" s="2"/>
      <c r="CE48" s="2"/>
      <c r="CF48" s="2"/>
      <c r="CG48" s="2"/>
      <c r="CH48" s="2"/>
      <c r="CI48" s="2"/>
      <c r="CJ48" s="2"/>
      <c r="CK48" s="2"/>
      <c r="CN48" s="2"/>
      <c r="CO48" s="2"/>
      <c r="CP48" s="2"/>
      <c r="CQ48" s="2"/>
      <c r="CR48" s="2"/>
      <c r="CS48" s="2"/>
      <c r="CT48" s="2"/>
      <c r="CU48" s="2"/>
      <c r="CV48" s="2"/>
      <c r="CX48" s="26"/>
      <c r="CY48" s="26"/>
      <c r="CZ48" s="26"/>
      <c r="DA48" s="26"/>
      <c r="DB48" s="26"/>
      <c r="DC48" s="26"/>
      <c r="DD48" s="26"/>
      <c r="DE48" s="26"/>
      <c r="DF48" s="26"/>
      <c r="DH48" s="26"/>
      <c r="DI48" s="26"/>
      <c r="DJ48" s="26"/>
      <c r="DK48" s="26"/>
      <c r="DL48" s="26"/>
      <c r="DM48" s="26"/>
      <c r="DN48" s="26"/>
      <c r="DO48" s="26"/>
      <c r="DP48" s="26"/>
      <c r="DR48" s="26"/>
      <c r="DS48" s="26"/>
      <c r="DT48" s="26"/>
      <c r="DU48" s="26"/>
      <c r="DV48" s="26"/>
      <c r="DW48" s="26"/>
      <c r="DX48" s="26"/>
      <c r="DY48" s="26"/>
      <c r="DZ48" s="26"/>
      <c r="EB48" s="26"/>
      <c r="EC48" s="26"/>
      <c r="ED48" s="26"/>
      <c r="EE48" s="26"/>
      <c r="EF48" s="26"/>
      <c r="EG48" s="26"/>
      <c r="EH48" s="26"/>
      <c r="EI48" s="26"/>
      <c r="EJ48" s="26"/>
      <c r="EL48" s="26"/>
      <c r="EM48" s="26"/>
      <c r="EN48" s="26"/>
      <c r="EO48" s="26"/>
      <c r="EP48" s="26"/>
      <c r="EQ48" s="26"/>
      <c r="ER48" s="26"/>
      <c r="ES48" s="26"/>
      <c r="ET48" s="26"/>
      <c r="EV48" s="26"/>
      <c r="EW48" s="26"/>
      <c r="EX48" s="26"/>
      <c r="EY48" s="26"/>
      <c r="EZ48" s="26"/>
      <c r="FA48" s="26"/>
      <c r="FB48" s="26"/>
      <c r="FC48" s="26"/>
      <c r="FD48" s="26"/>
      <c r="FF48" s="26"/>
      <c r="FG48" s="26"/>
      <c r="FH48" s="26"/>
      <c r="FI48" s="26"/>
      <c r="FJ48" s="26"/>
      <c r="FK48" s="26"/>
      <c r="FL48" s="26"/>
      <c r="FM48" s="26"/>
      <c r="FN48" s="26"/>
      <c r="FP48" s="26"/>
      <c r="FQ48" s="26"/>
      <c r="FR48" s="26"/>
      <c r="FS48" s="26"/>
      <c r="FT48" s="26"/>
      <c r="FU48" s="26"/>
      <c r="FV48" s="26"/>
      <c r="FW48" s="26"/>
      <c r="FX48" s="26"/>
      <c r="GB48" s="26"/>
      <c r="GC48" s="26"/>
      <c r="GD48" s="26"/>
      <c r="GE48" s="26"/>
      <c r="GF48" s="26"/>
      <c r="GG48" s="26"/>
      <c r="GH48" s="26"/>
      <c r="GI48" s="26"/>
      <c r="GJ48" s="26"/>
      <c r="GL48" s="26"/>
      <c r="GM48" s="26"/>
      <c r="GN48" s="26"/>
      <c r="GO48" s="26"/>
      <c r="GP48" s="26"/>
      <c r="GQ48" s="26"/>
      <c r="GR48" s="26"/>
      <c r="GS48" s="26"/>
      <c r="GT48" s="26"/>
      <c r="GV48" s="26"/>
      <c r="GW48" s="26"/>
      <c r="GX48" s="26"/>
      <c r="GY48" s="26"/>
      <c r="GZ48" s="26"/>
      <c r="HA48" s="26"/>
      <c r="HB48" s="26"/>
      <c r="HC48" s="26"/>
      <c r="HD48" s="26"/>
      <c r="HF48" s="26"/>
      <c r="HG48" s="26"/>
      <c r="HH48" s="26"/>
      <c r="HI48" s="26"/>
      <c r="HJ48" s="26"/>
      <c r="HK48" s="26"/>
      <c r="HL48" s="26"/>
      <c r="HM48" s="26"/>
      <c r="HN48" s="26"/>
      <c r="HP48" s="26"/>
      <c r="HQ48" s="26"/>
      <c r="HR48" s="26"/>
      <c r="HS48" s="26"/>
      <c r="HT48" s="26"/>
      <c r="HU48" s="26"/>
      <c r="HV48" s="26"/>
      <c r="HW48" s="26"/>
      <c r="HX48" s="26"/>
      <c r="HZ48" s="26"/>
      <c r="IA48" s="26"/>
      <c r="IB48" s="26"/>
      <c r="IC48" s="26"/>
      <c r="ID48" s="26"/>
      <c r="IE48" s="26"/>
      <c r="IF48" s="26"/>
      <c r="IG48" s="26"/>
      <c r="IH48" s="26"/>
      <c r="IJ48" s="26"/>
      <c r="IK48" s="26"/>
      <c r="IL48" s="26"/>
      <c r="IM48" s="26"/>
      <c r="IN48" s="26"/>
      <c r="IO48" s="26"/>
      <c r="IP48" s="26"/>
      <c r="IQ48" s="26"/>
      <c r="IR48" s="26"/>
      <c r="IT48" s="26"/>
      <c r="IU48" s="26"/>
      <c r="IV48" s="26"/>
      <c r="IW48" s="26"/>
      <c r="IX48" s="26"/>
      <c r="IY48" s="26"/>
      <c r="IZ48" s="26"/>
      <c r="JA48" s="26"/>
      <c r="JB48" s="26"/>
      <c r="JD48" s="26"/>
      <c r="JE48" s="26"/>
      <c r="JF48" s="26"/>
      <c r="JG48" s="26"/>
      <c r="JH48" s="26"/>
      <c r="JI48" s="26"/>
      <c r="JJ48" s="26"/>
      <c r="JK48" s="26"/>
      <c r="JL48" s="26"/>
      <c r="JN48" s="26"/>
      <c r="JO48" s="26"/>
      <c r="JP48" s="26"/>
      <c r="JQ48" s="26"/>
      <c r="JR48" s="26"/>
      <c r="JS48" s="26"/>
      <c r="JT48" s="26"/>
      <c r="JU48" s="26"/>
      <c r="JV48" s="26"/>
      <c r="JX48" s="26"/>
      <c r="JY48" s="26"/>
      <c r="JZ48" s="26"/>
      <c r="KA48" s="26"/>
      <c r="KB48" s="26"/>
      <c r="KC48" s="26"/>
      <c r="KD48" s="26"/>
      <c r="KE48" s="26"/>
      <c r="KF48" s="26"/>
    </row>
    <row r="49" spans="1:294" ht="39.6" customHeight="1" x14ac:dyDescent="0.25">
      <c r="A49" s="125"/>
      <c r="B49" s="141" t="s">
        <v>92</v>
      </c>
      <c r="C49" s="92" t="s">
        <v>61</v>
      </c>
      <c r="D49" s="125" t="s">
        <v>270</v>
      </c>
      <c r="E49" s="193" t="s">
        <v>630</v>
      </c>
      <c r="F49" s="92" t="s">
        <v>197</v>
      </c>
      <c r="G49" s="92" t="s">
        <v>98</v>
      </c>
      <c r="H49" s="92"/>
      <c r="I49" s="98">
        <v>2027</v>
      </c>
      <c r="J49" s="125" t="s">
        <v>99</v>
      </c>
      <c r="K49" s="92" t="e">
        <f>VLOOKUP((InputTable[[#This Row],[Starting Date]]&amp; " - " &amp;InputTable[[#This Row],[Delivery Date]]),'System List'!$F$40:$H$83,2,FALSE)</f>
        <v>#N/A</v>
      </c>
      <c r="L49" s="92" t="e">
        <f>VLOOKUP(InputTable[[#This Row],[Duration]],Duration,2,FALSE)</f>
        <v>#N/A</v>
      </c>
      <c r="M49" s="217"/>
      <c r="N49" s="92" t="s">
        <v>139</v>
      </c>
      <c r="O49" s="92" t="s">
        <v>111</v>
      </c>
      <c r="P49" s="92" t="s">
        <v>111</v>
      </c>
      <c r="Q49" s="92" t="s">
        <v>111</v>
      </c>
      <c r="R49" s="92" t="s">
        <v>111</v>
      </c>
      <c r="S49" s="92"/>
      <c r="T49" s="95" cm="1">
        <f t="array" ref="T4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5.6</v>
      </c>
      <c r="U49" s="138"/>
      <c r="V49" s="92"/>
      <c r="W49" s="92"/>
      <c r="X49" s="92"/>
      <c r="Y49" s="92"/>
      <c r="Z49" s="92"/>
      <c r="AA49" s="92"/>
      <c r="AB49" s="92"/>
      <c r="AC49" s="92"/>
      <c r="AD49" s="92">
        <f>COUNTA(InputTable[[#This Row],[CORPHRFIN]:[SALES]])</f>
        <v>0</v>
      </c>
      <c r="AE49" s="88" cm="1">
        <f t="array" ref="AE49">SUM(
_xlfn.XLOOKUP(InputTable[[#This Row],[CORPHRFIN]:[SALES]],'System List'!$F$4:$F$7,'System List'!$H$4:$H$7,0))</f>
        <v>0</v>
      </c>
      <c r="AF49" s="140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88" cm="1">
        <f t="array" ref="AR49">SUM(
_xlfn.XLOOKUP(InputTable[[#This Row],[Impact on - CIAL]:[Impact on - STRAT]],'System List'!$F$4:$F$7,'System List'!$H$4:$H$7,0))</f>
        <v>0</v>
      </c>
      <c r="AS49" s="88" t="e">
        <f>VLOOKUP(InputTable[[#This Row],[Duration]],Duration,2,FALSE)+InputTable[[#This Row],[Resource Score]]</f>
        <v>#N/A</v>
      </c>
      <c r="AT4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49" s="24" t="e">
        <f>InputTable[[#This Row],[Value Score]]/InputTable[[#This Row],[EFFORT SCORE]]*100</f>
        <v>#N/A</v>
      </c>
      <c r="AV49" s="25"/>
      <c r="AW49" s="25" t="s">
        <v>190</v>
      </c>
      <c r="AX49" s="208"/>
      <c r="AY49" s="25"/>
      <c r="AZ49" s="189"/>
      <c r="BA49" s="189"/>
      <c r="BB49" s="189"/>
      <c r="BC49" s="189"/>
      <c r="BD49" s="188"/>
      <c r="BE49" s="188"/>
      <c r="BF49" s="70"/>
      <c r="BH49" s="2">
        <f>IFERROR(VLOOKUP(InputTable[[#This Row],[Impact on - CIAL]],'System List'!$F$4:$H$7,3,FALSE),0)</f>
        <v>0</v>
      </c>
      <c r="BI49" s="2">
        <f>IFERROR(VLOOKUP(InputTable[[#This Row],[Impact on - COM]],'System List'!$F$4:$H$7,3,FALSE),0)</f>
        <v>0</v>
      </c>
      <c r="BJ49" s="2">
        <f>IFERROR(VLOOKUP(InputTable[[#This Row],[Impact on - FIN]],'System List'!$F$4:$H$7,3,FALSE),0)</f>
        <v>0</v>
      </c>
      <c r="BK49" s="2">
        <f>IFERROR(VLOOKUP(InputTable[[#This Row],[Impact on - GEN SEC]],'System List'!$F$4:$H$7,3,FALSE),0)</f>
        <v>0</v>
      </c>
      <c r="BL49" s="2">
        <f>IFERROR(VLOOKUP(InputTable[[#This Row],[Impact on - HR]],'System List'!$F$4:$H$7,3,FALSE),0)</f>
        <v>0</v>
      </c>
      <c r="BM49" s="2">
        <f>IFERROR(VLOOKUP(InputTable[[#This Row],[Impact on - IS]],'System List'!$F$4:$H$7,3,FALSE),0)</f>
        <v>0</v>
      </c>
      <c r="BN49" s="2">
        <f>IFERROR(VLOOKUP(InputTable[[#This Row],[Impact on - OPS]],'System List'!$F$4:$H$7,3,FALSE),0)</f>
        <v>0</v>
      </c>
      <c r="BO49" s="2">
        <f>IFERROR(VLOOKUP(InputTable[[#This Row],[Impact on - ROLL STOCK]],'System List'!$F$4:$H$7,3,FALSE),0)</f>
        <v>0</v>
      </c>
      <c r="BP49" s="2">
        <f>IFERROR(VLOOKUP(InputTable[[#This Row],[Impact on - SAFETY]],'System List'!$F$4:$H$7,3,FALSE),0)</f>
        <v>0</v>
      </c>
      <c r="BQ49" s="2">
        <f>IFERROR(VLOOKUP(InputTable[[#This Row],[Impact on - STATION]],'System List'!$F$4:$H$7,3,FALSE),0)</f>
        <v>0</v>
      </c>
      <c r="BR49" s="2">
        <f>IFERROR(VLOOKUP(InputTable[[#This Row],[Impact on - STRAT]],'System List'!$F$4:$H$7,3,FALSE),0)</f>
        <v>0</v>
      </c>
      <c r="BT49" s="2">
        <f>IFERROR(VLOOKUP(InputTable[[#This Row],[CORPHRFIN]],'System List'!$F$4:$H$7,3,FALSE),0)</f>
        <v>0</v>
      </c>
      <c r="BU49" s="2">
        <f>IFERROR(VLOOKUP(InputTable[[#This Row],[CUST]],'System List'!$F$4:$H$7,3,FALSE),0)</f>
        <v>0</v>
      </c>
      <c r="BV49" s="2">
        <f>IFERROR(VLOOKUP(InputTable[[#This Row],[CYBER]],'System List'!$F$4:$H$7,3,FALSE),0)</f>
        <v>0</v>
      </c>
      <c r="BW49" s="2">
        <f>IFERROR(VLOOKUP(InputTable[[#This Row],[DATA]],'System List'!$F$4:$H$7,3,FALSE),0)</f>
        <v>0</v>
      </c>
      <c r="BX49" s="2">
        <f>IFERROR(VLOOKUP(InputTable[[#This Row],[INFRA]],'System List'!$F$4:$H$7,3,FALSE),0)</f>
        <v>0</v>
      </c>
      <c r="BY49" s="2">
        <f>IFERROR(VLOOKUP(InputTable[[#This Row],[OPERATIONS]],'System List'!$F$4:$H$7,3,FALSE),0)</f>
        <v>0</v>
      </c>
      <c r="BZ49" s="2">
        <f>IFERROR(VLOOKUP(InputTable[[#This Row],[PMO]],'System List'!$F$4:$H$7,3,FALSE),0)</f>
        <v>0</v>
      </c>
      <c r="CA49" s="2">
        <f>IFERROR(VLOOKUP(InputTable[[#This Row],[SALES]],'System List'!$F$4:$H$7,3,FALSE),0)</f>
        <v>0</v>
      </c>
      <c r="CC49" s="2" cm="1">
        <f t="array" ref="CC4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49" s="2" cm="1">
        <f t="array" ref="CD4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49" s="2" cm="1">
        <f t="array" ref="CE4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49" s="2" cm="1">
        <f t="array" ref="CF4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49" s="2" cm="1">
        <f t="array" ref="CG4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49" s="2" cm="1">
        <f t="array" ref="CH4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49" s="2" cm="1">
        <f t="array" ref="CI4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49" s="2" cm="1">
        <f t="array" ref="CJ4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49" s="2" cm="1">
        <f t="array" ref="CK4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4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4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4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4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4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4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4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4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4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49" s="26">
        <f t="shared" si="151"/>
        <v>0</v>
      </c>
      <c r="CY49" s="26">
        <f t="shared" si="152"/>
        <v>0</v>
      </c>
      <c r="CZ49" s="26">
        <f t="shared" si="153"/>
        <v>0</v>
      </c>
      <c r="DA49" s="26">
        <f t="shared" si="154"/>
        <v>0</v>
      </c>
      <c r="DB49" s="26">
        <f t="shared" si="155"/>
        <v>0</v>
      </c>
      <c r="DC49" s="26">
        <f t="shared" si="156"/>
        <v>0</v>
      </c>
      <c r="DD49" s="26">
        <f t="shared" si="157"/>
        <v>0</v>
      </c>
      <c r="DE49" s="26">
        <f t="shared" si="158"/>
        <v>0</v>
      </c>
      <c r="DF49" s="26">
        <f t="shared" si="159"/>
        <v>0</v>
      </c>
      <c r="DH49" s="26">
        <f t="shared" si="160"/>
        <v>0</v>
      </c>
      <c r="DI49" s="26">
        <f t="shared" si="161"/>
        <v>0</v>
      </c>
      <c r="DJ49" s="26">
        <f t="shared" si="162"/>
        <v>0</v>
      </c>
      <c r="DK49" s="26">
        <f t="shared" si="163"/>
        <v>0</v>
      </c>
      <c r="DL49" s="26">
        <f t="shared" si="164"/>
        <v>0</v>
      </c>
      <c r="DM49" s="26">
        <f t="shared" si="165"/>
        <v>0</v>
      </c>
      <c r="DN49" s="26">
        <f t="shared" si="166"/>
        <v>0</v>
      </c>
      <c r="DO49" s="26">
        <f t="shared" si="167"/>
        <v>0</v>
      </c>
      <c r="DP49" s="26">
        <f t="shared" si="168"/>
        <v>0</v>
      </c>
      <c r="DR49" s="26">
        <f t="shared" si="169"/>
        <v>0</v>
      </c>
      <c r="DS49" s="26">
        <f t="shared" si="170"/>
        <v>0</v>
      </c>
      <c r="DT49" s="26">
        <f t="shared" si="171"/>
        <v>0</v>
      </c>
      <c r="DU49" s="26">
        <f t="shared" si="172"/>
        <v>0</v>
      </c>
      <c r="DV49" s="26">
        <f t="shared" si="173"/>
        <v>0</v>
      </c>
      <c r="DW49" s="26">
        <f t="shared" si="174"/>
        <v>0</v>
      </c>
      <c r="DX49" s="26">
        <f t="shared" si="175"/>
        <v>0</v>
      </c>
      <c r="DY49" s="26">
        <f t="shared" si="176"/>
        <v>0</v>
      </c>
      <c r="DZ49" s="26">
        <f t="shared" si="177"/>
        <v>0</v>
      </c>
      <c r="EB49" s="26">
        <f t="shared" si="178"/>
        <v>0</v>
      </c>
      <c r="EC49" s="26">
        <f t="shared" si="179"/>
        <v>0</v>
      </c>
      <c r="ED49" s="26">
        <f t="shared" si="180"/>
        <v>0</v>
      </c>
      <c r="EE49" s="26">
        <f t="shared" si="181"/>
        <v>0</v>
      </c>
      <c r="EF49" s="26">
        <f t="shared" si="182"/>
        <v>0</v>
      </c>
      <c r="EG49" s="26">
        <f t="shared" si="183"/>
        <v>0</v>
      </c>
      <c r="EH49" s="26">
        <f t="shared" si="184"/>
        <v>0</v>
      </c>
      <c r="EI49" s="26">
        <f t="shared" si="185"/>
        <v>0</v>
      </c>
      <c r="EJ49" s="26">
        <f t="shared" si="186"/>
        <v>0</v>
      </c>
      <c r="EL49" s="26">
        <f t="shared" si="187"/>
        <v>0</v>
      </c>
      <c r="EM49" s="26">
        <f t="shared" si="188"/>
        <v>0</v>
      </c>
      <c r="EN49" s="26">
        <f t="shared" si="189"/>
        <v>0</v>
      </c>
      <c r="EO49" s="26">
        <f t="shared" si="190"/>
        <v>0</v>
      </c>
      <c r="EP49" s="26">
        <f t="shared" si="191"/>
        <v>0</v>
      </c>
      <c r="EQ49" s="26">
        <f t="shared" si="192"/>
        <v>0</v>
      </c>
      <c r="ER49" s="26">
        <f t="shared" si="193"/>
        <v>0</v>
      </c>
      <c r="ES49" s="26">
        <f t="shared" si="194"/>
        <v>0</v>
      </c>
      <c r="ET49" s="26">
        <f t="shared" si="195"/>
        <v>0</v>
      </c>
      <c r="EV49" s="26">
        <f t="shared" si="196"/>
        <v>0</v>
      </c>
      <c r="EW49" s="26">
        <f t="shared" si="197"/>
        <v>0</v>
      </c>
      <c r="EX49" s="26">
        <f t="shared" si="198"/>
        <v>0</v>
      </c>
      <c r="EY49" s="26">
        <f t="shared" si="199"/>
        <v>0</v>
      </c>
      <c r="EZ49" s="26">
        <f t="shared" si="200"/>
        <v>0</v>
      </c>
      <c r="FA49" s="26">
        <f t="shared" si="201"/>
        <v>0</v>
      </c>
      <c r="FB49" s="26">
        <f t="shared" si="202"/>
        <v>0</v>
      </c>
      <c r="FC49" s="26">
        <f t="shared" si="203"/>
        <v>0</v>
      </c>
      <c r="FD49" s="26">
        <f t="shared" si="204"/>
        <v>0</v>
      </c>
      <c r="FF49" s="26">
        <f t="shared" si="205"/>
        <v>0</v>
      </c>
      <c r="FG49" s="26">
        <f t="shared" si="206"/>
        <v>0</v>
      </c>
      <c r="FH49" s="26">
        <f t="shared" si="207"/>
        <v>0</v>
      </c>
      <c r="FI49" s="26">
        <f t="shared" si="208"/>
        <v>0</v>
      </c>
      <c r="FJ49" s="26">
        <f t="shared" si="209"/>
        <v>0</v>
      </c>
      <c r="FK49" s="26">
        <f t="shared" si="210"/>
        <v>0</v>
      </c>
      <c r="FL49" s="26">
        <f t="shared" si="211"/>
        <v>0</v>
      </c>
      <c r="FM49" s="26">
        <f t="shared" si="212"/>
        <v>0</v>
      </c>
      <c r="FN49" s="26">
        <f t="shared" si="213"/>
        <v>0</v>
      </c>
      <c r="FP49" s="26" t="e">
        <f t="shared" si="214"/>
        <v>#REF!</v>
      </c>
      <c r="FQ49" s="26" t="e">
        <f t="shared" si="215"/>
        <v>#REF!</v>
      </c>
      <c r="FR49" s="26" t="e">
        <f t="shared" si="216"/>
        <v>#REF!</v>
      </c>
      <c r="FS49" s="26" t="e">
        <f t="shared" si="217"/>
        <v>#REF!</v>
      </c>
      <c r="FT49" s="26" t="e">
        <f t="shared" si="218"/>
        <v>#REF!</v>
      </c>
      <c r="FU49" s="26" t="e">
        <f t="shared" si="219"/>
        <v>#REF!</v>
      </c>
      <c r="FV49" s="26" t="e">
        <f t="shared" si="220"/>
        <v>#REF!</v>
      </c>
      <c r="FW49" s="26" t="e">
        <f t="shared" si="221"/>
        <v>#REF!</v>
      </c>
      <c r="FX49" s="26" t="e">
        <f t="shared" si="222"/>
        <v>#REF!</v>
      </c>
      <c r="GB49" s="26" t="e">
        <f>IF(GB$2=InputTable[[#This Row],[Delivery Date]],_xlfn.XLOOKUP(GB$1,$BH$2:$BR$2,$BH49:$BR49,0),0)</f>
        <v>#REF!</v>
      </c>
      <c r="GC49" s="26">
        <f>IF(GC$2=InputTable[[#This Row],[Delivery Date]],_xlfn.XLOOKUP(GC$1,$BH$2:$BR$2,$BH49:$BR49,0),0)</f>
        <v>0</v>
      </c>
      <c r="GD49" s="26">
        <f>IF(GD$2=InputTable[[#This Row],[Delivery Date]],_xlfn.XLOOKUP(GD$1,$BH$2:$BR$2,$BH49:$BR49,0),0)</f>
        <v>0</v>
      </c>
      <c r="GE49" s="26">
        <f>IF(GE$2=InputTable[[#This Row],[Delivery Date]],_xlfn.XLOOKUP(GE$1,$BH$2:$BR$2,$BH49:$BR49,0),0)</f>
        <v>0</v>
      </c>
      <c r="GF49" s="26">
        <f>IF(GF$2=InputTable[[#This Row],[Delivery Date]],_xlfn.XLOOKUP(GF$1,$BH$2:$BR$2,$BH49:$BR49,0),0)</f>
        <v>0</v>
      </c>
      <c r="GG49" s="26">
        <f>IF(GG$2=InputTable[[#This Row],[Delivery Date]],_xlfn.XLOOKUP(GG$1,$BH$2:$BR$2,$BH49:$BR49,0),0)</f>
        <v>0</v>
      </c>
      <c r="GH49" s="26">
        <f>IF(GH$2=InputTable[[#This Row],[Delivery Date]],_xlfn.XLOOKUP(GH$1,$BH$2:$BR$2,$BH49:$BR49,0),0)</f>
        <v>0</v>
      </c>
      <c r="GI49" s="26">
        <f>IF(GI$2=InputTable[[#This Row],[Delivery Date]],_xlfn.XLOOKUP(GI$1,$BH$2:$BR$2,$BH49:$BR49,0),0)</f>
        <v>0</v>
      </c>
      <c r="GJ49" s="26">
        <f>IF(GJ$2=InputTable[[#This Row],[Delivery Date]],_xlfn.XLOOKUP(GJ$1,$BH$2:$BR$2,$BH49:$BR49,0),0)</f>
        <v>0</v>
      </c>
      <c r="GL49" s="26" t="e">
        <f>IF(GL$2=InputTable[[#This Row],[Delivery Date]],_xlfn.XLOOKUP(GL$1,$BH$2:$BR$2,$BH49:$BR49,0),0)</f>
        <v>#REF!</v>
      </c>
      <c r="GM49" s="26">
        <f>IF(GM$2=InputTable[[#This Row],[Delivery Date]],_xlfn.XLOOKUP(GM$1,$BH$2:$BR$2,$BH49:$BR49,0),0)</f>
        <v>0</v>
      </c>
      <c r="GN49" s="26">
        <f>IF(GN$2=InputTable[[#This Row],[Delivery Date]],_xlfn.XLOOKUP(GN$1,$BH$2:$BR$2,$BH49:$BR49,0),0)</f>
        <v>0</v>
      </c>
      <c r="GO49" s="26">
        <f>IF(GO$2=InputTable[[#This Row],[Delivery Date]],_xlfn.XLOOKUP(GO$1,$BH$2:$BR$2,$BH49:$BR49,0),0)</f>
        <v>0</v>
      </c>
      <c r="GP49" s="26">
        <f>IF(GP$2=InputTable[[#This Row],[Delivery Date]],_xlfn.XLOOKUP(GP$1,$BH$2:$BR$2,$BH49:$BR49,0),0)</f>
        <v>0</v>
      </c>
      <c r="GQ49" s="26">
        <f>IF(GQ$2=InputTable[[#This Row],[Delivery Date]],_xlfn.XLOOKUP(GQ$1,$BH$2:$BR$2,$BH49:$BR49,0),0)</f>
        <v>0</v>
      </c>
      <c r="GR49" s="26">
        <f>IF(GR$2=InputTable[[#This Row],[Delivery Date]],_xlfn.XLOOKUP(GR$1,$BH$2:$BR$2,$BH49:$BR49,0),0)</f>
        <v>0</v>
      </c>
      <c r="GS49" s="26">
        <f>IF(GS$2=InputTable[[#This Row],[Delivery Date]],_xlfn.XLOOKUP(GS$1,$BH$2:$BR$2,$BH49:$BR49,0),0)</f>
        <v>0</v>
      </c>
      <c r="GT49" s="26">
        <f>IF(GT$2=InputTable[[#This Row],[Delivery Date]],_xlfn.XLOOKUP(GT$1,$BH$2:$BR$2,$BH49:$BR49,0),0)</f>
        <v>0</v>
      </c>
      <c r="GV49" s="26" t="e">
        <f>IF(GV$2=InputTable[[#This Row],[Delivery Date]],_xlfn.XLOOKUP(GV$1,$BH$2:$BR$2,$BH49:$BR49,0),0)</f>
        <v>#REF!</v>
      </c>
      <c r="GW49" s="26">
        <f>IF(GW$2=InputTable[[#This Row],[Delivery Date]],_xlfn.XLOOKUP(GW$1,$BH$2:$BR$2,$BH49:$BR49,0),0)</f>
        <v>0</v>
      </c>
      <c r="GX49" s="26">
        <f>IF(GX$2=InputTable[[#This Row],[Delivery Date]],_xlfn.XLOOKUP(GX$1,$BH$2:$BR$2,$BH49:$BR49,0),0)</f>
        <v>0</v>
      </c>
      <c r="GY49" s="26">
        <f>IF(GY$2=InputTable[[#This Row],[Delivery Date]],_xlfn.XLOOKUP(GY$1,$BH$2:$BR$2,$BH49:$BR49,0),0)</f>
        <v>0</v>
      </c>
      <c r="GZ49" s="26">
        <f>IF(GZ$2=InputTable[[#This Row],[Delivery Date]],_xlfn.XLOOKUP(GZ$1,$BH$2:$BR$2,$BH49:$BR49,0),0)</f>
        <v>0</v>
      </c>
      <c r="HA49" s="26">
        <f>IF(HA$2=InputTable[[#This Row],[Delivery Date]],_xlfn.XLOOKUP(HA$1,$BH$2:$BR$2,$BH49:$BR49,0),0)</f>
        <v>0</v>
      </c>
      <c r="HB49" s="26">
        <f>IF(HB$2=InputTable[[#This Row],[Delivery Date]],_xlfn.XLOOKUP(HB$1,$BH$2:$BR$2,$BH49:$BR49,0),0)</f>
        <v>0</v>
      </c>
      <c r="HC49" s="26">
        <f>IF(HC$2=InputTable[[#This Row],[Delivery Date]],_xlfn.XLOOKUP(HC$1,$BH$2:$BR$2,$BH49:$BR49,0),0)</f>
        <v>0</v>
      </c>
      <c r="HD49" s="26">
        <f>IF(HD$2=InputTable[[#This Row],[Delivery Date]],_xlfn.XLOOKUP(HD$1,$BH$2:$BR$2,$BH49:$BR49,0),0)</f>
        <v>0</v>
      </c>
      <c r="HF49" s="26" t="e">
        <f>IF(HF$2=InputTable[[#This Row],[Delivery Date]],_xlfn.XLOOKUP(HF$1,$BH$2:$BR$2,$BH49:$BR49,0),0)</f>
        <v>#REF!</v>
      </c>
      <c r="HG49" s="26">
        <f>IF(HG$2=InputTable[[#This Row],[Delivery Date]],_xlfn.XLOOKUP(HG$1,$BH$2:$BR$2,$BH49:$BR49,0),0)</f>
        <v>0</v>
      </c>
      <c r="HH49" s="26">
        <f>IF(HH$2=InputTable[[#This Row],[Delivery Date]],_xlfn.XLOOKUP(HH$1,$BH$2:$BR$2,$BH49:$BR49,0),0)</f>
        <v>0</v>
      </c>
      <c r="HI49" s="26">
        <f>IF(HI$2=InputTable[[#This Row],[Delivery Date]],_xlfn.XLOOKUP(HI$1,$BH$2:$BR$2,$BH49:$BR49,0),0)</f>
        <v>0</v>
      </c>
      <c r="HJ49" s="26">
        <f>IF(HJ$2=InputTable[[#This Row],[Delivery Date]],_xlfn.XLOOKUP(HJ$1,$BH$2:$BR$2,$BH49:$BR49,0),0)</f>
        <v>0</v>
      </c>
      <c r="HK49" s="26">
        <f>IF(HK$2=InputTable[[#This Row],[Delivery Date]],_xlfn.XLOOKUP(HK$1,$BH$2:$BR$2,$BH49:$BR49,0),0)</f>
        <v>0</v>
      </c>
      <c r="HL49" s="26">
        <f>IF(HL$2=InputTable[[#This Row],[Delivery Date]],_xlfn.XLOOKUP(HL$1,$BH$2:$BR$2,$BH49:$BR49,0),0)</f>
        <v>0</v>
      </c>
      <c r="HM49" s="26">
        <f>IF(HM$2=InputTable[[#This Row],[Delivery Date]],_xlfn.XLOOKUP(HM$1,$BH$2:$BR$2,$BH49:$BR49,0),0)</f>
        <v>0</v>
      </c>
      <c r="HN49" s="26">
        <f>IF(HN$2=InputTable[[#This Row],[Delivery Date]],_xlfn.XLOOKUP(HN$1,$BH$2:$BR$2,$BH49:$BR49,0),0)</f>
        <v>0</v>
      </c>
      <c r="HP49" s="26" t="e">
        <f>IF(HP$2=InputTable[[#This Row],[Delivery Date]],_xlfn.XLOOKUP(HP$1,$BH$2:$BR$2,$BH49:$BR49,0),0)</f>
        <v>#REF!</v>
      </c>
      <c r="HQ49" s="26">
        <f>IF(HQ$2=InputTable[[#This Row],[Delivery Date]],_xlfn.XLOOKUP(HQ$1,$BH$2:$BR$2,$BH49:$BR49,0),0)</f>
        <v>0</v>
      </c>
      <c r="HR49" s="26">
        <f>IF(HR$2=InputTable[[#This Row],[Delivery Date]],_xlfn.XLOOKUP(HR$1,$BH$2:$BR$2,$BH49:$BR49,0),0)</f>
        <v>0</v>
      </c>
      <c r="HS49" s="26">
        <f>IF(HS$2=InputTable[[#This Row],[Delivery Date]],_xlfn.XLOOKUP(HS$1,$BH$2:$BR$2,$BH49:$BR49,0),0)</f>
        <v>0</v>
      </c>
      <c r="HT49" s="26">
        <f>IF(HT$2=InputTable[[#This Row],[Delivery Date]],_xlfn.XLOOKUP(HT$1,$BH$2:$BR$2,$BH49:$BR49,0),0)</f>
        <v>0</v>
      </c>
      <c r="HU49" s="26">
        <f>IF(HU$2=InputTable[[#This Row],[Delivery Date]],_xlfn.XLOOKUP(HU$1,$BH$2:$BR$2,$BH49:$BR49,0),0)</f>
        <v>0</v>
      </c>
      <c r="HV49" s="26">
        <f>IF(HV$2=InputTable[[#This Row],[Delivery Date]],_xlfn.XLOOKUP(HV$1,$BH$2:$BR$2,$BH49:$BR49,0),0)</f>
        <v>0</v>
      </c>
      <c r="HW49" s="26">
        <f>IF(HW$2=InputTable[[#This Row],[Delivery Date]],_xlfn.XLOOKUP(HW$1,$BH$2:$BR$2,$BH49:$BR49,0),0)</f>
        <v>0</v>
      </c>
      <c r="HX49" s="26">
        <f>IF(HX$2=InputTable[[#This Row],[Delivery Date]],_xlfn.XLOOKUP(HX$1,$BH$2:$BR$2,$BH49:$BR49,0),0)</f>
        <v>0</v>
      </c>
      <c r="HZ49" s="26" t="e">
        <f>IF(HZ$2=InputTable[[#This Row],[Delivery Date]],_xlfn.XLOOKUP(HZ$1,$BH$2:$BR$2,$BH49:$BR49,0),0)</f>
        <v>#REF!</v>
      </c>
      <c r="IA49" s="26">
        <f>IF(IA$2=InputTable[[#This Row],[Delivery Date]],_xlfn.XLOOKUP(IA$1,$BH$2:$BR$2,$BH49:$BR49,0),0)</f>
        <v>0</v>
      </c>
      <c r="IB49" s="26">
        <f>IF(IB$2=InputTable[[#This Row],[Delivery Date]],_xlfn.XLOOKUP(IB$1,$BH$2:$BR$2,$BH49:$BR49,0),0)</f>
        <v>0</v>
      </c>
      <c r="IC49" s="26">
        <f>IF(IC$2=InputTable[[#This Row],[Delivery Date]],_xlfn.XLOOKUP(IC$1,$BH$2:$BR$2,$BH49:$BR49,0),0)</f>
        <v>0</v>
      </c>
      <c r="ID49" s="26">
        <f>IF(ID$2=InputTable[[#This Row],[Delivery Date]],_xlfn.XLOOKUP(ID$1,$BH$2:$BR$2,$BH49:$BR49,0),0)</f>
        <v>0</v>
      </c>
      <c r="IE49" s="26">
        <f>IF(IE$2=InputTable[[#This Row],[Delivery Date]],_xlfn.XLOOKUP(IE$1,$BH$2:$BR$2,$BH49:$BR49,0),0)</f>
        <v>0</v>
      </c>
      <c r="IF49" s="26">
        <f>IF(IF$2=InputTable[[#This Row],[Delivery Date]],_xlfn.XLOOKUP(IF$1,$BH$2:$BR$2,$BH49:$BR49,0),0)</f>
        <v>0</v>
      </c>
      <c r="IG49" s="26">
        <f>IF(IG$2=InputTable[[#This Row],[Delivery Date]],_xlfn.XLOOKUP(IG$1,$BH$2:$BR$2,$BH49:$BR49,0),0)</f>
        <v>0</v>
      </c>
      <c r="IH49" s="26">
        <f>IF(IH$2=InputTable[[#This Row],[Delivery Date]],_xlfn.XLOOKUP(IH$1,$BH$2:$BR$2,$BH49:$BR49,0),0)</f>
        <v>0</v>
      </c>
      <c r="IJ49" s="26" t="e">
        <f>IF(IJ$2=InputTable[[#This Row],[Delivery Date]],_xlfn.XLOOKUP(IJ$1,$BH$2:$BR$2,$BH49:$BR49,0),0)</f>
        <v>#REF!</v>
      </c>
      <c r="IK49" s="26">
        <f>IF(IK$2=InputTable[[#This Row],[Delivery Date]],_xlfn.XLOOKUP(IK$1,$BH$2:$BR$2,$BH49:$BR49,0),0)</f>
        <v>0</v>
      </c>
      <c r="IL49" s="26">
        <f>IF(IL$2=InputTable[[#This Row],[Delivery Date]],_xlfn.XLOOKUP(IL$1,$BH$2:$BR$2,$BH49:$BR49,0),0)</f>
        <v>0</v>
      </c>
      <c r="IM49" s="26">
        <f>IF(IM$2=InputTable[[#This Row],[Delivery Date]],_xlfn.XLOOKUP(IM$1,$BH$2:$BR$2,$BH49:$BR49,0),0)</f>
        <v>0</v>
      </c>
      <c r="IN49" s="26">
        <f>IF(IN$2=InputTable[[#This Row],[Delivery Date]],_xlfn.XLOOKUP(IN$1,$BH$2:$BR$2,$BH49:$BR49,0),0)</f>
        <v>0</v>
      </c>
      <c r="IO49" s="26">
        <f>IF(IO$2=InputTable[[#This Row],[Delivery Date]],_xlfn.XLOOKUP(IO$1,$BH$2:$BR$2,$BH49:$BR49,0),0)</f>
        <v>0</v>
      </c>
      <c r="IP49" s="26">
        <f>IF(IP$2=InputTable[[#This Row],[Delivery Date]],_xlfn.XLOOKUP(IP$1,$BH$2:$BR$2,$BH49:$BR49,0),0)</f>
        <v>0</v>
      </c>
      <c r="IQ49" s="26">
        <f>IF(IQ$2=InputTable[[#This Row],[Delivery Date]],_xlfn.XLOOKUP(IQ$1,$BH$2:$BR$2,$BH49:$BR49,0),0)</f>
        <v>0</v>
      </c>
      <c r="IR49" s="26">
        <f>IF(IR$2=InputTable[[#This Row],[Delivery Date]],_xlfn.XLOOKUP(IR$1,$BH$2:$BR$2,$BH49:$BR49,0),0)</f>
        <v>0</v>
      </c>
      <c r="IT49" s="26" t="e">
        <f>IF(IT$2=InputTable[[#This Row],[Delivery Date]],_xlfn.XLOOKUP(IT$1,$BH$2:$BR$2,$BH49:$BR49,0),0)</f>
        <v>#REF!</v>
      </c>
      <c r="IU49" s="26">
        <f>IF(IU$2=InputTable[[#This Row],[Delivery Date]],_xlfn.XLOOKUP(IU$1,$BH$2:$BR$2,$BH49:$BR49,0),0)</f>
        <v>0</v>
      </c>
      <c r="IV49" s="26">
        <f>IF(IV$2=InputTable[[#This Row],[Delivery Date]],_xlfn.XLOOKUP(IV$1,$BH$2:$BR$2,$BH49:$BR49,0),0)</f>
        <v>0</v>
      </c>
      <c r="IW49" s="26">
        <f>IF(IW$2=InputTable[[#This Row],[Delivery Date]],_xlfn.XLOOKUP(IW$1,$BH$2:$BR$2,$BH49:$BR49,0),0)</f>
        <v>0</v>
      </c>
      <c r="IX49" s="26">
        <f>IF(IX$2=InputTable[[#This Row],[Delivery Date]],_xlfn.XLOOKUP(IX$1,$BH$2:$BR$2,$BH49:$BR49,0),0)</f>
        <v>0</v>
      </c>
      <c r="IY49" s="26">
        <f>IF(IY$2=InputTable[[#This Row],[Delivery Date]],_xlfn.XLOOKUP(IY$1,$BH$2:$BR$2,$BH49:$BR49,0),0)</f>
        <v>0</v>
      </c>
      <c r="IZ49" s="26">
        <f>IF(IZ$2=InputTable[[#This Row],[Delivery Date]],_xlfn.XLOOKUP(IZ$1,$BH$2:$BR$2,$BH49:$BR49,0),0)</f>
        <v>0</v>
      </c>
      <c r="JA49" s="26">
        <f>IF(JA$2=InputTable[[#This Row],[Delivery Date]],_xlfn.XLOOKUP(JA$1,$BH$2:$BR$2,$BH49:$BR49,0),0)</f>
        <v>0</v>
      </c>
      <c r="JB49" s="26">
        <f>IF(JB$2=InputTable[[#This Row],[Delivery Date]],_xlfn.XLOOKUP(JB$1,$BH$2:$BR$2,$BH49:$BR49,0),0)</f>
        <v>0</v>
      </c>
      <c r="JD49" s="26" t="e">
        <f>IF(JD$2=InputTable[[#This Row],[Delivery Date]],_xlfn.XLOOKUP(JD$1,$BH$2:$BR$2,$BH49:$BR49,0),0)</f>
        <v>#REF!</v>
      </c>
      <c r="JE49" s="26">
        <f>IF(JE$2=InputTable[[#This Row],[Delivery Date]],_xlfn.XLOOKUP(JE$1,$BH$2:$BR$2,$BH49:$BR49,0),0)</f>
        <v>0</v>
      </c>
      <c r="JF49" s="26">
        <f>IF(JF$2=InputTable[[#This Row],[Delivery Date]],_xlfn.XLOOKUP(JF$1,$BH$2:$BR$2,$BH49:$BR49,0),0)</f>
        <v>0</v>
      </c>
      <c r="JG49" s="26">
        <f>IF(JG$2=InputTable[[#This Row],[Delivery Date]],_xlfn.XLOOKUP(JG$1,$BH$2:$BR$2,$BH49:$BR49,0),0)</f>
        <v>0</v>
      </c>
      <c r="JH49" s="26">
        <f>IF(JH$2=InputTable[[#This Row],[Delivery Date]],_xlfn.XLOOKUP(JH$1,$BH$2:$BR$2,$BH49:$BR49,0),0)</f>
        <v>0</v>
      </c>
      <c r="JI49" s="26">
        <f>IF(JI$2=InputTable[[#This Row],[Delivery Date]],_xlfn.XLOOKUP(JI$1,$BH$2:$BR$2,$BH49:$BR49,0),0)</f>
        <v>0</v>
      </c>
      <c r="JJ49" s="26">
        <f>IF(JJ$2=InputTable[[#This Row],[Delivery Date]],_xlfn.XLOOKUP(JJ$1,$BH$2:$BR$2,$BH49:$BR49,0),0)</f>
        <v>0</v>
      </c>
      <c r="JK49" s="26">
        <f>IF(JK$2=InputTable[[#This Row],[Delivery Date]],_xlfn.XLOOKUP(JK$1,$BH$2:$BR$2,$BH49:$BR49,0),0)</f>
        <v>0</v>
      </c>
      <c r="JL49" s="26">
        <f>IF(JL$2=InputTable[[#This Row],[Delivery Date]],_xlfn.XLOOKUP(JL$1,$BH$2:$BR$2,$BH49:$BR49,0),0)</f>
        <v>0</v>
      </c>
      <c r="JN49" s="26" t="e">
        <f>IF(JN$2=InputTable[[#This Row],[Delivery Date]],_xlfn.XLOOKUP(JN$1,$BH$2:$BR$2,$BH49:$BR49,0),0)</f>
        <v>#REF!</v>
      </c>
      <c r="JO49" s="26">
        <f>IF(JO$2=InputTable[[#This Row],[Delivery Date]],_xlfn.XLOOKUP(JO$1,$BH$2:$BR$2,$BH49:$BR49,0),0)</f>
        <v>0</v>
      </c>
      <c r="JP49" s="26">
        <f>IF(JP$2=InputTable[[#This Row],[Delivery Date]],_xlfn.XLOOKUP(JP$1,$BH$2:$BR$2,$BH49:$BR49,0),0)</f>
        <v>0</v>
      </c>
      <c r="JQ49" s="26">
        <f>IF(JQ$2=InputTable[[#This Row],[Delivery Date]],_xlfn.XLOOKUP(JQ$1,$BH$2:$BR$2,$BH49:$BR49,0),0)</f>
        <v>0</v>
      </c>
      <c r="JR49" s="26">
        <f>IF(JR$2=InputTable[[#This Row],[Delivery Date]],_xlfn.XLOOKUP(JR$1,$BH$2:$BR$2,$BH49:$BR49,0),0)</f>
        <v>0</v>
      </c>
      <c r="JS49" s="26">
        <f>IF(JS$2=InputTable[[#This Row],[Delivery Date]],_xlfn.XLOOKUP(JS$1,$BH$2:$BR$2,$BH49:$BR49,0),0)</f>
        <v>0</v>
      </c>
      <c r="JT49" s="26">
        <f>IF(JT$2=InputTable[[#This Row],[Delivery Date]],_xlfn.XLOOKUP(JT$1,$BH$2:$BR$2,$BH49:$BR49,0),0)</f>
        <v>0</v>
      </c>
      <c r="JU49" s="26">
        <f>IF(JU$2=InputTable[[#This Row],[Delivery Date]],_xlfn.XLOOKUP(JU$1,$BH$2:$BR$2,$BH49:$BR49,0),0)</f>
        <v>0</v>
      </c>
      <c r="JV49" s="26">
        <f>IF(JV$2=InputTable[[#This Row],[Delivery Date]],_xlfn.XLOOKUP(JV$1,$BH$2:$BR$2,$BH49:$BR49,0),0)</f>
        <v>0</v>
      </c>
      <c r="JX49" s="26" t="e">
        <f>IF(JX$2=InputTable[[#This Row],[Delivery Date]],_xlfn.XLOOKUP(JX$1,$BH$2:$BR$2,$BH49:$BR49,0),0)</f>
        <v>#REF!</v>
      </c>
      <c r="JY49" s="26">
        <f>IF(JY$2=InputTable[[#This Row],[Delivery Date]],_xlfn.XLOOKUP(JY$1,$BH$2:$BR$2,$BH49:$BR49,0),0)</f>
        <v>0</v>
      </c>
      <c r="JZ49" s="26">
        <f>IF(JZ$2=InputTable[[#This Row],[Delivery Date]],_xlfn.XLOOKUP(JZ$1,$BH$2:$BR$2,$BH49:$BR49,0),0)</f>
        <v>0</v>
      </c>
      <c r="KA49" s="26">
        <f>IF(KA$2=InputTable[[#This Row],[Delivery Date]],_xlfn.XLOOKUP(KA$1,$BH$2:$BR$2,$BH49:$BR49,0),0)</f>
        <v>0</v>
      </c>
      <c r="KB49" s="26">
        <f>IF(KB$2=InputTable[[#This Row],[Delivery Date]],_xlfn.XLOOKUP(KB$1,$BH$2:$BR$2,$BH49:$BR49,0),0)</f>
        <v>0</v>
      </c>
      <c r="KC49" s="26">
        <f>IF(KC$2=InputTable[[#This Row],[Delivery Date]],_xlfn.XLOOKUP(KC$1,$BH$2:$BR$2,$BH49:$BR49,0),0)</f>
        <v>0</v>
      </c>
      <c r="KD49" s="26">
        <f>IF(KD$2=InputTable[[#This Row],[Delivery Date]],_xlfn.XLOOKUP(KD$1,$BH$2:$BR$2,$BH49:$BR49,0),0)</f>
        <v>0</v>
      </c>
      <c r="KE49" s="26">
        <f>IF(KE$2=InputTable[[#This Row],[Delivery Date]],_xlfn.XLOOKUP(KE$1,$BH$2:$BR$2,$BH49:$BR49,0),0)</f>
        <v>0</v>
      </c>
      <c r="KF49" s="26">
        <f>IF(KF$2=InputTable[[#This Row],[Delivery Date]],_xlfn.XLOOKUP(KF$1,$BH$2:$BR$2,$BH49:$BR49,0),0)</f>
        <v>0</v>
      </c>
    </row>
    <row r="50" spans="1:294" ht="39.6" customHeight="1" x14ac:dyDescent="0.25">
      <c r="A50" s="141" t="s">
        <v>271</v>
      </c>
      <c r="B50" s="141" t="s">
        <v>104</v>
      </c>
      <c r="C50" s="92" t="s">
        <v>60</v>
      </c>
      <c r="D50" s="125" t="s">
        <v>272</v>
      </c>
      <c r="E50" s="193" t="s">
        <v>273</v>
      </c>
      <c r="F50" s="92" t="s">
        <v>241</v>
      </c>
      <c r="G50" s="92">
        <v>2026</v>
      </c>
      <c r="H50" s="92"/>
      <c r="I50" s="92">
        <v>2026</v>
      </c>
      <c r="J50" s="125"/>
      <c r="K50" s="95" t="str">
        <f>VLOOKUP((InputTable[[#This Row],[Starting Date]]&amp; " - " &amp;InputTable[[#This Row],[Delivery Date]]),'System List'!$F$40:$H$83,2,FALSE)</f>
        <v>1 to 2 years</v>
      </c>
      <c r="L50" s="95">
        <f>VLOOKUP(InputTable[[#This Row],[Duration]],Duration,2,FALSE)</f>
        <v>8</v>
      </c>
      <c r="M50" s="125"/>
      <c r="N50" s="92"/>
      <c r="O50" s="92"/>
      <c r="P50" s="92"/>
      <c r="Q50" s="92" t="s">
        <v>111</v>
      </c>
      <c r="R50" s="92" t="s">
        <v>139</v>
      </c>
      <c r="S50" s="92"/>
      <c r="T50" s="95" cm="1">
        <f t="array" ref="T5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2.9</v>
      </c>
      <c r="U50" s="138"/>
      <c r="V50" s="92"/>
      <c r="W50" s="92"/>
      <c r="X50" s="92"/>
      <c r="Y50" s="92"/>
      <c r="Z50" s="98" t="s">
        <v>111</v>
      </c>
      <c r="AA50" s="92"/>
      <c r="AB50" s="92"/>
      <c r="AC50" s="92"/>
      <c r="AD50" s="92">
        <f>COUNTA(InputTable[[#This Row],[CORPHRFIN]:[SALES]])</f>
        <v>1</v>
      </c>
      <c r="AE50" s="88" cm="1">
        <f t="array" ref="AE50">SUM(
_xlfn.XLOOKUP(InputTable[[#This Row],[CORPHRFIN]:[SALES]],'System List'!$F$4:$F$7,'System List'!$H$4:$H$7,0))</f>
        <v>5</v>
      </c>
      <c r="AF50" s="140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88" cm="1">
        <f t="array" ref="AR50">SUM(
_xlfn.XLOOKUP(InputTable[[#This Row],[Impact on - CIAL]:[Impact on - STRAT]],'System List'!$F$4:$F$7,'System List'!$H$4:$H$7,0))</f>
        <v>0</v>
      </c>
      <c r="AS50" s="88">
        <f>VLOOKUP(InputTable[[#This Row],[Duration]],Duration,2,FALSE)+InputTable[[#This Row],[Resource Score]]</f>
        <v>13</v>
      </c>
      <c r="AT50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20.76923076923077</v>
      </c>
      <c r="AU50" s="24">
        <f>InputTable[[#This Row],[Value Score]]/InputTable[[#This Row],[EFFORT SCORE]]*100</f>
        <v>22.307692307692307</v>
      </c>
      <c r="AV50" s="25" t="str">
        <f>InputTable[[#This Row],[IS Portfolio Ref ID]]</f>
        <v>ISPRJ-35</v>
      </c>
      <c r="AW50" s="25" t="s">
        <v>234</v>
      </c>
      <c r="AX50" s="208"/>
      <c r="AY50" s="25"/>
      <c r="AZ50" s="209">
        <v>0</v>
      </c>
      <c r="BA50" s="209">
        <v>0</v>
      </c>
      <c r="BB50" s="209"/>
      <c r="BC50" s="189">
        <f>SUM(InputTable[[#This Row],[Opex IS Budget (full project)]]+InputTable[[#This Row],[Capex IS Budget (full project)]])</f>
        <v>0</v>
      </c>
      <c r="BD50" s="188"/>
      <c r="BE50" s="188"/>
      <c r="BF50" s="70"/>
      <c r="BH50" s="2">
        <f>IFERROR(VLOOKUP(InputTable[[#This Row],[Impact on - CIAL]],'System List'!$F$4:$H$7,3,FALSE),0)</f>
        <v>0</v>
      </c>
      <c r="BI50" s="2">
        <f>IFERROR(VLOOKUP(InputTable[[#This Row],[Impact on - COM]],'System List'!$F$4:$H$7,3,FALSE),0)</f>
        <v>0</v>
      </c>
      <c r="BJ50" s="2">
        <f>IFERROR(VLOOKUP(InputTable[[#This Row],[Impact on - FIN]],'System List'!$F$4:$H$7,3,FALSE),0)</f>
        <v>0</v>
      </c>
      <c r="BK50" s="2">
        <f>IFERROR(VLOOKUP(InputTable[[#This Row],[Impact on - GEN SEC]],'System List'!$F$4:$H$7,3,FALSE),0)</f>
        <v>0</v>
      </c>
      <c r="BL50" s="2">
        <f>IFERROR(VLOOKUP(InputTable[[#This Row],[Impact on - HR]],'System List'!$F$4:$H$7,3,FALSE),0)</f>
        <v>0</v>
      </c>
      <c r="BM50" s="2">
        <f>IFERROR(VLOOKUP(InputTable[[#This Row],[Impact on - IS]],'System List'!$F$4:$H$7,3,FALSE),0)</f>
        <v>0</v>
      </c>
      <c r="BN50" s="2">
        <f>IFERROR(VLOOKUP(InputTable[[#This Row],[Impact on - OPS]],'System List'!$F$4:$H$7,3,FALSE),0)</f>
        <v>0</v>
      </c>
      <c r="BO50" s="2">
        <f>IFERROR(VLOOKUP(InputTable[[#This Row],[Impact on - ROLL STOCK]],'System List'!$F$4:$H$7,3,FALSE),0)</f>
        <v>0</v>
      </c>
      <c r="BP50" s="2">
        <f>IFERROR(VLOOKUP(InputTable[[#This Row],[Impact on - SAFETY]],'System List'!$F$4:$H$7,3,FALSE),0)</f>
        <v>0</v>
      </c>
      <c r="BQ50" s="2">
        <f>IFERROR(VLOOKUP(InputTable[[#This Row],[Impact on - STATION]],'System List'!$F$4:$H$7,3,FALSE),0)</f>
        <v>0</v>
      </c>
      <c r="BR50" s="2">
        <f>IFERROR(VLOOKUP(InputTable[[#This Row],[Impact on - STRAT]],'System List'!$F$4:$H$7,3,FALSE),0)</f>
        <v>0</v>
      </c>
      <c r="BT50" s="2">
        <f>IFERROR(VLOOKUP(InputTable[[#This Row],[CORPHRFIN]],'System List'!$F$4:$H$7,3,FALSE),0)</f>
        <v>0</v>
      </c>
      <c r="BU50" s="2">
        <f>IFERROR(VLOOKUP(InputTable[[#This Row],[CUST]],'System List'!$F$4:$H$7,3,FALSE),0)</f>
        <v>0</v>
      </c>
      <c r="BV50" s="2">
        <f>IFERROR(VLOOKUP(InputTable[[#This Row],[CYBER]],'System List'!$F$4:$H$7,3,FALSE),0)</f>
        <v>0</v>
      </c>
      <c r="BW50" s="2">
        <f>IFERROR(VLOOKUP(InputTable[[#This Row],[DATA]],'System List'!$F$4:$H$7,3,FALSE),0)</f>
        <v>0</v>
      </c>
      <c r="BX50" s="2">
        <f>IFERROR(VLOOKUP(InputTable[[#This Row],[INFRA]],'System List'!$F$4:$H$7,3,FALSE),0)</f>
        <v>5</v>
      </c>
      <c r="BY50" s="2">
        <f>IFERROR(VLOOKUP(InputTable[[#This Row],[OPERATIONS]],'System List'!$F$4:$H$7,3,FALSE),0)</f>
        <v>0</v>
      </c>
      <c r="BZ50" s="2">
        <f>IFERROR(VLOOKUP(InputTable[[#This Row],[PMO]],'System List'!$F$4:$H$7,3,FALSE),0)</f>
        <v>0</v>
      </c>
      <c r="CA50" s="2">
        <f>IFERROR(VLOOKUP(InputTable[[#This Row],[SALES]],'System List'!$F$4:$H$7,3,FALSE),0)</f>
        <v>0</v>
      </c>
      <c r="CC50" s="2" cm="1">
        <f t="array" ref="CC5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0" s="2" cm="1">
        <f t="array" ref="CD5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0" s="2" cm="1">
        <f t="array" ref="CE5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0" s="2" cm="1">
        <f t="array" ref="CF5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0" s="2" cm="1">
        <f t="array" ref="CG5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0" s="2" cm="1">
        <f t="array" ref="CH5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0" s="2" cm="1">
        <f t="array" ref="CI5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0" s="2" cm="1">
        <f t="array" ref="CJ5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0" s="2" cm="1">
        <f t="array" ref="CK5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0" s="26">
        <f t="shared" si="151"/>
        <v>0</v>
      </c>
      <c r="CY50" s="26">
        <f t="shared" si="152"/>
        <v>0</v>
      </c>
      <c r="CZ50" s="26">
        <f t="shared" si="153"/>
        <v>0</v>
      </c>
      <c r="DA50" s="26">
        <f t="shared" si="154"/>
        <v>0</v>
      </c>
      <c r="DB50" s="26">
        <f t="shared" si="155"/>
        <v>0</v>
      </c>
      <c r="DC50" s="26">
        <f t="shared" si="156"/>
        <v>0</v>
      </c>
      <c r="DD50" s="26">
        <f t="shared" si="157"/>
        <v>0</v>
      </c>
      <c r="DE50" s="26">
        <f t="shared" si="158"/>
        <v>0</v>
      </c>
      <c r="DF50" s="26">
        <f t="shared" si="159"/>
        <v>0</v>
      </c>
      <c r="DH50" s="26">
        <f t="shared" si="160"/>
        <v>0</v>
      </c>
      <c r="DI50" s="26">
        <f t="shared" si="161"/>
        <v>0</v>
      </c>
      <c r="DJ50" s="26">
        <f t="shared" si="162"/>
        <v>0</v>
      </c>
      <c r="DK50" s="26">
        <f t="shared" si="163"/>
        <v>0</v>
      </c>
      <c r="DL50" s="26">
        <f t="shared" si="164"/>
        <v>0</v>
      </c>
      <c r="DM50" s="26">
        <f t="shared" si="165"/>
        <v>0</v>
      </c>
      <c r="DN50" s="26">
        <f t="shared" si="166"/>
        <v>0</v>
      </c>
      <c r="DO50" s="26">
        <f t="shared" si="167"/>
        <v>0</v>
      </c>
      <c r="DP50" s="26">
        <f t="shared" si="168"/>
        <v>0</v>
      </c>
      <c r="DR50" s="26">
        <f t="shared" si="169"/>
        <v>0</v>
      </c>
      <c r="DS50" s="26">
        <f t="shared" si="170"/>
        <v>0</v>
      </c>
      <c r="DT50" s="26">
        <f t="shared" si="171"/>
        <v>0</v>
      </c>
      <c r="DU50" s="26">
        <f t="shared" si="172"/>
        <v>0</v>
      </c>
      <c r="DV50" s="26">
        <f t="shared" si="173"/>
        <v>0</v>
      </c>
      <c r="DW50" s="26">
        <f t="shared" si="174"/>
        <v>0</v>
      </c>
      <c r="DX50" s="26">
        <f t="shared" si="175"/>
        <v>0</v>
      </c>
      <c r="DY50" s="26">
        <f t="shared" si="176"/>
        <v>0</v>
      </c>
      <c r="DZ50" s="26">
        <f t="shared" si="177"/>
        <v>0</v>
      </c>
      <c r="EB50" s="26">
        <f t="shared" si="178"/>
        <v>0</v>
      </c>
      <c r="EC50" s="26">
        <f t="shared" si="179"/>
        <v>0</v>
      </c>
      <c r="ED50" s="26">
        <f t="shared" si="180"/>
        <v>0</v>
      </c>
      <c r="EE50" s="26">
        <f t="shared" si="181"/>
        <v>0</v>
      </c>
      <c r="EF50" s="26">
        <f t="shared" si="182"/>
        <v>0</v>
      </c>
      <c r="EG50" s="26">
        <f t="shared" si="183"/>
        <v>0</v>
      </c>
      <c r="EH50" s="26">
        <f t="shared" si="184"/>
        <v>0</v>
      </c>
      <c r="EI50" s="26">
        <f t="shared" si="185"/>
        <v>0</v>
      </c>
      <c r="EJ50" s="26">
        <f t="shared" si="186"/>
        <v>0</v>
      </c>
      <c r="EL50" s="26">
        <f t="shared" si="187"/>
        <v>0</v>
      </c>
      <c r="EM50" s="26">
        <f t="shared" si="188"/>
        <v>0</v>
      </c>
      <c r="EN50" s="26">
        <f t="shared" si="189"/>
        <v>0</v>
      </c>
      <c r="EO50" s="26">
        <f t="shared" si="190"/>
        <v>0</v>
      </c>
      <c r="EP50" s="26">
        <f t="shared" si="191"/>
        <v>0</v>
      </c>
      <c r="EQ50" s="26">
        <f t="shared" si="192"/>
        <v>0</v>
      </c>
      <c r="ER50" s="26">
        <f t="shared" si="193"/>
        <v>0</v>
      </c>
      <c r="ES50" s="26">
        <f t="shared" si="194"/>
        <v>0</v>
      </c>
      <c r="ET50" s="26">
        <f t="shared" si="195"/>
        <v>0</v>
      </c>
      <c r="EV50" s="26">
        <f t="shared" si="196"/>
        <v>0</v>
      </c>
      <c r="EW50" s="26">
        <f t="shared" si="197"/>
        <v>0</v>
      </c>
      <c r="EX50" s="26">
        <f t="shared" si="198"/>
        <v>0</v>
      </c>
      <c r="EY50" s="26">
        <f t="shared" si="199"/>
        <v>0</v>
      </c>
      <c r="EZ50" s="26">
        <f t="shared" si="200"/>
        <v>0</v>
      </c>
      <c r="FA50" s="26">
        <f t="shared" si="201"/>
        <v>0</v>
      </c>
      <c r="FB50" s="26">
        <f t="shared" si="202"/>
        <v>0</v>
      </c>
      <c r="FC50" s="26">
        <f t="shared" si="203"/>
        <v>0</v>
      </c>
      <c r="FD50" s="26">
        <f t="shared" si="204"/>
        <v>0</v>
      </c>
      <c r="FF50" s="26">
        <f t="shared" si="205"/>
        <v>0</v>
      </c>
      <c r="FG50" s="26">
        <f t="shared" si="206"/>
        <v>0</v>
      </c>
      <c r="FH50" s="26">
        <f t="shared" si="207"/>
        <v>0</v>
      </c>
      <c r="FI50" s="26">
        <f t="shared" si="208"/>
        <v>0</v>
      </c>
      <c r="FJ50" s="26">
        <f t="shared" si="209"/>
        <v>0</v>
      </c>
      <c r="FK50" s="26">
        <f t="shared" si="210"/>
        <v>0</v>
      </c>
      <c r="FL50" s="26">
        <f t="shared" si="211"/>
        <v>0</v>
      </c>
      <c r="FM50" s="26">
        <f t="shared" si="212"/>
        <v>0</v>
      </c>
      <c r="FN50" s="26">
        <f t="shared" si="213"/>
        <v>0</v>
      </c>
      <c r="FP50" s="26" t="e">
        <f t="shared" si="214"/>
        <v>#REF!</v>
      </c>
      <c r="FQ50" s="26" t="e">
        <f t="shared" si="215"/>
        <v>#REF!</v>
      </c>
      <c r="FR50" s="26" t="e">
        <f t="shared" si="216"/>
        <v>#REF!</v>
      </c>
      <c r="FS50" s="26" t="e">
        <f t="shared" si="217"/>
        <v>#REF!</v>
      </c>
      <c r="FT50" s="26" t="e">
        <f t="shared" si="218"/>
        <v>#REF!</v>
      </c>
      <c r="FU50" s="26" t="e">
        <f t="shared" si="219"/>
        <v>#REF!</v>
      </c>
      <c r="FV50" s="26" t="e">
        <f t="shared" si="220"/>
        <v>#REF!</v>
      </c>
      <c r="FW50" s="26" t="e">
        <f t="shared" si="221"/>
        <v>#REF!</v>
      </c>
      <c r="FX50" s="26" t="e">
        <f t="shared" si="222"/>
        <v>#REF!</v>
      </c>
      <c r="GB50" s="26" t="e">
        <f>IF(GB$2=InputTable[[#This Row],[Delivery Date]],_xlfn.XLOOKUP(GB$1,$BH$2:$BR$2,$BH50:$BR50,0),0)</f>
        <v>#REF!</v>
      </c>
      <c r="GC50" s="26">
        <f>IF(GC$2=InputTable[[#This Row],[Delivery Date]],_xlfn.XLOOKUP(GC$1,$BH$2:$BR$2,$BH50:$BR50,0),0)</f>
        <v>0</v>
      </c>
      <c r="GD50" s="26">
        <f>IF(GD$2=InputTable[[#This Row],[Delivery Date]],_xlfn.XLOOKUP(GD$1,$BH$2:$BR$2,$BH50:$BR50,0),0)</f>
        <v>0</v>
      </c>
      <c r="GE50" s="26">
        <f>IF(GE$2=InputTable[[#This Row],[Delivery Date]],_xlfn.XLOOKUP(GE$1,$BH$2:$BR$2,$BH50:$BR50,0),0)</f>
        <v>0</v>
      </c>
      <c r="GF50" s="26">
        <f>IF(GF$2=InputTable[[#This Row],[Delivery Date]],_xlfn.XLOOKUP(GF$1,$BH$2:$BR$2,$BH50:$BR50,0),0)</f>
        <v>0</v>
      </c>
      <c r="GG50" s="26">
        <f>IF(GG$2=InputTable[[#This Row],[Delivery Date]],_xlfn.XLOOKUP(GG$1,$BH$2:$BR$2,$BH50:$BR50,0),0)</f>
        <v>0</v>
      </c>
      <c r="GH50" s="26">
        <f>IF(GH$2=InputTable[[#This Row],[Delivery Date]],_xlfn.XLOOKUP(GH$1,$BH$2:$BR$2,$BH50:$BR50,0),0)</f>
        <v>0</v>
      </c>
      <c r="GI50" s="26">
        <f>IF(GI$2=InputTable[[#This Row],[Delivery Date]],_xlfn.XLOOKUP(GI$1,$BH$2:$BR$2,$BH50:$BR50,0),0)</f>
        <v>0</v>
      </c>
      <c r="GJ50" s="26">
        <f>IF(GJ$2=InputTable[[#This Row],[Delivery Date]],_xlfn.XLOOKUP(GJ$1,$BH$2:$BR$2,$BH50:$BR50,0),0)</f>
        <v>0</v>
      </c>
      <c r="GL50" s="26" t="e">
        <f>IF(GL$2=InputTable[[#This Row],[Delivery Date]],_xlfn.XLOOKUP(GL$1,$BH$2:$BR$2,$BH50:$BR50,0),0)</f>
        <v>#REF!</v>
      </c>
      <c r="GM50" s="26">
        <f>IF(GM$2=InputTable[[#This Row],[Delivery Date]],_xlfn.XLOOKUP(GM$1,$BH$2:$BR$2,$BH50:$BR50,0),0)</f>
        <v>0</v>
      </c>
      <c r="GN50" s="26">
        <f>IF(GN$2=InputTable[[#This Row],[Delivery Date]],_xlfn.XLOOKUP(GN$1,$BH$2:$BR$2,$BH50:$BR50,0),0)</f>
        <v>0</v>
      </c>
      <c r="GO50" s="26">
        <f>IF(GO$2=InputTable[[#This Row],[Delivery Date]],_xlfn.XLOOKUP(GO$1,$BH$2:$BR$2,$BH50:$BR50,0),0)</f>
        <v>0</v>
      </c>
      <c r="GP50" s="26">
        <f>IF(GP$2=InputTable[[#This Row],[Delivery Date]],_xlfn.XLOOKUP(GP$1,$BH$2:$BR$2,$BH50:$BR50,0),0)</f>
        <v>0</v>
      </c>
      <c r="GQ50" s="26">
        <f>IF(GQ$2=InputTable[[#This Row],[Delivery Date]],_xlfn.XLOOKUP(GQ$1,$BH$2:$BR$2,$BH50:$BR50,0),0)</f>
        <v>0</v>
      </c>
      <c r="GR50" s="26">
        <f>IF(GR$2=InputTable[[#This Row],[Delivery Date]],_xlfn.XLOOKUP(GR$1,$BH$2:$BR$2,$BH50:$BR50,0),0)</f>
        <v>0</v>
      </c>
      <c r="GS50" s="26">
        <f>IF(GS$2=InputTable[[#This Row],[Delivery Date]],_xlfn.XLOOKUP(GS$1,$BH$2:$BR$2,$BH50:$BR50,0),0)</f>
        <v>0</v>
      </c>
      <c r="GT50" s="26">
        <f>IF(GT$2=InputTable[[#This Row],[Delivery Date]],_xlfn.XLOOKUP(GT$1,$BH$2:$BR$2,$BH50:$BR50,0),0)</f>
        <v>0</v>
      </c>
      <c r="GV50" s="26" t="e">
        <f>IF(GV$2=InputTable[[#This Row],[Delivery Date]],_xlfn.XLOOKUP(GV$1,$BH$2:$BR$2,$BH50:$BR50,0),0)</f>
        <v>#REF!</v>
      </c>
      <c r="GW50" s="26">
        <f>IF(GW$2=InputTable[[#This Row],[Delivery Date]],_xlfn.XLOOKUP(GW$1,$BH$2:$BR$2,$BH50:$BR50,0),0)</f>
        <v>0</v>
      </c>
      <c r="GX50" s="26">
        <f>IF(GX$2=InputTable[[#This Row],[Delivery Date]],_xlfn.XLOOKUP(GX$1,$BH$2:$BR$2,$BH50:$BR50,0),0)</f>
        <v>0</v>
      </c>
      <c r="GY50" s="26">
        <f>IF(GY$2=InputTable[[#This Row],[Delivery Date]],_xlfn.XLOOKUP(GY$1,$BH$2:$BR$2,$BH50:$BR50,0),0)</f>
        <v>0</v>
      </c>
      <c r="GZ50" s="26">
        <f>IF(GZ$2=InputTable[[#This Row],[Delivery Date]],_xlfn.XLOOKUP(GZ$1,$BH$2:$BR$2,$BH50:$BR50,0),0)</f>
        <v>0</v>
      </c>
      <c r="HA50" s="26">
        <f>IF(HA$2=InputTable[[#This Row],[Delivery Date]],_xlfn.XLOOKUP(HA$1,$BH$2:$BR$2,$BH50:$BR50,0),0)</f>
        <v>0</v>
      </c>
      <c r="HB50" s="26">
        <f>IF(HB$2=InputTable[[#This Row],[Delivery Date]],_xlfn.XLOOKUP(HB$1,$BH$2:$BR$2,$BH50:$BR50,0),0)</f>
        <v>0</v>
      </c>
      <c r="HC50" s="26">
        <f>IF(HC$2=InputTable[[#This Row],[Delivery Date]],_xlfn.XLOOKUP(HC$1,$BH$2:$BR$2,$BH50:$BR50,0),0)</f>
        <v>0</v>
      </c>
      <c r="HD50" s="26">
        <f>IF(HD$2=InputTable[[#This Row],[Delivery Date]],_xlfn.XLOOKUP(HD$1,$BH$2:$BR$2,$BH50:$BR50,0),0)</f>
        <v>0</v>
      </c>
      <c r="HF50" s="26" t="e">
        <f>IF(HF$2=InputTable[[#This Row],[Delivery Date]],_xlfn.XLOOKUP(HF$1,$BH$2:$BR$2,$BH50:$BR50,0),0)</f>
        <v>#REF!</v>
      </c>
      <c r="HG50" s="26">
        <f>IF(HG$2=InputTable[[#This Row],[Delivery Date]],_xlfn.XLOOKUP(HG$1,$BH$2:$BR$2,$BH50:$BR50,0),0)</f>
        <v>0</v>
      </c>
      <c r="HH50" s="26">
        <f>IF(HH$2=InputTable[[#This Row],[Delivery Date]],_xlfn.XLOOKUP(HH$1,$BH$2:$BR$2,$BH50:$BR50,0),0)</f>
        <v>0</v>
      </c>
      <c r="HI50" s="26">
        <f>IF(HI$2=InputTable[[#This Row],[Delivery Date]],_xlfn.XLOOKUP(HI$1,$BH$2:$BR$2,$BH50:$BR50,0),0)</f>
        <v>0</v>
      </c>
      <c r="HJ50" s="26">
        <f>IF(HJ$2=InputTable[[#This Row],[Delivery Date]],_xlfn.XLOOKUP(HJ$1,$BH$2:$BR$2,$BH50:$BR50,0),0)</f>
        <v>0</v>
      </c>
      <c r="HK50" s="26">
        <f>IF(HK$2=InputTable[[#This Row],[Delivery Date]],_xlfn.XLOOKUP(HK$1,$BH$2:$BR$2,$BH50:$BR50,0),0)</f>
        <v>0</v>
      </c>
      <c r="HL50" s="26">
        <f>IF(HL$2=InputTable[[#This Row],[Delivery Date]],_xlfn.XLOOKUP(HL$1,$BH$2:$BR$2,$BH50:$BR50,0),0)</f>
        <v>0</v>
      </c>
      <c r="HM50" s="26">
        <f>IF(HM$2=InputTable[[#This Row],[Delivery Date]],_xlfn.XLOOKUP(HM$1,$BH$2:$BR$2,$BH50:$BR50,0),0)</f>
        <v>0</v>
      </c>
      <c r="HN50" s="26">
        <f>IF(HN$2=InputTable[[#This Row],[Delivery Date]],_xlfn.XLOOKUP(HN$1,$BH$2:$BR$2,$BH50:$BR50,0),0)</f>
        <v>0</v>
      </c>
      <c r="HP50" s="26" t="e">
        <f>IF(HP$2=InputTable[[#This Row],[Delivery Date]],_xlfn.XLOOKUP(HP$1,$BH$2:$BR$2,$BH50:$BR50,0),0)</f>
        <v>#REF!</v>
      </c>
      <c r="HQ50" s="26">
        <f>IF(HQ$2=InputTable[[#This Row],[Delivery Date]],_xlfn.XLOOKUP(HQ$1,$BH$2:$BR$2,$BH50:$BR50,0),0)</f>
        <v>0</v>
      </c>
      <c r="HR50" s="26">
        <f>IF(HR$2=InputTable[[#This Row],[Delivery Date]],_xlfn.XLOOKUP(HR$1,$BH$2:$BR$2,$BH50:$BR50,0),0)</f>
        <v>0</v>
      </c>
      <c r="HS50" s="26">
        <f>IF(HS$2=InputTable[[#This Row],[Delivery Date]],_xlfn.XLOOKUP(HS$1,$BH$2:$BR$2,$BH50:$BR50,0),0)</f>
        <v>0</v>
      </c>
      <c r="HT50" s="26">
        <f>IF(HT$2=InputTable[[#This Row],[Delivery Date]],_xlfn.XLOOKUP(HT$1,$BH$2:$BR$2,$BH50:$BR50,0),0)</f>
        <v>0</v>
      </c>
      <c r="HU50" s="26">
        <f>IF(HU$2=InputTable[[#This Row],[Delivery Date]],_xlfn.XLOOKUP(HU$1,$BH$2:$BR$2,$BH50:$BR50,0),0)</f>
        <v>0</v>
      </c>
      <c r="HV50" s="26">
        <f>IF(HV$2=InputTable[[#This Row],[Delivery Date]],_xlfn.XLOOKUP(HV$1,$BH$2:$BR$2,$BH50:$BR50,0),0)</f>
        <v>0</v>
      </c>
      <c r="HW50" s="26">
        <f>IF(HW$2=InputTable[[#This Row],[Delivery Date]],_xlfn.XLOOKUP(HW$1,$BH$2:$BR$2,$BH50:$BR50,0),0)</f>
        <v>0</v>
      </c>
      <c r="HX50" s="26">
        <f>IF(HX$2=InputTable[[#This Row],[Delivery Date]],_xlfn.XLOOKUP(HX$1,$BH$2:$BR$2,$BH50:$BR50,0),0)</f>
        <v>0</v>
      </c>
      <c r="HZ50" s="26" t="e">
        <f>IF(HZ$2=InputTable[[#This Row],[Delivery Date]],_xlfn.XLOOKUP(HZ$1,$BH$2:$BR$2,$BH50:$BR50,0),0)</f>
        <v>#REF!</v>
      </c>
      <c r="IA50" s="26">
        <f>IF(IA$2=InputTable[[#This Row],[Delivery Date]],_xlfn.XLOOKUP(IA$1,$BH$2:$BR$2,$BH50:$BR50,0),0)</f>
        <v>0</v>
      </c>
      <c r="IB50" s="26">
        <f>IF(IB$2=InputTable[[#This Row],[Delivery Date]],_xlfn.XLOOKUP(IB$1,$BH$2:$BR$2,$BH50:$BR50,0),0)</f>
        <v>0</v>
      </c>
      <c r="IC50" s="26">
        <f>IF(IC$2=InputTable[[#This Row],[Delivery Date]],_xlfn.XLOOKUP(IC$1,$BH$2:$BR$2,$BH50:$BR50,0),0)</f>
        <v>0</v>
      </c>
      <c r="ID50" s="26">
        <f>IF(ID$2=InputTable[[#This Row],[Delivery Date]],_xlfn.XLOOKUP(ID$1,$BH$2:$BR$2,$BH50:$BR50,0),0)</f>
        <v>0</v>
      </c>
      <c r="IE50" s="26">
        <f>IF(IE$2=InputTable[[#This Row],[Delivery Date]],_xlfn.XLOOKUP(IE$1,$BH$2:$BR$2,$BH50:$BR50,0),0)</f>
        <v>0</v>
      </c>
      <c r="IF50" s="26">
        <f>IF(IF$2=InputTable[[#This Row],[Delivery Date]],_xlfn.XLOOKUP(IF$1,$BH$2:$BR$2,$BH50:$BR50,0),0)</f>
        <v>0</v>
      </c>
      <c r="IG50" s="26">
        <f>IF(IG$2=InputTable[[#This Row],[Delivery Date]],_xlfn.XLOOKUP(IG$1,$BH$2:$BR$2,$BH50:$BR50,0),0)</f>
        <v>0</v>
      </c>
      <c r="IH50" s="26">
        <f>IF(IH$2=InputTable[[#This Row],[Delivery Date]],_xlfn.XLOOKUP(IH$1,$BH$2:$BR$2,$BH50:$BR50,0),0)</f>
        <v>0</v>
      </c>
      <c r="IJ50" s="26" t="e">
        <f>IF(IJ$2=InputTable[[#This Row],[Delivery Date]],_xlfn.XLOOKUP(IJ$1,$BH$2:$BR$2,$BH50:$BR50,0),0)</f>
        <v>#REF!</v>
      </c>
      <c r="IK50" s="26">
        <f>IF(IK$2=InputTable[[#This Row],[Delivery Date]],_xlfn.XLOOKUP(IK$1,$BH$2:$BR$2,$BH50:$BR50,0),0)</f>
        <v>0</v>
      </c>
      <c r="IL50" s="26">
        <f>IF(IL$2=InputTable[[#This Row],[Delivery Date]],_xlfn.XLOOKUP(IL$1,$BH$2:$BR$2,$BH50:$BR50,0),0)</f>
        <v>0</v>
      </c>
      <c r="IM50" s="26">
        <f>IF(IM$2=InputTable[[#This Row],[Delivery Date]],_xlfn.XLOOKUP(IM$1,$BH$2:$BR$2,$BH50:$BR50,0),0)</f>
        <v>0</v>
      </c>
      <c r="IN50" s="26">
        <f>IF(IN$2=InputTable[[#This Row],[Delivery Date]],_xlfn.XLOOKUP(IN$1,$BH$2:$BR$2,$BH50:$BR50,0),0)</f>
        <v>0</v>
      </c>
      <c r="IO50" s="26">
        <f>IF(IO$2=InputTable[[#This Row],[Delivery Date]],_xlfn.XLOOKUP(IO$1,$BH$2:$BR$2,$BH50:$BR50,0),0)</f>
        <v>0</v>
      </c>
      <c r="IP50" s="26">
        <f>IF(IP$2=InputTable[[#This Row],[Delivery Date]],_xlfn.XLOOKUP(IP$1,$BH$2:$BR$2,$BH50:$BR50,0),0)</f>
        <v>0</v>
      </c>
      <c r="IQ50" s="26">
        <f>IF(IQ$2=InputTable[[#This Row],[Delivery Date]],_xlfn.XLOOKUP(IQ$1,$BH$2:$BR$2,$BH50:$BR50,0),0)</f>
        <v>0</v>
      </c>
      <c r="IR50" s="26">
        <f>IF(IR$2=InputTable[[#This Row],[Delivery Date]],_xlfn.XLOOKUP(IR$1,$BH$2:$BR$2,$BH50:$BR50,0),0)</f>
        <v>0</v>
      </c>
      <c r="IT50" s="26" t="e">
        <f>IF(IT$2=InputTable[[#This Row],[Delivery Date]],_xlfn.XLOOKUP(IT$1,$BH$2:$BR$2,$BH50:$BR50,0),0)</f>
        <v>#REF!</v>
      </c>
      <c r="IU50" s="26">
        <f>IF(IU$2=InputTable[[#This Row],[Delivery Date]],_xlfn.XLOOKUP(IU$1,$BH$2:$BR$2,$BH50:$BR50,0),0)</f>
        <v>0</v>
      </c>
      <c r="IV50" s="26">
        <f>IF(IV$2=InputTable[[#This Row],[Delivery Date]],_xlfn.XLOOKUP(IV$1,$BH$2:$BR$2,$BH50:$BR50,0),0)</f>
        <v>0</v>
      </c>
      <c r="IW50" s="26">
        <f>IF(IW$2=InputTable[[#This Row],[Delivery Date]],_xlfn.XLOOKUP(IW$1,$BH$2:$BR$2,$BH50:$BR50,0),0)</f>
        <v>0</v>
      </c>
      <c r="IX50" s="26">
        <f>IF(IX$2=InputTable[[#This Row],[Delivery Date]],_xlfn.XLOOKUP(IX$1,$BH$2:$BR$2,$BH50:$BR50,0),0)</f>
        <v>0</v>
      </c>
      <c r="IY50" s="26">
        <f>IF(IY$2=InputTable[[#This Row],[Delivery Date]],_xlfn.XLOOKUP(IY$1,$BH$2:$BR$2,$BH50:$BR50,0),0)</f>
        <v>0</v>
      </c>
      <c r="IZ50" s="26">
        <f>IF(IZ$2=InputTable[[#This Row],[Delivery Date]],_xlfn.XLOOKUP(IZ$1,$BH$2:$BR$2,$BH50:$BR50,0),0)</f>
        <v>0</v>
      </c>
      <c r="JA50" s="26">
        <f>IF(JA$2=InputTable[[#This Row],[Delivery Date]],_xlfn.XLOOKUP(JA$1,$BH$2:$BR$2,$BH50:$BR50,0),0)</f>
        <v>0</v>
      </c>
      <c r="JB50" s="26">
        <f>IF(JB$2=InputTable[[#This Row],[Delivery Date]],_xlfn.XLOOKUP(JB$1,$BH$2:$BR$2,$BH50:$BR50,0),0)</f>
        <v>0</v>
      </c>
      <c r="JD50" s="26" t="e">
        <f>IF(JD$2=InputTable[[#This Row],[Delivery Date]],_xlfn.XLOOKUP(JD$1,$BH$2:$BR$2,$BH50:$BR50,0),0)</f>
        <v>#REF!</v>
      </c>
      <c r="JE50" s="26">
        <f>IF(JE$2=InputTable[[#This Row],[Delivery Date]],_xlfn.XLOOKUP(JE$1,$BH$2:$BR$2,$BH50:$BR50,0),0)</f>
        <v>0</v>
      </c>
      <c r="JF50" s="26">
        <f>IF(JF$2=InputTable[[#This Row],[Delivery Date]],_xlfn.XLOOKUP(JF$1,$BH$2:$BR$2,$BH50:$BR50,0),0)</f>
        <v>0</v>
      </c>
      <c r="JG50" s="26">
        <f>IF(JG$2=InputTable[[#This Row],[Delivery Date]],_xlfn.XLOOKUP(JG$1,$BH$2:$BR$2,$BH50:$BR50,0),0)</f>
        <v>0</v>
      </c>
      <c r="JH50" s="26">
        <f>IF(JH$2=InputTable[[#This Row],[Delivery Date]],_xlfn.XLOOKUP(JH$1,$BH$2:$BR$2,$BH50:$BR50,0),0)</f>
        <v>0</v>
      </c>
      <c r="JI50" s="26">
        <f>IF(JI$2=InputTable[[#This Row],[Delivery Date]],_xlfn.XLOOKUP(JI$1,$BH$2:$BR$2,$BH50:$BR50,0),0)</f>
        <v>0</v>
      </c>
      <c r="JJ50" s="26">
        <f>IF(JJ$2=InputTable[[#This Row],[Delivery Date]],_xlfn.XLOOKUP(JJ$1,$BH$2:$BR$2,$BH50:$BR50,0),0)</f>
        <v>0</v>
      </c>
      <c r="JK50" s="26">
        <f>IF(JK$2=InputTable[[#This Row],[Delivery Date]],_xlfn.XLOOKUP(JK$1,$BH$2:$BR$2,$BH50:$BR50,0),0)</f>
        <v>0</v>
      </c>
      <c r="JL50" s="26">
        <f>IF(JL$2=InputTable[[#This Row],[Delivery Date]],_xlfn.XLOOKUP(JL$1,$BH$2:$BR$2,$BH50:$BR50,0),0)</f>
        <v>0</v>
      </c>
      <c r="JN50" s="26" t="e">
        <f>IF(JN$2=InputTable[[#This Row],[Delivery Date]],_xlfn.XLOOKUP(JN$1,$BH$2:$BR$2,$BH50:$BR50,0),0)</f>
        <v>#REF!</v>
      </c>
      <c r="JO50" s="26">
        <f>IF(JO$2=InputTable[[#This Row],[Delivery Date]],_xlfn.XLOOKUP(JO$1,$BH$2:$BR$2,$BH50:$BR50,0),0)</f>
        <v>0</v>
      </c>
      <c r="JP50" s="26">
        <f>IF(JP$2=InputTable[[#This Row],[Delivery Date]],_xlfn.XLOOKUP(JP$1,$BH$2:$BR$2,$BH50:$BR50,0),0)</f>
        <v>0</v>
      </c>
      <c r="JQ50" s="26">
        <f>IF(JQ$2=InputTable[[#This Row],[Delivery Date]],_xlfn.XLOOKUP(JQ$1,$BH$2:$BR$2,$BH50:$BR50,0),0)</f>
        <v>0</v>
      </c>
      <c r="JR50" s="26">
        <f>IF(JR$2=InputTable[[#This Row],[Delivery Date]],_xlfn.XLOOKUP(JR$1,$BH$2:$BR$2,$BH50:$BR50,0),0)</f>
        <v>0</v>
      </c>
      <c r="JS50" s="26">
        <f>IF(JS$2=InputTable[[#This Row],[Delivery Date]],_xlfn.XLOOKUP(JS$1,$BH$2:$BR$2,$BH50:$BR50,0),0)</f>
        <v>0</v>
      </c>
      <c r="JT50" s="26">
        <f>IF(JT$2=InputTable[[#This Row],[Delivery Date]],_xlfn.XLOOKUP(JT$1,$BH$2:$BR$2,$BH50:$BR50,0),0)</f>
        <v>0</v>
      </c>
      <c r="JU50" s="26">
        <f>IF(JU$2=InputTable[[#This Row],[Delivery Date]],_xlfn.XLOOKUP(JU$1,$BH$2:$BR$2,$BH50:$BR50,0),0)</f>
        <v>0</v>
      </c>
      <c r="JV50" s="26">
        <f>IF(JV$2=InputTable[[#This Row],[Delivery Date]],_xlfn.XLOOKUP(JV$1,$BH$2:$BR$2,$BH50:$BR50,0),0)</f>
        <v>0</v>
      </c>
      <c r="JX50" s="26" t="e">
        <f>IF(JX$2=InputTable[[#This Row],[Delivery Date]],_xlfn.XLOOKUP(JX$1,$BH$2:$BR$2,$BH50:$BR50,0),0)</f>
        <v>#REF!</v>
      </c>
      <c r="JY50" s="26">
        <f>IF(JY$2=InputTable[[#This Row],[Delivery Date]],_xlfn.XLOOKUP(JY$1,$BH$2:$BR$2,$BH50:$BR50,0),0)</f>
        <v>0</v>
      </c>
      <c r="JZ50" s="26">
        <f>IF(JZ$2=InputTable[[#This Row],[Delivery Date]],_xlfn.XLOOKUP(JZ$1,$BH$2:$BR$2,$BH50:$BR50,0),0)</f>
        <v>0</v>
      </c>
      <c r="KA50" s="26">
        <f>IF(KA$2=InputTable[[#This Row],[Delivery Date]],_xlfn.XLOOKUP(KA$1,$BH$2:$BR$2,$BH50:$BR50,0),0)</f>
        <v>0</v>
      </c>
      <c r="KB50" s="26">
        <f>IF(KB$2=InputTable[[#This Row],[Delivery Date]],_xlfn.XLOOKUP(KB$1,$BH$2:$BR$2,$BH50:$BR50,0),0)</f>
        <v>0</v>
      </c>
      <c r="KC50" s="26">
        <f>IF(KC$2=InputTable[[#This Row],[Delivery Date]],_xlfn.XLOOKUP(KC$1,$BH$2:$BR$2,$BH50:$BR50,0),0)</f>
        <v>0</v>
      </c>
      <c r="KD50" s="26">
        <f>IF(KD$2=InputTable[[#This Row],[Delivery Date]],_xlfn.XLOOKUP(KD$1,$BH$2:$BR$2,$BH50:$BR50,0),0)</f>
        <v>0</v>
      </c>
      <c r="KE50" s="26">
        <f>IF(KE$2=InputTable[[#This Row],[Delivery Date]],_xlfn.XLOOKUP(KE$1,$BH$2:$BR$2,$BH50:$BR50,0),0)</f>
        <v>0</v>
      </c>
      <c r="KF50" s="26">
        <f>IF(KF$2=InputTable[[#This Row],[Delivery Date]],_xlfn.XLOOKUP(KF$1,$BH$2:$BR$2,$BH50:$BR50,0),0)</f>
        <v>0</v>
      </c>
    </row>
    <row r="51" spans="1:294" ht="39.6" customHeight="1" x14ac:dyDescent="0.25">
      <c r="A51" s="141"/>
      <c r="B51" s="141" t="s">
        <v>104</v>
      </c>
      <c r="C51" s="92" t="s">
        <v>61</v>
      </c>
      <c r="D51" s="125" t="s">
        <v>274</v>
      </c>
      <c r="E51" s="193" t="s">
        <v>275</v>
      </c>
      <c r="F51" s="92" t="s">
        <v>61</v>
      </c>
      <c r="G51" s="92">
        <v>2026</v>
      </c>
      <c r="H51" s="92"/>
      <c r="I51" s="92">
        <v>2027</v>
      </c>
      <c r="J51" s="126" t="s">
        <v>152</v>
      </c>
      <c r="K51" s="95" t="str">
        <f>VLOOKUP((InputTable[[#This Row],[Starting Date]]&amp; " - " &amp;InputTable[[#This Row],[Delivery Date]]),'System List'!$F$40:$H$83,2,FALSE)</f>
        <v>1 to 2 years</v>
      </c>
      <c r="L51" s="95">
        <f>VLOOKUP(InputTable[[#This Row],[Duration]],Duration,2,FALSE)</f>
        <v>8</v>
      </c>
      <c r="M51" s="122"/>
      <c r="N51" s="92"/>
      <c r="O51" s="92"/>
      <c r="P51" s="92"/>
      <c r="Q51" s="92"/>
      <c r="R51" s="92" t="s">
        <v>111</v>
      </c>
      <c r="S51" s="92"/>
      <c r="T51" s="172" cm="1">
        <f t="array" ref="T5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51" s="138"/>
      <c r="V51" s="92"/>
      <c r="W51" s="92"/>
      <c r="X51" s="92"/>
      <c r="Y51" s="92"/>
      <c r="Z51" s="92"/>
      <c r="AA51" s="92"/>
      <c r="AB51" s="92"/>
      <c r="AC51" s="92"/>
      <c r="AD51" s="92">
        <f>COUNTA(InputTable[[#This Row],[CORPHRFIN]:[SALES]])</f>
        <v>0</v>
      </c>
      <c r="AE51" s="88" cm="1">
        <f t="array" ref="AE51">SUM(
_xlfn.XLOOKUP(InputTable[[#This Row],[CORPHRFIN]:[SALES]],'System List'!$F$4:$F$7,'System List'!$H$4:$H$7,0))</f>
        <v>0</v>
      </c>
      <c r="AF51" s="140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88" cm="1">
        <f t="array" ref="AR51">SUM(
_xlfn.XLOOKUP(InputTable[[#This Row],[Impact on - CIAL]:[Impact on - STRAT]],'System List'!$F$4:$F$7,'System List'!$H$4:$H$7,0))</f>
        <v>0</v>
      </c>
      <c r="AS51" s="88">
        <f>VLOOKUP(InputTable[[#This Row],[Duration]],Duration,2,FALSE)+InputTable[[#This Row],[Resource Score]]</f>
        <v>8</v>
      </c>
      <c r="AT5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1" s="24">
        <f>InputTable[[#This Row],[Value Score]]/InputTable[[#This Row],[EFFORT SCORE]]*100</f>
        <v>18.75</v>
      </c>
      <c r="AV51" s="25" t="str">
        <f>InputTable[[#This Row],[IS Portfolio Ref ID]]</f>
        <v>ISPRJ-98</v>
      </c>
      <c r="AW51" s="25" t="s">
        <v>190</v>
      </c>
      <c r="AX51" s="208"/>
      <c r="AY51" s="25"/>
      <c r="AZ51" s="209">
        <v>0</v>
      </c>
      <c r="BA51" s="209">
        <v>0</v>
      </c>
      <c r="BB51" s="209"/>
      <c r="BC51" s="189"/>
      <c r="BD51" s="188"/>
      <c r="BE51" s="188"/>
      <c r="BF51" s="70"/>
      <c r="BH51" s="2">
        <f>IFERROR(VLOOKUP(InputTable[[#This Row],[Impact on - CIAL]],'System List'!$F$4:$H$7,3,FALSE),0)</f>
        <v>0</v>
      </c>
      <c r="BI51" s="2">
        <f>IFERROR(VLOOKUP(InputTable[[#This Row],[Impact on - COM]],'System List'!$F$4:$H$7,3,FALSE),0)</f>
        <v>0</v>
      </c>
      <c r="BJ51" s="2">
        <f>IFERROR(VLOOKUP(InputTable[[#This Row],[Impact on - FIN]],'System List'!$F$4:$H$7,3,FALSE),0)</f>
        <v>0</v>
      </c>
      <c r="BK51" s="2">
        <f>IFERROR(VLOOKUP(InputTable[[#This Row],[Impact on - GEN SEC]],'System List'!$F$4:$H$7,3,FALSE),0)</f>
        <v>0</v>
      </c>
      <c r="BL51" s="2">
        <f>IFERROR(VLOOKUP(InputTable[[#This Row],[Impact on - HR]],'System List'!$F$4:$H$7,3,FALSE),0)</f>
        <v>0</v>
      </c>
      <c r="BM51" s="2">
        <f>IFERROR(VLOOKUP(InputTable[[#This Row],[Impact on - IS]],'System List'!$F$4:$H$7,3,FALSE),0)</f>
        <v>0</v>
      </c>
      <c r="BN51" s="2">
        <f>IFERROR(VLOOKUP(InputTable[[#This Row],[Impact on - OPS]],'System List'!$F$4:$H$7,3,FALSE),0)</f>
        <v>0</v>
      </c>
      <c r="BO51" s="2">
        <f>IFERROR(VLOOKUP(InputTable[[#This Row],[Impact on - ROLL STOCK]],'System List'!$F$4:$H$7,3,FALSE),0)</f>
        <v>0</v>
      </c>
      <c r="BP51" s="2">
        <f>IFERROR(VLOOKUP(InputTable[[#This Row],[Impact on - SAFETY]],'System List'!$F$4:$H$7,3,FALSE),0)</f>
        <v>0</v>
      </c>
      <c r="BQ51" s="2">
        <f>IFERROR(VLOOKUP(InputTable[[#This Row],[Impact on - STATION]],'System List'!$F$4:$H$7,3,FALSE),0)</f>
        <v>0</v>
      </c>
      <c r="BR51" s="2">
        <f>IFERROR(VLOOKUP(InputTable[[#This Row],[Impact on - STRAT]],'System List'!$F$4:$H$7,3,FALSE),0)</f>
        <v>0</v>
      </c>
      <c r="BT51" s="2">
        <f>IFERROR(VLOOKUP(InputTable[[#This Row],[CORPHRFIN]],'System List'!$F$4:$H$7,3,FALSE),0)</f>
        <v>0</v>
      </c>
      <c r="BU51" s="2">
        <f>IFERROR(VLOOKUP(InputTable[[#This Row],[CUST]],'System List'!$F$4:$H$7,3,FALSE),0)</f>
        <v>0</v>
      </c>
      <c r="BV51" s="2">
        <f>IFERROR(VLOOKUP(InputTable[[#This Row],[CYBER]],'System List'!$F$4:$H$7,3,FALSE),0)</f>
        <v>0</v>
      </c>
      <c r="BW51" s="2">
        <f>IFERROR(VLOOKUP(InputTable[[#This Row],[DATA]],'System List'!$F$4:$H$7,3,FALSE),0)</f>
        <v>0</v>
      </c>
      <c r="BX51" s="2">
        <f>IFERROR(VLOOKUP(InputTable[[#This Row],[INFRA]],'System List'!$F$4:$H$7,3,FALSE),0)</f>
        <v>0</v>
      </c>
      <c r="BY51" s="2">
        <f>IFERROR(VLOOKUP(InputTable[[#This Row],[OPERATIONS]],'System List'!$F$4:$H$7,3,FALSE),0)</f>
        <v>0</v>
      </c>
      <c r="BZ51" s="2">
        <f>IFERROR(VLOOKUP(InputTable[[#This Row],[PMO]],'System List'!$F$4:$H$7,3,FALSE),0)</f>
        <v>0</v>
      </c>
      <c r="CA51" s="2">
        <f>IFERROR(VLOOKUP(InputTable[[#This Row],[SALES]],'System List'!$F$4:$H$7,3,FALSE),0)</f>
        <v>0</v>
      </c>
      <c r="CC51" s="2" cm="1">
        <f t="array" ref="CC5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1" s="2" cm="1">
        <f t="array" ref="CD5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1" s="2" cm="1">
        <f t="array" ref="CE5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1" s="2" cm="1">
        <f t="array" ref="CF5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1" s="2" cm="1">
        <f t="array" ref="CG5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1" s="2" cm="1">
        <f t="array" ref="CH5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1" s="2" cm="1">
        <f t="array" ref="CI5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1" s="2" cm="1">
        <f t="array" ref="CJ5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1" s="2" cm="1">
        <f t="array" ref="CK5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5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5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1" s="26">
        <f t="shared" si="151"/>
        <v>0</v>
      </c>
      <c r="CY51" s="26">
        <f t="shared" si="152"/>
        <v>0</v>
      </c>
      <c r="CZ51" s="26">
        <f t="shared" si="153"/>
        <v>0</v>
      </c>
      <c r="DA51" s="26">
        <f t="shared" si="154"/>
        <v>0</v>
      </c>
      <c r="DB51" s="26">
        <f t="shared" si="155"/>
        <v>0</v>
      </c>
      <c r="DC51" s="26">
        <f t="shared" si="156"/>
        <v>0</v>
      </c>
      <c r="DD51" s="26">
        <f t="shared" si="157"/>
        <v>0</v>
      </c>
      <c r="DE51" s="26">
        <f t="shared" si="158"/>
        <v>0</v>
      </c>
      <c r="DF51" s="26">
        <f t="shared" si="159"/>
        <v>0</v>
      </c>
      <c r="DH51" s="26">
        <f t="shared" si="160"/>
        <v>0</v>
      </c>
      <c r="DI51" s="26">
        <f t="shared" si="161"/>
        <v>0</v>
      </c>
      <c r="DJ51" s="26">
        <f t="shared" si="162"/>
        <v>0</v>
      </c>
      <c r="DK51" s="26">
        <f t="shared" si="163"/>
        <v>0</v>
      </c>
      <c r="DL51" s="26">
        <f t="shared" si="164"/>
        <v>0</v>
      </c>
      <c r="DM51" s="26">
        <f t="shared" si="165"/>
        <v>0</v>
      </c>
      <c r="DN51" s="26">
        <f t="shared" si="166"/>
        <v>0</v>
      </c>
      <c r="DO51" s="26">
        <f t="shared" si="167"/>
        <v>0</v>
      </c>
      <c r="DP51" s="26">
        <f t="shared" si="168"/>
        <v>0</v>
      </c>
      <c r="DR51" s="26">
        <f t="shared" si="169"/>
        <v>0</v>
      </c>
      <c r="DS51" s="26">
        <f t="shared" si="170"/>
        <v>0</v>
      </c>
      <c r="DT51" s="26">
        <f t="shared" si="171"/>
        <v>0</v>
      </c>
      <c r="DU51" s="26">
        <f t="shared" si="172"/>
        <v>0</v>
      </c>
      <c r="DV51" s="26">
        <f t="shared" si="173"/>
        <v>0</v>
      </c>
      <c r="DW51" s="26">
        <f t="shared" si="174"/>
        <v>0</v>
      </c>
      <c r="DX51" s="26">
        <f t="shared" si="175"/>
        <v>0</v>
      </c>
      <c r="DY51" s="26">
        <f t="shared" si="176"/>
        <v>0</v>
      </c>
      <c r="DZ51" s="26">
        <f t="shared" si="177"/>
        <v>0</v>
      </c>
      <c r="EB51" s="26">
        <f t="shared" si="178"/>
        <v>0</v>
      </c>
      <c r="EC51" s="26">
        <f t="shared" si="179"/>
        <v>0</v>
      </c>
      <c r="ED51" s="26">
        <f t="shared" si="180"/>
        <v>0</v>
      </c>
      <c r="EE51" s="26">
        <f t="shared" si="181"/>
        <v>0</v>
      </c>
      <c r="EF51" s="26">
        <f t="shared" si="182"/>
        <v>0</v>
      </c>
      <c r="EG51" s="26">
        <f t="shared" si="183"/>
        <v>0</v>
      </c>
      <c r="EH51" s="26">
        <f t="shared" si="184"/>
        <v>0</v>
      </c>
      <c r="EI51" s="26">
        <f t="shared" si="185"/>
        <v>0</v>
      </c>
      <c r="EJ51" s="26">
        <f t="shared" si="186"/>
        <v>0</v>
      </c>
      <c r="EL51" s="26">
        <f t="shared" si="187"/>
        <v>0</v>
      </c>
      <c r="EM51" s="26">
        <f t="shared" si="188"/>
        <v>0</v>
      </c>
      <c r="EN51" s="26">
        <f t="shared" si="189"/>
        <v>0</v>
      </c>
      <c r="EO51" s="26">
        <f t="shared" si="190"/>
        <v>0</v>
      </c>
      <c r="EP51" s="26">
        <f t="shared" si="191"/>
        <v>0</v>
      </c>
      <c r="EQ51" s="26">
        <f t="shared" si="192"/>
        <v>0</v>
      </c>
      <c r="ER51" s="26">
        <f t="shared" si="193"/>
        <v>0</v>
      </c>
      <c r="ES51" s="26">
        <f t="shared" si="194"/>
        <v>0</v>
      </c>
      <c r="ET51" s="26">
        <f t="shared" si="195"/>
        <v>0</v>
      </c>
      <c r="EV51" s="26">
        <f t="shared" si="196"/>
        <v>0</v>
      </c>
      <c r="EW51" s="26">
        <f t="shared" si="197"/>
        <v>0</v>
      </c>
      <c r="EX51" s="26">
        <f t="shared" si="198"/>
        <v>0</v>
      </c>
      <c r="EY51" s="26">
        <f t="shared" si="199"/>
        <v>0</v>
      </c>
      <c r="EZ51" s="26">
        <f t="shared" si="200"/>
        <v>0</v>
      </c>
      <c r="FA51" s="26">
        <f t="shared" si="201"/>
        <v>0</v>
      </c>
      <c r="FB51" s="26">
        <f t="shared" si="202"/>
        <v>0</v>
      </c>
      <c r="FC51" s="26">
        <f t="shared" si="203"/>
        <v>0</v>
      </c>
      <c r="FD51" s="26">
        <f t="shared" si="204"/>
        <v>0</v>
      </c>
      <c r="FF51" s="26">
        <f t="shared" si="205"/>
        <v>0</v>
      </c>
      <c r="FG51" s="26">
        <f t="shared" si="206"/>
        <v>0</v>
      </c>
      <c r="FH51" s="26">
        <f t="shared" si="207"/>
        <v>0</v>
      </c>
      <c r="FI51" s="26">
        <f t="shared" si="208"/>
        <v>0</v>
      </c>
      <c r="FJ51" s="26">
        <f t="shared" si="209"/>
        <v>0</v>
      </c>
      <c r="FK51" s="26">
        <f t="shared" si="210"/>
        <v>0</v>
      </c>
      <c r="FL51" s="26">
        <f t="shared" si="211"/>
        <v>0</v>
      </c>
      <c r="FM51" s="26">
        <f t="shared" si="212"/>
        <v>0</v>
      </c>
      <c r="FN51" s="26">
        <f t="shared" si="213"/>
        <v>0</v>
      </c>
      <c r="FP51" s="26" t="e">
        <f t="shared" si="214"/>
        <v>#REF!</v>
      </c>
      <c r="FQ51" s="26" t="e">
        <f t="shared" si="215"/>
        <v>#REF!</v>
      </c>
      <c r="FR51" s="26" t="e">
        <f t="shared" si="216"/>
        <v>#REF!</v>
      </c>
      <c r="FS51" s="26" t="e">
        <f t="shared" si="217"/>
        <v>#REF!</v>
      </c>
      <c r="FT51" s="26" t="e">
        <f t="shared" si="218"/>
        <v>#REF!</v>
      </c>
      <c r="FU51" s="26" t="e">
        <f t="shared" si="219"/>
        <v>#REF!</v>
      </c>
      <c r="FV51" s="26" t="e">
        <f t="shared" si="220"/>
        <v>#REF!</v>
      </c>
      <c r="FW51" s="26" t="e">
        <f t="shared" si="221"/>
        <v>#REF!</v>
      </c>
      <c r="FX51" s="26" t="e">
        <f t="shared" si="222"/>
        <v>#REF!</v>
      </c>
      <c r="GB51" s="26" t="e">
        <f>IF(GB$2=InputTable[[#This Row],[Delivery Date]],_xlfn.XLOOKUP(GB$1,$BH$2:$BR$2,$BH51:$BR51,0),0)</f>
        <v>#REF!</v>
      </c>
      <c r="GC51" s="26">
        <f>IF(GC$2=InputTable[[#This Row],[Delivery Date]],_xlfn.XLOOKUP(GC$1,$BH$2:$BR$2,$BH51:$BR51,0),0)</f>
        <v>0</v>
      </c>
      <c r="GD51" s="26">
        <f>IF(GD$2=InputTable[[#This Row],[Delivery Date]],_xlfn.XLOOKUP(GD$1,$BH$2:$BR$2,$BH51:$BR51,0),0)</f>
        <v>0</v>
      </c>
      <c r="GE51" s="26">
        <f>IF(GE$2=InputTable[[#This Row],[Delivery Date]],_xlfn.XLOOKUP(GE$1,$BH$2:$BR$2,$BH51:$BR51,0),0)</f>
        <v>0</v>
      </c>
      <c r="GF51" s="26">
        <f>IF(GF$2=InputTable[[#This Row],[Delivery Date]],_xlfn.XLOOKUP(GF$1,$BH$2:$BR$2,$BH51:$BR51,0),0)</f>
        <v>0</v>
      </c>
      <c r="GG51" s="26">
        <f>IF(GG$2=InputTable[[#This Row],[Delivery Date]],_xlfn.XLOOKUP(GG$1,$BH$2:$BR$2,$BH51:$BR51,0),0)</f>
        <v>0</v>
      </c>
      <c r="GH51" s="26">
        <f>IF(GH$2=InputTable[[#This Row],[Delivery Date]],_xlfn.XLOOKUP(GH$1,$BH$2:$BR$2,$BH51:$BR51,0),0)</f>
        <v>0</v>
      </c>
      <c r="GI51" s="26">
        <f>IF(GI$2=InputTable[[#This Row],[Delivery Date]],_xlfn.XLOOKUP(GI$1,$BH$2:$BR$2,$BH51:$BR51,0),0)</f>
        <v>0</v>
      </c>
      <c r="GJ51" s="26">
        <f>IF(GJ$2=InputTable[[#This Row],[Delivery Date]],_xlfn.XLOOKUP(GJ$1,$BH$2:$BR$2,$BH51:$BR51,0),0)</f>
        <v>0</v>
      </c>
      <c r="GL51" s="26" t="e">
        <f>IF(GL$2=InputTable[[#This Row],[Delivery Date]],_xlfn.XLOOKUP(GL$1,$BH$2:$BR$2,$BH51:$BR51,0),0)</f>
        <v>#REF!</v>
      </c>
      <c r="GM51" s="26">
        <f>IF(GM$2=InputTable[[#This Row],[Delivery Date]],_xlfn.XLOOKUP(GM$1,$BH$2:$BR$2,$BH51:$BR51,0),0)</f>
        <v>0</v>
      </c>
      <c r="GN51" s="26">
        <f>IF(GN$2=InputTable[[#This Row],[Delivery Date]],_xlfn.XLOOKUP(GN$1,$BH$2:$BR$2,$BH51:$BR51,0),0)</f>
        <v>0</v>
      </c>
      <c r="GO51" s="26">
        <f>IF(GO$2=InputTable[[#This Row],[Delivery Date]],_xlfn.XLOOKUP(GO$1,$BH$2:$BR$2,$BH51:$BR51,0),0)</f>
        <v>0</v>
      </c>
      <c r="GP51" s="26">
        <f>IF(GP$2=InputTable[[#This Row],[Delivery Date]],_xlfn.XLOOKUP(GP$1,$BH$2:$BR$2,$BH51:$BR51,0),0)</f>
        <v>0</v>
      </c>
      <c r="GQ51" s="26">
        <f>IF(GQ$2=InputTable[[#This Row],[Delivery Date]],_xlfn.XLOOKUP(GQ$1,$BH$2:$BR$2,$BH51:$BR51,0),0)</f>
        <v>0</v>
      </c>
      <c r="GR51" s="26">
        <f>IF(GR$2=InputTable[[#This Row],[Delivery Date]],_xlfn.XLOOKUP(GR$1,$BH$2:$BR$2,$BH51:$BR51,0),0)</f>
        <v>0</v>
      </c>
      <c r="GS51" s="26">
        <f>IF(GS$2=InputTable[[#This Row],[Delivery Date]],_xlfn.XLOOKUP(GS$1,$BH$2:$BR$2,$BH51:$BR51,0),0)</f>
        <v>0</v>
      </c>
      <c r="GT51" s="26">
        <f>IF(GT$2=InputTable[[#This Row],[Delivery Date]],_xlfn.XLOOKUP(GT$1,$BH$2:$BR$2,$BH51:$BR51,0),0)</f>
        <v>0</v>
      </c>
      <c r="GV51" s="26" t="e">
        <f>IF(GV$2=InputTable[[#This Row],[Delivery Date]],_xlfn.XLOOKUP(GV$1,$BH$2:$BR$2,$BH51:$BR51,0),0)</f>
        <v>#REF!</v>
      </c>
      <c r="GW51" s="26">
        <f>IF(GW$2=InputTable[[#This Row],[Delivery Date]],_xlfn.XLOOKUP(GW$1,$BH$2:$BR$2,$BH51:$BR51,0),0)</f>
        <v>0</v>
      </c>
      <c r="GX51" s="26">
        <f>IF(GX$2=InputTable[[#This Row],[Delivery Date]],_xlfn.XLOOKUP(GX$1,$BH$2:$BR$2,$BH51:$BR51,0),0)</f>
        <v>0</v>
      </c>
      <c r="GY51" s="26">
        <f>IF(GY$2=InputTable[[#This Row],[Delivery Date]],_xlfn.XLOOKUP(GY$1,$BH$2:$BR$2,$BH51:$BR51,0),0)</f>
        <v>0</v>
      </c>
      <c r="GZ51" s="26">
        <f>IF(GZ$2=InputTable[[#This Row],[Delivery Date]],_xlfn.XLOOKUP(GZ$1,$BH$2:$BR$2,$BH51:$BR51,0),0)</f>
        <v>0</v>
      </c>
      <c r="HA51" s="26">
        <f>IF(HA$2=InputTable[[#This Row],[Delivery Date]],_xlfn.XLOOKUP(HA$1,$BH$2:$BR$2,$BH51:$BR51,0),0)</f>
        <v>0</v>
      </c>
      <c r="HB51" s="26">
        <f>IF(HB$2=InputTable[[#This Row],[Delivery Date]],_xlfn.XLOOKUP(HB$1,$BH$2:$BR$2,$BH51:$BR51,0),0)</f>
        <v>0</v>
      </c>
      <c r="HC51" s="26">
        <f>IF(HC$2=InputTable[[#This Row],[Delivery Date]],_xlfn.XLOOKUP(HC$1,$BH$2:$BR$2,$BH51:$BR51,0),0)</f>
        <v>0</v>
      </c>
      <c r="HD51" s="26">
        <f>IF(HD$2=InputTable[[#This Row],[Delivery Date]],_xlfn.XLOOKUP(HD$1,$BH$2:$BR$2,$BH51:$BR51,0),0)</f>
        <v>0</v>
      </c>
      <c r="HF51" s="26" t="e">
        <f>IF(HF$2=InputTable[[#This Row],[Delivery Date]],_xlfn.XLOOKUP(HF$1,$BH$2:$BR$2,$BH51:$BR51,0),0)</f>
        <v>#REF!</v>
      </c>
      <c r="HG51" s="26">
        <f>IF(HG$2=InputTable[[#This Row],[Delivery Date]],_xlfn.XLOOKUP(HG$1,$BH$2:$BR$2,$BH51:$BR51,0),0)</f>
        <v>0</v>
      </c>
      <c r="HH51" s="26">
        <f>IF(HH$2=InputTable[[#This Row],[Delivery Date]],_xlfn.XLOOKUP(HH$1,$BH$2:$BR$2,$BH51:$BR51,0),0)</f>
        <v>0</v>
      </c>
      <c r="HI51" s="26">
        <f>IF(HI$2=InputTable[[#This Row],[Delivery Date]],_xlfn.XLOOKUP(HI$1,$BH$2:$BR$2,$BH51:$BR51,0),0)</f>
        <v>0</v>
      </c>
      <c r="HJ51" s="26">
        <f>IF(HJ$2=InputTable[[#This Row],[Delivery Date]],_xlfn.XLOOKUP(HJ$1,$BH$2:$BR$2,$BH51:$BR51,0),0)</f>
        <v>0</v>
      </c>
      <c r="HK51" s="26">
        <f>IF(HK$2=InputTable[[#This Row],[Delivery Date]],_xlfn.XLOOKUP(HK$1,$BH$2:$BR$2,$BH51:$BR51,0),0)</f>
        <v>0</v>
      </c>
      <c r="HL51" s="26">
        <f>IF(HL$2=InputTable[[#This Row],[Delivery Date]],_xlfn.XLOOKUP(HL$1,$BH$2:$BR$2,$BH51:$BR51,0),0)</f>
        <v>0</v>
      </c>
      <c r="HM51" s="26">
        <f>IF(HM$2=InputTable[[#This Row],[Delivery Date]],_xlfn.XLOOKUP(HM$1,$BH$2:$BR$2,$BH51:$BR51,0),0)</f>
        <v>0</v>
      </c>
      <c r="HN51" s="26">
        <f>IF(HN$2=InputTable[[#This Row],[Delivery Date]],_xlfn.XLOOKUP(HN$1,$BH$2:$BR$2,$BH51:$BR51,0),0)</f>
        <v>0</v>
      </c>
      <c r="HP51" s="26" t="e">
        <f>IF(HP$2=InputTable[[#This Row],[Delivery Date]],_xlfn.XLOOKUP(HP$1,$BH$2:$BR$2,$BH51:$BR51,0),0)</f>
        <v>#REF!</v>
      </c>
      <c r="HQ51" s="26">
        <f>IF(HQ$2=InputTable[[#This Row],[Delivery Date]],_xlfn.XLOOKUP(HQ$1,$BH$2:$BR$2,$BH51:$BR51,0),0)</f>
        <v>0</v>
      </c>
      <c r="HR51" s="26">
        <f>IF(HR$2=InputTable[[#This Row],[Delivery Date]],_xlfn.XLOOKUP(HR$1,$BH$2:$BR$2,$BH51:$BR51,0),0)</f>
        <v>0</v>
      </c>
      <c r="HS51" s="26">
        <f>IF(HS$2=InputTable[[#This Row],[Delivery Date]],_xlfn.XLOOKUP(HS$1,$BH$2:$BR$2,$BH51:$BR51,0),0)</f>
        <v>0</v>
      </c>
      <c r="HT51" s="26">
        <f>IF(HT$2=InputTable[[#This Row],[Delivery Date]],_xlfn.XLOOKUP(HT$1,$BH$2:$BR$2,$BH51:$BR51,0),0)</f>
        <v>0</v>
      </c>
      <c r="HU51" s="26">
        <f>IF(HU$2=InputTable[[#This Row],[Delivery Date]],_xlfn.XLOOKUP(HU$1,$BH$2:$BR$2,$BH51:$BR51,0),0)</f>
        <v>0</v>
      </c>
      <c r="HV51" s="26">
        <f>IF(HV$2=InputTable[[#This Row],[Delivery Date]],_xlfn.XLOOKUP(HV$1,$BH$2:$BR$2,$BH51:$BR51,0),0)</f>
        <v>0</v>
      </c>
      <c r="HW51" s="26">
        <f>IF(HW$2=InputTable[[#This Row],[Delivery Date]],_xlfn.XLOOKUP(HW$1,$BH$2:$BR$2,$BH51:$BR51,0),0)</f>
        <v>0</v>
      </c>
      <c r="HX51" s="26">
        <f>IF(HX$2=InputTable[[#This Row],[Delivery Date]],_xlfn.XLOOKUP(HX$1,$BH$2:$BR$2,$BH51:$BR51,0),0)</f>
        <v>0</v>
      </c>
      <c r="HZ51" s="26" t="e">
        <f>IF(HZ$2=InputTable[[#This Row],[Delivery Date]],_xlfn.XLOOKUP(HZ$1,$BH$2:$BR$2,$BH51:$BR51,0),0)</f>
        <v>#REF!</v>
      </c>
      <c r="IA51" s="26">
        <f>IF(IA$2=InputTable[[#This Row],[Delivery Date]],_xlfn.XLOOKUP(IA$1,$BH$2:$BR$2,$BH51:$BR51,0),0)</f>
        <v>0</v>
      </c>
      <c r="IB51" s="26">
        <f>IF(IB$2=InputTable[[#This Row],[Delivery Date]],_xlfn.XLOOKUP(IB$1,$BH$2:$BR$2,$BH51:$BR51,0),0)</f>
        <v>0</v>
      </c>
      <c r="IC51" s="26">
        <f>IF(IC$2=InputTable[[#This Row],[Delivery Date]],_xlfn.XLOOKUP(IC$1,$BH$2:$BR$2,$BH51:$BR51,0),0)</f>
        <v>0</v>
      </c>
      <c r="ID51" s="26">
        <f>IF(ID$2=InputTable[[#This Row],[Delivery Date]],_xlfn.XLOOKUP(ID$1,$BH$2:$BR$2,$BH51:$BR51,0),0)</f>
        <v>0</v>
      </c>
      <c r="IE51" s="26">
        <f>IF(IE$2=InputTable[[#This Row],[Delivery Date]],_xlfn.XLOOKUP(IE$1,$BH$2:$BR$2,$BH51:$BR51,0),0)</f>
        <v>0</v>
      </c>
      <c r="IF51" s="26">
        <f>IF(IF$2=InputTable[[#This Row],[Delivery Date]],_xlfn.XLOOKUP(IF$1,$BH$2:$BR$2,$BH51:$BR51,0),0)</f>
        <v>0</v>
      </c>
      <c r="IG51" s="26">
        <f>IF(IG$2=InputTable[[#This Row],[Delivery Date]],_xlfn.XLOOKUP(IG$1,$BH$2:$BR$2,$BH51:$BR51,0),0)</f>
        <v>0</v>
      </c>
      <c r="IH51" s="26">
        <f>IF(IH$2=InputTable[[#This Row],[Delivery Date]],_xlfn.XLOOKUP(IH$1,$BH$2:$BR$2,$BH51:$BR51,0),0)</f>
        <v>0</v>
      </c>
      <c r="IJ51" s="26" t="e">
        <f>IF(IJ$2=InputTable[[#This Row],[Delivery Date]],_xlfn.XLOOKUP(IJ$1,$BH$2:$BR$2,$BH51:$BR51,0),0)</f>
        <v>#REF!</v>
      </c>
      <c r="IK51" s="26">
        <f>IF(IK$2=InputTable[[#This Row],[Delivery Date]],_xlfn.XLOOKUP(IK$1,$BH$2:$BR$2,$BH51:$BR51,0),0)</f>
        <v>0</v>
      </c>
      <c r="IL51" s="26">
        <f>IF(IL$2=InputTable[[#This Row],[Delivery Date]],_xlfn.XLOOKUP(IL$1,$BH$2:$BR$2,$BH51:$BR51,0),0)</f>
        <v>0</v>
      </c>
      <c r="IM51" s="26">
        <f>IF(IM$2=InputTable[[#This Row],[Delivery Date]],_xlfn.XLOOKUP(IM$1,$BH$2:$BR$2,$BH51:$BR51,0),0)</f>
        <v>0</v>
      </c>
      <c r="IN51" s="26">
        <f>IF(IN$2=InputTable[[#This Row],[Delivery Date]],_xlfn.XLOOKUP(IN$1,$BH$2:$BR$2,$BH51:$BR51,0),0)</f>
        <v>0</v>
      </c>
      <c r="IO51" s="26">
        <f>IF(IO$2=InputTable[[#This Row],[Delivery Date]],_xlfn.XLOOKUP(IO$1,$BH$2:$BR$2,$BH51:$BR51,0),0)</f>
        <v>0</v>
      </c>
      <c r="IP51" s="26">
        <f>IF(IP$2=InputTable[[#This Row],[Delivery Date]],_xlfn.XLOOKUP(IP$1,$BH$2:$BR$2,$BH51:$BR51,0),0)</f>
        <v>0</v>
      </c>
      <c r="IQ51" s="26">
        <f>IF(IQ$2=InputTable[[#This Row],[Delivery Date]],_xlfn.XLOOKUP(IQ$1,$BH$2:$BR$2,$BH51:$BR51,0),0)</f>
        <v>0</v>
      </c>
      <c r="IR51" s="26">
        <f>IF(IR$2=InputTable[[#This Row],[Delivery Date]],_xlfn.XLOOKUP(IR$1,$BH$2:$BR$2,$BH51:$BR51,0),0)</f>
        <v>0</v>
      </c>
      <c r="IT51" s="26" t="e">
        <f>IF(IT$2=InputTable[[#This Row],[Delivery Date]],_xlfn.XLOOKUP(IT$1,$BH$2:$BR$2,$BH51:$BR51,0),0)</f>
        <v>#REF!</v>
      </c>
      <c r="IU51" s="26">
        <f>IF(IU$2=InputTable[[#This Row],[Delivery Date]],_xlfn.XLOOKUP(IU$1,$BH$2:$BR$2,$BH51:$BR51,0),0)</f>
        <v>0</v>
      </c>
      <c r="IV51" s="26">
        <f>IF(IV$2=InputTable[[#This Row],[Delivery Date]],_xlfn.XLOOKUP(IV$1,$BH$2:$BR$2,$BH51:$BR51,0),0)</f>
        <v>0</v>
      </c>
      <c r="IW51" s="26">
        <f>IF(IW$2=InputTable[[#This Row],[Delivery Date]],_xlfn.XLOOKUP(IW$1,$BH$2:$BR$2,$BH51:$BR51,0),0)</f>
        <v>0</v>
      </c>
      <c r="IX51" s="26">
        <f>IF(IX$2=InputTable[[#This Row],[Delivery Date]],_xlfn.XLOOKUP(IX$1,$BH$2:$BR$2,$BH51:$BR51,0),0)</f>
        <v>0</v>
      </c>
      <c r="IY51" s="26">
        <f>IF(IY$2=InputTable[[#This Row],[Delivery Date]],_xlfn.XLOOKUP(IY$1,$BH$2:$BR$2,$BH51:$BR51,0),0)</f>
        <v>0</v>
      </c>
      <c r="IZ51" s="26">
        <f>IF(IZ$2=InputTable[[#This Row],[Delivery Date]],_xlfn.XLOOKUP(IZ$1,$BH$2:$BR$2,$BH51:$BR51,0),0)</f>
        <v>0</v>
      </c>
      <c r="JA51" s="26">
        <f>IF(JA$2=InputTable[[#This Row],[Delivery Date]],_xlfn.XLOOKUP(JA$1,$BH$2:$BR$2,$BH51:$BR51,0),0)</f>
        <v>0</v>
      </c>
      <c r="JB51" s="26">
        <f>IF(JB$2=InputTable[[#This Row],[Delivery Date]],_xlfn.XLOOKUP(JB$1,$BH$2:$BR$2,$BH51:$BR51,0),0)</f>
        <v>0</v>
      </c>
      <c r="JD51" s="26" t="e">
        <f>IF(JD$2=InputTable[[#This Row],[Delivery Date]],_xlfn.XLOOKUP(JD$1,$BH$2:$BR$2,$BH51:$BR51,0),0)</f>
        <v>#REF!</v>
      </c>
      <c r="JE51" s="26">
        <f>IF(JE$2=InputTable[[#This Row],[Delivery Date]],_xlfn.XLOOKUP(JE$1,$BH$2:$BR$2,$BH51:$BR51,0),0)</f>
        <v>0</v>
      </c>
      <c r="JF51" s="26">
        <f>IF(JF$2=InputTable[[#This Row],[Delivery Date]],_xlfn.XLOOKUP(JF$1,$BH$2:$BR$2,$BH51:$BR51,0),0)</f>
        <v>0</v>
      </c>
      <c r="JG51" s="26">
        <f>IF(JG$2=InputTable[[#This Row],[Delivery Date]],_xlfn.XLOOKUP(JG$1,$BH$2:$BR$2,$BH51:$BR51,0),0)</f>
        <v>0</v>
      </c>
      <c r="JH51" s="26">
        <f>IF(JH$2=InputTable[[#This Row],[Delivery Date]],_xlfn.XLOOKUP(JH$1,$BH$2:$BR$2,$BH51:$BR51,0),0)</f>
        <v>0</v>
      </c>
      <c r="JI51" s="26">
        <f>IF(JI$2=InputTable[[#This Row],[Delivery Date]],_xlfn.XLOOKUP(JI$1,$BH$2:$BR$2,$BH51:$BR51,0),0)</f>
        <v>0</v>
      </c>
      <c r="JJ51" s="26">
        <f>IF(JJ$2=InputTable[[#This Row],[Delivery Date]],_xlfn.XLOOKUP(JJ$1,$BH$2:$BR$2,$BH51:$BR51,0),0)</f>
        <v>0</v>
      </c>
      <c r="JK51" s="26">
        <f>IF(JK$2=InputTable[[#This Row],[Delivery Date]],_xlfn.XLOOKUP(JK$1,$BH$2:$BR$2,$BH51:$BR51,0),0)</f>
        <v>0</v>
      </c>
      <c r="JL51" s="26">
        <f>IF(JL$2=InputTable[[#This Row],[Delivery Date]],_xlfn.XLOOKUP(JL$1,$BH$2:$BR$2,$BH51:$BR51,0),0)</f>
        <v>0</v>
      </c>
      <c r="JN51" s="26" t="e">
        <f>IF(JN$2=InputTable[[#This Row],[Delivery Date]],_xlfn.XLOOKUP(JN$1,$BH$2:$BR$2,$BH51:$BR51,0),0)</f>
        <v>#REF!</v>
      </c>
      <c r="JO51" s="26">
        <f>IF(JO$2=InputTable[[#This Row],[Delivery Date]],_xlfn.XLOOKUP(JO$1,$BH$2:$BR$2,$BH51:$BR51,0),0)</f>
        <v>0</v>
      </c>
      <c r="JP51" s="26">
        <f>IF(JP$2=InputTable[[#This Row],[Delivery Date]],_xlfn.XLOOKUP(JP$1,$BH$2:$BR$2,$BH51:$BR51,0),0)</f>
        <v>0</v>
      </c>
      <c r="JQ51" s="26">
        <f>IF(JQ$2=InputTable[[#This Row],[Delivery Date]],_xlfn.XLOOKUP(JQ$1,$BH$2:$BR$2,$BH51:$BR51,0),0)</f>
        <v>0</v>
      </c>
      <c r="JR51" s="26">
        <f>IF(JR$2=InputTable[[#This Row],[Delivery Date]],_xlfn.XLOOKUP(JR$1,$BH$2:$BR$2,$BH51:$BR51,0),0)</f>
        <v>0</v>
      </c>
      <c r="JS51" s="26">
        <f>IF(JS$2=InputTable[[#This Row],[Delivery Date]],_xlfn.XLOOKUP(JS$1,$BH$2:$BR$2,$BH51:$BR51,0),0)</f>
        <v>0</v>
      </c>
      <c r="JT51" s="26">
        <f>IF(JT$2=InputTable[[#This Row],[Delivery Date]],_xlfn.XLOOKUP(JT$1,$BH$2:$BR$2,$BH51:$BR51,0),0)</f>
        <v>0</v>
      </c>
      <c r="JU51" s="26">
        <f>IF(JU$2=InputTable[[#This Row],[Delivery Date]],_xlfn.XLOOKUP(JU$1,$BH$2:$BR$2,$BH51:$BR51,0),0)</f>
        <v>0</v>
      </c>
      <c r="JV51" s="26">
        <f>IF(JV$2=InputTable[[#This Row],[Delivery Date]],_xlfn.XLOOKUP(JV$1,$BH$2:$BR$2,$BH51:$BR51,0),0)</f>
        <v>0</v>
      </c>
      <c r="JX51" s="26" t="e">
        <f>IF(JX$2=InputTable[[#This Row],[Delivery Date]],_xlfn.XLOOKUP(JX$1,$BH$2:$BR$2,$BH51:$BR51,0),0)</f>
        <v>#REF!</v>
      </c>
      <c r="JY51" s="26">
        <f>IF(JY$2=InputTable[[#This Row],[Delivery Date]],_xlfn.XLOOKUP(JY$1,$BH$2:$BR$2,$BH51:$BR51,0),0)</f>
        <v>0</v>
      </c>
      <c r="JZ51" s="26">
        <f>IF(JZ$2=InputTable[[#This Row],[Delivery Date]],_xlfn.XLOOKUP(JZ$1,$BH$2:$BR$2,$BH51:$BR51,0),0)</f>
        <v>0</v>
      </c>
      <c r="KA51" s="26">
        <f>IF(KA$2=InputTable[[#This Row],[Delivery Date]],_xlfn.XLOOKUP(KA$1,$BH$2:$BR$2,$BH51:$BR51,0),0)</f>
        <v>0</v>
      </c>
      <c r="KB51" s="26">
        <f>IF(KB$2=InputTable[[#This Row],[Delivery Date]],_xlfn.XLOOKUP(KB$1,$BH$2:$BR$2,$BH51:$BR51,0),0)</f>
        <v>0</v>
      </c>
      <c r="KC51" s="26">
        <f>IF(KC$2=InputTable[[#This Row],[Delivery Date]],_xlfn.XLOOKUP(KC$1,$BH$2:$BR$2,$BH51:$BR51,0),0)</f>
        <v>0</v>
      </c>
      <c r="KD51" s="26">
        <f>IF(KD$2=InputTable[[#This Row],[Delivery Date]],_xlfn.XLOOKUP(KD$1,$BH$2:$BR$2,$BH51:$BR51,0),0)</f>
        <v>0</v>
      </c>
      <c r="KE51" s="26">
        <f>IF(KE$2=InputTable[[#This Row],[Delivery Date]],_xlfn.XLOOKUP(KE$1,$BH$2:$BR$2,$BH51:$BR51,0),0)</f>
        <v>0</v>
      </c>
      <c r="KF51" s="26">
        <f>IF(KF$2=InputTable[[#This Row],[Delivery Date]],_xlfn.XLOOKUP(KF$1,$BH$2:$BR$2,$BH51:$BR51,0),0)</f>
        <v>0</v>
      </c>
    </row>
    <row r="52" spans="1:294" ht="39.6" hidden="1" customHeight="1" x14ac:dyDescent="0.25">
      <c r="A52" s="141" t="s">
        <v>134</v>
      </c>
      <c r="B52" s="141" t="s">
        <v>156</v>
      </c>
      <c r="C52" s="92" t="s">
        <v>56</v>
      </c>
      <c r="D52" s="125" t="s">
        <v>276</v>
      </c>
      <c r="E52" s="193" t="s">
        <v>277</v>
      </c>
      <c r="F52" s="92" t="s">
        <v>16</v>
      </c>
      <c r="G52" s="114">
        <v>2024</v>
      </c>
      <c r="H52" s="102" t="s">
        <v>100</v>
      </c>
      <c r="I52" s="98" t="s">
        <v>160</v>
      </c>
      <c r="J52" s="126"/>
      <c r="K52" s="95" t="e">
        <f>VLOOKUP((InputTable[[#This Row],[Starting Date]]&amp; " - " &amp;InputTable[[#This Row],[Delivery Date]]),'System List'!$F$40:$H$83,2,FALSE)</f>
        <v>#N/A</v>
      </c>
      <c r="L52" s="95" t="e">
        <f>VLOOKUP(InputTable[[#This Row],[Duration]],Duration,2,FALSE)</f>
        <v>#N/A</v>
      </c>
      <c r="M52" s="126"/>
      <c r="N52" s="98"/>
      <c r="O52" s="98"/>
      <c r="P52" s="98"/>
      <c r="Q52" s="98" t="s">
        <v>100</v>
      </c>
      <c r="R52" s="98" t="s">
        <v>111</v>
      </c>
      <c r="S52" s="92"/>
      <c r="T52" s="95" cm="1">
        <f t="array" ref="T5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2.8</v>
      </c>
      <c r="U52" s="138"/>
      <c r="V52" s="98" t="s">
        <v>139</v>
      </c>
      <c r="W52" s="98"/>
      <c r="X52" s="98" t="s">
        <v>111</v>
      </c>
      <c r="Y52" s="98" t="s">
        <v>111</v>
      </c>
      <c r="Z52" s="98"/>
      <c r="AA52" s="98" t="s">
        <v>111</v>
      </c>
      <c r="AB52" s="98" t="s">
        <v>111</v>
      </c>
      <c r="AC52" s="98"/>
      <c r="AD52" s="92">
        <f>COUNTA(InputTable[[#This Row],[CORPHRFIN]:[SALES]])</f>
        <v>5</v>
      </c>
      <c r="AE52" s="88" cm="1">
        <f t="array" ref="AE52">SUM(
_xlfn.XLOOKUP(InputTable[[#This Row],[CORPHRFIN]:[SALES]],'System List'!$F$4:$F$7,'System List'!$H$4:$H$7,0))</f>
        <v>28</v>
      </c>
      <c r="AF52" s="140"/>
      <c r="AG52" s="101"/>
      <c r="AH52" s="101" t="s">
        <v>100</v>
      </c>
      <c r="AI52" s="101"/>
      <c r="AJ52" s="101"/>
      <c r="AK52" s="101"/>
      <c r="AL52" s="101"/>
      <c r="AM52" s="101"/>
      <c r="AN52" s="101"/>
      <c r="AO52" s="101"/>
      <c r="AP52" s="101"/>
      <c r="AQ52" s="101"/>
      <c r="AR52" s="88" cm="1">
        <f t="array" ref="AR52">SUM(
_xlfn.XLOOKUP(InputTable[[#This Row],[Impact on - CIAL]:[Impact on - STRAT]],'System List'!$F$4:$F$7,'System List'!$H$4:$H$7,0))</f>
        <v>13</v>
      </c>
      <c r="AS52" s="88" t="e">
        <f>VLOOKUP(InputTable[[#This Row],[Duration]],Duration,2,FALSE)+InputTable[[#This Row],[Resource Score]]</f>
        <v>#N/A</v>
      </c>
      <c r="AT5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2" s="24" t="e">
        <f>InputTable[[#This Row],[Value Score]]/InputTable[[#This Row],[EFFORT SCORE]]*100</f>
        <v>#N/A</v>
      </c>
      <c r="AV52" s="25" t="str">
        <f>InputTable[[#This Row],[IS Portfolio Ref ID]]</f>
        <v>ISPRJ-37</v>
      </c>
      <c r="AW52" s="25" t="s">
        <v>185</v>
      </c>
      <c r="AX52" s="208" t="s">
        <v>278</v>
      </c>
      <c r="AY52" s="25"/>
      <c r="AZ52" s="209">
        <v>0</v>
      </c>
      <c r="BA52" s="209">
        <v>136368</v>
      </c>
      <c r="BB52" s="209"/>
      <c r="BC52" s="189">
        <f>SUM(InputTable[[#This Row],[Opex IS Budget (full project)]]+InputTable[[#This Row],[Capex IS Budget (full project)]])</f>
        <v>136368</v>
      </c>
      <c r="BD52" s="188">
        <v>1</v>
      </c>
      <c r="BE52" s="188"/>
      <c r="BF52" s="70"/>
      <c r="BH52" s="2">
        <f>IFERROR(VLOOKUP(InputTable[[#This Row],[Impact on - CIAL]],'System List'!$F$4:$H$7,3,FALSE),0)</f>
        <v>0</v>
      </c>
      <c r="BI52" s="2">
        <f>IFERROR(VLOOKUP(InputTable[[#This Row],[Impact on - COM]],'System List'!$F$4:$H$7,3,FALSE),0)</f>
        <v>13</v>
      </c>
      <c r="BJ52" s="2">
        <f>IFERROR(VLOOKUP(InputTable[[#This Row],[Impact on - FIN]],'System List'!$F$4:$H$7,3,FALSE),0)</f>
        <v>0</v>
      </c>
      <c r="BK52" s="2">
        <f>IFERROR(VLOOKUP(InputTable[[#This Row],[Impact on - GEN SEC]],'System List'!$F$4:$H$7,3,FALSE),0)</f>
        <v>0</v>
      </c>
      <c r="BL52" s="2">
        <f>IFERROR(VLOOKUP(InputTable[[#This Row],[Impact on - HR]],'System List'!$F$4:$H$7,3,FALSE),0)</f>
        <v>0</v>
      </c>
      <c r="BM52" s="2">
        <f>IFERROR(VLOOKUP(InputTable[[#This Row],[Impact on - IS]],'System List'!$F$4:$H$7,3,FALSE),0)</f>
        <v>0</v>
      </c>
      <c r="BN52" s="2">
        <f>IFERROR(VLOOKUP(InputTable[[#This Row],[Impact on - OPS]],'System List'!$F$4:$H$7,3,FALSE),0)</f>
        <v>0</v>
      </c>
      <c r="BO52" s="2">
        <f>IFERROR(VLOOKUP(InputTable[[#This Row],[Impact on - ROLL STOCK]],'System List'!$F$4:$H$7,3,FALSE),0)</f>
        <v>0</v>
      </c>
      <c r="BP52" s="2">
        <f>IFERROR(VLOOKUP(InputTable[[#This Row],[Impact on - SAFETY]],'System List'!$F$4:$H$7,3,FALSE),0)</f>
        <v>0</v>
      </c>
      <c r="BQ52" s="2">
        <f>IFERROR(VLOOKUP(InputTable[[#This Row],[Impact on - STATION]],'System List'!$F$4:$H$7,3,FALSE),0)</f>
        <v>0</v>
      </c>
      <c r="BR52" s="2">
        <f>IFERROR(VLOOKUP(InputTable[[#This Row],[Impact on - STRAT]],'System List'!$F$4:$H$7,3,FALSE),0)</f>
        <v>0</v>
      </c>
      <c r="BT52" s="2">
        <f>IFERROR(VLOOKUP(InputTable[[#This Row],[CORPHRFIN]],'System List'!$F$4:$H$7,3,FALSE),0)</f>
        <v>8</v>
      </c>
      <c r="BU52" s="2">
        <f>IFERROR(VLOOKUP(InputTable[[#This Row],[CUST]],'System List'!$F$4:$H$7,3,FALSE),0)</f>
        <v>0</v>
      </c>
      <c r="BV52" s="2">
        <f>IFERROR(VLOOKUP(InputTable[[#This Row],[CYBER]],'System List'!$F$4:$H$7,3,FALSE),0)</f>
        <v>5</v>
      </c>
      <c r="BW52" s="2">
        <f>IFERROR(VLOOKUP(InputTable[[#This Row],[DATA]],'System List'!$F$4:$H$7,3,FALSE),0)</f>
        <v>5</v>
      </c>
      <c r="BX52" s="2">
        <f>IFERROR(VLOOKUP(InputTable[[#This Row],[INFRA]],'System List'!$F$4:$H$7,3,FALSE),0)</f>
        <v>0</v>
      </c>
      <c r="BY52" s="2">
        <f>IFERROR(VLOOKUP(InputTable[[#This Row],[OPERATIONS]],'System List'!$F$4:$H$7,3,FALSE),0)</f>
        <v>5</v>
      </c>
      <c r="BZ52" s="2">
        <f>IFERROR(VLOOKUP(InputTable[[#This Row],[PMO]],'System List'!$F$4:$H$7,3,FALSE),0)</f>
        <v>5</v>
      </c>
      <c r="CA52" s="2">
        <f>IFERROR(VLOOKUP(InputTable[[#This Row],[SALES]],'System List'!$F$4:$H$7,3,FALSE),0)</f>
        <v>0</v>
      </c>
      <c r="CC52" s="2" cm="1">
        <f t="array" ref="CC5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2" s="2" cm="1">
        <f t="array" ref="CD5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2" s="2" cm="1">
        <f t="array" ref="CE5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2" s="2" cm="1">
        <f t="array" ref="CF5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2" s="2" cm="1">
        <f t="array" ref="CG5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2" s="2" cm="1">
        <f t="array" ref="CH5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2" s="2" cm="1">
        <f t="array" ref="CI5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2" s="2" cm="1">
        <f t="array" ref="CJ5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2" s="2" cm="1">
        <f t="array" ref="CK5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5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5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5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2" s="26">
        <f t="shared" si="151"/>
        <v>0</v>
      </c>
      <c r="CY52" s="26">
        <f t="shared" si="152"/>
        <v>8</v>
      </c>
      <c r="CZ52" s="26">
        <f t="shared" si="153"/>
        <v>8</v>
      </c>
      <c r="DA52" s="26">
        <f t="shared" si="154"/>
        <v>8</v>
      </c>
      <c r="DB52" s="26">
        <f t="shared" si="155"/>
        <v>0</v>
      </c>
      <c r="DC52" s="26">
        <f t="shared" si="156"/>
        <v>0</v>
      </c>
      <c r="DD52" s="26">
        <f t="shared" si="157"/>
        <v>0</v>
      </c>
      <c r="DE52" s="26">
        <f t="shared" si="158"/>
        <v>0</v>
      </c>
      <c r="DF52" s="26">
        <f t="shared" si="159"/>
        <v>0</v>
      </c>
      <c r="DH52" s="26">
        <f t="shared" si="160"/>
        <v>0</v>
      </c>
      <c r="DI52" s="26">
        <f t="shared" si="161"/>
        <v>0</v>
      </c>
      <c r="DJ52" s="26">
        <f t="shared" si="162"/>
        <v>0</v>
      </c>
      <c r="DK52" s="26">
        <f t="shared" si="163"/>
        <v>0</v>
      </c>
      <c r="DL52" s="26">
        <f t="shared" si="164"/>
        <v>0</v>
      </c>
      <c r="DM52" s="26">
        <f t="shared" si="165"/>
        <v>0</v>
      </c>
      <c r="DN52" s="26">
        <f t="shared" si="166"/>
        <v>0</v>
      </c>
      <c r="DO52" s="26">
        <f t="shared" si="167"/>
        <v>0</v>
      </c>
      <c r="DP52" s="26">
        <f t="shared" si="168"/>
        <v>0</v>
      </c>
      <c r="DR52" s="26">
        <f t="shared" si="169"/>
        <v>0</v>
      </c>
      <c r="DS52" s="26">
        <f t="shared" si="170"/>
        <v>5</v>
      </c>
      <c r="DT52" s="26">
        <f t="shared" si="171"/>
        <v>5</v>
      </c>
      <c r="DU52" s="26">
        <f t="shared" si="172"/>
        <v>5</v>
      </c>
      <c r="DV52" s="26">
        <f t="shared" si="173"/>
        <v>0</v>
      </c>
      <c r="DW52" s="26">
        <f t="shared" si="174"/>
        <v>0</v>
      </c>
      <c r="DX52" s="26">
        <f t="shared" si="175"/>
        <v>0</v>
      </c>
      <c r="DY52" s="26">
        <f t="shared" si="176"/>
        <v>0</v>
      </c>
      <c r="DZ52" s="26">
        <f t="shared" si="177"/>
        <v>0</v>
      </c>
      <c r="EB52" s="26">
        <f t="shared" si="178"/>
        <v>0</v>
      </c>
      <c r="EC52" s="26">
        <f t="shared" si="179"/>
        <v>5</v>
      </c>
      <c r="ED52" s="26">
        <f t="shared" si="180"/>
        <v>5</v>
      </c>
      <c r="EE52" s="26">
        <f t="shared" si="181"/>
        <v>5</v>
      </c>
      <c r="EF52" s="26">
        <f t="shared" si="182"/>
        <v>0</v>
      </c>
      <c r="EG52" s="26">
        <f t="shared" si="183"/>
        <v>0</v>
      </c>
      <c r="EH52" s="26">
        <f t="shared" si="184"/>
        <v>0</v>
      </c>
      <c r="EI52" s="26">
        <f t="shared" si="185"/>
        <v>0</v>
      </c>
      <c r="EJ52" s="26">
        <f t="shared" si="186"/>
        <v>0</v>
      </c>
      <c r="EL52" s="26">
        <f t="shared" si="187"/>
        <v>0</v>
      </c>
      <c r="EM52" s="26">
        <f t="shared" si="188"/>
        <v>0</v>
      </c>
      <c r="EN52" s="26">
        <f t="shared" si="189"/>
        <v>0</v>
      </c>
      <c r="EO52" s="26">
        <f t="shared" si="190"/>
        <v>0</v>
      </c>
      <c r="EP52" s="26">
        <f t="shared" si="191"/>
        <v>0</v>
      </c>
      <c r="EQ52" s="26">
        <f t="shared" si="192"/>
        <v>0</v>
      </c>
      <c r="ER52" s="26">
        <f t="shared" si="193"/>
        <v>0</v>
      </c>
      <c r="ES52" s="26">
        <f t="shared" si="194"/>
        <v>0</v>
      </c>
      <c r="ET52" s="26">
        <f t="shared" si="195"/>
        <v>0</v>
      </c>
      <c r="EV52" s="26">
        <f t="shared" si="196"/>
        <v>0</v>
      </c>
      <c r="EW52" s="26">
        <f t="shared" si="197"/>
        <v>5</v>
      </c>
      <c r="EX52" s="26">
        <f t="shared" si="198"/>
        <v>5</v>
      </c>
      <c r="EY52" s="26">
        <f t="shared" si="199"/>
        <v>5</v>
      </c>
      <c r="EZ52" s="26">
        <f t="shared" si="200"/>
        <v>0</v>
      </c>
      <c r="FA52" s="26">
        <f t="shared" si="201"/>
        <v>0</v>
      </c>
      <c r="FB52" s="26">
        <f t="shared" si="202"/>
        <v>0</v>
      </c>
      <c r="FC52" s="26">
        <f t="shared" si="203"/>
        <v>0</v>
      </c>
      <c r="FD52" s="26">
        <f t="shared" si="204"/>
        <v>0</v>
      </c>
      <c r="FF52" s="26">
        <f t="shared" si="205"/>
        <v>0</v>
      </c>
      <c r="FG52" s="26">
        <f t="shared" si="206"/>
        <v>5</v>
      </c>
      <c r="FH52" s="26">
        <f t="shared" si="207"/>
        <v>5</v>
      </c>
      <c r="FI52" s="26">
        <f t="shared" si="208"/>
        <v>5</v>
      </c>
      <c r="FJ52" s="26">
        <f t="shared" si="209"/>
        <v>0</v>
      </c>
      <c r="FK52" s="26">
        <f t="shared" si="210"/>
        <v>0</v>
      </c>
      <c r="FL52" s="26">
        <f t="shared" si="211"/>
        <v>0</v>
      </c>
      <c r="FM52" s="26">
        <f t="shared" si="212"/>
        <v>0</v>
      </c>
      <c r="FN52" s="26">
        <f t="shared" si="213"/>
        <v>0</v>
      </c>
      <c r="FP52" s="26" t="e">
        <f t="shared" si="214"/>
        <v>#REF!</v>
      </c>
      <c r="FQ52" s="26" t="e">
        <f t="shared" si="215"/>
        <v>#REF!</v>
      </c>
      <c r="FR52" s="26" t="e">
        <f t="shared" si="216"/>
        <v>#REF!</v>
      </c>
      <c r="FS52" s="26" t="e">
        <f t="shared" si="217"/>
        <v>#REF!</v>
      </c>
      <c r="FT52" s="26" t="e">
        <f t="shared" si="218"/>
        <v>#REF!</v>
      </c>
      <c r="FU52" s="26" t="e">
        <f t="shared" si="219"/>
        <v>#REF!</v>
      </c>
      <c r="FV52" s="26" t="e">
        <f t="shared" si="220"/>
        <v>#REF!</v>
      </c>
      <c r="FW52" s="26" t="e">
        <f t="shared" si="221"/>
        <v>#REF!</v>
      </c>
      <c r="FX52" s="26" t="e">
        <f t="shared" si="222"/>
        <v>#REF!</v>
      </c>
      <c r="GB52" s="26" t="e">
        <f>IF(GB$2=InputTable[[#This Row],[Delivery Date]],_xlfn.XLOOKUP(GB$1,$BH$2:$BR$2,$BH52:$BR52,0),0)</f>
        <v>#REF!</v>
      </c>
      <c r="GC52" s="26">
        <f>IF(GC$2=InputTable[[#This Row],[Delivery Date]],_xlfn.XLOOKUP(GC$1,$BH$2:$BR$2,$BH52:$BR52,0),0)</f>
        <v>0</v>
      </c>
      <c r="GD52" s="26">
        <f>IF(GD$2=InputTable[[#This Row],[Delivery Date]],_xlfn.XLOOKUP(GD$1,$BH$2:$BR$2,$BH52:$BR52,0),0)</f>
        <v>0</v>
      </c>
      <c r="GE52" s="26">
        <f>IF(GE$2=InputTable[[#This Row],[Delivery Date]],_xlfn.XLOOKUP(GE$1,$BH$2:$BR$2,$BH52:$BR52,0),0)</f>
        <v>0</v>
      </c>
      <c r="GF52" s="26">
        <f>IF(GF$2=InputTable[[#This Row],[Delivery Date]],_xlfn.XLOOKUP(GF$1,$BH$2:$BR$2,$BH52:$BR52,0),0)</f>
        <v>0</v>
      </c>
      <c r="GG52" s="26">
        <f>IF(GG$2=InputTable[[#This Row],[Delivery Date]],_xlfn.XLOOKUP(GG$1,$BH$2:$BR$2,$BH52:$BR52,0),0)</f>
        <v>0</v>
      </c>
      <c r="GH52" s="26">
        <f>IF(GH$2=InputTable[[#This Row],[Delivery Date]],_xlfn.XLOOKUP(GH$1,$BH$2:$BR$2,$BH52:$BR52,0),0)</f>
        <v>0</v>
      </c>
      <c r="GI52" s="26">
        <f>IF(GI$2=InputTable[[#This Row],[Delivery Date]],_xlfn.XLOOKUP(GI$1,$BH$2:$BR$2,$BH52:$BR52,0),0)</f>
        <v>0</v>
      </c>
      <c r="GJ52" s="26">
        <f>IF(GJ$2=InputTable[[#This Row],[Delivery Date]],_xlfn.XLOOKUP(GJ$1,$BH$2:$BR$2,$BH52:$BR52,0),0)</f>
        <v>0</v>
      </c>
      <c r="GL52" s="26" t="e">
        <f>IF(GL$2=InputTable[[#This Row],[Delivery Date]],_xlfn.XLOOKUP(GL$1,$BH$2:$BR$2,$BH52:$BR52,0),0)</f>
        <v>#REF!</v>
      </c>
      <c r="GM52" s="26">
        <f>IF(GM$2=InputTable[[#This Row],[Delivery Date]],_xlfn.XLOOKUP(GM$1,$BH$2:$BR$2,$BH52:$BR52,0),0)</f>
        <v>0</v>
      </c>
      <c r="GN52" s="26">
        <f>IF(GN$2=InputTable[[#This Row],[Delivery Date]],_xlfn.XLOOKUP(GN$1,$BH$2:$BR$2,$BH52:$BR52,0),0)</f>
        <v>0</v>
      </c>
      <c r="GO52" s="26">
        <f>IF(GO$2=InputTable[[#This Row],[Delivery Date]],_xlfn.XLOOKUP(GO$1,$BH$2:$BR$2,$BH52:$BR52,0),0)</f>
        <v>13</v>
      </c>
      <c r="GP52" s="26">
        <f>IF(GP$2=InputTable[[#This Row],[Delivery Date]],_xlfn.XLOOKUP(GP$1,$BH$2:$BR$2,$BH52:$BR52,0),0)</f>
        <v>0</v>
      </c>
      <c r="GQ52" s="26">
        <f>IF(GQ$2=InputTable[[#This Row],[Delivery Date]],_xlfn.XLOOKUP(GQ$1,$BH$2:$BR$2,$BH52:$BR52,0),0)</f>
        <v>0</v>
      </c>
      <c r="GR52" s="26">
        <f>IF(GR$2=InputTable[[#This Row],[Delivery Date]],_xlfn.XLOOKUP(GR$1,$BH$2:$BR$2,$BH52:$BR52,0),0)</f>
        <v>0</v>
      </c>
      <c r="GS52" s="26">
        <f>IF(GS$2=InputTable[[#This Row],[Delivery Date]],_xlfn.XLOOKUP(GS$1,$BH$2:$BR$2,$BH52:$BR52,0),0)</f>
        <v>0</v>
      </c>
      <c r="GT52" s="26">
        <f>IF(GT$2=InputTable[[#This Row],[Delivery Date]],_xlfn.XLOOKUP(GT$1,$BH$2:$BR$2,$BH52:$BR52,0),0)</f>
        <v>0</v>
      </c>
      <c r="GV52" s="26" t="e">
        <f>IF(GV$2=InputTable[[#This Row],[Delivery Date]],_xlfn.XLOOKUP(GV$1,$BH$2:$BR$2,$BH52:$BR52,0),0)</f>
        <v>#REF!</v>
      </c>
      <c r="GW52" s="26">
        <f>IF(GW$2=InputTable[[#This Row],[Delivery Date]],_xlfn.XLOOKUP(GW$1,$BH$2:$BR$2,$BH52:$BR52,0),0)</f>
        <v>0</v>
      </c>
      <c r="GX52" s="26">
        <f>IF(GX$2=InputTable[[#This Row],[Delivery Date]],_xlfn.XLOOKUP(GX$1,$BH$2:$BR$2,$BH52:$BR52,0),0)</f>
        <v>0</v>
      </c>
      <c r="GY52" s="26">
        <f>IF(GY$2=InputTable[[#This Row],[Delivery Date]],_xlfn.XLOOKUP(GY$1,$BH$2:$BR$2,$BH52:$BR52,0),0)</f>
        <v>0</v>
      </c>
      <c r="GZ52" s="26">
        <f>IF(GZ$2=InputTable[[#This Row],[Delivery Date]],_xlfn.XLOOKUP(GZ$1,$BH$2:$BR$2,$BH52:$BR52,0),0)</f>
        <v>0</v>
      </c>
      <c r="HA52" s="26">
        <f>IF(HA$2=InputTable[[#This Row],[Delivery Date]],_xlfn.XLOOKUP(HA$1,$BH$2:$BR$2,$BH52:$BR52,0),0)</f>
        <v>0</v>
      </c>
      <c r="HB52" s="26">
        <f>IF(HB$2=InputTable[[#This Row],[Delivery Date]],_xlfn.XLOOKUP(HB$1,$BH$2:$BR$2,$BH52:$BR52,0),0)</f>
        <v>0</v>
      </c>
      <c r="HC52" s="26">
        <f>IF(HC$2=InputTable[[#This Row],[Delivery Date]],_xlfn.XLOOKUP(HC$1,$BH$2:$BR$2,$BH52:$BR52,0),0)</f>
        <v>0</v>
      </c>
      <c r="HD52" s="26">
        <f>IF(HD$2=InputTable[[#This Row],[Delivery Date]],_xlfn.XLOOKUP(HD$1,$BH$2:$BR$2,$BH52:$BR52,0),0)</f>
        <v>0</v>
      </c>
      <c r="HF52" s="26" t="e">
        <f>IF(HF$2=InputTable[[#This Row],[Delivery Date]],_xlfn.XLOOKUP(HF$1,$BH$2:$BR$2,$BH52:$BR52,0),0)</f>
        <v>#REF!</v>
      </c>
      <c r="HG52" s="26">
        <f>IF(HG$2=InputTable[[#This Row],[Delivery Date]],_xlfn.XLOOKUP(HG$1,$BH$2:$BR$2,$BH52:$BR52,0),0)</f>
        <v>0</v>
      </c>
      <c r="HH52" s="26">
        <f>IF(HH$2=InputTable[[#This Row],[Delivery Date]],_xlfn.XLOOKUP(HH$1,$BH$2:$BR$2,$BH52:$BR52,0),0)</f>
        <v>0</v>
      </c>
      <c r="HI52" s="26">
        <f>IF(HI$2=InputTable[[#This Row],[Delivery Date]],_xlfn.XLOOKUP(HI$1,$BH$2:$BR$2,$BH52:$BR52,0),0)</f>
        <v>0</v>
      </c>
      <c r="HJ52" s="26">
        <f>IF(HJ$2=InputTable[[#This Row],[Delivery Date]],_xlfn.XLOOKUP(HJ$1,$BH$2:$BR$2,$BH52:$BR52,0),0)</f>
        <v>0</v>
      </c>
      <c r="HK52" s="26">
        <f>IF(HK$2=InputTable[[#This Row],[Delivery Date]],_xlfn.XLOOKUP(HK$1,$BH$2:$BR$2,$BH52:$BR52,0),0)</f>
        <v>0</v>
      </c>
      <c r="HL52" s="26">
        <f>IF(HL$2=InputTable[[#This Row],[Delivery Date]],_xlfn.XLOOKUP(HL$1,$BH$2:$BR$2,$BH52:$BR52,0),0)</f>
        <v>0</v>
      </c>
      <c r="HM52" s="26">
        <f>IF(HM$2=InputTable[[#This Row],[Delivery Date]],_xlfn.XLOOKUP(HM$1,$BH$2:$BR$2,$BH52:$BR52,0),0)</f>
        <v>0</v>
      </c>
      <c r="HN52" s="26">
        <f>IF(HN$2=InputTable[[#This Row],[Delivery Date]],_xlfn.XLOOKUP(HN$1,$BH$2:$BR$2,$BH52:$BR52,0),0)</f>
        <v>0</v>
      </c>
      <c r="HP52" s="26" t="e">
        <f>IF(HP$2=InputTable[[#This Row],[Delivery Date]],_xlfn.XLOOKUP(HP$1,$BH$2:$BR$2,$BH52:$BR52,0),0)</f>
        <v>#REF!</v>
      </c>
      <c r="HQ52" s="26">
        <f>IF(HQ$2=InputTable[[#This Row],[Delivery Date]],_xlfn.XLOOKUP(HQ$1,$BH$2:$BR$2,$BH52:$BR52,0),0)</f>
        <v>0</v>
      </c>
      <c r="HR52" s="26">
        <f>IF(HR$2=InputTable[[#This Row],[Delivery Date]],_xlfn.XLOOKUP(HR$1,$BH$2:$BR$2,$BH52:$BR52,0),0)</f>
        <v>0</v>
      </c>
      <c r="HS52" s="26">
        <f>IF(HS$2=InputTable[[#This Row],[Delivery Date]],_xlfn.XLOOKUP(HS$1,$BH$2:$BR$2,$BH52:$BR52,0),0)</f>
        <v>0</v>
      </c>
      <c r="HT52" s="26">
        <f>IF(HT$2=InputTable[[#This Row],[Delivery Date]],_xlfn.XLOOKUP(HT$1,$BH$2:$BR$2,$BH52:$BR52,0),0)</f>
        <v>0</v>
      </c>
      <c r="HU52" s="26">
        <f>IF(HU$2=InputTable[[#This Row],[Delivery Date]],_xlfn.XLOOKUP(HU$1,$BH$2:$BR$2,$BH52:$BR52,0),0)</f>
        <v>0</v>
      </c>
      <c r="HV52" s="26">
        <f>IF(HV$2=InputTable[[#This Row],[Delivery Date]],_xlfn.XLOOKUP(HV$1,$BH$2:$BR$2,$BH52:$BR52,0),0)</f>
        <v>0</v>
      </c>
      <c r="HW52" s="26">
        <f>IF(HW$2=InputTable[[#This Row],[Delivery Date]],_xlfn.XLOOKUP(HW$1,$BH$2:$BR$2,$BH52:$BR52,0),0)</f>
        <v>0</v>
      </c>
      <c r="HX52" s="26">
        <f>IF(HX$2=InputTable[[#This Row],[Delivery Date]],_xlfn.XLOOKUP(HX$1,$BH$2:$BR$2,$BH52:$BR52,0),0)</f>
        <v>0</v>
      </c>
      <c r="HZ52" s="26" t="e">
        <f>IF(HZ$2=InputTable[[#This Row],[Delivery Date]],_xlfn.XLOOKUP(HZ$1,$BH$2:$BR$2,$BH52:$BR52,0),0)</f>
        <v>#REF!</v>
      </c>
      <c r="IA52" s="26">
        <f>IF(IA$2=InputTable[[#This Row],[Delivery Date]],_xlfn.XLOOKUP(IA$1,$BH$2:$BR$2,$BH52:$BR52,0),0)</f>
        <v>0</v>
      </c>
      <c r="IB52" s="26">
        <f>IF(IB$2=InputTable[[#This Row],[Delivery Date]],_xlfn.XLOOKUP(IB$1,$BH$2:$BR$2,$BH52:$BR52,0),0)</f>
        <v>0</v>
      </c>
      <c r="IC52" s="26">
        <f>IF(IC$2=InputTable[[#This Row],[Delivery Date]],_xlfn.XLOOKUP(IC$1,$BH$2:$BR$2,$BH52:$BR52,0),0)</f>
        <v>0</v>
      </c>
      <c r="ID52" s="26">
        <f>IF(ID$2=InputTable[[#This Row],[Delivery Date]],_xlfn.XLOOKUP(ID$1,$BH$2:$BR$2,$BH52:$BR52,0),0)</f>
        <v>0</v>
      </c>
      <c r="IE52" s="26">
        <f>IF(IE$2=InputTable[[#This Row],[Delivery Date]],_xlfn.XLOOKUP(IE$1,$BH$2:$BR$2,$BH52:$BR52,0),0)</f>
        <v>0</v>
      </c>
      <c r="IF52" s="26">
        <f>IF(IF$2=InputTable[[#This Row],[Delivery Date]],_xlfn.XLOOKUP(IF$1,$BH$2:$BR$2,$BH52:$BR52,0),0)</f>
        <v>0</v>
      </c>
      <c r="IG52" s="26">
        <f>IF(IG$2=InputTable[[#This Row],[Delivery Date]],_xlfn.XLOOKUP(IG$1,$BH$2:$BR$2,$BH52:$BR52,0),0)</f>
        <v>0</v>
      </c>
      <c r="IH52" s="26">
        <f>IF(IH$2=InputTable[[#This Row],[Delivery Date]],_xlfn.XLOOKUP(IH$1,$BH$2:$BR$2,$BH52:$BR52,0),0)</f>
        <v>0</v>
      </c>
      <c r="IJ52" s="26" t="e">
        <f>IF(IJ$2=InputTable[[#This Row],[Delivery Date]],_xlfn.XLOOKUP(IJ$1,$BH$2:$BR$2,$BH52:$BR52,0),0)</f>
        <v>#REF!</v>
      </c>
      <c r="IK52" s="26">
        <f>IF(IK$2=InputTable[[#This Row],[Delivery Date]],_xlfn.XLOOKUP(IK$1,$BH$2:$BR$2,$BH52:$BR52,0),0)</f>
        <v>0</v>
      </c>
      <c r="IL52" s="26">
        <f>IF(IL$2=InputTable[[#This Row],[Delivery Date]],_xlfn.XLOOKUP(IL$1,$BH$2:$BR$2,$BH52:$BR52,0),0)</f>
        <v>0</v>
      </c>
      <c r="IM52" s="26">
        <f>IF(IM$2=InputTable[[#This Row],[Delivery Date]],_xlfn.XLOOKUP(IM$1,$BH$2:$BR$2,$BH52:$BR52,0),0)</f>
        <v>0</v>
      </c>
      <c r="IN52" s="26">
        <f>IF(IN$2=InputTable[[#This Row],[Delivery Date]],_xlfn.XLOOKUP(IN$1,$BH$2:$BR$2,$BH52:$BR52,0),0)</f>
        <v>0</v>
      </c>
      <c r="IO52" s="26">
        <f>IF(IO$2=InputTable[[#This Row],[Delivery Date]],_xlfn.XLOOKUP(IO$1,$BH$2:$BR$2,$BH52:$BR52,0),0)</f>
        <v>0</v>
      </c>
      <c r="IP52" s="26">
        <f>IF(IP$2=InputTable[[#This Row],[Delivery Date]],_xlfn.XLOOKUP(IP$1,$BH$2:$BR$2,$BH52:$BR52,0),0)</f>
        <v>0</v>
      </c>
      <c r="IQ52" s="26">
        <f>IF(IQ$2=InputTable[[#This Row],[Delivery Date]],_xlfn.XLOOKUP(IQ$1,$BH$2:$BR$2,$BH52:$BR52,0),0)</f>
        <v>0</v>
      </c>
      <c r="IR52" s="26">
        <f>IF(IR$2=InputTable[[#This Row],[Delivery Date]],_xlfn.XLOOKUP(IR$1,$BH$2:$BR$2,$BH52:$BR52,0),0)</f>
        <v>0</v>
      </c>
      <c r="IT52" s="26" t="e">
        <f>IF(IT$2=InputTable[[#This Row],[Delivery Date]],_xlfn.XLOOKUP(IT$1,$BH$2:$BR$2,$BH52:$BR52,0),0)</f>
        <v>#REF!</v>
      </c>
      <c r="IU52" s="26">
        <f>IF(IU$2=InputTable[[#This Row],[Delivery Date]],_xlfn.XLOOKUP(IU$1,$BH$2:$BR$2,$BH52:$BR52,0),0)</f>
        <v>0</v>
      </c>
      <c r="IV52" s="26">
        <f>IF(IV$2=InputTable[[#This Row],[Delivery Date]],_xlfn.XLOOKUP(IV$1,$BH$2:$BR$2,$BH52:$BR52,0),0)</f>
        <v>0</v>
      </c>
      <c r="IW52" s="26">
        <f>IF(IW$2=InputTable[[#This Row],[Delivery Date]],_xlfn.XLOOKUP(IW$1,$BH$2:$BR$2,$BH52:$BR52,0),0)</f>
        <v>0</v>
      </c>
      <c r="IX52" s="26">
        <f>IF(IX$2=InputTable[[#This Row],[Delivery Date]],_xlfn.XLOOKUP(IX$1,$BH$2:$BR$2,$BH52:$BR52,0),0)</f>
        <v>0</v>
      </c>
      <c r="IY52" s="26">
        <f>IF(IY$2=InputTable[[#This Row],[Delivery Date]],_xlfn.XLOOKUP(IY$1,$BH$2:$BR$2,$BH52:$BR52,0),0)</f>
        <v>0</v>
      </c>
      <c r="IZ52" s="26">
        <f>IF(IZ$2=InputTable[[#This Row],[Delivery Date]],_xlfn.XLOOKUP(IZ$1,$BH$2:$BR$2,$BH52:$BR52,0),0)</f>
        <v>0</v>
      </c>
      <c r="JA52" s="26">
        <f>IF(JA$2=InputTable[[#This Row],[Delivery Date]],_xlfn.XLOOKUP(JA$1,$BH$2:$BR$2,$BH52:$BR52,0),0)</f>
        <v>0</v>
      </c>
      <c r="JB52" s="26">
        <f>IF(JB$2=InputTable[[#This Row],[Delivery Date]],_xlfn.XLOOKUP(JB$1,$BH$2:$BR$2,$BH52:$BR52,0),0)</f>
        <v>0</v>
      </c>
      <c r="JD52" s="26" t="e">
        <f>IF(JD$2=InputTable[[#This Row],[Delivery Date]],_xlfn.XLOOKUP(JD$1,$BH$2:$BR$2,$BH52:$BR52,0),0)</f>
        <v>#REF!</v>
      </c>
      <c r="JE52" s="26">
        <f>IF(JE$2=InputTable[[#This Row],[Delivery Date]],_xlfn.XLOOKUP(JE$1,$BH$2:$BR$2,$BH52:$BR52,0),0)</f>
        <v>0</v>
      </c>
      <c r="JF52" s="26">
        <f>IF(JF$2=InputTable[[#This Row],[Delivery Date]],_xlfn.XLOOKUP(JF$1,$BH$2:$BR$2,$BH52:$BR52,0),0)</f>
        <v>0</v>
      </c>
      <c r="JG52" s="26">
        <f>IF(JG$2=InputTable[[#This Row],[Delivery Date]],_xlfn.XLOOKUP(JG$1,$BH$2:$BR$2,$BH52:$BR52,0),0)</f>
        <v>0</v>
      </c>
      <c r="JH52" s="26">
        <f>IF(JH$2=InputTable[[#This Row],[Delivery Date]],_xlfn.XLOOKUP(JH$1,$BH$2:$BR$2,$BH52:$BR52,0),0)</f>
        <v>0</v>
      </c>
      <c r="JI52" s="26">
        <f>IF(JI$2=InputTable[[#This Row],[Delivery Date]],_xlfn.XLOOKUP(JI$1,$BH$2:$BR$2,$BH52:$BR52,0),0)</f>
        <v>0</v>
      </c>
      <c r="JJ52" s="26">
        <f>IF(JJ$2=InputTable[[#This Row],[Delivery Date]],_xlfn.XLOOKUP(JJ$1,$BH$2:$BR$2,$BH52:$BR52,0),0)</f>
        <v>0</v>
      </c>
      <c r="JK52" s="26">
        <f>IF(JK$2=InputTable[[#This Row],[Delivery Date]],_xlfn.XLOOKUP(JK$1,$BH$2:$BR$2,$BH52:$BR52,0),0)</f>
        <v>0</v>
      </c>
      <c r="JL52" s="26">
        <f>IF(JL$2=InputTable[[#This Row],[Delivery Date]],_xlfn.XLOOKUP(JL$1,$BH$2:$BR$2,$BH52:$BR52,0),0)</f>
        <v>0</v>
      </c>
      <c r="JN52" s="26" t="e">
        <f>IF(JN$2=InputTable[[#This Row],[Delivery Date]],_xlfn.XLOOKUP(JN$1,$BH$2:$BR$2,$BH52:$BR52,0),0)</f>
        <v>#REF!</v>
      </c>
      <c r="JO52" s="26">
        <f>IF(JO$2=InputTable[[#This Row],[Delivery Date]],_xlfn.XLOOKUP(JO$1,$BH$2:$BR$2,$BH52:$BR52,0),0)</f>
        <v>0</v>
      </c>
      <c r="JP52" s="26">
        <f>IF(JP$2=InputTable[[#This Row],[Delivery Date]],_xlfn.XLOOKUP(JP$1,$BH$2:$BR$2,$BH52:$BR52,0),0)</f>
        <v>0</v>
      </c>
      <c r="JQ52" s="26">
        <f>IF(JQ$2=InputTable[[#This Row],[Delivery Date]],_xlfn.XLOOKUP(JQ$1,$BH$2:$BR$2,$BH52:$BR52,0),0)</f>
        <v>0</v>
      </c>
      <c r="JR52" s="26">
        <f>IF(JR$2=InputTable[[#This Row],[Delivery Date]],_xlfn.XLOOKUP(JR$1,$BH$2:$BR$2,$BH52:$BR52,0),0)</f>
        <v>0</v>
      </c>
      <c r="JS52" s="26">
        <f>IF(JS$2=InputTable[[#This Row],[Delivery Date]],_xlfn.XLOOKUP(JS$1,$BH$2:$BR$2,$BH52:$BR52,0),0)</f>
        <v>0</v>
      </c>
      <c r="JT52" s="26">
        <f>IF(JT$2=InputTable[[#This Row],[Delivery Date]],_xlfn.XLOOKUP(JT$1,$BH$2:$BR$2,$BH52:$BR52,0),0)</f>
        <v>0</v>
      </c>
      <c r="JU52" s="26">
        <f>IF(JU$2=InputTable[[#This Row],[Delivery Date]],_xlfn.XLOOKUP(JU$1,$BH$2:$BR$2,$BH52:$BR52,0),0)</f>
        <v>0</v>
      </c>
      <c r="JV52" s="26">
        <f>IF(JV$2=InputTable[[#This Row],[Delivery Date]],_xlfn.XLOOKUP(JV$1,$BH$2:$BR$2,$BH52:$BR52,0),0)</f>
        <v>0</v>
      </c>
      <c r="JX52" s="26" t="e">
        <f>IF(JX$2=InputTable[[#This Row],[Delivery Date]],_xlfn.XLOOKUP(JX$1,$BH$2:$BR$2,$BH52:$BR52,0),0)</f>
        <v>#REF!</v>
      </c>
      <c r="JY52" s="26">
        <f>IF(JY$2=InputTable[[#This Row],[Delivery Date]],_xlfn.XLOOKUP(JY$1,$BH$2:$BR$2,$BH52:$BR52,0),0)</f>
        <v>0</v>
      </c>
      <c r="JZ52" s="26">
        <f>IF(JZ$2=InputTable[[#This Row],[Delivery Date]],_xlfn.XLOOKUP(JZ$1,$BH$2:$BR$2,$BH52:$BR52,0),0)</f>
        <v>0</v>
      </c>
      <c r="KA52" s="26">
        <f>IF(KA$2=InputTable[[#This Row],[Delivery Date]],_xlfn.XLOOKUP(KA$1,$BH$2:$BR$2,$BH52:$BR52,0),0)</f>
        <v>0</v>
      </c>
      <c r="KB52" s="26">
        <f>IF(KB$2=InputTable[[#This Row],[Delivery Date]],_xlfn.XLOOKUP(KB$1,$BH$2:$BR$2,$BH52:$BR52,0),0)</f>
        <v>0</v>
      </c>
      <c r="KC52" s="26">
        <f>IF(KC$2=InputTable[[#This Row],[Delivery Date]],_xlfn.XLOOKUP(KC$1,$BH$2:$BR$2,$BH52:$BR52,0),0)</f>
        <v>0</v>
      </c>
      <c r="KD52" s="26">
        <f>IF(KD$2=InputTable[[#This Row],[Delivery Date]],_xlfn.XLOOKUP(KD$1,$BH$2:$BR$2,$BH52:$BR52,0),0)</f>
        <v>0</v>
      </c>
      <c r="KE52" s="26">
        <f>IF(KE$2=InputTable[[#This Row],[Delivery Date]],_xlfn.XLOOKUP(KE$1,$BH$2:$BR$2,$BH52:$BR52,0),0)</f>
        <v>0</v>
      </c>
      <c r="KF52" s="26">
        <f>IF(KF$2=InputTable[[#This Row],[Delivery Date]],_xlfn.XLOOKUP(KF$1,$BH$2:$BR$2,$BH52:$BR52,0),0)</f>
        <v>0</v>
      </c>
    </row>
    <row r="53" spans="1:294" ht="39.6" customHeight="1" x14ac:dyDescent="0.25">
      <c r="A53" s="125"/>
      <c r="B53" s="141" t="s">
        <v>104</v>
      </c>
      <c r="C53" s="92" t="s">
        <v>57</v>
      </c>
      <c r="D53" s="125" t="s">
        <v>279</v>
      </c>
      <c r="E53" s="193" t="s">
        <v>280</v>
      </c>
      <c r="F53" s="92" t="s">
        <v>159</v>
      </c>
      <c r="G53" s="92">
        <v>2026</v>
      </c>
      <c r="H53" s="92"/>
      <c r="I53" s="92">
        <v>2027</v>
      </c>
      <c r="J53" s="125"/>
      <c r="K53" s="95" t="str">
        <f>VLOOKUP((InputTable[[#This Row],[Starting Date]]&amp; " - " &amp;InputTable[[#This Row],[Delivery Date]]),'System List'!$F$40:$H$83,2,FALSE)</f>
        <v>1 to 2 years</v>
      </c>
      <c r="L53" s="95">
        <f>VLOOKUP(InputTable[[#This Row],[Duration]],Duration,2,FALSE)</f>
        <v>8</v>
      </c>
      <c r="M53" s="193"/>
      <c r="N53" s="92"/>
      <c r="O53" s="92" t="s">
        <v>111</v>
      </c>
      <c r="P53" s="92" t="s">
        <v>111</v>
      </c>
      <c r="Q53" s="92" t="s">
        <v>139</v>
      </c>
      <c r="R53" s="92"/>
      <c r="S53" s="92"/>
      <c r="T53" s="95" cm="1">
        <f t="array" ref="T5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2.8</v>
      </c>
      <c r="U53" s="138"/>
      <c r="V53" s="92"/>
      <c r="W53" s="92"/>
      <c r="X53" s="92"/>
      <c r="Y53" s="92"/>
      <c r="Z53" s="92"/>
      <c r="AA53" s="92"/>
      <c r="AB53" s="92"/>
      <c r="AC53" s="92"/>
      <c r="AD53" s="92">
        <f>COUNTA(InputTable[[#This Row],[CORPHRFIN]:[SALES]])</f>
        <v>0</v>
      </c>
      <c r="AE53" s="88" cm="1">
        <f t="array" ref="AE53">SUM(
_xlfn.XLOOKUP(InputTable[[#This Row],[CORPHRFIN]:[SALES]],'System List'!$F$4:$F$7,'System List'!$H$4:$H$7,0))</f>
        <v>0</v>
      </c>
      <c r="AF53" s="140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88" cm="1">
        <f t="array" ref="AR53">SUM(
_xlfn.XLOOKUP(InputTable[[#This Row],[Impact on - CIAL]:[Impact on - STRAT]],'System List'!$F$4:$F$7,'System List'!$H$4:$H$7,0))</f>
        <v>0</v>
      </c>
      <c r="AS53" s="88">
        <f>VLOOKUP(InputTable[[#This Row],[Duration]],Duration,2,FALSE)+InputTable[[#This Row],[Resource Score]]</f>
        <v>8</v>
      </c>
      <c r="AT5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3" s="24">
        <f>InputTable[[#This Row],[Value Score]]/InputTable[[#This Row],[EFFORT SCORE]]*100</f>
        <v>35</v>
      </c>
      <c r="AV53" s="25"/>
      <c r="AW53" s="25" t="s">
        <v>131</v>
      </c>
      <c r="AX53" s="208"/>
      <c r="AY53" s="25"/>
      <c r="AZ53" s="209"/>
      <c r="BA53" s="209"/>
      <c r="BB53" s="209"/>
      <c r="BC53" s="189"/>
      <c r="BD53" s="188"/>
      <c r="BE53" s="188"/>
      <c r="BF53" s="70"/>
      <c r="BH53" s="2">
        <f>IFERROR(VLOOKUP(InputTable[[#This Row],[Impact on - CIAL]],'System List'!$F$4:$H$7,3,FALSE),0)</f>
        <v>0</v>
      </c>
      <c r="BI53" s="2">
        <f>IFERROR(VLOOKUP(InputTable[[#This Row],[Impact on - COM]],'System List'!$F$4:$H$7,3,FALSE),0)</f>
        <v>0</v>
      </c>
      <c r="BJ53" s="2">
        <f>IFERROR(VLOOKUP(InputTable[[#This Row],[Impact on - FIN]],'System List'!$F$4:$H$7,3,FALSE),0)</f>
        <v>0</v>
      </c>
      <c r="BK53" s="2">
        <f>IFERROR(VLOOKUP(InputTable[[#This Row],[Impact on - GEN SEC]],'System List'!$F$4:$H$7,3,FALSE),0)</f>
        <v>0</v>
      </c>
      <c r="BL53" s="2">
        <f>IFERROR(VLOOKUP(InputTable[[#This Row],[Impact on - HR]],'System List'!$F$4:$H$7,3,FALSE),0)</f>
        <v>0</v>
      </c>
      <c r="BM53" s="2">
        <f>IFERROR(VLOOKUP(InputTable[[#This Row],[Impact on - IS]],'System List'!$F$4:$H$7,3,FALSE),0)</f>
        <v>0</v>
      </c>
      <c r="BN53" s="2">
        <f>IFERROR(VLOOKUP(InputTable[[#This Row],[Impact on - OPS]],'System List'!$F$4:$H$7,3,FALSE),0)</f>
        <v>0</v>
      </c>
      <c r="BO53" s="2">
        <f>IFERROR(VLOOKUP(InputTable[[#This Row],[Impact on - ROLL STOCK]],'System List'!$F$4:$H$7,3,FALSE),0)</f>
        <v>0</v>
      </c>
      <c r="BP53" s="2">
        <f>IFERROR(VLOOKUP(InputTable[[#This Row],[Impact on - SAFETY]],'System List'!$F$4:$H$7,3,FALSE),0)</f>
        <v>0</v>
      </c>
      <c r="BQ53" s="2">
        <f>IFERROR(VLOOKUP(InputTable[[#This Row],[Impact on - STATION]],'System List'!$F$4:$H$7,3,FALSE),0)</f>
        <v>0</v>
      </c>
      <c r="BR53" s="2">
        <f>IFERROR(VLOOKUP(InputTable[[#This Row],[Impact on - STRAT]],'System List'!$F$4:$H$7,3,FALSE),0)</f>
        <v>0</v>
      </c>
      <c r="BT53" s="2">
        <f>IFERROR(VLOOKUP(InputTable[[#This Row],[CORPHRFIN]],'System List'!$F$4:$H$7,3,FALSE),0)</f>
        <v>0</v>
      </c>
      <c r="BU53" s="2">
        <f>IFERROR(VLOOKUP(InputTable[[#This Row],[CUST]],'System List'!$F$4:$H$7,3,FALSE),0)</f>
        <v>0</v>
      </c>
      <c r="BV53" s="2">
        <f>IFERROR(VLOOKUP(InputTable[[#This Row],[CYBER]],'System List'!$F$4:$H$7,3,FALSE),0)</f>
        <v>0</v>
      </c>
      <c r="BW53" s="2">
        <f>IFERROR(VLOOKUP(InputTable[[#This Row],[DATA]],'System List'!$F$4:$H$7,3,FALSE),0)</f>
        <v>0</v>
      </c>
      <c r="BX53" s="2">
        <f>IFERROR(VLOOKUP(InputTable[[#This Row],[INFRA]],'System List'!$F$4:$H$7,3,FALSE),0)</f>
        <v>0</v>
      </c>
      <c r="BY53" s="2">
        <f>IFERROR(VLOOKUP(InputTable[[#This Row],[OPERATIONS]],'System List'!$F$4:$H$7,3,FALSE),0)</f>
        <v>0</v>
      </c>
      <c r="BZ53" s="2">
        <f>IFERROR(VLOOKUP(InputTable[[#This Row],[PMO]],'System List'!$F$4:$H$7,3,FALSE),0)</f>
        <v>0</v>
      </c>
      <c r="CA53" s="2">
        <f>IFERROR(VLOOKUP(InputTable[[#This Row],[SALES]],'System List'!$F$4:$H$7,3,FALSE),0)</f>
        <v>0</v>
      </c>
      <c r="CC53" s="2" cm="1">
        <f t="array" ref="CC5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3" s="2" cm="1">
        <f t="array" ref="CD5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3" s="2" cm="1">
        <f t="array" ref="CE5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3" s="2" cm="1">
        <f t="array" ref="CF5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3" s="2" cm="1">
        <f t="array" ref="CG5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3" s="2" cm="1">
        <f t="array" ref="CH5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3" s="2" cm="1">
        <f t="array" ref="CI5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3" s="2" cm="1">
        <f t="array" ref="CJ5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3" s="2" cm="1">
        <f t="array" ref="CK5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5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5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3" s="26">
        <f t="shared" si="151"/>
        <v>0</v>
      </c>
      <c r="CY53" s="26">
        <f t="shared" si="152"/>
        <v>0</v>
      </c>
      <c r="CZ53" s="26">
        <f t="shared" si="153"/>
        <v>0</v>
      </c>
      <c r="DA53" s="26">
        <f t="shared" si="154"/>
        <v>0</v>
      </c>
      <c r="DB53" s="26">
        <f t="shared" si="155"/>
        <v>0</v>
      </c>
      <c r="DC53" s="26">
        <f t="shared" si="156"/>
        <v>0</v>
      </c>
      <c r="DD53" s="26">
        <f t="shared" si="157"/>
        <v>0</v>
      </c>
      <c r="DE53" s="26">
        <f t="shared" si="158"/>
        <v>0</v>
      </c>
      <c r="DF53" s="26">
        <f t="shared" si="159"/>
        <v>0</v>
      </c>
      <c r="DH53" s="26">
        <f t="shared" si="160"/>
        <v>0</v>
      </c>
      <c r="DI53" s="26">
        <f t="shared" si="161"/>
        <v>0</v>
      </c>
      <c r="DJ53" s="26">
        <f t="shared" si="162"/>
        <v>0</v>
      </c>
      <c r="DK53" s="26">
        <f t="shared" si="163"/>
        <v>0</v>
      </c>
      <c r="DL53" s="26">
        <f t="shared" si="164"/>
        <v>0</v>
      </c>
      <c r="DM53" s="26">
        <f t="shared" si="165"/>
        <v>0</v>
      </c>
      <c r="DN53" s="26">
        <f t="shared" si="166"/>
        <v>0</v>
      </c>
      <c r="DO53" s="26">
        <f t="shared" si="167"/>
        <v>0</v>
      </c>
      <c r="DP53" s="26">
        <f t="shared" si="168"/>
        <v>0</v>
      </c>
      <c r="DR53" s="26">
        <f t="shared" si="169"/>
        <v>0</v>
      </c>
      <c r="DS53" s="26">
        <f t="shared" si="170"/>
        <v>0</v>
      </c>
      <c r="DT53" s="26">
        <f t="shared" si="171"/>
        <v>0</v>
      </c>
      <c r="DU53" s="26">
        <f t="shared" si="172"/>
        <v>0</v>
      </c>
      <c r="DV53" s="26">
        <f t="shared" si="173"/>
        <v>0</v>
      </c>
      <c r="DW53" s="26">
        <f t="shared" si="174"/>
        <v>0</v>
      </c>
      <c r="DX53" s="26">
        <f t="shared" si="175"/>
        <v>0</v>
      </c>
      <c r="DY53" s="26">
        <f t="shared" si="176"/>
        <v>0</v>
      </c>
      <c r="DZ53" s="26">
        <f t="shared" si="177"/>
        <v>0</v>
      </c>
      <c r="EB53" s="26">
        <f t="shared" si="178"/>
        <v>0</v>
      </c>
      <c r="EC53" s="26">
        <f t="shared" si="179"/>
        <v>0</v>
      </c>
      <c r="ED53" s="26">
        <f t="shared" si="180"/>
        <v>0</v>
      </c>
      <c r="EE53" s="26">
        <f t="shared" si="181"/>
        <v>0</v>
      </c>
      <c r="EF53" s="26">
        <f t="shared" si="182"/>
        <v>0</v>
      </c>
      <c r="EG53" s="26">
        <f t="shared" si="183"/>
        <v>0</v>
      </c>
      <c r="EH53" s="26">
        <f t="shared" si="184"/>
        <v>0</v>
      </c>
      <c r="EI53" s="26">
        <f t="shared" si="185"/>
        <v>0</v>
      </c>
      <c r="EJ53" s="26">
        <f t="shared" si="186"/>
        <v>0</v>
      </c>
      <c r="EL53" s="26">
        <f t="shared" si="187"/>
        <v>0</v>
      </c>
      <c r="EM53" s="26">
        <f t="shared" si="188"/>
        <v>0</v>
      </c>
      <c r="EN53" s="26">
        <f t="shared" si="189"/>
        <v>0</v>
      </c>
      <c r="EO53" s="26">
        <f t="shared" si="190"/>
        <v>0</v>
      </c>
      <c r="EP53" s="26">
        <f t="shared" si="191"/>
        <v>0</v>
      </c>
      <c r="EQ53" s="26">
        <f t="shared" si="192"/>
        <v>0</v>
      </c>
      <c r="ER53" s="26">
        <f t="shared" si="193"/>
        <v>0</v>
      </c>
      <c r="ES53" s="26">
        <f t="shared" si="194"/>
        <v>0</v>
      </c>
      <c r="ET53" s="26">
        <f t="shared" si="195"/>
        <v>0</v>
      </c>
      <c r="EV53" s="26">
        <f t="shared" si="196"/>
        <v>0</v>
      </c>
      <c r="EW53" s="26">
        <f t="shared" si="197"/>
        <v>0</v>
      </c>
      <c r="EX53" s="26">
        <f t="shared" si="198"/>
        <v>0</v>
      </c>
      <c r="EY53" s="26">
        <f t="shared" si="199"/>
        <v>0</v>
      </c>
      <c r="EZ53" s="26">
        <f t="shared" si="200"/>
        <v>0</v>
      </c>
      <c r="FA53" s="26">
        <f t="shared" si="201"/>
        <v>0</v>
      </c>
      <c r="FB53" s="26">
        <f t="shared" si="202"/>
        <v>0</v>
      </c>
      <c r="FC53" s="26">
        <f t="shared" si="203"/>
        <v>0</v>
      </c>
      <c r="FD53" s="26">
        <f t="shared" si="204"/>
        <v>0</v>
      </c>
      <c r="FF53" s="26">
        <f t="shared" si="205"/>
        <v>0</v>
      </c>
      <c r="FG53" s="26">
        <f t="shared" si="206"/>
        <v>0</v>
      </c>
      <c r="FH53" s="26">
        <f t="shared" si="207"/>
        <v>0</v>
      </c>
      <c r="FI53" s="26">
        <f t="shared" si="208"/>
        <v>0</v>
      </c>
      <c r="FJ53" s="26">
        <f t="shared" si="209"/>
        <v>0</v>
      </c>
      <c r="FK53" s="26">
        <f t="shared" si="210"/>
        <v>0</v>
      </c>
      <c r="FL53" s="26">
        <f t="shared" si="211"/>
        <v>0</v>
      </c>
      <c r="FM53" s="26">
        <f t="shared" si="212"/>
        <v>0</v>
      </c>
      <c r="FN53" s="26">
        <f t="shared" si="213"/>
        <v>0</v>
      </c>
      <c r="FP53" s="26" t="e">
        <f t="shared" si="214"/>
        <v>#REF!</v>
      </c>
      <c r="FQ53" s="26" t="e">
        <f t="shared" si="215"/>
        <v>#REF!</v>
      </c>
      <c r="FR53" s="26" t="e">
        <f t="shared" si="216"/>
        <v>#REF!</v>
      </c>
      <c r="FS53" s="26" t="e">
        <f t="shared" si="217"/>
        <v>#REF!</v>
      </c>
      <c r="FT53" s="26" t="e">
        <f t="shared" si="218"/>
        <v>#REF!</v>
      </c>
      <c r="FU53" s="26" t="e">
        <f t="shared" si="219"/>
        <v>#REF!</v>
      </c>
      <c r="FV53" s="26" t="e">
        <f t="shared" si="220"/>
        <v>#REF!</v>
      </c>
      <c r="FW53" s="26" t="e">
        <f t="shared" si="221"/>
        <v>#REF!</v>
      </c>
      <c r="FX53" s="26" t="e">
        <f t="shared" si="222"/>
        <v>#REF!</v>
      </c>
      <c r="GB53" s="26" t="e">
        <f>IF(GB$2=InputTable[[#This Row],[Delivery Date]],_xlfn.XLOOKUP(GB$1,$BH$2:$BR$2,$BH53:$BR53,0),0)</f>
        <v>#REF!</v>
      </c>
      <c r="GC53" s="26">
        <f>IF(GC$2=InputTable[[#This Row],[Delivery Date]],_xlfn.XLOOKUP(GC$1,$BH$2:$BR$2,$BH53:$BR53,0),0)</f>
        <v>0</v>
      </c>
      <c r="GD53" s="26">
        <f>IF(GD$2=InputTable[[#This Row],[Delivery Date]],_xlfn.XLOOKUP(GD$1,$BH$2:$BR$2,$BH53:$BR53,0),0)</f>
        <v>0</v>
      </c>
      <c r="GE53" s="26">
        <f>IF(GE$2=InputTable[[#This Row],[Delivery Date]],_xlfn.XLOOKUP(GE$1,$BH$2:$BR$2,$BH53:$BR53,0),0)</f>
        <v>0</v>
      </c>
      <c r="GF53" s="26">
        <f>IF(GF$2=InputTable[[#This Row],[Delivery Date]],_xlfn.XLOOKUP(GF$1,$BH$2:$BR$2,$BH53:$BR53,0),0)</f>
        <v>0</v>
      </c>
      <c r="GG53" s="26">
        <f>IF(GG$2=InputTable[[#This Row],[Delivery Date]],_xlfn.XLOOKUP(GG$1,$BH$2:$BR$2,$BH53:$BR53,0),0)</f>
        <v>0</v>
      </c>
      <c r="GH53" s="26">
        <f>IF(GH$2=InputTable[[#This Row],[Delivery Date]],_xlfn.XLOOKUP(GH$1,$BH$2:$BR$2,$BH53:$BR53,0),0)</f>
        <v>0</v>
      </c>
      <c r="GI53" s="26">
        <f>IF(GI$2=InputTable[[#This Row],[Delivery Date]],_xlfn.XLOOKUP(GI$1,$BH$2:$BR$2,$BH53:$BR53,0),0)</f>
        <v>0</v>
      </c>
      <c r="GJ53" s="26">
        <f>IF(GJ$2=InputTable[[#This Row],[Delivery Date]],_xlfn.XLOOKUP(GJ$1,$BH$2:$BR$2,$BH53:$BR53,0),0)</f>
        <v>0</v>
      </c>
      <c r="GL53" s="26" t="e">
        <f>IF(GL$2=InputTable[[#This Row],[Delivery Date]],_xlfn.XLOOKUP(GL$1,$BH$2:$BR$2,$BH53:$BR53,0),0)</f>
        <v>#REF!</v>
      </c>
      <c r="GM53" s="26">
        <f>IF(GM$2=InputTable[[#This Row],[Delivery Date]],_xlfn.XLOOKUP(GM$1,$BH$2:$BR$2,$BH53:$BR53,0),0)</f>
        <v>0</v>
      </c>
      <c r="GN53" s="26">
        <f>IF(GN$2=InputTable[[#This Row],[Delivery Date]],_xlfn.XLOOKUP(GN$1,$BH$2:$BR$2,$BH53:$BR53,0),0)</f>
        <v>0</v>
      </c>
      <c r="GO53" s="26">
        <f>IF(GO$2=InputTable[[#This Row],[Delivery Date]],_xlfn.XLOOKUP(GO$1,$BH$2:$BR$2,$BH53:$BR53,0),0)</f>
        <v>0</v>
      </c>
      <c r="GP53" s="26">
        <f>IF(GP$2=InputTable[[#This Row],[Delivery Date]],_xlfn.XLOOKUP(GP$1,$BH$2:$BR$2,$BH53:$BR53,0),0)</f>
        <v>0</v>
      </c>
      <c r="GQ53" s="26">
        <f>IF(GQ$2=InputTable[[#This Row],[Delivery Date]],_xlfn.XLOOKUP(GQ$1,$BH$2:$BR$2,$BH53:$BR53,0),0)</f>
        <v>0</v>
      </c>
      <c r="GR53" s="26">
        <f>IF(GR$2=InputTable[[#This Row],[Delivery Date]],_xlfn.XLOOKUP(GR$1,$BH$2:$BR$2,$BH53:$BR53,0),0)</f>
        <v>0</v>
      </c>
      <c r="GS53" s="26">
        <f>IF(GS$2=InputTable[[#This Row],[Delivery Date]],_xlfn.XLOOKUP(GS$1,$BH$2:$BR$2,$BH53:$BR53,0),0)</f>
        <v>0</v>
      </c>
      <c r="GT53" s="26">
        <f>IF(GT$2=InputTable[[#This Row],[Delivery Date]],_xlfn.XLOOKUP(GT$1,$BH$2:$BR$2,$BH53:$BR53,0),0)</f>
        <v>0</v>
      </c>
      <c r="GV53" s="26" t="e">
        <f>IF(GV$2=InputTable[[#This Row],[Delivery Date]],_xlfn.XLOOKUP(GV$1,$BH$2:$BR$2,$BH53:$BR53,0),0)</f>
        <v>#REF!</v>
      </c>
      <c r="GW53" s="26">
        <f>IF(GW$2=InputTable[[#This Row],[Delivery Date]],_xlfn.XLOOKUP(GW$1,$BH$2:$BR$2,$BH53:$BR53,0),0)</f>
        <v>0</v>
      </c>
      <c r="GX53" s="26">
        <f>IF(GX$2=InputTable[[#This Row],[Delivery Date]],_xlfn.XLOOKUP(GX$1,$BH$2:$BR$2,$BH53:$BR53,0),0)</f>
        <v>0</v>
      </c>
      <c r="GY53" s="26">
        <f>IF(GY$2=InputTable[[#This Row],[Delivery Date]],_xlfn.XLOOKUP(GY$1,$BH$2:$BR$2,$BH53:$BR53,0),0)</f>
        <v>0</v>
      </c>
      <c r="GZ53" s="26">
        <f>IF(GZ$2=InputTable[[#This Row],[Delivery Date]],_xlfn.XLOOKUP(GZ$1,$BH$2:$BR$2,$BH53:$BR53,0),0)</f>
        <v>0</v>
      </c>
      <c r="HA53" s="26">
        <f>IF(HA$2=InputTable[[#This Row],[Delivery Date]],_xlfn.XLOOKUP(HA$1,$BH$2:$BR$2,$BH53:$BR53,0),0)</f>
        <v>0</v>
      </c>
      <c r="HB53" s="26">
        <f>IF(HB$2=InputTable[[#This Row],[Delivery Date]],_xlfn.XLOOKUP(HB$1,$BH$2:$BR$2,$BH53:$BR53,0),0)</f>
        <v>0</v>
      </c>
      <c r="HC53" s="26">
        <f>IF(HC$2=InputTable[[#This Row],[Delivery Date]],_xlfn.XLOOKUP(HC$1,$BH$2:$BR$2,$BH53:$BR53,0),0)</f>
        <v>0</v>
      </c>
      <c r="HD53" s="26">
        <f>IF(HD$2=InputTable[[#This Row],[Delivery Date]],_xlfn.XLOOKUP(HD$1,$BH$2:$BR$2,$BH53:$BR53,0),0)</f>
        <v>0</v>
      </c>
      <c r="HF53" s="26" t="e">
        <f>IF(HF$2=InputTable[[#This Row],[Delivery Date]],_xlfn.XLOOKUP(HF$1,$BH$2:$BR$2,$BH53:$BR53,0),0)</f>
        <v>#REF!</v>
      </c>
      <c r="HG53" s="26">
        <f>IF(HG$2=InputTable[[#This Row],[Delivery Date]],_xlfn.XLOOKUP(HG$1,$BH$2:$BR$2,$BH53:$BR53,0),0)</f>
        <v>0</v>
      </c>
      <c r="HH53" s="26">
        <f>IF(HH$2=InputTable[[#This Row],[Delivery Date]],_xlfn.XLOOKUP(HH$1,$BH$2:$BR$2,$BH53:$BR53,0),0)</f>
        <v>0</v>
      </c>
      <c r="HI53" s="26">
        <f>IF(HI$2=InputTable[[#This Row],[Delivery Date]],_xlfn.XLOOKUP(HI$1,$BH$2:$BR$2,$BH53:$BR53,0),0)</f>
        <v>0</v>
      </c>
      <c r="HJ53" s="26">
        <f>IF(HJ$2=InputTable[[#This Row],[Delivery Date]],_xlfn.XLOOKUP(HJ$1,$BH$2:$BR$2,$BH53:$BR53,0),0)</f>
        <v>0</v>
      </c>
      <c r="HK53" s="26">
        <f>IF(HK$2=InputTable[[#This Row],[Delivery Date]],_xlfn.XLOOKUP(HK$1,$BH$2:$BR$2,$BH53:$BR53,0),0)</f>
        <v>0</v>
      </c>
      <c r="HL53" s="26">
        <f>IF(HL$2=InputTable[[#This Row],[Delivery Date]],_xlfn.XLOOKUP(HL$1,$BH$2:$BR$2,$BH53:$BR53,0),0)</f>
        <v>0</v>
      </c>
      <c r="HM53" s="26">
        <f>IF(HM$2=InputTable[[#This Row],[Delivery Date]],_xlfn.XLOOKUP(HM$1,$BH$2:$BR$2,$BH53:$BR53,0),0)</f>
        <v>0</v>
      </c>
      <c r="HN53" s="26">
        <f>IF(HN$2=InputTable[[#This Row],[Delivery Date]],_xlfn.XLOOKUP(HN$1,$BH$2:$BR$2,$BH53:$BR53,0),0)</f>
        <v>0</v>
      </c>
      <c r="HP53" s="26" t="e">
        <f>IF(HP$2=InputTable[[#This Row],[Delivery Date]],_xlfn.XLOOKUP(HP$1,$BH$2:$BR$2,$BH53:$BR53,0),0)</f>
        <v>#REF!</v>
      </c>
      <c r="HQ53" s="26">
        <f>IF(HQ$2=InputTable[[#This Row],[Delivery Date]],_xlfn.XLOOKUP(HQ$1,$BH$2:$BR$2,$BH53:$BR53,0),0)</f>
        <v>0</v>
      </c>
      <c r="HR53" s="26">
        <f>IF(HR$2=InputTable[[#This Row],[Delivery Date]],_xlfn.XLOOKUP(HR$1,$BH$2:$BR$2,$BH53:$BR53,0),0)</f>
        <v>0</v>
      </c>
      <c r="HS53" s="26">
        <f>IF(HS$2=InputTable[[#This Row],[Delivery Date]],_xlfn.XLOOKUP(HS$1,$BH$2:$BR$2,$BH53:$BR53,0),0)</f>
        <v>0</v>
      </c>
      <c r="HT53" s="26">
        <f>IF(HT$2=InputTable[[#This Row],[Delivery Date]],_xlfn.XLOOKUP(HT$1,$BH$2:$BR$2,$BH53:$BR53,0),0)</f>
        <v>0</v>
      </c>
      <c r="HU53" s="26">
        <f>IF(HU$2=InputTable[[#This Row],[Delivery Date]],_xlfn.XLOOKUP(HU$1,$BH$2:$BR$2,$BH53:$BR53,0),0)</f>
        <v>0</v>
      </c>
      <c r="HV53" s="26">
        <f>IF(HV$2=InputTable[[#This Row],[Delivery Date]],_xlfn.XLOOKUP(HV$1,$BH$2:$BR$2,$BH53:$BR53,0),0)</f>
        <v>0</v>
      </c>
      <c r="HW53" s="26">
        <f>IF(HW$2=InputTable[[#This Row],[Delivery Date]],_xlfn.XLOOKUP(HW$1,$BH$2:$BR$2,$BH53:$BR53,0),0)</f>
        <v>0</v>
      </c>
      <c r="HX53" s="26">
        <f>IF(HX$2=InputTable[[#This Row],[Delivery Date]],_xlfn.XLOOKUP(HX$1,$BH$2:$BR$2,$BH53:$BR53,0),0)</f>
        <v>0</v>
      </c>
      <c r="HZ53" s="26" t="e">
        <f>IF(HZ$2=InputTable[[#This Row],[Delivery Date]],_xlfn.XLOOKUP(HZ$1,$BH$2:$BR$2,$BH53:$BR53,0),0)</f>
        <v>#REF!</v>
      </c>
      <c r="IA53" s="26">
        <f>IF(IA$2=InputTable[[#This Row],[Delivery Date]],_xlfn.XLOOKUP(IA$1,$BH$2:$BR$2,$BH53:$BR53,0),0)</f>
        <v>0</v>
      </c>
      <c r="IB53" s="26">
        <f>IF(IB$2=InputTable[[#This Row],[Delivery Date]],_xlfn.XLOOKUP(IB$1,$BH$2:$BR$2,$BH53:$BR53,0),0)</f>
        <v>0</v>
      </c>
      <c r="IC53" s="26">
        <f>IF(IC$2=InputTable[[#This Row],[Delivery Date]],_xlfn.XLOOKUP(IC$1,$BH$2:$BR$2,$BH53:$BR53,0),0)</f>
        <v>0</v>
      </c>
      <c r="ID53" s="26">
        <f>IF(ID$2=InputTable[[#This Row],[Delivery Date]],_xlfn.XLOOKUP(ID$1,$BH$2:$BR$2,$BH53:$BR53,0),0)</f>
        <v>0</v>
      </c>
      <c r="IE53" s="26">
        <f>IF(IE$2=InputTable[[#This Row],[Delivery Date]],_xlfn.XLOOKUP(IE$1,$BH$2:$BR$2,$BH53:$BR53,0),0)</f>
        <v>0</v>
      </c>
      <c r="IF53" s="26">
        <f>IF(IF$2=InputTable[[#This Row],[Delivery Date]],_xlfn.XLOOKUP(IF$1,$BH$2:$BR$2,$BH53:$BR53,0),0)</f>
        <v>0</v>
      </c>
      <c r="IG53" s="26">
        <f>IF(IG$2=InputTable[[#This Row],[Delivery Date]],_xlfn.XLOOKUP(IG$1,$BH$2:$BR$2,$BH53:$BR53,0),0)</f>
        <v>0</v>
      </c>
      <c r="IH53" s="26">
        <f>IF(IH$2=InputTable[[#This Row],[Delivery Date]],_xlfn.XLOOKUP(IH$1,$BH$2:$BR$2,$BH53:$BR53,0),0)</f>
        <v>0</v>
      </c>
      <c r="IJ53" s="26" t="e">
        <f>IF(IJ$2=InputTable[[#This Row],[Delivery Date]],_xlfn.XLOOKUP(IJ$1,$BH$2:$BR$2,$BH53:$BR53,0),0)</f>
        <v>#REF!</v>
      </c>
      <c r="IK53" s="26">
        <f>IF(IK$2=InputTable[[#This Row],[Delivery Date]],_xlfn.XLOOKUP(IK$1,$BH$2:$BR$2,$BH53:$BR53,0),0)</f>
        <v>0</v>
      </c>
      <c r="IL53" s="26">
        <f>IF(IL$2=InputTable[[#This Row],[Delivery Date]],_xlfn.XLOOKUP(IL$1,$BH$2:$BR$2,$BH53:$BR53,0),0)</f>
        <v>0</v>
      </c>
      <c r="IM53" s="26">
        <f>IF(IM$2=InputTable[[#This Row],[Delivery Date]],_xlfn.XLOOKUP(IM$1,$BH$2:$BR$2,$BH53:$BR53,0),0)</f>
        <v>0</v>
      </c>
      <c r="IN53" s="26">
        <f>IF(IN$2=InputTable[[#This Row],[Delivery Date]],_xlfn.XLOOKUP(IN$1,$BH$2:$BR$2,$BH53:$BR53,0),0)</f>
        <v>0</v>
      </c>
      <c r="IO53" s="26">
        <f>IF(IO$2=InputTable[[#This Row],[Delivery Date]],_xlfn.XLOOKUP(IO$1,$BH$2:$BR$2,$BH53:$BR53,0),0)</f>
        <v>0</v>
      </c>
      <c r="IP53" s="26">
        <f>IF(IP$2=InputTable[[#This Row],[Delivery Date]],_xlfn.XLOOKUP(IP$1,$BH$2:$BR$2,$BH53:$BR53,0),0)</f>
        <v>0</v>
      </c>
      <c r="IQ53" s="26">
        <f>IF(IQ$2=InputTable[[#This Row],[Delivery Date]],_xlfn.XLOOKUP(IQ$1,$BH$2:$BR$2,$BH53:$BR53,0),0)</f>
        <v>0</v>
      </c>
      <c r="IR53" s="26">
        <f>IF(IR$2=InputTable[[#This Row],[Delivery Date]],_xlfn.XLOOKUP(IR$1,$BH$2:$BR$2,$BH53:$BR53,0),0)</f>
        <v>0</v>
      </c>
      <c r="IT53" s="26" t="e">
        <f>IF(IT$2=InputTable[[#This Row],[Delivery Date]],_xlfn.XLOOKUP(IT$1,$BH$2:$BR$2,$BH53:$BR53,0),0)</f>
        <v>#REF!</v>
      </c>
      <c r="IU53" s="26">
        <f>IF(IU$2=InputTable[[#This Row],[Delivery Date]],_xlfn.XLOOKUP(IU$1,$BH$2:$BR$2,$BH53:$BR53,0),0)</f>
        <v>0</v>
      </c>
      <c r="IV53" s="26">
        <f>IF(IV$2=InputTable[[#This Row],[Delivery Date]],_xlfn.XLOOKUP(IV$1,$BH$2:$BR$2,$BH53:$BR53,0),0)</f>
        <v>0</v>
      </c>
      <c r="IW53" s="26">
        <f>IF(IW$2=InputTable[[#This Row],[Delivery Date]],_xlfn.XLOOKUP(IW$1,$BH$2:$BR$2,$BH53:$BR53,0),0)</f>
        <v>0</v>
      </c>
      <c r="IX53" s="26">
        <f>IF(IX$2=InputTable[[#This Row],[Delivery Date]],_xlfn.XLOOKUP(IX$1,$BH$2:$BR$2,$BH53:$BR53,0),0)</f>
        <v>0</v>
      </c>
      <c r="IY53" s="26">
        <f>IF(IY$2=InputTable[[#This Row],[Delivery Date]],_xlfn.XLOOKUP(IY$1,$BH$2:$BR$2,$BH53:$BR53,0),0)</f>
        <v>0</v>
      </c>
      <c r="IZ53" s="26">
        <f>IF(IZ$2=InputTable[[#This Row],[Delivery Date]],_xlfn.XLOOKUP(IZ$1,$BH$2:$BR$2,$BH53:$BR53,0),0)</f>
        <v>0</v>
      </c>
      <c r="JA53" s="26">
        <f>IF(JA$2=InputTable[[#This Row],[Delivery Date]],_xlfn.XLOOKUP(JA$1,$BH$2:$BR$2,$BH53:$BR53,0),0)</f>
        <v>0</v>
      </c>
      <c r="JB53" s="26">
        <f>IF(JB$2=InputTable[[#This Row],[Delivery Date]],_xlfn.XLOOKUP(JB$1,$BH$2:$BR$2,$BH53:$BR53,0),0)</f>
        <v>0</v>
      </c>
      <c r="JD53" s="26" t="e">
        <f>IF(JD$2=InputTable[[#This Row],[Delivery Date]],_xlfn.XLOOKUP(JD$1,$BH$2:$BR$2,$BH53:$BR53,0),0)</f>
        <v>#REF!</v>
      </c>
      <c r="JE53" s="26">
        <f>IF(JE$2=InputTable[[#This Row],[Delivery Date]],_xlfn.XLOOKUP(JE$1,$BH$2:$BR$2,$BH53:$BR53,0),0)</f>
        <v>0</v>
      </c>
      <c r="JF53" s="26">
        <f>IF(JF$2=InputTable[[#This Row],[Delivery Date]],_xlfn.XLOOKUP(JF$1,$BH$2:$BR$2,$BH53:$BR53,0),0)</f>
        <v>0</v>
      </c>
      <c r="JG53" s="26">
        <f>IF(JG$2=InputTable[[#This Row],[Delivery Date]],_xlfn.XLOOKUP(JG$1,$BH$2:$BR$2,$BH53:$BR53,0),0)</f>
        <v>0</v>
      </c>
      <c r="JH53" s="26">
        <f>IF(JH$2=InputTable[[#This Row],[Delivery Date]],_xlfn.XLOOKUP(JH$1,$BH$2:$BR$2,$BH53:$BR53,0),0)</f>
        <v>0</v>
      </c>
      <c r="JI53" s="26">
        <f>IF(JI$2=InputTable[[#This Row],[Delivery Date]],_xlfn.XLOOKUP(JI$1,$BH$2:$BR$2,$BH53:$BR53,0),0)</f>
        <v>0</v>
      </c>
      <c r="JJ53" s="26">
        <f>IF(JJ$2=InputTable[[#This Row],[Delivery Date]],_xlfn.XLOOKUP(JJ$1,$BH$2:$BR$2,$BH53:$BR53,0),0)</f>
        <v>0</v>
      </c>
      <c r="JK53" s="26">
        <f>IF(JK$2=InputTable[[#This Row],[Delivery Date]],_xlfn.XLOOKUP(JK$1,$BH$2:$BR$2,$BH53:$BR53,0),0)</f>
        <v>0</v>
      </c>
      <c r="JL53" s="26">
        <f>IF(JL$2=InputTable[[#This Row],[Delivery Date]],_xlfn.XLOOKUP(JL$1,$BH$2:$BR$2,$BH53:$BR53,0),0)</f>
        <v>0</v>
      </c>
      <c r="JN53" s="26" t="e">
        <f>IF(JN$2=InputTable[[#This Row],[Delivery Date]],_xlfn.XLOOKUP(JN$1,$BH$2:$BR$2,$BH53:$BR53,0),0)</f>
        <v>#REF!</v>
      </c>
      <c r="JO53" s="26">
        <f>IF(JO$2=InputTable[[#This Row],[Delivery Date]],_xlfn.XLOOKUP(JO$1,$BH$2:$BR$2,$BH53:$BR53,0),0)</f>
        <v>0</v>
      </c>
      <c r="JP53" s="26">
        <f>IF(JP$2=InputTable[[#This Row],[Delivery Date]],_xlfn.XLOOKUP(JP$1,$BH$2:$BR$2,$BH53:$BR53,0),0)</f>
        <v>0</v>
      </c>
      <c r="JQ53" s="26">
        <f>IF(JQ$2=InputTable[[#This Row],[Delivery Date]],_xlfn.XLOOKUP(JQ$1,$BH$2:$BR$2,$BH53:$BR53,0),0)</f>
        <v>0</v>
      </c>
      <c r="JR53" s="26">
        <f>IF(JR$2=InputTable[[#This Row],[Delivery Date]],_xlfn.XLOOKUP(JR$1,$BH$2:$BR$2,$BH53:$BR53,0),0)</f>
        <v>0</v>
      </c>
      <c r="JS53" s="26">
        <f>IF(JS$2=InputTable[[#This Row],[Delivery Date]],_xlfn.XLOOKUP(JS$1,$BH$2:$BR$2,$BH53:$BR53,0),0)</f>
        <v>0</v>
      </c>
      <c r="JT53" s="26">
        <f>IF(JT$2=InputTable[[#This Row],[Delivery Date]],_xlfn.XLOOKUP(JT$1,$BH$2:$BR$2,$BH53:$BR53,0),0)</f>
        <v>0</v>
      </c>
      <c r="JU53" s="26">
        <f>IF(JU$2=InputTable[[#This Row],[Delivery Date]],_xlfn.XLOOKUP(JU$1,$BH$2:$BR$2,$BH53:$BR53,0),0)</f>
        <v>0</v>
      </c>
      <c r="JV53" s="26">
        <f>IF(JV$2=InputTable[[#This Row],[Delivery Date]],_xlfn.XLOOKUP(JV$1,$BH$2:$BR$2,$BH53:$BR53,0),0)</f>
        <v>0</v>
      </c>
      <c r="JX53" s="26" t="e">
        <f>IF(JX$2=InputTable[[#This Row],[Delivery Date]],_xlfn.XLOOKUP(JX$1,$BH$2:$BR$2,$BH53:$BR53,0),0)</f>
        <v>#REF!</v>
      </c>
      <c r="JY53" s="26">
        <f>IF(JY$2=InputTable[[#This Row],[Delivery Date]],_xlfn.XLOOKUP(JY$1,$BH$2:$BR$2,$BH53:$BR53,0),0)</f>
        <v>0</v>
      </c>
      <c r="JZ53" s="26">
        <f>IF(JZ$2=InputTable[[#This Row],[Delivery Date]],_xlfn.XLOOKUP(JZ$1,$BH$2:$BR$2,$BH53:$BR53,0),0)</f>
        <v>0</v>
      </c>
      <c r="KA53" s="26">
        <f>IF(KA$2=InputTable[[#This Row],[Delivery Date]],_xlfn.XLOOKUP(KA$1,$BH$2:$BR$2,$BH53:$BR53,0),0)</f>
        <v>0</v>
      </c>
      <c r="KB53" s="26">
        <f>IF(KB$2=InputTable[[#This Row],[Delivery Date]],_xlfn.XLOOKUP(KB$1,$BH$2:$BR$2,$BH53:$BR53,0),0)</f>
        <v>0</v>
      </c>
      <c r="KC53" s="26">
        <f>IF(KC$2=InputTable[[#This Row],[Delivery Date]],_xlfn.XLOOKUP(KC$1,$BH$2:$BR$2,$BH53:$BR53,0),0)</f>
        <v>0</v>
      </c>
      <c r="KD53" s="26">
        <f>IF(KD$2=InputTable[[#This Row],[Delivery Date]],_xlfn.XLOOKUP(KD$1,$BH$2:$BR$2,$BH53:$BR53,0),0)</f>
        <v>0</v>
      </c>
      <c r="KE53" s="26">
        <f>IF(KE$2=InputTable[[#This Row],[Delivery Date]],_xlfn.XLOOKUP(KE$1,$BH$2:$BR$2,$BH53:$BR53,0),0)</f>
        <v>0</v>
      </c>
      <c r="KF53" s="26">
        <f>IF(KF$2=InputTable[[#This Row],[Delivery Date]],_xlfn.XLOOKUP(KF$1,$BH$2:$BR$2,$BH53:$BR53,0),0)</f>
        <v>0</v>
      </c>
    </row>
    <row r="54" spans="1:294" ht="39.6" hidden="1" customHeight="1" x14ac:dyDescent="0.25">
      <c r="A54" s="141" t="s">
        <v>235</v>
      </c>
      <c r="B54" s="141" t="s">
        <v>156</v>
      </c>
      <c r="C54" s="92" t="s">
        <v>57</v>
      </c>
      <c r="D54" s="125" t="s">
        <v>281</v>
      </c>
      <c r="E54" s="193" t="s">
        <v>282</v>
      </c>
      <c r="F54" s="92" t="s">
        <v>159</v>
      </c>
      <c r="G54" s="92">
        <v>2024</v>
      </c>
      <c r="H54" s="92" t="s">
        <v>100</v>
      </c>
      <c r="I54" s="92" t="s">
        <v>97</v>
      </c>
      <c r="J54" s="125"/>
      <c r="K54" s="95" t="e">
        <f>VLOOKUP((InputTable[[#This Row],[Starting Date]]&amp; " - " &amp;InputTable[[#This Row],[Delivery Date]]),'System List'!$F$40:$H$83,2,FALSE)</f>
        <v>#N/A</v>
      </c>
      <c r="L54" s="95" t="e">
        <f>VLOOKUP(InputTable[[#This Row],[Duration]],Duration,2,FALSE)</f>
        <v>#N/A</v>
      </c>
      <c r="M54" s="125"/>
      <c r="N54" s="92"/>
      <c r="O54" s="92" t="s">
        <v>111</v>
      </c>
      <c r="P54" s="92" t="s">
        <v>139</v>
      </c>
      <c r="Q54" s="92"/>
      <c r="R54" s="92"/>
      <c r="S54" s="92"/>
      <c r="T54" s="95" cm="1">
        <f t="array" ref="T5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2.6</v>
      </c>
      <c r="U54" s="138"/>
      <c r="V54" s="92"/>
      <c r="W54" s="92" t="s">
        <v>139</v>
      </c>
      <c r="X54" s="92"/>
      <c r="Y54" s="92"/>
      <c r="Z54" s="92"/>
      <c r="AA54" s="92"/>
      <c r="AB54" s="92"/>
      <c r="AC54" s="92"/>
      <c r="AD54" s="92">
        <f>COUNTA(InputTable[[#This Row],[CORPHRFIN]:[SALES]])</f>
        <v>1</v>
      </c>
      <c r="AE54" s="88" cm="1">
        <f t="array" ref="AE54">SUM(
_xlfn.XLOOKUP(InputTable[[#This Row],[CORPHRFIN]:[SALES]],'System List'!$F$4:$F$7,'System List'!$H$4:$H$7,0))</f>
        <v>8</v>
      </c>
      <c r="AF54" s="140"/>
      <c r="AG54" s="96"/>
      <c r="AH54" s="96"/>
      <c r="AI54" s="96"/>
      <c r="AJ54" s="96"/>
      <c r="AK54" s="96"/>
      <c r="AL54" s="96"/>
      <c r="AM54" s="96"/>
      <c r="AN54" s="96"/>
      <c r="AO54" s="96"/>
      <c r="AP54" s="96" t="s">
        <v>139</v>
      </c>
      <c r="AQ54" s="96"/>
      <c r="AR54" s="88" cm="1">
        <f t="array" ref="AR54">SUM(
_xlfn.XLOOKUP(InputTable[[#This Row],[Impact on - CIAL]:[Impact on - STRAT]],'System List'!$F$4:$F$7,'System List'!$H$4:$H$7,0))</f>
        <v>8</v>
      </c>
      <c r="AS54" s="88" t="e">
        <f>VLOOKUP(InputTable[[#This Row],[Duration]],Duration,2,FALSE)+InputTable[[#This Row],[Resource Score]]</f>
        <v>#N/A</v>
      </c>
      <c r="AT5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4" s="24" t="e">
        <f>InputTable[[#This Row],[Value Score]]/InputTable[[#This Row],[EFFORT SCORE]]*100</f>
        <v>#N/A</v>
      </c>
      <c r="AV54" s="25" t="str">
        <f>InputTable[[#This Row],[IS Portfolio Ref ID]]</f>
        <v>ISPRJ-40</v>
      </c>
      <c r="AW54" s="25" t="s">
        <v>283</v>
      </c>
      <c r="AX54" s="208"/>
      <c r="AY54" s="25">
        <v>1761</v>
      </c>
      <c r="AZ54" s="209">
        <v>0</v>
      </c>
      <c r="BA54" s="209">
        <v>2360000</v>
      </c>
      <c r="BB54" s="209"/>
      <c r="BC54" s="189">
        <f>SUM(InputTable[[#This Row],[Opex IS Budget (full project)]]+InputTable[[#This Row],[Capex IS Budget (full project)]])</f>
        <v>2360000</v>
      </c>
      <c r="BD54" s="188">
        <v>1</v>
      </c>
      <c r="BE54" s="188">
        <v>1</v>
      </c>
      <c r="BF54" s="70"/>
      <c r="BH54" s="2">
        <f>IFERROR(VLOOKUP(InputTable[[#This Row],[Impact on - CIAL]],'System List'!$F$4:$H$7,3,FALSE),0)</f>
        <v>0</v>
      </c>
      <c r="BI54" s="2">
        <f>IFERROR(VLOOKUP(InputTable[[#This Row],[Impact on - COM]],'System List'!$F$4:$H$7,3,FALSE),0)</f>
        <v>0</v>
      </c>
      <c r="BJ54" s="2">
        <f>IFERROR(VLOOKUP(InputTable[[#This Row],[Impact on - FIN]],'System List'!$F$4:$H$7,3,FALSE),0)</f>
        <v>0</v>
      </c>
      <c r="BK54" s="2">
        <f>IFERROR(VLOOKUP(InputTable[[#This Row],[Impact on - GEN SEC]],'System List'!$F$4:$H$7,3,FALSE),0)</f>
        <v>0</v>
      </c>
      <c r="BL54" s="2">
        <f>IFERROR(VLOOKUP(InputTable[[#This Row],[Impact on - HR]],'System List'!$F$4:$H$7,3,FALSE),0)</f>
        <v>0</v>
      </c>
      <c r="BM54" s="2">
        <f>IFERROR(VLOOKUP(InputTable[[#This Row],[Impact on - IS]],'System List'!$F$4:$H$7,3,FALSE),0)</f>
        <v>0</v>
      </c>
      <c r="BN54" s="2">
        <f>IFERROR(VLOOKUP(InputTable[[#This Row],[Impact on - OPS]],'System List'!$F$4:$H$7,3,FALSE),0)</f>
        <v>0</v>
      </c>
      <c r="BO54" s="2">
        <f>IFERROR(VLOOKUP(InputTable[[#This Row],[Impact on - ROLL STOCK]],'System List'!$F$4:$H$7,3,FALSE),0)</f>
        <v>0</v>
      </c>
      <c r="BP54" s="2">
        <f>IFERROR(VLOOKUP(InputTable[[#This Row],[Impact on - SAFETY]],'System List'!$F$4:$H$7,3,FALSE),0)</f>
        <v>0</v>
      </c>
      <c r="BQ54" s="2">
        <f>IFERROR(VLOOKUP(InputTable[[#This Row],[Impact on - STATION]],'System List'!$F$4:$H$7,3,FALSE),0)</f>
        <v>8</v>
      </c>
      <c r="BR54" s="2">
        <f>IFERROR(VLOOKUP(InputTable[[#This Row],[Impact on - STRAT]],'System List'!$F$4:$H$7,3,FALSE),0)</f>
        <v>0</v>
      </c>
      <c r="BT54" s="2">
        <f>IFERROR(VLOOKUP(InputTable[[#This Row],[CORPHRFIN]],'System List'!$F$4:$H$7,3,FALSE),0)</f>
        <v>0</v>
      </c>
      <c r="BU54" s="2">
        <f>IFERROR(VLOOKUP(InputTable[[#This Row],[CUST]],'System List'!$F$4:$H$7,3,FALSE),0)</f>
        <v>8</v>
      </c>
      <c r="BV54" s="2">
        <f>IFERROR(VLOOKUP(InputTable[[#This Row],[CYBER]],'System List'!$F$4:$H$7,3,FALSE),0)</f>
        <v>0</v>
      </c>
      <c r="BW54" s="2">
        <f>IFERROR(VLOOKUP(InputTable[[#This Row],[DATA]],'System List'!$F$4:$H$7,3,FALSE),0)</f>
        <v>0</v>
      </c>
      <c r="BX54" s="2">
        <f>IFERROR(VLOOKUP(InputTable[[#This Row],[INFRA]],'System List'!$F$4:$H$7,3,FALSE),0)</f>
        <v>0</v>
      </c>
      <c r="BY54" s="2">
        <f>IFERROR(VLOOKUP(InputTable[[#This Row],[OPERATIONS]],'System List'!$F$4:$H$7,3,FALSE),0)</f>
        <v>0</v>
      </c>
      <c r="BZ54" s="2">
        <f>IFERROR(VLOOKUP(InputTable[[#This Row],[PMO]],'System List'!$F$4:$H$7,3,FALSE),0)</f>
        <v>0</v>
      </c>
      <c r="CA54" s="2">
        <f>IFERROR(VLOOKUP(InputTable[[#This Row],[SALES]],'System List'!$F$4:$H$7,3,FALSE),0)</f>
        <v>0</v>
      </c>
      <c r="CC54" s="2" cm="1">
        <f t="array" ref="CC5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4" s="2" cm="1">
        <f t="array" ref="CD5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4" s="2" cm="1">
        <f t="array" ref="CE5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4" s="2" cm="1">
        <f t="array" ref="CF5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4" s="2" cm="1">
        <f t="array" ref="CG5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4" s="2" cm="1">
        <f t="array" ref="CH5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4" s="2" cm="1">
        <f t="array" ref="CI5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4" s="2" cm="1">
        <f t="array" ref="CJ5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4" s="2" cm="1">
        <f t="array" ref="CK5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5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5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4" s="26">
        <f t="shared" si="151"/>
        <v>0</v>
      </c>
      <c r="CY54" s="26">
        <f t="shared" si="152"/>
        <v>0</v>
      </c>
      <c r="CZ54" s="26">
        <f t="shared" si="153"/>
        <v>0</v>
      </c>
      <c r="DA54" s="26">
        <f t="shared" si="154"/>
        <v>0</v>
      </c>
      <c r="DB54" s="26">
        <f t="shared" si="155"/>
        <v>0</v>
      </c>
      <c r="DC54" s="26">
        <f t="shared" si="156"/>
        <v>0</v>
      </c>
      <c r="DD54" s="26">
        <f t="shared" si="157"/>
        <v>0</v>
      </c>
      <c r="DE54" s="26">
        <f t="shared" si="158"/>
        <v>0</v>
      </c>
      <c r="DF54" s="26">
        <f t="shared" si="159"/>
        <v>0</v>
      </c>
      <c r="DH54" s="26">
        <f t="shared" si="160"/>
        <v>0</v>
      </c>
      <c r="DI54" s="26">
        <f t="shared" si="161"/>
        <v>8</v>
      </c>
      <c r="DJ54" s="26">
        <f t="shared" si="162"/>
        <v>8</v>
      </c>
      <c r="DK54" s="26">
        <f t="shared" si="163"/>
        <v>0</v>
      </c>
      <c r="DL54" s="26">
        <f t="shared" si="164"/>
        <v>0</v>
      </c>
      <c r="DM54" s="26">
        <f t="shared" si="165"/>
        <v>0</v>
      </c>
      <c r="DN54" s="26">
        <f t="shared" si="166"/>
        <v>0</v>
      </c>
      <c r="DO54" s="26">
        <f t="shared" si="167"/>
        <v>0</v>
      </c>
      <c r="DP54" s="26">
        <f t="shared" si="168"/>
        <v>0</v>
      </c>
      <c r="DR54" s="26">
        <f t="shared" si="169"/>
        <v>0</v>
      </c>
      <c r="DS54" s="26">
        <f t="shared" si="170"/>
        <v>0</v>
      </c>
      <c r="DT54" s="26">
        <f t="shared" si="171"/>
        <v>0</v>
      </c>
      <c r="DU54" s="26">
        <f t="shared" si="172"/>
        <v>0</v>
      </c>
      <c r="DV54" s="26">
        <f t="shared" si="173"/>
        <v>0</v>
      </c>
      <c r="DW54" s="26">
        <f t="shared" si="174"/>
        <v>0</v>
      </c>
      <c r="DX54" s="26">
        <f t="shared" si="175"/>
        <v>0</v>
      </c>
      <c r="DY54" s="26">
        <f t="shared" si="176"/>
        <v>0</v>
      </c>
      <c r="DZ54" s="26">
        <f t="shared" si="177"/>
        <v>0</v>
      </c>
      <c r="EB54" s="26">
        <f t="shared" si="178"/>
        <v>0</v>
      </c>
      <c r="EC54" s="26">
        <f t="shared" si="179"/>
        <v>0</v>
      </c>
      <c r="ED54" s="26">
        <f t="shared" si="180"/>
        <v>0</v>
      </c>
      <c r="EE54" s="26">
        <f t="shared" si="181"/>
        <v>0</v>
      </c>
      <c r="EF54" s="26">
        <f t="shared" si="182"/>
        <v>0</v>
      </c>
      <c r="EG54" s="26">
        <f t="shared" si="183"/>
        <v>0</v>
      </c>
      <c r="EH54" s="26">
        <f t="shared" si="184"/>
        <v>0</v>
      </c>
      <c r="EI54" s="26">
        <f t="shared" si="185"/>
        <v>0</v>
      </c>
      <c r="EJ54" s="26">
        <f t="shared" si="186"/>
        <v>0</v>
      </c>
      <c r="EL54" s="26">
        <f t="shared" si="187"/>
        <v>0</v>
      </c>
      <c r="EM54" s="26">
        <f t="shared" si="188"/>
        <v>0</v>
      </c>
      <c r="EN54" s="26">
        <f t="shared" si="189"/>
        <v>0</v>
      </c>
      <c r="EO54" s="26">
        <f t="shared" si="190"/>
        <v>0</v>
      </c>
      <c r="EP54" s="26">
        <f t="shared" si="191"/>
        <v>0</v>
      </c>
      <c r="EQ54" s="26">
        <f t="shared" si="192"/>
        <v>0</v>
      </c>
      <c r="ER54" s="26">
        <f t="shared" si="193"/>
        <v>0</v>
      </c>
      <c r="ES54" s="26">
        <f t="shared" si="194"/>
        <v>0</v>
      </c>
      <c r="ET54" s="26">
        <f t="shared" si="195"/>
        <v>0</v>
      </c>
      <c r="EV54" s="26">
        <f t="shared" si="196"/>
        <v>0</v>
      </c>
      <c r="EW54" s="26">
        <f t="shared" si="197"/>
        <v>0</v>
      </c>
      <c r="EX54" s="26">
        <f t="shared" si="198"/>
        <v>0</v>
      </c>
      <c r="EY54" s="26">
        <f t="shared" si="199"/>
        <v>0</v>
      </c>
      <c r="EZ54" s="26">
        <f t="shared" si="200"/>
        <v>0</v>
      </c>
      <c r="FA54" s="26">
        <f t="shared" si="201"/>
        <v>0</v>
      </c>
      <c r="FB54" s="26">
        <f t="shared" si="202"/>
        <v>0</v>
      </c>
      <c r="FC54" s="26">
        <f t="shared" si="203"/>
        <v>0</v>
      </c>
      <c r="FD54" s="26">
        <f t="shared" si="204"/>
        <v>0</v>
      </c>
      <c r="FF54" s="26">
        <f t="shared" si="205"/>
        <v>0</v>
      </c>
      <c r="FG54" s="26">
        <f t="shared" si="206"/>
        <v>0</v>
      </c>
      <c r="FH54" s="26">
        <f t="shared" si="207"/>
        <v>0</v>
      </c>
      <c r="FI54" s="26">
        <f t="shared" si="208"/>
        <v>0</v>
      </c>
      <c r="FJ54" s="26">
        <f t="shared" si="209"/>
        <v>0</v>
      </c>
      <c r="FK54" s="26">
        <f t="shared" si="210"/>
        <v>0</v>
      </c>
      <c r="FL54" s="26">
        <f t="shared" si="211"/>
        <v>0</v>
      </c>
      <c r="FM54" s="26">
        <f t="shared" si="212"/>
        <v>0</v>
      </c>
      <c r="FN54" s="26">
        <f t="shared" si="213"/>
        <v>0</v>
      </c>
      <c r="FP54" s="26" t="e">
        <f t="shared" si="214"/>
        <v>#REF!</v>
      </c>
      <c r="FQ54" s="26" t="e">
        <f t="shared" si="215"/>
        <v>#REF!</v>
      </c>
      <c r="FR54" s="26" t="e">
        <f t="shared" si="216"/>
        <v>#REF!</v>
      </c>
      <c r="FS54" s="26" t="e">
        <f t="shared" si="217"/>
        <v>#REF!</v>
      </c>
      <c r="FT54" s="26" t="e">
        <f t="shared" si="218"/>
        <v>#REF!</v>
      </c>
      <c r="FU54" s="26" t="e">
        <f t="shared" si="219"/>
        <v>#REF!</v>
      </c>
      <c r="FV54" s="26" t="e">
        <f t="shared" si="220"/>
        <v>#REF!</v>
      </c>
      <c r="FW54" s="26" t="e">
        <f t="shared" si="221"/>
        <v>#REF!</v>
      </c>
      <c r="FX54" s="26" t="e">
        <f t="shared" si="222"/>
        <v>#REF!</v>
      </c>
      <c r="GB54" s="26" t="e">
        <f>IF(GB$2=InputTable[[#This Row],[Delivery Date]],_xlfn.XLOOKUP(GB$1,$BH$2:$BR$2,$BH54:$BR54,0),0)</f>
        <v>#REF!</v>
      </c>
      <c r="GC54" s="26">
        <f>IF(GC$2=InputTable[[#This Row],[Delivery Date]],_xlfn.XLOOKUP(GC$1,$BH$2:$BR$2,$BH54:$BR54,0),0)</f>
        <v>0</v>
      </c>
      <c r="GD54" s="26">
        <f>IF(GD$2=InputTable[[#This Row],[Delivery Date]],_xlfn.XLOOKUP(GD$1,$BH$2:$BR$2,$BH54:$BR54,0),0)</f>
        <v>0</v>
      </c>
      <c r="GE54" s="26">
        <f>IF(GE$2=InputTable[[#This Row],[Delivery Date]],_xlfn.XLOOKUP(GE$1,$BH$2:$BR$2,$BH54:$BR54,0),0)</f>
        <v>0</v>
      </c>
      <c r="GF54" s="26">
        <f>IF(GF$2=InputTable[[#This Row],[Delivery Date]],_xlfn.XLOOKUP(GF$1,$BH$2:$BR$2,$BH54:$BR54,0),0)</f>
        <v>0</v>
      </c>
      <c r="GG54" s="26">
        <f>IF(GG$2=InputTable[[#This Row],[Delivery Date]],_xlfn.XLOOKUP(GG$1,$BH$2:$BR$2,$BH54:$BR54,0),0)</f>
        <v>0</v>
      </c>
      <c r="GH54" s="26">
        <f>IF(GH$2=InputTable[[#This Row],[Delivery Date]],_xlfn.XLOOKUP(GH$1,$BH$2:$BR$2,$BH54:$BR54,0),0)</f>
        <v>0</v>
      </c>
      <c r="GI54" s="26">
        <f>IF(GI$2=InputTable[[#This Row],[Delivery Date]],_xlfn.XLOOKUP(GI$1,$BH$2:$BR$2,$BH54:$BR54,0),0)</f>
        <v>0</v>
      </c>
      <c r="GJ54" s="26">
        <f>IF(GJ$2=InputTable[[#This Row],[Delivery Date]],_xlfn.XLOOKUP(GJ$1,$BH$2:$BR$2,$BH54:$BR54,0),0)</f>
        <v>0</v>
      </c>
      <c r="GL54" s="26" t="e">
        <f>IF(GL$2=InputTable[[#This Row],[Delivery Date]],_xlfn.XLOOKUP(GL$1,$BH$2:$BR$2,$BH54:$BR54,0),0)</f>
        <v>#REF!</v>
      </c>
      <c r="GM54" s="26">
        <f>IF(GM$2=InputTable[[#This Row],[Delivery Date]],_xlfn.XLOOKUP(GM$1,$BH$2:$BR$2,$BH54:$BR54,0),0)</f>
        <v>0</v>
      </c>
      <c r="GN54" s="26">
        <f>IF(GN$2=InputTable[[#This Row],[Delivery Date]],_xlfn.XLOOKUP(GN$1,$BH$2:$BR$2,$BH54:$BR54,0),0)</f>
        <v>0</v>
      </c>
      <c r="GO54" s="26">
        <f>IF(GO$2=InputTable[[#This Row],[Delivery Date]],_xlfn.XLOOKUP(GO$1,$BH$2:$BR$2,$BH54:$BR54,0),0)</f>
        <v>0</v>
      </c>
      <c r="GP54" s="26">
        <f>IF(GP$2=InputTable[[#This Row],[Delivery Date]],_xlfn.XLOOKUP(GP$1,$BH$2:$BR$2,$BH54:$BR54,0),0)</f>
        <v>0</v>
      </c>
      <c r="GQ54" s="26">
        <f>IF(GQ$2=InputTable[[#This Row],[Delivery Date]],_xlfn.XLOOKUP(GQ$1,$BH$2:$BR$2,$BH54:$BR54,0),0)</f>
        <v>0</v>
      </c>
      <c r="GR54" s="26">
        <f>IF(GR$2=InputTable[[#This Row],[Delivery Date]],_xlfn.XLOOKUP(GR$1,$BH$2:$BR$2,$BH54:$BR54,0),0)</f>
        <v>0</v>
      </c>
      <c r="GS54" s="26">
        <f>IF(GS$2=InputTable[[#This Row],[Delivery Date]],_xlfn.XLOOKUP(GS$1,$BH$2:$BR$2,$BH54:$BR54,0),0)</f>
        <v>0</v>
      </c>
      <c r="GT54" s="26">
        <f>IF(GT$2=InputTable[[#This Row],[Delivery Date]],_xlfn.XLOOKUP(GT$1,$BH$2:$BR$2,$BH54:$BR54,0),0)</f>
        <v>0</v>
      </c>
      <c r="GV54" s="26" t="e">
        <f>IF(GV$2=InputTable[[#This Row],[Delivery Date]],_xlfn.XLOOKUP(GV$1,$BH$2:$BR$2,$BH54:$BR54,0),0)</f>
        <v>#REF!</v>
      </c>
      <c r="GW54" s="26">
        <f>IF(GW$2=InputTable[[#This Row],[Delivery Date]],_xlfn.XLOOKUP(GW$1,$BH$2:$BR$2,$BH54:$BR54,0),0)</f>
        <v>0</v>
      </c>
      <c r="GX54" s="26">
        <f>IF(GX$2=InputTable[[#This Row],[Delivery Date]],_xlfn.XLOOKUP(GX$1,$BH$2:$BR$2,$BH54:$BR54,0),0)</f>
        <v>0</v>
      </c>
      <c r="GY54" s="26">
        <f>IF(GY$2=InputTable[[#This Row],[Delivery Date]],_xlfn.XLOOKUP(GY$1,$BH$2:$BR$2,$BH54:$BR54,0),0)</f>
        <v>0</v>
      </c>
      <c r="GZ54" s="26">
        <f>IF(GZ$2=InputTable[[#This Row],[Delivery Date]],_xlfn.XLOOKUP(GZ$1,$BH$2:$BR$2,$BH54:$BR54,0),0)</f>
        <v>0</v>
      </c>
      <c r="HA54" s="26">
        <f>IF(HA$2=InputTable[[#This Row],[Delivery Date]],_xlfn.XLOOKUP(HA$1,$BH$2:$BR$2,$BH54:$BR54,0),0)</f>
        <v>0</v>
      </c>
      <c r="HB54" s="26">
        <f>IF(HB$2=InputTable[[#This Row],[Delivery Date]],_xlfn.XLOOKUP(HB$1,$BH$2:$BR$2,$BH54:$BR54,0),0)</f>
        <v>0</v>
      </c>
      <c r="HC54" s="26">
        <f>IF(HC$2=InputTable[[#This Row],[Delivery Date]],_xlfn.XLOOKUP(HC$1,$BH$2:$BR$2,$BH54:$BR54,0),0)</f>
        <v>0</v>
      </c>
      <c r="HD54" s="26">
        <f>IF(HD$2=InputTable[[#This Row],[Delivery Date]],_xlfn.XLOOKUP(HD$1,$BH$2:$BR$2,$BH54:$BR54,0),0)</f>
        <v>0</v>
      </c>
      <c r="HF54" s="26" t="e">
        <f>IF(HF$2=InputTable[[#This Row],[Delivery Date]],_xlfn.XLOOKUP(HF$1,$BH$2:$BR$2,$BH54:$BR54,0),0)</f>
        <v>#REF!</v>
      </c>
      <c r="HG54" s="26">
        <f>IF(HG$2=InputTable[[#This Row],[Delivery Date]],_xlfn.XLOOKUP(HG$1,$BH$2:$BR$2,$BH54:$BR54,0),0)</f>
        <v>0</v>
      </c>
      <c r="HH54" s="26">
        <f>IF(HH$2=InputTable[[#This Row],[Delivery Date]],_xlfn.XLOOKUP(HH$1,$BH$2:$BR$2,$BH54:$BR54,0),0)</f>
        <v>0</v>
      </c>
      <c r="HI54" s="26">
        <f>IF(HI$2=InputTable[[#This Row],[Delivery Date]],_xlfn.XLOOKUP(HI$1,$BH$2:$BR$2,$BH54:$BR54,0),0)</f>
        <v>0</v>
      </c>
      <c r="HJ54" s="26">
        <f>IF(HJ$2=InputTable[[#This Row],[Delivery Date]],_xlfn.XLOOKUP(HJ$1,$BH$2:$BR$2,$BH54:$BR54,0),0)</f>
        <v>0</v>
      </c>
      <c r="HK54" s="26">
        <f>IF(HK$2=InputTable[[#This Row],[Delivery Date]],_xlfn.XLOOKUP(HK$1,$BH$2:$BR$2,$BH54:$BR54,0),0)</f>
        <v>0</v>
      </c>
      <c r="HL54" s="26">
        <f>IF(HL$2=InputTable[[#This Row],[Delivery Date]],_xlfn.XLOOKUP(HL$1,$BH$2:$BR$2,$BH54:$BR54,0),0)</f>
        <v>0</v>
      </c>
      <c r="HM54" s="26">
        <f>IF(HM$2=InputTable[[#This Row],[Delivery Date]],_xlfn.XLOOKUP(HM$1,$BH$2:$BR$2,$BH54:$BR54,0),0)</f>
        <v>0</v>
      </c>
      <c r="HN54" s="26">
        <f>IF(HN$2=InputTable[[#This Row],[Delivery Date]],_xlfn.XLOOKUP(HN$1,$BH$2:$BR$2,$BH54:$BR54,0),0)</f>
        <v>0</v>
      </c>
      <c r="HP54" s="26" t="e">
        <f>IF(HP$2=InputTable[[#This Row],[Delivery Date]],_xlfn.XLOOKUP(HP$1,$BH$2:$BR$2,$BH54:$BR54,0),0)</f>
        <v>#REF!</v>
      </c>
      <c r="HQ54" s="26">
        <f>IF(HQ$2=InputTable[[#This Row],[Delivery Date]],_xlfn.XLOOKUP(HQ$1,$BH$2:$BR$2,$BH54:$BR54,0),0)</f>
        <v>0</v>
      </c>
      <c r="HR54" s="26">
        <f>IF(HR$2=InputTable[[#This Row],[Delivery Date]],_xlfn.XLOOKUP(HR$1,$BH$2:$BR$2,$BH54:$BR54,0),0)</f>
        <v>0</v>
      </c>
      <c r="HS54" s="26">
        <f>IF(HS$2=InputTable[[#This Row],[Delivery Date]],_xlfn.XLOOKUP(HS$1,$BH$2:$BR$2,$BH54:$BR54,0),0)</f>
        <v>0</v>
      </c>
      <c r="HT54" s="26">
        <f>IF(HT$2=InputTable[[#This Row],[Delivery Date]],_xlfn.XLOOKUP(HT$1,$BH$2:$BR$2,$BH54:$BR54,0),0)</f>
        <v>0</v>
      </c>
      <c r="HU54" s="26">
        <f>IF(HU$2=InputTable[[#This Row],[Delivery Date]],_xlfn.XLOOKUP(HU$1,$BH$2:$BR$2,$BH54:$BR54,0),0)</f>
        <v>0</v>
      </c>
      <c r="HV54" s="26">
        <f>IF(HV$2=InputTable[[#This Row],[Delivery Date]],_xlfn.XLOOKUP(HV$1,$BH$2:$BR$2,$BH54:$BR54,0),0)</f>
        <v>0</v>
      </c>
      <c r="HW54" s="26">
        <f>IF(HW$2=InputTable[[#This Row],[Delivery Date]],_xlfn.XLOOKUP(HW$1,$BH$2:$BR$2,$BH54:$BR54,0),0)</f>
        <v>0</v>
      </c>
      <c r="HX54" s="26">
        <f>IF(HX$2=InputTable[[#This Row],[Delivery Date]],_xlfn.XLOOKUP(HX$1,$BH$2:$BR$2,$BH54:$BR54,0),0)</f>
        <v>0</v>
      </c>
      <c r="HZ54" s="26" t="e">
        <f>IF(HZ$2=InputTable[[#This Row],[Delivery Date]],_xlfn.XLOOKUP(HZ$1,$BH$2:$BR$2,$BH54:$BR54,0),0)</f>
        <v>#REF!</v>
      </c>
      <c r="IA54" s="26">
        <f>IF(IA$2=InputTable[[#This Row],[Delivery Date]],_xlfn.XLOOKUP(IA$1,$BH$2:$BR$2,$BH54:$BR54,0),0)</f>
        <v>0</v>
      </c>
      <c r="IB54" s="26">
        <f>IF(IB$2=InputTable[[#This Row],[Delivery Date]],_xlfn.XLOOKUP(IB$1,$BH$2:$BR$2,$BH54:$BR54,0),0)</f>
        <v>0</v>
      </c>
      <c r="IC54" s="26">
        <f>IF(IC$2=InputTable[[#This Row],[Delivery Date]],_xlfn.XLOOKUP(IC$1,$BH$2:$BR$2,$BH54:$BR54,0),0)</f>
        <v>0</v>
      </c>
      <c r="ID54" s="26">
        <f>IF(ID$2=InputTable[[#This Row],[Delivery Date]],_xlfn.XLOOKUP(ID$1,$BH$2:$BR$2,$BH54:$BR54,0),0)</f>
        <v>0</v>
      </c>
      <c r="IE54" s="26">
        <f>IF(IE$2=InputTable[[#This Row],[Delivery Date]],_xlfn.XLOOKUP(IE$1,$BH$2:$BR$2,$BH54:$BR54,0),0)</f>
        <v>0</v>
      </c>
      <c r="IF54" s="26">
        <f>IF(IF$2=InputTable[[#This Row],[Delivery Date]],_xlfn.XLOOKUP(IF$1,$BH$2:$BR$2,$BH54:$BR54,0),0)</f>
        <v>0</v>
      </c>
      <c r="IG54" s="26">
        <f>IF(IG$2=InputTable[[#This Row],[Delivery Date]],_xlfn.XLOOKUP(IG$1,$BH$2:$BR$2,$BH54:$BR54,0),0)</f>
        <v>0</v>
      </c>
      <c r="IH54" s="26">
        <f>IF(IH$2=InputTable[[#This Row],[Delivery Date]],_xlfn.XLOOKUP(IH$1,$BH$2:$BR$2,$BH54:$BR54,0),0)</f>
        <v>0</v>
      </c>
      <c r="IJ54" s="26" t="e">
        <f>IF(IJ$2=InputTable[[#This Row],[Delivery Date]],_xlfn.XLOOKUP(IJ$1,$BH$2:$BR$2,$BH54:$BR54,0),0)</f>
        <v>#REF!</v>
      </c>
      <c r="IK54" s="26">
        <f>IF(IK$2=InputTable[[#This Row],[Delivery Date]],_xlfn.XLOOKUP(IK$1,$BH$2:$BR$2,$BH54:$BR54,0),0)</f>
        <v>0</v>
      </c>
      <c r="IL54" s="26">
        <f>IF(IL$2=InputTable[[#This Row],[Delivery Date]],_xlfn.XLOOKUP(IL$1,$BH$2:$BR$2,$BH54:$BR54,0),0)</f>
        <v>0</v>
      </c>
      <c r="IM54" s="26">
        <f>IF(IM$2=InputTable[[#This Row],[Delivery Date]],_xlfn.XLOOKUP(IM$1,$BH$2:$BR$2,$BH54:$BR54,0),0)</f>
        <v>0</v>
      </c>
      <c r="IN54" s="26">
        <f>IF(IN$2=InputTable[[#This Row],[Delivery Date]],_xlfn.XLOOKUP(IN$1,$BH$2:$BR$2,$BH54:$BR54,0),0)</f>
        <v>0</v>
      </c>
      <c r="IO54" s="26">
        <f>IF(IO$2=InputTable[[#This Row],[Delivery Date]],_xlfn.XLOOKUP(IO$1,$BH$2:$BR$2,$BH54:$BR54,0),0)</f>
        <v>0</v>
      </c>
      <c r="IP54" s="26">
        <f>IF(IP$2=InputTable[[#This Row],[Delivery Date]],_xlfn.XLOOKUP(IP$1,$BH$2:$BR$2,$BH54:$BR54,0),0)</f>
        <v>0</v>
      </c>
      <c r="IQ54" s="26">
        <f>IF(IQ$2=InputTable[[#This Row],[Delivery Date]],_xlfn.XLOOKUP(IQ$1,$BH$2:$BR$2,$BH54:$BR54,0),0)</f>
        <v>0</v>
      </c>
      <c r="IR54" s="26">
        <f>IF(IR$2=InputTable[[#This Row],[Delivery Date]],_xlfn.XLOOKUP(IR$1,$BH$2:$BR$2,$BH54:$BR54,0),0)</f>
        <v>0</v>
      </c>
      <c r="IT54" s="26" t="e">
        <f>IF(IT$2=InputTable[[#This Row],[Delivery Date]],_xlfn.XLOOKUP(IT$1,$BH$2:$BR$2,$BH54:$BR54,0),0)</f>
        <v>#REF!</v>
      </c>
      <c r="IU54" s="26">
        <f>IF(IU$2=InputTable[[#This Row],[Delivery Date]],_xlfn.XLOOKUP(IU$1,$BH$2:$BR$2,$BH54:$BR54,0),0)</f>
        <v>0</v>
      </c>
      <c r="IV54" s="26">
        <f>IF(IV$2=InputTable[[#This Row],[Delivery Date]],_xlfn.XLOOKUP(IV$1,$BH$2:$BR$2,$BH54:$BR54,0),0)</f>
        <v>0</v>
      </c>
      <c r="IW54" s="26">
        <f>IF(IW$2=InputTable[[#This Row],[Delivery Date]],_xlfn.XLOOKUP(IW$1,$BH$2:$BR$2,$BH54:$BR54,0),0)</f>
        <v>0</v>
      </c>
      <c r="IX54" s="26">
        <f>IF(IX$2=InputTable[[#This Row],[Delivery Date]],_xlfn.XLOOKUP(IX$1,$BH$2:$BR$2,$BH54:$BR54,0),0)</f>
        <v>0</v>
      </c>
      <c r="IY54" s="26">
        <f>IF(IY$2=InputTable[[#This Row],[Delivery Date]],_xlfn.XLOOKUP(IY$1,$BH$2:$BR$2,$BH54:$BR54,0),0)</f>
        <v>0</v>
      </c>
      <c r="IZ54" s="26">
        <f>IF(IZ$2=InputTable[[#This Row],[Delivery Date]],_xlfn.XLOOKUP(IZ$1,$BH$2:$BR$2,$BH54:$BR54,0),0)</f>
        <v>0</v>
      </c>
      <c r="JA54" s="26">
        <f>IF(JA$2=InputTable[[#This Row],[Delivery Date]],_xlfn.XLOOKUP(JA$1,$BH$2:$BR$2,$BH54:$BR54,0),0)</f>
        <v>0</v>
      </c>
      <c r="JB54" s="26">
        <f>IF(JB$2=InputTable[[#This Row],[Delivery Date]],_xlfn.XLOOKUP(JB$1,$BH$2:$BR$2,$BH54:$BR54,0),0)</f>
        <v>0</v>
      </c>
      <c r="JD54" s="26" t="e">
        <f>IF(JD$2=InputTable[[#This Row],[Delivery Date]],_xlfn.XLOOKUP(JD$1,$BH$2:$BR$2,$BH54:$BR54,0),0)</f>
        <v>#REF!</v>
      </c>
      <c r="JE54" s="26">
        <f>IF(JE$2=InputTable[[#This Row],[Delivery Date]],_xlfn.XLOOKUP(JE$1,$BH$2:$BR$2,$BH54:$BR54,0),0)</f>
        <v>0</v>
      </c>
      <c r="JF54" s="26">
        <f>IF(JF$2=InputTable[[#This Row],[Delivery Date]],_xlfn.XLOOKUP(JF$1,$BH$2:$BR$2,$BH54:$BR54,0),0)</f>
        <v>0</v>
      </c>
      <c r="JG54" s="26">
        <f>IF(JG$2=InputTable[[#This Row],[Delivery Date]],_xlfn.XLOOKUP(JG$1,$BH$2:$BR$2,$BH54:$BR54,0),0)</f>
        <v>0</v>
      </c>
      <c r="JH54" s="26">
        <f>IF(JH$2=InputTable[[#This Row],[Delivery Date]],_xlfn.XLOOKUP(JH$1,$BH$2:$BR$2,$BH54:$BR54,0),0)</f>
        <v>0</v>
      </c>
      <c r="JI54" s="26">
        <f>IF(JI$2=InputTable[[#This Row],[Delivery Date]],_xlfn.XLOOKUP(JI$1,$BH$2:$BR$2,$BH54:$BR54,0),0)</f>
        <v>0</v>
      </c>
      <c r="JJ54" s="26">
        <f>IF(JJ$2=InputTable[[#This Row],[Delivery Date]],_xlfn.XLOOKUP(JJ$1,$BH$2:$BR$2,$BH54:$BR54,0),0)</f>
        <v>0</v>
      </c>
      <c r="JK54" s="26">
        <f>IF(JK$2=InputTable[[#This Row],[Delivery Date]],_xlfn.XLOOKUP(JK$1,$BH$2:$BR$2,$BH54:$BR54,0),0)</f>
        <v>0</v>
      </c>
      <c r="JL54" s="26">
        <f>IF(JL$2=InputTable[[#This Row],[Delivery Date]],_xlfn.XLOOKUP(JL$1,$BH$2:$BR$2,$BH54:$BR54,0),0)</f>
        <v>0</v>
      </c>
      <c r="JN54" s="26" t="e">
        <f>IF(JN$2=InputTable[[#This Row],[Delivery Date]],_xlfn.XLOOKUP(JN$1,$BH$2:$BR$2,$BH54:$BR54,0),0)</f>
        <v>#REF!</v>
      </c>
      <c r="JO54" s="26">
        <f>IF(JO$2=InputTable[[#This Row],[Delivery Date]],_xlfn.XLOOKUP(JO$1,$BH$2:$BR$2,$BH54:$BR54,0),0)</f>
        <v>0</v>
      </c>
      <c r="JP54" s="26">
        <f>IF(JP$2=InputTable[[#This Row],[Delivery Date]],_xlfn.XLOOKUP(JP$1,$BH$2:$BR$2,$BH54:$BR54,0),0)</f>
        <v>8</v>
      </c>
      <c r="JQ54" s="26">
        <f>IF(JQ$2=InputTable[[#This Row],[Delivery Date]],_xlfn.XLOOKUP(JQ$1,$BH$2:$BR$2,$BH54:$BR54,0),0)</f>
        <v>0</v>
      </c>
      <c r="JR54" s="26">
        <f>IF(JR$2=InputTable[[#This Row],[Delivery Date]],_xlfn.XLOOKUP(JR$1,$BH$2:$BR$2,$BH54:$BR54,0),0)</f>
        <v>0</v>
      </c>
      <c r="JS54" s="26">
        <f>IF(JS$2=InputTable[[#This Row],[Delivery Date]],_xlfn.XLOOKUP(JS$1,$BH$2:$BR$2,$BH54:$BR54,0),0)</f>
        <v>0</v>
      </c>
      <c r="JT54" s="26">
        <f>IF(JT$2=InputTable[[#This Row],[Delivery Date]],_xlfn.XLOOKUP(JT$1,$BH$2:$BR$2,$BH54:$BR54,0),0)</f>
        <v>0</v>
      </c>
      <c r="JU54" s="26">
        <f>IF(JU$2=InputTable[[#This Row],[Delivery Date]],_xlfn.XLOOKUP(JU$1,$BH$2:$BR$2,$BH54:$BR54,0),0)</f>
        <v>0</v>
      </c>
      <c r="JV54" s="26">
        <f>IF(JV$2=InputTable[[#This Row],[Delivery Date]],_xlfn.XLOOKUP(JV$1,$BH$2:$BR$2,$BH54:$BR54,0),0)</f>
        <v>0</v>
      </c>
      <c r="JX54" s="26" t="e">
        <f>IF(JX$2=InputTable[[#This Row],[Delivery Date]],_xlfn.XLOOKUP(JX$1,$BH$2:$BR$2,$BH54:$BR54,0),0)</f>
        <v>#REF!</v>
      </c>
      <c r="JY54" s="26">
        <f>IF(JY$2=InputTable[[#This Row],[Delivery Date]],_xlfn.XLOOKUP(JY$1,$BH$2:$BR$2,$BH54:$BR54,0),0)</f>
        <v>0</v>
      </c>
      <c r="JZ54" s="26">
        <f>IF(JZ$2=InputTable[[#This Row],[Delivery Date]],_xlfn.XLOOKUP(JZ$1,$BH$2:$BR$2,$BH54:$BR54,0),0)</f>
        <v>0</v>
      </c>
      <c r="KA54" s="26">
        <f>IF(KA$2=InputTable[[#This Row],[Delivery Date]],_xlfn.XLOOKUP(KA$1,$BH$2:$BR$2,$BH54:$BR54,0),0)</f>
        <v>0</v>
      </c>
      <c r="KB54" s="26">
        <f>IF(KB$2=InputTable[[#This Row],[Delivery Date]],_xlfn.XLOOKUP(KB$1,$BH$2:$BR$2,$BH54:$BR54,0),0)</f>
        <v>0</v>
      </c>
      <c r="KC54" s="26">
        <f>IF(KC$2=InputTable[[#This Row],[Delivery Date]],_xlfn.XLOOKUP(KC$1,$BH$2:$BR$2,$BH54:$BR54,0),0)</f>
        <v>0</v>
      </c>
      <c r="KD54" s="26">
        <f>IF(KD$2=InputTable[[#This Row],[Delivery Date]],_xlfn.XLOOKUP(KD$1,$BH$2:$BR$2,$BH54:$BR54,0),0)</f>
        <v>0</v>
      </c>
      <c r="KE54" s="26">
        <f>IF(KE$2=InputTable[[#This Row],[Delivery Date]],_xlfn.XLOOKUP(KE$1,$BH$2:$BR$2,$BH54:$BR54,0),0)</f>
        <v>0</v>
      </c>
      <c r="KF54" s="26">
        <f>IF(KF$2=InputTable[[#This Row],[Delivery Date]],_xlfn.XLOOKUP(KF$1,$BH$2:$BR$2,$BH54:$BR54,0),0)</f>
        <v>0</v>
      </c>
    </row>
    <row r="55" spans="1:294" ht="39.6" hidden="1" customHeight="1" x14ac:dyDescent="0.25">
      <c r="A55" s="141" t="s">
        <v>134</v>
      </c>
      <c r="B55" s="141" t="s">
        <v>156</v>
      </c>
      <c r="C55" s="92" t="s">
        <v>60</v>
      </c>
      <c r="D55" s="125" t="s">
        <v>284</v>
      </c>
      <c r="E55" s="193" t="s">
        <v>285</v>
      </c>
      <c r="F55" s="92" t="s">
        <v>24</v>
      </c>
      <c r="G55" s="114">
        <v>2024</v>
      </c>
      <c r="H55" s="92" t="s">
        <v>100</v>
      </c>
      <c r="I55" s="92" t="s">
        <v>137</v>
      </c>
      <c r="J55" s="125"/>
      <c r="K55" s="95" t="e">
        <f>VLOOKUP((InputTable[[#This Row],[Starting Date]]&amp; " - " &amp;InputTable[[#This Row],[Delivery Date]]),'System List'!$F$40:$H$83,2,FALSE)</f>
        <v>#N/A</v>
      </c>
      <c r="L55" s="95" t="e">
        <f>VLOOKUP(InputTable[[#This Row],[Duration]],Duration,2,FALSE)</f>
        <v>#N/A</v>
      </c>
      <c r="M55" s="125"/>
      <c r="N55" s="92" t="s">
        <v>100</v>
      </c>
      <c r="O55" s="92"/>
      <c r="P55" s="92"/>
      <c r="Q55" s="92"/>
      <c r="R55" s="92"/>
      <c r="S55" s="92"/>
      <c r="T55" s="95" cm="1">
        <f t="array" ref="T5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2.6</v>
      </c>
      <c r="U55" s="138"/>
      <c r="V55" s="92"/>
      <c r="W55" s="92"/>
      <c r="X55" s="92" t="s">
        <v>139</v>
      </c>
      <c r="Y55" s="92"/>
      <c r="Z55" s="98" t="s">
        <v>111</v>
      </c>
      <c r="AA55" s="92"/>
      <c r="AB55" s="92"/>
      <c r="AC55" s="92"/>
      <c r="AD55" s="92">
        <f>COUNTA(InputTable[[#This Row],[CORPHRFIN]:[SALES]])</f>
        <v>2</v>
      </c>
      <c r="AE55" s="88" cm="1">
        <f t="array" ref="AE55">SUM(
_xlfn.XLOOKUP(InputTable[[#This Row],[CORPHRFIN]:[SALES]],'System List'!$F$4:$F$7,'System List'!$H$4:$H$7,0))</f>
        <v>13</v>
      </c>
      <c r="AF55" s="140"/>
      <c r="AG55" s="96"/>
      <c r="AH55" s="96"/>
      <c r="AI55" s="96"/>
      <c r="AJ55" s="96" t="s">
        <v>100</v>
      </c>
      <c r="AK55" s="96"/>
      <c r="AL55" s="96"/>
      <c r="AM55" s="96"/>
      <c r="AN55" s="96"/>
      <c r="AO55" s="96"/>
      <c r="AP55" s="96"/>
      <c r="AQ55" s="96"/>
      <c r="AR55" s="88" cm="1">
        <f t="array" ref="AR55">SUM(
_xlfn.XLOOKUP(InputTable[[#This Row],[Impact on - CIAL]:[Impact on - STRAT]],'System List'!$F$4:$F$7,'System List'!$H$4:$H$7,0))</f>
        <v>13</v>
      </c>
      <c r="AS55" s="88" t="e">
        <f>VLOOKUP(InputTable[[#This Row],[Duration]],Duration,2,FALSE)+InputTable[[#This Row],[Resource Score]]</f>
        <v>#N/A</v>
      </c>
      <c r="AT5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5" s="69" t="e">
        <f>InputTable[[#This Row],[Value Score]]/InputTable[[#This Row],[EFFORT SCORE]]*100</f>
        <v>#N/A</v>
      </c>
      <c r="AV55" s="25" t="str">
        <f>InputTable[[#This Row],[IS Portfolio Ref ID]]</f>
        <v>ISPRJ-41</v>
      </c>
      <c r="AW55" s="25" t="s">
        <v>210</v>
      </c>
      <c r="AX55" s="208" t="s">
        <v>154</v>
      </c>
      <c r="AY55" s="25"/>
      <c r="AZ55" s="209">
        <v>50000</v>
      </c>
      <c r="BA55" s="209">
        <v>0</v>
      </c>
      <c r="BB55" s="209"/>
      <c r="BC55" s="189">
        <f>SUM(InputTable[[#This Row],[Opex IS Budget (full project)]]+InputTable[[#This Row],[Capex IS Budget (full project)]])</f>
        <v>50000</v>
      </c>
      <c r="BD55" s="188">
        <v>1</v>
      </c>
      <c r="BE55" s="188">
        <v>1</v>
      </c>
      <c r="BF55" s="70"/>
      <c r="BH55" s="2">
        <f>IFERROR(VLOOKUP(InputTable[[#This Row],[Impact on - CIAL]],'System List'!$F$4:$H$7,3,FALSE),0)</f>
        <v>0</v>
      </c>
      <c r="BI55" s="2">
        <f>IFERROR(VLOOKUP(InputTable[[#This Row],[Impact on - COM]],'System List'!$F$4:$H$7,3,FALSE),0)</f>
        <v>0</v>
      </c>
      <c r="BJ55" s="2">
        <f>IFERROR(VLOOKUP(InputTable[[#This Row],[Impact on - FIN]],'System List'!$F$4:$H$7,3,FALSE),0)</f>
        <v>0</v>
      </c>
      <c r="BK55" s="2">
        <f>IFERROR(VLOOKUP(InputTable[[#This Row],[Impact on - GEN SEC]],'System List'!$F$4:$H$7,3,FALSE),0)</f>
        <v>13</v>
      </c>
      <c r="BL55" s="2">
        <f>IFERROR(VLOOKUP(InputTable[[#This Row],[Impact on - HR]],'System List'!$F$4:$H$7,3,FALSE),0)</f>
        <v>0</v>
      </c>
      <c r="BM55" s="2">
        <f>IFERROR(VLOOKUP(InputTable[[#This Row],[Impact on - IS]],'System List'!$F$4:$H$7,3,FALSE),0)</f>
        <v>0</v>
      </c>
      <c r="BN55" s="2">
        <f>IFERROR(VLOOKUP(InputTable[[#This Row],[Impact on - OPS]],'System List'!$F$4:$H$7,3,FALSE),0)</f>
        <v>0</v>
      </c>
      <c r="BO55" s="2">
        <f>IFERROR(VLOOKUP(InputTable[[#This Row],[Impact on - ROLL STOCK]],'System List'!$F$4:$H$7,3,FALSE),0)</f>
        <v>0</v>
      </c>
      <c r="BP55" s="2">
        <f>IFERROR(VLOOKUP(InputTable[[#This Row],[Impact on - SAFETY]],'System List'!$F$4:$H$7,3,FALSE),0)</f>
        <v>0</v>
      </c>
      <c r="BQ55" s="2">
        <f>IFERROR(VLOOKUP(InputTable[[#This Row],[Impact on - STATION]],'System List'!$F$4:$H$7,3,FALSE),0)</f>
        <v>0</v>
      </c>
      <c r="BR55" s="2">
        <f>IFERROR(VLOOKUP(InputTable[[#This Row],[Impact on - STRAT]],'System List'!$F$4:$H$7,3,FALSE),0)</f>
        <v>0</v>
      </c>
      <c r="BT55" s="2">
        <f>IFERROR(VLOOKUP(InputTable[[#This Row],[CORPHRFIN]],'System List'!$F$4:$H$7,3,FALSE),0)</f>
        <v>0</v>
      </c>
      <c r="BU55" s="2">
        <f>IFERROR(VLOOKUP(InputTable[[#This Row],[CUST]],'System List'!$F$4:$H$7,3,FALSE),0)</f>
        <v>0</v>
      </c>
      <c r="BV55" s="2">
        <f>IFERROR(VLOOKUP(InputTable[[#This Row],[CYBER]],'System List'!$F$4:$H$7,3,FALSE),0)</f>
        <v>8</v>
      </c>
      <c r="BW55" s="2">
        <f>IFERROR(VLOOKUP(InputTable[[#This Row],[DATA]],'System List'!$F$4:$H$7,3,FALSE),0)</f>
        <v>0</v>
      </c>
      <c r="BX55" s="2">
        <f>IFERROR(VLOOKUP(InputTable[[#This Row],[INFRA]],'System List'!$F$4:$H$7,3,FALSE),0)</f>
        <v>5</v>
      </c>
      <c r="BY55" s="2">
        <f>IFERROR(VLOOKUP(InputTable[[#This Row],[OPERATIONS]],'System List'!$F$4:$H$7,3,FALSE),0)</f>
        <v>0</v>
      </c>
      <c r="BZ55" s="2">
        <f>IFERROR(VLOOKUP(InputTable[[#This Row],[PMO]],'System List'!$F$4:$H$7,3,FALSE),0)</f>
        <v>0</v>
      </c>
      <c r="CA55" s="2">
        <f>IFERROR(VLOOKUP(InputTable[[#This Row],[SALES]],'System List'!$F$4:$H$7,3,FALSE),0)</f>
        <v>0</v>
      </c>
      <c r="CC55" s="2" cm="1">
        <f t="array" ref="CC5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5" s="2" cm="1">
        <f t="array" ref="CD5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5" s="2" cm="1">
        <f t="array" ref="CE5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5" s="2" cm="1">
        <f t="array" ref="CF5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5" s="2" cm="1">
        <f t="array" ref="CG5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5" s="2" cm="1">
        <f t="array" ref="CH5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5" s="2" cm="1">
        <f t="array" ref="CI5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5" s="2" cm="1">
        <f t="array" ref="CJ5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5" s="2" cm="1">
        <f t="array" ref="CK5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5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5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5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5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5" s="26">
        <f t="shared" si="151"/>
        <v>0</v>
      </c>
      <c r="CY55" s="26">
        <f t="shared" si="152"/>
        <v>0</v>
      </c>
      <c r="CZ55" s="26">
        <f t="shared" si="153"/>
        <v>0</v>
      </c>
      <c r="DA55" s="26">
        <f t="shared" si="154"/>
        <v>0</v>
      </c>
      <c r="DB55" s="26">
        <f t="shared" si="155"/>
        <v>0</v>
      </c>
      <c r="DC55" s="26">
        <f t="shared" si="156"/>
        <v>0</v>
      </c>
      <c r="DD55" s="26">
        <f t="shared" si="157"/>
        <v>0</v>
      </c>
      <c r="DE55" s="26">
        <f t="shared" si="158"/>
        <v>0</v>
      </c>
      <c r="DF55" s="26">
        <f t="shared" si="159"/>
        <v>0</v>
      </c>
      <c r="DH55" s="26">
        <f t="shared" si="160"/>
        <v>0</v>
      </c>
      <c r="DI55" s="26">
        <f t="shared" si="161"/>
        <v>0</v>
      </c>
      <c r="DJ55" s="26">
        <f t="shared" si="162"/>
        <v>0</v>
      </c>
      <c r="DK55" s="26">
        <f t="shared" si="163"/>
        <v>0</v>
      </c>
      <c r="DL55" s="26">
        <f t="shared" si="164"/>
        <v>0</v>
      </c>
      <c r="DM55" s="26">
        <f t="shared" si="165"/>
        <v>0</v>
      </c>
      <c r="DN55" s="26">
        <f t="shared" si="166"/>
        <v>0</v>
      </c>
      <c r="DO55" s="26">
        <f t="shared" si="167"/>
        <v>0</v>
      </c>
      <c r="DP55" s="26">
        <f t="shared" si="168"/>
        <v>0</v>
      </c>
      <c r="DR55" s="26">
        <f t="shared" si="169"/>
        <v>0</v>
      </c>
      <c r="DS55" s="26">
        <f t="shared" si="170"/>
        <v>8</v>
      </c>
      <c r="DT55" s="26">
        <f t="shared" si="171"/>
        <v>8</v>
      </c>
      <c r="DU55" s="26">
        <f t="shared" si="172"/>
        <v>8</v>
      </c>
      <c r="DV55" s="26">
        <f t="shared" si="173"/>
        <v>8</v>
      </c>
      <c r="DW55" s="26">
        <f t="shared" si="174"/>
        <v>0</v>
      </c>
      <c r="DX55" s="26">
        <f t="shared" si="175"/>
        <v>0</v>
      </c>
      <c r="DY55" s="26">
        <f t="shared" si="176"/>
        <v>0</v>
      </c>
      <c r="DZ55" s="26">
        <f t="shared" si="177"/>
        <v>0</v>
      </c>
      <c r="EB55" s="26">
        <f t="shared" si="178"/>
        <v>0</v>
      </c>
      <c r="EC55" s="26">
        <f t="shared" si="179"/>
        <v>0</v>
      </c>
      <c r="ED55" s="26">
        <f t="shared" si="180"/>
        <v>0</v>
      </c>
      <c r="EE55" s="26">
        <f t="shared" si="181"/>
        <v>0</v>
      </c>
      <c r="EF55" s="26">
        <f t="shared" si="182"/>
        <v>0</v>
      </c>
      <c r="EG55" s="26">
        <f t="shared" si="183"/>
        <v>0</v>
      </c>
      <c r="EH55" s="26">
        <f t="shared" si="184"/>
        <v>0</v>
      </c>
      <c r="EI55" s="26">
        <f t="shared" si="185"/>
        <v>0</v>
      </c>
      <c r="EJ55" s="26">
        <f t="shared" si="186"/>
        <v>0</v>
      </c>
      <c r="EL55" s="26">
        <f t="shared" si="187"/>
        <v>0</v>
      </c>
      <c r="EM55" s="26">
        <f t="shared" si="188"/>
        <v>5</v>
      </c>
      <c r="EN55" s="26">
        <f t="shared" si="189"/>
        <v>5</v>
      </c>
      <c r="EO55" s="26">
        <f t="shared" si="190"/>
        <v>5</v>
      </c>
      <c r="EP55" s="26">
        <f t="shared" si="191"/>
        <v>5</v>
      </c>
      <c r="EQ55" s="26">
        <f t="shared" si="192"/>
        <v>0</v>
      </c>
      <c r="ER55" s="26">
        <f t="shared" si="193"/>
        <v>0</v>
      </c>
      <c r="ES55" s="26">
        <f t="shared" si="194"/>
        <v>0</v>
      </c>
      <c r="ET55" s="26">
        <f t="shared" si="195"/>
        <v>0</v>
      </c>
      <c r="EV55" s="26">
        <f t="shared" si="196"/>
        <v>0</v>
      </c>
      <c r="EW55" s="26">
        <f t="shared" si="197"/>
        <v>0</v>
      </c>
      <c r="EX55" s="26">
        <f t="shared" si="198"/>
        <v>0</v>
      </c>
      <c r="EY55" s="26">
        <f t="shared" si="199"/>
        <v>0</v>
      </c>
      <c r="EZ55" s="26">
        <f t="shared" si="200"/>
        <v>0</v>
      </c>
      <c r="FA55" s="26">
        <f t="shared" si="201"/>
        <v>0</v>
      </c>
      <c r="FB55" s="26">
        <f t="shared" si="202"/>
        <v>0</v>
      </c>
      <c r="FC55" s="26">
        <f t="shared" si="203"/>
        <v>0</v>
      </c>
      <c r="FD55" s="26">
        <f t="shared" si="204"/>
        <v>0</v>
      </c>
      <c r="FF55" s="26">
        <f t="shared" si="205"/>
        <v>0</v>
      </c>
      <c r="FG55" s="26">
        <f t="shared" si="206"/>
        <v>0</v>
      </c>
      <c r="FH55" s="26">
        <f t="shared" si="207"/>
        <v>0</v>
      </c>
      <c r="FI55" s="26">
        <f t="shared" si="208"/>
        <v>0</v>
      </c>
      <c r="FJ55" s="26">
        <f t="shared" si="209"/>
        <v>0</v>
      </c>
      <c r="FK55" s="26">
        <f t="shared" si="210"/>
        <v>0</v>
      </c>
      <c r="FL55" s="26">
        <f t="shared" si="211"/>
        <v>0</v>
      </c>
      <c r="FM55" s="26">
        <f t="shared" si="212"/>
        <v>0</v>
      </c>
      <c r="FN55" s="26">
        <f t="shared" si="213"/>
        <v>0</v>
      </c>
      <c r="FP55" s="26" t="e">
        <f t="shared" si="214"/>
        <v>#REF!</v>
      </c>
      <c r="FQ55" s="26" t="e">
        <f t="shared" si="215"/>
        <v>#REF!</v>
      </c>
      <c r="FR55" s="26" t="e">
        <f t="shared" si="216"/>
        <v>#REF!</v>
      </c>
      <c r="FS55" s="26" t="e">
        <f t="shared" si="217"/>
        <v>#REF!</v>
      </c>
      <c r="FT55" s="26" t="e">
        <f t="shared" si="218"/>
        <v>#REF!</v>
      </c>
      <c r="FU55" s="26" t="e">
        <f t="shared" si="219"/>
        <v>#REF!</v>
      </c>
      <c r="FV55" s="26" t="e">
        <f t="shared" si="220"/>
        <v>#REF!</v>
      </c>
      <c r="FW55" s="26" t="e">
        <f t="shared" si="221"/>
        <v>#REF!</v>
      </c>
      <c r="FX55" s="26" t="e">
        <f t="shared" si="222"/>
        <v>#REF!</v>
      </c>
      <c r="GB55" s="26" t="e">
        <f>IF(GB$2=InputTable[[#This Row],[Delivery Date]],_xlfn.XLOOKUP(GB$1,$BH$2:$BR$2,$BH55:$BR55,0),0)</f>
        <v>#REF!</v>
      </c>
      <c r="GC55" s="26">
        <f>IF(GC$2=InputTable[[#This Row],[Delivery Date]],_xlfn.XLOOKUP(GC$1,$BH$2:$BR$2,$BH55:$BR55,0),0)</f>
        <v>0</v>
      </c>
      <c r="GD55" s="26">
        <f>IF(GD$2=InputTable[[#This Row],[Delivery Date]],_xlfn.XLOOKUP(GD$1,$BH$2:$BR$2,$BH55:$BR55,0),0)</f>
        <v>0</v>
      </c>
      <c r="GE55" s="26">
        <f>IF(GE$2=InputTable[[#This Row],[Delivery Date]],_xlfn.XLOOKUP(GE$1,$BH$2:$BR$2,$BH55:$BR55,0),0)</f>
        <v>0</v>
      </c>
      <c r="GF55" s="26">
        <f>IF(GF$2=InputTable[[#This Row],[Delivery Date]],_xlfn.XLOOKUP(GF$1,$BH$2:$BR$2,$BH55:$BR55,0),0)</f>
        <v>0</v>
      </c>
      <c r="GG55" s="26">
        <f>IF(GG$2=InputTable[[#This Row],[Delivery Date]],_xlfn.XLOOKUP(GG$1,$BH$2:$BR$2,$BH55:$BR55,0),0)</f>
        <v>0</v>
      </c>
      <c r="GH55" s="26">
        <f>IF(GH$2=InputTable[[#This Row],[Delivery Date]],_xlfn.XLOOKUP(GH$1,$BH$2:$BR$2,$BH55:$BR55,0),0)</f>
        <v>0</v>
      </c>
      <c r="GI55" s="26">
        <f>IF(GI$2=InputTable[[#This Row],[Delivery Date]],_xlfn.XLOOKUP(GI$1,$BH$2:$BR$2,$BH55:$BR55,0),0)</f>
        <v>0</v>
      </c>
      <c r="GJ55" s="26">
        <f>IF(GJ$2=InputTable[[#This Row],[Delivery Date]],_xlfn.XLOOKUP(GJ$1,$BH$2:$BR$2,$BH55:$BR55,0),0)</f>
        <v>0</v>
      </c>
      <c r="GL55" s="26" t="e">
        <f>IF(GL$2=InputTable[[#This Row],[Delivery Date]],_xlfn.XLOOKUP(GL$1,$BH$2:$BR$2,$BH55:$BR55,0),0)</f>
        <v>#REF!</v>
      </c>
      <c r="GM55" s="26">
        <f>IF(GM$2=InputTable[[#This Row],[Delivery Date]],_xlfn.XLOOKUP(GM$1,$BH$2:$BR$2,$BH55:$BR55,0),0)</f>
        <v>0</v>
      </c>
      <c r="GN55" s="26">
        <f>IF(GN$2=InputTable[[#This Row],[Delivery Date]],_xlfn.XLOOKUP(GN$1,$BH$2:$BR$2,$BH55:$BR55,0),0)</f>
        <v>0</v>
      </c>
      <c r="GO55" s="26">
        <f>IF(GO$2=InputTable[[#This Row],[Delivery Date]],_xlfn.XLOOKUP(GO$1,$BH$2:$BR$2,$BH55:$BR55,0),0)</f>
        <v>0</v>
      </c>
      <c r="GP55" s="26">
        <f>IF(GP$2=InputTable[[#This Row],[Delivery Date]],_xlfn.XLOOKUP(GP$1,$BH$2:$BR$2,$BH55:$BR55,0),0)</f>
        <v>0</v>
      </c>
      <c r="GQ55" s="26">
        <f>IF(GQ$2=InputTable[[#This Row],[Delivery Date]],_xlfn.XLOOKUP(GQ$1,$BH$2:$BR$2,$BH55:$BR55,0),0)</f>
        <v>0</v>
      </c>
      <c r="GR55" s="26">
        <f>IF(GR$2=InputTable[[#This Row],[Delivery Date]],_xlfn.XLOOKUP(GR$1,$BH$2:$BR$2,$BH55:$BR55,0),0)</f>
        <v>0</v>
      </c>
      <c r="GS55" s="26">
        <f>IF(GS$2=InputTable[[#This Row],[Delivery Date]],_xlfn.XLOOKUP(GS$1,$BH$2:$BR$2,$BH55:$BR55,0),0)</f>
        <v>0</v>
      </c>
      <c r="GT55" s="26">
        <f>IF(GT$2=InputTable[[#This Row],[Delivery Date]],_xlfn.XLOOKUP(GT$1,$BH$2:$BR$2,$BH55:$BR55,0),0)</f>
        <v>0</v>
      </c>
      <c r="GV55" s="26" t="e">
        <f>IF(GV$2=InputTable[[#This Row],[Delivery Date]],_xlfn.XLOOKUP(GV$1,$BH$2:$BR$2,$BH55:$BR55,0),0)</f>
        <v>#REF!</v>
      </c>
      <c r="GW55" s="26">
        <f>IF(GW$2=InputTable[[#This Row],[Delivery Date]],_xlfn.XLOOKUP(GW$1,$BH$2:$BR$2,$BH55:$BR55,0),0)</f>
        <v>0</v>
      </c>
      <c r="GX55" s="26">
        <f>IF(GX$2=InputTable[[#This Row],[Delivery Date]],_xlfn.XLOOKUP(GX$1,$BH$2:$BR$2,$BH55:$BR55,0),0)</f>
        <v>0</v>
      </c>
      <c r="GY55" s="26">
        <f>IF(GY$2=InputTable[[#This Row],[Delivery Date]],_xlfn.XLOOKUP(GY$1,$BH$2:$BR$2,$BH55:$BR55,0),0)</f>
        <v>0</v>
      </c>
      <c r="GZ55" s="26">
        <f>IF(GZ$2=InputTable[[#This Row],[Delivery Date]],_xlfn.XLOOKUP(GZ$1,$BH$2:$BR$2,$BH55:$BR55,0),0)</f>
        <v>0</v>
      </c>
      <c r="HA55" s="26">
        <f>IF(HA$2=InputTable[[#This Row],[Delivery Date]],_xlfn.XLOOKUP(HA$1,$BH$2:$BR$2,$BH55:$BR55,0),0)</f>
        <v>0</v>
      </c>
      <c r="HB55" s="26">
        <f>IF(HB$2=InputTable[[#This Row],[Delivery Date]],_xlfn.XLOOKUP(HB$1,$BH$2:$BR$2,$BH55:$BR55,0),0)</f>
        <v>0</v>
      </c>
      <c r="HC55" s="26">
        <f>IF(HC$2=InputTable[[#This Row],[Delivery Date]],_xlfn.XLOOKUP(HC$1,$BH$2:$BR$2,$BH55:$BR55,0),0)</f>
        <v>0</v>
      </c>
      <c r="HD55" s="26">
        <f>IF(HD$2=InputTable[[#This Row],[Delivery Date]],_xlfn.XLOOKUP(HD$1,$BH$2:$BR$2,$BH55:$BR55,0),0)</f>
        <v>0</v>
      </c>
      <c r="HF55" s="26" t="e">
        <f>IF(HF$2=InputTable[[#This Row],[Delivery Date]],_xlfn.XLOOKUP(HF$1,$BH$2:$BR$2,$BH55:$BR55,0),0)</f>
        <v>#REF!</v>
      </c>
      <c r="HG55" s="26">
        <f>IF(HG$2=InputTable[[#This Row],[Delivery Date]],_xlfn.XLOOKUP(HG$1,$BH$2:$BR$2,$BH55:$BR55,0),0)</f>
        <v>0</v>
      </c>
      <c r="HH55" s="26">
        <f>IF(HH$2=InputTable[[#This Row],[Delivery Date]],_xlfn.XLOOKUP(HH$1,$BH$2:$BR$2,$BH55:$BR55,0),0)</f>
        <v>0</v>
      </c>
      <c r="HI55" s="26">
        <f>IF(HI$2=InputTable[[#This Row],[Delivery Date]],_xlfn.XLOOKUP(HI$1,$BH$2:$BR$2,$BH55:$BR55,0),0)</f>
        <v>0</v>
      </c>
      <c r="HJ55" s="26">
        <f>IF(HJ$2=InputTable[[#This Row],[Delivery Date]],_xlfn.XLOOKUP(HJ$1,$BH$2:$BR$2,$BH55:$BR55,0),0)</f>
        <v>13</v>
      </c>
      <c r="HK55" s="26">
        <f>IF(HK$2=InputTable[[#This Row],[Delivery Date]],_xlfn.XLOOKUP(HK$1,$BH$2:$BR$2,$BH55:$BR55,0),0)</f>
        <v>0</v>
      </c>
      <c r="HL55" s="26">
        <f>IF(HL$2=InputTable[[#This Row],[Delivery Date]],_xlfn.XLOOKUP(HL$1,$BH$2:$BR$2,$BH55:$BR55,0),0)</f>
        <v>0</v>
      </c>
      <c r="HM55" s="26">
        <f>IF(HM$2=InputTable[[#This Row],[Delivery Date]],_xlfn.XLOOKUP(HM$1,$BH$2:$BR$2,$BH55:$BR55,0),0)</f>
        <v>0</v>
      </c>
      <c r="HN55" s="26">
        <f>IF(HN$2=InputTable[[#This Row],[Delivery Date]],_xlfn.XLOOKUP(HN$1,$BH$2:$BR$2,$BH55:$BR55,0),0)</f>
        <v>0</v>
      </c>
      <c r="HP55" s="26" t="e">
        <f>IF(HP$2=InputTable[[#This Row],[Delivery Date]],_xlfn.XLOOKUP(HP$1,$BH$2:$BR$2,$BH55:$BR55,0),0)</f>
        <v>#REF!</v>
      </c>
      <c r="HQ55" s="26">
        <f>IF(HQ$2=InputTable[[#This Row],[Delivery Date]],_xlfn.XLOOKUP(HQ$1,$BH$2:$BR$2,$BH55:$BR55,0),0)</f>
        <v>0</v>
      </c>
      <c r="HR55" s="26">
        <f>IF(HR$2=InputTable[[#This Row],[Delivery Date]],_xlfn.XLOOKUP(HR$1,$BH$2:$BR$2,$BH55:$BR55,0),0)</f>
        <v>0</v>
      </c>
      <c r="HS55" s="26">
        <f>IF(HS$2=InputTable[[#This Row],[Delivery Date]],_xlfn.XLOOKUP(HS$1,$BH$2:$BR$2,$BH55:$BR55,0),0)</f>
        <v>0</v>
      </c>
      <c r="HT55" s="26">
        <f>IF(HT$2=InputTable[[#This Row],[Delivery Date]],_xlfn.XLOOKUP(HT$1,$BH$2:$BR$2,$BH55:$BR55,0),0)</f>
        <v>0</v>
      </c>
      <c r="HU55" s="26">
        <f>IF(HU$2=InputTable[[#This Row],[Delivery Date]],_xlfn.XLOOKUP(HU$1,$BH$2:$BR$2,$BH55:$BR55,0),0)</f>
        <v>0</v>
      </c>
      <c r="HV55" s="26">
        <f>IF(HV$2=InputTable[[#This Row],[Delivery Date]],_xlfn.XLOOKUP(HV$1,$BH$2:$BR$2,$BH55:$BR55,0),0)</f>
        <v>0</v>
      </c>
      <c r="HW55" s="26">
        <f>IF(HW$2=InputTable[[#This Row],[Delivery Date]],_xlfn.XLOOKUP(HW$1,$BH$2:$BR$2,$BH55:$BR55,0),0)</f>
        <v>0</v>
      </c>
      <c r="HX55" s="26">
        <f>IF(HX$2=InputTable[[#This Row],[Delivery Date]],_xlfn.XLOOKUP(HX$1,$BH$2:$BR$2,$BH55:$BR55,0),0)</f>
        <v>0</v>
      </c>
      <c r="HZ55" s="26" t="e">
        <f>IF(HZ$2=InputTable[[#This Row],[Delivery Date]],_xlfn.XLOOKUP(HZ$1,$BH$2:$BR$2,$BH55:$BR55,0),0)</f>
        <v>#REF!</v>
      </c>
      <c r="IA55" s="26">
        <f>IF(IA$2=InputTable[[#This Row],[Delivery Date]],_xlfn.XLOOKUP(IA$1,$BH$2:$BR$2,$BH55:$BR55,0),0)</f>
        <v>0</v>
      </c>
      <c r="IB55" s="26">
        <f>IF(IB$2=InputTable[[#This Row],[Delivery Date]],_xlfn.XLOOKUP(IB$1,$BH$2:$BR$2,$BH55:$BR55,0),0)</f>
        <v>0</v>
      </c>
      <c r="IC55" s="26">
        <f>IF(IC$2=InputTable[[#This Row],[Delivery Date]],_xlfn.XLOOKUP(IC$1,$BH$2:$BR$2,$BH55:$BR55,0),0)</f>
        <v>0</v>
      </c>
      <c r="ID55" s="26">
        <f>IF(ID$2=InputTable[[#This Row],[Delivery Date]],_xlfn.XLOOKUP(ID$1,$BH$2:$BR$2,$BH55:$BR55,0),0)</f>
        <v>0</v>
      </c>
      <c r="IE55" s="26">
        <f>IF(IE$2=InputTable[[#This Row],[Delivery Date]],_xlfn.XLOOKUP(IE$1,$BH$2:$BR$2,$BH55:$BR55,0),0)</f>
        <v>0</v>
      </c>
      <c r="IF55" s="26">
        <f>IF(IF$2=InputTable[[#This Row],[Delivery Date]],_xlfn.XLOOKUP(IF$1,$BH$2:$BR$2,$BH55:$BR55,0),0)</f>
        <v>0</v>
      </c>
      <c r="IG55" s="26">
        <f>IF(IG$2=InputTable[[#This Row],[Delivery Date]],_xlfn.XLOOKUP(IG$1,$BH$2:$BR$2,$BH55:$BR55,0),0)</f>
        <v>0</v>
      </c>
      <c r="IH55" s="26">
        <f>IF(IH$2=InputTable[[#This Row],[Delivery Date]],_xlfn.XLOOKUP(IH$1,$BH$2:$BR$2,$BH55:$BR55,0),0)</f>
        <v>0</v>
      </c>
      <c r="IJ55" s="26" t="e">
        <f>IF(IJ$2=InputTable[[#This Row],[Delivery Date]],_xlfn.XLOOKUP(IJ$1,$BH$2:$BR$2,$BH55:$BR55,0),0)</f>
        <v>#REF!</v>
      </c>
      <c r="IK55" s="26">
        <f>IF(IK$2=InputTable[[#This Row],[Delivery Date]],_xlfn.XLOOKUP(IK$1,$BH$2:$BR$2,$BH55:$BR55,0),0)</f>
        <v>0</v>
      </c>
      <c r="IL55" s="26">
        <f>IF(IL$2=InputTable[[#This Row],[Delivery Date]],_xlfn.XLOOKUP(IL$1,$BH$2:$BR$2,$BH55:$BR55,0),0)</f>
        <v>0</v>
      </c>
      <c r="IM55" s="26">
        <f>IF(IM$2=InputTable[[#This Row],[Delivery Date]],_xlfn.XLOOKUP(IM$1,$BH$2:$BR$2,$BH55:$BR55,0),0)</f>
        <v>0</v>
      </c>
      <c r="IN55" s="26">
        <f>IF(IN$2=InputTable[[#This Row],[Delivery Date]],_xlfn.XLOOKUP(IN$1,$BH$2:$BR$2,$BH55:$BR55,0),0)</f>
        <v>0</v>
      </c>
      <c r="IO55" s="26">
        <f>IF(IO$2=InputTable[[#This Row],[Delivery Date]],_xlfn.XLOOKUP(IO$1,$BH$2:$BR$2,$BH55:$BR55,0),0)</f>
        <v>0</v>
      </c>
      <c r="IP55" s="26">
        <f>IF(IP$2=InputTable[[#This Row],[Delivery Date]],_xlfn.XLOOKUP(IP$1,$BH$2:$BR$2,$BH55:$BR55,0),0)</f>
        <v>0</v>
      </c>
      <c r="IQ55" s="26">
        <f>IF(IQ$2=InputTable[[#This Row],[Delivery Date]],_xlfn.XLOOKUP(IQ$1,$BH$2:$BR$2,$BH55:$BR55,0),0)</f>
        <v>0</v>
      </c>
      <c r="IR55" s="26">
        <f>IF(IR$2=InputTable[[#This Row],[Delivery Date]],_xlfn.XLOOKUP(IR$1,$BH$2:$BR$2,$BH55:$BR55,0),0)</f>
        <v>0</v>
      </c>
      <c r="IT55" s="26" t="e">
        <f>IF(IT$2=InputTable[[#This Row],[Delivery Date]],_xlfn.XLOOKUP(IT$1,$BH$2:$BR$2,$BH55:$BR55,0),0)</f>
        <v>#REF!</v>
      </c>
      <c r="IU55" s="26">
        <f>IF(IU$2=InputTable[[#This Row],[Delivery Date]],_xlfn.XLOOKUP(IU$1,$BH$2:$BR$2,$BH55:$BR55,0),0)</f>
        <v>0</v>
      </c>
      <c r="IV55" s="26">
        <f>IF(IV$2=InputTable[[#This Row],[Delivery Date]],_xlfn.XLOOKUP(IV$1,$BH$2:$BR$2,$BH55:$BR55,0),0)</f>
        <v>0</v>
      </c>
      <c r="IW55" s="26">
        <f>IF(IW$2=InputTable[[#This Row],[Delivery Date]],_xlfn.XLOOKUP(IW$1,$BH$2:$BR$2,$BH55:$BR55,0),0)</f>
        <v>0</v>
      </c>
      <c r="IX55" s="26">
        <f>IF(IX$2=InputTable[[#This Row],[Delivery Date]],_xlfn.XLOOKUP(IX$1,$BH$2:$BR$2,$BH55:$BR55,0),0)</f>
        <v>0</v>
      </c>
      <c r="IY55" s="26">
        <f>IF(IY$2=InputTable[[#This Row],[Delivery Date]],_xlfn.XLOOKUP(IY$1,$BH$2:$BR$2,$BH55:$BR55,0),0)</f>
        <v>0</v>
      </c>
      <c r="IZ55" s="26">
        <f>IF(IZ$2=InputTable[[#This Row],[Delivery Date]],_xlfn.XLOOKUP(IZ$1,$BH$2:$BR$2,$BH55:$BR55,0),0)</f>
        <v>0</v>
      </c>
      <c r="JA55" s="26">
        <f>IF(JA$2=InputTable[[#This Row],[Delivery Date]],_xlfn.XLOOKUP(JA$1,$BH$2:$BR$2,$BH55:$BR55,0),0)</f>
        <v>0</v>
      </c>
      <c r="JB55" s="26">
        <f>IF(JB$2=InputTable[[#This Row],[Delivery Date]],_xlfn.XLOOKUP(JB$1,$BH$2:$BR$2,$BH55:$BR55,0),0)</f>
        <v>0</v>
      </c>
      <c r="JD55" s="26" t="e">
        <f>IF(JD$2=InputTable[[#This Row],[Delivery Date]],_xlfn.XLOOKUP(JD$1,$BH$2:$BR$2,$BH55:$BR55,0),0)</f>
        <v>#REF!</v>
      </c>
      <c r="JE55" s="26">
        <f>IF(JE$2=InputTable[[#This Row],[Delivery Date]],_xlfn.XLOOKUP(JE$1,$BH$2:$BR$2,$BH55:$BR55,0),0)</f>
        <v>0</v>
      </c>
      <c r="JF55" s="26">
        <f>IF(JF$2=InputTable[[#This Row],[Delivery Date]],_xlfn.XLOOKUP(JF$1,$BH$2:$BR$2,$BH55:$BR55,0),0)</f>
        <v>0</v>
      </c>
      <c r="JG55" s="26">
        <f>IF(JG$2=InputTable[[#This Row],[Delivery Date]],_xlfn.XLOOKUP(JG$1,$BH$2:$BR$2,$BH55:$BR55,0),0)</f>
        <v>0</v>
      </c>
      <c r="JH55" s="26">
        <f>IF(JH$2=InputTable[[#This Row],[Delivery Date]],_xlfn.XLOOKUP(JH$1,$BH$2:$BR$2,$BH55:$BR55,0),0)</f>
        <v>0</v>
      </c>
      <c r="JI55" s="26">
        <f>IF(JI$2=InputTable[[#This Row],[Delivery Date]],_xlfn.XLOOKUP(JI$1,$BH$2:$BR$2,$BH55:$BR55,0),0)</f>
        <v>0</v>
      </c>
      <c r="JJ55" s="26">
        <f>IF(JJ$2=InputTable[[#This Row],[Delivery Date]],_xlfn.XLOOKUP(JJ$1,$BH$2:$BR$2,$BH55:$BR55,0),0)</f>
        <v>0</v>
      </c>
      <c r="JK55" s="26">
        <f>IF(JK$2=InputTable[[#This Row],[Delivery Date]],_xlfn.XLOOKUP(JK$1,$BH$2:$BR$2,$BH55:$BR55,0),0)</f>
        <v>0</v>
      </c>
      <c r="JL55" s="26">
        <f>IF(JL$2=InputTable[[#This Row],[Delivery Date]],_xlfn.XLOOKUP(JL$1,$BH$2:$BR$2,$BH55:$BR55,0),0)</f>
        <v>0</v>
      </c>
      <c r="JN55" s="26" t="e">
        <f>IF(JN$2=InputTable[[#This Row],[Delivery Date]],_xlfn.XLOOKUP(JN$1,$BH$2:$BR$2,$BH55:$BR55,0),0)</f>
        <v>#REF!</v>
      </c>
      <c r="JO55" s="26">
        <f>IF(JO$2=InputTable[[#This Row],[Delivery Date]],_xlfn.XLOOKUP(JO$1,$BH$2:$BR$2,$BH55:$BR55,0),0)</f>
        <v>0</v>
      </c>
      <c r="JP55" s="26">
        <f>IF(JP$2=InputTable[[#This Row],[Delivery Date]],_xlfn.XLOOKUP(JP$1,$BH$2:$BR$2,$BH55:$BR55,0),0)</f>
        <v>0</v>
      </c>
      <c r="JQ55" s="26">
        <f>IF(JQ$2=InputTable[[#This Row],[Delivery Date]],_xlfn.XLOOKUP(JQ$1,$BH$2:$BR$2,$BH55:$BR55,0),0)</f>
        <v>0</v>
      </c>
      <c r="JR55" s="26">
        <f>IF(JR$2=InputTable[[#This Row],[Delivery Date]],_xlfn.XLOOKUP(JR$1,$BH$2:$BR$2,$BH55:$BR55,0),0)</f>
        <v>0</v>
      </c>
      <c r="JS55" s="26">
        <f>IF(JS$2=InputTable[[#This Row],[Delivery Date]],_xlfn.XLOOKUP(JS$1,$BH$2:$BR$2,$BH55:$BR55,0),0)</f>
        <v>0</v>
      </c>
      <c r="JT55" s="26">
        <f>IF(JT$2=InputTable[[#This Row],[Delivery Date]],_xlfn.XLOOKUP(JT$1,$BH$2:$BR$2,$BH55:$BR55,0),0)</f>
        <v>0</v>
      </c>
      <c r="JU55" s="26">
        <f>IF(JU$2=InputTable[[#This Row],[Delivery Date]],_xlfn.XLOOKUP(JU$1,$BH$2:$BR$2,$BH55:$BR55,0),0)</f>
        <v>0</v>
      </c>
      <c r="JV55" s="26">
        <f>IF(JV$2=InputTable[[#This Row],[Delivery Date]],_xlfn.XLOOKUP(JV$1,$BH$2:$BR$2,$BH55:$BR55,0),0)</f>
        <v>0</v>
      </c>
      <c r="JX55" s="26" t="e">
        <f>IF(JX$2=InputTable[[#This Row],[Delivery Date]],_xlfn.XLOOKUP(JX$1,$BH$2:$BR$2,$BH55:$BR55,0),0)</f>
        <v>#REF!</v>
      </c>
      <c r="JY55" s="26">
        <f>IF(JY$2=InputTable[[#This Row],[Delivery Date]],_xlfn.XLOOKUP(JY$1,$BH$2:$BR$2,$BH55:$BR55,0),0)</f>
        <v>0</v>
      </c>
      <c r="JZ55" s="26">
        <f>IF(JZ$2=InputTable[[#This Row],[Delivery Date]],_xlfn.XLOOKUP(JZ$1,$BH$2:$BR$2,$BH55:$BR55,0),0)</f>
        <v>0</v>
      </c>
      <c r="KA55" s="26">
        <f>IF(KA$2=InputTable[[#This Row],[Delivery Date]],_xlfn.XLOOKUP(KA$1,$BH$2:$BR$2,$BH55:$BR55,0),0)</f>
        <v>0</v>
      </c>
      <c r="KB55" s="26">
        <f>IF(KB$2=InputTable[[#This Row],[Delivery Date]],_xlfn.XLOOKUP(KB$1,$BH$2:$BR$2,$BH55:$BR55,0),0)</f>
        <v>0</v>
      </c>
      <c r="KC55" s="26">
        <f>IF(KC$2=InputTable[[#This Row],[Delivery Date]],_xlfn.XLOOKUP(KC$1,$BH$2:$BR$2,$BH55:$BR55,0),0)</f>
        <v>0</v>
      </c>
      <c r="KD55" s="26">
        <f>IF(KD$2=InputTable[[#This Row],[Delivery Date]],_xlfn.XLOOKUP(KD$1,$BH$2:$BR$2,$BH55:$BR55,0),0)</f>
        <v>0</v>
      </c>
      <c r="KE55" s="26">
        <f>IF(KE$2=InputTable[[#This Row],[Delivery Date]],_xlfn.XLOOKUP(KE$1,$BH$2:$BR$2,$BH55:$BR55,0),0)</f>
        <v>0</v>
      </c>
      <c r="KF55" s="26">
        <f>IF(KF$2=InputTable[[#This Row],[Delivery Date]],_xlfn.XLOOKUP(KF$1,$BH$2:$BR$2,$BH55:$BR55,0),0)</f>
        <v>0</v>
      </c>
    </row>
    <row r="56" spans="1:294" ht="39.6" customHeight="1" x14ac:dyDescent="0.25">
      <c r="A56" s="141" t="s">
        <v>181</v>
      </c>
      <c r="B56" s="141" t="s">
        <v>92</v>
      </c>
      <c r="C56" s="92" t="s">
        <v>59</v>
      </c>
      <c r="D56" s="125" t="s">
        <v>286</v>
      </c>
      <c r="E56" s="193" t="s">
        <v>287</v>
      </c>
      <c r="F56" s="92" t="s">
        <v>24</v>
      </c>
      <c r="G56" s="114" t="s">
        <v>137</v>
      </c>
      <c r="H56" s="102"/>
      <c r="I56" s="98">
        <v>2026</v>
      </c>
      <c r="J56" s="125"/>
      <c r="K56" s="95" t="e">
        <f>VLOOKUP((InputTable[[#This Row],[Starting Date]]&amp; " - " &amp;InputTable[[#This Row],[Delivery Date]]),'System List'!$F$40:$H$83,2,FALSE)</f>
        <v>#N/A</v>
      </c>
      <c r="L56" s="95" t="e">
        <f>VLOOKUP(InputTable[[#This Row],[Duration]],Duration,2,FALSE)</f>
        <v>#N/A</v>
      </c>
      <c r="M56" s="126"/>
      <c r="N56" s="98"/>
      <c r="O56" s="98"/>
      <c r="P56" s="98"/>
      <c r="Q56" s="98" t="s">
        <v>139</v>
      </c>
      <c r="R56" s="98" t="s">
        <v>139</v>
      </c>
      <c r="S56" s="92"/>
      <c r="T56" s="95" cm="1">
        <f t="array" ref="T5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3.2</v>
      </c>
      <c r="U56" s="138"/>
      <c r="V56" s="98"/>
      <c r="W56" s="98"/>
      <c r="X56" s="98"/>
      <c r="Y56" s="98" t="s">
        <v>139</v>
      </c>
      <c r="Z56" s="98"/>
      <c r="AA56" s="98"/>
      <c r="AB56" s="98"/>
      <c r="AC56" s="98"/>
      <c r="AD56" s="92">
        <f>COUNTA(InputTable[[#This Row],[CORPHRFIN]:[SALES]])</f>
        <v>1</v>
      </c>
      <c r="AE56" s="88" cm="1">
        <f t="array" ref="AE56">SUM(
_xlfn.XLOOKUP(InputTable[[#This Row],[CORPHRFIN]:[SALES]],'System List'!$F$4:$F$7,'System List'!$H$4:$H$7,0))</f>
        <v>8</v>
      </c>
      <c r="AF56" s="140"/>
      <c r="AG56" s="101"/>
      <c r="AH56" s="101"/>
      <c r="AI56" s="101"/>
      <c r="AJ56" s="101"/>
      <c r="AK56" s="101"/>
      <c r="AL56" s="101" t="s">
        <v>139</v>
      </c>
      <c r="AM56" s="101"/>
      <c r="AN56" s="101"/>
      <c r="AO56" s="101"/>
      <c r="AP56" s="101"/>
      <c r="AQ56" s="101"/>
      <c r="AR56" s="88" cm="1">
        <f t="array" ref="AR56">SUM(
_xlfn.XLOOKUP(InputTable[[#This Row],[Impact on - CIAL]:[Impact on - STRAT]],'System List'!$F$4:$F$7,'System List'!$H$4:$H$7,0))</f>
        <v>8</v>
      </c>
      <c r="AS56" s="88" t="e">
        <f>VLOOKUP(InputTable[[#This Row],[Duration]],Duration,2,FALSE)+InputTable[[#This Row],[Resource Score]]</f>
        <v>#N/A</v>
      </c>
      <c r="AT5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6" s="24" t="e">
        <f>InputTable[[#This Row],[Value Score]]/InputTable[[#This Row],[EFFORT SCORE]]*100</f>
        <v>#N/A</v>
      </c>
      <c r="AV56" s="25" t="str">
        <f>InputTable[[#This Row],[IS Portfolio Ref ID]]</f>
        <v>ISPRJ-29</v>
      </c>
      <c r="AW56" s="25" t="s">
        <v>225</v>
      </c>
      <c r="AX56" s="208" t="s">
        <v>154</v>
      </c>
      <c r="AY56" s="25"/>
      <c r="AZ56" s="209">
        <v>0</v>
      </c>
      <c r="BA56" s="209">
        <v>110000</v>
      </c>
      <c r="BB56" s="209"/>
      <c r="BC56" s="189">
        <f>SUM(InputTable[[#This Row],[Opex IS Budget (full project)]]+InputTable[[#This Row],[Capex IS Budget (full project)]])</f>
        <v>110000</v>
      </c>
      <c r="BD56" s="188"/>
      <c r="BE56" s="188">
        <v>2</v>
      </c>
      <c r="BF56" s="70"/>
      <c r="BH56" s="2">
        <f>IFERROR(VLOOKUP(InputTable[[#This Row],[Impact on - CIAL]],'System List'!$F$4:$H$7,3,FALSE),0)</f>
        <v>0</v>
      </c>
      <c r="BI56" s="2">
        <f>IFERROR(VLOOKUP(InputTable[[#This Row],[Impact on - COM]],'System List'!$F$4:$H$7,3,FALSE),0)</f>
        <v>0</v>
      </c>
      <c r="BJ56" s="2">
        <f>IFERROR(VLOOKUP(InputTable[[#This Row],[Impact on - FIN]],'System List'!$F$4:$H$7,3,FALSE),0)</f>
        <v>0</v>
      </c>
      <c r="BK56" s="2">
        <f>IFERROR(VLOOKUP(InputTable[[#This Row],[Impact on - GEN SEC]],'System List'!$F$4:$H$7,3,FALSE),0)</f>
        <v>0</v>
      </c>
      <c r="BL56" s="2">
        <f>IFERROR(VLOOKUP(InputTable[[#This Row],[Impact on - HR]],'System List'!$F$4:$H$7,3,FALSE),0)</f>
        <v>0</v>
      </c>
      <c r="BM56" s="2">
        <f>IFERROR(VLOOKUP(InputTable[[#This Row],[Impact on - IS]],'System List'!$F$4:$H$7,3,FALSE),0)</f>
        <v>8</v>
      </c>
      <c r="BN56" s="2">
        <f>IFERROR(VLOOKUP(InputTable[[#This Row],[Impact on - OPS]],'System List'!$F$4:$H$7,3,FALSE),0)</f>
        <v>0</v>
      </c>
      <c r="BO56" s="2">
        <f>IFERROR(VLOOKUP(InputTable[[#This Row],[Impact on - ROLL STOCK]],'System List'!$F$4:$H$7,3,FALSE),0)</f>
        <v>0</v>
      </c>
      <c r="BP56" s="2">
        <f>IFERROR(VLOOKUP(InputTable[[#This Row],[Impact on - SAFETY]],'System List'!$F$4:$H$7,3,FALSE),0)</f>
        <v>0</v>
      </c>
      <c r="BQ56" s="2">
        <f>IFERROR(VLOOKUP(InputTable[[#This Row],[Impact on - STATION]],'System List'!$F$4:$H$7,3,FALSE),0)</f>
        <v>0</v>
      </c>
      <c r="BR56" s="2">
        <f>IFERROR(VLOOKUP(InputTable[[#This Row],[Impact on - STRAT]],'System List'!$F$4:$H$7,3,FALSE),0)</f>
        <v>0</v>
      </c>
      <c r="BT56" s="2">
        <f>IFERROR(VLOOKUP(InputTable[[#This Row],[CORPHRFIN]],'System List'!$F$4:$H$7,3,FALSE),0)</f>
        <v>0</v>
      </c>
      <c r="BU56" s="2">
        <f>IFERROR(VLOOKUP(InputTable[[#This Row],[CUST]],'System List'!$F$4:$H$7,3,FALSE),0)</f>
        <v>0</v>
      </c>
      <c r="BV56" s="2">
        <f>IFERROR(VLOOKUP(InputTable[[#This Row],[CYBER]],'System List'!$F$4:$H$7,3,FALSE),0)</f>
        <v>0</v>
      </c>
      <c r="BW56" s="2">
        <f>IFERROR(VLOOKUP(InputTable[[#This Row],[DATA]],'System List'!$F$4:$H$7,3,FALSE),0)</f>
        <v>8</v>
      </c>
      <c r="BX56" s="2">
        <f>IFERROR(VLOOKUP(InputTable[[#This Row],[INFRA]],'System List'!$F$4:$H$7,3,FALSE),0)</f>
        <v>0</v>
      </c>
      <c r="BY56" s="2">
        <f>IFERROR(VLOOKUP(InputTable[[#This Row],[OPERATIONS]],'System List'!$F$4:$H$7,3,FALSE),0)</f>
        <v>0</v>
      </c>
      <c r="BZ56" s="2">
        <f>IFERROR(VLOOKUP(InputTable[[#This Row],[PMO]],'System List'!$F$4:$H$7,3,FALSE),0)</f>
        <v>0</v>
      </c>
      <c r="CA56" s="2">
        <f>IFERROR(VLOOKUP(InputTable[[#This Row],[SALES]],'System List'!$F$4:$H$7,3,FALSE),0)</f>
        <v>0</v>
      </c>
      <c r="CC56" s="2" cm="1">
        <f t="array" ref="CC5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6" s="2" cm="1">
        <f t="array" ref="CD5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6" s="2" cm="1">
        <f t="array" ref="CE5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6" s="2" cm="1">
        <f t="array" ref="CF5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6" s="2" cm="1">
        <f t="array" ref="CG5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6" s="2" cm="1">
        <f t="array" ref="CH5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6" s="2" cm="1">
        <f t="array" ref="CI5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6" s="2" cm="1">
        <f t="array" ref="CJ5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6" s="2" cm="1">
        <f t="array" ref="CK5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5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5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6" s="26">
        <f t="shared" si="151"/>
        <v>0</v>
      </c>
      <c r="CY56" s="26">
        <f t="shared" si="152"/>
        <v>0</v>
      </c>
      <c r="CZ56" s="26">
        <f t="shared" si="153"/>
        <v>0</v>
      </c>
      <c r="DA56" s="26">
        <f t="shared" si="154"/>
        <v>0</v>
      </c>
      <c r="DB56" s="26">
        <f t="shared" si="155"/>
        <v>0</v>
      </c>
      <c r="DC56" s="26">
        <f t="shared" si="156"/>
        <v>0</v>
      </c>
      <c r="DD56" s="26">
        <f t="shared" si="157"/>
        <v>0</v>
      </c>
      <c r="DE56" s="26">
        <f t="shared" si="158"/>
        <v>0</v>
      </c>
      <c r="DF56" s="26">
        <f t="shared" si="159"/>
        <v>0</v>
      </c>
      <c r="DH56" s="26">
        <f t="shared" si="160"/>
        <v>0</v>
      </c>
      <c r="DI56" s="26">
        <f t="shared" si="161"/>
        <v>0</v>
      </c>
      <c r="DJ56" s="26">
        <f t="shared" si="162"/>
        <v>0</v>
      </c>
      <c r="DK56" s="26">
        <f t="shared" si="163"/>
        <v>0</v>
      </c>
      <c r="DL56" s="26">
        <f t="shared" si="164"/>
        <v>0</v>
      </c>
      <c r="DM56" s="26">
        <f t="shared" si="165"/>
        <v>0</v>
      </c>
      <c r="DN56" s="26">
        <f t="shared" si="166"/>
        <v>0</v>
      </c>
      <c r="DO56" s="26">
        <f t="shared" si="167"/>
        <v>0</v>
      </c>
      <c r="DP56" s="26">
        <f t="shared" si="168"/>
        <v>0</v>
      </c>
      <c r="DR56" s="26">
        <f t="shared" si="169"/>
        <v>0</v>
      </c>
      <c r="DS56" s="26">
        <f t="shared" si="170"/>
        <v>0</v>
      </c>
      <c r="DT56" s="26">
        <f t="shared" si="171"/>
        <v>0</v>
      </c>
      <c r="DU56" s="26">
        <f t="shared" si="172"/>
        <v>0</v>
      </c>
      <c r="DV56" s="26">
        <f t="shared" si="173"/>
        <v>0</v>
      </c>
      <c r="DW56" s="26">
        <f t="shared" si="174"/>
        <v>0</v>
      </c>
      <c r="DX56" s="26">
        <f t="shared" si="175"/>
        <v>0</v>
      </c>
      <c r="DY56" s="26">
        <f t="shared" si="176"/>
        <v>0</v>
      </c>
      <c r="DZ56" s="26">
        <f t="shared" si="177"/>
        <v>0</v>
      </c>
      <c r="EB56" s="26">
        <f t="shared" si="178"/>
        <v>0</v>
      </c>
      <c r="EC56" s="26">
        <f t="shared" si="179"/>
        <v>0</v>
      </c>
      <c r="ED56" s="26">
        <f t="shared" si="180"/>
        <v>0</v>
      </c>
      <c r="EE56" s="26">
        <f t="shared" si="181"/>
        <v>0</v>
      </c>
      <c r="EF56" s="26">
        <f t="shared" si="182"/>
        <v>8</v>
      </c>
      <c r="EG56" s="26">
        <f t="shared" si="183"/>
        <v>8</v>
      </c>
      <c r="EH56" s="26">
        <f t="shared" si="184"/>
        <v>0</v>
      </c>
      <c r="EI56" s="26">
        <f t="shared" si="185"/>
        <v>0</v>
      </c>
      <c r="EJ56" s="26">
        <f t="shared" si="186"/>
        <v>0</v>
      </c>
      <c r="EL56" s="26">
        <f t="shared" si="187"/>
        <v>0</v>
      </c>
      <c r="EM56" s="26">
        <f t="shared" si="188"/>
        <v>0</v>
      </c>
      <c r="EN56" s="26">
        <f t="shared" si="189"/>
        <v>0</v>
      </c>
      <c r="EO56" s="26">
        <f t="shared" si="190"/>
        <v>0</v>
      </c>
      <c r="EP56" s="26">
        <f t="shared" si="191"/>
        <v>0</v>
      </c>
      <c r="EQ56" s="26">
        <f t="shared" si="192"/>
        <v>0</v>
      </c>
      <c r="ER56" s="26">
        <f t="shared" si="193"/>
        <v>0</v>
      </c>
      <c r="ES56" s="26">
        <f t="shared" si="194"/>
        <v>0</v>
      </c>
      <c r="ET56" s="26">
        <f t="shared" si="195"/>
        <v>0</v>
      </c>
      <c r="EV56" s="26">
        <f t="shared" si="196"/>
        <v>0</v>
      </c>
      <c r="EW56" s="26">
        <f t="shared" si="197"/>
        <v>0</v>
      </c>
      <c r="EX56" s="26">
        <f t="shared" si="198"/>
        <v>0</v>
      </c>
      <c r="EY56" s="26">
        <f t="shared" si="199"/>
        <v>0</v>
      </c>
      <c r="EZ56" s="26">
        <f t="shared" si="200"/>
        <v>0</v>
      </c>
      <c r="FA56" s="26">
        <f t="shared" si="201"/>
        <v>0</v>
      </c>
      <c r="FB56" s="26">
        <f t="shared" si="202"/>
        <v>0</v>
      </c>
      <c r="FC56" s="26">
        <f t="shared" si="203"/>
        <v>0</v>
      </c>
      <c r="FD56" s="26">
        <f t="shared" si="204"/>
        <v>0</v>
      </c>
      <c r="FF56" s="26">
        <f t="shared" si="205"/>
        <v>0</v>
      </c>
      <c r="FG56" s="26">
        <f t="shared" si="206"/>
        <v>0</v>
      </c>
      <c r="FH56" s="26">
        <f t="shared" si="207"/>
        <v>0</v>
      </c>
      <c r="FI56" s="26">
        <f t="shared" si="208"/>
        <v>0</v>
      </c>
      <c r="FJ56" s="26">
        <f t="shared" si="209"/>
        <v>0</v>
      </c>
      <c r="FK56" s="26">
        <f t="shared" si="210"/>
        <v>0</v>
      </c>
      <c r="FL56" s="26">
        <f t="shared" si="211"/>
        <v>0</v>
      </c>
      <c r="FM56" s="26">
        <f t="shared" si="212"/>
        <v>0</v>
      </c>
      <c r="FN56" s="26">
        <f t="shared" si="213"/>
        <v>0</v>
      </c>
      <c r="FP56" s="26" t="e">
        <f t="shared" si="214"/>
        <v>#REF!</v>
      </c>
      <c r="FQ56" s="26" t="e">
        <f t="shared" si="215"/>
        <v>#REF!</v>
      </c>
      <c r="FR56" s="26" t="e">
        <f t="shared" si="216"/>
        <v>#REF!</v>
      </c>
      <c r="FS56" s="26" t="e">
        <f t="shared" si="217"/>
        <v>#REF!</v>
      </c>
      <c r="FT56" s="26" t="e">
        <f t="shared" si="218"/>
        <v>#REF!</v>
      </c>
      <c r="FU56" s="26" t="e">
        <f t="shared" si="219"/>
        <v>#REF!</v>
      </c>
      <c r="FV56" s="26" t="e">
        <f t="shared" si="220"/>
        <v>#REF!</v>
      </c>
      <c r="FW56" s="26" t="e">
        <f t="shared" si="221"/>
        <v>#REF!</v>
      </c>
      <c r="FX56" s="26" t="e">
        <f t="shared" si="222"/>
        <v>#REF!</v>
      </c>
      <c r="GB56" s="26" t="e">
        <f>IF(GB$2=InputTable[[#This Row],[Delivery Date]],_xlfn.XLOOKUP(GB$1,$BH$2:$BR$2,$BH56:$BR56,0),0)</f>
        <v>#REF!</v>
      </c>
      <c r="GC56" s="26">
        <f>IF(GC$2=InputTable[[#This Row],[Delivery Date]],_xlfn.XLOOKUP(GC$1,$BH$2:$BR$2,$BH56:$BR56,0),0)</f>
        <v>0</v>
      </c>
      <c r="GD56" s="26">
        <f>IF(GD$2=InputTable[[#This Row],[Delivery Date]],_xlfn.XLOOKUP(GD$1,$BH$2:$BR$2,$BH56:$BR56,0),0)</f>
        <v>0</v>
      </c>
      <c r="GE56" s="26">
        <f>IF(GE$2=InputTable[[#This Row],[Delivery Date]],_xlfn.XLOOKUP(GE$1,$BH$2:$BR$2,$BH56:$BR56,0),0)</f>
        <v>0</v>
      </c>
      <c r="GF56" s="26">
        <f>IF(GF$2=InputTable[[#This Row],[Delivery Date]],_xlfn.XLOOKUP(GF$1,$BH$2:$BR$2,$BH56:$BR56,0),0)</f>
        <v>0</v>
      </c>
      <c r="GG56" s="26">
        <f>IF(GG$2=InputTable[[#This Row],[Delivery Date]],_xlfn.XLOOKUP(GG$1,$BH$2:$BR$2,$BH56:$BR56,0),0)</f>
        <v>0</v>
      </c>
      <c r="GH56" s="26">
        <f>IF(GH$2=InputTable[[#This Row],[Delivery Date]],_xlfn.XLOOKUP(GH$1,$BH$2:$BR$2,$BH56:$BR56,0),0)</f>
        <v>0</v>
      </c>
      <c r="GI56" s="26">
        <f>IF(GI$2=InputTable[[#This Row],[Delivery Date]],_xlfn.XLOOKUP(GI$1,$BH$2:$BR$2,$BH56:$BR56,0),0)</f>
        <v>0</v>
      </c>
      <c r="GJ56" s="26">
        <f>IF(GJ$2=InputTable[[#This Row],[Delivery Date]],_xlfn.XLOOKUP(GJ$1,$BH$2:$BR$2,$BH56:$BR56,0),0)</f>
        <v>0</v>
      </c>
      <c r="GL56" s="26" t="e">
        <f>IF(GL$2=InputTable[[#This Row],[Delivery Date]],_xlfn.XLOOKUP(GL$1,$BH$2:$BR$2,$BH56:$BR56,0),0)</f>
        <v>#REF!</v>
      </c>
      <c r="GM56" s="26">
        <f>IF(GM$2=InputTable[[#This Row],[Delivery Date]],_xlfn.XLOOKUP(GM$1,$BH$2:$BR$2,$BH56:$BR56,0),0)</f>
        <v>0</v>
      </c>
      <c r="GN56" s="26">
        <f>IF(GN$2=InputTable[[#This Row],[Delivery Date]],_xlfn.XLOOKUP(GN$1,$BH$2:$BR$2,$BH56:$BR56,0),0)</f>
        <v>0</v>
      </c>
      <c r="GO56" s="26">
        <f>IF(GO$2=InputTable[[#This Row],[Delivery Date]],_xlfn.XLOOKUP(GO$1,$BH$2:$BR$2,$BH56:$BR56,0),0)</f>
        <v>0</v>
      </c>
      <c r="GP56" s="26">
        <f>IF(GP$2=InputTable[[#This Row],[Delivery Date]],_xlfn.XLOOKUP(GP$1,$BH$2:$BR$2,$BH56:$BR56,0),0)</f>
        <v>0</v>
      </c>
      <c r="GQ56" s="26">
        <f>IF(GQ$2=InputTable[[#This Row],[Delivery Date]],_xlfn.XLOOKUP(GQ$1,$BH$2:$BR$2,$BH56:$BR56,0),0)</f>
        <v>0</v>
      </c>
      <c r="GR56" s="26">
        <f>IF(GR$2=InputTable[[#This Row],[Delivery Date]],_xlfn.XLOOKUP(GR$1,$BH$2:$BR$2,$BH56:$BR56,0),0)</f>
        <v>0</v>
      </c>
      <c r="GS56" s="26">
        <f>IF(GS$2=InputTable[[#This Row],[Delivery Date]],_xlfn.XLOOKUP(GS$1,$BH$2:$BR$2,$BH56:$BR56,0),0)</f>
        <v>0</v>
      </c>
      <c r="GT56" s="26">
        <f>IF(GT$2=InputTable[[#This Row],[Delivery Date]],_xlfn.XLOOKUP(GT$1,$BH$2:$BR$2,$BH56:$BR56,0),0)</f>
        <v>0</v>
      </c>
      <c r="GV56" s="26" t="e">
        <f>IF(GV$2=InputTable[[#This Row],[Delivery Date]],_xlfn.XLOOKUP(GV$1,$BH$2:$BR$2,$BH56:$BR56,0),0)</f>
        <v>#REF!</v>
      </c>
      <c r="GW56" s="26">
        <f>IF(GW$2=InputTable[[#This Row],[Delivery Date]],_xlfn.XLOOKUP(GW$1,$BH$2:$BR$2,$BH56:$BR56,0),0)</f>
        <v>0</v>
      </c>
      <c r="GX56" s="26">
        <f>IF(GX$2=InputTable[[#This Row],[Delivery Date]],_xlfn.XLOOKUP(GX$1,$BH$2:$BR$2,$BH56:$BR56,0),0)</f>
        <v>0</v>
      </c>
      <c r="GY56" s="26">
        <f>IF(GY$2=InputTable[[#This Row],[Delivery Date]],_xlfn.XLOOKUP(GY$1,$BH$2:$BR$2,$BH56:$BR56,0),0)</f>
        <v>0</v>
      </c>
      <c r="GZ56" s="26">
        <f>IF(GZ$2=InputTable[[#This Row],[Delivery Date]],_xlfn.XLOOKUP(GZ$1,$BH$2:$BR$2,$BH56:$BR56,0),0)</f>
        <v>0</v>
      </c>
      <c r="HA56" s="26">
        <f>IF(HA$2=InputTable[[#This Row],[Delivery Date]],_xlfn.XLOOKUP(HA$1,$BH$2:$BR$2,$BH56:$BR56,0),0)</f>
        <v>0</v>
      </c>
      <c r="HB56" s="26">
        <f>IF(HB$2=InputTable[[#This Row],[Delivery Date]],_xlfn.XLOOKUP(HB$1,$BH$2:$BR$2,$BH56:$BR56,0),0)</f>
        <v>0</v>
      </c>
      <c r="HC56" s="26">
        <f>IF(HC$2=InputTable[[#This Row],[Delivery Date]],_xlfn.XLOOKUP(HC$1,$BH$2:$BR$2,$BH56:$BR56,0),0)</f>
        <v>0</v>
      </c>
      <c r="HD56" s="26">
        <f>IF(HD$2=InputTable[[#This Row],[Delivery Date]],_xlfn.XLOOKUP(HD$1,$BH$2:$BR$2,$BH56:$BR56,0),0)</f>
        <v>0</v>
      </c>
      <c r="HF56" s="26" t="e">
        <f>IF(HF$2=InputTable[[#This Row],[Delivery Date]],_xlfn.XLOOKUP(HF$1,$BH$2:$BR$2,$BH56:$BR56,0),0)</f>
        <v>#REF!</v>
      </c>
      <c r="HG56" s="26">
        <f>IF(HG$2=InputTable[[#This Row],[Delivery Date]],_xlfn.XLOOKUP(HG$1,$BH$2:$BR$2,$BH56:$BR56,0),0)</f>
        <v>0</v>
      </c>
      <c r="HH56" s="26">
        <f>IF(HH$2=InputTable[[#This Row],[Delivery Date]],_xlfn.XLOOKUP(HH$1,$BH$2:$BR$2,$BH56:$BR56,0),0)</f>
        <v>0</v>
      </c>
      <c r="HI56" s="26">
        <f>IF(HI$2=InputTable[[#This Row],[Delivery Date]],_xlfn.XLOOKUP(HI$1,$BH$2:$BR$2,$BH56:$BR56,0),0)</f>
        <v>0</v>
      </c>
      <c r="HJ56" s="26">
        <f>IF(HJ$2=InputTable[[#This Row],[Delivery Date]],_xlfn.XLOOKUP(HJ$1,$BH$2:$BR$2,$BH56:$BR56,0),0)</f>
        <v>0</v>
      </c>
      <c r="HK56" s="26">
        <f>IF(HK$2=InputTable[[#This Row],[Delivery Date]],_xlfn.XLOOKUP(HK$1,$BH$2:$BR$2,$BH56:$BR56,0),0)</f>
        <v>0</v>
      </c>
      <c r="HL56" s="26">
        <f>IF(HL$2=InputTable[[#This Row],[Delivery Date]],_xlfn.XLOOKUP(HL$1,$BH$2:$BR$2,$BH56:$BR56,0),0)</f>
        <v>0</v>
      </c>
      <c r="HM56" s="26">
        <f>IF(HM$2=InputTable[[#This Row],[Delivery Date]],_xlfn.XLOOKUP(HM$1,$BH$2:$BR$2,$BH56:$BR56,0),0)</f>
        <v>0</v>
      </c>
      <c r="HN56" s="26">
        <f>IF(HN$2=InputTable[[#This Row],[Delivery Date]],_xlfn.XLOOKUP(HN$1,$BH$2:$BR$2,$BH56:$BR56,0),0)</f>
        <v>0</v>
      </c>
      <c r="HP56" s="26" t="e">
        <f>IF(HP$2=InputTable[[#This Row],[Delivery Date]],_xlfn.XLOOKUP(HP$1,$BH$2:$BR$2,$BH56:$BR56,0),0)</f>
        <v>#REF!</v>
      </c>
      <c r="HQ56" s="26">
        <f>IF(HQ$2=InputTable[[#This Row],[Delivery Date]],_xlfn.XLOOKUP(HQ$1,$BH$2:$BR$2,$BH56:$BR56,0),0)</f>
        <v>0</v>
      </c>
      <c r="HR56" s="26">
        <f>IF(HR$2=InputTable[[#This Row],[Delivery Date]],_xlfn.XLOOKUP(HR$1,$BH$2:$BR$2,$BH56:$BR56,0),0)</f>
        <v>0</v>
      </c>
      <c r="HS56" s="26">
        <f>IF(HS$2=InputTable[[#This Row],[Delivery Date]],_xlfn.XLOOKUP(HS$1,$BH$2:$BR$2,$BH56:$BR56,0),0)</f>
        <v>0</v>
      </c>
      <c r="HT56" s="26">
        <f>IF(HT$2=InputTable[[#This Row],[Delivery Date]],_xlfn.XLOOKUP(HT$1,$BH$2:$BR$2,$BH56:$BR56,0),0)</f>
        <v>0</v>
      </c>
      <c r="HU56" s="26">
        <f>IF(HU$2=InputTable[[#This Row],[Delivery Date]],_xlfn.XLOOKUP(HU$1,$BH$2:$BR$2,$BH56:$BR56,0),0)</f>
        <v>0</v>
      </c>
      <c r="HV56" s="26">
        <f>IF(HV$2=InputTable[[#This Row],[Delivery Date]],_xlfn.XLOOKUP(HV$1,$BH$2:$BR$2,$BH56:$BR56,0),0)</f>
        <v>0</v>
      </c>
      <c r="HW56" s="26">
        <f>IF(HW$2=InputTable[[#This Row],[Delivery Date]],_xlfn.XLOOKUP(HW$1,$BH$2:$BR$2,$BH56:$BR56,0),0)</f>
        <v>0</v>
      </c>
      <c r="HX56" s="26">
        <f>IF(HX$2=InputTable[[#This Row],[Delivery Date]],_xlfn.XLOOKUP(HX$1,$BH$2:$BR$2,$BH56:$BR56,0),0)</f>
        <v>0</v>
      </c>
      <c r="HZ56" s="26" t="e">
        <f>IF(HZ$2=InputTable[[#This Row],[Delivery Date]],_xlfn.XLOOKUP(HZ$1,$BH$2:$BR$2,$BH56:$BR56,0),0)</f>
        <v>#REF!</v>
      </c>
      <c r="IA56" s="26">
        <f>IF(IA$2=InputTable[[#This Row],[Delivery Date]],_xlfn.XLOOKUP(IA$1,$BH$2:$BR$2,$BH56:$BR56,0),0)</f>
        <v>0</v>
      </c>
      <c r="IB56" s="26">
        <f>IF(IB$2=InputTable[[#This Row],[Delivery Date]],_xlfn.XLOOKUP(IB$1,$BH$2:$BR$2,$BH56:$BR56,0),0)</f>
        <v>0</v>
      </c>
      <c r="IC56" s="26">
        <f>IF(IC$2=InputTable[[#This Row],[Delivery Date]],_xlfn.XLOOKUP(IC$1,$BH$2:$BR$2,$BH56:$BR56,0),0)</f>
        <v>0</v>
      </c>
      <c r="ID56" s="26">
        <f>IF(ID$2=InputTable[[#This Row],[Delivery Date]],_xlfn.XLOOKUP(ID$1,$BH$2:$BR$2,$BH56:$BR56,0),0)</f>
        <v>0</v>
      </c>
      <c r="IE56" s="26">
        <f>IF(IE$2=InputTable[[#This Row],[Delivery Date]],_xlfn.XLOOKUP(IE$1,$BH$2:$BR$2,$BH56:$BR56,0),0)</f>
        <v>0</v>
      </c>
      <c r="IF56" s="26">
        <f>IF(IF$2=InputTable[[#This Row],[Delivery Date]],_xlfn.XLOOKUP(IF$1,$BH$2:$BR$2,$BH56:$BR56,0),0)</f>
        <v>0</v>
      </c>
      <c r="IG56" s="26">
        <f>IF(IG$2=InputTable[[#This Row],[Delivery Date]],_xlfn.XLOOKUP(IG$1,$BH$2:$BR$2,$BH56:$BR56,0),0)</f>
        <v>0</v>
      </c>
      <c r="IH56" s="26">
        <f>IF(IH$2=InputTable[[#This Row],[Delivery Date]],_xlfn.XLOOKUP(IH$1,$BH$2:$BR$2,$BH56:$BR56,0),0)</f>
        <v>0</v>
      </c>
      <c r="IJ56" s="26" t="e">
        <f>IF(IJ$2=InputTable[[#This Row],[Delivery Date]],_xlfn.XLOOKUP(IJ$1,$BH$2:$BR$2,$BH56:$BR56,0),0)</f>
        <v>#REF!</v>
      </c>
      <c r="IK56" s="26">
        <f>IF(IK$2=InputTable[[#This Row],[Delivery Date]],_xlfn.XLOOKUP(IK$1,$BH$2:$BR$2,$BH56:$BR56,0),0)</f>
        <v>0</v>
      </c>
      <c r="IL56" s="26">
        <f>IF(IL$2=InputTable[[#This Row],[Delivery Date]],_xlfn.XLOOKUP(IL$1,$BH$2:$BR$2,$BH56:$BR56,0),0)</f>
        <v>0</v>
      </c>
      <c r="IM56" s="26">
        <f>IF(IM$2=InputTable[[#This Row],[Delivery Date]],_xlfn.XLOOKUP(IM$1,$BH$2:$BR$2,$BH56:$BR56,0),0)</f>
        <v>0</v>
      </c>
      <c r="IN56" s="26">
        <f>IF(IN$2=InputTable[[#This Row],[Delivery Date]],_xlfn.XLOOKUP(IN$1,$BH$2:$BR$2,$BH56:$BR56,0),0)</f>
        <v>0</v>
      </c>
      <c r="IO56" s="26">
        <f>IF(IO$2=InputTable[[#This Row],[Delivery Date]],_xlfn.XLOOKUP(IO$1,$BH$2:$BR$2,$BH56:$BR56,0),0)</f>
        <v>0</v>
      </c>
      <c r="IP56" s="26">
        <f>IF(IP$2=InputTable[[#This Row],[Delivery Date]],_xlfn.XLOOKUP(IP$1,$BH$2:$BR$2,$BH56:$BR56,0),0)</f>
        <v>0</v>
      </c>
      <c r="IQ56" s="26">
        <f>IF(IQ$2=InputTable[[#This Row],[Delivery Date]],_xlfn.XLOOKUP(IQ$1,$BH$2:$BR$2,$BH56:$BR56,0),0)</f>
        <v>0</v>
      </c>
      <c r="IR56" s="26">
        <f>IF(IR$2=InputTable[[#This Row],[Delivery Date]],_xlfn.XLOOKUP(IR$1,$BH$2:$BR$2,$BH56:$BR56,0),0)</f>
        <v>0</v>
      </c>
      <c r="IT56" s="26" t="e">
        <f>IF(IT$2=InputTable[[#This Row],[Delivery Date]],_xlfn.XLOOKUP(IT$1,$BH$2:$BR$2,$BH56:$BR56,0),0)</f>
        <v>#REF!</v>
      </c>
      <c r="IU56" s="26">
        <f>IF(IU$2=InputTable[[#This Row],[Delivery Date]],_xlfn.XLOOKUP(IU$1,$BH$2:$BR$2,$BH56:$BR56,0),0)</f>
        <v>0</v>
      </c>
      <c r="IV56" s="26">
        <f>IF(IV$2=InputTable[[#This Row],[Delivery Date]],_xlfn.XLOOKUP(IV$1,$BH$2:$BR$2,$BH56:$BR56,0),0)</f>
        <v>0</v>
      </c>
      <c r="IW56" s="26">
        <f>IF(IW$2=InputTable[[#This Row],[Delivery Date]],_xlfn.XLOOKUP(IW$1,$BH$2:$BR$2,$BH56:$BR56,0),0)</f>
        <v>0</v>
      </c>
      <c r="IX56" s="26">
        <f>IF(IX$2=InputTable[[#This Row],[Delivery Date]],_xlfn.XLOOKUP(IX$1,$BH$2:$BR$2,$BH56:$BR56,0),0)</f>
        <v>0</v>
      </c>
      <c r="IY56" s="26">
        <f>IF(IY$2=InputTable[[#This Row],[Delivery Date]],_xlfn.XLOOKUP(IY$1,$BH$2:$BR$2,$BH56:$BR56,0),0)</f>
        <v>0</v>
      </c>
      <c r="IZ56" s="26">
        <f>IF(IZ$2=InputTable[[#This Row],[Delivery Date]],_xlfn.XLOOKUP(IZ$1,$BH$2:$BR$2,$BH56:$BR56,0),0)</f>
        <v>0</v>
      </c>
      <c r="JA56" s="26">
        <f>IF(JA$2=InputTable[[#This Row],[Delivery Date]],_xlfn.XLOOKUP(JA$1,$BH$2:$BR$2,$BH56:$BR56,0),0)</f>
        <v>0</v>
      </c>
      <c r="JB56" s="26">
        <f>IF(JB$2=InputTable[[#This Row],[Delivery Date]],_xlfn.XLOOKUP(JB$1,$BH$2:$BR$2,$BH56:$BR56,0),0)</f>
        <v>0</v>
      </c>
      <c r="JD56" s="26" t="e">
        <f>IF(JD$2=InputTable[[#This Row],[Delivery Date]],_xlfn.XLOOKUP(JD$1,$BH$2:$BR$2,$BH56:$BR56,0),0)</f>
        <v>#REF!</v>
      </c>
      <c r="JE56" s="26">
        <f>IF(JE$2=InputTable[[#This Row],[Delivery Date]],_xlfn.XLOOKUP(JE$1,$BH$2:$BR$2,$BH56:$BR56,0),0)</f>
        <v>0</v>
      </c>
      <c r="JF56" s="26">
        <f>IF(JF$2=InputTable[[#This Row],[Delivery Date]],_xlfn.XLOOKUP(JF$1,$BH$2:$BR$2,$BH56:$BR56,0),0)</f>
        <v>0</v>
      </c>
      <c r="JG56" s="26">
        <f>IF(JG$2=InputTable[[#This Row],[Delivery Date]],_xlfn.XLOOKUP(JG$1,$BH$2:$BR$2,$BH56:$BR56,0),0)</f>
        <v>0</v>
      </c>
      <c r="JH56" s="26">
        <f>IF(JH$2=InputTable[[#This Row],[Delivery Date]],_xlfn.XLOOKUP(JH$1,$BH$2:$BR$2,$BH56:$BR56,0),0)</f>
        <v>0</v>
      </c>
      <c r="JI56" s="26">
        <f>IF(JI$2=InputTable[[#This Row],[Delivery Date]],_xlfn.XLOOKUP(JI$1,$BH$2:$BR$2,$BH56:$BR56,0),0)</f>
        <v>0</v>
      </c>
      <c r="JJ56" s="26">
        <f>IF(JJ$2=InputTable[[#This Row],[Delivery Date]],_xlfn.XLOOKUP(JJ$1,$BH$2:$BR$2,$BH56:$BR56,0),0)</f>
        <v>0</v>
      </c>
      <c r="JK56" s="26">
        <f>IF(JK$2=InputTable[[#This Row],[Delivery Date]],_xlfn.XLOOKUP(JK$1,$BH$2:$BR$2,$BH56:$BR56,0),0)</f>
        <v>0</v>
      </c>
      <c r="JL56" s="26">
        <f>IF(JL$2=InputTable[[#This Row],[Delivery Date]],_xlfn.XLOOKUP(JL$1,$BH$2:$BR$2,$BH56:$BR56,0),0)</f>
        <v>0</v>
      </c>
      <c r="JN56" s="26" t="e">
        <f>IF(JN$2=InputTable[[#This Row],[Delivery Date]],_xlfn.XLOOKUP(JN$1,$BH$2:$BR$2,$BH56:$BR56,0),0)</f>
        <v>#REF!</v>
      </c>
      <c r="JO56" s="26">
        <f>IF(JO$2=InputTable[[#This Row],[Delivery Date]],_xlfn.XLOOKUP(JO$1,$BH$2:$BR$2,$BH56:$BR56,0),0)</f>
        <v>0</v>
      </c>
      <c r="JP56" s="26">
        <f>IF(JP$2=InputTable[[#This Row],[Delivery Date]],_xlfn.XLOOKUP(JP$1,$BH$2:$BR$2,$BH56:$BR56,0),0)</f>
        <v>0</v>
      </c>
      <c r="JQ56" s="26">
        <f>IF(JQ$2=InputTable[[#This Row],[Delivery Date]],_xlfn.XLOOKUP(JQ$1,$BH$2:$BR$2,$BH56:$BR56,0),0)</f>
        <v>0</v>
      </c>
      <c r="JR56" s="26">
        <f>IF(JR$2=InputTable[[#This Row],[Delivery Date]],_xlfn.XLOOKUP(JR$1,$BH$2:$BR$2,$BH56:$BR56,0),0)</f>
        <v>0</v>
      </c>
      <c r="JS56" s="26">
        <f>IF(JS$2=InputTable[[#This Row],[Delivery Date]],_xlfn.XLOOKUP(JS$1,$BH$2:$BR$2,$BH56:$BR56,0),0)</f>
        <v>0</v>
      </c>
      <c r="JT56" s="26">
        <f>IF(JT$2=InputTable[[#This Row],[Delivery Date]],_xlfn.XLOOKUP(JT$1,$BH$2:$BR$2,$BH56:$BR56,0),0)</f>
        <v>0</v>
      </c>
      <c r="JU56" s="26">
        <f>IF(JU$2=InputTable[[#This Row],[Delivery Date]],_xlfn.XLOOKUP(JU$1,$BH$2:$BR$2,$BH56:$BR56,0),0)</f>
        <v>0</v>
      </c>
      <c r="JV56" s="26">
        <f>IF(JV$2=InputTable[[#This Row],[Delivery Date]],_xlfn.XLOOKUP(JV$1,$BH$2:$BR$2,$BH56:$BR56,0),0)</f>
        <v>0</v>
      </c>
      <c r="JX56" s="26" t="e">
        <f>IF(JX$2=InputTable[[#This Row],[Delivery Date]],_xlfn.XLOOKUP(JX$1,$BH$2:$BR$2,$BH56:$BR56,0),0)</f>
        <v>#REF!</v>
      </c>
      <c r="JY56" s="26">
        <f>IF(JY$2=InputTable[[#This Row],[Delivery Date]],_xlfn.XLOOKUP(JY$1,$BH$2:$BR$2,$BH56:$BR56,0),0)</f>
        <v>0</v>
      </c>
      <c r="JZ56" s="26">
        <f>IF(JZ$2=InputTable[[#This Row],[Delivery Date]],_xlfn.XLOOKUP(JZ$1,$BH$2:$BR$2,$BH56:$BR56,0),0)</f>
        <v>0</v>
      </c>
      <c r="KA56" s="26">
        <f>IF(KA$2=InputTable[[#This Row],[Delivery Date]],_xlfn.XLOOKUP(KA$1,$BH$2:$BR$2,$BH56:$BR56,0),0)</f>
        <v>0</v>
      </c>
      <c r="KB56" s="26">
        <f>IF(KB$2=InputTable[[#This Row],[Delivery Date]],_xlfn.XLOOKUP(KB$1,$BH$2:$BR$2,$BH56:$BR56,0),0)</f>
        <v>0</v>
      </c>
      <c r="KC56" s="26">
        <f>IF(KC$2=InputTable[[#This Row],[Delivery Date]],_xlfn.XLOOKUP(KC$1,$BH$2:$BR$2,$BH56:$BR56,0),0)</f>
        <v>0</v>
      </c>
      <c r="KD56" s="26">
        <f>IF(KD$2=InputTable[[#This Row],[Delivery Date]],_xlfn.XLOOKUP(KD$1,$BH$2:$BR$2,$BH56:$BR56,0),0)</f>
        <v>0</v>
      </c>
      <c r="KE56" s="26">
        <f>IF(KE$2=InputTable[[#This Row],[Delivery Date]],_xlfn.XLOOKUP(KE$1,$BH$2:$BR$2,$BH56:$BR56,0),0)</f>
        <v>0</v>
      </c>
      <c r="KF56" s="26">
        <f>IF(KF$2=InputTable[[#This Row],[Delivery Date]],_xlfn.XLOOKUP(KF$1,$BH$2:$BR$2,$BH56:$BR56,0),0)</f>
        <v>0</v>
      </c>
    </row>
    <row r="57" spans="1:294" ht="39.6" customHeight="1" x14ac:dyDescent="0.25">
      <c r="A57" s="141" t="s">
        <v>162</v>
      </c>
      <c r="B57" s="141" t="s">
        <v>156</v>
      </c>
      <c r="C57" s="92" t="s">
        <v>59</v>
      </c>
      <c r="D57" s="125" t="s">
        <v>288</v>
      </c>
      <c r="E57" s="193" t="s">
        <v>289</v>
      </c>
      <c r="F57" s="92" t="s">
        <v>96</v>
      </c>
      <c r="G57" s="92" t="s">
        <v>98</v>
      </c>
      <c r="H57" s="92" t="s">
        <v>139</v>
      </c>
      <c r="I57" s="92">
        <v>2026</v>
      </c>
      <c r="J57" s="125" t="s">
        <v>290</v>
      </c>
      <c r="K57" s="95" t="e">
        <f>VLOOKUP((InputTable[[#This Row],[Starting Date]]&amp; " - " &amp;InputTable[[#This Row],[Delivery Date]]),'System List'!$F$40:$H$83,2,FALSE)</f>
        <v>#N/A</v>
      </c>
      <c r="L57" s="95" t="e">
        <f>VLOOKUP(InputTable[[#This Row],[Duration]],Duration,2,FALSE)</f>
        <v>#N/A</v>
      </c>
      <c r="M57" s="142"/>
      <c r="N57" s="92"/>
      <c r="O57" s="92"/>
      <c r="P57" s="92"/>
      <c r="Q57" s="92"/>
      <c r="R57" s="92" t="s">
        <v>139</v>
      </c>
      <c r="S57" s="92"/>
      <c r="T57" s="95" cm="1">
        <f t="array" ref="T5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</v>
      </c>
      <c r="U57" s="138"/>
      <c r="V57" s="92"/>
      <c r="W57" s="92"/>
      <c r="X57" s="92"/>
      <c r="Y57" s="92" t="s">
        <v>100</v>
      </c>
      <c r="Z57" s="92"/>
      <c r="AA57" s="92"/>
      <c r="AB57" s="92"/>
      <c r="AC57" s="92"/>
      <c r="AD57" s="92">
        <f>COUNTA(InputTable[[#This Row],[CORPHRFIN]:[SALES]])</f>
        <v>1</v>
      </c>
      <c r="AE57" s="88" cm="1">
        <f t="array" ref="AE57">SUM(
_xlfn.XLOOKUP(InputTable[[#This Row],[CORPHRFIN]:[SALES]],'System List'!$F$4:$F$7,'System List'!$H$4:$H$7,0))</f>
        <v>13</v>
      </c>
      <c r="AF57" s="140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88" cm="1">
        <f t="array" ref="AR57">SUM(
_xlfn.XLOOKUP(InputTable[[#This Row],[Impact on - CIAL]:[Impact on - STRAT]],'System List'!$F$4:$F$7,'System List'!$H$4:$H$7,0))</f>
        <v>0</v>
      </c>
      <c r="AS57" s="88" t="e">
        <f>VLOOKUP(InputTable[[#This Row],[Duration]],Duration,2,FALSE)+InputTable[[#This Row],[Resource Score]]</f>
        <v>#N/A</v>
      </c>
      <c r="AT5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7" s="24" t="e">
        <f>InputTable[[#This Row],[Value Score]]/InputTable[[#This Row],[EFFORT SCORE]]*100</f>
        <v>#N/A</v>
      </c>
      <c r="AV57" s="25" t="str">
        <f>InputTable[[#This Row],[IS Portfolio Ref ID]]</f>
        <v>ISPRJ-52</v>
      </c>
      <c r="AW57" s="25" t="s">
        <v>222</v>
      </c>
      <c r="AX57" s="208" t="s">
        <v>154</v>
      </c>
      <c r="AY57" s="25"/>
      <c r="AZ57" s="209">
        <v>0</v>
      </c>
      <c r="BA57" s="209"/>
      <c r="BB57" s="209"/>
      <c r="BC57" s="189">
        <v>98000</v>
      </c>
      <c r="BD57" s="188">
        <v>1</v>
      </c>
      <c r="BE57" s="188">
        <v>3</v>
      </c>
      <c r="BF57" s="70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T57" s="2"/>
      <c r="BU57" s="2"/>
      <c r="BV57" s="2"/>
      <c r="BW57" s="2"/>
      <c r="BX57" s="2"/>
      <c r="BY57" s="2"/>
      <c r="BZ57" s="2"/>
      <c r="CA57" s="2"/>
      <c r="CC57" s="2"/>
      <c r="CD57" s="2"/>
      <c r="CE57" s="2"/>
      <c r="CF57" s="2"/>
      <c r="CG57" s="2"/>
      <c r="CH57" s="2"/>
      <c r="CI57" s="2"/>
      <c r="CJ57" s="2"/>
      <c r="CK57" s="2"/>
      <c r="CN57" s="2"/>
      <c r="CO57" s="2"/>
      <c r="CP57" s="2"/>
      <c r="CQ57" s="2"/>
      <c r="CR57" s="2"/>
      <c r="CS57" s="2"/>
      <c r="CT57" s="2"/>
      <c r="CU57" s="2"/>
      <c r="CV57" s="2"/>
      <c r="CX57" s="26"/>
      <c r="CY57" s="26"/>
      <c r="CZ57" s="26"/>
      <c r="DA57" s="26"/>
      <c r="DB57" s="26"/>
      <c r="DC57" s="26"/>
      <c r="DD57" s="26"/>
      <c r="DE57" s="26"/>
      <c r="DF57" s="26"/>
      <c r="DH57" s="26"/>
      <c r="DI57" s="26"/>
      <c r="DJ57" s="26"/>
      <c r="DK57" s="26"/>
      <c r="DL57" s="26"/>
      <c r="DM57" s="26"/>
      <c r="DN57" s="26"/>
      <c r="DO57" s="26"/>
      <c r="DP57" s="26"/>
      <c r="DR57" s="26"/>
      <c r="DS57" s="26"/>
      <c r="DT57" s="26"/>
      <c r="DU57" s="26"/>
      <c r="DV57" s="26"/>
      <c r="DW57" s="26"/>
      <c r="DX57" s="26"/>
      <c r="DY57" s="26"/>
      <c r="DZ57" s="26"/>
      <c r="EB57" s="26"/>
      <c r="EC57" s="26"/>
      <c r="ED57" s="26"/>
      <c r="EE57" s="26"/>
      <c r="EF57" s="26"/>
      <c r="EG57" s="26"/>
      <c r="EH57" s="26"/>
      <c r="EI57" s="26"/>
      <c r="EJ57" s="26"/>
      <c r="EL57" s="26"/>
      <c r="EM57" s="26"/>
      <c r="EN57" s="26"/>
      <c r="EO57" s="26"/>
      <c r="EP57" s="26"/>
      <c r="EQ57" s="26"/>
      <c r="ER57" s="26"/>
      <c r="ES57" s="26"/>
      <c r="ET57" s="26"/>
      <c r="EV57" s="26"/>
      <c r="EW57" s="26"/>
      <c r="EX57" s="26"/>
      <c r="EY57" s="26"/>
      <c r="EZ57" s="26"/>
      <c r="FA57" s="26"/>
      <c r="FB57" s="26"/>
      <c r="FC57" s="26"/>
      <c r="FD57" s="26"/>
      <c r="FF57" s="26"/>
      <c r="FG57" s="26"/>
      <c r="FH57" s="26"/>
      <c r="FI57" s="26"/>
      <c r="FJ57" s="26"/>
      <c r="FK57" s="26"/>
      <c r="FL57" s="26"/>
      <c r="FM57" s="26"/>
      <c r="FN57" s="26"/>
      <c r="FP57" s="26"/>
      <c r="FQ57" s="26"/>
      <c r="FR57" s="26"/>
      <c r="FS57" s="26"/>
      <c r="FT57" s="26"/>
      <c r="FU57" s="26"/>
      <c r="FV57" s="26"/>
      <c r="FW57" s="26"/>
      <c r="FX57" s="26"/>
      <c r="GB57" s="26"/>
      <c r="GC57" s="26"/>
      <c r="GD57" s="26"/>
      <c r="GE57" s="26"/>
      <c r="GF57" s="26"/>
      <c r="GG57" s="26"/>
      <c r="GH57" s="26"/>
      <c r="GI57" s="26"/>
      <c r="GJ57" s="26"/>
      <c r="GL57" s="26"/>
      <c r="GM57" s="26"/>
      <c r="GN57" s="26"/>
      <c r="GO57" s="26"/>
      <c r="GP57" s="26"/>
      <c r="GQ57" s="26"/>
      <c r="GR57" s="26"/>
      <c r="GS57" s="26"/>
      <c r="GT57" s="26"/>
      <c r="GV57" s="26"/>
      <c r="GW57" s="26"/>
      <c r="GX57" s="26"/>
      <c r="GY57" s="26"/>
      <c r="GZ57" s="26"/>
      <c r="HA57" s="26"/>
      <c r="HB57" s="26"/>
      <c r="HC57" s="26"/>
      <c r="HD57" s="26"/>
      <c r="HF57" s="26"/>
      <c r="HG57" s="26"/>
      <c r="HH57" s="26"/>
      <c r="HI57" s="26"/>
      <c r="HJ57" s="26"/>
      <c r="HK57" s="26"/>
      <c r="HL57" s="26"/>
      <c r="HM57" s="26"/>
      <c r="HN57" s="26"/>
      <c r="HP57" s="26"/>
      <c r="HQ57" s="26"/>
      <c r="HR57" s="26"/>
      <c r="HS57" s="26"/>
      <c r="HT57" s="26"/>
      <c r="HU57" s="26"/>
      <c r="HV57" s="26"/>
      <c r="HW57" s="26"/>
      <c r="HX57" s="26"/>
      <c r="HZ57" s="26"/>
      <c r="IA57" s="26"/>
      <c r="IB57" s="26"/>
      <c r="IC57" s="26"/>
      <c r="ID57" s="26"/>
      <c r="IE57" s="26"/>
      <c r="IF57" s="26"/>
      <c r="IG57" s="26"/>
      <c r="IH57" s="26"/>
      <c r="IJ57" s="26"/>
      <c r="IK57" s="26"/>
      <c r="IL57" s="26"/>
      <c r="IM57" s="26"/>
      <c r="IN57" s="26"/>
      <c r="IO57" s="26"/>
      <c r="IP57" s="26"/>
      <c r="IQ57" s="26"/>
      <c r="IR57" s="26"/>
      <c r="IT57" s="26"/>
      <c r="IU57" s="26"/>
      <c r="IV57" s="26"/>
      <c r="IW57" s="26"/>
      <c r="IX57" s="26"/>
      <c r="IY57" s="26"/>
      <c r="IZ57" s="26"/>
      <c r="JA57" s="26"/>
      <c r="JB57" s="26"/>
      <c r="JD57" s="26"/>
      <c r="JE57" s="26"/>
      <c r="JF57" s="26"/>
      <c r="JG57" s="26"/>
      <c r="JH57" s="26"/>
      <c r="JI57" s="26"/>
      <c r="JJ57" s="26"/>
      <c r="JK57" s="26"/>
      <c r="JL57" s="26"/>
      <c r="JN57" s="26"/>
      <c r="JO57" s="26"/>
      <c r="JP57" s="26"/>
      <c r="JQ57" s="26"/>
      <c r="JR57" s="26"/>
      <c r="JS57" s="26"/>
      <c r="JT57" s="26"/>
      <c r="JU57" s="26"/>
      <c r="JV57" s="26"/>
      <c r="JX57" s="26"/>
      <c r="JY57" s="26"/>
      <c r="JZ57" s="26"/>
      <c r="KA57" s="26"/>
      <c r="KB57" s="26"/>
      <c r="KC57" s="26"/>
      <c r="KD57" s="26"/>
      <c r="KE57" s="26"/>
      <c r="KF57" s="26"/>
    </row>
    <row r="58" spans="1:294" ht="39.6" hidden="1" customHeight="1" x14ac:dyDescent="0.25">
      <c r="A58" s="141" t="s">
        <v>142</v>
      </c>
      <c r="B58" s="141" t="s">
        <v>156</v>
      </c>
      <c r="C58" s="92" t="s">
        <v>57</v>
      </c>
      <c r="D58" s="125" t="s">
        <v>291</v>
      </c>
      <c r="E58" s="142" t="s">
        <v>292</v>
      </c>
      <c r="F58" s="98" t="s">
        <v>61</v>
      </c>
      <c r="G58" s="114" t="s">
        <v>160</v>
      </c>
      <c r="H58" s="102" t="s">
        <v>100</v>
      </c>
      <c r="I58" s="98" t="s">
        <v>137</v>
      </c>
      <c r="J58" s="125"/>
      <c r="K58" s="95" t="e">
        <f>VLOOKUP((InputTable[[#This Row],[Starting Date]]&amp; " - " &amp;InputTable[[#This Row],[Delivery Date]]),'System List'!$F$40:$H$83,2,FALSE)</f>
        <v>#N/A</v>
      </c>
      <c r="L58" s="95" t="e">
        <f>VLOOKUP(InputTable[[#This Row],[Duration]],Duration,2,FALSE)</f>
        <v>#N/A</v>
      </c>
      <c r="M58" s="126"/>
      <c r="N58" s="98"/>
      <c r="O58" s="98" t="s">
        <v>111</v>
      </c>
      <c r="P58" s="98" t="s">
        <v>111</v>
      </c>
      <c r="Q58" s="98" t="s">
        <v>111</v>
      </c>
      <c r="R58" s="98"/>
      <c r="S58" s="92"/>
      <c r="T58" s="95" cm="1">
        <f t="array" ref="T5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58" s="138"/>
      <c r="V58" s="98"/>
      <c r="W58" s="98" t="s">
        <v>111</v>
      </c>
      <c r="X58" s="98"/>
      <c r="Y58" s="98"/>
      <c r="Z58" s="98"/>
      <c r="AA58" s="100"/>
      <c r="AB58" s="100"/>
      <c r="AC58" s="98"/>
      <c r="AD58" s="92">
        <f>COUNTA(InputTable[[#This Row],[CORPHRFIN]:[SALES]])</f>
        <v>1</v>
      </c>
      <c r="AE58" s="88" cm="1">
        <f t="array" ref="AE58">SUM(
_xlfn.XLOOKUP(InputTable[[#This Row],[CORPHRFIN]:[SALES]],'System List'!$F$4:$F$7,'System List'!$H$4:$H$7,0))</f>
        <v>5</v>
      </c>
      <c r="AF58" s="140"/>
      <c r="AG58" s="101"/>
      <c r="AH58" s="101"/>
      <c r="AI58" s="101"/>
      <c r="AJ58" s="101"/>
      <c r="AK58" s="101"/>
      <c r="AL58" s="101"/>
      <c r="AM58" s="101" t="s">
        <v>111</v>
      </c>
      <c r="AN58" s="101"/>
      <c r="AO58" s="101"/>
      <c r="AP58" s="101"/>
      <c r="AQ58" s="101"/>
      <c r="AR58" s="88" cm="1">
        <f t="array" ref="AR58">SUM(
_xlfn.XLOOKUP(InputTable[[#This Row],[Impact on - CIAL]:[Impact on - STRAT]],'System List'!$F$4:$F$7,'System List'!$H$4:$H$7,0))</f>
        <v>5</v>
      </c>
      <c r="AS58" s="88" t="e">
        <f>VLOOKUP(InputTable[[#This Row],[Duration]],Duration,2,FALSE)+InputTable[[#This Row],[Resource Score]]</f>
        <v>#N/A</v>
      </c>
      <c r="AT5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8" s="24" t="e">
        <f>InputTable[[#This Row],[Value Score]]/InputTable[[#This Row],[EFFORT SCORE]]*100</f>
        <v>#N/A</v>
      </c>
      <c r="AV58" s="25" t="str">
        <f>InputTable[[#This Row],[IS Portfolio Ref ID]]</f>
        <v>ISPRJ-46</v>
      </c>
      <c r="AW58" s="25" t="s">
        <v>203</v>
      </c>
      <c r="AX58" s="208" t="s">
        <v>154</v>
      </c>
      <c r="AY58" s="25"/>
      <c r="AZ58" s="209">
        <v>0</v>
      </c>
      <c r="BA58" s="209">
        <v>120000</v>
      </c>
      <c r="BB58" s="209"/>
      <c r="BC58" s="189">
        <f>SUM(InputTable[[#This Row],[Opex IS Budget (full project)]]+InputTable[[#This Row],[Capex IS Budget (full project)]])</f>
        <v>120000</v>
      </c>
      <c r="BD58" s="200">
        <v>1</v>
      </c>
      <c r="BE58" s="200"/>
      <c r="BF58" s="70"/>
      <c r="BH58" s="2">
        <f>IFERROR(VLOOKUP(InputTable[[#This Row],[Impact on - CIAL]],'System List'!$F$4:$H$7,3,FALSE),0)</f>
        <v>0</v>
      </c>
      <c r="BI58" s="2">
        <f>IFERROR(VLOOKUP(InputTable[[#This Row],[Impact on - COM]],'System List'!$F$4:$H$7,3,FALSE),0)</f>
        <v>0</v>
      </c>
      <c r="BJ58" s="2">
        <f>IFERROR(VLOOKUP(InputTable[[#This Row],[Impact on - FIN]],'System List'!$F$4:$H$7,3,FALSE),0)</f>
        <v>0</v>
      </c>
      <c r="BK58" s="2">
        <f>IFERROR(VLOOKUP(InputTable[[#This Row],[Impact on - GEN SEC]],'System List'!$F$4:$H$7,3,FALSE),0)</f>
        <v>0</v>
      </c>
      <c r="BL58" s="2">
        <f>IFERROR(VLOOKUP(InputTable[[#This Row],[Impact on - HR]],'System List'!$F$4:$H$7,3,FALSE),0)</f>
        <v>0</v>
      </c>
      <c r="BM58" s="2">
        <f>IFERROR(VLOOKUP(InputTable[[#This Row],[Impact on - IS]],'System List'!$F$4:$H$7,3,FALSE),0)</f>
        <v>0</v>
      </c>
      <c r="BN58" s="2">
        <f>IFERROR(VLOOKUP(InputTable[[#This Row],[Impact on - OPS]],'System List'!$F$4:$H$7,3,FALSE),0)</f>
        <v>5</v>
      </c>
      <c r="BO58" s="2">
        <f>IFERROR(VLOOKUP(InputTable[[#This Row],[Impact on - ROLL STOCK]],'System List'!$F$4:$H$7,3,FALSE),0)</f>
        <v>0</v>
      </c>
      <c r="BP58" s="2">
        <f>IFERROR(VLOOKUP(InputTable[[#This Row],[Impact on - SAFETY]],'System List'!$F$4:$H$7,3,FALSE),0)</f>
        <v>0</v>
      </c>
      <c r="BQ58" s="2">
        <f>IFERROR(VLOOKUP(InputTable[[#This Row],[Impact on - STATION]],'System List'!$F$4:$H$7,3,FALSE),0)</f>
        <v>0</v>
      </c>
      <c r="BR58" s="2">
        <f>IFERROR(VLOOKUP(InputTable[[#This Row],[Impact on - STRAT]],'System List'!$F$4:$H$7,3,FALSE),0)</f>
        <v>0</v>
      </c>
      <c r="BT58" s="2">
        <f>IFERROR(VLOOKUP(InputTable[[#This Row],[CORPHRFIN]],'System List'!$F$4:$H$7,3,FALSE),0)</f>
        <v>0</v>
      </c>
      <c r="BU58" s="2">
        <f>IFERROR(VLOOKUP(InputTable[[#This Row],[CUST]],'System List'!$F$4:$H$7,3,FALSE),0)</f>
        <v>5</v>
      </c>
      <c r="BV58" s="2">
        <f>IFERROR(VLOOKUP(InputTable[[#This Row],[CYBER]],'System List'!$F$4:$H$7,3,FALSE),0)</f>
        <v>0</v>
      </c>
      <c r="BW58" s="2">
        <f>IFERROR(VLOOKUP(InputTable[[#This Row],[DATA]],'System List'!$F$4:$H$7,3,FALSE),0)</f>
        <v>0</v>
      </c>
      <c r="BX58" s="2">
        <f>IFERROR(VLOOKUP(InputTable[[#This Row],[INFRA]],'System List'!$F$4:$H$7,3,FALSE),0)</f>
        <v>0</v>
      </c>
      <c r="BY58" s="2">
        <f>IFERROR(VLOOKUP(InputTable[[#This Row],[OPERATIONS]],'System List'!$F$4:$H$7,3,FALSE),0)</f>
        <v>0</v>
      </c>
      <c r="BZ58" s="2">
        <f>IFERROR(VLOOKUP(InputTable[[#This Row],[PMO]],'System List'!$F$4:$H$7,3,FALSE),0)</f>
        <v>0</v>
      </c>
      <c r="CA58" s="2">
        <f>IFERROR(VLOOKUP(InputTable[[#This Row],[SALES]],'System List'!$F$4:$H$7,3,FALSE),0)</f>
        <v>0</v>
      </c>
      <c r="CC58" s="2" cm="1">
        <f t="array" ref="CC5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8" s="2" cm="1">
        <f t="array" ref="CD5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8" s="2" cm="1">
        <f t="array" ref="CE5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8" s="2" cm="1">
        <f t="array" ref="CF5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8" s="2" cm="1">
        <f t="array" ref="CG5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8" s="2" cm="1">
        <f t="array" ref="CH5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8" s="2" cm="1">
        <f t="array" ref="CI5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8" s="2" cm="1">
        <f t="array" ref="CJ5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8" s="2" cm="1">
        <f t="array" ref="CK5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5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5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5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8" s="26">
        <f t="shared" si="151"/>
        <v>0</v>
      </c>
      <c r="CY58" s="26">
        <f t="shared" si="152"/>
        <v>0</v>
      </c>
      <c r="CZ58" s="26">
        <f t="shared" si="153"/>
        <v>0</v>
      </c>
      <c r="DA58" s="26">
        <f t="shared" si="154"/>
        <v>0</v>
      </c>
      <c r="DB58" s="26">
        <f t="shared" si="155"/>
        <v>0</v>
      </c>
      <c r="DC58" s="26">
        <f t="shared" si="156"/>
        <v>0</v>
      </c>
      <c r="DD58" s="26">
        <f t="shared" si="157"/>
        <v>0</v>
      </c>
      <c r="DE58" s="26">
        <f t="shared" si="158"/>
        <v>0</v>
      </c>
      <c r="DF58" s="26">
        <f t="shared" si="159"/>
        <v>0</v>
      </c>
      <c r="DH58" s="26">
        <f t="shared" si="160"/>
        <v>0</v>
      </c>
      <c r="DI58" s="26">
        <f t="shared" si="161"/>
        <v>0</v>
      </c>
      <c r="DJ58" s="26">
        <f t="shared" si="162"/>
        <v>0</v>
      </c>
      <c r="DK58" s="26">
        <f t="shared" si="163"/>
        <v>5</v>
      </c>
      <c r="DL58" s="26">
        <f t="shared" si="164"/>
        <v>5</v>
      </c>
      <c r="DM58" s="26">
        <f t="shared" si="165"/>
        <v>0</v>
      </c>
      <c r="DN58" s="26">
        <f t="shared" si="166"/>
        <v>0</v>
      </c>
      <c r="DO58" s="26">
        <f t="shared" si="167"/>
        <v>0</v>
      </c>
      <c r="DP58" s="26">
        <f t="shared" si="168"/>
        <v>0</v>
      </c>
      <c r="DR58" s="26">
        <f t="shared" si="169"/>
        <v>0</v>
      </c>
      <c r="DS58" s="26">
        <f t="shared" si="170"/>
        <v>0</v>
      </c>
      <c r="DT58" s="26">
        <f t="shared" si="171"/>
        <v>0</v>
      </c>
      <c r="DU58" s="26">
        <f t="shared" si="172"/>
        <v>0</v>
      </c>
      <c r="DV58" s="26">
        <f t="shared" si="173"/>
        <v>0</v>
      </c>
      <c r="DW58" s="26">
        <f t="shared" si="174"/>
        <v>0</v>
      </c>
      <c r="DX58" s="26">
        <f t="shared" si="175"/>
        <v>0</v>
      </c>
      <c r="DY58" s="26">
        <f t="shared" si="176"/>
        <v>0</v>
      </c>
      <c r="DZ58" s="26">
        <f t="shared" si="177"/>
        <v>0</v>
      </c>
      <c r="EB58" s="26">
        <f t="shared" si="178"/>
        <v>0</v>
      </c>
      <c r="EC58" s="26">
        <f t="shared" si="179"/>
        <v>0</v>
      </c>
      <c r="ED58" s="26">
        <f t="shared" si="180"/>
        <v>0</v>
      </c>
      <c r="EE58" s="26">
        <f t="shared" si="181"/>
        <v>0</v>
      </c>
      <c r="EF58" s="26">
        <f t="shared" si="182"/>
        <v>0</v>
      </c>
      <c r="EG58" s="26">
        <f t="shared" si="183"/>
        <v>0</v>
      </c>
      <c r="EH58" s="26">
        <f t="shared" si="184"/>
        <v>0</v>
      </c>
      <c r="EI58" s="26">
        <f t="shared" si="185"/>
        <v>0</v>
      </c>
      <c r="EJ58" s="26">
        <f t="shared" si="186"/>
        <v>0</v>
      </c>
      <c r="EL58" s="26">
        <f t="shared" si="187"/>
        <v>0</v>
      </c>
      <c r="EM58" s="26">
        <f t="shared" si="188"/>
        <v>0</v>
      </c>
      <c r="EN58" s="26">
        <f t="shared" si="189"/>
        <v>0</v>
      </c>
      <c r="EO58" s="26">
        <f t="shared" si="190"/>
        <v>0</v>
      </c>
      <c r="EP58" s="26">
        <f t="shared" si="191"/>
        <v>0</v>
      </c>
      <c r="EQ58" s="26">
        <f t="shared" si="192"/>
        <v>0</v>
      </c>
      <c r="ER58" s="26">
        <f t="shared" si="193"/>
        <v>0</v>
      </c>
      <c r="ES58" s="26">
        <f t="shared" si="194"/>
        <v>0</v>
      </c>
      <c r="ET58" s="26">
        <f t="shared" si="195"/>
        <v>0</v>
      </c>
      <c r="EV58" s="26">
        <f t="shared" si="196"/>
        <v>0</v>
      </c>
      <c r="EW58" s="26">
        <f t="shared" si="197"/>
        <v>0</v>
      </c>
      <c r="EX58" s="26">
        <f t="shared" si="198"/>
        <v>0</v>
      </c>
      <c r="EY58" s="26">
        <f t="shared" si="199"/>
        <v>0</v>
      </c>
      <c r="EZ58" s="26">
        <f t="shared" si="200"/>
        <v>0</v>
      </c>
      <c r="FA58" s="26">
        <f t="shared" si="201"/>
        <v>0</v>
      </c>
      <c r="FB58" s="26">
        <f t="shared" si="202"/>
        <v>0</v>
      </c>
      <c r="FC58" s="26">
        <f t="shared" si="203"/>
        <v>0</v>
      </c>
      <c r="FD58" s="26">
        <f t="shared" si="204"/>
        <v>0</v>
      </c>
      <c r="FF58" s="26">
        <f t="shared" si="205"/>
        <v>0</v>
      </c>
      <c r="FG58" s="26">
        <f t="shared" si="206"/>
        <v>0</v>
      </c>
      <c r="FH58" s="26">
        <f t="shared" si="207"/>
        <v>0</v>
      </c>
      <c r="FI58" s="26">
        <f t="shared" si="208"/>
        <v>0</v>
      </c>
      <c r="FJ58" s="26">
        <f t="shared" si="209"/>
        <v>0</v>
      </c>
      <c r="FK58" s="26">
        <f t="shared" si="210"/>
        <v>0</v>
      </c>
      <c r="FL58" s="26">
        <f t="shared" si="211"/>
        <v>0</v>
      </c>
      <c r="FM58" s="26">
        <f t="shared" si="212"/>
        <v>0</v>
      </c>
      <c r="FN58" s="26">
        <f t="shared" si="213"/>
        <v>0</v>
      </c>
      <c r="FP58" s="26" t="e">
        <f t="shared" si="214"/>
        <v>#REF!</v>
      </c>
      <c r="FQ58" s="26" t="e">
        <f t="shared" si="215"/>
        <v>#REF!</v>
      </c>
      <c r="FR58" s="26" t="e">
        <f t="shared" si="216"/>
        <v>#REF!</v>
      </c>
      <c r="FS58" s="26" t="e">
        <f t="shared" si="217"/>
        <v>#REF!</v>
      </c>
      <c r="FT58" s="26" t="e">
        <f t="shared" si="218"/>
        <v>#REF!</v>
      </c>
      <c r="FU58" s="26" t="e">
        <f t="shared" si="219"/>
        <v>#REF!</v>
      </c>
      <c r="FV58" s="26" t="e">
        <f t="shared" si="220"/>
        <v>#REF!</v>
      </c>
      <c r="FW58" s="26" t="e">
        <f t="shared" si="221"/>
        <v>#REF!</v>
      </c>
      <c r="FX58" s="26" t="e">
        <f t="shared" si="222"/>
        <v>#REF!</v>
      </c>
      <c r="GB58" s="26" t="e">
        <f>IF(GB$2=InputTable[[#This Row],[Delivery Date]],_xlfn.XLOOKUP(GB$1,$BH$2:$BR$2,$BH58:$BR58,0),0)</f>
        <v>#REF!</v>
      </c>
      <c r="GC58" s="26">
        <f>IF(GC$2=InputTable[[#This Row],[Delivery Date]],_xlfn.XLOOKUP(GC$1,$BH$2:$BR$2,$BH58:$BR58,0),0)</f>
        <v>0</v>
      </c>
      <c r="GD58" s="26">
        <f>IF(GD$2=InputTable[[#This Row],[Delivery Date]],_xlfn.XLOOKUP(GD$1,$BH$2:$BR$2,$BH58:$BR58,0),0)</f>
        <v>0</v>
      </c>
      <c r="GE58" s="26">
        <f>IF(GE$2=InputTable[[#This Row],[Delivery Date]],_xlfn.XLOOKUP(GE$1,$BH$2:$BR$2,$BH58:$BR58,0),0)</f>
        <v>0</v>
      </c>
      <c r="GF58" s="26">
        <f>IF(GF$2=InputTable[[#This Row],[Delivery Date]],_xlfn.XLOOKUP(GF$1,$BH$2:$BR$2,$BH58:$BR58,0),0)</f>
        <v>0</v>
      </c>
      <c r="GG58" s="26">
        <f>IF(GG$2=InputTable[[#This Row],[Delivery Date]],_xlfn.XLOOKUP(GG$1,$BH$2:$BR$2,$BH58:$BR58,0),0)</f>
        <v>0</v>
      </c>
      <c r="GH58" s="26">
        <f>IF(GH$2=InputTable[[#This Row],[Delivery Date]],_xlfn.XLOOKUP(GH$1,$BH$2:$BR$2,$BH58:$BR58,0),0)</f>
        <v>0</v>
      </c>
      <c r="GI58" s="26">
        <f>IF(GI$2=InputTable[[#This Row],[Delivery Date]],_xlfn.XLOOKUP(GI$1,$BH$2:$BR$2,$BH58:$BR58,0),0)</f>
        <v>0</v>
      </c>
      <c r="GJ58" s="26">
        <f>IF(GJ$2=InputTable[[#This Row],[Delivery Date]],_xlfn.XLOOKUP(GJ$1,$BH$2:$BR$2,$BH58:$BR58,0),0)</f>
        <v>0</v>
      </c>
      <c r="GL58" s="26" t="e">
        <f>IF(GL$2=InputTable[[#This Row],[Delivery Date]],_xlfn.XLOOKUP(GL$1,$BH$2:$BR$2,$BH58:$BR58,0),0)</f>
        <v>#REF!</v>
      </c>
      <c r="GM58" s="26">
        <f>IF(GM$2=InputTable[[#This Row],[Delivery Date]],_xlfn.XLOOKUP(GM$1,$BH$2:$BR$2,$BH58:$BR58,0),0)</f>
        <v>0</v>
      </c>
      <c r="GN58" s="26">
        <f>IF(GN$2=InputTable[[#This Row],[Delivery Date]],_xlfn.XLOOKUP(GN$1,$BH$2:$BR$2,$BH58:$BR58,0),0)</f>
        <v>0</v>
      </c>
      <c r="GO58" s="26">
        <f>IF(GO$2=InputTable[[#This Row],[Delivery Date]],_xlfn.XLOOKUP(GO$1,$BH$2:$BR$2,$BH58:$BR58,0),0)</f>
        <v>0</v>
      </c>
      <c r="GP58" s="26">
        <f>IF(GP$2=InputTable[[#This Row],[Delivery Date]],_xlfn.XLOOKUP(GP$1,$BH$2:$BR$2,$BH58:$BR58,0),0)</f>
        <v>0</v>
      </c>
      <c r="GQ58" s="26">
        <f>IF(GQ$2=InputTable[[#This Row],[Delivery Date]],_xlfn.XLOOKUP(GQ$1,$BH$2:$BR$2,$BH58:$BR58,0),0)</f>
        <v>0</v>
      </c>
      <c r="GR58" s="26">
        <f>IF(GR$2=InputTable[[#This Row],[Delivery Date]],_xlfn.XLOOKUP(GR$1,$BH$2:$BR$2,$BH58:$BR58,0),0)</f>
        <v>0</v>
      </c>
      <c r="GS58" s="26">
        <f>IF(GS$2=InputTable[[#This Row],[Delivery Date]],_xlfn.XLOOKUP(GS$1,$BH$2:$BR$2,$BH58:$BR58,0),0)</f>
        <v>0</v>
      </c>
      <c r="GT58" s="26">
        <f>IF(GT$2=InputTable[[#This Row],[Delivery Date]],_xlfn.XLOOKUP(GT$1,$BH$2:$BR$2,$BH58:$BR58,0),0)</f>
        <v>0</v>
      </c>
      <c r="GV58" s="26" t="e">
        <f>IF(GV$2=InputTable[[#This Row],[Delivery Date]],_xlfn.XLOOKUP(GV$1,$BH$2:$BR$2,$BH58:$BR58,0),0)</f>
        <v>#REF!</v>
      </c>
      <c r="GW58" s="26">
        <f>IF(GW$2=InputTable[[#This Row],[Delivery Date]],_xlfn.XLOOKUP(GW$1,$BH$2:$BR$2,$BH58:$BR58,0),0)</f>
        <v>0</v>
      </c>
      <c r="GX58" s="26">
        <f>IF(GX$2=InputTable[[#This Row],[Delivery Date]],_xlfn.XLOOKUP(GX$1,$BH$2:$BR$2,$BH58:$BR58,0),0)</f>
        <v>0</v>
      </c>
      <c r="GY58" s="26">
        <f>IF(GY$2=InputTable[[#This Row],[Delivery Date]],_xlfn.XLOOKUP(GY$1,$BH$2:$BR$2,$BH58:$BR58,0),0)</f>
        <v>0</v>
      </c>
      <c r="GZ58" s="26">
        <f>IF(GZ$2=InputTable[[#This Row],[Delivery Date]],_xlfn.XLOOKUP(GZ$1,$BH$2:$BR$2,$BH58:$BR58,0),0)</f>
        <v>0</v>
      </c>
      <c r="HA58" s="26">
        <f>IF(HA$2=InputTable[[#This Row],[Delivery Date]],_xlfn.XLOOKUP(HA$1,$BH$2:$BR$2,$BH58:$BR58,0),0)</f>
        <v>0</v>
      </c>
      <c r="HB58" s="26">
        <f>IF(HB$2=InputTable[[#This Row],[Delivery Date]],_xlfn.XLOOKUP(HB$1,$BH$2:$BR$2,$BH58:$BR58,0),0)</f>
        <v>0</v>
      </c>
      <c r="HC58" s="26">
        <f>IF(HC$2=InputTable[[#This Row],[Delivery Date]],_xlfn.XLOOKUP(HC$1,$BH$2:$BR$2,$BH58:$BR58,0),0)</f>
        <v>0</v>
      </c>
      <c r="HD58" s="26">
        <f>IF(HD$2=InputTable[[#This Row],[Delivery Date]],_xlfn.XLOOKUP(HD$1,$BH$2:$BR$2,$BH58:$BR58,0),0)</f>
        <v>0</v>
      </c>
      <c r="HF58" s="26" t="e">
        <f>IF(HF$2=InputTable[[#This Row],[Delivery Date]],_xlfn.XLOOKUP(HF$1,$BH$2:$BR$2,$BH58:$BR58,0),0)</f>
        <v>#REF!</v>
      </c>
      <c r="HG58" s="26">
        <f>IF(HG$2=InputTable[[#This Row],[Delivery Date]],_xlfn.XLOOKUP(HG$1,$BH$2:$BR$2,$BH58:$BR58,0),0)</f>
        <v>0</v>
      </c>
      <c r="HH58" s="26">
        <f>IF(HH$2=InputTable[[#This Row],[Delivery Date]],_xlfn.XLOOKUP(HH$1,$BH$2:$BR$2,$BH58:$BR58,0),0)</f>
        <v>0</v>
      </c>
      <c r="HI58" s="26">
        <f>IF(HI$2=InputTable[[#This Row],[Delivery Date]],_xlfn.XLOOKUP(HI$1,$BH$2:$BR$2,$BH58:$BR58,0),0)</f>
        <v>0</v>
      </c>
      <c r="HJ58" s="26">
        <f>IF(HJ$2=InputTable[[#This Row],[Delivery Date]],_xlfn.XLOOKUP(HJ$1,$BH$2:$BR$2,$BH58:$BR58,0),0)</f>
        <v>0</v>
      </c>
      <c r="HK58" s="26">
        <f>IF(HK$2=InputTable[[#This Row],[Delivery Date]],_xlfn.XLOOKUP(HK$1,$BH$2:$BR$2,$BH58:$BR58,0),0)</f>
        <v>0</v>
      </c>
      <c r="HL58" s="26">
        <f>IF(HL$2=InputTable[[#This Row],[Delivery Date]],_xlfn.XLOOKUP(HL$1,$BH$2:$BR$2,$BH58:$BR58,0),0)</f>
        <v>0</v>
      </c>
      <c r="HM58" s="26">
        <f>IF(HM$2=InputTable[[#This Row],[Delivery Date]],_xlfn.XLOOKUP(HM$1,$BH$2:$BR$2,$BH58:$BR58,0),0)</f>
        <v>0</v>
      </c>
      <c r="HN58" s="26">
        <f>IF(HN$2=InputTable[[#This Row],[Delivery Date]],_xlfn.XLOOKUP(HN$1,$BH$2:$BR$2,$BH58:$BR58,0),0)</f>
        <v>0</v>
      </c>
      <c r="HP58" s="26" t="e">
        <f>IF(HP$2=InputTable[[#This Row],[Delivery Date]],_xlfn.XLOOKUP(HP$1,$BH$2:$BR$2,$BH58:$BR58,0),0)</f>
        <v>#REF!</v>
      </c>
      <c r="HQ58" s="26">
        <f>IF(HQ$2=InputTable[[#This Row],[Delivery Date]],_xlfn.XLOOKUP(HQ$1,$BH$2:$BR$2,$BH58:$BR58,0),0)</f>
        <v>0</v>
      </c>
      <c r="HR58" s="26">
        <f>IF(HR$2=InputTable[[#This Row],[Delivery Date]],_xlfn.XLOOKUP(HR$1,$BH$2:$BR$2,$BH58:$BR58,0),0)</f>
        <v>0</v>
      </c>
      <c r="HS58" s="26">
        <f>IF(HS$2=InputTable[[#This Row],[Delivery Date]],_xlfn.XLOOKUP(HS$1,$BH$2:$BR$2,$BH58:$BR58,0),0)</f>
        <v>0</v>
      </c>
      <c r="HT58" s="26">
        <f>IF(HT$2=InputTable[[#This Row],[Delivery Date]],_xlfn.XLOOKUP(HT$1,$BH$2:$BR$2,$BH58:$BR58,0),0)</f>
        <v>0</v>
      </c>
      <c r="HU58" s="26">
        <f>IF(HU$2=InputTable[[#This Row],[Delivery Date]],_xlfn.XLOOKUP(HU$1,$BH$2:$BR$2,$BH58:$BR58,0),0)</f>
        <v>0</v>
      </c>
      <c r="HV58" s="26">
        <f>IF(HV$2=InputTable[[#This Row],[Delivery Date]],_xlfn.XLOOKUP(HV$1,$BH$2:$BR$2,$BH58:$BR58,0),0)</f>
        <v>0</v>
      </c>
      <c r="HW58" s="26">
        <f>IF(HW$2=InputTable[[#This Row],[Delivery Date]],_xlfn.XLOOKUP(HW$1,$BH$2:$BR$2,$BH58:$BR58,0),0)</f>
        <v>0</v>
      </c>
      <c r="HX58" s="26">
        <f>IF(HX$2=InputTable[[#This Row],[Delivery Date]],_xlfn.XLOOKUP(HX$1,$BH$2:$BR$2,$BH58:$BR58,0),0)</f>
        <v>0</v>
      </c>
      <c r="HZ58" s="26" t="e">
        <f>IF(HZ$2=InputTable[[#This Row],[Delivery Date]],_xlfn.XLOOKUP(HZ$1,$BH$2:$BR$2,$BH58:$BR58,0),0)</f>
        <v>#REF!</v>
      </c>
      <c r="IA58" s="26">
        <f>IF(IA$2=InputTable[[#This Row],[Delivery Date]],_xlfn.XLOOKUP(IA$1,$BH$2:$BR$2,$BH58:$BR58,0),0)</f>
        <v>0</v>
      </c>
      <c r="IB58" s="26">
        <f>IF(IB$2=InputTable[[#This Row],[Delivery Date]],_xlfn.XLOOKUP(IB$1,$BH$2:$BR$2,$BH58:$BR58,0),0)</f>
        <v>0</v>
      </c>
      <c r="IC58" s="26">
        <f>IF(IC$2=InputTable[[#This Row],[Delivery Date]],_xlfn.XLOOKUP(IC$1,$BH$2:$BR$2,$BH58:$BR58,0),0)</f>
        <v>0</v>
      </c>
      <c r="ID58" s="26">
        <f>IF(ID$2=InputTable[[#This Row],[Delivery Date]],_xlfn.XLOOKUP(ID$1,$BH$2:$BR$2,$BH58:$BR58,0),0)</f>
        <v>0</v>
      </c>
      <c r="IE58" s="26">
        <f>IF(IE$2=InputTable[[#This Row],[Delivery Date]],_xlfn.XLOOKUP(IE$1,$BH$2:$BR$2,$BH58:$BR58,0),0)</f>
        <v>0</v>
      </c>
      <c r="IF58" s="26">
        <f>IF(IF$2=InputTable[[#This Row],[Delivery Date]],_xlfn.XLOOKUP(IF$1,$BH$2:$BR$2,$BH58:$BR58,0),0)</f>
        <v>0</v>
      </c>
      <c r="IG58" s="26">
        <f>IF(IG$2=InputTable[[#This Row],[Delivery Date]],_xlfn.XLOOKUP(IG$1,$BH$2:$BR$2,$BH58:$BR58,0),0)</f>
        <v>0</v>
      </c>
      <c r="IH58" s="26">
        <f>IF(IH$2=InputTable[[#This Row],[Delivery Date]],_xlfn.XLOOKUP(IH$1,$BH$2:$BR$2,$BH58:$BR58,0),0)</f>
        <v>0</v>
      </c>
      <c r="IJ58" s="26" t="e">
        <f>IF(IJ$2=InputTable[[#This Row],[Delivery Date]],_xlfn.XLOOKUP(IJ$1,$BH$2:$BR$2,$BH58:$BR58,0),0)</f>
        <v>#REF!</v>
      </c>
      <c r="IK58" s="26">
        <f>IF(IK$2=InputTable[[#This Row],[Delivery Date]],_xlfn.XLOOKUP(IK$1,$BH$2:$BR$2,$BH58:$BR58,0),0)</f>
        <v>0</v>
      </c>
      <c r="IL58" s="26">
        <f>IF(IL$2=InputTable[[#This Row],[Delivery Date]],_xlfn.XLOOKUP(IL$1,$BH$2:$BR$2,$BH58:$BR58,0),0)</f>
        <v>0</v>
      </c>
      <c r="IM58" s="26">
        <f>IF(IM$2=InputTable[[#This Row],[Delivery Date]],_xlfn.XLOOKUP(IM$1,$BH$2:$BR$2,$BH58:$BR58,0),0)</f>
        <v>0</v>
      </c>
      <c r="IN58" s="26">
        <f>IF(IN$2=InputTable[[#This Row],[Delivery Date]],_xlfn.XLOOKUP(IN$1,$BH$2:$BR$2,$BH58:$BR58,0),0)</f>
        <v>5</v>
      </c>
      <c r="IO58" s="26">
        <f>IF(IO$2=InputTable[[#This Row],[Delivery Date]],_xlfn.XLOOKUP(IO$1,$BH$2:$BR$2,$BH58:$BR58,0),0)</f>
        <v>0</v>
      </c>
      <c r="IP58" s="26">
        <f>IF(IP$2=InputTable[[#This Row],[Delivery Date]],_xlfn.XLOOKUP(IP$1,$BH$2:$BR$2,$BH58:$BR58,0),0)</f>
        <v>0</v>
      </c>
      <c r="IQ58" s="26">
        <f>IF(IQ$2=InputTable[[#This Row],[Delivery Date]],_xlfn.XLOOKUP(IQ$1,$BH$2:$BR$2,$BH58:$BR58,0),0)</f>
        <v>0</v>
      </c>
      <c r="IR58" s="26">
        <f>IF(IR$2=InputTable[[#This Row],[Delivery Date]],_xlfn.XLOOKUP(IR$1,$BH$2:$BR$2,$BH58:$BR58,0),0)</f>
        <v>0</v>
      </c>
      <c r="IT58" s="26" t="e">
        <f>IF(IT$2=InputTable[[#This Row],[Delivery Date]],_xlfn.XLOOKUP(IT$1,$BH$2:$BR$2,$BH58:$BR58,0),0)</f>
        <v>#REF!</v>
      </c>
      <c r="IU58" s="26">
        <f>IF(IU$2=InputTable[[#This Row],[Delivery Date]],_xlfn.XLOOKUP(IU$1,$BH$2:$BR$2,$BH58:$BR58,0),0)</f>
        <v>0</v>
      </c>
      <c r="IV58" s="26">
        <f>IF(IV$2=InputTable[[#This Row],[Delivery Date]],_xlfn.XLOOKUP(IV$1,$BH$2:$BR$2,$BH58:$BR58,0),0)</f>
        <v>0</v>
      </c>
      <c r="IW58" s="26">
        <f>IF(IW$2=InputTable[[#This Row],[Delivery Date]],_xlfn.XLOOKUP(IW$1,$BH$2:$BR$2,$BH58:$BR58,0),0)</f>
        <v>0</v>
      </c>
      <c r="IX58" s="26">
        <f>IF(IX$2=InputTable[[#This Row],[Delivery Date]],_xlfn.XLOOKUP(IX$1,$BH$2:$BR$2,$BH58:$BR58,0),0)</f>
        <v>0</v>
      </c>
      <c r="IY58" s="26">
        <f>IF(IY$2=InputTable[[#This Row],[Delivery Date]],_xlfn.XLOOKUP(IY$1,$BH$2:$BR$2,$BH58:$BR58,0),0)</f>
        <v>0</v>
      </c>
      <c r="IZ58" s="26">
        <f>IF(IZ$2=InputTable[[#This Row],[Delivery Date]],_xlfn.XLOOKUP(IZ$1,$BH$2:$BR$2,$BH58:$BR58,0),0)</f>
        <v>0</v>
      </c>
      <c r="JA58" s="26">
        <f>IF(JA$2=InputTable[[#This Row],[Delivery Date]],_xlfn.XLOOKUP(JA$1,$BH$2:$BR$2,$BH58:$BR58,0),0)</f>
        <v>0</v>
      </c>
      <c r="JB58" s="26">
        <f>IF(JB$2=InputTable[[#This Row],[Delivery Date]],_xlfn.XLOOKUP(JB$1,$BH$2:$BR$2,$BH58:$BR58,0),0)</f>
        <v>0</v>
      </c>
      <c r="JD58" s="26" t="e">
        <f>IF(JD$2=InputTable[[#This Row],[Delivery Date]],_xlfn.XLOOKUP(JD$1,$BH$2:$BR$2,$BH58:$BR58,0),0)</f>
        <v>#REF!</v>
      </c>
      <c r="JE58" s="26">
        <f>IF(JE$2=InputTable[[#This Row],[Delivery Date]],_xlfn.XLOOKUP(JE$1,$BH$2:$BR$2,$BH58:$BR58,0),0)</f>
        <v>0</v>
      </c>
      <c r="JF58" s="26">
        <f>IF(JF$2=InputTable[[#This Row],[Delivery Date]],_xlfn.XLOOKUP(JF$1,$BH$2:$BR$2,$BH58:$BR58,0),0)</f>
        <v>0</v>
      </c>
      <c r="JG58" s="26">
        <f>IF(JG$2=InputTable[[#This Row],[Delivery Date]],_xlfn.XLOOKUP(JG$1,$BH$2:$BR$2,$BH58:$BR58,0),0)</f>
        <v>0</v>
      </c>
      <c r="JH58" s="26">
        <f>IF(JH$2=InputTable[[#This Row],[Delivery Date]],_xlfn.XLOOKUP(JH$1,$BH$2:$BR$2,$BH58:$BR58,0),0)</f>
        <v>0</v>
      </c>
      <c r="JI58" s="26">
        <f>IF(JI$2=InputTable[[#This Row],[Delivery Date]],_xlfn.XLOOKUP(JI$1,$BH$2:$BR$2,$BH58:$BR58,0),0)</f>
        <v>0</v>
      </c>
      <c r="JJ58" s="26">
        <f>IF(JJ$2=InputTable[[#This Row],[Delivery Date]],_xlfn.XLOOKUP(JJ$1,$BH$2:$BR$2,$BH58:$BR58,0),0)</f>
        <v>0</v>
      </c>
      <c r="JK58" s="26">
        <f>IF(JK$2=InputTable[[#This Row],[Delivery Date]],_xlfn.XLOOKUP(JK$1,$BH$2:$BR$2,$BH58:$BR58,0),0)</f>
        <v>0</v>
      </c>
      <c r="JL58" s="26">
        <f>IF(JL$2=InputTable[[#This Row],[Delivery Date]],_xlfn.XLOOKUP(JL$1,$BH$2:$BR$2,$BH58:$BR58,0),0)</f>
        <v>0</v>
      </c>
      <c r="JN58" s="26" t="e">
        <f>IF(JN$2=InputTable[[#This Row],[Delivery Date]],_xlfn.XLOOKUP(JN$1,$BH$2:$BR$2,$BH58:$BR58,0),0)</f>
        <v>#REF!</v>
      </c>
      <c r="JO58" s="26">
        <f>IF(JO$2=InputTable[[#This Row],[Delivery Date]],_xlfn.XLOOKUP(JO$1,$BH$2:$BR$2,$BH58:$BR58,0),0)</f>
        <v>0</v>
      </c>
      <c r="JP58" s="26">
        <f>IF(JP$2=InputTable[[#This Row],[Delivery Date]],_xlfn.XLOOKUP(JP$1,$BH$2:$BR$2,$BH58:$BR58,0),0)</f>
        <v>0</v>
      </c>
      <c r="JQ58" s="26">
        <f>IF(JQ$2=InputTable[[#This Row],[Delivery Date]],_xlfn.XLOOKUP(JQ$1,$BH$2:$BR$2,$BH58:$BR58,0),0)</f>
        <v>0</v>
      </c>
      <c r="JR58" s="26">
        <f>IF(JR$2=InputTable[[#This Row],[Delivery Date]],_xlfn.XLOOKUP(JR$1,$BH$2:$BR$2,$BH58:$BR58,0),0)</f>
        <v>0</v>
      </c>
      <c r="JS58" s="26">
        <f>IF(JS$2=InputTable[[#This Row],[Delivery Date]],_xlfn.XLOOKUP(JS$1,$BH$2:$BR$2,$BH58:$BR58,0),0)</f>
        <v>0</v>
      </c>
      <c r="JT58" s="26">
        <f>IF(JT$2=InputTable[[#This Row],[Delivery Date]],_xlfn.XLOOKUP(JT$1,$BH$2:$BR$2,$BH58:$BR58,0),0)</f>
        <v>0</v>
      </c>
      <c r="JU58" s="26">
        <f>IF(JU$2=InputTable[[#This Row],[Delivery Date]],_xlfn.XLOOKUP(JU$1,$BH$2:$BR$2,$BH58:$BR58,0),0)</f>
        <v>0</v>
      </c>
      <c r="JV58" s="26">
        <f>IF(JV$2=InputTable[[#This Row],[Delivery Date]],_xlfn.XLOOKUP(JV$1,$BH$2:$BR$2,$BH58:$BR58,0),0)</f>
        <v>0</v>
      </c>
      <c r="JX58" s="26" t="e">
        <f>IF(JX$2=InputTable[[#This Row],[Delivery Date]],_xlfn.XLOOKUP(JX$1,$BH$2:$BR$2,$BH58:$BR58,0),0)</f>
        <v>#REF!</v>
      </c>
      <c r="JY58" s="26">
        <f>IF(JY$2=InputTable[[#This Row],[Delivery Date]],_xlfn.XLOOKUP(JY$1,$BH$2:$BR$2,$BH58:$BR58,0),0)</f>
        <v>0</v>
      </c>
      <c r="JZ58" s="26">
        <f>IF(JZ$2=InputTable[[#This Row],[Delivery Date]],_xlfn.XLOOKUP(JZ$1,$BH$2:$BR$2,$BH58:$BR58,0),0)</f>
        <v>0</v>
      </c>
      <c r="KA58" s="26">
        <f>IF(KA$2=InputTable[[#This Row],[Delivery Date]],_xlfn.XLOOKUP(KA$1,$BH$2:$BR$2,$BH58:$BR58,0),0)</f>
        <v>0</v>
      </c>
      <c r="KB58" s="26">
        <f>IF(KB$2=InputTable[[#This Row],[Delivery Date]],_xlfn.XLOOKUP(KB$1,$BH$2:$BR$2,$BH58:$BR58,0),0)</f>
        <v>0</v>
      </c>
      <c r="KC58" s="26">
        <f>IF(KC$2=InputTable[[#This Row],[Delivery Date]],_xlfn.XLOOKUP(KC$1,$BH$2:$BR$2,$BH58:$BR58,0),0)</f>
        <v>0</v>
      </c>
      <c r="KD58" s="26">
        <f>IF(KD$2=InputTable[[#This Row],[Delivery Date]],_xlfn.XLOOKUP(KD$1,$BH$2:$BR$2,$BH58:$BR58,0),0)</f>
        <v>0</v>
      </c>
      <c r="KE58" s="26">
        <f>IF(KE$2=InputTable[[#This Row],[Delivery Date]],_xlfn.XLOOKUP(KE$1,$BH$2:$BR$2,$BH58:$BR58,0),0)</f>
        <v>0</v>
      </c>
      <c r="KF58" s="26">
        <f>IF(KF$2=InputTable[[#This Row],[Delivery Date]],_xlfn.XLOOKUP(KF$1,$BH$2:$BR$2,$BH58:$BR58,0),0)</f>
        <v>0</v>
      </c>
    </row>
    <row r="59" spans="1:294" ht="39.6" customHeight="1" x14ac:dyDescent="0.25">
      <c r="A59" s="125" t="s">
        <v>162</v>
      </c>
      <c r="B59" s="141" t="s">
        <v>104</v>
      </c>
      <c r="C59" s="92" t="s">
        <v>59</v>
      </c>
      <c r="D59" s="125" t="s">
        <v>293</v>
      </c>
      <c r="E59" s="193" t="s">
        <v>294</v>
      </c>
      <c r="F59" s="92" t="s">
        <v>61</v>
      </c>
      <c r="G59" s="92" t="s">
        <v>98</v>
      </c>
      <c r="H59" s="92" t="s">
        <v>139</v>
      </c>
      <c r="I59" s="92" t="s">
        <v>98</v>
      </c>
      <c r="J59" s="125" t="s">
        <v>290</v>
      </c>
      <c r="K59" s="95" t="e">
        <f>VLOOKUP((InputTable[[#This Row],[Starting Date]]&amp; " - " &amp;InputTable[[#This Row],[Delivery Date]]),'System List'!$F$40:$H$83,2,FALSE)</f>
        <v>#N/A</v>
      </c>
      <c r="L59" s="95" t="e">
        <f>VLOOKUP(InputTable[[#This Row],[Duration]],Duration,2,FALSE)</f>
        <v>#N/A</v>
      </c>
      <c r="M59" s="193"/>
      <c r="N59" s="92"/>
      <c r="O59" s="92"/>
      <c r="P59" s="92" t="s">
        <v>111</v>
      </c>
      <c r="Q59" s="92"/>
      <c r="R59" s="92" t="s">
        <v>111</v>
      </c>
      <c r="S59" s="92"/>
      <c r="T59" s="95" cm="1">
        <f t="array" ref="T5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59" s="138"/>
      <c r="V59" s="92"/>
      <c r="W59" s="92"/>
      <c r="X59" s="92"/>
      <c r="Y59" s="92" t="s">
        <v>111</v>
      </c>
      <c r="Z59" s="92"/>
      <c r="AA59" s="92" t="s">
        <v>111</v>
      </c>
      <c r="AB59" s="92"/>
      <c r="AC59" s="92"/>
      <c r="AD59" s="92">
        <f>COUNTA(InputTable[[#This Row],[CORPHRFIN]:[SALES]])</f>
        <v>2</v>
      </c>
      <c r="AE59" s="88" cm="1">
        <f t="array" ref="AE59">SUM(
_xlfn.XLOOKUP(InputTable[[#This Row],[CORPHRFIN]:[SALES]],'System List'!$F$4:$F$7,'System List'!$H$4:$H$7,0))</f>
        <v>10</v>
      </c>
      <c r="AF59" s="140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88" cm="1">
        <f t="array" ref="AR59">SUM(
_xlfn.XLOOKUP(InputTable[[#This Row],[Impact on - CIAL]:[Impact on - STRAT]],'System List'!$F$4:$F$7,'System List'!$H$4:$H$7,0))</f>
        <v>0</v>
      </c>
      <c r="AS59" s="88" t="e">
        <f>VLOOKUP(InputTable[[#This Row],[Duration]],Duration,2,FALSE)+InputTable[[#This Row],[Resource Score]]</f>
        <v>#N/A</v>
      </c>
      <c r="AT5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59" s="24" t="e">
        <f>InputTable[[#This Row],[Value Score]]/InputTable[[#This Row],[EFFORT SCORE]]*100</f>
        <v>#N/A</v>
      </c>
      <c r="AV59" s="25" t="str">
        <f>InputTable[[#This Row],[IS Portfolio Ref ID]]</f>
        <v>ISPRJ-42</v>
      </c>
      <c r="AW59" s="25" t="s">
        <v>222</v>
      </c>
      <c r="AX59" s="208" t="s">
        <v>154</v>
      </c>
      <c r="AY59" s="25"/>
      <c r="AZ59" s="209">
        <v>0</v>
      </c>
      <c r="BA59" s="209">
        <v>0</v>
      </c>
      <c r="BB59" s="209"/>
      <c r="BC59" s="189">
        <v>25000</v>
      </c>
      <c r="BD59" s="188">
        <v>1</v>
      </c>
      <c r="BE59" s="188">
        <v>2</v>
      </c>
      <c r="BF59" s="70"/>
      <c r="BH59" s="2">
        <f>IFERROR(VLOOKUP(InputTable[[#This Row],[Impact on - CIAL]],'System List'!$F$4:$H$7,3,FALSE),0)</f>
        <v>0</v>
      </c>
      <c r="BI59" s="2">
        <f>IFERROR(VLOOKUP(InputTable[[#This Row],[Impact on - COM]],'System List'!$F$4:$H$7,3,FALSE),0)</f>
        <v>0</v>
      </c>
      <c r="BJ59" s="2">
        <f>IFERROR(VLOOKUP(InputTable[[#This Row],[Impact on - FIN]],'System List'!$F$4:$H$7,3,FALSE),0)</f>
        <v>0</v>
      </c>
      <c r="BK59" s="2">
        <f>IFERROR(VLOOKUP(InputTable[[#This Row],[Impact on - GEN SEC]],'System List'!$F$4:$H$7,3,FALSE),0)</f>
        <v>0</v>
      </c>
      <c r="BL59" s="2">
        <f>IFERROR(VLOOKUP(InputTable[[#This Row],[Impact on - HR]],'System List'!$F$4:$H$7,3,FALSE),0)</f>
        <v>0</v>
      </c>
      <c r="BM59" s="2">
        <f>IFERROR(VLOOKUP(InputTable[[#This Row],[Impact on - IS]],'System List'!$F$4:$H$7,3,FALSE),0)</f>
        <v>0</v>
      </c>
      <c r="BN59" s="2">
        <f>IFERROR(VLOOKUP(InputTable[[#This Row],[Impact on - OPS]],'System List'!$F$4:$H$7,3,FALSE),0)</f>
        <v>0</v>
      </c>
      <c r="BO59" s="2">
        <f>IFERROR(VLOOKUP(InputTable[[#This Row],[Impact on - ROLL STOCK]],'System List'!$F$4:$H$7,3,FALSE),0)</f>
        <v>0</v>
      </c>
      <c r="BP59" s="2">
        <f>IFERROR(VLOOKUP(InputTable[[#This Row],[Impact on - SAFETY]],'System List'!$F$4:$H$7,3,FALSE),0)</f>
        <v>0</v>
      </c>
      <c r="BQ59" s="2">
        <f>IFERROR(VLOOKUP(InputTable[[#This Row],[Impact on - STATION]],'System List'!$F$4:$H$7,3,FALSE),0)</f>
        <v>0</v>
      </c>
      <c r="BR59" s="2">
        <f>IFERROR(VLOOKUP(InputTable[[#This Row],[Impact on - STRAT]],'System List'!$F$4:$H$7,3,FALSE),0)</f>
        <v>0</v>
      </c>
      <c r="BT59" s="2">
        <f>IFERROR(VLOOKUP(InputTable[[#This Row],[CORPHRFIN]],'System List'!$F$4:$H$7,3,FALSE),0)</f>
        <v>0</v>
      </c>
      <c r="BU59" s="2">
        <f>IFERROR(VLOOKUP(InputTable[[#This Row],[CUST]],'System List'!$F$4:$H$7,3,FALSE),0)</f>
        <v>0</v>
      </c>
      <c r="BV59" s="2">
        <f>IFERROR(VLOOKUP(InputTable[[#This Row],[CYBER]],'System List'!$F$4:$H$7,3,FALSE),0)</f>
        <v>0</v>
      </c>
      <c r="BW59" s="2">
        <f>IFERROR(VLOOKUP(InputTable[[#This Row],[DATA]],'System List'!$F$4:$H$7,3,FALSE),0)</f>
        <v>5</v>
      </c>
      <c r="BX59" s="2">
        <f>IFERROR(VLOOKUP(InputTable[[#This Row],[INFRA]],'System List'!$F$4:$H$7,3,FALSE),0)</f>
        <v>0</v>
      </c>
      <c r="BY59" s="2">
        <f>IFERROR(VLOOKUP(InputTable[[#This Row],[OPERATIONS]],'System List'!$F$4:$H$7,3,FALSE),0)</f>
        <v>5</v>
      </c>
      <c r="BZ59" s="2">
        <f>IFERROR(VLOOKUP(InputTable[[#This Row],[PMO]],'System List'!$F$4:$H$7,3,FALSE),0)</f>
        <v>0</v>
      </c>
      <c r="CA59" s="2">
        <f>IFERROR(VLOOKUP(InputTable[[#This Row],[SALES]],'System List'!$F$4:$H$7,3,FALSE),0)</f>
        <v>0</v>
      </c>
      <c r="CC59" s="2" cm="1">
        <f t="array" ref="CC5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59" s="2" cm="1">
        <f t="array" ref="CD5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59" s="2" cm="1">
        <f t="array" ref="CE5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59" s="2" cm="1">
        <f t="array" ref="CF5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59" s="2" cm="1">
        <f t="array" ref="CG5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59" s="2" cm="1">
        <f t="array" ref="CH5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59" s="2" cm="1">
        <f t="array" ref="CI5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59" s="2" cm="1">
        <f t="array" ref="CJ5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59" s="2" cm="1">
        <f t="array" ref="CK5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5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5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5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5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5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5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5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5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5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59" s="26">
        <f t="shared" si="151"/>
        <v>0</v>
      </c>
      <c r="CY59" s="26">
        <f t="shared" si="152"/>
        <v>0</v>
      </c>
      <c r="CZ59" s="26">
        <f t="shared" si="153"/>
        <v>0</v>
      </c>
      <c r="DA59" s="26">
        <f t="shared" si="154"/>
        <v>0</v>
      </c>
      <c r="DB59" s="26">
        <f t="shared" si="155"/>
        <v>0</v>
      </c>
      <c r="DC59" s="26">
        <f t="shared" si="156"/>
        <v>0</v>
      </c>
      <c r="DD59" s="26">
        <f t="shared" si="157"/>
        <v>0</v>
      </c>
      <c r="DE59" s="26">
        <f t="shared" si="158"/>
        <v>0</v>
      </c>
      <c r="DF59" s="26">
        <f t="shared" si="159"/>
        <v>0</v>
      </c>
      <c r="DH59" s="26">
        <f t="shared" si="160"/>
        <v>0</v>
      </c>
      <c r="DI59" s="26">
        <f t="shared" si="161"/>
        <v>0</v>
      </c>
      <c r="DJ59" s="26">
        <f t="shared" si="162"/>
        <v>0</v>
      </c>
      <c r="DK59" s="26">
        <f t="shared" si="163"/>
        <v>0</v>
      </c>
      <c r="DL59" s="26">
        <f t="shared" si="164"/>
        <v>0</v>
      </c>
      <c r="DM59" s="26">
        <f t="shared" si="165"/>
        <v>0</v>
      </c>
      <c r="DN59" s="26">
        <f t="shared" si="166"/>
        <v>0</v>
      </c>
      <c r="DO59" s="26">
        <f t="shared" si="167"/>
        <v>0</v>
      </c>
      <c r="DP59" s="26">
        <f t="shared" si="168"/>
        <v>0</v>
      </c>
      <c r="DR59" s="26">
        <f t="shared" si="169"/>
        <v>0</v>
      </c>
      <c r="DS59" s="26">
        <f t="shared" si="170"/>
        <v>0</v>
      </c>
      <c r="DT59" s="26">
        <f t="shared" si="171"/>
        <v>0</v>
      </c>
      <c r="DU59" s="26">
        <f t="shared" si="172"/>
        <v>0</v>
      </c>
      <c r="DV59" s="26">
        <f t="shared" si="173"/>
        <v>0</v>
      </c>
      <c r="DW59" s="26">
        <f t="shared" si="174"/>
        <v>0</v>
      </c>
      <c r="DX59" s="26">
        <f t="shared" si="175"/>
        <v>0</v>
      </c>
      <c r="DY59" s="26">
        <f t="shared" si="176"/>
        <v>0</v>
      </c>
      <c r="DZ59" s="26">
        <f t="shared" si="177"/>
        <v>0</v>
      </c>
      <c r="EB59" s="26">
        <f t="shared" si="178"/>
        <v>0</v>
      </c>
      <c r="EC59" s="26">
        <f t="shared" si="179"/>
        <v>0</v>
      </c>
      <c r="ED59" s="26">
        <f t="shared" si="180"/>
        <v>0</v>
      </c>
      <c r="EE59" s="26">
        <f t="shared" si="181"/>
        <v>0</v>
      </c>
      <c r="EF59" s="26">
        <f t="shared" si="182"/>
        <v>0</v>
      </c>
      <c r="EG59" s="26">
        <f t="shared" si="183"/>
        <v>5</v>
      </c>
      <c r="EH59" s="26">
        <f t="shared" si="184"/>
        <v>0</v>
      </c>
      <c r="EI59" s="26">
        <f t="shared" si="185"/>
        <v>0</v>
      </c>
      <c r="EJ59" s="26">
        <f t="shared" si="186"/>
        <v>0</v>
      </c>
      <c r="EL59" s="26">
        <f t="shared" si="187"/>
        <v>0</v>
      </c>
      <c r="EM59" s="26">
        <f t="shared" si="188"/>
        <v>0</v>
      </c>
      <c r="EN59" s="26">
        <f t="shared" si="189"/>
        <v>0</v>
      </c>
      <c r="EO59" s="26">
        <f t="shared" si="190"/>
        <v>0</v>
      </c>
      <c r="EP59" s="26">
        <f t="shared" si="191"/>
        <v>0</v>
      </c>
      <c r="EQ59" s="26">
        <f t="shared" si="192"/>
        <v>0</v>
      </c>
      <c r="ER59" s="26">
        <f t="shared" si="193"/>
        <v>0</v>
      </c>
      <c r="ES59" s="26">
        <f t="shared" si="194"/>
        <v>0</v>
      </c>
      <c r="ET59" s="26">
        <f t="shared" si="195"/>
        <v>0</v>
      </c>
      <c r="EV59" s="26">
        <f t="shared" si="196"/>
        <v>0</v>
      </c>
      <c r="EW59" s="26">
        <f t="shared" si="197"/>
        <v>0</v>
      </c>
      <c r="EX59" s="26">
        <f t="shared" si="198"/>
        <v>0</v>
      </c>
      <c r="EY59" s="26">
        <f t="shared" si="199"/>
        <v>0</v>
      </c>
      <c r="EZ59" s="26">
        <f t="shared" si="200"/>
        <v>0</v>
      </c>
      <c r="FA59" s="26">
        <f t="shared" si="201"/>
        <v>5</v>
      </c>
      <c r="FB59" s="26">
        <f t="shared" si="202"/>
        <v>0</v>
      </c>
      <c r="FC59" s="26">
        <f t="shared" si="203"/>
        <v>0</v>
      </c>
      <c r="FD59" s="26">
        <f t="shared" si="204"/>
        <v>0</v>
      </c>
      <c r="FF59" s="26">
        <f t="shared" si="205"/>
        <v>0</v>
      </c>
      <c r="FG59" s="26">
        <f t="shared" si="206"/>
        <v>0</v>
      </c>
      <c r="FH59" s="26">
        <f t="shared" si="207"/>
        <v>0</v>
      </c>
      <c r="FI59" s="26">
        <f t="shared" si="208"/>
        <v>0</v>
      </c>
      <c r="FJ59" s="26">
        <f t="shared" si="209"/>
        <v>0</v>
      </c>
      <c r="FK59" s="26">
        <f t="shared" si="210"/>
        <v>0</v>
      </c>
      <c r="FL59" s="26">
        <f t="shared" si="211"/>
        <v>0</v>
      </c>
      <c r="FM59" s="26">
        <f t="shared" si="212"/>
        <v>0</v>
      </c>
      <c r="FN59" s="26">
        <f t="shared" si="213"/>
        <v>0</v>
      </c>
      <c r="FP59" s="26" t="e">
        <f t="shared" si="214"/>
        <v>#REF!</v>
      </c>
      <c r="FQ59" s="26" t="e">
        <f t="shared" si="215"/>
        <v>#REF!</v>
      </c>
      <c r="FR59" s="26" t="e">
        <f t="shared" si="216"/>
        <v>#REF!</v>
      </c>
      <c r="FS59" s="26" t="e">
        <f t="shared" si="217"/>
        <v>#REF!</v>
      </c>
      <c r="FT59" s="26" t="e">
        <f t="shared" si="218"/>
        <v>#REF!</v>
      </c>
      <c r="FU59" s="26" t="e">
        <f t="shared" si="219"/>
        <v>#REF!</v>
      </c>
      <c r="FV59" s="26" t="e">
        <f t="shared" si="220"/>
        <v>#REF!</v>
      </c>
      <c r="FW59" s="26" t="e">
        <f t="shared" si="221"/>
        <v>#REF!</v>
      </c>
      <c r="FX59" s="26" t="e">
        <f t="shared" si="222"/>
        <v>#REF!</v>
      </c>
      <c r="GB59" s="26" t="e">
        <f>IF(GB$2=InputTable[[#This Row],[Delivery Date]],_xlfn.XLOOKUP(GB$1,$BH$2:$BR$2,$BH59:$BR59,0),0)</f>
        <v>#REF!</v>
      </c>
      <c r="GC59" s="26">
        <f>IF(GC$2=InputTable[[#This Row],[Delivery Date]],_xlfn.XLOOKUP(GC$1,$BH$2:$BR$2,$BH59:$BR59,0),0)</f>
        <v>0</v>
      </c>
      <c r="GD59" s="26">
        <f>IF(GD$2=InputTable[[#This Row],[Delivery Date]],_xlfn.XLOOKUP(GD$1,$BH$2:$BR$2,$BH59:$BR59,0),0)</f>
        <v>0</v>
      </c>
      <c r="GE59" s="26">
        <f>IF(GE$2=InputTable[[#This Row],[Delivery Date]],_xlfn.XLOOKUP(GE$1,$BH$2:$BR$2,$BH59:$BR59,0),0)</f>
        <v>0</v>
      </c>
      <c r="GF59" s="26">
        <f>IF(GF$2=InputTable[[#This Row],[Delivery Date]],_xlfn.XLOOKUP(GF$1,$BH$2:$BR$2,$BH59:$BR59,0),0)</f>
        <v>0</v>
      </c>
      <c r="GG59" s="26">
        <f>IF(GG$2=InputTable[[#This Row],[Delivery Date]],_xlfn.XLOOKUP(GG$1,$BH$2:$BR$2,$BH59:$BR59,0),0)</f>
        <v>0</v>
      </c>
      <c r="GH59" s="26">
        <f>IF(GH$2=InputTable[[#This Row],[Delivery Date]],_xlfn.XLOOKUP(GH$1,$BH$2:$BR$2,$BH59:$BR59,0),0)</f>
        <v>0</v>
      </c>
      <c r="GI59" s="26">
        <f>IF(GI$2=InputTable[[#This Row],[Delivery Date]],_xlfn.XLOOKUP(GI$1,$BH$2:$BR$2,$BH59:$BR59,0),0)</f>
        <v>0</v>
      </c>
      <c r="GJ59" s="26">
        <f>IF(GJ$2=InputTable[[#This Row],[Delivery Date]],_xlfn.XLOOKUP(GJ$1,$BH$2:$BR$2,$BH59:$BR59,0),0)</f>
        <v>0</v>
      </c>
      <c r="GL59" s="26" t="e">
        <f>IF(GL$2=InputTable[[#This Row],[Delivery Date]],_xlfn.XLOOKUP(GL$1,$BH$2:$BR$2,$BH59:$BR59,0),0)</f>
        <v>#REF!</v>
      </c>
      <c r="GM59" s="26">
        <f>IF(GM$2=InputTable[[#This Row],[Delivery Date]],_xlfn.XLOOKUP(GM$1,$BH$2:$BR$2,$BH59:$BR59,0),0)</f>
        <v>0</v>
      </c>
      <c r="GN59" s="26">
        <f>IF(GN$2=InputTable[[#This Row],[Delivery Date]],_xlfn.XLOOKUP(GN$1,$BH$2:$BR$2,$BH59:$BR59,0),0)</f>
        <v>0</v>
      </c>
      <c r="GO59" s="26">
        <f>IF(GO$2=InputTable[[#This Row],[Delivery Date]],_xlfn.XLOOKUP(GO$1,$BH$2:$BR$2,$BH59:$BR59,0),0)</f>
        <v>0</v>
      </c>
      <c r="GP59" s="26">
        <f>IF(GP$2=InputTable[[#This Row],[Delivery Date]],_xlfn.XLOOKUP(GP$1,$BH$2:$BR$2,$BH59:$BR59,0),0)</f>
        <v>0</v>
      </c>
      <c r="GQ59" s="26">
        <f>IF(GQ$2=InputTable[[#This Row],[Delivery Date]],_xlfn.XLOOKUP(GQ$1,$BH$2:$BR$2,$BH59:$BR59,0),0)</f>
        <v>0</v>
      </c>
      <c r="GR59" s="26">
        <f>IF(GR$2=InputTable[[#This Row],[Delivery Date]],_xlfn.XLOOKUP(GR$1,$BH$2:$BR$2,$BH59:$BR59,0),0)</f>
        <v>0</v>
      </c>
      <c r="GS59" s="26">
        <f>IF(GS$2=InputTable[[#This Row],[Delivery Date]],_xlfn.XLOOKUP(GS$1,$BH$2:$BR$2,$BH59:$BR59,0),0)</f>
        <v>0</v>
      </c>
      <c r="GT59" s="26">
        <f>IF(GT$2=InputTable[[#This Row],[Delivery Date]],_xlfn.XLOOKUP(GT$1,$BH$2:$BR$2,$BH59:$BR59,0),0)</f>
        <v>0</v>
      </c>
      <c r="GV59" s="26" t="e">
        <f>IF(GV$2=InputTable[[#This Row],[Delivery Date]],_xlfn.XLOOKUP(GV$1,$BH$2:$BR$2,$BH59:$BR59,0),0)</f>
        <v>#REF!</v>
      </c>
      <c r="GW59" s="26">
        <f>IF(GW$2=InputTable[[#This Row],[Delivery Date]],_xlfn.XLOOKUP(GW$1,$BH$2:$BR$2,$BH59:$BR59,0),0)</f>
        <v>0</v>
      </c>
      <c r="GX59" s="26">
        <f>IF(GX$2=InputTable[[#This Row],[Delivery Date]],_xlfn.XLOOKUP(GX$1,$BH$2:$BR$2,$BH59:$BR59,0),0)</f>
        <v>0</v>
      </c>
      <c r="GY59" s="26">
        <f>IF(GY$2=InputTable[[#This Row],[Delivery Date]],_xlfn.XLOOKUP(GY$1,$BH$2:$BR$2,$BH59:$BR59,0),0)</f>
        <v>0</v>
      </c>
      <c r="GZ59" s="26">
        <f>IF(GZ$2=InputTable[[#This Row],[Delivery Date]],_xlfn.XLOOKUP(GZ$1,$BH$2:$BR$2,$BH59:$BR59,0),0)</f>
        <v>0</v>
      </c>
      <c r="HA59" s="26">
        <f>IF(HA$2=InputTable[[#This Row],[Delivery Date]],_xlfn.XLOOKUP(HA$1,$BH$2:$BR$2,$BH59:$BR59,0),0)</f>
        <v>0</v>
      </c>
      <c r="HB59" s="26">
        <f>IF(HB$2=InputTable[[#This Row],[Delivery Date]],_xlfn.XLOOKUP(HB$1,$BH$2:$BR$2,$BH59:$BR59,0),0)</f>
        <v>0</v>
      </c>
      <c r="HC59" s="26">
        <f>IF(HC$2=InputTable[[#This Row],[Delivery Date]],_xlfn.XLOOKUP(HC$1,$BH$2:$BR$2,$BH59:$BR59,0),0)</f>
        <v>0</v>
      </c>
      <c r="HD59" s="26">
        <f>IF(HD$2=InputTable[[#This Row],[Delivery Date]],_xlfn.XLOOKUP(HD$1,$BH$2:$BR$2,$BH59:$BR59,0),0)</f>
        <v>0</v>
      </c>
      <c r="HF59" s="26" t="e">
        <f>IF(HF$2=InputTable[[#This Row],[Delivery Date]],_xlfn.XLOOKUP(HF$1,$BH$2:$BR$2,$BH59:$BR59,0),0)</f>
        <v>#REF!</v>
      </c>
      <c r="HG59" s="26">
        <f>IF(HG$2=InputTable[[#This Row],[Delivery Date]],_xlfn.XLOOKUP(HG$1,$BH$2:$BR$2,$BH59:$BR59,0),0)</f>
        <v>0</v>
      </c>
      <c r="HH59" s="26">
        <f>IF(HH$2=InputTable[[#This Row],[Delivery Date]],_xlfn.XLOOKUP(HH$1,$BH$2:$BR$2,$BH59:$BR59,0),0)</f>
        <v>0</v>
      </c>
      <c r="HI59" s="26">
        <f>IF(HI$2=InputTable[[#This Row],[Delivery Date]],_xlfn.XLOOKUP(HI$1,$BH$2:$BR$2,$BH59:$BR59,0),0)</f>
        <v>0</v>
      </c>
      <c r="HJ59" s="26">
        <f>IF(HJ$2=InputTable[[#This Row],[Delivery Date]],_xlfn.XLOOKUP(HJ$1,$BH$2:$BR$2,$BH59:$BR59,0),0)</f>
        <v>0</v>
      </c>
      <c r="HK59" s="26">
        <f>IF(HK$2=InputTable[[#This Row],[Delivery Date]],_xlfn.XLOOKUP(HK$1,$BH$2:$BR$2,$BH59:$BR59,0),0)</f>
        <v>0</v>
      </c>
      <c r="HL59" s="26">
        <f>IF(HL$2=InputTable[[#This Row],[Delivery Date]],_xlfn.XLOOKUP(HL$1,$BH$2:$BR$2,$BH59:$BR59,0),0)</f>
        <v>0</v>
      </c>
      <c r="HM59" s="26">
        <f>IF(HM$2=InputTable[[#This Row],[Delivery Date]],_xlfn.XLOOKUP(HM$1,$BH$2:$BR$2,$BH59:$BR59,0),0)</f>
        <v>0</v>
      </c>
      <c r="HN59" s="26">
        <f>IF(HN$2=InputTable[[#This Row],[Delivery Date]],_xlfn.XLOOKUP(HN$1,$BH$2:$BR$2,$BH59:$BR59,0),0)</f>
        <v>0</v>
      </c>
      <c r="HP59" s="26" t="e">
        <f>IF(HP$2=InputTable[[#This Row],[Delivery Date]],_xlfn.XLOOKUP(HP$1,$BH$2:$BR$2,$BH59:$BR59,0),0)</f>
        <v>#REF!</v>
      </c>
      <c r="HQ59" s="26">
        <f>IF(HQ$2=InputTable[[#This Row],[Delivery Date]],_xlfn.XLOOKUP(HQ$1,$BH$2:$BR$2,$BH59:$BR59,0),0)</f>
        <v>0</v>
      </c>
      <c r="HR59" s="26">
        <f>IF(HR$2=InputTable[[#This Row],[Delivery Date]],_xlfn.XLOOKUP(HR$1,$BH$2:$BR$2,$BH59:$BR59,0),0)</f>
        <v>0</v>
      </c>
      <c r="HS59" s="26">
        <f>IF(HS$2=InputTable[[#This Row],[Delivery Date]],_xlfn.XLOOKUP(HS$1,$BH$2:$BR$2,$BH59:$BR59,0),0)</f>
        <v>0</v>
      </c>
      <c r="HT59" s="26">
        <f>IF(HT$2=InputTable[[#This Row],[Delivery Date]],_xlfn.XLOOKUP(HT$1,$BH$2:$BR$2,$BH59:$BR59,0),0)</f>
        <v>0</v>
      </c>
      <c r="HU59" s="26">
        <f>IF(HU$2=InputTable[[#This Row],[Delivery Date]],_xlfn.XLOOKUP(HU$1,$BH$2:$BR$2,$BH59:$BR59,0),0)</f>
        <v>0</v>
      </c>
      <c r="HV59" s="26">
        <f>IF(HV$2=InputTable[[#This Row],[Delivery Date]],_xlfn.XLOOKUP(HV$1,$BH$2:$BR$2,$BH59:$BR59,0),0)</f>
        <v>0</v>
      </c>
      <c r="HW59" s="26">
        <f>IF(HW$2=InputTable[[#This Row],[Delivery Date]],_xlfn.XLOOKUP(HW$1,$BH$2:$BR$2,$BH59:$BR59,0),0)</f>
        <v>0</v>
      </c>
      <c r="HX59" s="26">
        <f>IF(HX$2=InputTable[[#This Row],[Delivery Date]],_xlfn.XLOOKUP(HX$1,$BH$2:$BR$2,$BH59:$BR59,0),0)</f>
        <v>0</v>
      </c>
      <c r="HZ59" s="26" t="e">
        <f>IF(HZ$2=InputTable[[#This Row],[Delivery Date]],_xlfn.XLOOKUP(HZ$1,$BH$2:$BR$2,$BH59:$BR59,0),0)</f>
        <v>#REF!</v>
      </c>
      <c r="IA59" s="26">
        <f>IF(IA$2=InputTable[[#This Row],[Delivery Date]],_xlfn.XLOOKUP(IA$1,$BH$2:$BR$2,$BH59:$BR59,0),0)</f>
        <v>0</v>
      </c>
      <c r="IB59" s="26">
        <f>IF(IB$2=InputTable[[#This Row],[Delivery Date]],_xlfn.XLOOKUP(IB$1,$BH$2:$BR$2,$BH59:$BR59,0),0)</f>
        <v>0</v>
      </c>
      <c r="IC59" s="26">
        <f>IF(IC$2=InputTable[[#This Row],[Delivery Date]],_xlfn.XLOOKUP(IC$1,$BH$2:$BR$2,$BH59:$BR59,0),0)</f>
        <v>0</v>
      </c>
      <c r="ID59" s="26">
        <f>IF(ID$2=InputTable[[#This Row],[Delivery Date]],_xlfn.XLOOKUP(ID$1,$BH$2:$BR$2,$BH59:$BR59,0),0)</f>
        <v>0</v>
      </c>
      <c r="IE59" s="26">
        <f>IF(IE$2=InputTable[[#This Row],[Delivery Date]],_xlfn.XLOOKUP(IE$1,$BH$2:$BR$2,$BH59:$BR59,0),0)</f>
        <v>0</v>
      </c>
      <c r="IF59" s="26">
        <f>IF(IF$2=InputTable[[#This Row],[Delivery Date]],_xlfn.XLOOKUP(IF$1,$BH$2:$BR$2,$BH59:$BR59,0),0)</f>
        <v>0</v>
      </c>
      <c r="IG59" s="26">
        <f>IF(IG$2=InputTable[[#This Row],[Delivery Date]],_xlfn.XLOOKUP(IG$1,$BH$2:$BR$2,$BH59:$BR59,0),0)</f>
        <v>0</v>
      </c>
      <c r="IH59" s="26">
        <f>IF(IH$2=InputTable[[#This Row],[Delivery Date]],_xlfn.XLOOKUP(IH$1,$BH$2:$BR$2,$BH59:$BR59,0),0)</f>
        <v>0</v>
      </c>
      <c r="IJ59" s="26" t="e">
        <f>IF(IJ$2=InputTable[[#This Row],[Delivery Date]],_xlfn.XLOOKUP(IJ$1,$BH$2:$BR$2,$BH59:$BR59,0),0)</f>
        <v>#REF!</v>
      </c>
      <c r="IK59" s="26">
        <f>IF(IK$2=InputTable[[#This Row],[Delivery Date]],_xlfn.XLOOKUP(IK$1,$BH$2:$BR$2,$BH59:$BR59,0),0)</f>
        <v>0</v>
      </c>
      <c r="IL59" s="26">
        <f>IF(IL$2=InputTable[[#This Row],[Delivery Date]],_xlfn.XLOOKUP(IL$1,$BH$2:$BR$2,$BH59:$BR59,0),0)</f>
        <v>0</v>
      </c>
      <c r="IM59" s="26">
        <f>IF(IM$2=InputTable[[#This Row],[Delivery Date]],_xlfn.XLOOKUP(IM$1,$BH$2:$BR$2,$BH59:$BR59,0),0)</f>
        <v>0</v>
      </c>
      <c r="IN59" s="26">
        <f>IF(IN$2=InputTable[[#This Row],[Delivery Date]],_xlfn.XLOOKUP(IN$1,$BH$2:$BR$2,$BH59:$BR59,0),0)</f>
        <v>0</v>
      </c>
      <c r="IO59" s="26">
        <f>IF(IO$2=InputTable[[#This Row],[Delivery Date]],_xlfn.XLOOKUP(IO$1,$BH$2:$BR$2,$BH59:$BR59,0),0)</f>
        <v>0</v>
      </c>
      <c r="IP59" s="26">
        <f>IF(IP$2=InputTable[[#This Row],[Delivery Date]],_xlfn.XLOOKUP(IP$1,$BH$2:$BR$2,$BH59:$BR59,0),0)</f>
        <v>0</v>
      </c>
      <c r="IQ59" s="26">
        <f>IF(IQ$2=InputTable[[#This Row],[Delivery Date]],_xlfn.XLOOKUP(IQ$1,$BH$2:$BR$2,$BH59:$BR59,0),0)</f>
        <v>0</v>
      </c>
      <c r="IR59" s="26">
        <f>IF(IR$2=InputTable[[#This Row],[Delivery Date]],_xlfn.XLOOKUP(IR$1,$BH$2:$BR$2,$BH59:$BR59,0),0)</f>
        <v>0</v>
      </c>
      <c r="IT59" s="26" t="e">
        <f>IF(IT$2=InputTable[[#This Row],[Delivery Date]],_xlfn.XLOOKUP(IT$1,$BH$2:$BR$2,$BH59:$BR59,0),0)</f>
        <v>#REF!</v>
      </c>
      <c r="IU59" s="26">
        <f>IF(IU$2=InputTable[[#This Row],[Delivery Date]],_xlfn.XLOOKUP(IU$1,$BH$2:$BR$2,$BH59:$BR59,0),0)</f>
        <v>0</v>
      </c>
      <c r="IV59" s="26">
        <f>IF(IV$2=InputTable[[#This Row],[Delivery Date]],_xlfn.XLOOKUP(IV$1,$BH$2:$BR$2,$BH59:$BR59,0),0)</f>
        <v>0</v>
      </c>
      <c r="IW59" s="26">
        <f>IF(IW$2=InputTable[[#This Row],[Delivery Date]],_xlfn.XLOOKUP(IW$1,$BH$2:$BR$2,$BH59:$BR59,0),0)</f>
        <v>0</v>
      </c>
      <c r="IX59" s="26">
        <f>IF(IX$2=InputTable[[#This Row],[Delivery Date]],_xlfn.XLOOKUP(IX$1,$BH$2:$BR$2,$BH59:$BR59,0),0)</f>
        <v>0</v>
      </c>
      <c r="IY59" s="26">
        <f>IF(IY$2=InputTable[[#This Row],[Delivery Date]],_xlfn.XLOOKUP(IY$1,$BH$2:$BR$2,$BH59:$BR59,0),0)</f>
        <v>0</v>
      </c>
      <c r="IZ59" s="26">
        <f>IF(IZ$2=InputTable[[#This Row],[Delivery Date]],_xlfn.XLOOKUP(IZ$1,$BH$2:$BR$2,$BH59:$BR59,0),0)</f>
        <v>0</v>
      </c>
      <c r="JA59" s="26">
        <f>IF(JA$2=InputTable[[#This Row],[Delivery Date]],_xlfn.XLOOKUP(JA$1,$BH$2:$BR$2,$BH59:$BR59,0),0)</f>
        <v>0</v>
      </c>
      <c r="JB59" s="26">
        <f>IF(JB$2=InputTable[[#This Row],[Delivery Date]],_xlfn.XLOOKUP(JB$1,$BH$2:$BR$2,$BH59:$BR59,0),0)</f>
        <v>0</v>
      </c>
      <c r="JD59" s="26" t="e">
        <f>IF(JD$2=InputTable[[#This Row],[Delivery Date]],_xlfn.XLOOKUP(JD$1,$BH$2:$BR$2,$BH59:$BR59,0),0)</f>
        <v>#REF!</v>
      </c>
      <c r="JE59" s="26">
        <f>IF(JE$2=InputTable[[#This Row],[Delivery Date]],_xlfn.XLOOKUP(JE$1,$BH$2:$BR$2,$BH59:$BR59,0),0)</f>
        <v>0</v>
      </c>
      <c r="JF59" s="26">
        <f>IF(JF$2=InputTable[[#This Row],[Delivery Date]],_xlfn.XLOOKUP(JF$1,$BH$2:$BR$2,$BH59:$BR59,0),0)</f>
        <v>0</v>
      </c>
      <c r="JG59" s="26">
        <f>IF(JG$2=InputTable[[#This Row],[Delivery Date]],_xlfn.XLOOKUP(JG$1,$BH$2:$BR$2,$BH59:$BR59,0),0)</f>
        <v>0</v>
      </c>
      <c r="JH59" s="26">
        <f>IF(JH$2=InputTable[[#This Row],[Delivery Date]],_xlfn.XLOOKUP(JH$1,$BH$2:$BR$2,$BH59:$BR59,0),0)</f>
        <v>0</v>
      </c>
      <c r="JI59" s="26">
        <f>IF(JI$2=InputTable[[#This Row],[Delivery Date]],_xlfn.XLOOKUP(JI$1,$BH$2:$BR$2,$BH59:$BR59,0),0)</f>
        <v>0</v>
      </c>
      <c r="JJ59" s="26">
        <f>IF(JJ$2=InputTable[[#This Row],[Delivery Date]],_xlfn.XLOOKUP(JJ$1,$BH$2:$BR$2,$BH59:$BR59,0),0)</f>
        <v>0</v>
      </c>
      <c r="JK59" s="26">
        <f>IF(JK$2=InputTable[[#This Row],[Delivery Date]],_xlfn.XLOOKUP(JK$1,$BH$2:$BR$2,$BH59:$BR59,0),0)</f>
        <v>0</v>
      </c>
      <c r="JL59" s="26">
        <f>IF(JL$2=InputTable[[#This Row],[Delivery Date]],_xlfn.XLOOKUP(JL$1,$BH$2:$BR$2,$BH59:$BR59,0),0)</f>
        <v>0</v>
      </c>
      <c r="JN59" s="26" t="e">
        <f>IF(JN$2=InputTable[[#This Row],[Delivery Date]],_xlfn.XLOOKUP(JN$1,$BH$2:$BR$2,$BH59:$BR59,0),0)</f>
        <v>#REF!</v>
      </c>
      <c r="JO59" s="26">
        <f>IF(JO$2=InputTable[[#This Row],[Delivery Date]],_xlfn.XLOOKUP(JO$1,$BH$2:$BR$2,$BH59:$BR59,0),0)</f>
        <v>0</v>
      </c>
      <c r="JP59" s="26">
        <f>IF(JP$2=InputTable[[#This Row],[Delivery Date]],_xlfn.XLOOKUP(JP$1,$BH$2:$BR$2,$BH59:$BR59,0),0)</f>
        <v>0</v>
      </c>
      <c r="JQ59" s="26">
        <f>IF(JQ$2=InputTable[[#This Row],[Delivery Date]],_xlfn.XLOOKUP(JQ$1,$BH$2:$BR$2,$BH59:$BR59,0),0)</f>
        <v>0</v>
      </c>
      <c r="JR59" s="26">
        <f>IF(JR$2=InputTable[[#This Row],[Delivery Date]],_xlfn.XLOOKUP(JR$1,$BH$2:$BR$2,$BH59:$BR59,0),0)</f>
        <v>0</v>
      </c>
      <c r="JS59" s="26">
        <f>IF(JS$2=InputTable[[#This Row],[Delivery Date]],_xlfn.XLOOKUP(JS$1,$BH$2:$BR$2,$BH59:$BR59,0),0)</f>
        <v>0</v>
      </c>
      <c r="JT59" s="26">
        <f>IF(JT$2=InputTable[[#This Row],[Delivery Date]],_xlfn.XLOOKUP(JT$1,$BH$2:$BR$2,$BH59:$BR59,0),0)</f>
        <v>0</v>
      </c>
      <c r="JU59" s="26">
        <f>IF(JU$2=InputTable[[#This Row],[Delivery Date]],_xlfn.XLOOKUP(JU$1,$BH$2:$BR$2,$BH59:$BR59,0),0)</f>
        <v>0</v>
      </c>
      <c r="JV59" s="26">
        <f>IF(JV$2=InputTable[[#This Row],[Delivery Date]],_xlfn.XLOOKUP(JV$1,$BH$2:$BR$2,$BH59:$BR59,0),0)</f>
        <v>0</v>
      </c>
      <c r="JX59" s="26" t="e">
        <f>IF(JX$2=InputTable[[#This Row],[Delivery Date]],_xlfn.XLOOKUP(JX$1,$BH$2:$BR$2,$BH59:$BR59,0),0)</f>
        <v>#REF!</v>
      </c>
      <c r="JY59" s="26">
        <f>IF(JY$2=InputTable[[#This Row],[Delivery Date]],_xlfn.XLOOKUP(JY$1,$BH$2:$BR$2,$BH59:$BR59,0),0)</f>
        <v>0</v>
      </c>
      <c r="JZ59" s="26">
        <f>IF(JZ$2=InputTable[[#This Row],[Delivery Date]],_xlfn.XLOOKUP(JZ$1,$BH$2:$BR$2,$BH59:$BR59,0),0)</f>
        <v>0</v>
      </c>
      <c r="KA59" s="26">
        <f>IF(KA$2=InputTable[[#This Row],[Delivery Date]],_xlfn.XLOOKUP(KA$1,$BH$2:$BR$2,$BH59:$BR59,0),0)</f>
        <v>0</v>
      </c>
      <c r="KB59" s="26">
        <f>IF(KB$2=InputTable[[#This Row],[Delivery Date]],_xlfn.XLOOKUP(KB$1,$BH$2:$BR$2,$BH59:$BR59,0),0)</f>
        <v>0</v>
      </c>
      <c r="KC59" s="26">
        <f>IF(KC$2=InputTable[[#This Row],[Delivery Date]],_xlfn.XLOOKUP(KC$1,$BH$2:$BR$2,$BH59:$BR59,0),0)</f>
        <v>0</v>
      </c>
      <c r="KD59" s="26">
        <f>IF(KD$2=InputTable[[#This Row],[Delivery Date]],_xlfn.XLOOKUP(KD$1,$BH$2:$BR$2,$BH59:$BR59,0),0)</f>
        <v>0</v>
      </c>
      <c r="KE59" s="26">
        <f>IF(KE$2=InputTable[[#This Row],[Delivery Date]],_xlfn.XLOOKUP(KE$1,$BH$2:$BR$2,$BH59:$BR59,0),0)</f>
        <v>0</v>
      </c>
      <c r="KF59" s="26">
        <f>IF(KF$2=InputTable[[#This Row],[Delivery Date]],_xlfn.XLOOKUP(KF$1,$BH$2:$BR$2,$BH59:$BR59,0),0)</f>
        <v>0</v>
      </c>
    </row>
    <row r="60" spans="1:294" ht="39.6" customHeight="1" x14ac:dyDescent="0.25">
      <c r="A60" s="141" t="s">
        <v>162</v>
      </c>
      <c r="B60" s="141" t="s">
        <v>92</v>
      </c>
      <c r="C60" s="92" t="s">
        <v>59</v>
      </c>
      <c r="D60" s="125" t="s">
        <v>295</v>
      </c>
      <c r="E60" s="193" t="s">
        <v>296</v>
      </c>
      <c r="F60" s="92" t="s">
        <v>241</v>
      </c>
      <c r="G60" s="92" t="s">
        <v>137</v>
      </c>
      <c r="H60" s="92" t="s">
        <v>139</v>
      </c>
      <c r="I60" s="92">
        <v>2026</v>
      </c>
      <c r="J60" s="125"/>
      <c r="K60" s="95" t="e">
        <f>VLOOKUP((InputTable[[#This Row],[Starting Date]]&amp; " - " &amp;InputTable[[#This Row],[Delivery Date]]),'System List'!$F$40:$H$83,2,FALSE)</f>
        <v>#N/A</v>
      </c>
      <c r="L60" s="95" t="e">
        <f>VLOOKUP(InputTable[[#This Row],[Duration]],Duration,2,FALSE)</f>
        <v>#N/A</v>
      </c>
      <c r="M60" s="142"/>
      <c r="N60" s="92"/>
      <c r="O60" s="92"/>
      <c r="P60" s="92"/>
      <c r="Q60" s="92"/>
      <c r="R60" s="92" t="s">
        <v>100</v>
      </c>
      <c r="S60" s="92"/>
      <c r="T60" s="95" cm="1">
        <f t="array" ref="T6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3.9</v>
      </c>
      <c r="U60" s="138"/>
      <c r="V60" s="92"/>
      <c r="W60" s="92"/>
      <c r="X60" s="92"/>
      <c r="Y60" s="92" t="s">
        <v>100</v>
      </c>
      <c r="Z60" s="92"/>
      <c r="AA60" s="92"/>
      <c r="AB60" s="92"/>
      <c r="AC60" s="92"/>
      <c r="AD60" s="92">
        <f>COUNTA(InputTable[[#This Row],[CORPHRFIN]:[SALES]])</f>
        <v>1</v>
      </c>
      <c r="AE60" s="88" cm="1">
        <f t="array" ref="AE60">SUM(
_xlfn.XLOOKUP(InputTable[[#This Row],[CORPHRFIN]:[SALES]],'System List'!$F$4:$F$7,'System List'!$H$4:$H$7,0))</f>
        <v>13</v>
      </c>
      <c r="AF60" s="140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88" cm="1">
        <f t="array" ref="AR60">SUM(
_xlfn.XLOOKUP(InputTable[[#This Row],[Impact on - CIAL]:[Impact on - STRAT]],'System List'!$F$4:$F$7,'System List'!$H$4:$H$7,0))</f>
        <v>0</v>
      </c>
      <c r="AS60" s="88" t="e">
        <f>VLOOKUP(InputTable[[#This Row],[Duration]],Duration,2,FALSE)+InputTable[[#This Row],[Resource Score]]</f>
        <v>#N/A</v>
      </c>
      <c r="AT6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0" s="24" t="e">
        <f>InputTable[[#This Row],[Value Score]]/InputTable[[#This Row],[EFFORT SCORE]]*100</f>
        <v>#N/A</v>
      </c>
      <c r="AV60" s="25" t="str">
        <f>InputTable[[#This Row],[IS Portfolio Ref ID]]</f>
        <v>ISPRJ-23</v>
      </c>
      <c r="AW60" s="25" t="s">
        <v>222</v>
      </c>
      <c r="AX60" s="208" t="s">
        <v>297</v>
      </c>
      <c r="AY60" s="25"/>
      <c r="AZ60" s="209">
        <v>0</v>
      </c>
      <c r="BA60" s="209">
        <v>97500</v>
      </c>
      <c r="BB60" s="209"/>
      <c r="BC60" s="189">
        <f>SUM(InputTable[[#This Row],[Opex IS Budget (full project)]]+InputTable[[#This Row],[Capex IS Budget (full project)]])</f>
        <v>97500</v>
      </c>
      <c r="BD60" s="188">
        <v>1</v>
      </c>
      <c r="BE60" s="188">
        <v>3</v>
      </c>
      <c r="BF60" s="70"/>
      <c r="BH60" s="2">
        <f>IFERROR(VLOOKUP(InputTable[[#This Row],[Impact on - CIAL]],'System List'!$F$4:$H$7,3,FALSE),0)</f>
        <v>0</v>
      </c>
      <c r="BI60" s="2">
        <f>IFERROR(VLOOKUP(InputTable[[#This Row],[Impact on - COM]],'System List'!$F$4:$H$7,3,FALSE),0)</f>
        <v>0</v>
      </c>
      <c r="BJ60" s="2">
        <f>IFERROR(VLOOKUP(InputTable[[#This Row],[Impact on - FIN]],'System List'!$F$4:$H$7,3,FALSE),0)</f>
        <v>0</v>
      </c>
      <c r="BK60" s="2">
        <f>IFERROR(VLOOKUP(InputTable[[#This Row],[Impact on - GEN SEC]],'System List'!$F$4:$H$7,3,FALSE),0)</f>
        <v>0</v>
      </c>
      <c r="BL60" s="2">
        <f>IFERROR(VLOOKUP(InputTable[[#This Row],[Impact on - HR]],'System List'!$F$4:$H$7,3,FALSE),0)</f>
        <v>0</v>
      </c>
      <c r="BM60" s="2">
        <f>IFERROR(VLOOKUP(InputTable[[#This Row],[Impact on - IS]],'System List'!$F$4:$H$7,3,FALSE),0)</f>
        <v>0</v>
      </c>
      <c r="BN60" s="2">
        <f>IFERROR(VLOOKUP(InputTable[[#This Row],[Impact on - OPS]],'System List'!$F$4:$H$7,3,FALSE),0)</f>
        <v>0</v>
      </c>
      <c r="BO60" s="2">
        <f>IFERROR(VLOOKUP(InputTable[[#This Row],[Impact on - ROLL STOCK]],'System List'!$F$4:$H$7,3,FALSE),0)</f>
        <v>0</v>
      </c>
      <c r="BP60" s="2">
        <f>IFERROR(VLOOKUP(InputTable[[#This Row],[Impact on - SAFETY]],'System List'!$F$4:$H$7,3,FALSE),0)</f>
        <v>0</v>
      </c>
      <c r="BQ60" s="2">
        <f>IFERROR(VLOOKUP(InputTable[[#This Row],[Impact on - STATION]],'System List'!$F$4:$H$7,3,FALSE),0)</f>
        <v>0</v>
      </c>
      <c r="BR60" s="2">
        <f>IFERROR(VLOOKUP(InputTable[[#This Row],[Impact on - STRAT]],'System List'!$F$4:$H$7,3,FALSE),0)</f>
        <v>0</v>
      </c>
      <c r="BT60" s="2">
        <f>IFERROR(VLOOKUP(InputTable[[#This Row],[CORPHRFIN]],'System List'!$F$4:$H$7,3,FALSE),0)</f>
        <v>0</v>
      </c>
      <c r="BU60" s="2">
        <f>IFERROR(VLOOKUP(InputTable[[#This Row],[CUST]],'System List'!$F$4:$H$7,3,FALSE),0)</f>
        <v>0</v>
      </c>
      <c r="BV60" s="2">
        <f>IFERROR(VLOOKUP(InputTable[[#This Row],[CYBER]],'System List'!$F$4:$H$7,3,FALSE),0)</f>
        <v>0</v>
      </c>
      <c r="BW60" s="2">
        <f>IFERROR(VLOOKUP(InputTable[[#This Row],[DATA]],'System List'!$F$4:$H$7,3,FALSE),0)</f>
        <v>13</v>
      </c>
      <c r="BX60" s="2">
        <f>IFERROR(VLOOKUP(InputTable[[#This Row],[INFRA]],'System List'!$F$4:$H$7,3,FALSE),0)</f>
        <v>0</v>
      </c>
      <c r="BY60" s="2">
        <f>IFERROR(VLOOKUP(InputTable[[#This Row],[OPERATIONS]],'System List'!$F$4:$H$7,3,FALSE),0)</f>
        <v>0</v>
      </c>
      <c r="BZ60" s="2">
        <f>IFERROR(VLOOKUP(InputTable[[#This Row],[PMO]],'System List'!$F$4:$H$7,3,FALSE),0)</f>
        <v>0</v>
      </c>
      <c r="CA60" s="2">
        <f>IFERROR(VLOOKUP(InputTable[[#This Row],[SALES]],'System List'!$F$4:$H$7,3,FALSE),0)</f>
        <v>0</v>
      </c>
      <c r="CC60" s="2" cm="1">
        <f t="array" ref="CC6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0" s="2" cm="1">
        <f t="array" ref="CD6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0" s="2" cm="1">
        <f t="array" ref="CE6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0" s="2" cm="1">
        <f t="array" ref="CF6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0" s="2" cm="1">
        <f t="array" ref="CG6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0" s="2" cm="1">
        <f t="array" ref="CH6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0" s="2" cm="1">
        <f t="array" ref="CI6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0" s="2" cm="1">
        <f t="array" ref="CJ6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0" s="2" cm="1">
        <f t="array" ref="CK6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6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0" s="26">
        <f t="shared" si="151"/>
        <v>0</v>
      </c>
      <c r="CY60" s="26">
        <f t="shared" si="152"/>
        <v>0</v>
      </c>
      <c r="CZ60" s="26">
        <f t="shared" si="153"/>
        <v>0</v>
      </c>
      <c r="DA60" s="26">
        <f t="shared" si="154"/>
        <v>0</v>
      </c>
      <c r="DB60" s="26">
        <f t="shared" si="155"/>
        <v>0</v>
      </c>
      <c r="DC60" s="26">
        <f t="shared" si="156"/>
        <v>0</v>
      </c>
      <c r="DD60" s="26">
        <f t="shared" si="157"/>
        <v>0</v>
      </c>
      <c r="DE60" s="26">
        <f t="shared" si="158"/>
        <v>0</v>
      </c>
      <c r="DF60" s="26">
        <f t="shared" si="159"/>
        <v>0</v>
      </c>
      <c r="DH60" s="26">
        <f t="shared" si="160"/>
        <v>0</v>
      </c>
      <c r="DI60" s="26">
        <f t="shared" si="161"/>
        <v>0</v>
      </c>
      <c r="DJ60" s="26">
        <f t="shared" si="162"/>
        <v>0</v>
      </c>
      <c r="DK60" s="26">
        <f t="shared" si="163"/>
        <v>0</v>
      </c>
      <c r="DL60" s="26">
        <f t="shared" si="164"/>
        <v>0</v>
      </c>
      <c r="DM60" s="26">
        <f t="shared" si="165"/>
        <v>0</v>
      </c>
      <c r="DN60" s="26">
        <f t="shared" si="166"/>
        <v>0</v>
      </c>
      <c r="DO60" s="26">
        <f t="shared" si="167"/>
        <v>0</v>
      </c>
      <c r="DP60" s="26">
        <f t="shared" si="168"/>
        <v>0</v>
      </c>
      <c r="DR60" s="26">
        <f t="shared" si="169"/>
        <v>0</v>
      </c>
      <c r="DS60" s="26">
        <f t="shared" si="170"/>
        <v>0</v>
      </c>
      <c r="DT60" s="26">
        <f t="shared" si="171"/>
        <v>0</v>
      </c>
      <c r="DU60" s="26">
        <f t="shared" si="172"/>
        <v>0</v>
      </c>
      <c r="DV60" s="26">
        <f t="shared" si="173"/>
        <v>0</v>
      </c>
      <c r="DW60" s="26">
        <f t="shared" si="174"/>
        <v>0</v>
      </c>
      <c r="DX60" s="26">
        <f t="shared" si="175"/>
        <v>0</v>
      </c>
      <c r="DY60" s="26">
        <f t="shared" si="176"/>
        <v>0</v>
      </c>
      <c r="DZ60" s="26">
        <f t="shared" si="177"/>
        <v>0</v>
      </c>
      <c r="EB60" s="26">
        <f t="shared" si="178"/>
        <v>0</v>
      </c>
      <c r="EC60" s="26">
        <f t="shared" si="179"/>
        <v>0</v>
      </c>
      <c r="ED60" s="26">
        <f t="shared" si="180"/>
        <v>0</v>
      </c>
      <c r="EE60" s="26">
        <f t="shared" si="181"/>
        <v>0</v>
      </c>
      <c r="EF60" s="26">
        <f t="shared" si="182"/>
        <v>13</v>
      </c>
      <c r="EG60" s="26">
        <f t="shared" si="183"/>
        <v>13</v>
      </c>
      <c r="EH60" s="26">
        <f t="shared" si="184"/>
        <v>0</v>
      </c>
      <c r="EI60" s="26">
        <f t="shared" si="185"/>
        <v>0</v>
      </c>
      <c r="EJ60" s="26">
        <f t="shared" si="186"/>
        <v>0</v>
      </c>
      <c r="EL60" s="26">
        <f t="shared" si="187"/>
        <v>0</v>
      </c>
      <c r="EM60" s="26">
        <f t="shared" si="188"/>
        <v>0</v>
      </c>
      <c r="EN60" s="26">
        <f t="shared" si="189"/>
        <v>0</v>
      </c>
      <c r="EO60" s="26">
        <f t="shared" si="190"/>
        <v>0</v>
      </c>
      <c r="EP60" s="26">
        <f t="shared" si="191"/>
        <v>0</v>
      </c>
      <c r="EQ60" s="26">
        <f t="shared" si="192"/>
        <v>0</v>
      </c>
      <c r="ER60" s="26">
        <f t="shared" si="193"/>
        <v>0</v>
      </c>
      <c r="ES60" s="26">
        <f t="shared" si="194"/>
        <v>0</v>
      </c>
      <c r="ET60" s="26">
        <f t="shared" si="195"/>
        <v>0</v>
      </c>
      <c r="EV60" s="26">
        <f t="shared" si="196"/>
        <v>0</v>
      </c>
      <c r="EW60" s="26">
        <f t="shared" si="197"/>
        <v>0</v>
      </c>
      <c r="EX60" s="26">
        <f t="shared" si="198"/>
        <v>0</v>
      </c>
      <c r="EY60" s="26">
        <f t="shared" si="199"/>
        <v>0</v>
      </c>
      <c r="EZ60" s="26">
        <f t="shared" si="200"/>
        <v>0</v>
      </c>
      <c r="FA60" s="26">
        <f t="shared" si="201"/>
        <v>0</v>
      </c>
      <c r="FB60" s="26">
        <f t="shared" si="202"/>
        <v>0</v>
      </c>
      <c r="FC60" s="26">
        <f t="shared" si="203"/>
        <v>0</v>
      </c>
      <c r="FD60" s="26">
        <f t="shared" si="204"/>
        <v>0</v>
      </c>
      <c r="FF60" s="26">
        <f t="shared" si="205"/>
        <v>0</v>
      </c>
      <c r="FG60" s="26">
        <f t="shared" si="206"/>
        <v>0</v>
      </c>
      <c r="FH60" s="26">
        <f t="shared" si="207"/>
        <v>0</v>
      </c>
      <c r="FI60" s="26">
        <f t="shared" si="208"/>
        <v>0</v>
      </c>
      <c r="FJ60" s="26">
        <f t="shared" si="209"/>
        <v>0</v>
      </c>
      <c r="FK60" s="26">
        <f t="shared" si="210"/>
        <v>0</v>
      </c>
      <c r="FL60" s="26">
        <f t="shared" si="211"/>
        <v>0</v>
      </c>
      <c r="FM60" s="26">
        <f t="shared" si="212"/>
        <v>0</v>
      </c>
      <c r="FN60" s="26">
        <f t="shared" si="213"/>
        <v>0</v>
      </c>
      <c r="FP60" s="26" t="e">
        <f t="shared" si="214"/>
        <v>#REF!</v>
      </c>
      <c r="FQ60" s="26" t="e">
        <f t="shared" si="215"/>
        <v>#REF!</v>
      </c>
      <c r="FR60" s="26" t="e">
        <f t="shared" si="216"/>
        <v>#REF!</v>
      </c>
      <c r="FS60" s="26" t="e">
        <f t="shared" si="217"/>
        <v>#REF!</v>
      </c>
      <c r="FT60" s="26" t="e">
        <f t="shared" si="218"/>
        <v>#REF!</v>
      </c>
      <c r="FU60" s="26" t="e">
        <f t="shared" si="219"/>
        <v>#REF!</v>
      </c>
      <c r="FV60" s="26" t="e">
        <f t="shared" si="220"/>
        <v>#REF!</v>
      </c>
      <c r="FW60" s="26" t="e">
        <f t="shared" si="221"/>
        <v>#REF!</v>
      </c>
      <c r="FX60" s="26" t="e">
        <f t="shared" si="222"/>
        <v>#REF!</v>
      </c>
      <c r="GB60" s="26" t="e">
        <f>IF(GB$2=InputTable[[#This Row],[Delivery Date]],_xlfn.XLOOKUP(GB$1,$BH$2:$BR$2,$BH60:$BR60,0),0)</f>
        <v>#REF!</v>
      </c>
      <c r="GC60" s="26">
        <f>IF(GC$2=InputTable[[#This Row],[Delivery Date]],_xlfn.XLOOKUP(GC$1,$BH$2:$BR$2,$BH60:$BR60,0),0)</f>
        <v>0</v>
      </c>
      <c r="GD60" s="26">
        <f>IF(GD$2=InputTable[[#This Row],[Delivery Date]],_xlfn.XLOOKUP(GD$1,$BH$2:$BR$2,$BH60:$BR60,0),0)</f>
        <v>0</v>
      </c>
      <c r="GE60" s="26">
        <f>IF(GE$2=InputTable[[#This Row],[Delivery Date]],_xlfn.XLOOKUP(GE$1,$BH$2:$BR$2,$BH60:$BR60,0),0)</f>
        <v>0</v>
      </c>
      <c r="GF60" s="26">
        <f>IF(GF$2=InputTable[[#This Row],[Delivery Date]],_xlfn.XLOOKUP(GF$1,$BH$2:$BR$2,$BH60:$BR60,0),0)</f>
        <v>0</v>
      </c>
      <c r="GG60" s="26">
        <f>IF(GG$2=InputTable[[#This Row],[Delivery Date]],_xlfn.XLOOKUP(GG$1,$BH$2:$BR$2,$BH60:$BR60,0),0)</f>
        <v>0</v>
      </c>
      <c r="GH60" s="26">
        <f>IF(GH$2=InputTable[[#This Row],[Delivery Date]],_xlfn.XLOOKUP(GH$1,$BH$2:$BR$2,$BH60:$BR60,0),0)</f>
        <v>0</v>
      </c>
      <c r="GI60" s="26">
        <f>IF(GI$2=InputTable[[#This Row],[Delivery Date]],_xlfn.XLOOKUP(GI$1,$BH$2:$BR$2,$BH60:$BR60,0),0)</f>
        <v>0</v>
      </c>
      <c r="GJ60" s="26">
        <f>IF(GJ$2=InputTable[[#This Row],[Delivery Date]],_xlfn.XLOOKUP(GJ$1,$BH$2:$BR$2,$BH60:$BR60,0),0)</f>
        <v>0</v>
      </c>
      <c r="GL60" s="26" t="e">
        <f>IF(GL$2=InputTable[[#This Row],[Delivery Date]],_xlfn.XLOOKUP(GL$1,$BH$2:$BR$2,$BH60:$BR60,0),0)</f>
        <v>#REF!</v>
      </c>
      <c r="GM60" s="26">
        <f>IF(GM$2=InputTable[[#This Row],[Delivery Date]],_xlfn.XLOOKUP(GM$1,$BH$2:$BR$2,$BH60:$BR60,0),0)</f>
        <v>0</v>
      </c>
      <c r="GN60" s="26">
        <f>IF(GN$2=InputTable[[#This Row],[Delivery Date]],_xlfn.XLOOKUP(GN$1,$BH$2:$BR$2,$BH60:$BR60,0),0)</f>
        <v>0</v>
      </c>
      <c r="GO60" s="26">
        <f>IF(GO$2=InputTable[[#This Row],[Delivery Date]],_xlfn.XLOOKUP(GO$1,$BH$2:$BR$2,$BH60:$BR60,0),0)</f>
        <v>0</v>
      </c>
      <c r="GP60" s="26">
        <f>IF(GP$2=InputTable[[#This Row],[Delivery Date]],_xlfn.XLOOKUP(GP$1,$BH$2:$BR$2,$BH60:$BR60,0),0)</f>
        <v>0</v>
      </c>
      <c r="GQ60" s="26">
        <f>IF(GQ$2=InputTable[[#This Row],[Delivery Date]],_xlfn.XLOOKUP(GQ$1,$BH$2:$BR$2,$BH60:$BR60,0),0)</f>
        <v>0</v>
      </c>
      <c r="GR60" s="26">
        <f>IF(GR$2=InputTable[[#This Row],[Delivery Date]],_xlfn.XLOOKUP(GR$1,$BH$2:$BR$2,$BH60:$BR60,0),0)</f>
        <v>0</v>
      </c>
      <c r="GS60" s="26">
        <f>IF(GS$2=InputTable[[#This Row],[Delivery Date]],_xlfn.XLOOKUP(GS$1,$BH$2:$BR$2,$BH60:$BR60,0),0)</f>
        <v>0</v>
      </c>
      <c r="GT60" s="26">
        <f>IF(GT$2=InputTable[[#This Row],[Delivery Date]],_xlfn.XLOOKUP(GT$1,$BH$2:$BR$2,$BH60:$BR60,0),0)</f>
        <v>0</v>
      </c>
      <c r="GV60" s="26" t="e">
        <f>IF(GV$2=InputTable[[#This Row],[Delivery Date]],_xlfn.XLOOKUP(GV$1,$BH$2:$BR$2,$BH60:$BR60,0),0)</f>
        <v>#REF!</v>
      </c>
      <c r="GW60" s="26">
        <f>IF(GW$2=InputTable[[#This Row],[Delivery Date]],_xlfn.XLOOKUP(GW$1,$BH$2:$BR$2,$BH60:$BR60,0),0)</f>
        <v>0</v>
      </c>
      <c r="GX60" s="26">
        <f>IF(GX$2=InputTable[[#This Row],[Delivery Date]],_xlfn.XLOOKUP(GX$1,$BH$2:$BR$2,$BH60:$BR60,0),0)</f>
        <v>0</v>
      </c>
      <c r="GY60" s="26">
        <f>IF(GY$2=InputTable[[#This Row],[Delivery Date]],_xlfn.XLOOKUP(GY$1,$BH$2:$BR$2,$BH60:$BR60,0),0)</f>
        <v>0</v>
      </c>
      <c r="GZ60" s="26">
        <f>IF(GZ$2=InputTable[[#This Row],[Delivery Date]],_xlfn.XLOOKUP(GZ$1,$BH$2:$BR$2,$BH60:$BR60,0),0)</f>
        <v>0</v>
      </c>
      <c r="HA60" s="26">
        <f>IF(HA$2=InputTable[[#This Row],[Delivery Date]],_xlfn.XLOOKUP(HA$1,$BH$2:$BR$2,$BH60:$BR60,0),0)</f>
        <v>0</v>
      </c>
      <c r="HB60" s="26">
        <f>IF(HB$2=InputTable[[#This Row],[Delivery Date]],_xlfn.XLOOKUP(HB$1,$BH$2:$BR$2,$BH60:$BR60,0),0)</f>
        <v>0</v>
      </c>
      <c r="HC60" s="26">
        <f>IF(HC$2=InputTable[[#This Row],[Delivery Date]],_xlfn.XLOOKUP(HC$1,$BH$2:$BR$2,$BH60:$BR60,0),0)</f>
        <v>0</v>
      </c>
      <c r="HD60" s="26">
        <f>IF(HD$2=InputTable[[#This Row],[Delivery Date]],_xlfn.XLOOKUP(HD$1,$BH$2:$BR$2,$BH60:$BR60,0),0)</f>
        <v>0</v>
      </c>
      <c r="HF60" s="26" t="e">
        <f>IF(HF$2=InputTable[[#This Row],[Delivery Date]],_xlfn.XLOOKUP(HF$1,$BH$2:$BR$2,$BH60:$BR60,0),0)</f>
        <v>#REF!</v>
      </c>
      <c r="HG60" s="26">
        <f>IF(HG$2=InputTable[[#This Row],[Delivery Date]],_xlfn.XLOOKUP(HG$1,$BH$2:$BR$2,$BH60:$BR60,0),0)</f>
        <v>0</v>
      </c>
      <c r="HH60" s="26">
        <f>IF(HH$2=InputTable[[#This Row],[Delivery Date]],_xlfn.XLOOKUP(HH$1,$BH$2:$BR$2,$BH60:$BR60,0),0)</f>
        <v>0</v>
      </c>
      <c r="HI60" s="26">
        <f>IF(HI$2=InputTable[[#This Row],[Delivery Date]],_xlfn.XLOOKUP(HI$1,$BH$2:$BR$2,$BH60:$BR60,0),0)</f>
        <v>0</v>
      </c>
      <c r="HJ60" s="26">
        <f>IF(HJ$2=InputTable[[#This Row],[Delivery Date]],_xlfn.XLOOKUP(HJ$1,$BH$2:$BR$2,$BH60:$BR60,0),0)</f>
        <v>0</v>
      </c>
      <c r="HK60" s="26">
        <f>IF(HK$2=InputTable[[#This Row],[Delivery Date]],_xlfn.XLOOKUP(HK$1,$BH$2:$BR$2,$BH60:$BR60,0),0)</f>
        <v>0</v>
      </c>
      <c r="HL60" s="26">
        <f>IF(HL$2=InputTable[[#This Row],[Delivery Date]],_xlfn.XLOOKUP(HL$1,$BH$2:$BR$2,$BH60:$BR60,0),0)</f>
        <v>0</v>
      </c>
      <c r="HM60" s="26">
        <f>IF(HM$2=InputTable[[#This Row],[Delivery Date]],_xlfn.XLOOKUP(HM$1,$BH$2:$BR$2,$BH60:$BR60,0),0)</f>
        <v>0</v>
      </c>
      <c r="HN60" s="26">
        <f>IF(HN$2=InputTable[[#This Row],[Delivery Date]],_xlfn.XLOOKUP(HN$1,$BH$2:$BR$2,$BH60:$BR60,0),0)</f>
        <v>0</v>
      </c>
      <c r="HP60" s="26" t="e">
        <f>IF(HP$2=InputTable[[#This Row],[Delivery Date]],_xlfn.XLOOKUP(HP$1,$BH$2:$BR$2,$BH60:$BR60,0),0)</f>
        <v>#REF!</v>
      </c>
      <c r="HQ60" s="26">
        <f>IF(HQ$2=InputTable[[#This Row],[Delivery Date]],_xlfn.XLOOKUP(HQ$1,$BH$2:$BR$2,$BH60:$BR60,0),0)</f>
        <v>0</v>
      </c>
      <c r="HR60" s="26">
        <f>IF(HR$2=InputTable[[#This Row],[Delivery Date]],_xlfn.XLOOKUP(HR$1,$BH$2:$BR$2,$BH60:$BR60,0),0)</f>
        <v>0</v>
      </c>
      <c r="HS60" s="26">
        <f>IF(HS$2=InputTable[[#This Row],[Delivery Date]],_xlfn.XLOOKUP(HS$1,$BH$2:$BR$2,$BH60:$BR60,0),0)</f>
        <v>0</v>
      </c>
      <c r="HT60" s="26">
        <f>IF(HT$2=InputTable[[#This Row],[Delivery Date]],_xlfn.XLOOKUP(HT$1,$BH$2:$BR$2,$BH60:$BR60,0),0)</f>
        <v>0</v>
      </c>
      <c r="HU60" s="26">
        <f>IF(HU$2=InputTable[[#This Row],[Delivery Date]],_xlfn.XLOOKUP(HU$1,$BH$2:$BR$2,$BH60:$BR60,0),0)</f>
        <v>0</v>
      </c>
      <c r="HV60" s="26">
        <f>IF(HV$2=InputTable[[#This Row],[Delivery Date]],_xlfn.XLOOKUP(HV$1,$BH$2:$BR$2,$BH60:$BR60,0),0)</f>
        <v>0</v>
      </c>
      <c r="HW60" s="26">
        <f>IF(HW$2=InputTable[[#This Row],[Delivery Date]],_xlfn.XLOOKUP(HW$1,$BH$2:$BR$2,$BH60:$BR60,0),0)</f>
        <v>0</v>
      </c>
      <c r="HX60" s="26">
        <f>IF(HX$2=InputTable[[#This Row],[Delivery Date]],_xlfn.XLOOKUP(HX$1,$BH$2:$BR$2,$BH60:$BR60,0),0)</f>
        <v>0</v>
      </c>
      <c r="HZ60" s="26" t="e">
        <f>IF(HZ$2=InputTable[[#This Row],[Delivery Date]],_xlfn.XLOOKUP(HZ$1,$BH$2:$BR$2,$BH60:$BR60,0),0)</f>
        <v>#REF!</v>
      </c>
      <c r="IA60" s="26">
        <f>IF(IA$2=InputTable[[#This Row],[Delivery Date]],_xlfn.XLOOKUP(IA$1,$BH$2:$BR$2,$BH60:$BR60,0),0)</f>
        <v>0</v>
      </c>
      <c r="IB60" s="26">
        <f>IF(IB$2=InputTable[[#This Row],[Delivery Date]],_xlfn.XLOOKUP(IB$1,$BH$2:$BR$2,$BH60:$BR60,0),0)</f>
        <v>0</v>
      </c>
      <c r="IC60" s="26">
        <f>IF(IC$2=InputTable[[#This Row],[Delivery Date]],_xlfn.XLOOKUP(IC$1,$BH$2:$BR$2,$BH60:$BR60,0),0)</f>
        <v>0</v>
      </c>
      <c r="ID60" s="26">
        <f>IF(ID$2=InputTable[[#This Row],[Delivery Date]],_xlfn.XLOOKUP(ID$1,$BH$2:$BR$2,$BH60:$BR60,0),0)</f>
        <v>0</v>
      </c>
      <c r="IE60" s="26">
        <f>IF(IE$2=InputTable[[#This Row],[Delivery Date]],_xlfn.XLOOKUP(IE$1,$BH$2:$BR$2,$BH60:$BR60,0),0)</f>
        <v>0</v>
      </c>
      <c r="IF60" s="26">
        <f>IF(IF$2=InputTable[[#This Row],[Delivery Date]],_xlfn.XLOOKUP(IF$1,$BH$2:$BR$2,$BH60:$BR60,0),0)</f>
        <v>0</v>
      </c>
      <c r="IG60" s="26">
        <f>IF(IG$2=InputTable[[#This Row],[Delivery Date]],_xlfn.XLOOKUP(IG$1,$BH$2:$BR$2,$BH60:$BR60,0),0)</f>
        <v>0</v>
      </c>
      <c r="IH60" s="26">
        <f>IF(IH$2=InputTable[[#This Row],[Delivery Date]],_xlfn.XLOOKUP(IH$1,$BH$2:$BR$2,$BH60:$BR60,0),0)</f>
        <v>0</v>
      </c>
      <c r="IJ60" s="26" t="e">
        <f>IF(IJ$2=InputTable[[#This Row],[Delivery Date]],_xlfn.XLOOKUP(IJ$1,$BH$2:$BR$2,$BH60:$BR60,0),0)</f>
        <v>#REF!</v>
      </c>
      <c r="IK60" s="26">
        <f>IF(IK$2=InputTable[[#This Row],[Delivery Date]],_xlfn.XLOOKUP(IK$1,$BH$2:$BR$2,$BH60:$BR60,0),0)</f>
        <v>0</v>
      </c>
      <c r="IL60" s="26">
        <f>IF(IL$2=InputTable[[#This Row],[Delivery Date]],_xlfn.XLOOKUP(IL$1,$BH$2:$BR$2,$BH60:$BR60,0),0)</f>
        <v>0</v>
      </c>
      <c r="IM60" s="26">
        <f>IF(IM$2=InputTable[[#This Row],[Delivery Date]],_xlfn.XLOOKUP(IM$1,$BH$2:$BR$2,$BH60:$BR60,0),0)</f>
        <v>0</v>
      </c>
      <c r="IN60" s="26">
        <f>IF(IN$2=InputTable[[#This Row],[Delivery Date]],_xlfn.XLOOKUP(IN$1,$BH$2:$BR$2,$BH60:$BR60,0),0)</f>
        <v>0</v>
      </c>
      <c r="IO60" s="26">
        <f>IF(IO$2=InputTable[[#This Row],[Delivery Date]],_xlfn.XLOOKUP(IO$1,$BH$2:$BR$2,$BH60:$BR60,0),0)</f>
        <v>0</v>
      </c>
      <c r="IP60" s="26">
        <f>IF(IP$2=InputTable[[#This Row],[Delivery Date]],_xlfn.XLOOKUP(IP$1,$BH$2:$BR$2,$BH60:$BR60,0),0)</f>
        <v>0</v>
      </c>
      <c r="IQ60" s="26">
        <f>IF(IQ$2=InputTable[[#This Row],[Delivery Date]],_xlfn.XLOOKUP(IQ$1,$BH$2:$BR$2,$BH60:$BR60,0),0)</f>
        <v>0</v>
      </c>
      <c r="IR60" s="26">
        <f>IF(IR$2=InputTable[[#This Row],[Delivery Date]],_xlfn.XLOOKUP(IR$1,$BH$2:$BR$2,$BH60:$BR60,0),0)</f>
        <v>0</v>
      </c>
      <c r="IT60" s="26" t="e">
        <f>IF(IT$2=InputTable[[#This Row],[Delivery Date]],_xlfn.XLOOKUP(IT$1,$BH$2:$BR$2,$BH60:$BR60,0),0)</f>
        <v>#REF!</v>
      </c>
      <c r="IU60" s="26">
        <f>IF(IU$2=InputTable[[#This Row],[Delivery Date]],_xlfn.XLOOKUP(IU$1,$BH$2:$BR$2,$BH60:$BR60,0),0)</f>
        <v>0</v>
      </c>
      <c r="IV60" s="26">
        <f>IF(IV$2=InputTable[[#This Row],[Delivery Date]],_xlfn.XLOOKUP(IV$1,$BH$2:$BR$2,$BH60:$BR60,0),0)</f>
        <v>0</v>
      </c>
      <c r="IW60" s="26">
        <f>IF(IW$2=InputTable[[#This Row],[Delivery Date]],_xlfn.XLOOKUP(IW$1,$BH$2:$BR$2,$BH60:$BR60,0),0)</f>
        <v>0</v>
      </c>
      <c r="IX60" s="26">
        <f>IF(IX$2=InputTable[[#This Row],[Delivery Date]],_xlfn.XLOOKUP(IX$1,$BH$2:$BR$2,$BH60:$BR60,0),0)</f>
        <v>0</v>
      </c>
      <c r="IY60" s="26">
        <f>IF(IY$2=InputTable[[#This Row],[Delivery Date]],_xlfn.XLOOKUP(IY$1,$BH$2:$BR$2,$BH60:$BR60,0),0)</f>
        <v>0</v>
      </c>
      <c r="IZ60" s="26">
        <f>IF(IZ$2=InputTable[[#This Row],[Delivery Date]],_xlfn.XLOOKUP(IZ$1,$BH$2:$BR$2,$BH60:$BR60,0),0)</f>
        <v>0</v>
      </c>
      <c r="JA60" s="26">
        <f>IF(JA$2=InputTable[[#This Row],[Delivery Date]],_xlfn.XLOOKUP(JA$1,$BH$2:$BR$2,$BH60:$BR60,0),0)</f>
        <v>0</v>
      </c>
      <c r="JB60" s="26">
        <f>IF(JB$2=InputTable[[#This Row],[Delivery Date]],_xlfn.XLOOKUP(JB$1,$BH$2:$BR$2,$BH60:$BR60,0),0)</f>
        <v>0</v>
      </c>
      <c r="JD60" s="26" t="e">
        <f>IF(JD$2=InputTable[[#This Row],[Delivery Date]],_xlfn.XLOOKUP(JD$1,$BH$2:$BR$2,$BH60:$BR60,0),0)</f>
        <v>#REF!</v>
      </c>
      <c r="JE60" s="26">
        <f>IF(JE$2=InputTable[[#This Row],[Delivery Date]],_xlfn.XLOOKUP(JE$1,$BH$2:$BR$2,$BH60:$BR60,0),0)</f>
        <v>0</v>
      </c>
      <c r="JF60" s="26">
        <f>IF(JF$2=InputTable[[#This Row],[Delivery Date]],_xlfn.XLOOKUP(JF$1,$BH$2:$BR$2,$BH60:$BR60,0),0)</f>
        <v>0</v>
      </c>
      <c r="JG60" s="26">
        <f>IF(JG$2=InputTable[[#This Row],[Delivery Date]],_xlfn.XLOOKUP(JG$1,$BH$2:$BR$2,$BH60:$BR60,0),0)</f>
        <v>0</v>
      </c>
      <c r="JH60" s="26">
        <f>IF(JH$2=InputTable[[#This Row],[Delivery Date]],_xlfn.XLOOKUP(JH$1,$BH$2:$BR$2,$BH60:$BR60,0),0)</f>
        <v>0</v>
      </c>
      <c r="JI60" s="26">
        <f>IF(JI$2=InputTable[[#This Row],[Delivery Date]],_xlfn.XLOOKUP(JI$1,$BH$2:$BR$2,$BH60:$BR60,0),0)</f>
        <v>0</v>
      </c>
      <c r="JJ60" s="26">
        <f>IF(JJ$2=InputTable[[#This Row],[Delivery Date]],_xlfn.XLOOKUP(JJ$1,$BH$2:$BR$2,$BH60:$BR60,0),0)</f>
        <v>0</v>
      </c>
      <c r="JK60" s="26">
        <f>IF(JK$2=InputTable[[#This Row],[Delivery Date]],_xlfn.XLOOKUP(JK$1,$BH$2:$BR$2,$BH60:$BR60,0),0)</f>
        <v>0</v>
      </c>
      <c r="JL60" s="26">
        <f>IF(JL$2=InputTable[[#This Row],[Delivery Date]],_xlfn.XLOOKUP(JL$1,$BH$2:$BR$2,$BH60:$BR60,0),0)</f>
        <v>0</v>
      </c>
      <c r="JN60" s="26" t="e">
        <f>IF(JN$2=InputTable[[#This Row],[Delivery Date]],_xlfn.XLOOKUP(JN$1,$BH$2:$BR$2,$BH60:$BR60,0),0)</f>
        <v>#REF!</v>
      </c>
      <c r="JO60" s="26">
        <f>IF(JO$2=InputTable[[#This Row],[Delivery Date]],_xlfn.XLOOKUP(JO$1,$BH$2:$BR$2,$BH60:$BR60,0),0)</f>
        <v>0</v>
      </c>
      <c r="JP60" s="26">
        <f>IF(JP$2=InputTable[[#This Row],[Delivery Date]],_xlfn.XLOOKUP(JP$1,$BH$2:$BR$2,$BH60:$BR60,0),0)</f>
        <v>0</v>
      </c>
      <c r="JQ60" s="26">
        <f>IF(JQ$2=InputTable[[#This Row],[Delivery Date]],_xlfn.XLOOKUP(JQ$1,$BH$2:$BR$2,$BH60:$BR60,0),0)</f>
        <v>0</v>
      </c>
      <c r="JR60" s="26">
        <f>IF(JR$2=InputTable[[#This Row],[Delivery Date]],_xlfn.XLOOKUP(JR$1,$BH$2:$BR$2,$BH60:$BR60,0),0)</f>
        <v>0</v>
      </c>
      <c r="JS60" s="26">
        <f>IF(JS$2=InputTable[[#This Row],[Delivery Date]],_xlfn.XLOOKUP(JS$1,$BH$2:$BR$2,$BH60:$BR60,0),0)</f>
        <v>0</v>
      </c>
      <c r="JT60" s="26">
        <f>IF(JT$2=InputTable[[#This Row],[Delivery Date]],_xlfn.XLOOKUP(JT$1,$BH$2:$BR$2,$BH60:$BR60,0),0)</f>
        <v>0</v>
      </c>
      <c r="JU60" s="26">
        <f>IF(JU$2=InputTable[[#This Row],[Delivery Date]],_xlfn.XLOOKUP(JU$1,$BH$2:$BR$2,$BH60:$BR60,0),0)</f>
        <v>0</v>
      </c>
      <c r="JV60" s="26">
        <f>IF(JV$2=InputTable[[#This Row],[Delivery Date]],_xlfn.XLOOKUP(JV$1,$BH$2:$BR$2,$BH60:$BR60,0),0)</f>
        <v>0</v>
      </c>
      <c r="JX60" s="26" t="e">
        <f>IF(JX$2=InputTable[[#This Row],[Delivery Date]],_xlfn.XLOOKUP(JX$1,$BH$2:$BR$2,$BH60:$BR60,0),0)</f>
        <v>#REF!</v>
      </c>
      <c r="JY60" s="26">
        <f>IF(JY$2=InputTable[[#This Row],[Delivery Date]],_xlfn.XLOOKUP(JY$1,$BH$2:$BR$2,$BH60:$BR60,0),0)</f>
        <v>0</v>
      </c>
      <c r="JZ60" s="26">
        <f>IF(JZ$2=InputTable[[#This Row],[Delivery Date]],_xlfn.XLOOKUP(JZ$1,$BH$2:$BR$2,$BH60:$BR60,0),0)</f>
        <v>0</v>
      </c>
      <c r="KA60" s="26">
        <f>IF(KA$2=InputTable[[#This Row],[Delivery Date]],_xlfn.XLOOKUP(KA$1,$BH$2:$BR$2,$BH60:$BR60,0),0)</f>
        <v>0</v>
      </c>
      <c r="KB60" s="26">
        <f>IF(KB$2=InputTable[[#This Row],[Delivery Date]],_xlfn.XLOOKUP(KB$1,$BH$2:$BR$2,$BH60:$BR60,0),0)</f>
        <v>0</v>
      </c>
      <c r="KC60" s="26">
        <f>IF(KC$2=InputTable[[#This Row],[Delivery Date]],_xlfn.XLOOKUP(KC$1,$BH$2:$BR$2,$BH60:$BR60,0),0)</f>
        <v>0</v>
      </c>
      <c r="KD60" s="26">
        <f>IF(KD$2=InputTable[[#This Row],[Delivery Date]],_xlfn.XLOOKUP(KD$1,$BH$2:$BR$2,$BH60:$BR60,0),0)</f>
        <v>0</v>
      </c>
      <c r="KE60" s="26">
        <f>IF(KE$2=InputTable[[#This Row],[Delivery Date]],_xlfn.XLOOKUP(KE$1,$BH$2:$BR$2,$BH60:$BR60,0),0)</f>
        <v>0</v>
      </c>
      <c r="KF60" s="26">
        <f>IF(KF$2=InputTable[[#This Row],[Delivery Date]],_xlfn.XLOOKUP(KF$1,$BH$2:$BR$2,$BH60:$BR60,0),0)</f>
        <v>0</v>
      </c>
    </row>
    <row r="61" spans="1:294" ht="39.6" customHeight="1" x14ac:dyDescent="0.25">
      <c r="A61" s="141" t="s">
        <v>162</v>
      </c>
      <c r="B61" s="141" t="s">
        <v>104</v>
      </c>
      <c r="C61" s="92" t="s">
        <v>59</v>
      </c>
      <c r="D61" s="125" t="s">
        <v>298</v>
      </c>
      <c r="E61" s="193" t="s">
        <v>299</v>
      </c>
      <c r="F61" s="92" t="s">
        <v>24</v>
      </c>
      <c r="G61" s="114" t="s">
        <v>98</v>
      </c>
      <c r="H61" s="99"/>
      <c r="I61" s="98" t="s">
        <v>98</v>
      </c>
      <c r="J61" s="125"/>
      <c r="K61" s="95" t="e">
        <f>VLOOKUP((InputTable[[#This Row],[Starting Date]]&amp; " - " &amp;InputTable[[#This Row],[Delivery Date]]),'System List'!$F$40:$H$83,2,FALSE)</f>
        <v>#N/A</v>
      </c>
      <c r="L61" s="95" t="e">
        <f>VLOOKUP(InputTable[[#This Row],[Duration]],Duration,2,FALSE)</f>
        <v>#N/A</v>
      </c>
      <c r="M61" s="126"/>
      <c r="N61" s="98"/>
      <c r="O61" s="98"/>
      <c r="P61" s="98" t="s">
        <v>111</v>
      </c>
      <c r="Q61" s="98"/>
      <c r="R61" s="98" t="s">
        <v>111</v>
      </c>
      <c r="S61" s="92"/>
      <c r="T61" s="95" cm="1">
        <f t="array" ref="T6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61" s="138"/>
      <c r="V61" s="98"/>
      <c r="W61" s="98"/>
      <c r="X61" s="98" t="s">
        <v>111</v>
      </c>
      <c r="Y61" s="98" t="s">
        <v>139</v>
      </c>
      <c r="Z61" s="98"/>
      <c r="AA61" s="98"/>
      <c r="AB61" s="98"/>
      <c r="AC61" s="98"/>
      <c r="AD61" s="92">
        <f>COUNTA(InputTable[[#This Row],[CORPHRFIN]:[SALES]])</f>
        <v>2</v>
      </c>
      <c r="AE61" s="88" cm="1">
        <f t="array" ref="AE61">SUM(
_xlfn.XLOOKUP(InputTable[[#This Row],[CORPHRFIN]:[SALES]],'System List'!$F$4:$F$7,'System List'!$H$4:$H$7,0))</f>
        <v>13</v>
      </c>
      <c r="AF61" s="140"/>
      <c r="AG61" s="101"/>
      <c r="AH61" s="101"/>
      <c r="AI61" s="101"/>
      <c r="AJ61" s="101"/>
      <c r="AK61" s="101"/>
      <c r="AL61" s="101" t="s">
        <v>139</v>
      </c>
      <c r="AM61" s="101"/>
      <c r="AN61" s="101"/>
      <c r="AO61" s="101"/>
      <c r="AP61" s="101"/>
      <c r="AQ61" s="101"/>
      <c r="AR61" s="88" cm="1">
        <f t="array" ref="AR61">SUM(
_xlfn.XLOOKUP(InputTable[[#This Row],[Impact on - CIAL]:[Impact on - STRAT]],'System List'!$F$4:$F$7,'System List'!$H$4:$H$7,0))</f>
        <v>8</v>
      </c>
      <c r="AS61" s="88" t="e">
        <f>VLOOKUP(InputTable[[#This Row],[Duration]],Duration,2,FALSE)+InputTable[[#This Row],[Resource Score]]</f>
        <v>#N/A</v>
      </c>
      <c r="AT6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1" s="24" t="e">
        <f>InputTable[[#This Row],[Value Score]]/InputTable[[#This Row],[EFFORT SCORE]]*100</f>
        <v>#N/A</v>
      </c>
      <c r="AV61" s="25" t="str">
        <f>InputTable[[#This Row],[IS Portfolio Ref ID]]</f>
        <v>ISPRJ-45</v>
      </c>
      <c r="AW61" s="25" t="s">
        <v>225</v>
      </c>
      <c r="AX61" s="208" t="s">
        <v>154</v>
      </c>
      <c r="AY61" s="25"/>
      <c r="AZ61" s="209">
        <v>0</v>
      </c>
      <c r="BA61" s="209">
        <v>150000</v>
      </c>
      <c r="BB61" s="209"/>
      <c r="BC61" s="189">
        <f>SUM(InputTable[[#This Row],[Opex IS Budget (full project)]]+InputTable[[#This Row],[Capex IS Budget (full project)]])</f>
        <v>150000</v>
      </c>
      <c r="BD61" s="188">
        <v>1</v>
      </c>
      <c r="BE61" s="188">
        <v>1</v>
      </c>
      <c r="BF61" s="70"/>
      <c r="BH61" s="2">
        <f>IFERROR(VLOOKUP(InputTable[[#This Row],[Impact on - CIAL]],'System List'!$F$4:$H$7,3,FALSE),0)</f>
        <v>0</v>
      </c>
      <c r="BI61" s="2">
        <f>IFERROR(VLOOKUP(InputTable[[#This Row],[Impact on - COM]],'System List'!$F$4:$H$7,3,FALSE),0)</f>
        <v>0</v>
      </c>
      <c r="BJ61" s="2">
        <f>IFERROR(VLOOKUP(InputTable[[#This Row],[Impact on - FIN]],'System List'!$F$4:$H$7,3,FALSE),0)</f>
        <v>0</v>
      </c>
      <c r="BK61" s="2">
        <f>IFERROR(VLOOKUP(InputTable[[#This Row],[Impact on - GEN SEC]],'System List'!$F$4:$H$7,3,FALSE),0)</f>
        <v>0</v>
      </c>
      <c r="BL61" s="2">
        <f>IFERROR(VLOOKUP(InputTable[[#This Row],[Impact on - HR]],'System List'!$F$4:$H$7,3,FALSE),0)</f>
        <v>0</v>
      </c>
      <c r="BM61" s="2">
        <f>IFERROR(VLOOKUP(InputTable[[#This Row],[Impact on - IS]],'System List'!$F$4:$H$7,3,FALSE),0)</f>
        <v>8</v>
      </c>
      <c r="BN61" s="2">
        <f>IFERROR(VLOOKUP(InputTable[[#This Row],[Impact on - OPS]],'System List'!$F$4:$H$7,3,FALSE),0)</f>
        <v>0</v>
      </c>
      <c r="BO61" s="2">
        <f>IFERROR(VLOOKUP(InputTable[[#This Row],[Impact on - ROLL STOCK]],'System List'!$F$4:$H$7,3,FALSE),0)</f>
        <v>0</v>
      </c>
      <c r="BP61" s="2">
        <f>IFERROR(VLOOKUP(InputTable[[#This Row],[Impact on - SAFETY]],'System List'!$F$4:$H$7,3,FALSE),0)</f>
        <v>0</v>
      </c>
      <c r="BQ61" s="2">
        <f>IFERROR(VLOOKUP(InputTable[[#This Row],[Impact on - STATION]],'System List'!$F$4:$H$7,3,FALSE),0)</f>
        <v>0</v>
      </c>
      <c r="BR61" s="2">
        <f>IFERROR(VLOOKUP(InputTable[[#This Row],[Impact on - STRAT]],'System List'!$F$4:$H$7,3,FALSE),0)</f>
        <v>0</v>
      </c>
      <c r="BT61" s="2">
        <f>IFERROR(VLOOKUP(InputTable[[#This Row],[CORPHRFIN]],'System List'!$F$4:$H$7,3,FALSE),0)</f>
        <v>0</v>
      </c>
      <c r="BU61" s="2">
        <f>IFERROR(VLOOKUP(InputTable[[#This Row],[CUST]],'System List'!$F$4:$H$7,3,FALSE),0)</f>
        <v>0</v>
      </c>
      <c r="BV61" s="2">
        <f>IFERROR(VLOOKUP(InputTable[[#This Row],[CYBER]],'System List'!$F$4:$H$7,3,FALSE),0)</f>
        <v>5</v>
      </c>
      <c r="BW61" s="2">
        <f>IFERROR(VLOOKUP(InputTable[[#This Row],[DATA]],'System List'!$F$4:$H$7,3,FALSE),0)</f>
        <v>8</v>
      </c>
      <c r="BX61" s="2">
        <f>IFERROR(VLOOKUP(InputTable[[#This Row],[INFRA]],'System List'!$F$4:$H$7,3,FALSE),0)</f>
        <v>0</v>
      </c>
      <c r="BY61" s="2">
        <f>IFERROR(VLOOKUP(InputTable[[#This Row],[OPERATIONS]],'System List'!$F$4:$H$7,3,FALSE),0)</f>
        <v>0</v>
      </c>
      <c r="BZ61" s="2">
        <f>IFERROR(VLOOKUP(InputTable[[#This Row],[PMO]],'System List'!$F$4:$H$7,3,FALSE),0)</f>
        <v>0</v>
      </c>
      <c r="CA61" s="2">
        <f>IFERROR(VLOOKUP(InputTable[[#This Row],[SALES]],'System List'!$F$4:$H$7,3,FALSE),0)</f>
        <v>0</v>
      </c>
      <c r="CC61" s="2" cm="1">
        <f t="array" ref="CC6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1" s="2" cm="1">
        <f t="array" ref="CD6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1" s="2" cm="1">
        <f t="array" ref="CE6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1" s="2" cm="1">
        <f t="array" ref="CF6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1" s="2" cm="1">
        <f t="array" ref="CG6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1" s="2" cm="1">
        <f t="array" ref="CH6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1" s="2" cm="1">
        <f t="array" ref="CI6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1" s="2" cm="1">
        <f t="array" ref="CJ6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1" s="2" cm="1">
        <f t="array" ref="CK6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6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6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1" s="26">
        <f t="shared" si="151"/>
        <v>0</v>
      </c>
      <c r="CY61" s="26">
        <f t="shared" si="152"/>
        <v>0</v>
      </c>
      <c r="CZ61" s="26">
        <f t="shared" si="153"/>
        <v>0</v>
      </c>
      <c r="DA61" s="26">
        <f t="shared" si="154"/>
        <v>0</v>
      </c>
      <c r="DB61" s="26">
        <f t="shared" si="155"/>
        <v>0</v>
      </c>
      <c r="DC61" s="26">
        <f t="shared" si="156"/>
        <v>0</v>
      </c>
      <c r="DD61" s="26">
        <f t="shared" si="157"/>
        <v>0</v>
      </c>
      <c r="DE61" s="26">
        <f t="shared" si="158"/>
        <v>0</v>
      </c>
      <c r="DF61" s="26">
        <f t="shared" si="159"/>
        <v>0</v>
      </c>
      <c r="DH61" s="26">
        <f t="shared" si="160"/>
        <v>0</v>
      </c>
      <c r="DI61" s="26">
        <f t="shared" si="161"/>
        <v>0</v>
      </c>
      <c r="DJ61" s="26">
        <f t="shared" si="162"/>
        <v>0</v>
      </c>
      <c r="DK61" s="26">
        <f t="shared" si="163"/>
        <v>0</v>
      </c>
      <c r="DL61" s="26">
        <f t="shared" si="164"/>
        <v>0</v>
      </c>
      <c r="DM61" s="26">
        <f t="shared" si="165"/>
        <v>0</v>
      </c>
      <c r="DN61" s="26">
        <f t="shared" si="166"/>
        <v>0</v>
      </c>
      <c r="DO61" s="26">
        <f t="shared" si="167"/>
        <v>0</v>
      </c>
      <c r="DP61" s="26">
        <f t="shared" si="168"/>
        <v>0</v>
      </c>
      <c r="DR61" s="26">
        <f t="shared" si="169"/>
        <v>0</v>
      </c>
      <c r="DS61" s="26">
        <f t="shared" si="170"/>
        <v>0</v>
      </c>
      <c r="DT61" s="26">
        <f t="shared" si="171"/>
        <v>0</v>
      </c>
      <c r="DU61" s="26">
        <f t="shared" si="172"/>
        <v>0</v>
      </c>
      <c r="DV61" s="26">
        <f t="shared" si="173"/>
        <v>0</v>
      </c>
      <c r="DW61" s="26">
        <f t="shared" si="174"/>
        <v>5</v>
      </c>
      <c r="DX61" s="26">
        <f t="shared" si="175"/>
        <v>0</v>
      </c>
      <c r="DY61" s="26">
        <f t="shared" si="176"/>
        <v>0</v>
      </c>
      <c r="DZ61" s="26">
        <f t="shared" si="177"/>
        <v>0</v>
      </c>
      <c r="EB61" s="26">
        <f t="shared" si="178"/>
        <v>0</v>
      </c>
      <c r="EC61" s="26">
        <f t="shared" si="179"/>
        <v>0</v>
      </c>
      <c r="ED61" s="26">
        <f t="shared" si="180"/>
        <v>0</v>
      </c>
      <c r="EE61" s="26">
        <f t="shared" si="181"/>
        <v>0</v>
      </c>
      <c r="EF61" s="26">
        <f t="shared" si="182"/>
        <v>0</v>
      </c>
      <c r="EG61" s="26">
        <f t="shared" si="183"/>
        <v>8</v>
      </c>
      <c r="EH61" s="26">
        <f t="shared" si="184"/>
        <v>0</v>
      </c>
      <c r="EI61" s="26">
        <f t="shared" si="185"/>
        <v>0</v>
      </c>
      <c r="EJ61" s="26">
        <f t="shared" si="186"/>
        <v>0</v>
      </c>
      <c r="EL61" s="26">
        <f t="shared" si="187"/>
        <v>0</v>
      </c>
      <c r="EM61" s="26">
        <f t="shared" si="188"/>
        <v>0</v>
      </c>
      <c r="EN61" s="26">
        <f t="shared" si="189"/>
        <v>0</v>
      </c>
      <c r="EO61" s="26">
        <f t="shared" si="190"/>
        <v>0</v>
      </c>
      <c r="EP61" s="26">
        <f t="shared" si="191"/>
        <v>0</v>
      </c>
      <c r="EQ61" s="26">
        <f t="shared" si="192"/>
        <v>0</v>
      </c>
      <c r="ER61" s="26">
        <f t="shared" si="193"/>
        <v>0</v>
      </c>
      <c r="ES61" s="26">
        <f t="shared" si="194"/>
        <v>0</v>
      </c>
      <c r="ET61" s="26">
        <f t="shared" si="195"/>
        <v>0</v>
      </c>
      <c r="EV61" s="26">
        <f t="shared" si="196"/>
        <v>0</v>
      </c>
      <c r="EW61" s="26">
        <f t="shared" si="197"/>
        <v>0</v>
      </c>
      <c r="EX61" s="26">
        <f t="shared" si="198"/>
        <v>0</v>
      </c>
      <c r="EY61" s="26">
        <f t="shared" si="199"/>
        <v>0</v>
      </c>
      <c r="EZ61" s="26">
        <f t="shared" si="200"/>
        <v>0</v>
      </c>
      <c r="FA61" s="26">
        <f t="shared" si="201"/>
        <v>0</v>
      </c>
      <c r="FB61" s="26">
        <f t="shared" si="202"/>
        <v>0</v>
      </c>
      <c r="FC61" s="26">
        <f t="shared" si="203"/>
        <v>0</v>
      </c>
      <c r="FD61" s="26">
        <f t="shared" si="204"/>
        <v>0</v>
      </c>
      <c r="FF61" s="26">
        <f t="shared" si="205"/>
        <v>0</v>
      </c>
      <c r="FG61" s="26">
        <f t="shared" si="206"/>
        <v>0</v>
      </c>
      <c r="FH61" s="26">
        <f t="shared" si="207"/>
        <v>0</v>
      </c>
      <c r="FI61" s="26">
        <f t="shared" si="208"/>
        <v>0</v>
      </c>
      <c r="FJ61" s="26">
        <f t="shared" si="209"/>
        <v>0</v>
      </c>
      <c r="FK61" s="26">
        <f t="shared" si="210"/>
        <v>0</v>
      </c>
      <c r="FL61" s="26">
        <f t="shared" si="211"/>
        <v>0</v>
      </c>
      <c r="FM61" s="26">
        <f t="shared" si="212"/>
        <v>0</v>
      </c>
      <c r="FN61" s="26">
        <f t="shared" si="213"/>
        <v>0</v>
      </c>
      <c r="FP61" s="26" t="e">
        <f t="shared" si="214"/>
        <v>#REF!</v>
      </c>
      <c r="FQ61" s="26" t="e">
        <f t="shared" si="215"/>
        <v>#REF!</v>
      </c>
      <c r="FR61" s="26" t="e">
        <f t="shared" si="216"/>
        <v>#REF!</v>
      </c>
      <c r="FS61" s="26" t="e">
        <f t="shared" si="217"/>
        <v>#REF!</v>
      </c>
      <c r="FT61" s="26" t="e">
        <f t="shared" si="218"/>
        <v>#REF!</v>
      </c>
      <c r="FU61" s="26" t="e">
        <f t="shared" si="219"/>
        <v>#REF!</v>
      </c>
      <c r="FV61" s="26" t="e">
        <f t="shared" si="220"/>
        <v>#REF!</v>
      </c>
      <c r="FW61" s="26" t="e">
        <f t="shared" si="221"/>
        <v>#REF!</v>
      </c>
      <c r="FX61" s="26" t="e">
        <f t="shared" si="222"/>
        <v>#REF!</v>
      </c>
      <c r="GB61" s="26" t="e">
        <f>IF(GB$2=InputTable[[#This Row],[Delivery Date]],_xlfn.XLOOKUP(GB$1,$BH$2:$BR$2,$BH61:$BR61,0),0)</f>
        <v>#REF!</v>
      </c>
      <c r="GC61" s="26">
        <f>IF(GC$2=InputTable[[#This Row],[Delivery Date]],_xlfn.XLOOKUP(GC$1,$BH$2:$BR$2,$BH61:$BR61,0),0)</f>
        <v>0</v>
      </c>
      <c r="GD61" s="26">
        <f>IF(GD$2=InputTable[[#This Row],[Delivery Date]],_xlfn.XLOOKUP(GD$1,$BH$2:$BR$2,$BH61:$BR61,0),0)</f>
        <v>0</v>
      </c>
      <c r="GE61" s="26">
        <f>IF(GE$2=InputTable[[#This Row],[Delivery Date]],_xlfn.XLOOKUP(GE$1,$BH$2:$BR$2,$BH61:$BR61,0),0)</f>
        <v>0</v>
      </c>
      <c r="GF61" s="26">
        <f>IF(GF$2=InputTable[[#This Row],[Delivery Date]],_xlfn.XLOOKUP(GF$1,$BH$2:$BR$2,$BH61:$BR61,0),0)</f>
        <v>0</v>
      </c>
      <c r="GG61" s="26">
        <f>IF(GG$2=InputTable[[#This Row],[Delivery Date]],_xlfn.XLOOKUP(GG$1,$BH$2:$BR$2,$BH61:$BR61,0),0)</f>
        <v>0</v>
      </c>
      <c r="GH61" s="26">
        <f>IF(GH$2=InputTable[[#This Row],[Delivery Date]],_xlfn.XLOOKUP(GH$1,$BH$2:$BR$2,$BH61:$BR61,0),0)</f>
        <v>0</v>
      </c>
      <c r="GI61" s="26">
        <f>IF(GI$2=InputTable[[#This Row],[Delivery Date]],_xlfn.XLOOKUP(GI$1,$BH$2:$BR$2,$BH61:$BR61,0),0)</f>
        <v>0</v>
      </c>
      <c r="GJ61" s="26">
        <f>IF(GJ$2=InputTable[[#This Row],[Delivery Date]],_xlfn.XLOOKUP(GJ$1,$BH$2:$BR$2,$BH61:$BR61,0),0)</f>
        <v>0</v>
      </c>
      <c r="GL61" s="26" t="e">
        <f>IF(GL$2=InputTable[[#This Row],[Delivery Date]],_xlfn.XLOOKUP(GL$1,$BH$2:$BR$2,$BH61:$BR61,0),0)</f>
        <v>#REF!</v>
      </c>
      <c r="GM61" s="26">
        <f>IF(GM$2=InputTable[[#This Row],[Delivery Date]],_xlfn.XLOOKUP(GM$1,$BH$2:$BR$2,$BH61:$BR61,0),0)</f>
        <v>0</v>
      </c>
      <c r="GN61" s="26">
        <f>IF(GN$2=InputTable[[#This Row],[Delivery Date]],_xlfn.XLOOKUP(GN$1,$BH$2:$BR$2,$BH61:$BR61,0),0)</f>
        <v>0</v>
      </c>
      <c r="GO61" s="26">
        <f>IF(GO$2=InputTable[[#This Row],[Delivery Date]],_xlfn.XLOOKUP(GO$1,$BH$2:$BR$2,$BH61:$BR61,0),0)</f>
        <v>0</v>
      </c>
      <c r="GP61" s="26">
        <f>IF(GP$2=InputTable[[#This Row],[Delivery Date]],_xlfn.XLOOKUP(GP$1,$BH$2:$BR$2,$BH61:$BR61,0),0)</f>
        <v>0</v>
      </c>
      <c r="GQ61" s="26">
        <f>IF(GQ$2=InputTable[[#This Row],[Delivery Date]],_xlfn.XLOOKUP(GQ$1,$BH$2:$BR$2,$BH61:$BR61,0),0)</f>
        <v>0</v>
      </c>
      <c r="GR61" s="26">
        <f>IF(GR$2=InputTable[[#This Row],[Delivery Date]],_xlfn.XLOOKUP(GR$1,$BH$2:$BR$2,$BH61:$BR61,0),0)</f>
        <v>0</v>
      </c>
      <c r="GS61" s="26">
        <f>IF(GS$2=InputTable[[#This Row],[Delivery Date]],_xlfn.XLOOKUP(GS$1,$BH$2:$BR$2,$BH61:$BR61,0),0)</f>
        <v>0</v>
      </c>
      <c r="GT61" s="26">
        <f>IF(GT$2=InputTable[[#This Row],[Delivery Date]],_xlfn.XLOOKUP(GT$1,$BH$2:$BR$2,$BH61:$BR61,0),0)</f>
        <v>0</v>
      </c>
      <c r="GV61" s="26" t="e">
        <f>IF(GV$2=InputTable[[#This Row],[Delivery Date]],_xlfn.XLOOKUP(GV$1,$BH$2:$BR$2,$BH61:$BR61,0),0)</f>
        <v>#REF!</v>
      </c>
      <c r="GW61" s="26">
        <f>IF(GW$2=InputTable[[#This Row],[Delivery Date]],_xlfn.XLOOKUP(GW$1,$BH$2:$BR$2,$BH61:$BR61,0),0)</f>
        <v>0</v>
      </c>
      <c r="GX61" s="26">
        <f>IF(GX$2=InputTable[[#This Row],[Delivery Date]],_xlfn.XLOOKUP(GX$1,$BH$2:$BR$2,$BH61:$BR61,0),0)</f>
        <v>0</v>
      </c>
      <c r="GY61" s="26">
        <f>IF(GY$2=InputTable[[#This Row],[Delivery Date]],_xlfn.XLOOKUP(GY$1,$BH$2:$BR$2,$BH61:$BR61,0),0)</f>
        <v>0</v>
      </c>
      <c r="GZ61" s="26">
        <f>IF(GZ$2=InputTable[[#This Row],[Delivery Date]],_xlfn.XLOOKUP(GZ$1,$BH$2:$BR$2,$BH61:$BR61,0),0)</f>
        <v>0</v>
      </c>
      <c r="HA61" s="26">
        <f>IF(HA$2=InputTable[[#This Row],[Delivery Date]],_xlfn.XLOOKUP(HA$1,$BH$2:$BR$2,$BH61:$BR61,0),0)</f>
        <v>0</v>
      </c>
      <c r="HB61" s="26">
        <f>IF(HB$2=InputTable[[#This Row],[Delivery Date]],_xlfn.XLOOKUP(HB$1,$BH$2:$BR$2,$BH61:$BR61,0),0)</f>
        <v>0</v>
      </c>
      <c r="HC61" s="26">
        <f>IF(HC$2=InputTable[[#This Row],[Delivery Date]],_xlfn.XLOOKUP(HC$1,$BH$2:$BR$2,$BH61:$BR61,0),0)</f>
        <v>0</v>
      </c>
      <c r="HD61" s="26">
        <f>IF(HD$2=InputTable[[#This Row],[Delivery Date]],_xlfn.XLOOKUP(HD$1,$BH$2:$BR$2,$BH61:$BR61,0),0)</f>
        <v>0</v>
      </c>
      <c r="HF61" s="26" t="e">
        <f>IF(HF$2=InputTable[[#This Row],[Delivery Date]],_xlfn.XLOOKUP(HF$1,$BH$2:$BR$2,$BH61:$BR61,0),0)</f>
        <v>#REF!</v>
      </c>
      <c r="HG61" s="26">
        <f>IF(HG$2=InputTable[[#This Row],[Delivery Date]],_xlfn.XLOOKUP(HG$1,$BH$2:$BR$2,$BH61:$BR61,0),0)</f>
        <v>0</v>
      </c>
      <c r="HH61" s="26">
        <f>IF(HH$2=InputTable[[#This Row],[Delivery Date]],_xlfn.XLOOKUP(HH$1,$BH$2:$BR$2,$BH61:$BR61,0),0)</f>
        <v>0</v>
      </c>
      <c r="HI61" s="26">
        <f>IF(HI$2=InputTable[[#This Row],[Delivery Date]],_xlfn.XLOOKUP(HI$1,$BH$2:$BR$2,$BH61:$BR61,0),0)</f>
        <v>0</v>
      </c>
      <c r="HJ61" s="26">
        <f>IF(HJ$2=InputTable[[#This Row],[Delivery Date]],_xlfn.XLOOKUP(HJ$1,$BH$2:$BR$2,$BH61:$BR61,0),0)</f>
        <v>0</v>
      </c>
      <c r="HK61" s="26">
        <f>IF(HK$2=InputTable[[#This Row],[Delivery Date]],_xlfn.XLOOKUP(HK$1,$BH$2:$BR$2,$BH61:$BR61,0),0)</f>
        <v>0</v>
      </c>
      <c r="HL61" s="26">
        <f>IF(HL$2=InputTable[[#This Row],[Delivery Date]],_xlfn.XLOOKUP(HL$1,$BH$2:$BR$2,$BH61:$BR61,0),0)</f>
        <v>0</v>
      </c>
      <c r="HM61" s="26">
        <f>IF(HM$2=InputTable[[#This Row],[Delivery Date]],_xlfn.XLOOKUP(HM$1,$BH$2:$BR$2,$BH61:$BR61,0),0)</f>
        <v>0</v>
      </c>
      <c r="HN61" s="26">
        <f>IF(HN$2=InputTable[[#This Row],[Delivery Date]],_xlfn.XLOOKUP(HN$1,$BH$2:$BR$2,$BH61:$BR61,0),0)</f>
        <v>0</v>
      </c>
      <c r="HP61" s="26" t="e">
        <f>IF(HP$2=InputTable[[#This Row],[Delivery Date]],_xlfn.XLOOKUP(HP$1,$BH$2:$BR$2,$BH61:$BR61,0),0)</f>
        <v>#REF!</v>
      </c>
      <c r="HQ61" s="26">
        <f>IF(HQ$2=InputTable[[#This Row],[Delivery Date]],_xlfn.XLOOKUP(HQ$1,$BH$2:$BR$2,$BH61:$BR61,0),0)</f>
        <v>0</v>
      </c>
      <c r="HR61" s="26">
        <f>IF(HR$2=InputTable[[#This Row],[Delivery Date]],_xlfn.XLOOKUP(HR$1,$BH$2:$BR$2,$BH61:$BR61,0),0)</f>
        <v>0</v>
      </c>
      <c r="HS61" s="26">
        <f>IF(HS$2=InputTable[[#This Row],[Delivery Date]],_xlfn.XLOOKUP(HS$1,$BH$2:$BR$2,$BH61:$BR61,0),0)</f>
        <v>0</v>
      </c>
      <c r="HT61" s="26">
        <f>IF(HT$2=InputTable[[#This Row],[Delivery Date]],_xlfn.XLOOKUP(HT$1,$BH$2:$BR$2,$BH61:$BR61,0),0)</f>
        <v>0</v>
      </c>
      <c r="HU61" s="26">
        <f>IF(HU$2=InputTable[[#This Row],[Delivery Date]],_xlfn.XLOOKUP(HU$1,$BH$2:$BR$2,$BH61:$BR61,0),0)</f>
        <v>0</v>
      </c>
      <c r="HV61" s="26">
        <f>IF(HV$2=InputTable[[#This Row],[Delivery Date]],_xlfn.XLOOKUP(HV$1,$BH$2:$BR$2,$BH61:$BR61,0),0)</f>
        <v>0</v>
      </c>
      <c r="HW61" s="26">
        <f>IF(HW$2=InputTable[[#This Row],[Delivery Date]],_xlfn.XLOOKUP(HW$1,$BH$2:$BR$2,$BH61:$BR61,0),0)</f>
        <v>0</v>
      </c>
      <c r="HX61" s="26">
        <f>IF(HX$2=InputTable[[#This Row],[Delivery Date]],_xlfn.XLOOKUP(HX$1,$BH$2:$BR$2,$BH61:$BR61,0),0)</f>
        <v>0</v>
      </c>
      <c r="HZ61" s="26" t="e">
        <f>IF(HZ$2=InputTable[[#This Row],[Delivery Date]],_xlfn.XLOOKUP(HZ$1,$BH$2:$BR$2,$BH61:$BR61,0),0)</f>
        <v>#REF!</v>
      </c>
      <c r="IA61" s="26">
        <f>IF(IA$2=InputTable[[#This Row],[Delivery Date]],_xlfn.XLOOKUP(IA$1,$BH$2:$BR$2,$BH61:$BR61,0),0)</f>
        <v>0</v>
      </c>
      <c r="IB61" s="26">
        <f>IF(IB$2=InputTable[[#This Row],[Delivery Date]],_xlfn.XLOOKUP(IB$1,$BH$2:$BR$2,$BH61:$BR61,0),0)</f>
        <v>0</v>
      </c>
      <c r="IC61" s="26">
        <f>IF(IC$2=InputTable[[#This Row],[Delivery Date]],_xlfn.XLOOKUP(IC$1,$BH$2:$BR$2,$BH61:$BR61,0),0)</f>
        <v>0</v>
      </c>
      <c r="ID61" s="26">
        <f>IF(ID$2=InputTable[[#This Row],[Delivery Date]],_xlfn.XLOOKUP(ID$1,$BH$2:$BR$2,$BH61:$BR61,0),0)</f>
        <v>0</v>
      </c>
      <c r="IE61" s="26">
        <f>IF(IE$2=InputTable[[#This Row],[Delivery Date]],_xlfn.XLOOKUP(IE$1,$BH$2:$BR$2,$BH61:$BR61,0),0)</f>
        <v>8</v>
      </c>
      <c r="IF61" s="26">
        <f>IF(IF$2=InputTable[[#This Row],[Delivery Date]],_xlfn.XLOOKUP(IF$1,$BH$2:$BR$2,$BH61:$BR61,0),0)</f>
        <v>0</v>
      </c>
      <c r="IG61" s="26">
        <f>IF(IG$2=InputTable[[#This Row],[Delivery Date]],_xlfn.XLOOKUP(IG$1,$BH$2:$BR$2,$BH61:$BR61,0),0)</f>
        <v>0</v>
      </c>
      <c r="IH61" s="26">
        <f>IF(IH$2=InputTable[[#This Row],[Delivery Date]],_xlfn.XLOOKUP(IH$1,$BH$2:$BR$2,$BH61:$BR61,0),0)</f>
        <v>0</v>
      </c>
      <c r="IJ61" s="26" t="e">
        <f>IF(IJ$2=InputTable[[#This Row],[Delivery Date]],_xlfn.XLOOKUP(IJ$1,$BH$2:$BR$2,$BH61:$BR61,0),0)</f>
        <v>#REF!</v>
      </c>
      <c r="IK61" s="26">
        <f>IF(IK$2=InputTable[[#This Row],[Delivery Date]],_xlfn.XLOOKUP(IK$1,$BH$2:$BR$2,$BH61:$BR61,0),0)</f>
        <v>0</v>
      </c>
      <c r="IL61" s="26">
        <f>IF(IL$2=InputTable[[#This Row],[Delivery Date]],_xlfn.XLOOKUP(IL$1,$BH$2:$BR$2,$BH61:$BR61,0),0)</f>
        <v>0</v>
      </c>
      <c r="IM61" s="26">
        <f>IF(IM$2=InputTable[[#This Row],[Delivery Date]],_xlfn.XLOOKUP(IM$1,$BH$2:$BR$2,$BH61:$BR61,0),0)</f>
        <v>0</v>
      </c>
      <c r="IN61" s="26">
        <f>IF(IN$2=InputTable[[#This Row],[Delivery Date]],_xlfn.XLOOKUP(IN$1,$BH$2:$BR$2,$BH61:$BR61,0),0)</f>
        <v>0</v>
      </c>
      <c r="IO61" s="26">
        <f>IF(IO$2=InputTable[[#This Row],[Delivery Date]],_xlfn.XLOOKUP(IO$1,$BH$2:$BR$2,$BH61:$BR61,0),0)</f>
        <v>0</v>
      </c>
      <c r="IP61" s="26">
        <f>IF(IP$2=InputTable[[#This Row],[Delivery Date]],_xlfn.XLOOKUP(IP$1,$BH$2:$BR$2,$BH61:$BR61,0),0)</f>
        <v>0</v>
      </c>
      <c r="IQ61" s="26">
        <f>IF(IQ$2=InputTable[[#This Row],[Delivery Date]],_xlfn.XLOOKUP(IQ$1,$BH$2:$BR$2,$BH61:$BR61,0),0)</f>
        <v>0</v>
      </c>
      <c r="IR61" s="26">
        <f>IF(IR$2=InputTable[[#This Row],[Delivery Date]],_xlfn.XLOOKUP(IR$1,$BH$2:$BR$2,$BH61:$BR61,0),0)</f>
        <v>0</v>
      </c>
      <c r="IT61" s="26" t="e">
        <f>IF(IT$2=InputTable[[#This Row],[Delivery Date]],_xlfn.XLOOKUP(IT$1,$BH$2:$BR$2,$BH61:$BR61,0),0)</f>
        <v>#REF!</v>
      </c>
      <c r="IU61" s="26">
        <f>IF(IU$2=InputTable[[#This Row],[Delivery Date]],_xlfn.XLOOKUP(IU$1,$BH$2:$BR$2,$BH61:$BR61,0),0)</f>
        <v>0</v>
      </c>
      <c r="IV61" s="26">
        <f>IF(IV$2=InputTable[[#This Row],[Delivery Date]],_xlfn.XLOOKUP(IV$1,$BH$2:$BR$2,$BH61:$BR61,0),0)</f>
        <v>0</v>
      </c>
      <c r="IW61" s="26">
        <f>IF(IW$2=InputTable[[#This Row],[Delivery Date]],_xlfn.XLOOKUP(IW$1,$BH$2:$BR$2,$BH61:$BR61,0),0)</f>
        <v>0</v>
      </c>
      <c r="IX61" s="26">
        <f>IF(IX$2=InputTable[[#This Row],[Delivery Date]],_xlfn.XLOOKUP(IX$1,$BH$2:$BR$2,$BH61:$BR61,0),0)</f>
        <v>0</v>
      </c>
      <c r="IY61" s="26">
        <f>IF(IY$2=InputTable[[#This Row],[Delivery Date]],_xlfn.XLOOKUP(IY$1,$BH$2:$BR$2,$BH61:$BR61,0),0)</f>
        <v>0</v>
      </c>
      <c r="IZ61" s="26">
        <f>IF(IZ$2=InputTable[[#This Row],[Delivery Date]],_xlfn.XLOOKUP(IZ$1,$BH$2:$BR$2,$BH61:$BR61,0),0)</f>
        <v>0</v>
      </c>
      <c r="JA61" s="26">
        <f>IF(JA$2=InputTable[[#This Row],[Delivery Date]],_xlfn.XLOOKUP(JA$1,$BH$2:$BR$2,$BH61:$BR61,0),0)</f>
        <v>0</v>
      </c>
      <c r="JB61" s="26">
        <f>IF(JB$2=InputTable[[#This Row],[Delivery Date]],_xlfn.XLOOKUP(JB$1,$BH$2:$BR$2,$BH61:$BR61,0),0)</f>
        <v>0</v>
      </c>
      <c r="JD61" s="26" t="e">
        <f>IF(JD$2=InputTable[[#This Row],[Delivery Date]],_xlfn.XLOOKUP(JD$1,$BH$2:$BR$2,$BH61:$BR61,0),0)</f>
        <v>#REF!</v>
      </c>
      <c r="JE61" s="26">
        <f>IF(JE$2=InputTable[[#This Row],[Delivery Date]],_xlfn.XLOOKUP(JE$1,$BH$2:$BR$2,$BH61:$BR61,0),0)</f>
        <v>0</v>
      </c>
      <c r="JF61" s="26">
        <f>IF(JF$2=InputTable[[#This Row],[Delivery Date]],_xlfn.XLOOKUP(JF$1,$BH$2:$BR$2,$BH61:$BR61,0),0)</f>
        <v>0</v>
      </c>
      <c r="JG61" s="26">
        <f>IF(JG$2=InputTable[[#This Row],[Delivery Date]],_xlfn.XLOOKUP(JG$1,$BH$2:$BR$2,$BH61:$BR61,0),0)</f>
        <v>0</v>
      </c>
      <c r="JH61" s="26">
        <f>IF(JH$2=InputTable[[#This Row],[Delivery Date]],_xlfn.XLOOKUP(JH$1,$BH$2:$BR$2,$BH61:$BR61,0),0)</f>
        <v>0</v>
      </c>
      <c r="JI61" s="26">
        <f>IF(JI$2=InputTable[[#This Row],[Delivery Date]],_xlfn.XLOOKUP(JI$1,$BH$2:$BR$2,$BH61:$BR61,0),0)</f>
        <v>0</v>
      </c>
      <c r="JJ61" s="26">
        <f>IF(JJ$2=InputTable[[#This Row],[Delivery Date]],_xlfn.XLOOKUP(JJ$1,$BH$2:$BR$2,$BH61:$BR61,0),0)</f>
        <v>0</v>
      </c>
      <c r="JK61" s="26">
        <f>IF(JK$2=InputTable[[#This Row],[Delivery Date]],_xlfn.XLOOKUP(JK$1,$BH$2:$BR$2,$BH61:$BR61,0),0)</f>
        <v>0</v>
      </c>
      <c r="JL61" s="26">
        <f>IF(JL$2=InputTable[[#This Row],[Delivery Date]],_xlfn.XLOOKUP(JL$1,$BH$2:$BR$2,$BH61:$BR61,0),0)</f>
        <v>0</v>
      </c>
      <c r="JN61" s="26" t="e">
        <f>IF(JN$2=InputTable[[#This Row],[Delivery Date]],_xlfn.XLOOKUP(JN$1,$BH$2:$BR$2,$BH61:$BR61,0),0)</f>
        <v>#REF!</v>
      </c>
      <c r="JO61" s="26">
        <f>IF(JO$2=InputTable[[#This Row],[Delivery Date]],_xlfn.XLOOKUP(JO$1,$BH$2:$BR$2,$BH61:$BR61,0),0)</f>
        <v>0</v>
      </c>
      <c r="JP61" s="26">
        <f>IF(JP$2=InputTable[[#This Row],[Delivery Date]],_xlfn.XLOOKUP(JP$1,$BH$2:$BR$2,$BH61:$BR61,0),0)</f>
        <v>0</v>
      </c>
      <c r="JQ61" s="26">
        <f>IF(JQ$2=InputTable[[#This Row],[Delivery Date]],_xlfn.XLOOKUP(JQ$1,$BH$2:$BR$2,$BH61:$BR61,0),0)</f>
        <v>0</v>
      </c>
      <c r="JR61" s="26">
        <f>IF(JR$2=InputTable[[#This Row],[Delivery Date]],_xlfn.XLOOKUP(JR$1,$BH$2:$BR$2,$BH61:$BR61,0),0)</f>
        <v>0</v>
      </c>
      <c r="JS61" s="26">
        <f>IF(JS$2=InputTable[[#This Row],[Delivery Date]],_xlfn.XLOOKUP(JS$1,$BH$2:$BR$2,$BH61:$BR61,0),0)</f>
        <v>0</v>
      </c>
      <c r="JT61" s="26">
        <f>IF(JT$2=InputTable[[#This Row],[Delivery Date]],_xlfn.XLOOKUP(JT$1,$BH$2:$BR$2,$BH61:$BR61,0),0)</f>
        <v>0</v>
      </c>
      <c r="JU61" s="26">
        <f>IF(JU$2=InputTable[[#This Row],[Delivery Date]],_xlfn.XLOOKUP(JU$1,$BH$2:$BR$2,$BH61:$BR61,0),0)</f>
        <v>0</v>
      </c>
      <c r="JV61" s="26">
        <f>IF(JV$2=InputTable[[#This Row],[Delivery Date]],_xlfn.XLOOKUP(JV$1,$BH$2:$BR$2,$BH61:$BR61,0),0)</f>
        <v>0</v>
      </c>
      <c r="JX61" s="26" t="e">
        <f>IF(JX$2=InputTable[[#This Row],[Delivery Date]],_xlfn.XLOOKUP(JX$1,$BH$2:$BR$2,$BH61:$BR61,0),0)</f>
        <v>#REF!</v>
      </c>
      <c r="JY61" s="26">
        <f>IF(JY$2=InputTable[[#This Row],[Delivery Date]],_xlfn.XLOOKUP(JY$1,$BH$2:$BR$2,$BH61:$BR61,0),0)</f>
        <v>0</v>
      </c>
      <c r="JZ61" s="26">
        <f>IF(JZ$2=InputTable[[#This Row],[Delivery Date]],_xlfn.XLOOKUP(JZ$1,$BH$2:$BR$2,$BH61:$BR61,0),0)</f>
        <v>0</v>
      </c>
      <c r="KA61" s="26">
        <f>IF(KA$2=InputTable[[#This Row],[Delivery Date]],_xlfn.XLOOKUP(KA$1,$BH$2:$BR$2,$BH61:$BR61,0),0)</f>
        <v>0</v>
      </c>
      <c r="KB61" s="26">
        <f>IF(KB$2=InputTable[[#This Row],[Delivery Date]],_xlfn.XLOOKUP(KB$1,$BH$2:$BR$2,$BH61:$BR61,0),0)</f>
        <v>0</v>
      </c>
      <c r="KC61" s="26">
        <f>IF(KC$2=InputTable[[#This Row],[Delivery Date]],_xlfn.XLOOKUP(KC$1,$BH$2:$BR$2,$BH61:$BR61,0),0)</f>
        <v>0</v>
      </c>
      <c r="KD61" s="26">
        <f>IF(KD$2=InputTable[[#This Row],[Delivery Date]],_xlfn.XLOOKUP(KD$1,$BH$2:$BR$2,$BH61:$BR61,0),0)</f>
        <v>0</v>
      </c>
      <c r="KE61" s="26">
        <f>IF(KE$2=InputTable[[#This Row],[Delivery Date]],_xlfn.XLOOKUP(KE$1,$BH$2:$BR$2,$BH61:$BR61,0),0)</f>
        <v>0</v>
      </c>
      <c r="KF61" s="26">
        <f>IF(KF$2=InputTable[[#This Row],[Delivery Date]],_xlfn.XLOOKUP(KF$1,$BH$2:$BR$2,$BH61:$BR61,0),0)</f>
        <v>0</v>
      </c>
    </row>
    <row r="62" spans="1:294" ht="39.6" customHeight="1" x14ac:dyDescent="0.25">
      <c r="A62" s="141" t="s">
        <v>162</v>
      </c>
      <c r="B62" s="141" t="s">
        <v>104</v>
      </c>
      <c r="C62" s="92" t="s">
        <v>57</v>
      </c>
      <c r="D62" s="125" t="s">
        <v>300</v>
      </c>
      <c r="E62" s="142" t="s">
        <v>301</v>
      </c>
      <c r="F62" s="98" t="s">
        <v>61</v>
      </c>
      <c r="G62" s="114">
        <v>2026</v>
      </c>
      <c r="H62" s="192"/>
      <c r="I62" s="98">
        <v>2026</v>
      </c>
      <c r="J62" s="126"/>
      <c r="K62" s="95" t="str">
        <f>VLOOKUP((InputTable[[#This Row],[Starting Date]]&amp; " - " &amp;InputTable[[#This Row],[Delivery Date]]),'System List'!$F$40:$H$83,2,FALSE)</f>
        <v>1 to 2 years</v>
      </c>
      <c r="L62" s="95">
        <f>VLOOKUP(InputTable[[#This Row],[Duration]],Duration,2,FALSE)</f>
        <v>8</v>
      </c>
      <c r="M62" s="126" t="s">
        <v>110</v>
      </c>
      <c r="N62" s="98"/>
      <c r="O62" s="98" t="s">
        <v>111</v>
      </c>
      <c r="P62" s="98"/>
      <c r="Q62" s="98"/>
      <c r="R62" s="98" t="s">
        <v>111</v>
      </c>
      <c r="S62" s="92"/>
      <c r="T62" s="95" cm="1">
        <f t="array" ref="T6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62" s="138"/>
      <c r="V62" s="98" t="s">
        <v>139</v>
      </c>
      <c r="W62" s="98" t="s">
        <v>139</v>
      </c>
      <c r="X62" s="98" t="s">
        <v>111</v>
      </c>
      <c r="Y62" s="98"/>
      <c r="Z62" s="98"/>
      <c r="AA62" s="98"/>
      <c r="AB62" s="100"/>
      <c r="AC62" s="100"/>
      <c r="AD62" s="92">
        <f>COUNTA(InputTable[[#This Row],[CORPHRFIN]:[SALES]])</f>
        <v>3</v>
      </c>
      <c r="AE62" s="88" cm="1">
        <f t="array" ref="AE62">SUM(
_xlfn.XLOOKUP(InputTable[[#This Row],[CORPHRFIN]:[SALES]],'System List'!$F$4:$F$7,'System List'!$H$4:$H$7,0))</f>
        <v>21</v>
      </c>
      <c r="AF62" s="140"/>
      <c r="AG62" s="101"/>
      <c r="AH62" s="101"/>
      <c r="AI62" s="101"/>
      <c r="AJ62" s="101"/>
      <c r="AK62" s="101"/>
      <c r="AL62" s="101"/>
      <c r="AM62" s="101" t="s">
        <v>139</v>
      </c>
      <c r="AN62" s="101"/>
      <c r="AO62" s="101"/>
      <c r="AP62" s="101"/>
      <c r="AQ62" s="101"/>
      <c r="AR62" s="88" cm="1">
        <f t="array" ref="AR62">SUM(
_xlfn.XLOOKUP(InputTable[[#This Row],[Impact on - CIAL]:[Impact on - STRAT]],'System List'!$F$4:$F$7,'System List'!$H$4:$H$7,0))</f>
        <v>8</v>
      </c>
      <c r="AS62" s="88">
        <f>VLOOKUP(InputTable[[#This Row],[Duration]],Duration,2,FALSE)+InputTable[[#This Row],[Resource Score]]</f>
        <v>29</v>
      </c>
      <c r="AT62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58.46153846153846</v>
      </c>
      <c r="AU62" s="24">
        <f>InputTable[[#This Row],[Value Score]]/InputTable[[#This Row],[EFFORT SCORE]]*100</f>
        <v>8.6206896551724146</v>
      </c>
      <c r="AV62" s="25" t="str">
        <f>InputTable[[#This Row],[IS Portfolio Ref ID]]</f>
        <v>ISPRJ-47</v>
      </c>
      <c r="AW62" s="25" t="s">
        <v>131</v>
      </c>
      <c r="AX62" s="208"/>
      <c r="AY62" s="25"/>
      <c r="AZ62" s="209">
        <v>0</v>
      </c>
      <c r="BA62" s="209">
        <v>0</v>
      </c>
      <c r="BB62" s="209"/>
      <c r="BC62" s="189">
        <f>SUM(InputTable[[#This Row],[Opex IS Budget (full project)]]+InputTable[[#This Row],[Capex IS Budget (full project)]])</f>
        <v>0</v>
      </c>
      <c r="BD62" s="188">
        <v>3</v>
      </c>
      <c r="BE62" s="188"/>
      <c r="BF62" s="70"/>
      <c r="BH62" s="2">
        <f>IFERROR(VLOOKUP(InputTable[[#This Row],[Impact on - CIAL]],'System List'!$F$4:$H$7,3,FALSE),0)</f>
        <v>0</v>
      </c>
      <c r="BI62" s="2">
        <f>IFERROR(VLOOKUP(InputTable[[#This Row],[Impact on - COM]],'System List'!$F$4:$H$7,3,FALSE),0)</f>
        <v>0</v>
      </c>
      <c r="BJ62" s="2">
        <f>IFERROR(VLOOKUP(InputTable[[#This Row],[Impact on - FIN]],'System List'!$F$4:$H$7,3,FALSE),0)</f>
        <v>0</v>
      </c>
      <c r="BK62" s="2">
        <f>IFERROR(VLOOKUP(InputTable[[#This Row],[Impact on - GEN SEC]],'System List'!$F$4:$H$7,3,FALSE),0)</f>
        <v>0</v>
      </c>
      <c r="BL62" s="2">
        <f>IFERROR(VLOOKUP(InputTable[[#This Row],[Impact on - HR]],'System List'!$F$4:$H$7,3,FALSE),0)</f>
        <v>0</v>
      </c>
      <c r="BM62" s="2">
        <f>IFERROR(VLOOKUP(InputTable[[#This Row],[Impact on - IS]],'System List'!$F$4:$H$7,3,FALSE),0)</f>
        <v>0</v>
      </c>
      <c r="BN62" s="2">
        <f>IFERROR(VLOOKUP(InputTable[[#This Row],[Impact on - OPS]],'System List'!$F$4:$H$7,3,FALSE),0)</f>
        <v>8</v>
      </c>
      <c r="BO62" s="2">
        <f>IFERROR(VLOOKUP(InputTable[[#This Row],[Impact on - ROLL STOCK]],'System List'!$F$4:$H$7,3,FALSE),0)</f>
        <v>0</v>
      </c>
      <c r="BP62" s="2">
        <f>IFERROR(VLOOKUP(InputTable[[#This Row],[Impact on - SAFETY]],'System List'!$F$4:$H$7,3,FALSE),0)</f>
        <v>0</v>
      </c>
      <c r="BQ62" s="2">
        <f>IFERROR(VLOOKUP(InputTable[[#This Row],[Impact on - STATION]],'System List'!$F$4:$H$7,3,FALSE),0)</f>
        <v>0</v>
      </c>
      <c r="BR62" s="2">
        <f>IFERROR(VLOOKUP(InputTable[[#This Row],[Impact on - STRAT]],'System List'!$F$4:$H$7,3,FALSE),0)</f>
        <v>0</v>
      </c>
      <c r="BT62" s="2">
        <f>IFERROR(VLOOKUP(InputTable[[#This Row],[CORPHRFIN]],'System List'!$F$4:$H$7,3,FALSE),0)</f>
        <v>8</v>
      </c>
      <c r="BU62" s="2">
        <f>IFERROR(VLOOKUP(InputTable[[#This Row],[CUST]],'System List'!$F$4:$H$7,3,FALSE),0)</f>
        <v>8</v>
      </c>
      <c r="BV62" s="2">
        <f>IFERROR(VLOOKUP(InputTable[[#This Row],[CYBER]],'System List'!$F$4:$H$7,3,FALSE),0)</f>
        <v>5</v>
      </c>
      <c r="BW62" s="2">
        <f>IFERROR(VLOOKUP(InputTable[[#This Row],[DATA]],'System List'!$F$4:$H$7,3,FALSE),0)</f>
        <v>0</v>
      </c>
      <c r="BX62" s="2">
        <f>IFERROR(VLOOKUP(InputTable[[#This Row],[INFRA]],'System List'!$F$4:$H$7,3,FALSE),0)</f>
        <v>0</v>
      </c>
      <c r="BY62" s="2">
        <f>IFERROR(VLOOKUP(InputTable[[#This Row],[OPERATIONS]],'System List'!$F$4:$H$7,3,FALSE),0)</f>
        <v>0</v>
      </c>
      <c r="BZ62" s="2">
        <f>IFERROR(VLOOKUP(InputTable[[#This Row],[PMO]],'System List'!$F$4:$H$7,3,FALSE),0)</f>
        <v>0</v>
      </c>
      <c r="CA62" s="2">
        <f>IFERROR(VLOOKUP(InputTable[[#This Row],[SALES]],'System List'!$F$4:$H$7,3,FALSE),0)</f>
        <v>0</v>
      </c>
      <c r="CC62" s="2" cm="1">
        <f t="array" ref="CC6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2" s="2" cm="1">
        <f t="array" ref="CD6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2" s="2" cm="1">
        <f t="array" ref="CE6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2" s="2" cm="1">
        <f t="array" ref="CF6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2" s="2" cm="1">
        <f t="array" ref="CG6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2" s="2" cm="1">
        <f t="array" ref="CH6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2" s="2" cm="1">
        <f t="array" ref="CI6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2" s="2" cm="1">
        <f t="array" ref="CJ6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2" s="2" cm="1">
        <f t="array" ref="CK6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6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6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6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2" s="26">
        <f t="shared" si="151"/>
        <v>0</v>
      </c>
      <c r="CY62" s="26">
        <f t="shared" si="152"/>
        <v>0</v>
      </c>
      <c r="CZ62" s="26">
        <f t="shared" si="153"/>
        <v>0</v>
      </c>
      <c r="DA62" s="26">
        <f t="shared" si="154"/>
        <v>0</v>
      </c>
      <c r="DB62" s="26">
        <f t="shared" si="155"/>
        <v>0</v>
      </c>
      <c r="DC62" s="26">
        <f t="shared" si="156"/>
        <v>0</v>
      </c>
      <c r="DD62" s="26">
        <f t="shared" si="157"/>
        <v>0</v>
      </c>
      <c r="DE62" s="26">
        <f t="shared" si="158"/>
        <v>0</v>
      </c>
      <c r="DF62" s="26">
        <f t="shared" si="159"/>
        <v>0</v>
      </c>
      <c r="DH62" s="26">
        <f t="shared" si="160"/>
        <v>0</v>
      </c>
      <c r="DI62" s="26">
        <f t="shared" si="161"/>
        <v>0</v>
      </c>
      <c r="DJ62" s="26">
        <f t="shared" si="162"/>
        <v>0</v>
      </c>
      <c r="DK62" s="26">
        <f t="shared" si="163"/>
        <v>0</v>
      </c>
      <c r="DL62" s="26">
        <f t="shared" si="164"/>
        <v>0</v>
      </c>
      <c r="DM62" s="26">
        <f t="shared" si="165"/>
        <v>0</v>
      </c>
      <c r="DN62" s="26">
        <f t="shared" si="166"/>
        <v>0</v>
      </c>
      <c r="DO62" s="26">
        <f t="shared" si="167"/>
        <v>0</v>
      </c>
      <c r="DP62" s="26">
        <f t="shared" si="168"/>
        <v>0</v>
      </c>
      <c r="DR62" s="26">
        <f t="shared" si="169"/>
        <v>0</v>
      </c>
      <c r="DS62" s="26">
        <f t="shared" si="170"/>
        <v>0</v>
      </c>
      <c r="DT62" s="26">
        <f t="shared" si="171"/>
        <v>0</v>
      </c>
      <c r="DU62" s="26">
        <f t="shared" si="172"/>
        <v>0</v>
      </c>
      <c r="DV62" s="26">
        <f t="shared" si="173"/>
        <v>0</v>
      </c>
      <c r="DW62" s="26">
        <f t="shared" si="174"/>
        <v>0</v>
      </c>
      <c r="DX62" s="26">
        <f t="shared" si="175"/>
        <v>0</v>
      </c>
      <c r="DY62" s="26">
        <f t="shared" si="176"/>
        <v>0</v>
      </c>
      <c r="DZ62" s="26">
        <f t="shared" si="177"/>
        <v>0</v>
      </c>
      <c r="EB62" s="26">
        <f t="shared" si="178"/>
        <v>0</v>
      </c>
      <c r="EC62" s="26">
        <f t="shared" si="179"/>
        <v>0</v>
      </c>
      <c r="ED62" s="26">
        <f t="shared" si="180"/>
        <v>0</v>
      </c>
      <c r="EE62" s="26">
        <f t="shared" si="181"/>
        <v>0</v>
      </c>
      <c r="EF62" s="26">
        <f t="shared" si="182"/>
        <v>0</v>
      </c>
      <c r="EG62" s="26">
        <f t="shared" si="183"/>
        <v>0</v>
      </c>
      <c r="EH62" s="26">
        <f t="shared" si="184"/>
        <v>0</v>
      </c>
      <c r="EI62" s="26">
        <f t="shared" si="185"/>
        <v>0</v>
      </c>
      <c r="EJ62" s="26">
        <f t="shared" si="186"/>
        <v>0</v>
      </c>
      <c r="EL62" s="26">
        <f t="shared" si="187"/>
        <v>0</v>
      </c>
      <c r="EM62" s="26">
        <f t="shared" si="188"/>
        <v>0</v>
      </c>
      <c r="EN62" s="26">
        <f t="shared" si="189"/>
        <v>0</v>
      </c>
      <c r="EO62" s="26">
        <f t="shared" si="190"/>
        <v>0</v>
      </c>
      <c r="EP62" s="26">
        <f t="shared" si="191"/>
        <v>0</v>
      </c>
      <c r="EQ62" s="26">
        <f t="shared" si="192"/>
        <v>0</v>
      </c>
      <c r="ER62" s="26">
        <f t="shared" si="193"/>
        <v>0</v>
      </c>
      <c r="ES62" s="26">
        <f t="shared" si="194"/>
        <v>0</v>
      </c>
      <c r="ET62" s="26">
        <f t="shared" si="195"/>
        <v>0</v>
      </c>
      <c r="EV62" s="26">
        <f t="shared" si="196"/>
        <v>0</v>
      </c>
      <c r="EW62" s="26">
        <f t="shared" si="197"/>
        <v>0</v>
      </c>
      <c r="EX62" s="26">
        <f t="shared" si="198"/>
        <v>0</v>
      </c>
      <c r="EY62" s="26">
        <f t="shared" si="199"/>
        <v>0</v>
      </c>
      <c r="EZ62" s="26">
        <f t="shared" si="200"/>
        <v>0</v>
      </c>
      <c r="FA62" s="26">
        <f t="shared" si="201"/>
        <v>0</v>
      </c>
      <c r="FB62" s="26">
        <f t="shared" si="202"/>
        <v>0</v>
      </c>
      <c r="FC62" s="26">
        <f t="shared" si="203"/>
        <v>0</v>
      </c>
      <c r="FD62" s="26">
        <f t="shared" si="204"/>
        <v>0</v>
      </c>
      <c r="FF62" s="26">
        <f t="shared" si="205"/>
        <v>0</v>
      </c>
      <c r="FG62" s="26">
        <f t="shared" si="206"/>
        <v>0</v>
      </c>
      <c r="FH62" s="26">
        <f t="shared" si="207"/>
        <v>0</v>
      </c>
      <c r="FI62" s="26">
        <f t="shared" si="208"/>
        <v>0</v>
      </c>
      <c r="FJ62" s="26">
        <f t="shared" si="209"/>
        <v>0</v>
      </c>
      <c r="FK62" s="26">
        <f t="shared" si="210"/>
        <v>0</v>
      </c>
      <c r="FL62" s="26">
        <f t="shared" si="211"/>
        <v>0</v>
      </c>
      <c r="FM62" s="26">
        <f t="shared" si="212"/>
        <v>0</v>
      </c>
      <c r="FN62" s="26">
        <f t="shared" si="213"/>
        <v>0</v>
      </c>
      <c r="FP62" s="26" t="e">
        <f t="shared" si="214"/>
        <v>#REF!</v>
      </c>
      <c r="FQ62" s="26" t="e">
        <f t="shared" si="215"/>
        <v>#REF!</v>
      </c>
      <c r="FR62" s="26" t="e">
        <f t="shared" si="216"/>
        <v>#REF!</v>
      </c>
      <c r="FS62" s="26" t="e">
        <f t="shared" si="217"/>
        <v>#REF!</v>
      </c>
      <c r="FT62" s="26" t="e">
        <f t="shared" si="218"/>
        <v>#REF!</v>
      </c>
      <c r="FU62" s="26" t="e">
        <f t="shared" si="219"/>
        <v>#REF!</v>
      </c>
      <c r="FV62" s="26" t="e">
        <f t="shared" si="220"/>
        <v>#REF!</v>
      </c>
      <c r="FW62" s="26" t="e">
        <f t="shared" si="221"/>
        <v>#REF!</v>
      </c>
      <c r="FX62" s="26" t="e">
        <f t="shared" si="222"/>
        <v>#REF!</v>
      </c>
      <c r="GB62" s="26" t="e">
        <f>IF(GB$2=InputTable[[#This Row],[Delivery Date]],_xlfn.XLOOKUP(GB$1,$BH$2:$BR$2,$BH62:$BR62,0),0)</f>
        <v>#REF!</v>
      </c>
      <c r="GC62" s="26">
        <f>IF(GC$2=InputTable[[#This Row],[Delivery Date]],_xlfn.XLOOKUP(GC$1,$BH$2:$BR$2,$BH62:$BR62,0),0)</f>
        <v>0</v>
      </c>
      <c r="GD62" s="26">
        <f>IF(GD$2=InputTable[[#This Row],[Delivery Date]],_xlfn.XLOOKUP(GD$1,$BH$2:$BR$2,$BH62:$BR62,0),0)</f>
        <v>0</v>
      </c>
      <c r="GE62" s="26">
        <f>IF(GE$2=InputTable[[#This Row],[Delivery Date]],_xlfn.XLOOKUP(GE$1,$BH$2:$BR$2,$BH62:$BR62,0),0)</f>
        <v>0</v>
      </c>
      <c r="GF62" s="26">
        <f>IF(GF$2=InputTable[[#This Row],[Delivery Date]],_xlfn.XLOOKUP(GF$1,$BH$2:$BR$2,$BH62:$BR62,0),0)</f>
        <v>0</v>
      </c>
      <c r="GG62" s="26">
        <f>IF(GG$2=InputTable[[#This Row],[Delivery Date]],_xlfn.XLOOKUP(GG$1,$BH$2:$BR$2,$BH62:$BR62,0),0)</f>
        <v>0</v>
      </c>
      <c r="GH62" s="26">
        <f>IF(GH$2=InputTable[[#This Row],[Delivery Date]],_xlfn.XLOOKUP(GH$1,$BH$2:$BR$2,$BH62:$BR62,0),0)</f>
        <v>0</v>
      </c>
      <c r="GI62" s="26">
        <f>IF(GI$2=InputTable[[#This Row],[Delivery Date]],_xlfn.XLOOKUP(GI$1,$BH$2:$BR$2,$BH62:$BR62,0),0)</f>
        <v>0</v>
      </c>
      <c r="GJ62" s="26">
        <f>IF(GJ$2=InputTable[[#This Row],[Delivery Date]],_xlfn.XLOOKUP(GJ$1,$BH$2:$BR$2,$BH62:$BR62,0),0)</f>
        <v>0</v>
      </c>
      <c r="GL62" s="26" t="e">
        <f>IF(GL$2=InputTable[[#This Row],[Delivery Date]],_xlfn.XLOOKUP(GL$1,$BH$2:$BR$2,$BH62:$BR62,0),0)</f>
        <v>#REF!</v>
      </c>
      <c r="GM62" s="26">
        <f>IF(GM$2=InputTable[[#This Row],[Delivery Date]],_xlfn.XLOOKUP(GM$1,$BH$2:$BR$2,$BH62:$BR62,0),0)</f>
        <v>0</v>
      </c>
      <c r="GN62" s="26">
        <f>IF(GN$2=InputTable[[#This Row],[Delivery Date]],_xlfn.XLOOKUP(GN$1,$BH$2:$BR$2,$BH62:$BR62,0),0)</f>
        <v>0</v>
      </c>
      <c r="GO62" s="26">
        <f>IF(GO$2=InputTable[[#This Row],[Delivery Date]],_xlfn.XLOOKUP(GO$1,$BH$2:$BR$2,$BH62:$BR62,0),0)</f>
        <v>0</v>
      </c>
      <c r="GP62" s="26">
        <f>IF(GP$2=InputTable[[#This Row],[Delivery Date]],_xlfn.XLOOKUP(GP$1,$BH$2:$BR$2,$BH62:$BR62,0),0)</f>
        <v>0</v>
      </c>
      <c r="GQ62" s="26">
        <f>IF(GQ$2=InputTable[[#This Row],[Delivery Date]],_xlfn.XLOOKUP(GQ$1,$BH$2:$BR$2,$BH62:$BR62,0),0)</f>
        <v>0</v>
      </c>
      <c r="GR62" s="26">
        <f>IF(GR$2=InputTable[[#This Row],[Delivery Date]],_xlfn.XLOOKUP(GR$1,$BH$2:$BR$2,$BH62:$BR62,0),0)</f>
        <v>0</v>
      </c>
      <c r="GS62" s="26">
        <f>IF(GS$2=InputTable[[#This Row],[Delivery Date]],_xlfn.XLOOKUP(GS$1,$BH$2:$BR$2,$BH62:$BR62,0),0)</f>
        <v>0</v>
      </c>
      <c r="GT62" s="26">
        <f>IF(GT$2=InputTable[[#This Row],[Delivery Date]],_xlfn.XLOOKUP(GT$1,$BH$2:$BR$2,$BH62:$BR62,0),0)</f>
        <v>0</v>
      </c>
      <c r="GV62" s="26" t="e">
        <f>IF(GV$2=InputTable[[#This Row],[Delivery Date]],_xlfn.XLOOKUP(GV$1,$BH$2:$BR$2,$BH62:$BR62,0),0)</f>
        <v>#REF!</v>
      </c>
      <c r="GW62" s="26">
        <f>IF(GW$2=InputTable[[#This Row],[Delivery Date]],_xlfn.XLOOKUP(GW$1,$BH$2:$BR$2,$BH62:$BR62,0),0)</f>
        <v>0</v>
      </c>
      <c r="GX62" s="26">
        <f>IF(GX$2=InputTable[[#This Row],[Delivery Date]],_xlfn.XLOOKUP(GX$1,$BH$2:$BR$2,$BH62:$BR62,0),0)</f>
        <v>0</v>
      </c>
      <c r="GY62" s="26">
        <f>IF(GY$2=InputTable[[#This Row],[Delivery Date]],_xlfn.XLOOKUP(GY$1,$BH$2:$BR$2,$BH62:$BR62,0),0)</f>
        <v>0</v>
      </c>
      <c r="GZ62" s="26">
        <f>IF(GZ$2=InputTable[[#This Row],[Delivery Date]],_xlfn.XLOOKUP(GZ$1,$BH$2:$BR$2,$BH62:$BR62,0),0)</f>
        <v>0</v>
      </c>
      <c r="HA62" s="26">
        <f>IF(HA$2=InputTable[[#This Row],[Delivery Date]],_xlfn.XLOOKUP(HA$1,$BH$2:$BR$2,$BH62:$BR62,0),0)</f>
        <v>0</v>
      </c>
      <c r="HB62" s="26">
        <f>IF(HB$2=InputTable[[#This Row],[Delivery Date]],_xlfn.XLOOKUP(HB$1,$BH$2:$BR$2,$BH62:$BR62,0),0)</f>
        <v>0</v>
      </c>
      <c r="HC62" s="26">
        <f>IF(HC$2=InputTable[[#This Row],[Delivery Date]],_xlfn.XLOOKUP(HC$1,$BH$2:$BR$2,$BH62:$BR62,0),0)</f>
        <v>0</v>
      </c>
      <c r="HD62" s="26">
        <f>IF(HD$2=InputTable[[#This Row],[Delivery Date]],_xlfn.XLOOKUP(HD$1,$BH$2:$BR$2,$BH62:$BR62,0),0)</f>
        <v>0</v>
      </c>
      <c r="HF62" s="26" t="e">
        <f>IF(HF$2=InputTable[[#This Row],[Delivery Date]],_xlfn.XLOOKUP(HF$1,$BH$2:$BR$2,$BH62:$BR62,0),0)</f>
        <v>#REF!</v>
      </c>
      <c r="HG62" s="26">
        <f>IF(HG$2=InputTable[[#This Row],[Delivery Date]],_xlfn.XLOOKUP(HG$1,$BH$2:$BR$2,$BH62:$BR62,0),0)</f>
        <v>0</v>
      </c>
      <c r="HH62" s="26">
        <f>IF(HH$2=InputTable[[#This Row],[Delivery Date]],_xlfn.XLOOKUP(HH$1,$BH$2:$BR$2,$BH62:$BR62,0),0)</f>
        <v>0</v>
      </c>
      <c r="HI62" s="26">
        <f>IF(HI$2=InputTable[[#This Row],[Delivery Date]],_xlfn.XLOOKUP(HI$1,$BH$2:$BR$2,$BH62:$BR62,0),0)</f>
        <v>0</v>
      </c>
      <c r="HJ62" s="26">
        <f>IF(HJ$2=InputTable[[#This Row],[Delivery Date]],_xlfn.XLOOKUP(HJ$1,$BH$2:$BR$2,$BH62:$BR62,0),0)</f>
        <v>0</v>
      </c>
      <c r="HK62" s="26">
        <f>IF(HK$2=InputTable[[#This Row],[Delivery Date]],_xlfn.XLOOKUP(HK$1,$BH$2:$BR$2,$BH62:$BR62,0),0)</f>
        <v>0</v>
      </c>
      <c r="HL62" s="26">
        <f>IF(HL$2=InputTable[[#This Row],[Delivery Date]],_xlfn.XLOOKUP(HL$1,$BH$2:$BR$2,$BH62:$BR62,0),0)</f>
        <v>0</v>
      </c>
      <c r="HM62" s="26">
        <f>IF(HM$2=InputTable[[#This Row],[Delivery Date]],_xlfn.XLOOKUP(HM$1,$BH$2:$BR$2,$BH62:$BR62,0),0)</f>
        <v>0</v>
      </c>
      <c r="HN62" s="26">
        <f>IF(HN$2=InputTable[[#This Row],[Delivery Date]],_xlfn.XLOOKUP(HN$1,$BH$2:$BR$2,$BH62:$BR62,0),0)</f>
        <v>0</v>
      </c>
      <c r="HP62" s="26" t="e">
        <f>IF(HP$2=InputTable[[#This Row],[Delivery Date]],_xlfn.XLOOKUP(HP$1,$BH$2:$BR$2,$BH62:$BR62,0),0)</f>
        <v>#REF!</v>
      </c>
      <c r="HQ62" s="26">
        <f>IF(HQ$2=InputTable[[#This Row],[Delivery Date]],_xlfn.XLOOKUP(HQ$1,$BH$2:$BR$2,$BH62:$BR62,0),0)</f>
        <v>0</v>
      </c>
      <c r="HR62" s="26">
        <f>IF(HR$2=InputTable[[#This Row],[Delivery Date]],_xlfn.XLOOKUP(HR$1,$BH$2:$BR$2,$BH62:$BR62,0),0)</f>
        <v>0</v>
      </c>
      <c r="HS62" s="26">
        <f>IF(HS$2=InputTable[[#This Row],[Delivery Date]],_xlfn.XLOOKUP(HS$1,$BH$2:$BR$2,$BH62:$BR62,0),0)</f>
        <v>0</v>
      </c>
      <c r="HT62" s="26">
        <f>IF(HT$2=InputTable[[#This Row],[Delivery Date]],_xlfn.XLOOKUP(HT$1,$BH$2:$BR$2,$BH62:$BR62,0),0)</f>
        <v>0</v>
      </c>
      <c r="HU62" s="26">
        <f>IF(HU$2=InputTable[[#This Row],[Delivery Date]],_xlfn.XLOOKUP(HU$1,$BH$2:$BR$2,$BH62:$BR62,0),0)</f>
        <v>0</v>
      </c>
      <c r="HV62" s="26">
        <f>IF(HV$2=InputTable[[#This Row],[Delivery Date]],_xlfn.XLOOKUP(HV$1,$BH$2:$BR$2,$BH62:$BR62,0),0)</f>
        <v>0</v>
      </c>
      <c r="HW62" s="26">
        <f>IF(HW$2=InputTable[[#This Row],[Delivery Date]],_xlfn.XLOOKUP(HW$1,$BH$2:$BR$2,$BH62:$BR62,0),0)</f>
        <v>0</v>
      </c>
      <c r="HX62" s="26">
        <f>IF(HX$2=InputTable[[#This Row],[Delivery Date]],_xlfn.XLOOKUP(HX$1,$BH$2:$BR$2,$BH62:$BR62,0),0)</f>
        <v>0</v>
      </c>
      <c r="HZ62" s="26" t="e">
        <f>IF(HZ$2=InputTable[[#This Row],[Delivery Date]],_xlfn.XLOOKUP(HZ$1,$BH$2:$BR$2,$BH62:$BR62,0),0)</f>
        <v>#REF!</v>
      </c>
      <c r="IA62" s="26">
        <f>IF(IA$2=InputTable[[#This Row],[Delivery Date]],_xlfn.XLOOKUP(IA$1,$BH$2:$BR$2,$BH62:$BR62,0),0)</f>
        <v>0</v>
      </c>
      <c r="IB62" s="26">
        <f>IF(IB$2=InputTable[[#This Row],[Delivery Date]],_xlfn.XLOOKUP(IB$1,$BH$2:$BR$2,$BH62:$BR62,0),0)</f>
        <v>0</v>
      </c>
      <c r="IC62" s="26">
        <f>IF(IC$2=InputTable[[#This Row],[Delivery Date]],_xlfn.XLOOKUP(IC$1,$BH$2:$BR$2,$BH62:$BR62,0),0)</f>
        <v>0</v>
      </c>
      <c r="ID62" s="26">
        <f>IF(ID$2=InputTable[[#This Row],[Delivery Date]],_xlfn.XLOOKUP(ID$1,$BH$2:$BR$2,$BH62:$BR62,0),0)</f>
        <v>0</v>
      </c>
      <c r="IE62" s="26">
        <f>IF(IE$2=InputTable[[#This Row],[Delivery Date]],_xlfn.XLOOKUP(IE$1,$BH$2:$BR$2,$BH62:$BR62,0),0)</f>
        <v>0</v>
      </c>
      <c r="IF62" s="26">
        <f>IF(IF$2=InputTable[[#This Row],[Delivery Date]],_xlfn.XLOOKUP(IF$1,$BH$2:$BR$2,$BH62:$BR62,0),0)</f>
        <v>0</v>
      </c>
      <c r="IG62" s="26">
        <f>IF(IG$2=InputTable[[#This Row],[Delivery Date]],_xlfn.XLOOKUP(IG$1,$BH$2:$BR$2,$BH62:$BR62,0),0)</f>
        <v>0</v>
      </c>
      <c r="IH62" s="26">
        <f>IF(IH$2=InputTable[[#This Row],[Delivery Date]],_xlfn.XLOOKUP(IH$1,$BH$2:$BR$2,$BH62:$BR62,0),0)</f>
        <v>0</v>
      </c>
      <c r="IJ62" s="26" t="e">
        <f>IF(IJ$2=InputTable[[#This Row],[Delivery Date]],_xlfn.XLOOKUP(IJ$1,$BH$2:$BR$2,$BH62:$BR62,0),0)</f>
        <v>#REF!</v>
      </c>
      <c r="IK62" s="26">
        <f>IF(IK$2=InputTable[[#This Row],[Delivery Date]],_xlfn.XLOOKUP(IK$1,$BH$2:$BR$2,$BH62:$BR62,0),0)</f>
        <v>0</v>
      </c>
      <c r="IL62" s="26">
        <f>IF(IL$2=InputTable[[#This Row],[Delivery Date]],_xlfn.XLOOKUP(IL$1,$BH$2:$BR$2,$BH62:$BR62,0),0)</f>
        <v>0</v>
      </c>
      <c r="IM62" s="26">
        <f>IF(IM$2=InputTable[[#This Row],[Delivery Date]],_xlfn.XLOOKUP(IM$1,$BH$2:$BR$2,$BH62:$BR62,0),0)</f>
        <v>0</v>
      </c>
      <c r="IN62" s="26">
        <f>IF(IN$2=InputTable[[#This Row],[Delivery Date]],_xlfn.XLOOKUP(IN$1,$BH$2:$BR$2,$BH62:$BR62,0),0)</f>
        <v>0</v>
      </c>
      <c r="IO62" s="26">
        <f>IF(IO$2=InputTable[[#This Row],[Delivery Date]],_xlfn.XLOOKUP(IO$1,$BH$2:$BR$2,$BH62:$BR62,0),0)</f>
        <v>0</v>
      </c>
      <c r="IP62" s="26">
        <f>IF(IP$2=InputTable[[#This Row],[Delivery Date]],_xlfn.XLOOKUP(IP$1,$BH$2:$BR$2,$BH62:$BR62,0),0)</f>
        <v>0</v>
      </c>
      <c r="IQ62" s="26">
        <f>IF(IQ$2=InputTable[[#This Row],[Delivery Date]],_xlfn.XLOOKUP(IQ$1,$BH$2:$BR$2,$BH62:$BR62,0),0)</f>
        <v>0</v>
      </c>
      <c r="IR62" s="26">
        <f>IF(IR$2=InputTable[[#This Row],[Delivery Date]],_xlfn.XLOOKUP(IR$1,$BH$2:$BR$2,$BH62:$BR62,0),0)</f>
        <v>0</v>
      </c>
      <c r="IT62" s="26" t="e">
        <f>IF(IT$2=InputTable[[#This Row],[Delivery Date]],_xlfn.XLOOKUP(IT$1,$BH$2:$BR$2,$BH62:$BR62,0),0)</f>
        <v>#REF!</v>
      </c>
      <c r="IU62" s="26">
        <f>IF(IU$2=InputTable[[#This Row],[Delivery Date]],_xlfn.XLOOKUP(IU$1,$BH$2:$BR$2,$BH62:$BR62,0),0)</f>
        <v>0</v>
      </c>
      <c r="IV62" s="26">
        <f>IF(IV$2=InputTable[[#This Row],[Delivery Date]],_xlfn.XLOOKUP(IV$1,$BH$2:$BR$2,$BH62:$BR62,0),0)</f>
        <v>0</v>
      </c>
      <c r="IW62" s="26">
        <f>IF(IW$2=InputTable[[#This Row],[Delivery Date]],_xlfn.XLOOKUP(IW$1,$BH$2:$BR$2,$BH62:$BR62,0),0)</f>
        <v>0</v>
      </c>
      <c r="IX62" s="26">
        <f>IF(IX$2=InputTable[[#This Row],[Delivery Date]],_xlfn.XLOOKUP(IX$1,$BH$2:$BR$2,$BH62:$BR62,0),0)</f>
        <v>0</v>
      </c>
      <c r="IY62" s="26">
        <f>IF(IY$2=InputTable[[#This Row],[Delivery Date]],_xlfn.XLOOKUP(IY$1,$BH$2:$BR$2,$BH62:$BR62,0),0)</f>
        <v>0</v>
      </c>
      <c r="IZ62" s="26">
        <f>IF(IZ$2=InputTable[[#This Row],[Delivery Date]],_xlfn.XLOOKUP(IZ$1,$BH$2:$BR$2,$BH62:$BR62,0),0)</f>
        <v>0</v>
      </c>
      <c r="JA62" s="26">
        <f>IF(JA$2=InputTable[[#This Row],[Delivery Date]],_xlfn.XLOOKUP(JA$1,$BH$2:$BR$2,$BH62:$BR62,0),0)</f>
        <v>0</v>
      </c>
      <c r="JB62" s="26">
        <f>IF(JB$2=InputTable[[#This Row],[Delivery Date]],_xlfn.XLOOKUP(JB$1,$BH$2:$BR$2,$BH62:$BR62,0),0)</f>
        <v>0</v>
      </c>
      <c r="JD62" s="26" t="e">
        <f>IF(JD$2=InputTable[[#This Row],[Delivery Date]],_xlfn.XLOOKUP(JD$1,$BH$2:$BR$2,$BH62:$BR62,0),0)</f>
        <v>#REF!</v>
      </c>
      <c r="JE62" s="26">
        <f>IF(JE$2=InputTable[[#This Row],[Delivery Date]],_xlfn.XLOOKUP(JE$1,$BH$2:$BR$2,$BH62:$BR62,0),0)</f>
        <v>0</v>
      </c>
      <c r="JF62" s="26">
        <f>IF(JF$2=InputTable[[#This Row],[Delivery Date]],_xlfn.XLOOKUP(JF$1,$BH$2:$BR$2,$BH62:$BR62,0),0)</f>
        <v>0</v>
      </c>
      <c r="JG62" s="26">
        <f>IF(JG$2=InputTable[[#This Row],[Delivery Date]],_xlfn.XLOOKUP(JG$1,$BH$2:$BR$2,$BH62:$BR62,0),0)</f>
        <v>0</v>
      </c>
      <c r="JH62" s="26">
        <f>IF(JH$2=InputTable[[#This Row],[Delivery Date]],_xlfn.XLOOKUP(JH$1,$BH$2:$BR$2,$BH62:$BR62,0),0)</f>
        <v>0</v>
      </c>
      <c r="JI62" s="26">
        <f>IF(JI$2=InputTable[[#This Row],[Delivery Date]],_xlfn.XLOOKUP(JI$1,$BH$2:$BR$2,$BH62:$BR62,0),0)</f>
        <v>0</v>
      </c>
      <c r="JJ62" s="26">
        <f>IF(JJ$2=InputTable[[#This Row],[Delivery Date]],_xlfn.XLOOKUP(JJ$1,$BH$2:$BR$2,$BH62:$BR62,0),0)</f>
        <v>0</v>
      </c>
      <c r="JK62" s="26">
        <f>IF(JK$2=InputTable[[#This Row],[Delivery Date]],_xlfn.XLOOKUP(JK$1,$BH$2:$BR$2,$BH62:$BR62,0),0)</f>
        <v>0</v>
      </c>
      <c r="JL62" s="26">
        <f>IF(JL$2=InputTable[[#This Row],[Delivery Date]],_xlfn.XLOOKUP(JL$1,$BH$2:$BR$2,$BH62:$BR62,0),0)</f>
        <v>0</v>
      </c>
      <c r="JN62" s="26" t="e">
        <f>IF(JN$2=InputTable[[#This Row],[Delivery Date]],_xlfn.XLOOKUP(JN$1,$BH$2:$BR$2,$BH62:$BR62,0),0)</f>
        <v>#REF!</v>
      </c>
      <c r="JO62" s="26">
        <f>IF(JO$2=InputTable[[#This Row],[Delivery Date]],_xlfn.XLOOKUP(JO$1,$BH$2:$BR$2,$BH62:$BR62,0),0)</f>
        <v>0</v>
      </c>
      <c r="JP62" s="26">
        <f>IF(JP$2=InputTable[[#This Row],[Delivery Date]],_xlfn.XLOOKUP(JP$1,$BH$2:$BR$2,$BH62:$BR62,0),0)</f>
        <v>0</v>
      </c>
      <c r="JQ62" s="26">
        <f>IF(JQ$2=InputTable[[#This Row],[Delivery Date]],_xlfn.XLOOKUP(JQ$1,$BH$2:$BR$2,$BH62:$BR62,0),0)</f>
        <v>0</v>
      </c>
      <c r="JR62" s="26">
        <f>IF(JR$2=InputTable[[#This Row],[Delivery Date]],_xlfn.XLOOKUP(JR$1,$BH$2:$BR$2,$BH62:$BR62,0),0)</f>
        <v>0</v>
      </c>
      <c r="JS62" s="26">
        <f>IF(JS$2=InputTable[[#This Row],[Delivery Date]],_xlfn.XLOOKUP(JS$1,$BH$2:$BR$2,$BH62:$BR62,0),0)</f>
        <v>0</v>
      </c>
      <c r="JT62" s="26">
        <f>IF(JT$2=InputTable[[#This Row],[Delivery Date]],_xlfn.XLOOKUP(JT$1,$BH$2:$BR$2,$BH62:$BR62,0),0)</f>
        <v>0</v>
      </c>
      <c r="JU62" s="26">
        <f>IF(JU$2=InputTable[[#This Row],[Delivery Date]],_xlfn.XLOOKUP(JU$1,$BH$2:$BR$2,$BH62:$BR62,0),0)</f>
        <v>0</v>
      </c>
      <c r="JV62" s="26">
        <f>IF(JV$2=InputTable[[#This Row],[Delivery Date]],_xlfn.XLOOKUP(JV$1,$BH$2:$BR$2,$BH62:$BR62,0),0)</f>
        <v>0</v>
      </c>
      <c r="JX62" s="26" t="e">
        <f>IF(JX$2=InputTable[[#This Row],[Delivery Date]],_xlfn.XLOOKUP(JX$1,$BH$2:$BR$2,$BH62:$BR62,0),0)</f>
        <v>#REF!</v>
      </c>
      <c r="JY62" s="26">
        <f>IF(JY$2=InputTable[[#This Row],[Delivery Date]],_xlfn.XLOOKUP(JY$1,$BH$2:$BR$2,$BH62:$BR62,0),0)</f>
        <v>0</v>
      </c>
      <c r="JZ62" s="26">
        <f>IF(JZ$2=InputTable[[#This Row],[Delivery Date]],_xlfn.XLOOKUP(JZ$1,$BH$2:$BR$2,$BH62:$BR62,0),0)</f>
        <v>0</v>
      </c>
      <c r="KA62" s="26">
        <f>IF(KA$2=InputTable[[#This Row],[Delivery Date]],_xlfn.XLOOKUP(KA$1,$BH$2:$BR$2,$BH62:$BR62,0),0)</f>
        <v>0</v>
      </c>
      <c r="KB62" s="26">
        <f>IF(KB$2=InputTable[[#This Row],[Delivery Date]],_xlfn.XLOOKUP(KB$1,$BH$2:$BR$2,$BH62:$BR62,0),0)</f>
        <v>0</v>
      </c>
      <c r="KC62" s="26">
        <f>IF(KC$2=InputTable[[#This Row],[Delivery Date]],_xlfn.XLOOKUP(KC$1,$BH$2:$BR$2,$BH62:$BR62,0),0)</f>
        <v>0</v>
      </c>
      <c r="KD62" s="26">
        <f>IF(KD$2=InputTable[[#This Row],[Delivery Date]],_xlfn.XLOOKUP(KD$1,$BH$2:$BR$2,$BH62:$BR62,0),0)</f>
        <v>0</v>
      </c>
      <c r="KE62" s="26">
        <f>IF(KE$2=InputTable[[#This Row],[Delivery Date]],_xlfn.XLOOKUP(KE$1,$BH$2:$BR$2,$BH62:$BR62,0),0)</f>
        <v>0</v>
      </c>
      <c r="KF62" s="26">
        <f>IF(KF$2=InputTable[[#This Row],[Delivery Date]],_xlfn.XLOOKUP(KF$1,$BH$2:$BR$2,$BH62:$BR62,0),0)</f>
        <v>0</v>
      </c>
      <c r="KH62" t="s">
        <v>302</v>
      </c>
    </row>
    <row r="63" spans="1:294" ht="39.6" hidden="1" customHeight="1" x14ac:dyDescent="0.25">
      <c r="A63" s="141" t="s">
        <v>162</v>
      </c>
      <c r="B63" s="141" t="s">
        <v>114</v>
      </c>
      <c r="C63" s="92" t="s">
        <v>59</v>
      </c>
      <c r="D63" s="125" t="s">
        <v>303</v>
      </c>
      <c r="E63" s="193" t="s">
        <v>304</v>
      </c>
      <c r="F63" s="92" t="s">
        <v>96</v>
      </c>
      <c r="G63" s="92" t="s">
        <v>98</v>
      </c>
      <c r="H63" s="92" t="s">
        <v>139</v>
      </c>
      <c r="I63" s="92">
        <v>2026</v>
      </c>
      <c r="J63" s="125"/>
      <c r="K63" s="95" t="e">
        <f>VLOOKUP((InputTable[[#This Row],[Starting Date]]&amp; " - " &amp;InputTable[[#This Row],[Delivery Date]]),'System List'!$F$40:$H$83,2,FALSE)</f>
        <v>#N/A</v>
      </c>
      <c r="L63" s="95" t="e">
        <f>VLOOKUP(InputTable[[#This Row],[Duration]],Duration,2,FALSE)</f>
        <v>#N/A</v>
      </c>
      <c r="M63" s="142"/>
      <c r="N63" s="92"/>
      <c r="O63" s="92"/>
      <c r="P63" s="92"/>
      <c r="Q63" s="92" t="s">
        <v>111</v>
      </c>
      <c r="R63" s="92" t="s">
        <v>139</v>
      </c>
      <c r="S63" s="92"/>
      <c r="T63" s="95" cm="1">
        <f t="array" ref="T6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2.9</v>
      </c>
      <c r="U63" s="138"/>
      <c r="V63" s="92"/>
      <c r="W63" s="92"/>
      <c r="X63" s="92"/>
      <c r="Y63" s="92" t="s">
        <v>100</v>
      </c>
      <c r="Z63" s="92"/>
      <c r="AA63" s="92"/>
      <c r="AB63" s="92"/>
      <c r="AC63" s="92"/>
      <c r="AD63" s="92">
        <f>COUNTA(InputTable[[#This Row],[CORPHRFIN]:[SALES]])</f>
        <v>1</v>
      </c>
      <c r="AE63" s="88" cm="1">
        <f t="array" ref="AE63">SUM(
_xlfn.XLOOKUP(InputTable[[#This Row],[CORPHRFIN]:[SALES]],'System List'!$F$4:$F$7,'System List'!$H$4:$H$7,0))</f>
        <v>13</v>
      </c>
      <c r="AF63" s="140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88" cm="1">
        <f t="array" ref="AR63">SUM(
_xlfn.XLOOKUP(InputTable[[#This Row],[Impact on - CIAL]:[Impact on - STRAT]],'System List'!$F$4:$F$7,'System List'!$H$4:$H$7,0))</f>
        <v>0</v>
      </c>
      <c r="AS63" s="88" t="e">
        <f>VLOOKUP(InputTable[[#This Row],[Duration]],Duration,2,FALSE)+InputTable[[#This Row],[Resource Score]]</f>
        <v>#N/A</v>
      </c>
      <c r="AT6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3" s="24" t="e">
        <f>InputTable[[#This Row],[Value Score]]/InputTable[[#This Row],[EFFORT SCORE]]*100</f>
        <v>#N/A</v>
      </c>
      <c r="AV63" s="25" t="str">
        <f>InputTable[[#This Row],[IS Portfolio Ref ID]]</f>
        <v>ISPRJ-36</v>
      </c>
      <c r="AW63" s="25" t="s">
        <v>305</v>
      </c>
      <c r="AX63" s="208" t="s">
        <v>154</v>
      </c>
      <c r="AY63" s="25"/>
      <c r="AZ63" s="209">
        <v>0</v>
      </c>
      <c r="BA63" s="209">
        <v>97500</v>
      </c>
      <c r="BB63" s="209"/>
      <c r="BC63" s="189">
        <f>InputTable[[#This Row],[Capex IS Budget (full project)]]+InputTable[[#This Row],[Opex IS Budget (full project)]]</f>
        <v>97500</v>
      </c>
      <c r="BD63" s="188"/>
      <c r="BE63" s="188">
        <v>2</v>
      </c>
      <c r="BF63" s="70"/>
      <c r="BH63" s="2">
        <f>IFERROR(VLOOKUP(InputTable[[#This Row],[Impact on - CIAL]],'System List'!$F$4:$H$7,3,FALSE),0)</f>
        <v>0</v>
      </c>
      <c r="BI63" s="2">
        <f>IFERROR(VLOOKUP(InputTable[[#This Row],[Impact on - COM]],'System List'!$F$4:$H$7,3,FALSE),0)</f>
        <v>0</v>
      </c>
      <c r="BJ63" s="2">
        <f>IFERROR(VLOOKUP(InputTable[[#This Row],[Impact on - FIN]],'System List'!$F$4:$H$7,3,FALSE),0)</f>
        <v>0</v>
      </c>
      <c r="BK63" s="2">
        <f>IFERROR(VLOOKUP(InputTable[[#This Row],[Impact on - GEN SEC]],'System List'!$F$4:$H$7,3,FALSE),0)</f>
        <v>0</v>
      </c>
      <c r="BL63" s="2">
        <f>IFERROR(VLOOKUP(InputTable[[#This Row],[Impact on - HR]],'System List'!$F$4:$H$7,3,FALSE),0)</f>
        <v>0</v>
      </c>
      <c r="BM63" s="2">
        <f>IFERROR(VLOOKUP(InputTable[[#This Row],[Impact on - IS]],'System List'!$F$4:$H$7,3,FALSE),0)</f>
        <v>0</v>
      </c>
      <c r="BN63" s="2">
        <f>IFERROR(VLOOKUP(InputTable[[#This Row],[Impact on - OPS]],'System List'!$F$4:$H$7,3,FALSE),0)</f>
        <v>0</v>
      </c>
      <c r="BO63" s="2">
        <f>IFERROR(VLOOKUP(InputTable[[#This Row],[Impact on - ROLL STOCK]],'System List'!$F$4:$H$7,3,FALSE),0)</f>
        <v>0</v>
      </c>
      <c r="BP63" s="2">
        <f>IFERROR(VLOOKUP(InputTable[[#This Row],[Impact on - SAFETY]],'System List'!$F$4:$H$7,3,FALSE),0)</f>
        <v>0</v>
      </c>
      <c r="BQ63" s="2">
        <f>IFERROR(VLOOKUP(InputTable[[#This Row],[Impact on - STATION]],'System List'!$F$4:$H$7,3,FALSE),0)</f>
        <v>0</v>
      </c>
      <c r="BR63" s="2">
        <f>IFERROR(VLOOKUP(InputTable[[#This Row],[Impact on - STRAT]],'System List'!$F$4:$H$7,3,FALSE),0)</f>
        <v>0</v>
      </c>
      <c r="BT63" s="2">
        <f>IFERROR(VLOOKUP(InputTable[[#This Row],[CORPHRFIN]],'System List'!$F$4:$H$7,3,FALSE),0)</f>
        <v>0</v>
      </c>
      <c r="BU63" s="2">
        <f>IFERROR(VLOOKUP(InputTable[[#This Row],[CUST]],'System List'!$F$4:$H$7,3,FALSE),0)</f>
        <v>0</v>
      </c>
      <c r="BV63" s="2">
        <f>IFERROR(VLOOKUP(InputTable[[#This Row],[CYBER]],'System List'!$F$4:$H$7,3,FALSE),0)</f>
        <v>0</v>
      </c>
      <c r="BW63" s="2">
        <f>IFERROR(VLOOKUP(InputTable[[#This Row],[DATA]],'System List'!$F$4:$H$7,3,FALSE),0)</f>
        <v>13</v>
      </c>
      <c r="BX63" s="2">
        <f>IFERROR(VLOOKUP(InputTable[[#This Row],[INFRA]],'System List'!$F$4:$H$7,3,FALSE),0)</f>
        <v>0</v>
      </c>
      <c r="BY63" s="2">
        <f>IFERROR(VLOOKUP(InputTable[[#This Row],[OPERATIONS]],'System List'!$F$4:$H$7,3,FALSE),0)</f>
        <v>0</v>
      </c>
      <c r="BZ63" s="2">
        <f>IFERROR(VLOOKUP(InputTable[[#This Row],[PMO]],'System List'!$F$4:$H$7,3,FALSE),0)</f>
        <v>0</v>
      </c>
      <c r="CA63" s="2">
        <f>IFERROR(VLOOKUP(InputTable[[#This Row],[SALES]],'System List'!$F$4:$H$7,3,FALSE),0)</f>
        <v>0</v>
      </c>
      <c r="CC63" s="2" cm="1">
        <f t="array" ref="CC6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3" s="2" cm="1">
        <f t="array" ref="CD6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3" s="2" cm="1">
        <f t="array" ref="CE6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3" s="2" cm="1">
        <f t="array" ref="CF6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3" s="2" cm="1">
        <f t="array" ref="CG6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3" s="2" cm="1">
        <f t="array" ref="CH6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3" s="2" cm="1">
        <f t="array" ref="CI6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3" s="2" cm="1">
        <f t="array" ref="CJ6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3" s="2" cm="1">
        <f t="array" ref="CK6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6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6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3" s="26">
        <f t="shared" si="151"/>
        <v>0</v>
      </c>
      <c r="CY63" s="26">
        <f t="shared" si="152"/>
        <v>0</v>
      </c>
      <c r="CZ63" s="26">
        <f t="shared" si="153"/>
        <v>0</v>
      </c>
      <c r="DA63" s="26">
        <f t="shared" si="154"/>
        <v>0</v>
      </c>
      <c r="DB63" s="26">
        <f t="shared" si="155"/>
        <v>0</v>
      </c>
      <c r="DC63" s="26">
        <f t="shared" si="156"/>
        <v>0</v>
      </c>
      <c r="DD63" s="26">
        <f t="shared" si="157"/>
        <v>0</v>
      </c>
      <c r="DE63" s="26">
        <f t="shared" si="158"/>
        <v>0</v>
      </c>
      <c r="DF63" s="26">
        <f t="shared" si="159"/>
        <v>0</v>
      </c>
      <c r="DH63" s="26">
        <f t="shared" si="160"/>
        <v>0</v>
      </c>
      <c r="DI63" s="26">
        <f t="shared" si="161"/>
        <v>0</v>
      </c>
      <c r="DJ63" s="26">
        <f t="shared" si="162"/>
        <v>0</v>
      </c>
      <c r="DK63" s="26">
        <f t="shared" si="163"/>
        <v>0</v>
      </c>
      <c r="DL63" s="26">
        <f t="shared" si="164"/>
        <v>0</v>
      </c>
      <c r="DM63" s="26">
        <f t="shared" si="165"/>
        <v>0</v>
      </c>
      <c r="DN63" s="26">
        <f t="shared" si="166"/>
        <v>0</v>
      </c>
      <c r="DO63" s="26">
        <f t="shared" si="167"/>
        <v>0</v>
      </c>
      <c r="DP63" s="26">
        <f t="shared" si="168"/>
        <v>0</v>
      </c>
      <c r="DR63" s="26">
        <f t="shared" si="169"/>
        <v>0</v>
      </c>
      <c r="DS63" s="26">
        <f t="shared" si="170"/>
        <v>0</v>
      </c>
      <c r="DT63" s="26">
        <f t="shared" si="171"/>
        <v>0</v>
      </c>
      <c r="DU63" s="26">
        <f t="shared" si="172"/>
        <v>0</v>
      </c>
      <c r="DV63" s="26">
        <f t="shared" si="173"/>
        <v>0</v>
      </c>
      <c r="DW63" s="26">
        <f t="shared" si="174"/>
        <v>0</v>
      </c>
      <c r="DX63" s="26">
        <f t="shared" si="175"/>
        <v>0</v>
      </c>
      <c r="DY63" s="26">
        <f t="shared" si="176"/>
        <v>0</v>
      </c>
      <c r="DZ63" s="26">
        <f t="shared" si="177"/>
        <v>0</v>
      </c>
      <c r="EB63" s="26">
        <f t="shared" si="178"/>
        <v>0</v>
      </c>
      <c r="EC63" s="26">
        <f t="shared" si="179"/>
        <v>0</v>
      </c>
      <c r="ED63" s="26">
        <f t="shared" si="180"/>
        <v>0</v>
      </c>
      <c r="EE63" s="26">
        <f t="shared" si="181"/>
        <v>0</v>
      </c>
      <c r="EF63" s="26">
        <f t="shared" si="182"/>
        <v>0</v>
      </c>
      <c r="EG63" s="26">
        <f t="shared" si="183"/>
        <v>13</v>
      </c>
      <c r="EH63" s="26">
        <f t="shared" si="184"/>
        <v>0</v>
      </c>
      <c r="EI63" s="26">
        <f t="shared" si="185"/>
        <v>0</v>
      </c>
      <c r="EJ63" s="26">
        <f t="shared" si="186"/>
        <v>0</v>
      </c>
      <c r="EL63" s="26">
        <f t="shared" si="187"/>
        <v>0</v>
      </c>
      <c r="EM63" s="26">
        <f t="shared" si="188"/>
        <v>0</v>
      </c>
      <c r="EN63" s="26">
        <f t="shared" si="189"/>
        <v>0</v>
      </c>
      <c r="EO63" s="26">
        <f t="shared" si="190"/>
        <v>0</v>
      </c>
      <c r="EP63" s="26">
        <f t="shared" si="191"/>
        <v>0</v>
      </c>
      <c r="EQ63" s="26">
        <f t="shared" si="192"/>
        <v>0</v>
      </c>
      <c r="ER63" s="26">
        <f t="shared" si="193"/>
        <v>0</v>
      </c>
      <c r="ES63" s="26">
        <f t="shared" si="194"/>
        <v>0</v>
      </c>
      <c r="ET63" s="26">
        <f t="shared" si="195"/>
        <v>0</v>
      </c>
      <c r="EV63" s="26">
        <f t="shared" si="196"/>
        <v>0</v>
      </c>
      <c r="EW63" s="26">
        <f t="shared" si="197"/>
        <v>0</v>
      </c>
      <c r="EX63" s="26">
        <f t="shared" si="198"/>
        <v>0</v>
      </c>
      <c r="EY63" s="26">
        <f t="shared" si="199"/>
        <v>0</v>
      </c>
      <c r="EZ63" s="26">
        <f t="shared" si="200"/>
        <v>0</v>
      </c>
      <c r="FA63" s="26">
        <f t="shared" si="201"/>
        <v>0</v>
      </c>
      <c r="FB63" s="26">
        <f t="shared" si="202"/>
        <v>0</v>
      </c>
      <c r="FC63" s="26">
        <f t="shared" si="203"/>
        <v>0</v>
      </c>
      <c r="FD63" s="26">
        <f t="shared" si="204"/>
        <v>0</v>
      </c>
      <c r="FF63" s="26">
        <f t="shared" si="205"/>
        <v>0</v>
      </c>
      <c r="FG63" s="26">
        <f t="shared" si="206"/>
        <v>0</v>
      </c>
      <c r="FH63" s="26">
        <f t="shared" si="207"/>
        <v>0</v>
      </c>
      <c r="FI63" s="26">
        <f t="shared" si="208"/>
        <v>0</v>
      </c>
      <c r="FJ63" s="26">
        <f t="shared" si="209"/>
        <v>0</v>
      </c>
      <c r="FK63" s="26">
        <f t="shared" si="210"/>
        <v>0</v>
      </c>
      <c r="FL63" s="26">
        <f t="shared" si="211"/>
        <v>0</v>
      </c>
      <c r="FM63" s="26">
        <f t="shared" si="212"/>
        <v>0</v>
      </c>
      <c r="FN63" s="26">
        <f t="shared" si="213"/>
        <v>0</v>
      </c>
      <c r="FP63" s="26" t="e">
        <f t="shared" si="214"/>
        <v>#REF!</v>
      </c>
      <c r="FQ63" s="26" t="e">
        <f t="shared" si="215"/>
        <v>#REF!</v>
      </c>
      <c r="FR63" s="26" t="e">
        <f t="shared" si="216"/>
        <v>#REF!</v>
      </c>
      <c r="FS63" s="26" t="e">
        <f t="shared" si="217"/>
        <v>#REF!</v>
      </c>
      <c r="FT63" s="26" t="e">
        <f t="shared" si="218"/>
        <v>#REF!</v>
      </c>
      <c r="FU63" s="26" t="e">
        <f t="shared" si="219"/>
        <v>#REF!</v>
      </c>
      <c r="FV63" s="26" t="e">
        <f t="shared" si="220"/>
        <v>#REF!</v>
      </c>
      <c r="FW63" s="26" t="e">
        <f t="shared" si="221"/>
        <v>#REF!</v>
      </c>
      <c r="FX63" s="26" t="e">
        <f t="shared" si="222"/>
        <v>#REF!</v>
      </c>
      <c r="GB63" s="26" t="e">
        <f>IF(GB$2=InputTable[[#This Row],[Delivery Date]],_xlfn.XLOOKUP(GB$1,$BH$2:$BR$2,$BH63:$BR63,0),0)</f>
        <v>#REF!</v>
      </c>
      <c r="GC63" s="26">
        <f>IF(GC$2=InputTable[[#This Row],[Delivery Date]],_xlfn.XLOOKUP(GC$1,$BH$2:$BR$2,$BH63:$BR63,0),0)</f>
        <v>0</v>
      </c>
      <c r="GD63" s="26">
        <f>IF(GD$2=InputTable[[#This Row],[Delivery Date]],_xlfn.XLOOKUP(GD$1,$BH$2:$BR$2,$BH63:$BR63,0),0)</f>
        <v>0</v>
      </c>
      <c r="GE63" s="26">
        <f>IF(GE$2=InputTable[[#This Row],[Delivery Date]],_xlfn.XLOOKUP(GE$1,$BH$2:$BR$2,$BH63:$BR63,0),0)</f>
        <v>0</v>
      </c>
      <c r="GF63" s="26">
        <f>IF(GF$2=InputTable[[#This Row],[Delivery Date]],_xlfn.XLOOKUP(GF$1,$BH$2:$BR$2,$BH63:$BR63,0),0)</f>
        <v>0</v>
      </c>
      <c r="GG63" s="26">
        <f>IF(GG$2=InputTable[[#This Row],[Delivery Date]],_xlfn.XLOOKUP(GG$1,$BH$2:$BR$2,$BH63:$BR63,0),0)</f>
        <v>0</v>
      </c>
      <c r="GH63" s="26">
        <f>IF(GH$2=InputTable[[#This Row],[Delivery Date]],_xlfn.XLOOKUP(GH$1,$BH$2:$BR$2,$BH63:$BR63,0),0)</f>
        <v>0</v>
      </c>
      <c r="GI63" s="26">
        <f>IF(GI$2=InputTable[[#This Row],[Delivery Date]],_xlfn.XLOOKUP(GI$1,$BH$2:$BR$2,$BH63:$BR63,0),0)</f>
        <v>0</v>
      </c>
      <c r="GJ63" s="26">
        <f>IF(GJ$2=InputTable[[#This Row],[Delivery Date]],_xlfn.XLOOKUP(GJ$1,$BH$2:$BR$2,$BH63:$BR63,0),0)</f>
        <v>0</v>
      </c>
      <c r="GL63" s="26" t="e">
        <f>IF(GL$2=InputTable[[#This Row],[Delivery Date]],_xlfn.XLOOKUP(GL$1,$BH$2:$BR$2,$BH63:$BR63,0),0)</f>
        <v>#REF!</v>
      </c>
      <c r="GM63" s="26">
        <f>IF(GM$2=InputTable[[#This Row],[Delivery Date]],_xlfn.XLOOKUP(GM$1,$BH$2:$BR$2,$BH63:$BR63,0),0)</f>
        <v>0</v>
      </c>
      <c r="GN63" s="26">
        <f>IF(GN$2=InputTable[[#This Row],[Delivery Date]],_xlfn.XLOOKUP(GN$1,$BH$2:$BR$2,$BH63:$BR63,0),0)</f>
        <v>0</v>
      </c>
      <c r="GO63" s="26">
        <f>IF(GO$2=InputTable[[#This Row],[Delivery Date]],_xlfn.XLOOKUP(GO$1,$BH$2:$BR$2,$BH63:$BR63,0),0)</f>
        <v>0</v>
      </c>
      <c r="GP63" s="26">
        <f>IF(GP$2=InputTable[[#This Row],[Delivery Date]],_xlfn.XLOOKUP(GP$1,$BH$2:$BR$2,$BH63:$BR63,0),0)</f>
        <v>0</v>
      </c>
      <c r="GQ63" s="26">
        <f>IF(GQ$2=InputTable[[#This Row],[Delivery Date]],_xlfn.XLOOKUP(GQ$1,$BH$2:$BR$2,$BH63:$BR63,0),0)</f>
        <v>0</v>
      </c>
      <c r="GR63" s="26">
        <f>IF(GR$2=InputTable[[#This Row],[Delivery Date]],_xlfn.XLOOKUP(GR$1,$BH$2:$BR$2,$BH63:$BR63,0),0)</f>
        <v>0</v>
      </c>
      <c r="GS63" s="26">
        <f>IF(GS$2=InputTable[[#This Row],[Delivery Date]],_xlfn.XLOOKUP(GS$1,$BH$2:$BR$2,$BH63:$BR63,0),0)</f>
        <v>0</v>
      </c>
      <c r="GT63" s="26">
        <f>IF(GT$2=InputTable[[#This Row],[Delivery Date]],_xlfn.XLOOKUP(GT$1,$BH$2:$BR$2,$BH63:$BR63,0),0)</f>
        <v>0</v>
      </c>
      <c r="GV63" s="26" t="e">
        <f>IF(GV$2=InputTable[[#This Row],[Delivery Date]],_xlfn.XLOOKUP(GV$1,$BH$2:$BR$2,$BH63:$BR63,0),0)</f>
        <v>#REF!</v>
      </c>
      <c r="GW63" s="26">
        <f>IF(GW$2=InputTable[[#This Row],[Delivery Date]],_xlfn.XLOOKUP(GW$1,$BH$2:$BR$2,$BH63:$BR63,0),0)</f>
        <v>0</v>
      </c>
      <c r="GX63" s="26">
        <f>IF(GX$2=InputTable[[#This Row],[Delivery Date]],_xlfn.XLOOKUP(GX$1,$BH$2:$BR$2,$BH63:$BR63,0),0)</f>
        <v>0</v>
      </c>
      <c r="GY63" s="26">
        <f>IF(GY$2=InputTable[[#This Row],[Delivery Date]],_xlfn.XLOOKUP(GY$1,$BH$2:$BR$2,$BH63:$BR63,0),0)</f>
        <v>0</v>
      </c>
      <c r="GZ63" s="26">
        <f>IF(GZ$2=InputTable[[#This Row],[Delivery Date]],_xlfn.XLOOKUP(GZ$1,$BH$2:$BR$2,$BH63:$BR63,0),0)</f>
        <v>0</v>
      </c>
      <c r="HA63" s="26">
        <f>IF(HA$2=InputTable[[#This Row],[Delivery Date]],_xlfn.XLOOKUP(HA$1,$BH$2:$BR$2,$BH63:$BR63,0),0)</f>
        <v>0</v>
      </c>
      <c r="HB63" s="26">
        <f>IF(HB$2=InputTable[[#This Row],[Delivery Date]],_xlfn.XLOOKUP(HB$1,$BH$2:$BR$2,$BH63:$BR63,0),0)</f>
        <v>0</v>
      </c>
      <c r="HC63" s="26">
        <f>IF(HC$2=InputTable[[#This Row],[Delivery Date]],_xlfn.XLOOKUP(HC$1,$BH$2:$BR$2,$BH63:$BR63,0),0)</f>
        <v>0</v>
      </c>
      <c r="HD63" s="26">
        <f>IF(HD$2=InputTable[[#This Row],[Delivery Date]],_xlfn.XLOOKUP(HD$1,$BH$2:$BR$2,$BH63:$BR63,0),0)</f>
        <v>0</v>
      </c>
      <c r="HF63" s="26" t="e">
        <f>IF(HF$2=InputTable[[#This Row],[Delivery Date]],_xlfn.XLOOKUP(HF$1,$BH$2:$BR$2,$BH63:$BR63,0),0)</f>
        <v>#REF!</v>
      </c>
      <c r="HG63" s="26">
        <f>IF(HG$2=InputTable[[#This Row],[Delivery Date]],_xlfn.XLOOKUP(HG$1,$BH$2:$BR$2,$BH63:$BR63,0),0)</f>
        <v>0</v>
      </c>
      <c r="HH63" s="26">
        <f>IF(HH$2=InputTable[[#This Row],[Delivery Date]],_xlfn.XLOOKUP(HH$1,$BH$2:$BR$2,$BH63:$BR63,0),0)</f>
        <v>0</v>
      </c>
      <c r="HI63" s="26">
        <f>IF(HI$2=InputTable[[#This Row],[Delivery Date]],_xlfn.XLOOKUP(HI$1,$BH$2:$BR$2,$BH63:$BR63,0),0)</f>
        <v>0</v>
      </c>
      <c r="HJ63" s="26">
        <f>IF(HJ$2=InputTable[[#This Row],[Delivery Date]],_xlfn.XLOOKUP(HJ$1,$BH$2:$BR$2,$BH63:$BR63,0),0)</f>
        <v>0</v>
      </c>
      <c r="HK63" s="26">
        <f>IF(HK$2=InputTable[[#This Row],[Delivery Date]],_xlfn.XLOOKUP(HK$1,$BH$2:$BR$2,$BH63:$BR63,0),0)</f>
        <v>0</v>
      </c>
      <c r="HL63" s="26">
        <f>IF(HL$2=InputTable[[#This Row],[Delivery Date]],_xlfn.XLOOKUP(HL$1,$BH$2:$BR$2,$BH63:$BR63,0),0)</f>
        <v>0</v>
      </c>
      <c r="HM63" s="26">
        <f>IF(HM$2=InputTable[[#This Row],[Delivery Date]],_xlfn.XLOOKUP(HM$1,$BH$2:$BR$2,$BH63:$BR63,0),0)</f>
        <v>0</v>
      </c>
      <c r="HN63" s="26">
        <f>IF(HN$2=InputTable[[#This Row],[Delivery Date]],_xlfn.XLOOKUP(HN$1,$BH$2:$BR$2,$BH63:$BR63,0),0)</f>
        <v>0</v>
      </c>
      <c r="HP63" s="26" t="e">
        <f>IF(HP$2=InputTable[[#This Row],[Delivery Date]],_xlfn.XLOOKUP(HP$1,$BH$2:$BR$2,$BH63:$BR63,0),0)</f>
        <v>#REF!</v>
      </c>
      <c r="HQ63" s="26">
        <f>IF(HQ$2=InputTable[[#This Row],[Delivery Date]],_xlfn.XLOOKUP(HQ$1,$BH$2:$BR$2,$BH63:$BR63,0),0)</f>
        <v>0</v>
      </c>
      <c r="HR63" s="26">
        <f>IF(HR$2=InputTable[[#This Row],[Delivery Date]],_xlfn.XLOOKUP(HR$1,$BH$2:$BR$2,$BH63:$BR63,0),0)</f>
        <v>0</v>
      </c>
      <c r="HS63" s="26">
        <f>IF(HS$2=InputTable[[#This Row],[Delivery Date]],_xlfn.XLOOKUP(HS$1,$BH$2:$BR$2,$BH63:$BR63,0),0)</f>
        <v>0</v>
      </c>
      <c r="HT63" s="26">
        <f>IF(HT$2=InputTable[[#This Row],[Delivery Date]],_xlfn.XLOOKUP(HT$1,$BH$2:$BR$2,$BH63:$BR63,0),0)</f>
        <v>0</v>
      </c>
      <c r="HU63" s="26">
        <f>IF(HU$2=InputTable[[#This Row],[Delivery Date]],_xlfn.XLOOKUP(HU$1,$BH$2:$BR$2,$BH63:$BR63,0),0)</f>
        <v>0</v>
      </c>
      <c r="HV63" s="26">
        <f>IF(HV$2=InputTable[[#This Row],[Delivery Date]],_xlfn.XLOOKUP(HV$1,$BH$2:$BR$2,$BH63:$BR63,0),0)</f>
        <v>0</v>
      </c>
      <c r="HW63" s="26">
        <f>IF(HW$2=InputTable[[#This Row],[Delivery Date]],_xlfn.XLOOKUP(HW$1,$BH$2:$BR$2,$BH63:$BR63,0),0)</f>
        <v>0</v>
      </c>
      <c r="HX63" s="26">
        <f>IF(HX$2=InputTable[[#This Row],[Delivery Date]],_xlfn.XLOOKUP(HX$1,$BH$2:$BR$2,$BH63:$BR63,0),0)</f>
        <v>0</v>
      </c>
      <c r="HZ63" s="26" t="e">
        <f>IF(HZ$2=InputTable[[#This Row],[Delivery Date]],_xlfn.XLOOKUP(HZ$1,$BH$2:$BR$2,$BH63:$BR63,0),0)</f>
        <v>#REF!</v>
      </c>
      <c r="IA63" s="26">
        <f>IF(IA$2=InputTable[[#This Row],[Delivery Date]],_xlfn.XLOOKUP(IA$1,$BH$2:$BR$2,$BH63:$BR63,0),0)</f>
        <v>0</v>
      </c>
      <c r="IB63" s="26">
        <f>IF(IB$2=InputTable[[#This Row],[Delivery Date]],_xlfn.XLOOKUP(IB$1,$BH$2:$BR$2,$BH63:$BR63,0),0)</f>
        <v>0</v>
      </c>
      <c r="IC63" s="26">
        <f>IF(IC$2=InputTable[[#This Row],[Delivery Date]],_xlfn.XLOOKUP(IC$1,$BH$2:$BR$2,$BH63:$BR63,0),0)</f>
        <v>0</v>
      </c>
      <c r="ID63" s="26">
        <f>IF(ID$2=InputTable[[#This Row],[Delivery Date]],_xlfn.XLOOKUP(ID$1,$BH$2:$BR$2,$BH63:$BR63,0),0)</f>
        <v>0</v>
      </c>
      <c r="IE63" s="26">
        <f>IF(IE$2=InputTable[[#This Row],[Delivery Date]],_xlfn.XLOOKUP(IE$1,$BH$2:$BR$2,$BH63:$BR63,0),0)</f>
        <v>0</v>
      </c>
      <c r="IF63" s="26">
        <f>IF(IF$2=InputTable[[#This Row],[Delivery Date]],_xlfn.XLOOKUP(IF$1,$BH$2:$BR$2,$BH63:$BR63,0),0)</f>
        <v>0</v>
      </c>
      <c r="IG63" s="26">
        <f>IF(IG$2=InputTable[[#This Row],[Delivery Date]],_xlfn.XLOOKUP(IG$1,$BH$2:$BR$2,$BH63:$BR63,0),0)</f>
        <v>0</v>
      </c>
      <c r="IH63" s="26">
        <f>IF(IH$2=InputTable[[#This Row],[Delivery Date]],_xlfn.XLOOKUP(IH$1,$BH$2:$BR$2,$BH63:$BR63,0),0)</f>
        <v>0</v>
      </c>
      <c r="IJ63" s="26" t="e">
        <f>IF(IJ$2=InputTable[[#This Row],[Delivery Date]],_xlfn.XLOOKUP(IJ$1,$BH$2:$BR$2,$BH63:$BR63,0),0)</f>
        <v>#REF!</v>
      </c>
      <c r="IK63" s="26">
        <f>IF(IK$2=InputTable[[#This Row],[Delivery Date]],_xlfn.XLOOKUP(IK$1,$BH$2:$BR$2,$BH63:$BR63,0),0)</f>
        <v>0</v>
      </c>
      <c r="IL63" s="26">
        <f>IF(IL$2=InputTable[[#This Row],[Delivery Date]],_xlfn.XLOOKUP(IL$1,$BH$2:$BR$2,$BH63:$BR63,0),0)</f>
        <v>0</v>
      </c>
      <c r="IM63" s="26">
        <f>IF(IM$2=InputTable[[#This Row],[Delivery Date]],_xlfn.XLOOKUP(IM$1,$BH$2:$BR$2,$BH63:$BR63,0),0)</f>
        <v>0</v>
      </c>
      <c r="IN63" s="26">
        <f>IF(IN$2=InputTable[[#This Row],[Delivery Date]],_xlfn.XLOOKUP(IN$1,$BH$2:$BR$2,$BH63:$BR63,0),0)</f>
        <v>0</v>
      </c>
      <c r="IO63" s="26">
        <f>IF(IO$2=InputTable[[#This Row],[Delivery Date]],_xlfn.XLOOKUP(IO$1,$BH$2:$BR$2,$BH63:$BR63,0),0)</f>
        <v>0</v>
      </c>
      <c r="IP63" s="26">
        <f>IF(IP$2=InputTable[[#This Row],[Delivery Date]],_xlfn.XLOOKUP(IP$1,$BH$2:$BR$2,$BH63:$BR63,0),0)</f>
        <v>0</v>
      </c>
      <c r="IQ63" s="26">
        <f>IF(IQ$2=InputTable[[#This Row],[Delivery Date]],_xlfn.XLOOKUP(IQ$1,$BH$2:$BR$2,$BH63:$BR63,0),0)</f>
        <v>0</v>
      </c>
      <c r="IR63" s="26">
        <f>IF(IR$2=InputTable[[#This Row],[Delivery Date]],_xlfn.XLOOKUP(IR$1,$BH$2:$BR$2,$BH63:$BR63,0),0)</f>
        <v>0</v>
      </c>
      <c r="IT63" s="26" t="e">
        <f>IF(IT$2=InputTable[[#This Row],[Delivery Date]],_xlfn.XLOOKUP(IT$1,$BH$2:$BR$2,$BH63:$BR63,0),0)</f>
        <v>#REF!</v>
      </c>
      <c r="IU63" s="26">
        <f>IF(IU$2=InputTable[[#This Row],[Delivery Date]],_xlfn.XLOOKUP(IU$1,$BH$2:$BR$2,$BH63:$BR63,0),0)</f>
        <v>0</v>
      </c>
      <c r="IV63" s="26">
        <f>IF(IV$2=InputTable[[#This Row],[Delivery Date]],_xlfn.XLOOKUP(IV$1,$BH$2:$BR$2,$BH63:$BR63,0),0)</f>
        <v>0</v>
      </c>
      <c r="IW63" s="26">
        <f>IF(IW$2=InputTable[[#This Row],[Delivery Date]],_xlfn.XLOOKUP(IW$1,$BH$2:$BR$2,$BH63:$BR63,0),0)</f>
        <v>0</v>
      </c>
      <c r="IX63" s="26">
        <f>IF(IX$2=InputTable[[#This Row],[Delivery Date]],_xlfn.XLOOKUP(IX$1,$BH$2:$BR$2,$BH63:$BR63,0),0)</f>
        <v>0</v>
      </c>
      <c r="IY63" s="26">
        <f>IF(IY$2=InputTable[[#This Row],[Delivery Date]],_xlfn.XLOOKUP(IY$1,$BH$2:$BR$2,$BH63:$BR63,0),0)</f>
        <v>0</v>
      </c>
      <c r="IZ63" s="26">
        <f>IF(IZ$2=InputTable[[#This Row],[Delivery Date]],_xlfn.XLOOKUP(IZ$1,$BH$2:$BR$2,$BH63:$BR63,0),0)</f>
        <v>0</v>
      </c>
      <c r="JA63" s="26">
        <f>IF(JA$2=InputTable[[#This Row],[Delivery Date]],_xlfn.XLOOKUP(JA$1,$BH$2:$BR$2,$BH63:$BR63,0),0)</f>
        <v>0</v>
      </c>
      <c r="JB63" s="26">
        <f>IF(JB$2=InputTable[[#This Row],[Delivery Date]],_xlfn.XLOOKUP(JB$1,$BH$2:$BR$2,$BH63:$BR63,0),0)</f>
        <v>0</v>
      </c>
      <c r="JD63" s="26" t="e">
        <f>IF(JD$2=InputTable[[#This Row],[Delivery Date]],_xlfn.XLOOKUP(JD$1,$BH$2:$BR$2,$BH63:$BR63,0),0)</f>
        <v>#REF!</v>
      </c>
      <c r="JE63" s="26">
        <f>IF(JE$2=InputTable[[#This Row],[Delivery Date]],_xlfn.XLOOKUP(JE$1,$BH$2:$BR$2,$BH63:$BR63,0),0)</f>
        <v>0</v>
      </c>
      <c r="JF63" s="26">
        <f>IF(JF$2=InputTable[[#This Row],[Delivery Date]],_xlfn.XLOOKUP(JF$1,$BH$2:$BR$2,$BH63:$BR63,0),0)</f>
        <v>0</v>
      </c>
      <c r="JG63" s="26">
        <f>IF(JG$2=InputTable[[#This Row],[Delivery Date]],_xlfn.XLOOKUP(JG$1,$BH$2:$BR$2,$BH63:$BR63,0),0)</f>
        <v>0</v>
      </c>
      <c r="JH63" s="26">
        <f>IF(JH$2=InputTable[[#This Row],[Delivery Date]],_xlfn.XLOOKUP(JH$1,$BH$2:$BR$2,$BH63:$BR63,0),0)</f>
        <v>0</v>
      </c>
      <c r="JI63" s="26">
        <f>IF(JI$2=InputTable[[#This Row],[Delivery Date]],_xlfn.XLOOKUP(JI$1,$BH$2:$BR$2,$BH63:$BR63,0),0)</f>
        <v>0</v>
      </c>
      <c r="JJ63" s="26">
        <f>IF(JJ$2=InputTable[[#This Row],[Delivery Date]],_xlfn.XLOOKUP(JJ$1,$BH$2:$BR$2,$BH63:$BR63,0),0)</f>
        <v>0</v>
      </c>
      <c r="JK63" s="26">
        <f>IF(JK$2=InputTable[[#This Row],[Delivery Date]],_xlfn.XLOOKUP(JK$1,$BH$2:$BR$2,$BH63:$BR63,0),0)</f>
        <v>0</v>
      </c>
      <c r="JL63" s="26">
        <f>IF(JL$2=InputTable[[#This Row],[Delivery Date]],_xlfn.XLOOKUP(JL$1,$BH$2:$BR$2,$BH63:$BR63,0),0)</f>
        <v>0</v>
      </c>
      <c r="JN63" s="26" t="e">
        <f>IF(JN$2=InputTable[[#This Row],[Delivery Date]],_xlfn.XLOOKUP(JN$1,$BH$2:$BR$2,$BH63:$BR63,0),0)</f>
        <v>#REF!</v>
      </c>
      <c r="JO63" s="26">
        <f>IF(JO$2=InputTable[[#This Row],[Delivery Date]],_xlfn.XLOOKUP(JO$1,$BH$2:$BR$2,$BH63:$BR63,0),0)</f>
        <v>0</v>
      </c>
      <c r="JP63" s="26">
        <f>IF(JP$2=InputTable[[#This Row],[Delivery Date]],_xlfn.XLOOKUP(JP$1,$BH$2:$BR$2,$BH63:$BR63,0),0)</f>
        <v>0</v>
      </c>
      <c r="JQ63" s="26">
        <f>IF(JQ$2=InputTable[[#This Row],[Delivery Date]],_xlfn.XLOOKUP(JQ$1,$BH$2:$BR$2,$BH63:$BR63,0),0)</f>
        <v>0</v>
      </c>
      <c r="JR63" s="26">
        <f>IF(JR$2=InputTable[[#This Row],[Delivery Date]],_xlfn.XLOOKUP(JR$1,$BH$2:$BR$2,$BH63:$BR63,0),0)</f>
        <v>0</v>
      </c>
      <c r="JS63" s="26">
        <f>IF(JS$2=InputTable[[#This Row],[Delivery Date]],_xlfn.XLOOKUP(JS$1,$BH$2:$BR$2,$BH63:$BR63,0),0)</f>
        <v>0</v>
      </c>
      <c r="JT63" s="26">
        <f>IF(JT$2=InputTable[[#This Row],[Delivery Date]],_xlfn.XLOOKUP(JT$1,$BH$2:$BR$2,$BH63:$BR63,0),0)</f>
        <v>0</v>
      </c>
      <c r="JU63" s="26">
        <f>IF(JU$2=InputTable[[#This Row],[Delivery Date]],_xlfn.XLOOKUP(JU$1,$BH$2:$BR$2,$BH63:$BR63,0),0)</f>
        <v>0</v>
      </c>
      <c r="JV63" s="26">
        <f>IF(JV$2=InputTable[[#This Row],[Delivery Date]],_xlfn.XLOOKUP(JV$1,$BH$2:$BR$2,$BH63:$BR63,0),0)</f>
        <v>0</v>
      </c>
      <c r="JX63" s="26" t="e">
        <f>IF(JX$2=InputTable[[#This Row],[Delivery Date]],_xlfn.XLOOKUP(JX$1,$BH$2:$BR$2,$BH63:$BR63,0),0)</f>
        <v>#REF!</v>
      </c>
      <c r="JY63" s="26">
        <f>IF(JY$2=InputTable[[#This Row],[Delivery Date]],_xlfn.XLOOKUP(JY$1,$BH$2:$BR$2,$BH63:$BR63,0),0)</f>
        <v>0</v>
      </c>
      <c r="JZ63" s="26">
        <f>IF(JZ$2=InputTable[[#This Row],[Delivery Date]],_xlfn.XLOOKUP(JZ$1,$BH$2:$BR$2,$BH63:$BR63,0),0)</f>
        <v>0</v>
      </c>
      <c r="KA63" s="26">
        <f>IF(KA$2=InputTable[[#This Row],[Delivery Date]],_xlfn.XLOOKUP(KA$1,$BH$2:$BR$2,$BH63:$BR63,0),0)</f>
        <v>0</v>
      </c>
      <c r="KB63" s="26">
        <f>IF(KB$2=InputTable[[#This Row],[Delivery Date]],_xlfn.XLOOKUP(KB$1,$BH$2:$BR$2,$BH63:$BR63,0),0)</f>
        <v>0</v>
      </c>
      <c r="KC63" s="26">
        <f>IF(KC$2=InputTable[[#This Row],[Delivery Date]],_xlfn.XLOOKUP(KC$1,$BH$2:$BR$2,$BH63:$BR63,0),0)</f>
        <v>0</v>
      </c>
      <c r="KD63" s="26">
        <f>IF(KD$2=InputTable[[#This Row],[Delivery Date]],_xlfn.XLOOKUP(KD$1,$BH$2:$BR$2,$BH63:$BR63,0),0)</f>
        <v>0</v>
      </c>
      <c r="KE63" s="26">
        <f>IF(KE$2=InputTable[[#This Row],[Delivery Date]],_xlfn.XLOOKUP(KE$1,$BH$2:$BR$2,$BH63:$BR63,0),0)</f>
        <v>0</v>
      </c>
      <c r="KF63" s="26">
        <f>IF(KF$2=InputTable[[#This Row],[Delivery Date]],_xlfn.XLOOKUP(KF$1,$BH$2:$BR$2,$BH63:$BR63,0),0)</f>
        <v>0</v>
      </c>
    </row>
    <row r="64" spans="1:294" ht="39.6" customHeight="1" x14ac:dyDescent="0.25">
      <c r="A64" s="141" t="s">
        <v>181</v>
      </c>
      <c r="B64" s="141" t="s">
        <v>92</v>
      </c>
      <c r="C64" s="92" t="s">
        <v>58</v>
      </c>
      <c r="D64" s="125" t="s">
        <v>306</v>
      </c>
      <c r="E64" s="193" t="s">
        <v>307</v>
      </c>
      <c r="F64" s="92" t="s">
        <v>24</v>
      </c>
      <c r="G64" s="92">
        <v>2024</v>
      </c>
      <c r="H64" s="92"/>
      <c r="I64" s="92">
        <v>2026</v>
      </c>
      <c r="J64" s="126" t="s">
        <v>152</v>
      </c>
      <c r="K64" s="95" t="e">
        <f>VLOOKUP((InputTable[[#This Row],[Starting Date]]&amp; " - " &amp;InputTable[[#This Row],[Delivery Date]]),'System List'!$F$40:$H$83,2,FALSE)</f>
        <v>#N/A</v>
      </c>
      <c r="L64" s="95" t="e">
        <f>VLOOKUP(InputTable[[#This Row],[Duration]],Duration,2,FALSE)</f>
        <v>#N/A</v>
      </c>
      <c r="M64" s="125"/>
      <c r="N64" s="92" t="s">
        <v>111</v>
      </c>
      <c r="O64" s="92"/>
      <c r="P64" s="92"/>
      <c r="Q64" s="92" t="s">
        <v>111</v>
      </c>
      <c r="R64" s="92"/>
      <c r="S64" s="92"/>
      <c r="T64" s="95" cm="1">
        <f t="array" ref="T6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64" s="138"/>
      <c r="V64" s="92"/>
      <c r="W64" s="92"/>
      <c r="X64" s="92" t="s">
        <v>111</v>
      </c>
      <c r="Y64" s="92"/>
      <c r="Z64" s="92" t="s">
        <v>139</v>
      </c>
      <c r="AA64" s="92"/>
      <c r="AB64" s="92"/>
      <c r="AC64" s="92"/>
      <c r="AD64" s="92">
        <f>COUNTA(InputTable[[#This Row],[CORPHRFIN]:[SALES]])</f>
        <v>2</v>
      </c>
      <c r="AE64" s="88" cm="1">
        <f t="array" ref="AE64">SUM(
_xlfn.XLOOKUP(InputTable[[#This Row],[CORPHRFIN]:[SALES]],'System List'!$F$4:$F$7,'System List'!$H$4:$H$7,0))</f>
        <v>13</v>
      </c>
      <c r="AF64" s="140"/>
      <c r="AG64" s="96"/>
      <c r="AH64" s="96"/>
      <c r="AI64" s="96"/>
      <c r="AJ64" s="96"/>
      <c r="AK64" s="96"/>
      <c r="AL64" s="96" t="s">
        <v>139</v>
      </c>
      <c r="AM64" s="96"/>
      <c r="AN64" s="96"/>
      <c r="AO64" s="96"/>
      <c r="AP64" s="96"/>
      <c r="AQ64" s="96"/>
      <c r="AR64" s="88" cm="1">
        <f t="array" ref="AR64">SUM(
_xlfn.XLOOKUP(InputTable[[#This Row],[Impact on - CIAL]:[Impact on - STRAT]],'System List'!$F$4:$F$7,'System List'!$H$4:$H$7,0))</f>
        <v>8</v>
      </c>
      <c r="AS64" s="88" t="e">
        <f>VLOOKUP(InputTable[[#This Row],[Duration]],Duration,2,FALSE)+InputTable[[#This Row],[Resource Score]]</f>
        <v>#N/A</v>
      </c>
      <c r="AT6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4" s="24" t="e">
        <f>InputTable[[#This Row],[Value Score]]/InputTable[[#This Row],[EFFORT SCORE]]*100</f>
        <v>#N/A</v>
      </c>
      <c r="AV64" s="25" t="str">
        <f>InputTable[[#This Row],[IS Portfolio Ref ID]]</f>
        <v>ISPRJ-68</v>
      </c>
      <c r="AW64" s="25" t="s">
        <v>308</v>
      </c>
      <c r="AX64" s="208" t="s">
        <v>154</v>
      </c>
      <c r="AY64" s="25"/>
      <c r="AZ64" s="209">
        <v>84000</v>
      </c>
      <c r="BA64" s="209">
        <v>0</v>
      </c>
      <c r="BB64" s="209"/>
      <c r="BC64" s="189">
        <f>SUM(InputTable[[#This Row],[Opex IS Budget (full project)]]+InputTable[[#This Row],[Capex IS Budget (full project)]])</f>
        <v>84000</v>
      </c>
      <c r="BD64" s="188">
        <v>10</v>
      </c>
      <c r="BE64" s="188"/>
      <c r="BF64" s="70"/>
      <c r="BH64" s="2">
        <f>IFERROR(VLOOKUP(InputTable[[#This Row],[Impact on - CIAL]],'System List'!$F$4:$H$7,3,FALSE),0)</f>
        <v>0</v>
      </c>
      <c r="BI64" s="2">
        <f>IFERROR(VLOOKUP(InputTable[[#This Row],[Impact on - COM]],'System List'!$F$4:$H$7,3,FALSE),0)</f>
        <v>0</v>
      </c>
      <c r="BJ64" s="2">
        <f>IFERROR(VLOOKUP(InputTable[[#This Row],[Impact on - FIN]],'System List'!$F$4:$H$7,3,FALSE),0)</f>
        <v>0</v>
      </c>
      <c r="BK64" s="2">
        <f>IFERROR(VLOOKUP(InputTable[[#This Row],[Impact on - GEN SEC]],'System List'!$F$4:$H$7,3,FALSE),0)</f>
        <v>0</v>
      </c>
      <c r="BL64" s="2">
        <f>IFERROR(VLOOKUP(InputTable[[#This Row],[Impact on - HR]],'System List'!$F$4:$H$7,3,FALSE),0)</f>
        <v>0</v>
      </c>
      <c r="BM64" s="2">
        <f>IFERROR(VLOOKUP(InputTable[[#This Row],[Impact on - IS]],'System List'!$F$4:$H$7,3,FALSE),0)</f>
        <v>8</v>
      </c>
      <c r="BN64" s="2">
        <f>IFERROR(VLOOKUP(InputTable[[#This Row],[Impact on - OPS]],'System List'!$F$4:$H$7,3,FALSE),0)</f>
        <v>0</v>
      </c>
      <c r="BO64" s="2">
        <f>IFERROR(VLOOKUP(InputTable[[#This Row],[Impact on - ROLL STOCK]],'System List'!$F$4:$H$7,3,FALSE),0)</f>
        <v>0</v>
      </c>
      <c r="BP64" s="2">
        <f>IFERROR(VLOOKUP(InputTable[[#This Row],[Impact on - SAFETY]],'System List'!$F$4:$H$7,3,FALSE),0)</f>
        <v>0</v>
      </c>
      <c r="BQ64" s="2">
        <f>IFERROR(VLOOKUP(InputTable[[#This Row],[Impact on - STATION]],'System List'!$F$4:$H$7,3,FALSE),0)</f>
        <v>0</v>
      </c>
      <c r="BR64" s="2">
        <f>IFERROR(VLOOKUP(InputTable[[#This Row],[Impact on - STRAT]],'System List'!$F$4:$H$7,3,FALSE),0)</f>
        <v>0</v>
      </c>
      <c r="BT64" s="2">
        <f>IFERROR(VLOOKUP(InputTable[[#This Row],[CORPHRFIN]],'System List'!$F$4:$H$7,3,FALSE),0)</f>
        <v>0</v>
      </c>
      <c r="BU64" s="2">
        <f>IFERROR(VLOOKUP(InputTable[[#This Row],[CUST]],'System List'!$F$4:$H$7,3,FALSE),0)</f>
        <v>0</v>
      </c>
      <c r="BV64" s="2">
        <f>IFERROR(VLOOKUP(InputTable[[#This Row],[CYBER]],'System List'!$F$4:$H$7,3,FALSE),0)</f>
        <v>5</v>
      </c>
      <c r="BW64" s="2">
        <f>IFERROR(VLOOKUP(InputTable[[#This Row],[DATA]],'System List'!$F$4:$H$7,3,FALSE),0)</f>
        <v>0</v>
      </c>
      <c r="BX64" s="2">
        <f>IFERROR(VLOOKUP(InputTable[[#This Row],[INFRA]],'System List'!$F$4:$H$7,3,FALSE),0)</f>
        <v>8</v>
      </c>
      <c r="BY64" s="2">
        <f>IFERROR(VLOOKUP(InputTable[[#This Row],[OPERATIONS]],'System List'!$F$4:$H$7,3,FALSE),0)</f>
        <v>0</v>
      </c>
      <c r="BZ64" s="2">
        <f>IFERROR(VLOOKUP(InputTable[[#This Row],[PMO]],'System List'!$F$4:$H$7,3,FALSE),0)</f>
        <v>0</v>
      </c>
      <c r="CA64" s="2">
        <f>IFERROR(VLOOKUP(InputTable[[#This Row],[SALES]],'System List'!$F$4:$H$7,3,FALSE),0)</f>
        <v>0</v>
      </c>
      <c r="CC64" s="2" cm="1">
        <f t="array" ref="CC6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4" s="2" cm="1">
        <f t="array" ref="CD6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4" s="2" cm="1">
        <f t="array" ref="CE6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4" s="2" cm="1">
        <f t="array" ref="CF6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4" s="2" cm="1">
        <f t="array" ref="CG6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4" s="2" cm="1">
        <f t="array" ref="CH6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4" s="2" cm="1">
        <f t="array" ref="CI6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4" s="2" cm="1">
        <f t="array" ref="CJ6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4" s="2" cm="1">
        <f t="array" ref="CK6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6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6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4" s="26">
        <f t="shared" si="151"/>
        <v>0</v>
      </c>
      <c r="CY64" s="26">
        <f t="shared" si="152"/>
        <v>0</v>
      </c>
      <c r="CZ64" s="26">
        <f t="shared" si="153"/>
        <v>0</v>
      </c>
      <c r="DA64" s="26">
        <f t="shared" si="154"/>
        <v>0</v>
      </c>
      <c r="DB64" s="26">
        <f t="shared" si="155"/>
        <v>0</v>
      </c>
      <c r="DC64" s="26">
        <f t="shared" si="156"/>
        <v>0</v>
      </c>
      <c r="DD64" s="26">
        <f t="shared" si="157"/>
        <v>0</v>
      </c>
      <c r="DE64" s="26">
        <f t="shared" si="158"/>
        <v>0</v>
      </c>
      <c r="DF64" s="26">
        <f t="shared" si="159"/>
        <v>0</v>
      </c>
      <c r="DH64" s="26">
        <f t="shared" si="160"/>
        <v>0</v>
      </c>
      <c r="DI64" s="26">
        <f t="shared" si="161"/>
        <v>0</v>
      </c>
      <c r="DJ64" s="26">
        <f t="shared" si="162"/>
        <v>0</v>
      </c>
      <c r="DK64" s="26">
        <f t="shared" si="163"/>
        <v>0</v>
      </c>
      <c r="DL64" s="26">
        <f t="shared" si="164"/>
        <v>0</v>
      </c>
      <c r="DM64" s="26">
        <f t="shared" si="165"/>
        <v>0</v>
      </c>
      <c r="DN64" s="26">
        <f t="shared" si="166"/>
        <v>0</v>
      </c>
      <c r="DO64" s="26">
        <f t="shared" si="167"/>
        <v>0</v>
      </c>
      <c r="DP64" s="26">
        <f t="shared" si="168"/>
        <v>0</v>
      </c>
      <c r="DR64" s="26">
        <f t="shared" si="169"/>
        <v>0</v>
      </c>
      <c r="DS64" s="26">
        <f t="shared" si="170"/>
        <v>5</v>
      </c>
      <c r="DT64" s="26">
        <f t="shared" si="171"/>
        <v>5</v>
      </c>
      <c r="DU64" s="26">
        <f t="shared" si="172"/>
        <v>5</v>
      </c>
      <c r="DV64" s="26">
        <f t="shared" si="173"/>
        <v>5</v>
      </c>
      <c r="DW64" s="26">
        <f t="shared" si="174"/>
        <v>5</v>
      </c>
      <c r="DX64" s="26">
        <f t="shared" si="175"/>
        <v>0</v>
      </c>
      <c r="DY64" s="26">
        <f t="shared" si="176"/>
        <v>0</v>
      </c>
      <c r="DZ64" s="26">
        <f t="shared" si="177"/>
        <v>0</v>
      </c>
      <c r="EB64" s="26">
        <f t="shared" si="178"/>
        <v>0</v>
      </c>
      <c r="EC64" s="26">
        <f t="shared" si="179"/>
        <v>0</v>
      </c>
      <c r="ED64" s="26">
        <f t="shared" si="180"/>
        <v>0</v>
      </c>
      <c r="EE64" s="26">
        <f t="shared" si="181"/>
        <v>0</v>
      </c>
      <c r="EF64" s="26">
        <f t="shared" si="182"/>
        <v>0</v>
      </c>
      <c r="EG64" s="26">
        <f t="shared" si="183"/>
        <v>0</v>
      </c>
      <c r="EH64" s="26">
        <f t="shared" si="184"/>
        <v>0</v>
      </c>
      <c r="EI64" s="26">
        <f t="shared" si="185"/>
        <v>0</v>
      </c>
      <c r="EJ64" s="26">
        <f t="shared" si="186"/>
        <v>0</v>
      </c>
      <c r="EL64" s="26">
        <f t="shared" si="187"/>
        <v>0</v>
      </c>
      <c r="EM64" s="26">
        <f t="shared" si="188"/>
        <v>8</v>
      </c>
      <c r="EN64" s="26">
        <f t="shared" si="189"/>
        <v>8</v>
      </c>
      <c r="EO64" s="26">
        <f t="shared" si="190"/>
        <v>8</v>
      </c>
      <c r="EP64" s="26">
        <f t="shared" si="191"/>
        <v>8</v>
      </c>
      <c r="EQ64" s="26">
        <f t="shared" si="192"/>
        <v>8</v>
      </c>
      <c r="ER64" s="26">
        <f t="shared" si="193"/>
        <v>0</v>
      </c>
      <c r="ES64" s="26">
        <f t="shared" si="194"/>
        <v>0</v>
      </c>
      <c r="ET64" s="26">
        <f t="shared" si="195"/>
        <v>0</v>
      </c>
      <c r="EV64" s="26">
        <f t="shared" si="196"/>
        <v>0</v>
      </c>
      <c r="EW64" s="26">
        <f t="shared" si="197"/>
        <v>0</v>
      </c>
      <c r="EX64" s="26">
        <f t="shared" si="198"/>
        <v>0</v>
      </c>
      <c r="EY64" s="26">
        <f t="shared" si="199"/>
        <v>0</v>
      </c>
      <c r="EZ64" s="26">
        <f t="shared" si="200"/>
        <v>0</v>
      </c>
      <c r="FA64" s="26">
        <f t="shared" si="201"/>
        <v>0</v>
      </c>
      <c r="FB64" s="26">
        <f t="shared" si="202"/>
        <v>0</v>
      </c>
      <c r="FC64" s="26">
        <f t="shared" si="203"/>
        <v>0</v>
      </c>
      <c r="FD64" s="26">
        <f t="shared" si="204"/>
        <v>0</v>
      </c>
      <c r="FF64" s="26">
        <f t="shared" si="205"/>
        <v>0</v>
      </c>
      <c r="FG64" s="26">
        <f t="shared" si="206"/>
        <v>0</v>
      </c>
      <c r="FH64" s="26">
        <f t="shared" si="207"/>
        <v>0</v>
      </c>
      <c r="FI64" s="26">
        <f t="shared" si="208"/>
        <v>0</v>
      </c>
      <c r="FJ64" s="26">
        <f t="shared" si="209"/>
        <v>0</v>
      </c>
      <c r="FK64" s="26">
        <f t="shared" si="210"/>
        <v>0</v>
      </c>
      <c r="FL64" s="26">
        <f t="shared" si="211"/>
        <v>0</v>
      </c>
      <c r="FM64" s="26">
        <f t="shared" si="212"/>
        <v>0</v>
      </c>
      <c r="FN64" s="26">
        <f t="shared" si="213"/>
        <v>0</v>
      </c>
      <c r="FP64" s="26" t="e">
        <f t="shared" si="214"/>
        <v>#REF!</v>
      </c>
      <c r="FQ64" s="26" t="e">
        <f t="shared" si="215"/>
        <v>#REF!</v>
      </c>
      <c r="FR64" s="26" t="e">
        <f t="shared" si="216"/>
        <v>#REF!</v>
      </c>
      <c r="FS64" s="26" t="e">
        <f t="shared" si="217"/>
        <v>#REF!</v>
      </c>
      <c r="FT64" s="26" t="e">
        <f t="shared" si="218"/>
        <v>#REF!</v>
      </c>
      <c r="FU64" s="26" t="e">
        <f t="shared" si="219"/>
        <v>#REF!</v>
      </c>
      <c r="FV64" s="26" t="e">
        <f t="shared" si="220"/>
        <v>#REF!</v>
      </c>
      <c r="FW64" s="26" t="e">
        <f t="shared" si="221"/>
        <v>#REF!</v>
      </c>
      <c r="FX64" s="26" t="e">
        <f t="shared" si="222"/>
        <v>#REF!</v>
      </c>
      <c r="GB64" s="26" t="e">
        <f>IF(GB$2=InputTable[[#This Row],[Delivery Date]],_xlfn.XLOOKUP(GB$1,$BH$2:$BR$2,$BH64:$BR64,0),0)</f>
        <v>#REF!</v>
      </c>
      <c r="GC64" s="26">
        <f>IF(GC$2=InputTable[[#This Row],[Delivery Date]],_xlfn.XLOOKUP(GC$1,$BH$2:$BR$2,$BH64:$BR64,0),0)</f>
        <v>0</v>
      </c>
      <c r="GD64" s="26">
        <f>IF(GD$2=InputTable[[#This Row],[Delivery Date]],_xlfn.XLOOKUP(GD$1,$BH$2:$BR$2,$BH64:$BR64,0),0)</f>
        <v>0</v>
      </c>
      <c r="GE64" s="26">
        <f>IF(GE$2=InputTable[[#This Row],[Delivery Date]],_xlfn.XLOOKUP(GE$1,$BH$2:$BR$2,$BH64:$BR64,0),0)</f>
        <v>0</v>
      </c>
      <c r="GF64" s="26">
        <f>IF(GF$2=InputTable[[#This Row],[Delivery Date]],_xlfn.XLOOKUP(GF$1,$BH$2:$BR$2,$BH64:$BR64,0),0)</f>
        <v>0</v>
      </c>
      <c r="GG64" s="26">
        <f>IF(GG$2=InputTable[[#This Row],[Delivery Date]],_xlfn.XLOOKUP(GG$1,$BH$2:$BR$2,$BH64:$BR64,0),0)</f>
        <v>0</v>
      </c>
      <c r="GH64" s="26">
        <f>IF(GH$2=InputTable[[#This Row],[Delivery Date]],_xlfn.XLOOKUP(GH$1,$BH$2:$BR$2,$BH64:$BR64,0),0)</f>
        <v>0</v>
      </c>
      <c r="GI64" s="26">
        <f>IF(GI$2=InputTable[[#This Row],[Delivery Date]],_xlfn.XLOOKUP(GI$1,$BH$2:$BR$2,$BH64:$BR64,0),0)</f>
        <v>0</v>
      </c>
      <c r="GJ64" s="26">
        <f>IF(GJ$2=InputTable[[#This Row],[Delivery Date]],_xlfn.XLOOKUP(GJ$1,$BH$2:$BR$2,$BH64:$BR64,0),0)</f>
        <v>0</v>
      </c>
      <c r="GL64" s="26" t="e">
        <f>IF(GL$2=InputTable[[#This Row],[Delivery Date]],_xlfn.XLOOKUP(GL$1,$BH$2:$BR$2,$BH64:$BR64,0),0)</f>
        <v>#REF!</v>
      </c>
      <c r="GM64" s="26">
        <f>IF(GM$2=InputTable[[#This Row],[Delivery Date]],_xlfn.XLOOKUP(GM$1,$BH$2:$BR$2,$BH64:$BR64,0),0)</f>
        <v>0</v>
      </c>
      <c r="GN64" s="26">
        <f>IF(GN$2=InputTable[[#This Row],[Delivery Date]],_xlfn.XLOOKUP(GN$1,$BH$2:$BR$2,$BH64:$BR64,0),0)</f>
        <v>0</v>
      </c>
      <c r="GO64" s="26">
        <f>IF(GO$2=InputTable[[#This Row],[Delivery Date]],_xlfn.XLOOKUP(GO$1,$BH$2:$BR$2,$BH64:$BR64,0),0)</f>
        <v>0</v>
      </c>
      <c r="GP64" s="26">
        <f>IF(GP$2=InputTable[[#This Row],[Delivery Date]],_xlfn.XLOOKUP(GP$1,$BH$2:$BR$2,$BH64:$BR64,0),0)</f>
        <v>0</v>
      </c>
      <c r="GQ64" s="26">
        <f>IF(GQ$2=InputTable[[#This Row],[Delivery Date]],_xlfn.XLOOKUP(GQ$1,$BH$2:$BR$2,$BH64:$BR64,0),0)</f>
        <v>0</v>
      </c>
      <c r="GR64" s="26">
        <f>IF(GR$2=InputTable[[#This Row],[Delivery Date]],_xlfn.XLOOKUP(GR$1,$BH$2:$BR$2,$BH64:$BR64,0),0)</f>
        <v>0</v>
      </c>
      <c r="GS64" s="26">
        <f>IF(GS$2=InputTable[[#This Row],[Delivery Date]],_xlfn.XLOOKUP(GS$1,$BH$2:$BR$2,$BH64:$BR64,0),0)</f>
        <v>0</v>
      </c>
      <c r="GT64" s="26">
        <f>IF(GT$2=InputTable[[#This Row],[Delivery Date]],_xlfn.XLOOKUP(GT$1,$BH$2:$BR$2,$BH64:$BR64,0),0)</f>
        <v>0</v>
      </c>
      <c r="GV64" s="26" t="e">
        <f>IF(GV$2=InputTable[[#This Row],[Delivery Date]],_xlfn.XLOOKUP(GV$1,$BH$2:$BR$2,$BH64:$BR64,0),0)</f>
        <v>#REF!</v>
      </c>
      <c r="GW64" s="26">
        <f>IF(GW$2=InputTable[[#This Row],[Delivery Date]],_xlfn.XLOOKUP(GW$1,$BH$2:$BR$2,$BH64:$BR64,0),0)</f>
        <v>0</v>
      </c>
      <c r="GX64" s="26">
        <f>IF(GX$2=InputTable[[#This Row],[Delivery Date]],_xlfn.XLOOKUP(GX$1,$BH$2:$BR$2,$BH64:$BR64,0),0)</f>
        <v>0</v>
      </c>
      <c r="GY64" s="26">
        <f>IF(GY$2=InputTable[[#This Row],[Delivery Date]],_xlfn.XLOOKUP(GY$1,$BH$2:$BR$2,$BH64:$BR64,0),0)</f>
        <v>0</v>
      </c>
      <c r="GZ64" s="26">
        <f>IF(GZ$2=InputTable[[#This Row],[Delivery Date]],_xlfn.XLOOKUP(GZ$1,$BH$2:$BR$2,$BH64:$BR64,0),0)</f>
        <v>0</v>
      </c>
      <c r="HA64" s="26">
        <f>IF(HA$2=InputTable[[#This Row],[Delivery Date]],_xlfn.XLOOKUP(HA$1,$BH$2:$BR$2,$BH64:$BR64,0),0)</f>
        <v>0</v>
      </c>
      <c r="HB64" s="26">
        <f>IF(HB$2=InputTable[[#This Row],[Delivery Date]],_xlfn.XLOOKUP(HB$1,$BH$2:$BR$2,$BH64:$BR64,0),0)</f>
        <v>0</v>
      </c>
      <c r="HC64" s="26">
        <f>IF(HC$2=InputTable[[#This Row],[Delivery Date]],_xlfn.XLOOKUP(HC$1,$BH$2:$BR$2,$BH64:$BR64,0),0)</f>
        <v>0</v>
      </c>
      <c r="HD64" s="26">
        <f>IF(HD$2=InputTable[[#This Row],[Delivery Date]],_xlfn.XLOOKUP(HD$1,$BH$2:$BR$2,$BH64:$BR64,0),0)</f>
        <v>0</v>
      </c>
      <c r="HF64" s="26" t="e">
        <f>IF(HF$2=InputTable[[#This Row],[Delivery Date]],_xlfn.XLOOKUP(HF$1,$BH$2:$BR$2,$BH64:$BR64,0),0)</f>
        <v>#REF!</v>
      </c>
      <c r="HG64" s="26">
        <f>IF(HG$2=InputTable[[#This Row],[Delivery Date]],_xlfn.XLOOKUP(HG$1,$BH$2:$BR$2,$BH64:$BR64,0),0)</f>
        <v>0</v>
      </c>
      <c r="HH64" s="26">
        <f>IF(HH$2=InputTable[[#This Row],[Delivery Date]],_xlfn.XLOOKUP(HH$1,$BH$2:$BR$2,$BH64:$BR64,0),0)</f>
        <v>0</v>
      </c>
      <c r="HI64" s="26">
        <f>IF(HI$2=InputTable[[#This Row],[Delivery Date]],_xlfn.XLOOKUP(HI$1,$BH$2:$BR$2,$BH64:$BR64,0),0)</f>
        <v>0</v>
      </c>
      <c r="HJ64" s="26">
        <f>IF(HJ$2=InputTable[[#This Row],[Delivery Date]],_xlfn.XLOOKUP(HJ$1,$BH$2:$BR$2,$BH64:$BR64,0),0)</f>
        <v>0</v>
      </c>
      <c r="HK64" s="26">
        <f>IF(HK$2=InputTable[[#This Row],[Delivery Date]],_xlfn.XLOOKUP(HK$1,$BH$2:$BR$2,$BH64:$BR64,0),0)</f>
        <v>0</v>
      </c>
      <c r="HL64" s="26">
        <f>IF(HL$2=InputTable[[#This Row],[Delivery Date]],_xlfn.XLOOKUP(HL$1,$BH$2:$BR$2,$BH64:$BR64,0),0)</f>
        <v>0</v>
      </c>
      <c r="HM64" s="26">
        <f>IF(HM$2=InputTable[[#This Row],[Delivery Date]],_xlfn.XLOOKUP(HM$1,$BH$2:$BR$2,$BH64:$BR64,0),0)</f>
        <v>0</v>
      </c>
      <c r="HN64" s="26">
        <f>IF(HN$2=InputTable[[#This Row],[Delivery Date]],_xlfn.XLOOKUP(HN$1,$BH$2:$BR$2,$BH64:$BR64,0),0)</f>
        <v>0</v>
      </c>
      <c r="HP64" s="26" t="e">
        <f>IF(HP$2=InputTable[[#This Row],[Delivery Date]],_xlfn.XLOOKUP(HP$1,$BH$2:$BR$2,$BH64:$BR64,0),0)</f>
        <v>#REF!</v>
      </c>
      <c r="HQ64" s="26">
        <f>IF(HQ$2=InputTable[[#This Row],[Delivery Date]],_xlfn.XLOOKUP(HQ$1,$BH$2:$BR$2,$BH64:$BR64,0),0)</f>
        <v>0</v>
      </c>
      <c r="HR64" s="26">
        <f>IF(HR$2=InputTable[[#This Row],[Delivery Date]],_xlfn.XLOOKUP(HR$1,$BH$2:$BR$2,$BH64:$BR64,0),0)</f>
        <v>0</v>
      </c>
      <c r="HS64" s="26">
        <f>IF(HS$2=InputTable[[#This Row],[Delivery Date]],_xlfn.XLOOKUP(HS$1,$BH$2:$BR$2,$BH64:$BR64,0),0)</f>
        <v>0</v>
      </c>
      <c r="HT64" s="26">
        <f>IF(HT$2=InputTable[[#This Row],[Delivery Date]],_xlfn.XLOOKUP(HT$1,$BH$2:$BR$2,$BH64:$BR64,0),0)</f>
        <v>0</v>
      </c>
      <c r="HU64" s="26">
        <f>IF(HU$2=InputTable[[#This Row],[Delivery Date]],_xlfn.XLOOKUP(HU$1,$BH$2:$BR$2,$BH64:$BR64,0),0)</f>
        <v>0</v>
      </c>
      <c r="HV64" s="26">
        <f>IF(HV$2=InputTable[[#This Row],[Delivery Date]],_xlfn.XLOOKUP(HV$1,$BH$2:$BR$2,$BH64:$BR64,0),0)</f>
        <v>0</v>
      </c>
      <c r="HW64" s="26">
        <f>IF(HW$2=InputTable[[#This Row],[Delivery Date]],_xlfn.XLOOKUP(HW$1,$BH$2:$BR$2,$BH64:$BR64,0),0)</f>
        <v>0</v>
      </c>
      <c r="HX64" s="26">
        <f>IF(HX$2=InputTable[[#This Row],[Delivery Date]],_xlfn.XLOOKUP(HX$1,$BH$2:$BR$2,$BH64:$BR64,0),0)</f>
        <v>0</v>
      </c>
      <c r="HZ64" s="26" t="e">
        <f>IF(HZ$2=InputTable[[#This Row],[Delivery Date]],_xlfn.XLOOKUP(HZ$1,$BH$2:$BR$2,$BH64:$BR64,0),0)</f>
        <v>#REF!</v>
      </c>
      <c r="IA64" s="26">
        <f>IF(IA$2=InputTable[[#This Row],[Delivery Date]],_xlfn.XLOOKUP(IA$1,$BH$2:$BR$2,$BH64:$BR64,0),0)</f>
        <v>0</v>
      </c>
      <c r="IB64" s="26">
        <f>IF(IB$2=InputTable[[#This Row],[Delivery Date]],_xlfn.XLOOKUP(IB$1,$BH$2:$BR$2,$BH64:$BR64,0),0)</f>
        <v>0</v>
      </c>
      <c r="IC64" s="26">
        <f>IF(IC$2=InputTable[[#This Row],[Delivery Date]],_xlfn.XLOOKUP(IC$1,$BH$2:$BR$2,$BH64:$BR64,0),0)</f>
        <v>0</v>
      </c>
      <c r="ID64" s="26">
        <f>IF(ID$2=InputTable[[#This Row],[Delivery Date]],_xlfn.XLOOKUP(ID$1,$BH$2:$BR$2,$BH64:$BR64,0),0)</f>
        <v>0</v>
      </c>
      <c r="IE64" s="26">
        <f>IF(IE$2=InputTable[[#This Row],[Delivery Date]],_xlfn.XLOOKUP(IE$1,$BH$2:$BR$2,$BH64:$BR64,0),0)</f>
        <v>0</v>
      </c>
      <c r="IF64" s="26">
        <f>IF(IF$2=InputTable[[#This Row],[Delivery Date]],_xlfn.XLOOKUP(IF$1,$BH$2:$BR$2,$BH64:$BR64,0),0)</f>
        <v>0</v>
      </c>
      <c r="IG64" s="26">
        <f>IF(IG$2=InputTable[[#This Row],[Delivery Date]],_xlfn.XLOOKUP(IG$1,$BH$2:$BR$2,$BH64:$BR64,0),0)</f>
        <v>0</v>
      </c>
      <c r="IH64" s="26">
        <f>IF(IH$2=InputTable[[#This Row],[Delivery Date]],_xlfn.XLOOKUP(IH$1,$BH$2:$BR$2,$BH64:$BR64,0),0)</f>
        <v>0</v>
      </c>
      <c r="IJ64" s="26" t="e">
        <f>IF(IJ$2=InputTable[[#This Row],[Delivery Date]],_xlfn.XLOOKUP(IJ$1,$BH$2:$BR$2,$BH64:$BR64,0),0)</f>
        <v>#REF!</v>
      </c>
      <c r="IK64" s="26">
        <f>IF(IK$2=InputTable[[#This Row],[Delivery Date]],_xlfn.XLOOKUP(IK$1,$BH$2:$BR$2,$BH64:$BR64,0),0)</f>
        <v>0</v>
      </c>
      <c r="IL64" s="26">
        <f>IF(IL$2=InputTable[[#This Row],[Delivery Date]],_xlfn.XLOOKUP(IL$1,$BH$2:$BR$2,$BH64:$BR64,0),0)</f>
        <v>0</v>
      </c>
      <c r="IM64" s="26">
        <f>IF(IM$2=InputTable[[#This Row],[Delivery Date]],_xlfn.XLOOKUP(IM$1,$BH$2:$BR$2,$BH64:$BR64,0),0)</f>
        <v>0</v>
      </c>
      <c r="IN64" s="26">
        <f>IF(IN$2=InputTable[[#This Row],[Delivery Date]],_xlfn.XLOOKUP(IN$1,$BH$2:$BR$2,$BH64:$BR64,0),0)</f>
        <v>0</v>
      </c>
      <c r="IO64" s="26">
        <f>IF(IO$2=InputTable[[#This Row],[Delivery Date]],_xlfn.XLOOKUP(IO$1,$BH$2:$BR$2,$BH64:$BR64,0),0)</f>
        <v>0</v>
      </c>
      <c r="IP64" s="26">
        <f>IF(IP$2=InputTable[[#This Row],[Delivery Date]],_xlfn.XLOOKUP(IP$1,$BH$2:$BR$2,$BH64:$BR64,0),0)</f>
        <v>0</v>
      </c>
      <c r="IQ64" s="26">
        <f>IF(IQ$2=InputTable[[#This Row],[Delivery Date]],_xlfn.XLOOKUP(IQ$1,$BH$2:$BR$2,$BH64:$BR64,0),0)</f>
        <v>0</v>
      </c>
      <c r="IR64" s="26">
        <f>IF(IR$2=InputTable[[#This Row],[Delivery Date]],_xlfn.XLOOKUP(IR$1,$BH$2:$BR$2,$BH64:$BR64,0),0)</f>
        <v>0</v>
      </c>
      <c r="IT64" s="26" t="e">
        <f>IF(IT$2=InputTable[[#This Row],[Delivery Date]],_xlfn.XLOOKUP(IT$1,$BH$2:$BR$2,$BH64:$BR64,0),0)</f>
        <v>#REF!</v>
      </c>
      <c r="IU64" s="26">
        <f>IF(IU$2=InputTable[[#This Row],[Delivery Date]],_xlfn.XLOOKUP(IU$1,$BH$2:$BR$2,$BH64:$BR64,0),0)</f>
        <v>0</v>
      </c>
      <c r="IV64" s="26">
        <f>IF(IV$2=InputTable[[#This Row],[Delivery Date]],_xlfn.XLOOKUP(IV$1,$BH$2:$BR$2,$BH64:$BR64,0),0)</f>
        <v>0</v>
      </c>
      <c r="IW64" s="26">
        <f>IF(IW$2=InputTable[[#This Row],[Delivery Date]],_xlfn.XLOOKUP(IW$1,$BH$2:$BR$2,$BH64:$BR64,0),0)</f>
        <v>0</v>
      </c>
      <c r="IX64" s="26">
        <f>IF(IX$2=InputTable[[#This Row],[Delivery Date]],_xlfn.XLOOKUP(IX$1,$BH$2:$BR$2,$BH64:$BR64,0),0)</f>
        <v>0</v>
      </c>
      <c r="IY64" s="26">
        <f>IF(IY$2=InputTable[[#This Row],[Delivery Date]],_xlfn.XLOOKUP(IY$1,$BH$2:$BR$2,$BH64:$BR64,0),0)</f>
        <v>0</v>
      </c>
      <c r="IZ64" s="26">
        <f>IF(IZ$2=InputTable[[#This Row],[Delivery Date]],_xlfn.XLOOKUP(IZ$1,$BH$2:$BR$2,$BH64:$BR64,0),0)</f>
        <v>0</v>
      </c>
      <c r="JA64" s="26">
        <f>IF(JA$2=InputTable[[#This Row],[Delivery Date]],_xlfn.XLOOKUP(JA$1,$BH$2:$BR$2,$BH64:$BR64,0),0)</f>
        <v>0</v>
      </c>
      <c r="JB64" s="26">
        <f>IF(JB$2=InputTable[[#This Row],[Delivery Date]],_xlfn.XLOOKUP(JB$1,$BH$2:$BR$2,$BH64:$BR64,0),0)</f>
        <v>0</v>
      </c>
      <c r="JD64" s="26" t="e">
        <f>IF(JD$2=InputTable[[#This Row],[Delivery Date]],_xlfn.XLOOKUP(JD$1,$BH$2:$BR$2,$BH64:$BR64,0),0)</f>
        <v>#REF!</v>
      </c>
      <c r="JE64" s="26">
        <f>IF(JE$2=InputTable[[#This Row],[Delivery Date]],_xlfn.XLOOKUP(JE$1,$BH$2:$BR$2,$BH64:$BR64,0),0)</f>
        <v>0</v>
      </c>
      <c r="JF64" s="26">
        <f>IF(JF$2=InputTable[[#This Row],[Delivery Date]],_xlfn.XLOOKUP(JF$1,$BH$2:$BR$2,$BH64:$BR64,0),0)</f>
        <v>0</v>
      </c>
      <c r="JG64" s="26">
        <f>IF(JG$2=InputTable[[#This Row],[Delivery Date]],_xlfn.XLOOKUP(JG$1,$BH$2:$BR$2,$BH64:$BR64,0),0)</f>
        <v>0</v>
      </c>
      <c r="JH64" s="26">
        <f>IF(JH$2=InputTable[[#This Row],[Delivery Date]],_xlfn.XLOOKUP(JH$1,$BH$2:$BR$2,$BH64:$BR64,0),0)</f>
        <v>0</v>
      </c>
      <c r="JI64" s="26">
        <f>IF(JI$2=InputTable[[#This Row],[Delivery Date]],_xlfn.XLOOKUP(JI$1,$BH$2:$BR$2,$BH64:$BR64,0),0)</f>
        <v>0</v>
      </c>
      <c r="JJ64" s="26">
        <f>IF(JJ$2=InputTable[[#This Row],[Delivery Date]],_xlfn.XLOOKUP(JJ$1,$BH$2:$BR$2,$BH64:$BR64,0),0)</f>
        <v>0</v>
      </c>
      <c r="JK64" s="26">
        <f>IF(JK$2=InputTable[[#This Row],[Delivery Date]],_xlfn.XLOOKUP(JK$1,$BH$2:$BR$2,$BH64:$BR64,0),0)</f>
        <v>0</v>
      </c>
      <c r="JL64" s="26">
        <f>IF(JL$2=InputTable[[#This Row],[Delivery Date]],_xlfn.XLOOKUP(JL$1,$BH$2:$BR$2,$BH64:$BR64,0),0)</f>
        <v>0</v>
      </c>
      <c r="JN64" s="26" t="e">
        <f>IF(JN$2=InputTable[[#This Row],[Delivery Date]],_xlfn.XLOOKUP(JN$1,$BH$2:$BR$2,$BH64:$BR64,0),0)</f>
        <v>#REF!</v>
      </c>
      <c r="JO64" s="26">
        <f>IF(JO$2=InputTable[[#This Row],[Delivery Date]],_xlfn.XLOOKUP(JO$1,$BH$2:$BR$2,$BH64:$BR64,0),0)</f>
        <v>0</v>
      </c>
      <c r="JP64" s="26">
        <f>IF(JP$2=InputTable[[#This Row],[Delivery Date]],_xlfn.XLOOKUP(JP$1,$BH$2:$BR$2,$BH64:$BR64,0),0)</f>
        <v>0</v>
      </c>
      <c r="JQ64" s="26">
        <f>IF(JQ$2=InputTable[[#This Row],[Delivery Date]],_xlfn.XLOOKUP(JQ$1,$BH$2:$BR$2,$BH64:$BR64,0),0)</f>
        <v>0</v>
      </c>
      <c r="JR64" s="26">
        <f>IF(JR$2=InputTable[[#This Row],[Delivery Date]],_xlfn.XLOOKUP(JR$1,$BH$2:$BR$2,$BH64:$BR64,0),0)</f>
        <v>0</v>
      </c>
      <c r="JS64" s="26">
        <f>IF(JS$2=InputTable[[#This Row],[Delivery Date]],_xlfn.XLOOKUP(JS$1,$BH$2:$BR$2,$BH64:$BR64,0),0)</f>
        <v>0</v>
      </c>
      <c r="JT64" s="26">
        <f>IF(JT$2=InputTable[[#This Row],[Delivery Date]],_xlfn.XLOOKUP(JT$1,$BH$2:$BR$2,$BH64:$BR64,0),0)</f>
        <v>0</v>
      </c>
      <c r="JU64" s="26">
        <f>IF(JU$2=InputTable[[#This Row],[Delivery Date]],_xlfn.XLOOKUP(JU$1,$BH$2:$BR$2,$BH64:$BR64,0),0)</f>
        <v>0</v>
      </c>
      <c r="JV64" s="26">
        <f>IF(JV$2=InputTable[[#This Row],[Delivery Date]],_xlfn.XLOOKUP(JV$1,$BH$2:$BR$2,$BH64:$BR64,0),0)</f>
        <v>0</v>
      </c>
      <c r="JX64" s="26" t="e">
        <f>IF(JX$2=InputTable[[#This Row],[Delivery Date]],_xlfn.XLOOKUP(JX$1,$BH$2:$BR$2,$BH64:$BR64,0),0)</f>
        <v>#REF!</v>
      </c>
      <c r="JY64" s="26">
        <f>IF(JY$2=InputTable[[#This Row],[Delivery Date]],_xlfn.XLOOKUP(JY$1,$BH$2:$BR$2,$BH64:$BR64,0),0)</f>
        <v>0</v>
      </c>
      <c r="JZ64" s="26">
        <f>IF(JZ$2=InputTable[[#This Row],[Delivery Date]],_xlfn.XLOOKUP(JZ$1,$BH$2:$BR$2,$BH64:$BR64,0),0)</f>
        <v>0</v>
      </c>
      <c r="KA64" s="26">
        <f>IF(KA$2=InputTable[[#This Row],[Delivery Date]],_xlfn.XLOOKUP(KA$1,$BH$2:$BR$2,$BH64:$BR64,0),0)</f>
        <v>0</v>
      </c>
      <c r="KB64" s="26">
        <f>IF(KB$2=InputTable[[#This Row],[Delivery Date]],_xlfn.XLOOKUP(KB$1,$BH$2:$BR$2,$BH64:$BR64,0),0)</f>
        <v>0</v>
      </c>
      <c r="KC64" s="26">
        <f>IF(KC$2=InputTable[[#This Row],[Delivery Date]],_xlfn.XLOOKUP(KC$1,$BH$2:$BR$2,$BH64:$BR64,0),0)</f>
        <v>0</v>
      </c>
      <c r="KD64" s="26">
        <f>IF(KD$2=InputTable[[#This Row],[Delivery Date]],_xlfn.XLOOKUP(KD$1,$BH$2:$BR$2,$BH64:$BR64,0),0)</f>
        <v>0</v>
      </c>
      <c r="KE64" s="26">
        <f>IF(KE$2=InputTable[[#This Row],[Delivery Date]],_xlfn.XLOOKUP(KE$1,$BH$2:$BR$2,$BH64:$BR64,0),0)</f>
        <v>0</v>
      </c>
      <c r="KF64" s="26">
        <f>IF(KF$2=InputTable[[#This Row],[Delivery Date]],_xlfn.XLOOKUP(KF$1,$BH$2:$BR$2,$BH64:$BR64,0),0)</f>
        <v>0</v>
      </c>
    </row>
    <row r="65" spans="1:292" ht="39.6" hidden="1" customHeight="1" x14ac:dyDescent="0.25">
      <c r="A65" s="141" t="s">
        <v>134</v>
      </c>
      <c r="B65" s="141" t="s">
        <v>156</v>
      </c>
      <c r="C65" s="92" t="s">
        <v>60</v>
      </c>
      <c r="D65" s="125" t="s">
        <v>309</v>
      </c>
      <c r="E65" s="193" t="s">
        <v>310</v>
      </c>
      <c r="F65" s="92" t="s">
        <v>24</v>
      </c>
      <c r="G65" s="92">
        <v>2024</v>
      </c>
      <c r="H65" s="92" t="s">
        <v>111</v>
      </c>
      <c r="I65" s="92" t="s">
        <v>137</v>
      </c>
      <c r="J65" s="125" t="s">
        <v>209</v>
      </c>
      <c r="K65" s="95" t="e">
        <f>VLOOKUP((InputTable[[#This Row],[Starting Date]]&amp; " - " &amp;InputTable[[#This Row],[Delivery Date]]),'System List'!$F$40:$H$83,2,FALSE)</f>
        <v>#N/A</v>
      </c>
      <c r="L65" s="95" t="e">
        <f>VLOOKUP(InputTable[[#This Row],[Duration]],Duration,2,FALSE)</f>
        <v>#N/A</v>
      </c>
      <c r="M65" s="125" t="s">
        <v>311</v>
      </c>
      <c r="N65" s="92" t="s">
        <v>139</v>
      </c>
      <c r="O65" s="92"/>
      <c r="P65" s="92"/>
      <c r="Q65" s="92" t="s">
        <v>139</v>
      </c>
      <c r="R65" s="92"/>
      <c r="S65" s="92" t="s">
        <v>209</v>
      </c>
      <c r="T65" s="95" cm="1">
        <f t="array" ref="T6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2.4000000000000004</v>
      </c>
      <c r="U65" s="138"/>
      <c r="V65" s="92"/>
      <c r="W65" s="92"/>
      <c r="X65" s="92" t="s">
        <v>139</v>
      </c>
      <c r="Y65" s="92"/>
      <c r="Z65" s="92" t="s">
        <v>139</v>
      </c>
      <c r="AA65" s="92"/>
      <c r="AB65" s="92"/>
      <c r="AC65" s="92"/>
      <c r="AD65" s="92">
        <f>COUNTA(InputTable[[#This Row],[CORPHRFIN]:[SALES]])</f>
        <v>2</v>
      </c>
      <c r="AE65" s="88" cm="1">
        <f t="array" ref="AE65">SUM(
_xlfn.XLOOKUP(InputTable[[#This Row],[CORPHRFIN]:[SALES]],'System List'!$F$4:$F$7,'System List'!$H$4:$H$7,0))</f>
        <v>16</v>
      </c>
      <c r="AF65" s="140"/>
      <c r="AG65" s="96"/>
      <c r="AH65" s="96"/>
      <c r="AI65" s="96"/>
      <c r="AJ65" s="96"/>
      <c r="AK65" s="96"/>
      <c r="AL65" s="96" t="s">
        <v>111</v>
      </c>
      <c r="AM65" s="96"/>
      <c r="AN65" s="96"/>
      <c r="AO65" s="96"/>
      <c r="AP65" s="96"/>
      <c r="AQ65" s="96"/>
      <c r="AR65" s="88" cm="1">
        <f t="array" ref="AR65">SUM(
_xlfn.XLOOKUP(InputTable[[#This Row],[Impact on - CIAL]:[Impact on - STRAT]],'System List'!$F$4:$F$7,'System List'!$H$4:$H$7,0))</f>
        <v>5</v>
      </c>
      <c r="AS65" s="88" t="e">
        <f>VLOOKUP(InputTable[[#This Row],[Duration]],Duration,2,FALSE)+InputTable[[#This Row],[Resource Score]]</f>
        <v>#N/A</v>
      </c>
      <c r="AT6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5" s="24" t="e">
        <f>InputTable[[#This Row],[Value Score]]/InputTable[[#This Row],[EFFORT SCORE]]*100</f>
        <v>#N/A</v>
      </c>
      <c r="AV65" s="25" t="str">
        <f>InputTable[[#This Row],[IS Portfolio Ref ID]]</f>
        <v>ISPRJ-49</v>
      </c>
      <c r="AW65" s="25" t="s">
        <v>312</v>
      </c>
      <c r="AX65" s="208" t="s">
        <v>313</v>
      </c>
      <c r="AY65" s="25">
        <v>1858</v>
      </c>
      <c r="AZ65" s="209">
        <v>0</v>
      </c>
      <c r="BA65" s="209">
        <v>0</v>
      </c>
      <c r="BB65" s="209"/>
      <c r="BC65" s="189">
        <v>-1</v>
      </c>
      <c r="BD65" s="188">
        <v>2</v>
      </c>
      <c r="BE65" s="188"/>
      <c r="BF65" s="70"/>
      <c r="BH65" s="2">
        <f>IFERROR(VLOOKUP(InputTable[[#This Row],[Impact on - CIAL]],'System List'!$F$4:$H$7,3,FALSE),0)</f>
        <v>0</v>
      </c>
      <c r="BI65" s="2">
        <f>IFERROR(VLOOKUP(InputTable[[#This Row],[Impact on - COM]],'System List'!$F$4:$H$7,3,FALSE),0)</f>
        <v>0</v>
      </c>
      <c r="BJ65" s="2">
        <f>IFERROR(VLOOKUP(InputTable[[#This Row],[Impact on - FIN]],'System List'!$F$4:$H$7,3,FALSE),0)</f>
        <v>0</v>
      </c>
      <c r="BK65" s="2">
        <f>IFERROR(VLOOKUP(InputTable[[#This Row],[Impact on - GEN SEC]],'System List'!$F$4:$H$7,3,FALSE),0)</f>
        <v>0</v>
      </c>
      <c r="BL65" s="2">
        <f>IFERROR(VLOOKUP(InputTable[[#This Row],[Impact on - HR]],'System List'!$F$4:$H$7,3,FALSE),0)</f>
        <v>0</v>
      </c>
      <c r="BM65" s="2">
        <f>IFERROR(VLOOKUP(InputTable[[#This Row],[Impact on - IS]],'System List'!$F$4:$H$7,3,FALSE),0)</f>
        <v>5</v>
      </c>
      <c r="BN65" s="2">
        <f>IFERROR(VLOOKUP(InputTable[[#This Row],[Impact on - OPS]],'System List'!$F$4:$H$7,3,FALSE),0)</f>
        <v>0</v>
      </c>
      <c r="BO65" s="2">
        <f>IFERROR(VLOOKUP(InputTable[[#This Row],[Impact on - ROLL STOCK]],'System List'!$F$4:$H$7,3,FALSE),0)</f>
        <v>0</v>
      </c>
      <c r="BP65" s="2">
        <f>IFERROR(VLOOKUP(InputTable[[#This Row],[Impact on - SAFETY]],'System List'!$F$4:$H$7,3,FALSE),0)</f>
        <v>0</v>
      </c>
      <c r="BQ65" s="2">
        <f>IFERROR(VLOOKUP(InputTable[[#This Row],[Impact on - STATION]],'System List'!$F$4:$H$7,3,FALSE),0)</f>
        <v>0</v>
      </c>
      <c r="BR65" s="2">
        <f>IFERROR(VLOOKUP(InputTable[[#This Row],[Impact on - STRAT]],'System List'!$F$4:$H$7,3,FALSE),0)</f>
        <v>0</v>
      </c>
      <c r="BT65" s="2">
        <f>IFERROR(VLOOKUP(InputTable[[#This Row],[CORPHRFIN]],'System List'!$F$4:$H$7,3,FALSE),0)</f>
        <v>0</v>
      </c>
      <c r="BU65" s="2">
        <f>IFERROR(VLOOKUP(InputTable[[#This Row],[CUST]],'System List'!$F$4:$H$7,3,FALSE),0)</f>
        <v>0</v>
      </c>
      <c r="BV65" s="2">
        <f>IFERROR(VLOOKUP(InputTable[[#This Row],[CYBER]],'System List'!$F$4:$H$7,3,FALSE),0)</f>
        <v>8</v>
      </c>
      <c r="BW65" s="2">
        <f>IFERROR(VLOOKUP(InputTable[[#This Row],[DATA]],'System List'!$F$4:$H$7,3,FALSE),0)</f>
        <v>0</v>
      </c>
      <c r="BX65" s="2">
        <f>IFERROR(VLOOKUP(InputTable[[#This Row],[INFRA]],'System List'!$F$4:$H$7,3,FALSE),0)</f>
        <v>8</v>
      </c>
      <c r="BY65" s="2">
        <f>IFERROR(VLOOKUP(InputTable[[#This Row],[OPERATIONS]],'System List'!$F$4:$H$7,3,FALSE),0)</f>
        <v>0</v>
      </c>
      <c r="BZ65" s="2">
        <f>IFERROR(VLOOKUP(InputTable[[#This Row],[PMO]],'System List'!$F$4:$H$7,3,FALSE),0)</f>
        <v>0</v>
      </c>
      <c r="CA65" s="2">
        <f>IFERROR(VLOOKUP(InputTable[[#This Row],[SALES]],'System List'!$F$4:$H$7,3,FALSE),0)</f>
        <v>0</v>
      </c>
      <c r="CC65" s="2" cm="1">
        <f t="array" ref="CC6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5" s="2" cm="1">
        <f t="array" ref="CD6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5" s="2" cm="1">
        <f t="array" ref="CE6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5" s="2" cm="1">
        <f t="array" ref="CF6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5" s="2" cm="1">
        <f t="array" ref="CG6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5" s="2" cm="1">
        <f t="array" ref="CH6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5" s="2" cm="1">
        <f t="array" ref="CI6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5" s="2" cm="1">
        <f t="array" ref="CJ6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5" s="2" cm="1">
        <f t="array" ref="CK6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6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6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6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5" s="26">
        <f t="shared" si="151"/>
        <v>0</v>
      </c>
      <c r="CY65" s="26">
        <f t="shared" si="152"/>
        <v>0</v>
      </c>
      <c r="CZ65" s="26">
        <f t="shared" si="153"/>
        <v>0</v>
      </c>
      <c r="DA65" s="26">
        <f t="shared" si="154"/>
        <v>0</v>
      </c>
      <c r="DB65" s="26">
        <f t="shared" si="155"/>
        <v>0</v>
      </c>
      <c r="DC65" s="26">
        <f t="shared" si="156"/>
        <v>0</v>
      </c>
      <c r="DD65" s="26">
        <f t="shared" si="157"/>
        <v>0</v>
      </c>
      <c r="DE65" s="26">
        <f t="shared" si="158"/>
        <v>0</v>
      </c>
      <c r="DF65" s="26">
        <f t="shared" si="159"/>
        <v>0</v>
      </c>
      <c r="DH65" s="26">
        <f t="shared" si="160"/>
        <v>0</v>
      </c>
      <c r="DI65" s="26">
        <f t="shared" si="161"/>
        <v>0</v>
      </c>
      <c r="DJ65" s="26">
        <f t="shared" si="162"/>
        <v>0</v>
      </c>
      <c r="DK65" s="26">
        <f t="shared" si="163"/>
        <v>0</v>
      </c>
      <c r="DL65" s="26">
        <f t="shared" si="164"/>
        <v>0</v>
      </c>
      <c r="DM65" s="26">
        <f t="shared" si="165"/>
        <v>0</v>
      </c>
      <c r="DN65" s="26">
        <f t="shared" si="166"/>
        <v>0</v>
      </c>
      <c r="DO65" s="26">
        <f t="shared" si="167"/>
        <v>0</v>
      </c>
      <c r="DP65" s="26">
        <f t="shared" si="168"/>
        <v>0</v>
      </c>
      <c r="DR65" s="26">
        <f t="shared" si="169"/>
        <v>0</v>
      </c>
      <c r="DS65" s="26">
        <f t="shared" si="170"/>
        <v>8</v>
      </c>
      <c r="DT65" s="26">
        <f t="shared" si="171"/>
        <v>8</v>
      </c>
      <c r="DU65" s="26">
        <f t="shared" si="172"/>
        <v>8</v>
      </c>
      <c r="DV65" s="26">
        <f t="shared" si="173"/>
        <v>8</v>
      </c>
      <c r="DW65" s="26">
        <f t="shared" si="174"/>
        <v>0</v>
      </c>
      <c r="DX65" s="26">
        <f t="shared" si="175"/>
        <v>0</v>
      </c>
      <c r="DY65" s="26">
        <f t="shared" si="176"/>
        <v>0</v>
      </c>
      <c r="DZ65" s="26">
        <f t="shared" si="177"/>
        <v>0</v>
      </c>
      <c r="EB65" s="26">
        <f t="shared" si="178"/>
        <v>0</v>
      </c>
      <c r="EC65" s="26">
        <f t="shared" si="179"/>
        <v>0</v>
      </c>
      <c r="ED65" s="26">
        <f t="shared" si="180"/>
        <v>0</v>
      </c>
      <c r="EE65" s="26">
        <f t="shared" si="181"/>
        <v>0</v>
      </c>
      <c r="EF65" s="26">
        <f t="shared" si="182"/>
        <v>0</v>
      </c>
      <c r="EG65" s="26">
        <f t="shared" si="183"/>
        <v>0</v>
      </c>
      <c r="EH65" s="26">
        <f t="shared" si="184"/>
        <v>0</v>
      </c>
      <c r="EI65" s="26">
        <f t="shared" si="185"/>
        <v>0</v>
      </c>
      <c r="EJ65" s="26">
        <f t="shared" si="186"/>
        <v>0</v>
      </c>
      <c r="EL65" s="26">
        <f t="shared" si="187"/>
        <v>0</v>
      </c>
      <c r="EM65" s="26">
        <f t="shared" si="188"/>
        <v>8</v>
      </c>
      <c r="EN65" s="26">
        <f t="shared" si="189"/>
        <v>8</v>
      </c>
      <c r="EO65" s="26">
        <f t="shared" si="190"/>
        <v>8</v>
      </c>
      <c r="EP65" s="26">
        <f t="shared" si="191"/>
        <v>8</v>
      </c>
      <c r="EQ65" s="26">
        <f t="shared" si="192"/>
        <v>0</v>
      </c>
      <c r="ER65" s="26">
        <f t="shared" si="193"/>
        <v>0</v>
      </c>
      <c r="ES65" s="26">
        <f t="shared" si="194"/>
        <v>0</v>
      </c>
      <c r="ET65" s="26">
        <f t="shared" si="195"/>
        <v>0</v>
      </c>
      <c r="EV65" s="26">
        <f t="shared" si="196"/>
        <v>0</v>
      </c>
      <c r="EW65" s="26">
        <f t="shared" si="197"/>
        <v>0</v>
      </c>
      <c r="EX65" s="26">
        <f t="shared" si="198"/>
        <v>0</v>
      </c>
      <c r="EY65" s="26">
        <f t="shared" si="199"/>
        <v>0</v>
      </c>
      <c r="EZ65" s="26">
        <f t="shared" si="200"/>
        <v>0</v>
      </c>
      <c r="FA65" s="26">
        <f t="shared" si="201"/>
        <v>0</v>
      </c>
      <c r="FB65" s="26">
        <f t="shared" si="202"/>
        <v>0</v>
      </c>
      <c r="FC65" s="26">
        <f t="shared" si="203"/>
        <v>0</v>
      </c>
      <c r="FD65" s="26">
        <f t="shared" si="204"/>
        <v>0</v>
      </c>
      <c r="FF65" s="26">
        <f t="shared" si="205"/>
        <v>0</v>
      </c>
      <c r="FG65" s="26">
        <f t="shared" si="206"/>
        <v>0</v>
      </c>
      <c r="FH65" s="26">
        <f t="shared" si="207"/>
        <v>0</v>
      </c>
      <c r="FI65" s="26">
        <f t="shared" si="208"/>
        <v>0</v>
      </c>
      <c r="FJ65" s="26">
        <f t="shared" si="209"/>
        <v>0</v>
      </c>
      <c r="FK65" s="26">
        <f t="shared" si="210"/>
        <v>0</v>
      </c>
      <c r="FL65" s="26">
        <f t="shared" si="211"/>
        <v>0</v>
      </c>
      <c r="FM65" s="26">
        <f t="shared" si="212"/>
        <v>0</v>
      </c>
      <c r="FN65" s="26">
        <f t="shared" si="213"/>
        <v>0</v>
      </c>
      <c r="FP65" s="26" t="e">
        <f t="shared" si="214"/>
        <v>#REF!</v>
      </c>
      <c r="FQ65" s="26" t="e">
        <f t="shared" si="215"/>
        <v>#REF!</v>
      </c>
      <c r="FR65" s="26" t="e">
        <f t="shared" si="216"/>
        <v>#REF!</v>
      </c>
      <c r="FS65" s="26" t="e">
        <f t="shared" si="217"/>
        <v>#REF!</v>
      </c>
      <c r="FT65" s="26" t="e">
        <f t="shared" si="218"/>
        <v>#REF!</v>
      </c>
      <c r="FU65" s="26" t="e">
        <f t="shared" si="219"/>
        <v>#REF!</v>
      </c>
      <c r="FV65" s="26" t="e">
        <f t="shared" si="220"/>
        <v>#REF!</v>
      </c>
      <c r="FW65" s="26" t="e">
        <f t="shared" si="221"/>
        <v>#REF!</v>
      </c>
      <c r="FX65" s="26" t="e">
        <f t="shared" si="222"/>
        <v>#REF!</v>
      </c>
      <c r="GB65" s="26" t="e">
        <f>IF(GB$2=InputTable[[#This Row],[Delivery Date]],_xlfn.XLOOKUP(GB$1,$BH$2:$BR$2,$BH65:$BR65,0),0)</f>
        <v>#REF!</v>
      </c>
      <c r="GC65" s="26">
        <f>IF(GC$2=InputTable[[#This Row],[Delivery Date]],_xlfn.XLOOKUP(GC$1,$BH$2:$BR$2,$BH65:$BR65,0),0)</f>
        <v>0</v>
      </c>
      <c r="GD65" s="26">
        <f>IF(GD$2=InputTable[[#This Row],[Delivery Date]],_xlfn.XLOOKUP(GD$1,$BH$2:$BR$2,$BH65:$BR65,0),0)</f>
        <v>0</v>
      </c>
      <c r="GE65" s="26">
        <f>IF(GE$2=InputTable[[#This Row],[Delivery Date]],_xlfn.XLOOKUP(GE$1,$BH$2:$BR$2,$BH65:$BR65,0),0)</f>
        <v>0</v>
      </c>
      <c r="GF65" s="26">
        <f>IF(GF$2=InputTable[[#This Row],[Delivery Date]],_xlfn.XLOOKUP(GF$1,$BH$2:$BR$2,$BH65:$BR65,0),0)</f>
        <v>0</v>
      </c>
      <c r="GG65" s="26">
        <f>IF(GG$2=InputTable[[#This Row],[Delivery Date]],_xlfn.XLOOKUP(GG$1,$BH$2:$BR$2,$BH65:$BR65,0),0)</f>
        <v>0</v>
      </c>
      <c r="GH65" s="26">
        <f>IF(GH$2=InputTable[[#This Row],[Delivery Date]],_xlfn.XLOOKUP(GH$1,$BH$2:$BR$2,$BH65:$BR65,0),0)</f>
        <v>0</v>
      </c>
      <c r="GI65" s="26">
        <f>IF(GI$2=InputTable[[#This Row],[Delivery Date]],_xlfn.XLOOKUP(GI$1,$BH$2:$BR$2,$BH65:$BR65,0),0)</f>
        <v>0</v>
      </c>
      <c r="GJ65" s="26">
        <f>IF(GJ$2=InputTable[[#This Row],[Delivery Date]],_xlfn.XLOOKUP(GJ$1,$BH$2:$BR$2,$BH65:$BR65,0),0)</f>
        <v>0</v>
      </c>
      <c r="GL65" s="26" t="e">
        <f>IF(GL$2=InputTable[[#This Row],[Delivery Date]],_xlfn.XLOOKUP(GL$1,$BH$2:$BR$2,$BH65:$BR65,0),0)</f>
        <v>#REF!</v>
      </c>
      <c r="GM65" s="26">
        <f>IF(GM$2=InputTable[[#This Row],[Delivery Date]],_xlfn.XLOOKUP(GM$1,$BH$2:$BR$2,$BH65:$BR65,0),0)</f>
        <v>0</v>
      </c>
      <c r="GN65" s="26">
        <f>IF(GN$2=InputTable[[#This Row],[Delivery Date]],_xlfn.XLOOKUP(GN$1,$BH$2:$BR$2,$BH65:$BR65,0),0)</f>
        <v>0</v>
      </c>
      <c r="GO65" s="26">
        <f>IF(GO$2=InputTable[[#This Row],[Delivery Date]],_xlfn.XLOOKUP(GO$1,$BH$2:$BR$2,$BH65:$BR65,0),0)</f>
        <v>0</v>
      </c>
      <c r="GP65" s="26">
        <f>IF(GP$2=InputTable[[#This Row],[Delivery Date]],_xlfn.XLOOKUP(GP$1,$BH$2:$BR$2,$BH65:$BR65,0),0)</f>
        <v>0</v>
      </c>
      <c r="GQ65" s="26">
        <f>IF(GQ$2=InputTable[[#This Row],[Delivery Date]],_xlfn.XLOOKUP(GQ$1,$BH$2:$BR$2,$BH65:$BR65,0),0)</f>
        <v>0</v>
      </c>
      <c r="GR65" s="26">
        <f>IF(GR$2=InputTable[[#This Row],[Delivery Date]],_xlfn.XLOOKUP(GR$1,$BH$2:$BR$2,$BH65:$BR65,0),0)</f>
        <v>0</v>
      </c>
      <c r="GS65" s="26">
        <f>IF(GS$2=InputTable[[#This Row],[Delivery Date]],_xlfn.XLOOKUP(GS$1,$BH$2:$BR$2,$BH65:$BR65,0),0)</f>
        <v>0</v>
      </c>
      <c r="GT65" s="26">
        <f>IF(GT$2=InputTable[[#This Row],[Delivery Date]],_xlfn.XLOOKUP(GT$1,$BH$2:$BR$2,$BH65:$BR65,0),0)</f>
        <v>0</v>
      </c>
      <c r="GV65" s="26" t="e">
        <f>IF(GV$2=InputTable[[#This Row],[Delivery Date]],_xlfn.XLOOKUP(GV$1,$BH$2:$BR$2,$BH65:$BR65,0),0)</f>
        <v>#REF!</v>
      </c>
      <c r="GW65" s="26">
        <f>IF(GW$2=InputTable[[#This Row],[Delivery Date]],_xlfn.XLOOKUP(GW$1,$BH$2:$BR$2,$BH65:$BR65,0),0)</f>
        <v>0</v>
      </c>
      <c r="GX65" s="26">
        <f>IF(GX$2=InputTable[[#This Row],[Delivery Date]],_xlfn.XLOOKUP(GX$1,$BH$2:$BR$2,$BH65:$BR65,0),0)</f>
        <v>0</v>
      </c>
      <c r="GY65" s="26">
        <f>IF(GY$2=InputTable[[#This Row],[Delivery Date]],_xlfn.XLOOKUP(GY$1,$BH$2:$BR$2,$BH65:$BR65,0),0)</f>
        <v>0</v>
      </c>
      <c r="GZ65" s="26">
        <f>IF(GZ$2=InputTable[[#This Row],[Delivery Date]],_xlfn.XLOOKUP(GZ$1,$BH$2:$BR$2,$BH65:$BR65,0),0)</f>
        <v>0</v>
      </c>
      <c r="HA65" s="26">
        <f>IF(HA$2=InputTable[[#This Row],[Delivery Date]],_xlfn.XLOOKUP(HA$1,$BH$2:$BR$2,$BH65:$BR65,0),0)</f>
        <v>0</v>
      </c>
      <c r="HB65" s="26">
        <f>IF(HB$2=InputTable[[#This Row],[Delivery Date]],_xlfn.XLOOKUP(HB$1,$BH$2:$BR$2,$BH65:$BR65,0),0)</f>
        <v>0</v>
      </c>
      <c r="HC65" s="26">
        <f>IF(HC$2=InputTable[[#This Row],[Delivery Date]],_xlfn.XLOOKUP(HC$1,$BH$2:$BR$2,$BH65:$BR65,0),0)</f>
        <v>0</v>
      </c>
      <c r="HD65" s="26">
        <f>IF(HD$2=InputTable[[#This Row],[Delivery Date]],_xlfn.XLOOKUP(HD$1,$BH$2:$BR$2,$BH65:$BR65,0),0)</f>
        <v>0</v>
      </c>
      <c r="HF65" s="26" t="e">
        <f>IF(HF$2=InputTable[[#This Row],[Delivery Date]],_xlfn.XLOOKUP(HF$1,$BH$2:$BR$2,$BH65:$BR65,0),0)</f>
        <v>#REF!</v>
      </c>
      <c r="HG65" s="26">
        <f>IF(HG$2=InputTable[[#This Row],[Delivery Date]],_xlfn.XLOOKUP(HG$1,$BH$2:$BR$2,$BH65:$BR65,0),0)</f>
        <v>0</v>
      </c>
      <c r="HH65" s="26">
        <f>IF(HH$2=InputTable[[#This Row],[Delivery Date]],_xlfn.XLOOKUP(HH$1,$BH$2:$BR$2,$BH65:$BR65,0),0)</f>
        <v>0</v>
      </c>
      <c r="HI65" s="26">
        <f>IF(HI$2=InputTable[[#This Row],[Delivery Date]],_xlfn.XLOOKUP(HI$1,$BH$2:$BR$2,$BH65:$BR65,0),0)</f>
        <v>0</v>
      </c>
      <c r="HJ65" s="26">
        <f>IF(HJ$2=InputTable[[#This Row],[Delivery Date]],_xlfn.XLOOKUP(HJ$1,$BH$2:$BR$2,$BH65:$BR65,0),0)</f>
        <v>0</v>
      </c>
      <c r="HK65" s="26">
        <f>IF(HK$2=InputTable[[#This Row],[Delivery Date]],_xlfn.XLOOKUP(HK$1,$BH$2:$BR$2,$BH65:$BR65,0),0)</f>
        <v>0</v>
      </c>
      <c r="HL65" s="26">
        <f>IF(HL$2=InputTable[[#This Row],[Delivery Date]],_xlfn.XLOOKUP(HL$1,$BH$2:$BR$2,$BH65:$BR65,0),0)</f>
        <v>0</v>
      </c>
      <c r="HM65" s="26">
        <f>IF(HM$2=InputTable[[#This Row],[Delivery Date]],_xlfn.XLOOKUP(HM$1,$BH$2:$BR$2,$BH65:$BR65,0),0)</f>
        <v>0</v>
      </c>
      <c r="HN65" s="26">
        <f>IF(HN$2=InputTable[[#This Row],[Delivery Date]],_xlfn.XLOOKUP(HN$1,$BH$2:$BR$2,$BH65:$BR65,0),0)</f>
        <v>0</v>
      </c>
      <c r="HP65" s="26" t="e">
        <f>IF(HP$2=InputTable[[#This Row],[Delivery Date]],_xlfn.XLOOKUP(HP$1,$BH$2:$BR$2,$BH65:$BR65,0),0)</f>
        <v>#REF!</v>
      </c>
      <c r="HQ65" s="26">
        <f>IF(HQ$2=InputTable[[#This Row],[Delivery Date]],_xlfn.XLOOKUP(HQ$1,$BH$2:$BR$2,$BH65:$BR65,0),0)</f>
        <v>0</v>
      </c>
      <c r="HR65" s="26">
        <f>IF(HR$2=InputTable[[#This Row],[Delivery Date]],_xlfn.XLOOKUP(HR$1,$BH$2:$BR$2,$BH65:$BR65,0),0)</f>
        <v>0</v>
      </c>
      <c r="HS65" s="26">
        <f>IF(HS$2=InputTable[[#This Row],[Delivery Date]],_xlfn.XLOOKUP(HS$1,$BH$2:$BR$2,$BH65:$BR65,0),0)</f>
        <v>0</v>
      </c>
      <c r="HT65" s="26">
        <f>IF(HT$2=InputTable[[#This Row],[Delivery Date]],_xlfn.XLOOKUP(HT$1,$BH$2:$BR$2,$BH65:$BR65,0),0)</f>
        <v>0</v>
      </c>
      <c r="HU65" s="26">
        <f>IF(HU$2=InputTable[[#This Row],[Delivery Date]],_xlfn.XLOOKUP(HU$1,$BH$2:$BR$2,$BH65:$BR65,0),0)</f>
        <v>0</v>
      </c>
      <c r="HV65" s="26">
        <f>IF(HV$2=InputTable[[#This Row],[Delivery Date]],_xlfn.XLOOKUP(HV$1,$BH$2:$BR$2,$BH65:$BR65,0),0)</f>
        <v>0</v>
      </c>
      <c r="HW65" s="26">
        <f>IF(HW$2=InputTable[[#This Row],[Delivery Date]],_xlfn.XLOOKUP(HW$1,$BH$2:$BR$2,$BH65:$BR65,0),0)</f>
        <v>0</v>
      </c>
      <c r="HX65" s="26">
        <f>IF(HX$2=InputTable[[#This Row],[Delivery Date]],_xlfn.XLOOKUP(HX$1,$BH$2:$BR$2,$BH65:$BR65,0),0)</f>
        <v>0</v>
      </c>
      <c r="HZ65" s="26" t="e">
        <f>IF(HZ$2=InputTable[[#This Row],[Delivery Date]],_xlfn.XLOOKUP(HZ$1,$BH$2:$BR$2,$BH65:$BR65,0),0)</f>
        <v>#REF!</v>
      </c>
      <c r="IA65" s="26">
        <f>IF(IA$2=InputTable[[#This Row],[Delivery Date]],_xlfn.XLOOKUP(IA$1,$BH$2:$BR$2,$BH65:$BR65,0),0)</f>
        <v>0</v>
      </c>
      <c r="IB65" s="26">
        <f>IF(IB$2=InputTable[[#This Row],[Delivery Date]],_xlfn.XLOOKUP(IB$1,$BH$2:$BR$2,$BH65:$BR65,0),0)</f>
        <v>0</v>
      </c>
      <c r="IC65" s="26">
        <f>IF(IC$2=InputTable[[#This Row],[Delivery Date]],_xlfn.XLOOKUP(IC$1,$BH$2:$BR$2,$BH65:$BR65,0),0)</f>
        <v>0</v>
      </c>
      <c r="ID65" s="26">
        <f>IF(ID$2=InputTable[[#This Row],[Delivery Date]],_xlfn.XLOOKUP(ID$1,$BH$2:$BR$2,$BH65:$BR65,0),0)</f>
        <v>5</v>
      </c>
      <c r="IE65" s="26">
        <f>IF(IE$2=InputTable[[#This Row],[Delivery Date]],_xlfn.XLOOKUP(IE$1,$BH$2:$BR$2,$BH65:$BR65,0),0)</f>
        <v>0</v>
      </c>
      <c r="IF65" s="26">
        <f>IF(IF$2=InputTable[[#This Row],[Delivery Date]],_xlfn.XLOOKUP(IF$1,$BH$2:$BR$2,$BH65:$BR65,0),0)</f>
        <v>0</v>
      </c>
      <c r="IG65" s="26">
        <f>IF(IG$2=InputTable[[#This Row],[Delivery Date]],_xlfn.XLOOKUP(IG$1,$BH$2:$BR$2,$BH65:$BR65,0),0)</f>
        <v>0</v>
      </c>
      <c r="IH65" s="26">
        <f>IF(IH$2=InputTable[[#This Row],[Delivery Date]],_xlfn.XLOOKUP(IH$1,$BH$2:$BR$2,$BH65:$BR65,0),0)</f>
        <v>0</v>
      </c>
      <c r="IJ65" s="26" t="e">
        <f>IF(IJ$2=InputTable[[#This Row],[Delivery Date]],_xlfn.XLOOKUP(IJ$1,$BH$2:$BR$2,$BH65:$BR65,0),0)</f>
        <v>#REF!</v>
      </c>
      <c r="IK65" s="26">
        <f>IF(IK$2=InputTable[[#This Row],[Delivery Date]],_xlfn.XLOOKUP(IK$1,$BH$2:$BR$2,$BH65:$BR65,0),0)</f>
        <v>0</v>
      </c>
      <c r="IL65" s="26">
        <f>IF(IL$2=InputTable[[#This Row],[Delivery Date]],_xlfn.XLOOKUP(IL$1,$BH$2:$BR$2,$BH65:$BR65,0),0)</f>
        <v>0</v>
      </c>
      <c r="IM65" s="26">
        <f>IF(IM$2=InputTable[[#This Row],[Delivery Date]],_xlfn.XLOOKUP(IM$1,$BH$2:$BR$2,$BH65:$BR65,0),0)</f>
        <v>0</v>
      </c>
      <c r="IN65" s="26">
        <f>IF(IN$2=InputTable[[#This Row],[Delivery Date]],_xlfn.XLOOKUP(IN$1,$BH$2:$BR$2,$BH65:$BR65,0),0)</f>
        <v>0</v>
      </c>
      <c r="IO65" s="26">
        <f>IF(IO$2=InputTable[[#This Row],[Delivery Date]],_xlfn.XLOOKUP(IO$1,$BH$2:$BR$2,$BH65:$BR65,0),0)</f>
        <v>0</v>
      </c>
      <c r="IP65" s="26">
        <f>IF(IP$2=InputTable[[#This Row],[Delivery Date]],_xlfn.XLOOKUP(IP$1,$BH$2:$BR$2,$BH65:$BR65,0),0)</f>
        <v>0</v>
      </c>
      <c r="IQ65" s="26">
        <f>IF(IQ$2=InputTable[[#This Row],[Delivery Date]],_xlfn.XLOOKUP(IQ$1,$BH$2:$BR$2,$BH65:$BR65,0),0)</f>
        <v>0</v>
      </c>
      <c r="IR65" s="26">
        <f>IF(IR$2=InputTable[[#This Row],[Delivery Date]],_xlfn.XLOOKUP(IR$1,$BH$2:$BR$2,$BH65:$BR65,0),0)</f>
        <v>0</v>
      </c>
      <c r="IT65" s="26" t="e">
        <f>IF(IT$2=InputTable[[#This Row],[Delivery Date]],_xlfn.XLOOKUP(IT$1,$BH$2:$BR$2,$BH65:$BR65,0),0)</f>
        <v>#REF!</v>
      </c>
      <c r="IU65" s="26">
        <f>IF(IU$2=InputTable[[#This Row],[Delivery Date]],_xlfn.XLOOKUP(IU$1,$BH$2:$BR$2,$BH65:$BR65,0),0)</f>
        <v>0</v>
      </c>
      <c r="IV65" s="26">
        <f>IF(IV$2=InputTable[[#This Row],[Delivery Date]],_xlfn.XLOOKUP(IV$1,$BH$2:$BR$2,$BH65:$BR65,0),0)</f>
        <v>0</v>
      </c>
      <c r="IW65" s="26">
        <f>IF(IW$2=InputTable[[#This Row],[Delivery Date]],_xlfn.XLOOKUP(IW$1,$BH$2:$BR$2,$BH65:$BR65,0),0)</f>
        <v>0</v>
      </c>
      <c r="IX65" s="26">
        <f>IF(IX$2=InputTable[[#This Row],[Delivery Date]],_xlfn.XLOOKUP(IX$1,$BH$2:$BR$2,$BH65:$BR65,0),0)</f>
        <v>0</v>
      </c>
      <c r="IY65" s="26">
        <f>IF(IY$2=InputTable[[#This Row],[Delivery Date]],_xlfn.XLOOKUP(IY$1,$BH$2:$BR$2,$BH65:$BR65,0),0)</f>
        <v>0</v>
      </c>
      <c r="IZ65" s="26">
        <f>IF(IZ$2=InputTable[[#This Row],[Delivery Date]],_xlfn.XLOOKUP(IZ$1,$BH$2:$BR$2,$BH65:$BR65,0),0)</f>
        <v>0</v>
      </c>
      <c r="JA65" s="26">
        <f>IF(JA$2=InputTable[[#This Row],[Delivery Date]],_xlfn.XLOOKUP(JA$1,$BH$2:$BR$2,$BH65:$BR65,0),0)</f>
        <v>0</v>
      </c>
      <c r="JB65" s="26">
        <f>IF(JB$2=InputTable[[#This Row],[Delivery Date]],_xlfn.XLOOKUP(JB$1,$BH$2:$BR$2,$BH65:$BR65,0),0)</f>
        <v>0</v>
      </c>
      <c r="JD65" s="26" t="e">
        <f>IF(JD$2=InputTable[[#This Row],[Delivery Date]],_xlfn.XLOOKUP(JD$1,$BH$2:$BR$2,$BH65:$BR65,0),0)</f>
        <v>#REF!</v>
      </c>
      <c r="JE65" s="26">
        <f>IF(JE$2=InputTable[[#This Row],[Delivery Date]],_xlfn.XLOOKUP(JE$1,$BH$2:$BR$2,$BH65:$BR65,0),0)</f>
        <v>0</v>
      </c>
      <c r="JF65" s="26">
        <f>IF(JF$2=InputTable[[#This Row],[Delivery Date]],_xlfn.XLOOKUP(JF$1,$BH$2:$BR$2,$BH65:$BR65,0),0)</f>
        <v>0</v>
      </c>
      <c r="JG65" s="26">
        <f>IF(JG$2=InputTable[[#This Row],[Delivery Date]],_xlfn.XLOOKUP(JG$1,$BH$2:$BR$2,$BH65:$BR65,0),0)</f>
        <v>0</v>
      </c>
      <c r="JH65" s="26">
        <f>IF(JH$2=InputTable[[#This Row],[Delivery Date]],_xlfn.XLOOKUP(JH$1,$BH$2:$BR$2,$BH65:$BR65,0),0)</f>
        <v>0</v>
      </c>
      <c r="JI65" s="26">
        <f>IF(JI$2=InputTable[[#This Row],[Delivery Date]],_xlfn.XLOOKUP(JI$1,$BH$2:$BR$2,$BH65:$BR65,0),0)</f>
        <v>0</v>
      </c>
      <c r="JJ65" s="26">
        <f>IF(JJ$2=InputTable[[#This Row],[Delivery Date]],_xlfn.XLOOKUP(JJ$1,$BH$2:$BR$2,$BH65:$BR65,0),0)</f>
        <v>0</v>
      </c>
      <c r="JK65" s="26">
        <f>IF(JK$2=InputTable[[#This Row],[Delivery Date]],_xlfn.XLOOKUP(JK$1,$BH$2:$BR$2,$BH65:$BR65,0),0)</f>
        <v>0</v>
      </c>
      <c r="JL65" s="26">
        <f>IF(JL$2=InputTable[[#This Row],[Delivery Date]],_xlfn.XLOOKUP(JL$1,$BH$2:$BR$2,$BH65:$BR65,0),0)</f>
        <v>0</v>
      </c>
      <c r="JN65" s="26" t="e">
        <f>IF(JN$2=InputTable[[#This Row],[Delivery Date]],_xlfn.XLOOKUP(JN$1,$BH$2:$BR$2,$BH65:$BR65,0),0)</f>
        <v>#REF!</v>
      </c>
      <c r="JO65" s="26">
        <f>IF(JO$2=InputTable[[#This Row],[Delivery Date]],_xlfn.XLOOKUP(JO$1,$BH$2:$BR$2,$BH65:$BR65,0),0)</f>
        <v>0</v>
      </c>
      <c r="JP65" s="26">
        <f>IF(JP$2=InputTable[[#This Row],[Delivery Date]],_xlfn.XLOOKUP(JP$1,$BH$2:$BR$2,$BH65:$BR65,0),0)</f>
        <v>0</v>
      </c>
      <c r="JQ65" s="26">
        <f>IF(JQ$2=InputTable[[#This Row],[Delivery Date]],_xlfn.XLOOKUP(JQ$1,$BH$2:$BR$2,$BH65:$BR65,0),0)</f>
        <v>0</v>
      </c>
      <c r="JR65" s="26">
        <f>IF(JR$2=InputTable[[#This Row],[Delivery Date]],_xlfn.XLOOKUP(JR$1,$BH$2:$BR$2,$BH65:$BR65,0),0)</f>
        <v>0</v>
      </c>
      <c r="JS65" s="26">
        <f>IF(JS$2=InputTable[[#This Row],[Delivery Date]],_xlfn.XLOOKUP(JS$1,$BH$2:$BR$2,$BH65:$BR65,0),0)</f>
        <v>0</v>
      </c>
      <c r="JT65" s="26">
        <f>IF(JT$2=InputTable[[#This Row],[Delivery Date]],_xlfn.XLOOKUP(JT$1,$BH$2:$BR$2,$BH65:$BR65,0),0)</f>
        <v>0</v>
      </c>
      <c r="JU65" s="26">
        <f>IF(JU$2=InputTable[[#This Row],[Delivery Date]],_xlfn.XLOOKUP(JU$1,$BH$2:$BR$2,$BH65:$BR65,0),0)</f>
        <v>0</v>
      </c>
      <c r="JV65" s="26">
        <f>IF(JV$2=InputTable[[#This Row],[Delivery Date]],_xlfn.XLOOKUP(JV$1,$BH$2:$BR$2,$BH65:$BR65,0),0)</f>
        <v>0</v>
      </c>
      <c r="JX65" s="26" t="e">
        <f>IF(JX$2=InputTable[[#This Row],[Delivery Date]],_xlfn.XLOOKUP(JX$1,$BH$2:$BR$2,$BH65:$BR65,0),0)</f>
        <v>#REF!</v>
      </c>
      <c r="JY65" s="26">
        <f>IF(JY$2=InputTable[[#This Row],[Delivery Date]],_xlfn.XLOOKUP(JY$1,$BH$2:$BR$2,$BH65:$BR65,0),0)</f>
        <v>0</v>
      </c>
      <c r="JZ65" s="26">
        <f>IF(JZ$2=InputTable[[#This Row],[Delivery Date]],_xlfn.XLOOKUP(JZ$1,$BH$2:$BR$2,$BH65:$BR65,0),0)</f>
        <v>0</v>
      </c>
      <c r="KA65" s="26">
        <f>IF(KA$2=InputTable[[#This Row],[Delivery Date]],_xlfn.XLOOKUP(KA$1,$BH$2:$BR$2,$BH65:$BR65,0),0)</f>
        <v>0</v>
      </c>
      <c r="KB65" s="26">
        <f>IF(KB$2=InputTable[[#This Row],[Delivery Date]],_xlfn.XLOOKUP(KB$1,$BH$2:$BR$2,$BH65:$BR65,0),0)</f>
        <v>0</v>
      </c>
      <c r="KC65" s="26">
        <f>IF(KC$2=InputTable[[#This Row],[Delivery Date]],_xlfn.XLOOKUP(KC$1,$BH$2:$BR$2,$BH65:$BR65,0),0)</f>
        <v>0</v>
      </c>
      <c r="KD65" s="26">
        <f>IF(KD$2=InputTable[[#This Row],[Delivery Date]],_xlfn.XLOOKUP(KD$1,$BH$2:$BR$2,$BH65:$BR65,0),0)</f>
        <v>0</v>
      </c>
      <c r="KE65" s="26">
        <f>IF(KE$2=InputTable[[#This Row],[Delivery Date]],_xlfn.XLOOKUP(KE$1,$BH$2:$BR$2,$BH65:$BR65,0),0)</f>
        <v>0</v>
      </c>
      <c r="KF65" s="26">
        <f>IF(KF$2=InputTable[[#This Row],[Delivery Date]],_xlfn.XLOOKUP(KF$1,$BH$2:$BR$2,$BH65:$BR65,0),0)</f>
        <v>0</v>
      </c>
    </row>
    <row r="66" spans="1:292" ht="39.6" customHeight="1" x14ac:dyDescent="0.25">
      <c r="A66" s="125" t="s">
        <v>149</v>
      </c>
      <c r="B66" s="141" t="s">
        <v>107</v>
      </c>
      <c r="C66" s="92" t="s">
        <v>59</v>
      </c>
      <c r="D66" s="125" t="s">
        <v>314</v>
      </c>
      <c r="E66" s="193" t="s">
        <v>315</v>
      </c>
      <c r="F66" s="92" t="s">
        <v>197</v>
      </c>
      <c r="G66" s="92" t="s">
        <v>97</v>
      </c>
      <c r="H66" s="92" t="s">
        <v>100</v>
      </c>
      <c r="I66" s="92">
        <v>2026</v>
      </c>
      <c r="J66" s="125" t="s">
        <v>161</v>
      </c>
      <c r="K66" s="95" t="e">
        <f>VLOOKUP((InputTable[[#This Row],[Starting Date]]&amp; " - " &amp;InputTable[[#This Row],[Delivery Date]]),'System List'!$F$40:$H$83,2,FALSE)</f>
        <v>#N/A</v>
      </c>
      <c r="L66" s="95" t="e">
        <f>VLOOKUP(InputTable[[#This Row],[Duration]],Duration,2,FALSE)</f>
        <v>#N/A</v>
      </c>
      <c r="M66" s="125"/>
      <c r="N66" s="92"/>
      <c r="O66" s="92"/>
      <c r="P66" s="92" t="s">
        <v>100</v>
      </c>
      <c r="Q66" s="92"/>
      <c r="R66" s="92" t="s">
        <v>139</v>
      </c>
      <c r="S66" s="92"/>
      <c r="T66" s="95" cm="1">
        <f t="array" ref="T6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5</v>
      </c>
      <c r="U66" s="138"/>
      <c r="V66" s="92"/>
      <c r="W66" s="92"/>
      <c r="X66" s="92"/>
      <c r="Y66" s="92" t="s">
        <v>100</v>
      </c>
      <c r="Z66" s="92" t="s">
        <v>111</v>
      </c>
      <c r="AA66" s="92" t="s">
        <v>111</v>
      </c>
      <c r="AB66" s="92"/>
      <c r="AC66" s="92"/>
      <c r="AD66" s="92">
        <f>COUNTA(InputTable[[#This Row],[CORPHRFIN]:[SALES]])</f>
        <v>3</v>
      </c>
      <c r="AE66" s="88" cm="1">
        <f t="array" ref="AE66">SUM(
_xlfn.XLOOKUP(InputTable[[#This Row],[CORPHRFIN]:[SALES]],'System List'!$F$4:$F$7,'System List'!$H$4:$H$7,0))</f>
        <v>23</v>
      </c>
      <c r="AF66" s="140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88" cm="1">
        <f t="array" ref="AR66">SUM(
_xlfn.XLOOKUP(InputTable[[#This Row],[Impact on - CIAL]:[Impact on - STRAT]],'System List'!$F$4:$F$7,'System List'!$H$4:$H$7,0))</f>
        <v>0</v>
      </c>
      <c r="AS66" s="88" t="e">
        <f>VLOOKUP(InputTable[[#This Row],[Duration]],Duration,2,FALSE)+InputTable[[#This Row],[Resource Score]]</f>
        <v>#N/A</v>
      </c>
      <c r="AT6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6" s="24" t="e">
        <f>InputTable[[#This Row],[Value Score]]/InputTable[[#This Row],[EFFORT SCORE]]*100</f>
        <v>#N/A</v>
      </c>
      <c r="AV66" s="25" t="str">
        <f>InputTable[[#This Row],[IS Portfolio Ref ID]]</f>
        <v>ISPRJ-7</v>
      </c>
      <c r="AW66" s="25" t="s">
        <v>222</v>
      </c>
      <c r="AX66" s="208" t="s">
        <v>316</v>
      </c>
      <c r="AY66" s="25"/>
      <c r="AZ66" s="209">
        <v>0</v>
      </c>
      <c r="BA66" s="209">
        <v>76200</v>
      </c>
      <c r="BB66" s="209"/>
      <c r="BC66" s="189">
        <v>76200</v>
      </c>
      <c r="BD66" s="188">
        <v>1</v>
      </c>
      <c r="BE66" s="188">
        <v>2</v>
      </c>
      <c r="BF66" s="70"/>
      <c r="BH66" s="2">
        <f>IFERROR(VLOOKUP(InputTable[[#This Row],[Impact on - CIAL]],'System List'!$F$4:$H$7,3,FALSE),0)</f>
        <v>0</v>
      </c>
      <c r="BI66" s="2">
        <f>IFERROR(VLOOKUP(InputTable[[#This Row],[Impact on - COM]],'System List'!$F$4:$H$7,3,FALSE),0)</f>
        <v>0</v>
      </c>
      <c r="BJ66" s="2">
        <f>IFERROR(VLOOKUP(InputTable[[#This Row],[Impact on - FIN]],'System List'!$F$4:$H$7,3,FALSE),0)</f>
        <v>0</v>
      </c>
      <c r="BK66" s="2">
        <f>IFERROR(VLOOKUP(InputTable[[#This Row],[Impact on - GEN SEC]],'System List'!$F$4:$H$7,3,FALSE),0)</f>
        <v>0</v>
      </c>
      <c r="BL66" s="2">
        <f>IFERROR(VLOOKUP(InputTable[[#This Row],[Impact on - HR]],'System List'!$F$4:$H$7,3,FALSE),0)</f>
        <v>0</v>
      </c>
      <c r="BM66" s="2">
        <f>IFERROR(VLOOKUP(InputTable[[#This Row],[Impact on - IS]],'System List'!$F$4:$H$7,3,FALSE),0)</f>
        <v>0</v>
      </c>
      <c r="BN66" s="2">
        <f>IFERROR(VLOOKUP(InputTable[[#This Row],[Impact on - OPS]],'System List'!$F$4:$H$7,3,FALSE),0)</f>
        <v>0</v>
      </c>
      <c r="BO66" s="2">
        <f>IFERROR(VLOOKUP(InputTable[[#This Row],[Impact on - ROLL STOCK]],'System List'!$F$4:$H$7,3,FALSE),0)</f>
        <v>0</v>
      </c>
      <c r="BP66" s="2">
        <f>IFERROR(VLOOKUP(InputTable[[#This Row],[Impact on - SAFETY]],'System List'!$F$4:$H$7,3,FALSE),0)</f>
        <v>0</v>
      </c>
      <c r="BQ66" s="2">
        <f>IFERROR(VLOOKUP(InputTable[[#This Row],[Impact on - STATION]],'System List'!$F$4:$H$7,3,FALSE),0)</f>
        <v>0</v>
      </c>
      <c r="BR66" s="2">
        <f>IFERROR(VLOOKUP(InputTable[[#This Row],[Impact on - STRAT]],'System List'!$F$4:$H$7,3,FALSE),0)</f>
        <v>0</v>
      </c>
      <c r="BT66" s="2">
        <f>IFERROR(VLOOKUP(InputTable[[#This Row],[CORPHRFIN]],'System List'!$F$4:$H$7,3,FALSE),0)</f>
        <v>0</v>
      </c>
      <c r="BU66" s="2">
        <f>IFERROR(VLOOKUP(InputTable[[#This Row],[CUST]],'System List'!$F$4:$H$7,3,FALSE),0)</f>
        <v>0</v>
      </c>
      <c r="BV66" s="2">
        <f>IFERROR(VLOOKUP(InputTable[[#This Row],[CYBER]],'System List'!$F$4:$H$7,3,FALSE),0)</f>
        <v>0</v>
      </c>
      <c r="BW66" s="2">
        <f>IFERROR(VLOOKUP(InputTable[[#This Row],[DATA]],'System List'!$F$4:$H$7,3,FALSE),0)</f>
        <v>13</v>
      </c>
      <c r="BX66" s="2">
        <f>IFERROR(VLOOKUP(InputTable[[#This Row],[INFRA]],'System List'!$F$4:$H$7,3,FALSE),0)</f>
        <v>5</v>
      </c>
      <c r="BY66" s="2">
        <f>IFERROR(VLOOKUP(InputTable[[#This Row],[OPERATIONS]],'System List'!$F$4:$H$7,3,FALSE),0)</f>
        <v>5</v>
      </c>
      <c r="BZ66" s="2">
        <f>IFERROR(VLOOKUP(InputTable[[#This Row],[PMO]],'System List'!$F$4:$H$7,3,FALSE),0)</f>
        <v>0</v>
      </c>
      <c r="CA66" s="2">
        <f>IFERROR(VLOOKUP(InputTable[[#This Row],[SALES]],'System List'!$F$4:$H$7,3,FALSE),0)</f>
        <v>0</v>
      </c>
      <c r="CC66" s="2" cm="1">
        <f t="array" ref="CC6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6" s="2" cm="1">
        <f t="array" ref="CD6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6" s="2" cm="1">
        <f t="array" ref="CE6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6" s="2" cm="1">
        <f t="array" ref="CF6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6" s="2" cm="1">
        <f t="array" ref="CG6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6" s="2" cm="1">
        <f t="array" ref="CH6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6" s="2" cm="1">
        <f t="array" ref="CI6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6" s="2" cm="1">
        <f t="array" ref="CJ6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6" s="2" cm="1">
        <f t="array" ref="CK6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6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6" s="26">
        <f t="shared" si="151"/>
        <v>0</v>
      </c>
      <c r="CY66" s="26">
        <f t="shared" si="152"/>
        <v>0</v>
      </c>
      <c r="CZ66" s="26">
        <f t="shared" si="153"/>
        <v>0</v>
      </c>
      <c r="DA66" s="26">
        <f t="shared" si="154"/>
        <v>0</v>
      </c>
      <c r="DB66" s="26">
        <f t="shared" si="155"/>
        <v>0</v>
      </c>
      <c r="DC66" s="26">
        <f t="shared" si="156"/>
        <v>0</v>
      </c>
      <c r="DD66" s="26">
        <f t="shared" si="157"/>
        <v>0</v>
      </c>
      <c r="DE66" s="26">
        <f t="shared" si="158"/>
        <v>0</v>
      </c>
      <c r="DF66" s="26">
        <f t="shared" si="159"/>
        <v>0</v>
      </c>
      <c r="DH66" s="26">
        <f t="shared" si="160"/>
        <v>0</v>
      </c>
      <c r="DI66" s="26">
        <f t="shared" si="161"/>
        <v>0</v>
      </c>
      <c r="DJ66" s="26">
        <f t="shared" si="162"/>
        <v>0</v>
      </c>
      <c r="DK66" s="26">
        <f t="shared" si="163"/>
        <v>0</v>
      </c>
      <c r="DL66" s="26">
        <f t="shared" si="164"/>
        <v>0</v>
      </c>
      <c r="DM66" s="26">
        <f t="shared" si="165"/>
        <v>0</v>
      </c>
      <c r="DN66" s="26">
        <f t="shared" si="166"/>
        <v>0</v>
      </c>
      <c r="DO66" s="26">
        <f t="shared" si="167"/>
        <v>0</v>
      </c>
      <c r="DP66" s="26">
        <f t="shared" si="168"/>
        <v>0</v>
      </c>
      <c r="DR66" s="26">
        <f t="shared" si="169"/>
        <v>0</v>
      </c>
      <c r="DS66" s="26">
        <f t="shared" si="170"/>
        <v>0</v>
      </c>
      <c r="DT66" s="26">
        <f t="shared" si="171"/>
        <v>0</v>
      </c>
      <c r="DU66" s="26">
        <f t="shared" si="172"/>
        <v>0</v>
      </c>
      <c r="DV66" s="26">
        <f t="shared" si="173"/>
        <v>0</v>
      </c>
      <c r="DW66" s="26">
        <f t="shared" si="174"/>
        <v>0</v>
      </c>
      <c r="DX66" s="26">
        <f t="shared" si="175"/>
        <v>0</v>
      </c>
      <c r="DY66" s="26">
        <f t="shared" si="176"/>
        <v>0</v>
      </c>
      <c r="DZ66" s="26">
        <f t="shared" si="177"/>
        <v>0</v>
      </c>
      <c r="EB66" s="26">
        <f t="shared" si="178"/>
        <v>0</v>
      </c>
      <c r="EC66" s="26">
        <f t="shared" si="179"/>
        <v>0</v>
      </c>
      <c r="ED66" s="26">
        <f t="shared" si="180"/>
        <v>13</v>
      </c>
      <c r="EE66" s="26">
        <f t="shared" si="181"/>
        <v>13</v>
      </c>
      <c r="EF66" s="26">
        <f t="shared" si="182"/>
        <v>13</v>
      </c>
      <c r="EG66" s="26">
        <f t="shared" si="183"/>
        <v>13</v>
      </c>
      <c r="EH66" s="26">
        <f t="shared" si="184"/>
        <v>0</v>
      </c>
      <c r="EI66" s="26">
        <f t="shared" si="185"/>
        <v>0</v>
      </c>
      <c r="EJ66" s="26">
        <f t="shared" si="186"/>
        <v>0</v>
      </c>
      <c r="EL66" s="26">
        <f t="shared" si="187"/>
        <v>0</v>
      </c>
      <c r="EM66" s="26">
        <f t="shared" si="188"/>
        <v>0</v>
      </c>
      <c r="EN66" s="26">
        <f t="shared" si="189"/>
        <v>5</v>
      </c>
      <c r="EO66" s="26">
        <f t="shared" si="190"/>
        <v>5</v>
      </c>
      <c r="EP66" s="26">
        <f t="shared" si="191"/>
        <v>5</v>
      </c>
      <c r="EQ66" s="26">
        <f t="shared" si="192"/>
        <v>5</v>
      </c>
      <c r="ER66" s="26">
        <f t="shared" si="193"/>
        <v>0</v>
      </c>
      <c r="ES66" s="26">
        <f t="shared" si="194"/>
        <v>0</v>
      </c>
      <c r="ET66" s="26">
        <f t="shared" si="195"/>
        <v>0</v>
      </c>
      <c r="EV66" s="26">
        <f t="shared" si="196"/>
        <v>0</v>
      </c>
      <c r="EW66" s="26">
        <f t="shared" si="197"/>
        <v>0</v>
      </c>
      <c r="EX66" s="26">
        <f t="shared" si="198"/>
        <v>5</v>
      </c>
      <c r="EY66" s="26">
        <f t="shared" si="199"/>
        <v>5</v>
      </c>
      <c r="EZ66" s="26">
        <f t="shared" si="200"/>
        <v>5</v>
      </c>
      <c r="FA66" s="26">
        <f t="shared" si="201"/>
        <v>5</v>
      </c>
      <c r="FB66" s="26">
        <f t="shared" si="202"/>
        <v>0</v>
      </c>
      <c r="FC66" s="26">
        <f t="shared" si="203"/>
        <v>0</v>
      </c>
      <c r="FD66" s="26">
        <f t="shared" si="204"/>
        <v>0</v>
      </c>
      <c r="FF66" s="26">
        <f t="shared" si="205"/>
        <v>0</v>
      </c>
      <c r="FG66" s="26">
        <f t="shared" si="206"/>
        <v>0</v>
      </c>
      <c r="FH66" s="26">
        <f t="shared" si="207"/>
        <v>0</v>
      </c>
      <c r="FI66" s="26">
        <f t="shared" si="208"/>
        <v>0</v>
      </c>
      <c r="FJ66" s="26">
        <f t="shared" si="209"/>
        <v>0</v>
      </c>
      <c r="FK66" s="26">
        <f t="shared" si="210"/>
        <v>0</v>
      </c>
      <c r="FL66" s="26">
        <f t="shared" si="211"/>
        <v>0</v>
      </c>
      <c r="FM66" s="26">
        <f t="shared" si="212"/>
        <v>0</v>
      </c>
      <c r="FN66" s="26">
        <f t="shared" si="213"/>
        <v>0</v>
      </c>
      <c r="FP66" s="26" t="e">
        <f t="shared" si="214"/>
        <v>#REF!</v>
      </c>
      <c r="FQ66" s="26" t="e">
        <f t="shared" si="215"/>
        <v>#REF!</v>
      </c>
      <c r="FR66" s="26" t="e">
        <f t="shared" si="216"/>
        <v>#REF!</v>
      </c>
      <c r="FS66" s="26" t="e">
        <f t="shared" si="217"/>
        <v>#REF!</v>
      </c>
      <c r="FT66" s="26" t="e">
        <f t="shared" si="218"/>
        <v>#REF!</v>
      </c>
      <c r="FU66" s="26" t="e">
        <f t="shared" si="219"/>
        <v>#REF!</v>
      </c>
      <c r="FV66" s="26" t="e">
        <f t="shared" si="220"/>
        <v>#REF!</v>
      </c>
      <c r="FW66" s="26" t="e">
        <f t="shared" si="221"/>
        <v>#REF!</v>
      </c>
      <c r="FX66" s="26" t="e">
        <f t="shared" si="222"/>
        <v>#REF!</v>
      </c>
      <c r="GB66" s="26" t="e">
        <f>IF(GB$2=InputTable[[#This Row],[Delivery Date]],_xlfn.XLOOKUP(GB$1,$BH$2:$BR$2,$BH66:$BR66,0),0)</f>
        <v>#REF!</v>
      </c>
      <c r="GC66" s="26">
        <f>IF(GC$2=InputTable[[#This Row],[Delivery Date]],_xlfn.XLOOKUP(GC$1,$BH$2:$BR$2,$BH66:$BR66,0),0)</f>
        <v>0</v>
      </c>
      <c r="GD66" s="26">
        <f>IF(GD$2=InputTable[[#This Row],[Delivery Date]],_xlfn.XLOOKUP(GD$1,$BH$2:$BR$2,$BH66:$BR66,0),0)</f>
        <v>0</v>
      </c>
      <c r="GE66" s="26">
        <f>IF(GE$2=InputTable[[#This Row],[Delivery Date]],_xlfn.XLOOKUP(GE$1,$BH$2:$BR$2,$BH66:$BR66,0),0)</f>
        <v>0</v>
      </c>
      <c r="GF66" s="26">
        <f>IF(GF$2=InputTable[[#This Row],[Delivery Date]],_xlfn.XLOOKUP(GF$1,$BH$2:$BR$2,$BH66:$BR66,0),0)</f>
        <v>0</v>
      </c>
      <c r="GG66" s="26">
        <f>IF(GG$2=InputTable[[#This Row],[Delivery Date]],_xlfn.XLOOKUP(GG$1,$BH$2:$BR$2,$BH66:$BR66,0),0)</f>
        <v>0</v>
      </c>
      <c r="GH66" s="26">
        <f>IF(GH$2=InputTable[[#This Row],[Delivery Date]],_xlfn.XLOOKUP(GH$1,$BH$2:$BR$2,$BH66:$BR66,0),0)</f>
        <v>0</v>
      </c>
      <c r="GI66" s="26">
        <f>IF(GI$2=InputTable[[#This Row],[Delivery Date]],_xlfn.XLOOKUP(GI$1,$BH$2:$BR$2,$BH66:$BR66,0),0)</f>
        <v>0</v>
      </c>
      <c r="GJ66" s="26">
        <f>IF(GJ$2=InputTable[[#This Row],[Delivery Date]],_xlfn.XLOOKUP(GJ$1,$BH$2:$BR$2,$BH66:$BR66,0),0)</f>
        <v>0</v>
      </c>
      <c r="GL66" s="26" t="e">
        <f>IF(GL$2=InputTable[[#This Row],[Delivery Date]],_xlfn.XLOOKUP(GL$1,$BH$2:$BR$2,$BH66:$BR66,0),0)</f>
        <v>#REF!</v>
      </c>
      <c r="GM66" s="26">
        <f>IF(GM$2=InputTable[[#This Row],[Delivery Date]],_xlfn.XLOOKUP(GM$1,$BH$2:$BR$2,$BH66:$BR66,0),0)</f>
        <v>0</v>
      </c>
      <c r="GN66" s="26">
        <f>IF(GN$2=InputTable[[#This Row],[Delivery Date]],_xlfn.XLOOKUP(GN$1,$BH$2:$BR$2,$BH66:$BR66,0),0)</f>
        <v>0</v>
      </c>
      <c r="GO66" s="26">
        <f>IF(GO$2=InputTable[[#This Row],[Delivery Date]],_xlfn.XLOOKUP(GO$1,$BH$2:$BR$2,$BH66:$BR66,0),0)</f>
        <v>0</v>
      </c>
      <c r="GP66" s="26">
        <f>IF(GP$2=InputTable[[#This Row],[Delivery Date]],_xlfn.XLOOKUP(GP$1,$BH$2:$BR$2,$BH66:$BR66,0),0)</f>
        <v>0</v>
      </c>
      <c r="GQ66" s="26">
        <f>IF(GQ$2=InputTable[[#This Row],[Delivery Date]],_xlfn.XLOOKUP(GQ$1,$BH$2:$BR$2,$BH66:$BR66,0),0)</f>
        <v>0</v>
      </c>
      <c r="GR66" s="26">
        <f>IF(GR$2=InputTable[[#This Row],[Delivery Date]],_xlfn.XLOOKUP(GR$1,$BH$2:$BR$2,$BH66:$BR66,0),0)</f>
        <v>0</v>
      </c>
      <c r="GS66" s="26">
        <f>IF(GS$2=InputTable[[#This Row],[Delivery Date]],_xlfn.XLOOKUP(GS$1,$BH$2:$BR$2,$BH66:$BR66,0),0)</f>
        <v>0</v>
      </c>
      <c r="GT66" s="26">
        <f>IF(GT$2=InputTable[[#This Row],[Delivery Date]],_xlfn.XLOOKUP(GT$1,$BH$2:$BR$2,$BH66:$BR66,0),0)</f>
        <v>0</v>
      </c>
      <c r="GV66" s="26" t="e">
        <f>IF(GV$2=InputTable[[#This Row],[Delivery Date]],_xlfn.XLOOKUP(GV$1,$BH$2:$BR$2,$BH66:$BR66,0),0)</f>
        <v>#REF!</v>
      </c>
      <c r="GW66" s="26">
        <f>IF(GW$2=InputTable[[#This Row],[Delivery Date]],_xlfn.XLOOKUP(GW$1,$BH$2:$BR$2,$BH66:$BR66,0),0)</f>
        <v>0</v>
      </c>
      <c r="GX66" s="26">
        <f>IF(GX$2=InputTable[[#This Row],[Delivery Date]],_xlfn.XLOOKUP(GX$1,$BH$2:$BR$2,$BH66:$BR66,0),0)</f>
        <v>0</v>
      </c>
      <c r="GY66" s="26">
        <f>IF(GY$2=InputTable[[#This Row],[Delivery Date]],_xlfn.XLOOKUP(GY$1,$BH$2:$BR$2,$BH66:$BR66,0),0)</f>
        <v>0</v>
      </c>
      <c r="GZ66" s="26">
        <f>IF(GZ$2=InputTable[[#This Row],[Delivery Date]],_xlfn.XLOOKUP(GZ$1,$BH$2:$BR$2,$BH66:$BR66,0),0)</f>
        <v>0</v>
      </c>
      <c r="HA66" s="26">
        <f>IF(HA$2=InputTable[[#This Row],[Delivery Date]],_xlfn.XLOOKUP(HA$1,$BH$2:$BR$2,$BH66:$BR66,0),0)</f>
        <v>0</v>
      </c>
      <c r="HB66" s="26">
        <f>IF(HB$2=InputTable[[#This Row],[Delivery Date]],_xlfn.XLOOKUP(HB$1,$BH$2:$BR$2,$BH66:$BR66,0),0)</f>
        <v>0</v>
      </c>
      <c r="HC66" s="26">
        <f>IF(HC$2=InputTable[[#This Row],[Delivery Date]],_xlfn.XLOOKUP(HC$1,$BH$2:$BR$2,$BH66:$BR66,0),0)</f>
        <v>0</v>
      </c>
      <c r="HD66" s="26">
        <f>IF(HD$2=InputTable[[#This Row],[Delivery Date]],_xlfn.XLOOKUP(HD$1,$BH$2:$BR$2,$BH66:$BR66,0),0)</f>
        <v>0</v>
      </c>
      <c r="HF66" s="26" t="e">
        <f>IF(HF$2=InputTable[[#This Row],[Delivery Date]],_xlfn.XLOOKUP(HF$1,$BH$2:$BR$2,$BH66:$BR66,0),0)</f>
        <v>#REF!</v>
      </c>
      <c r="HG66" s="26">
        <f>IF(HG$2=InputTable[[#This Row],[Delivery Date]],_xlfn.XLOOKUP(HG$1,$BH$2:$BR$2,$BH66:$BR66,0),0)</f>
        <v>0</v>
      </c>
      <c r="HH66" s="26">
        <f>IF(HH$2=InputTable[[#This Row],[Delivery Date]],_xlfn.XLOOKUP(HH$1,$BH$2:$BR$2,$BH66:$BR66,0),0)</f>
        <v>0</v>
      </c>
      <c r="HI66" s="26">
        <f>IF(HI$2=InputTable[[#This Row],[Delivery Date]],_xlfn.XLOOKUP(HI$1,$BH$2:$BR$2,$BH66:$BR66,0),0)</f>
        <v>0</v>
      </c>
      <c r="HJ66" s="26">
        <f>IF(HJ$2=InputTable[[#This Row],[Delivery Date]],_xlfn.XLOOKUP(HJ$1,$BH$2:$BR$2,$BH66:$BR66,0),0)</f>
        <v>0</v>
      </c>
      <c r="HK66" s="26">
        <f>IF(HK$2=InputTable[[#This Row],[Delivery Date]],_xlfn.XLOOKUP(HK$1,$BH$2:$BR$2,$BH66:$BR66,0),0)</f>
        <v>0</v>
      </c>
      <c r="HL66" s="26">
        <f>IF(HL$2=InputTable[[#This Row],[Delivery Date]],_xlfn.XLOOKUP(HL$1,$BH$2:$BR$2,$BH66:$BR66,0),0)</f>
        <v>0</v>
      </c>
      <c r="HM66" s="26">
        <f>IF(HM$2=InputTable[[#This Row],[Delivery Date]],_xlfn.XLOOKUP(HM$1,$BH$2:$BR$2,$BH66:$BR66,0),0)</f>
        <v>0</v>
      </c>
      <c r="HN66" s="26">
        <f>IF(HN$2=InputTable[[#This Row],[Delivery Date]],_xlfn.XLOOKUP(HN$1,$BH$2:$BR$2,$BH66:$BR66,0),0)</f>
        <v>0</v>
      </c>
      <c r="HP66" s="26" t="e">
        <f>IF(HP$2=InputTable[[#This Row],[Delivery Date]],_xlfn.XLOOKUP(HP$1,$BH$2:$BR$2,$BH66:$BR66,0),0)</f>
        <v>#REF!</v>
      </c>
      <c r="HQ66" s="26">
        <f>IF(HQ$2=InputTable[[#This Row],[Delivery Date]],_xlfn.XLOOKUP(HQ$1,$BH$2:$BR$2,$BH66:$BR66,0),0)</f>
        <v>0</v>
      </c>
      <c r="HR66" s="26">
        <f>IF(HR$2=InputTable[[#This Row],[Delivery Date]],_xlfn.XLOOKUP(HR$1,$BH$2:$BR$2,$BH66:$BR66,0),0)</f>
        <v>0</v>
      </c>
      <c r="HS66" s="26">
        <f>IF(HS$2=InputTable[[#This Row],[Delivery Date]],_xlfn.XLOOKUP(HS$1,$BH$2:$BR$2,$BH66:$BR66,0),0)</f>
        <v>0</v>
      </c>
      <c r="HT66" s="26">
        <f>IF(HT$2=InputTable[[#This Row],[Delivery Date]],_xlfn.XLOOKUP(HT$1,$BH$2:$BR$2,$BH66:$BR66,0),0)</f>
        <v>0</v>
      </c>
      <c r="HU66" s="26">
        <f>IF(HU$2=InputTable[[#This Row],[Delivery Date]],_xlfn.XLOOKUP(HU$1,$BH$2:$BR$2,$BH66:$BR66,0),0)</f>
        <v>0</v>
      </c>
      <c r="HV66" s="26">
        <f>IF(HV$2=InputTable[[#This Row],[Delivery Date]],_xlfn.XLOOKUP(HV$1,$BH$2:$BR$2,$BH66:$BR66,0),0)</f>
        <v>0</v>
      </c>
      <c r="HW66" s="26">
        <f>IF(HW$2=InputTable[[#This Row],[Delivery Date]],_xlfn.XLOOKUP(HW$1,$BH$2:$BR$2,$BH66:$BR66,0),0)</f>
        <v>0</v>
      </c>
      <c r="HX66" s="26">
        <f>IF(HX$2=InputTable[[#This Row],[Delivery Date]],_xlfn.XLOOKUP(HX$1,$BH$2:$BR$2,$BH66:$BR66,0),0)</f>
        <v>0</v>
      </c>
      <c r="HZ66" s="26" t="e">
        <f>IF(HZ$2=InputTable[[#This Row],[Delivery Date]],_xlfn.XLOOKUP(HZ$1,$BH$2:$BR$2,$BH66:$BR66,0),0)</f>
        <v>#REF!</v>
      </c>
      <c r="IA66" s="26">
        <f>IF(IA$2=InputTable[[#This Row],[Delivery Date]],_xlfn.XLOOKUP(IA$1,$BH$2:$BR$2,$BH66:$BR66,0),0)</f>
        <v>0</v>
      </c>
      <c r="IB66" s="26">
        <f>IF(IB$2=InputTable[[#This Row],[Delivery Date]],_xlfn.XLOOKUP(IB$1,$BH$2:$BR$2,$BH66:$BR66,0),0)</f>
        <v>0</v>
      </c>
      <c r="IC66" s="26">
        <f>IF(IC$2=InputTable[[#This Row],[Delivery Date]],_xlfn.XLOOKUP(IC$1,$BH$2:$BR$2,$BH66:$BR66,0),0)</f>
        <v>0</v>
      </c>
      <c r="ID66" s="26">
        <f>IF(ID$2=InputTable[[#This Row],[Delivery Date]],_xlfn.XLOOKUP(ID$1,$BH$2:$BR$2,$BH66:$BR66,0),0)</f>
        <v>0</v>
      </c>
      <c r="IE66" s="26">
        <f>IF(IE$2=InputTable[[#This Row],[Delivery Date]],_xlfn.XLOOKUP(IE$1,$BH$2:$BR$2,$BH66:$BR66,0),0)</f>
        <v>0</v>
      </c>
      <c r="IF66" s="26">
        <f>IF(IF$2=InputTable[[#This Row],[Delivery Date]],_xlfn.XLOOKUP(IF$1,$BH$2:$BR$2,$BH66:$BR66,0),0)</f>
        <v>0</v>
      </c>
      <c r="IG66" s="26">
        <f>IF(IG$2=InputTable[[#This Row],[Delivery Date]],_xlfn.XLOOKUP(IG$1,$BH$2:$BR$2,$BH66:$BR66,0),0)</f>
        <v>0</v>
      </c>
      <c r="IH66" s="26">
        <f>IF(IH$2=InputTable[[#This Row],[Delivery Date]],_xlfn.XLOOKUP(IH$1,$BH$2:$BR$2,$BH66:$BR66,0),0)</f>
        <v>0</v>
      </c>
      <c r="IJ66" s="26" t="e">
        <f>IF(IJ$2=InputTable[[#This Row],[Delivery Date]],_xlfn.XLOOKUP(IJ$1,$BH$2:$BR$2,$BH66:$BR66,0),0)</f>
        <v>#REF!</v>
      </c>
      <c r="IK66" s="26">
        <f>IF(IK$2=InputTable[[#This Row],[Delivery Date]],_xlfn.XLOOKUP(IK$1,$BH$2:$BR$2,$BH66:$BR66,0),0)</f>
        <v>0</v>
      </c>
      <c r="IL66" s="26">
        <f>IF(IL$2=InputTable[[#This Row],[Delivery Date]],_xlfn.XLOOKUP(IL$1,$BH$2:$BR$2,$BH66:$BR66,0),0)</f>
        <v>0</v>
      </c>
      <c r="IM66" s="26">
        <f>IF(IM$2=InputTable[[#This Row],[Delivery Date]],_xlfn.XLOOKUP(IM$1,$BH$2:$BR$2,$BH66:$BR66,0),0)</f>
        <v>0</v>
      </c>
      <c r="IN66" s="26">
        <f>IF(IN$2=InputTable[[#This Row],[Delivery Date]],_xlfn.XLOOKUP(IN$1,$BH$2:$BR$2,$BH66:$BR66,0),0)</f>
        <v>0</v>
      </c>
      <c r="IO66" s="26">
        <f>IF(IO$2=InputTable[[#This Row],[Delivery Date]],_xlfn.XLOOKUP(IO$1,$BH$2:$BR$2,$BH66:$BR66,0),0)</f>
        <v>0</v>
      </c>
      <c r="IP66" s="26">
        <f>IF(IP$2=InputTable[[#This Row],[Delivery Date]],_xlfn.XLOOKUP(IP$1,$BH$2:$BR$2,$BH66:$BR66,0),0)</f>
        <v>0</v>
      </c>
      <c r="IQ66" s="26">
        <f>IF(IQ$2=InputTable[[#This Row],[Delivery Date]],_xlfn.XLOOKUP(IQ$1,$BH$2:$BR$2,$BH66:$BR66,0),0)</f>
        <v>0</v>
      </c>
      <c r="IR66" s="26">
        <f>IF(IR$2=InputTable[[#This Row],[Delivery Date]],_xlfn.XLOOKUP(IR$1,$BH$2:$BR$2,$BH66:$BR66,0),0)</f>
        <v>0</v>
      </c>
      <c r="IT66" s="26" t="e">
        <f>IF(IT$2=InputTable[[#This Row],[Delivery Date]],_xlfn.XLOOKUP(IT$1,$BH$2:$BR$2,$BH66:$BR66,0),0)</f>
        <v>#REF!</v>
      </c>
      <c r="IU66" s="26">
        <f>IF(IU$2=InputTable[[#This Row],[Delivery Date]],_xlfn.XLOOKUP(IU$1,$BH$2:$BR$2,$BH66:$BR66,0),0)</f>
        <v>0</v>
      </c>
      <c r="IV66" s="26">
        <f>IF(IV$2=InputTable[[#This Row],[Delivery Date]],_xlfn.XLOOKUP(IV$1,$BH$2:$BR$2,$BH66:$BR66,0),0)</f>
        <v>0</v>
      </c>
      <c r="IW66" s="26">
        <f>IF(IW$2=InputTable[[#This Row],[Delivery Date]],_xlfn.XLOOKUP(IW$1,$BH$2:$BR$2,$BH66:$BR66,0),0)</f>
        <v>0</v>
      </c>
      <c r="IX66" s="26">
        <f>IF(IX$2=InputTable[[#This Row],[Delivery Date]],_xlfn.XLOOKUP(IX$1,$BH$2:$BR$2,$BH66:$BR66,0),0)</f>
        <v>0</v>
      </c>
      <c r="IY66" s="26">
        <f>IF(IY$2=InputTable[[#This Row],[Delivery Date]],_xlfn.XLOOKUP(IY$1,$BH$2:$BR$2,$BH66:$BR66,0),0)</f>
        <v>0</v>
      </c>
      <c r="IZ66" s="26">
        <f>IF(IZ$2=InputTable[[#This Row],[Delivery Date]],_xlfn.XLOOKUP(IZ$1,$BH$2:$BR$2,$BH66:$BR66,0),0)</f>
        <v>0</v>
      </c>
      <c r="JA66" s="26">
        <f>IF(JA$2=InputTable[[#This Row],[Delivery Date]],_xlfn.XLOOKUP(JA$1,$BH$2:$BR$2,$BH66:$BR66,0),0)</f>
        <v>0</v>
      </c>
      <c r="JB66" s="26">
        <f>IF(JB$2=InputTable[[#This Row],[Delivery Date]],_xlfn.XLOOKUP(JB$1,$BH$2:$BR$2,$BH66:$BR66,0),0)</f>
        <v>0</v>
      </c>
      <c r="JD66" s="26" t="e">
        <f>IF(JD$2=InputTable[[#This Row],[Delivery Date]],_xlfn.XLOOKUP(JD$1,$BH$2:$BR$2,$BH66:$BR66,0),0)</f>
        <v>#REF!</v>
      </c>
      <c r="JE66" s="26">
        <f>IF(JE$2=InputTable[[#This Row],[Delivery Date]],_xlfn.XLOOKUP(JE$1,$BH$2:$BR$2,$BH66:$BR66,0),0)</f>
        <v>0</v>
      </c>
      <c r="JF66" s="26">
        <f>IF(JF$2=InputTable[[#This Row],[Delivery Date]],_xlfn.XLOOKUP(JF$1,$BH$2:$BR$2,$BH66:$BR66,0),0)</f>
        <v>0</v>
      </c>
      <c r="JG66" s="26">
        <f>IF(JG$2=InputTable[[#This Row],[Delivery Date]],_xlfn.XLOOKUP(JG$1,$BH$2:$BR$2,$BH66:$BR66,0),0)</f>
        <v>0</v>
      </c>
      <c r="JH66" s="26">
        <f>IF(JH$2=InputTable[[#This Row],[Delivery Date]],_xlfn.XLOOKUP(JH$1,$BH$2:$BR$2,$BH66:$BR66,0),0)</f>
        <v>0</v>
      </c>
      <c r="JI66" s="26">
        <f>IF(JI$2=InputTable[[#This Row],[Delivery Date]],_xlfn.XLOOKUP(JI$1,$BH$2:$BR$2,$BH66:$BR66,0),0)</f>
        <v>0</v>
      </c>
      <c r="JJ66" s="26">
        <f>IF(JJ$2=InputTable[[#This Row],[Delivery Date]],_xlfn.XLOOKUP(JJ$1,$BH$2:$BR$2,$BH66:$BR66,0),0)</f>
        <v>0</v>
      </c>
      <c r="JK66" s="26">
        <f>IF(JK$2=InputTable[[#This Row],[Delivery Date]],_xlfn.XLOOKUP(JK$1,$BH$2:$BR$2,$BH66:$BR66,0),0)</f>
        <v>0</v>
      </c>
      <c r="JL66" s="26">
        <f>IF(JL$2=InputTable[[#This Row],[Delivery Date]],_xlfn.XLOOKUP(JL$1,$BH$2:$BR$2,$BH66:$BR66,0),0)</f>
        <v>0</v>
      </c>
      <c r="JN66" s="26" t="e">
        <f>IF(JN$2=InputTable[[#This Row],[Delivery Date]],_xlfn.XLOOKUP(JN$1,$BH$2:$BR$2,$BH66:$BR66,0),0)</f>
        <v>#REF!</v>
      </c>
      <c r="JO66" s="26">
        <f>IF(JO$2=InputTable[[#This Row],[Delivery Date]],_xlfn.XLOOKUP(JO$1,$BH$2:$BR$2,$BH66:$BR66,0),0)</f>
        <v>0</v>
      </c>
      <c r="JP66" s="26">
        <f>IF(JP$2=InputTable[[#This Row],[Delivery Date]],_xlfn.XLOOKUP(JP$1,$BH$2:$BR$2,$BH66:$BR66,0),0)</f>
        <v>0</v>
      </c>
      <c r="JQ66" s="26">
        <f>IF(JQ$2=InputTable[[#This Row],[Delivery Date]],_xlfn.XLOOKUP(JQ$1,$BH$2:$BR$2,$BH66:$BR66,0),0)</f>
        <v>0</v>
      </c>
      <c r="JR66" s="26">
        <f>IF(JR$2=InputTable[[#This Row],[Delivery Date]],_xlfn.XLOOKUP(JR$1,$BH$2:$BR$2,$BH66:$BR66,0),0)</f>
        <v>0</v>
      </c>
      <c r="JS66" s="26">
        <f>IF(JS$2=InputTable[[#This Row],[Delivery Date]],_xlfn.XLOOKUP(JS$1,$BH$2:$BR$2,$BH66:$BR66,0),0)</f>
        <v>0</v>
      </c>
      <c r="JT66" s="26">
        <f>IF(JT$2=InputTable[[#This Row],[Delivery Date]],_xlfn.XLOOKUP(JT$1,$BH$2:$BR$2,$BH66:$BR66,0),0)</f>
        <v>0</v>
      </c>
      <c r="JU66" s="26">
        <f>IF(JU$2=InputTable[[#This Row],[Delivery Date]],_xlfn.XLOOKUP(JU$1,$BH$2:$BR$2,$BH66:$BR66,0),0)</f>
        <v>0</v>
      </c>
      <c r="JV66" s="26">
        <f>IF(JV$2=InputTable[[#This Row],[Delivery Date]],_xlfn.XLOOKUP(JV$1,$BH$2:$BR$2,$BH66:$BR66,0),0)</f>
        <v>0</v>
      </c>
      <c r="JX66" s="26" t="e">
        <f>IF(JX$2=InputTable[[#This Row],[Delivery Date]],_xlfn.XLOOKUP(JX$1,$BH$2:$BR$2,$BH66:$BR66,0),0)</f>
        <v>#REF!</v>
      </c>
      <c r="JY66" s="26">
        <f>IF(JY$2=InputTable[[#This Row],[Delivery Date]],_xlfn.XLOOKUP(JY$1,$BH$2:$BR$2,$BH66:$BR66,0),0)</f>
        <v>0</v>
      </c>
      <c r="JZ66" s="26">
        <f>IF(JZ$2=InputTable[[#This Row],[Delivery Date]],_xlfn.XLOOKUP(JZ$1,$BH$2:$BR$2,$BH66:$BR66,0),0)</f>
        <v>0</v>
      </c>
      <c r="KA66" s="26">
        <f>IF(KA$2=InputTable[[#This Row],[Delivery Date]],_xlfn.XLOOKUP(KA$1,$BH$2:$BR$2,$BH66:$BR66,0),0)</f>
        <v>0</v>
      </c>
      <c r="KB66" s="26">
        <f>IF(KB$2=InputTable[[#This Row],[Delivery Date]],_xlfn.XLOOKUP(KB$1,$BH$2:$BR$2,$BH66:$BR66,0),0)</f>
        <v>0</v>
      </c>
      <c r="KC66" s="26">
        <f>IF(KC$2=InputTable[[#This Row],[Delivery Date]],_xlfn.XLOOKUP(KC$1,$BH$2:$BR$2,$BH66:$BR66,0),0)</f>
        <v>0</v>
      </c>
      <c r="KD66" s="26">
        <f>IF(KD$2=InputTable[[#This Row],[Delivery Date]],_xlfn.XLOOKUP(KD$1,$BH$2:$BR$2,$BH66:$BR66,0),0)</f>
        <v>0</v>
      </c>
      <c r="KE66" s="26">
        <f>IF(KE$2=InputTable[[#This Row],[Delivery Date]],_xlfn.XLOOKUP(KE$1,$BH$2:$BR$2,$BH66:$BR66,0),0)</f>
        <v>0</v>
      </c>
      <c r="KF66" s="26">
        <f>IF(KF$2=InputTable[[#This Row],[Delivery Date]],_xlfn.XLOOKUP(KF$1,$BH$2:$BR$2,$BH66:$BR66,0),0)</f>
        <v>0</v>
      </c>
    </row>
    <row r="67" spans="1:292" ht="39.6" customHeight="1" x14ac:dyDescent="0.25">
      <c r="A67" s="141"/>
      <c r="B67" s="141" t="s">
        <v>92</v>
      </c>
      <c r="C67" s="92" t="s">
        <v>60</v>
      </c>
      <c r="D67" s="125" t="s">
        <v>317</v>
      </c>
      <c r="E67" s="193" t="s">
        <v>318</v>
      </c>
      <c r="F67" s="92" t="s">
        <v>24</v>
      </c>
      <c r="G67" s="92" t="s">
        <v>98</v>
      </c>
      <c r="H67" s="92"/>
      <c r="I67" s="92">
        <v>2026</v>
      </c>
      <c r="J67" s="125" t="s">
        <v>209</v>
      </c>
      <c r="K67" s="95" t="e">
        <f>VLOOKUP((InputTable[[#This Row],[Starting Date]]&amp; " - " &amp;InputTable[[#This Row],[Delivery Date]]),'System List'!$F$40:$H$83,2,FALSE)</f>
        <v>#N/A</v>
      </c>
      <c r="L67" s="95" t="e">
        <f>VLOOKUP(InputTable[[#This Row],[Duration]],Duration,2,FALSE)</f>
        <v>#N/A</v>
      </c>
      <c r="M67" s="142"/>
      <c r="N67" s="92" t="s">
        <v>139</v>
      </c>
      <c r="O67" s="92"/>
      <c r="P67" s="92"/>
      <c r="Q67" s="92" t="s">
        <v>139</v>
      </c>
      <c r="R67" s="92"/>
      <c r="S67" s="92" t="s">
        <v>209</v>
      </c>
      <c r="T67" s="95" cm="1">
        <f t="array" ref="T6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2.4000000000000004</v>
      </c>
      <c r="U67" s="138"/>
      <c r="V67" s="92"/>
      <c r="W67" s="92"/>
      <c r="X67" s="92"/>
      <c r="Y67" s="92"/>
      <c r="Z67" s="92"/>
      <c r="AA67" s="92"/>
      <c r="AB67" s="92"/>
      <c r="AC67" s="92"/>
      <c r="AD67" s="92">
        <f>COUNTA(InputTable[[#This Row],[CORPHRFIN]:[SALES]])</f>
        <v>0</v>
      </c>
      <c r="AE67" s="88" cm="1">
        <f t="array" ref="AE67">SUM(
_xlfn.XLOOKUP(InputTable[[#This Row],[CORPHRFIN]:[SALES]],'System List'!$F$4:$F$7,'System List'!$H$4:$H$7,0))</f>
        <v>0</v>
      </c>
      <c r="AF67" s="140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88" cm="1">
        <f t="array" ref="AR67">SUM(
_xlfn.XLOOKUP(InputTable[[#This Row],[Impact on - CIAL]:[Impact on - STRAT]],'System List'!$F$4:$F$7,'System List'!$H$4:$H$7,0))</f>
        <v>0</v>
      </c>
      <c r="AS67" s="88" t="e">
        <f>VLOOKUP(InputTable[[#This Row],[Duration]],Duration,2,FALSE)+InputTable[[#This Row],[Resource Score]]</f>
        <v>#N/A</v>
      </c>
      <c r="AT6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7" s="24" t="e">
        <f>InputTable[[#This Row],[Value Score]]/InputTable[[#This Row],[EFFORT SCORE]]*100</f>
        <v>#N/A</v>
      </c>
      <c r="AV67" s="25"/>
      <c r="AW67" s="25" t="s">
        <v>312</v>
      </c>
      <c r="AX67" s="208"/>
      <c r="AY67" s="25"/>
      <c r="AZ67" s="209"/>
      <c r="BA67" s="209"/>
      <c r="BB67" s="209"/>
      <c r="BC67" s="189"/>
      <c r="BD67" s="188"/>
      <c r="BE67" s="188"/>
      <c r="BF67" s="70"/>
      <c r="BH67" s="2">
        <f>IFERROR(VLOOKUP(InputTable[[#This Row],[Impact on - CIAL]],'System List'!$F$4:$H$7,3,FALSE),0)</f>
        <v>0</v>
      </c>
      <c r="BI67" s="2">
        <f>IFERROR(VLOOKUP(InputTable[[#This Row],[Impact on - COM]],'System List'!$F$4:$H$7,3,FALSE),0)</f>
        <v>0</v>
      </c>
      <c r="BJ67" s="2">
        <f>IFERROR(VLOOKUP(InputTable[[#This Row],[Impact on - FIN]],'System List'!$F$4:$H$7,3,FALSE),0)</f>
        <v>0</v>
      </c>
      <c r="BK67" s="2">
        <f>IFERROR(VLOOKUP(InputTable[[#This Row],[Impact on - GEN SEC]],'System List'!$F$4:$H$7,3,FALSE),0)</f>
        <v>0</v>
      </c>
      <c r="BL67" s="2">
        <f>IFERROR(VLOOKUP(InputTable[[#This Row],[Impact on - HR]],'System List'!$F$4:$H$7,3,FALSE),0)</f>
        <v>0</v>
      </c>
      <c r="BM67" s="2">
        <f>IFERROR(VLOOKUP(InputTable[[#This Row],[Impact on - IS]],'System List'!$F$4:$H$7,3,FALSE),0)</f>
        <v>0</v>
      </c>
      <c r="BN67" s="2">
        <f>IFERROR(VLOOKUP(InputTable[[#This Row],[Impact on - OPS]],'System List'!$F$4:$H$7,3,FALSE),0)</f>
        <v>0</v>
      </c>
      <c r="BO67" s="2">
        <f>IFERROR(VLOOKUP(InputTable[[#This Row],[Impact on - ROLL STOCK]],'System List'!$F$4:$H$7,3,FALSE),0)</f>
        <v>0</v>
      </c>
      <c r="BP67" s="2">
        <f>IFERROR(VLOOKUP(InputTable[[#This Row],[Impact on - SAFETY]],'System List'!$F$4:$H$7,3,FALSE),0)</f>
        <v>0</v>
      </c>
      <c r="BQ67" s="2">
        <f>IFERROR(VLOOKUP(InputTable[[#This Row],[Impact on - STATION]],'System List'!$F$4:$H$7,3,FALSE),0)</f>
        <v>0</v>
      </c>
      <c r="BR67" s="2">
        <f>IFERROR(VLOOKUP(InputTable[[#This Row],[Impact on - STRAT]],'System List'!$F$4:$H$7,3,FALSE),0)</f>
        <v>0</v>
      </c>
      <c r="BT67" s="2">
        <f>IFERROR(VLOOKUP(InputTable[[#This Row],[CORPHRFIN]],'System List'!$F$4:$H$7,3,FALSE),0)</f>
        <v>0</v>
      </c>
      <c r="BU67" s="2">
        <f>IFERROR(VLOOKUP(InputTable[[#This Row],[CUST]],'System List'!$F$4:$H$7,3,FALSE),0)</f>
        <v>0</v>
      </c>
      <c r="BV67" s="2">
        <f>IFERROR(VLOOKUP(InputTable[[#This Row],[CYBER]],'System List'!$F$4:$H$7,3,FALSE),0)</f>
        <v>0</v>
      </c>
      <c r="BW67" s="2">
        <f>IFERROR(VLOOKUP(InputTable[[#This Row],[DATA]],'System List'!$F$4:$H$7,3,FALSE),0)</f>
        <v>0</v>
      </c>
      <c r="BX67" s="2">
        <f>IFERROR(VLOOKUP(InputTable[[#This Row],[INFRA]],'System List'!$F$4:$H$7,3,FALSE),0)</f>
        <v>0</v>
      </c>
      <c r="BY67" s="2">
        <f>IFERROR(VLOOKUP(InputTable[[#This Row],[OPERATIONS]],'System List'!$F$4:$H$7,3,FALSE),0)</f>
        <v>0</v>
      </c>
      <c r="BZ67" s="2">
        <f>IFERROR(VLOOKUP(InputTable[[#This Row],[PMO]],'System List'!$F$4:$H$7,3,FALSE),0)</f>
        <v>0</v>
      </c>
      <c r="CA67" s="2">
        <f>IFERROR(VLOOKUP(InputTable[[#This Row],[SALES]],'System List'!$F$4:$H$7,3,FALSE),0)</f>
        <v>0</v>
      </c>
      <c r="CC67" s="2" cm="1">
        <f t="array" ref="CC6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7" s="2" cm="1">
        <f t="array" ref="CD6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7" s="2" cm="1">
        <f t="array" ref="CE6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7" s="2" cm="1">
        <f t="array" ref="CF6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7" s="2" cm="1">
        <f t="array" ref="CG6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7" s="2" cm="1">
        <f t="array" ref="CH6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7" s="2" cm="1">
        <f t="array" ref="CI6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7" s="2" cm="1">
        <f t="array" ref="CJ6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7" s="2" cm="1">
        <f t="array" ref="CK6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6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6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7" s="26">
        <f t="shared" si="151"/>
        <v>0</v>
      </c>
      <c r="CY67" s="26">
        <f t="shared" si="152"/>
        <v>0</v>
      </c>
      <c r="CZ67" s="26">
        <f t="shared" si="153"/>
        <v>0</v>
      </c>
      <c r="DA67" s="26">
        <f t="shared" si="154"/>
        <v>0</v>
      </c>
      <c r="DB67" s="26">
        <f t="shared" si="155"/>
        <v>0</v>
      </c>
      <c r="DC67" s="26">
        <f t="shared" si="156"/>
        <v>0</v>
      </c>
      <c r="DD67" s="26">
        <f t="shared" si="157"/>
        <v>0</v>
      </c>
      <c r="DE67" s="26">
        <f t="shared" si="158"/>
        <v>0</v>
      </c>
      <c r="DF67" s="26">
        <f t="shared" si="159"/>
        <v>0</v>
      </c>
      <c r="DH67" s="26">
        <f t="shared" si="160"/>
        <v>0</v>
      </c>
      <c r="DI67" s="26">
        <f t="shared" si="161"/>
        <v>0</v>
      </c>
      <c r="DJ67" s="26">
        <f t="shared" si="162"/>
        <v>0</v>
      </c>
      <c r="DK67" s="26">
        <f t="shared" si="163"/>
        <v>0</v>
      </c>
      <c r="DL67" s="26">
        <f t="shared" si="164"/>
        <v>0</v>
      </c>
      <c r="DM67" s="26">
        <f t="shared" si="165"/>
        <v>0</v>
      </c>
      <c r="DN67" s="26">
        <f t="shared" si="166"/>
        <v>0</v>
      </c>
      <c r="DO67" s="26">
        <f t="shared" si="167"/>
        <v>0</v>
      </c>
      <c r="DP67" s="26">
        <f t="shared" si="168"/>
        <v>0</v>
      </c>
      <c r="DR67" s="26">
        <f t="shared" si="169"/>
        <v>0</v>
      </c>
      <c r="DS67" s="26">
        <f t="shared" si="170"/>
        <v>0</v>
      </c>
      <c r="DT67" s="26">
        <f t="shared" si="171"/>
        <v>0</v>
      </c>
      <c r="DU67" s="26">
        <f t="shared" si="172"/>
        <v>0</v>
      </c>
      <c r="DV67" s="26">
        <f t="shared" si="173"/>
        <v>0</v>
      </c>
      <c r="DW67" s="26">
        <f t="shared" si="174"/>
        <v>0</v>
      </c>
      <c r="DX67" s="26">
        <f t="shared" si="175"/>
        <v>0</v>
      </c>
      <c r="DY67" s="26">
        <f t="shared" si="176"/>
        <v>0</v>
      </c>
      <c r="DZ67" s="26">
        <f t="shared" si="177"/>
        <v>0</v>
      </c>
      <c r="EB67" s="26">
        <f t="shared" si="178"/>
        <v>0</v>
      </c>
      <c r="EC67" s="26">
        <f t="shared" si="179"/>
        <v>0</v>
      </c>
      <c r="ED67" s="26">
        <f t="shared" si="180"/>
        <v>0</v>
      </c>
      <c r="EE67" s="26">
        <f t="shared" si="181"/>
        <v>0</v>
      </c>
      <c r="EF67" s="26">
        <f t="shared" si="182"/>
        <v>0</v>
      </c>
      <c r="EG67" s="26">
        <f t="shared" si="183"/>
        <v>0</v>
      </c>
      <c r="EH67" s="26">
        <f t="shared" si="184"/>
        <v>0</v>
      </c>
      <c r="EI67" s="26">
        <f t="shared" si="185"/>
        <v>0</v>
      </c>
      <c r="EJ67" s="26">
        <f t="shared" si="186"/>
        <v>0</v>
      </c>
      <c r="EL67" s="26">
        <f t="shared" si="187"/>
        <v>0</v>
      </c>
      <c r="EM67" s="26">
        <f t="shared" si="188"/>
        <v>0</v>
      </c>
      <c r="EN67" s="26">
        <f t="shared" si="189"/>
        <v>0</v>
      </c>
      <c r="EO67" s="26">
        <f t="shared" si="190"/>
        <v>0</v>
      </c>
      <c r="EP67" s="26">
        <f t="shared" si="191"/>
        <v>0</v>
      </c>
      <c r="EQ67" s="26">
        <f t="shared" si="192"/>
        <v>0</v>
      </c>
      <c r="ER67" s="26">
        <f t="shared" si="193"/>
        <v>0</v>
      </c>
      <c r="ES67" s="26">
        <f t="shared" si="194"/>
        <v>0</v>
      </c>
      <c r="ET67" s="26">
        <f t="shared" si="195"/>
        <v>0</v>
      </c>
      <c r="EV67" s="26">
        <f t="shared" si="196"/>
        <v>0</v>
      </c>
      <c r="EW67" s="26">
        <f t="shared" si="197"/>
        <v>0</v>
      </c>
      <c r="EX67" s="26">
        <f t="shared" si="198"/>
        <v>0</v>
      </c>
      <c r="EY67" s="26">
        <f t="shared" si="199"/>
        <v>0</v>
      </c>
      <c r="EZ67" s="26">
        <f t="shared" si="200"/>
        <v>0</v>
      </c>
      <c r="FA67" s="26">
        <f t="shared" si="201"/>
        <v>0</v>
      </c>
      <c r="FB67" s="26">
        <f t="shared" si="202"/>
        <v>0</v>
      </c>
      <c r="FC67" s="26">
        <f t="shared" si="203"/>
        <v>0</v>
      </c>
      <c r="FD67" s="26">
        <f t="shared" si="204"/>
        <v>0</v>
      </c>
      <c r="FF67" s="26">
        <f t="shared" si="205"/>
        <v>0</v>
      </c>
      <c r="FG67" s="26">
        <f t="shared" si="206"/>
        <v>0</v>
      </c>
      <c r="FH67" s="26">
        <f t="shared" si="207"/>
        <v>0</v>
      </c>
      <c r="FI67" s="26">
        <f t="shared" si="208"/>
        <v>0</v>
      </c>
      <c r="FJ67" s="26">
        <f t="shared" si="209"/>
        <v>0</v>
      </c>
      <c r="FK67" s="26">
        <f t="shared" si="210"/>
        <v>0</v>
      </c>
      <c r="FL67" s="26">
        <f t="shared" si="211"/>
        <v>0</v>
      </c>
      <c r="FM67" s="26">
        <f t="shared" si="212"/>
        <v>0</v>
      </c>
      <c r="FN67" s="26">
        <f t="shared" si="213"/>
        <v>0</v>
      </c>
      <c r="FP67" s="26" t="e">
        <f t="shared" si="214"/>
        <v>#REF!</v>
      </c>
      <c r="FQ67" s="26" t="e">
        <f t="shared" si="215"/>
        <v>#REF!</v>
      </c>
      <c r="FR67" s="26" t="e">
        <f t="shared" si="216"/>
        <v>#REF!</v>
      </c>
      <c r="FS67" s="26" t="e">
        <f t="shared" si="217"/>
        <v>#REF!</v>
      </c>
      <c r="FT67" s="26" t="e">
        <f t="shared" si="218"/>
        <v>#REF!</v>
      </c>
      <c r="FU67" s="26" t="e">
        <f t="shared" si="219"/>
        <v>#REF!</v>
      </c>
      <c r="FV67" s="26" t="e">
        <f t="shared" si="220"/>
        <v>#REF!</v>
      </c>
      <c r="FW67" s="26" t="e">
        <f t="shared" si="221"/>
        <v>#REF!</v>
      </c>
      <c r="FX67" s="26" t="e">
        <f t="shared" si="222"/>
        <v>#REF!</v>
      </c>
      <c r="GB67" s="26" t="e">
        <f>IF(GB$2=InputTable[[#This Row],[Delivery Date]],_xlfn.XLOOKUP(GB$1,$BH$2:$BR$2,$BH67:$BR67,0),0)</f>
        <v>#REF!</v>
      </c>
      <c r="GC67" s="26">
        <f>IF(GC$2=InputTable[[#This Row],[Delivery Date]],_xlfn.XLOOKUP(GC$1,$BH$2:$BR$2,$BH67:$BR67,0),0)</f>
        <v>0</v>
      </c>
      <c r="GD67" s="26">
        <f>IF(GD$2=InputTable[[#This Row],[Delivery Date]],_xlfn.XLOOKUP(GD$1,$BH$2:$BR$2,$BH67:$BR67,0),0)</f>
        <v>0</v>
      </c>
      <c r="GE67" s="26">
        <f>IF(GE$2=InputTable[[#This Row],[Delivery Date]],_xlfn.XLOOKUP(GE$1,$BH$2:$BR$2,$BH67:$BR67,0),0)</f>
        <v>0</v>
      </c>
      <c r="GF67" s="26">
        <f>IF(GF$2=InputTable[[#This Row],[Delivery Date]],_xlfn.XLOOKUP(GF$1,$BH$2:$BR$2,$BH67:$BR67,0),0)</f>
        <v>0</v>
      </c>
      <c r="GG67" s="26">
        <f>IF(GG$2=InputTable[[#This Row],[Delivery Date]],_xlfn.XLOOKUP(GG$1,$BH$2:$BR$2,$BH67:$BR67,0),0)</f>
        <v>0</v>
      </c>
      <c r="GH67" s="26">
        <f>IF(GH$2=InputTable[[#This Row],[Delivery Date]],_xlfn.XLOOKUP(GH$1,$BH$2:$BR$2,$BH67:$BR67,0),0)</f>
        <v>0</v>
      </c>
      <c r="GI67" s="26">
        <f>IF(GI$2=InputTable[[#This Row],[Delivery Date]],_xlfn.XLOOKUP(GI$1,$BH$2:$BR$2,$BH67:$BR67,0),0)</f>
        <v>0</v>
      </c>
      <c r="GJ67" s="26">
        <f>IF(GJ$2=InputTable[[#This Row],[Delivery Date]],_xlfn.XLOOKUP(GJ$1,$BH$2:$BR$2,$BH67:$BR67,0),0)</f>
        <v>0</v>
      </c>
      <c r="GL67" s="26" t="e">
        <f>IF(GL$2=InputTable[[#This Row],[Delivery Date]],_xlfn.XLOOKUP(GL$1,$BH$2:$BR$2,$BH67:$BR67,0),0)</f>
        <v>#REF!</v>
      </c>
      <c r="GM67" s="26">
        <f>IF(GM$2=InputTable[[#This Row],[Delivery Date]],_xlfn.XLOOKUP(GM$1,$BH$2:$BR$2,$BH67:$BR67,0),0)</f>
        <v>0</v>
      </c>
      <c r="GN67" s="26">
        <f>IF(GN$2=InputTable[[#This Row],[Delivery Date]],_xlfn.XLOOKUP(GN$1,$BH$2:$BR$2,$BH67:$BR67,0),0)</f>
        <v>0</v>
      </c>
      <c r="GO67" s="26">
        <f>IF(GO$2=InputTable[[#This Row],[Delivery Date]],_xlfn.XLOOKUP(GO$1,$BH$2:$BR$2,$BH67:$BR67,0),0)</f>
        <v>0</v>
      </c>
      <c r="GP67" s="26">
        <f>IF(GP$2=InputTable[[#This Row],[Delivery Date]],_xlfn.XLOOKUP(GP$1,$BH$2:$BR$2,$BH67:$BR67,0),0)</f>
        <v>0</v>
      </c>
      <c r="GQ67" s="26">
        <f>IF(GQ$2=InputTable[[#This Row],[Delivery Date]],_xlfn.XLOOKUP(GQ$1,$BH$2:$BR$2,$BH67:$BR67,0),0)</f>
        <v>0</v>
      </c>
      <c r="GR67" s="26">
        <f>IF(GR$2=InputTable[[#This Row],[Delivery Date]],_xlfn.XLOOKUP(GR$1,$BH$2:$BR$2,$BH67:$BR67,0),0)</f>
        <v>0</v>
      </c>
      <c r="GS67" s="26">
        <f>IF(GS$2=InputTable[[#This Row],[Delivery Date]],_xlfn.XLOOKUP(GS$1,$BH$2:$BR$2,$BH67:$BR67,0),0)</f>
        <v>0</v>
      </c>
      <c r="GT67" s="26">
        <f>IF(GT$2=InputTable[[#This Row],[Delivery Date]],_xlfn.XLOOKUP(GT$1,$BH$2:$BR$2,$BH67:$BR67,0),0)</f>
        <v>0</v>
      </c>
      <c r="GV67" s="26" t="e">
        <f>IF(GV$2=InputTable[[#This Row],[Delivery Date]],_xlfn.XLOOKUP(GV$1,$BH$2:$BR$2,$BH67:$BR67,0),0)</f>
        <v>#REF!</v>
      </c>
      <c r="GW67" s="26">
        <f>IF(GW$2=InputTable[[#This Row],[Delivery Date]],_xlfn.XLOOKUP(GW$1,$BH$2:$BR$2,$BH67:$BR67,0),0)</f>
        <v>0</v>
      </c>
      <c r="GX67" s="26">
        <f>IF(GX$2=InputTable[[#This Row],[Delivery Date]],_xlfn.XLOOKUP(GX$1,$BH$2:$BR$2,$BH67:$BR67,0),0)</f>
        <v>0</v>
      </c>
      <c r="GY67" s="26">
        <f>IF(GY$2=InputTable[[#This Row],[Delivery Date]],_xlfn.XLOOKUP(GY$1,$BH$2:$BR$2,$BH67:$BR67,0),0)</f>
        <v>0</v>
      </c>
      <c r="GZ67" s="26">
        <f>IF(GZ$2=InputTable[[#This Row],[Delivery Date]],_xlfn.XLOOKUP(GZ$1,$BH$2:$BR$2,$BH67:$BR67,0),0)</f>
        <v>0</v>
      </c>
      <c r="HA67" s="26">
        <f>IF(HA$2=InputTable[[#This Row],[Delivery Date]],_xlfn.XLOOKUP(HA$1,$BH$2:$BR$2,$BH67:$BR67,0),0)</f>
        <v>0</v>
      </c>
      <c r="HB67" s="26">
        <f>IF(HB$2=InputTable[[#This Row],[Delivery Date]],_xlfn.XLOOKUP(HB$1,$BH$2:$BR$2,$BH67:$BR67,0),0)</f>
        <v>0</v>
      </c>
      <c r="HC67" s="26">
        <f>IF(HC$2=InputTable[[#This Row],[Delivery Date]],_xlfn.XLOOKUP(HC$1,$BH$2:$BR$2,$BH67:$BR67,0),0)</f>
        <v>0</v>
      </c>
      <c r="HD67" s="26">
        <f>IF(HD$2=InputTable[[#This Row],[Delivery Date]],_xlfn.XLOOKUP(HD$1,$BH$2:$BR$2,$BH67:$BR67,0),0)</f>
        <v>0</v>
      </c>
      <c r="HF67" s="26" t="e">
        <f>IF(HF$2=InputTable[[#This Row],[Delivery Date]],_xlfn.XLOOKUP(HF$1,$BH$2:$BR$2,$BH67:$BR67,0),0)</f>
        <v>#REF!</v>
      </c>
      <c r="HG67" s="26">
        <f>IF(HG$2=InputTable[[#This Row],[Delivery Date]],_xlfn.XLOOKUP(HG$1,$BH$2:$BR$2,$BH67:$BR67,0),0)</f>
        <v>0</v>
      </c>
      <c r="HH67" s="26">
        <f>IF(HH$2=InputTable[[#This Row],[Delivery Date]],_xlfn.XLOOKUP(HH$1,$BH$2:$BR$2,$BH67:$BR67,0),0)</f>
        <v>0</v>
      </c>
      <c r="HI67" s="26">
        <f>IF(HI$2=InputTable[[#This Row],[Delivery Date]],_xlfn.XLOOKUP(HI$1,$BH$2:$BR$2,$BH67:$BR67,0),0)</f>
        <v>0</v>
      </c>
      <c r="HJ67" s="26">
        <f>IF(HJ$2=InputTable[[#This Row],[Delivery Date]],_xlfn.XLOOKUP(HJ$1,$BH$2:$BR$2,$BH67:$BR67,0),0)</f>
        <v>0</v>
      </c>
      <c r="HK67" s="26">
        <f>IF(HK$2=InputTable[[#This Row],[Delivery Date]],_xlfn.XLOOKUP(HK$1,$BH$2:$BR$2,$BH67:$BR67,0),0)</f>
        <v>0</v>
      </c>
      <c r="HL67" s="26">
        <f>IF(HL$2=InputTable[[#This Row],[Delivery Date]],_xlfn.XLOOKUP(HL$1,$BH$2:$BR$2,$BH67:$BR67,0),0)</f>
        <v>0</v>
      </c>
      <c r="HM67" s="26">
        <f>IF(HM$2=InputTable[[#This Row],[Delivery Date]],_xlfn.XLOOKUP(HM$1,$BH$2:$BR$2,$BH67:$BR67,0),0)</f>
        <v>0</v>
      </c>
      <c r="HN67" s="26">
        <f>IF(HN$2=InputTable[[#This Row],[Delivery Date]],_xlfn.XLOOKUP(HN$1,$BH$2:$BR$2,$BH67:$BR67,0),0)</f>
        <v>0</v>
      </c>
      <c r="HP67" s="26" t="e">
        <f>IF(HP$2=InputTable[[#This Row],[Delivery Date]],_xlfn.XLOOKUP(HP$1,$BH$2:$BR$2,$BH67:$BR67,0),0)</f>
        <v>#REF!</v>
      </c>
      <c r="HQ67" s="26">
        <f>IF(HQ$2=InputTable[[#This Row],[Delivery Date]],_xlfn.XLOOKUP(HQ$1,$BH$2:$BR$2,$BH67:$BR67,0),0)</f>
        <v>0</v>
      </c>
      <c r="HR67" s="26">
        <f>IF(HR$2=InputTable[[#This Row],[Delivery Date]],_xlfn.XLOOKUP(HR$1,$BH$2:$BR$2,$BH67:$BR67,0),0)</f>
        <v>0</v>
      </c>
      <c r="HS67" s="26">
        <f>IF(HS$2=InputTable[[#This Row],[Delivery Date]],_xlfn.XLOOKUP(HS$1,$BH$2:$BR$2,$BH67:$BR67,0),0)</f>
        <v>0</v>
      </c>
      <c r="HT67" s="26">
        <f>IF(HT$2=InputTable[[#This Row],[Delivery Date]],_xlfn.XLOOKUP(HT$1,$BH$2:$BR$2,$BH67:$BR67,0),0)</f>
        <v>0</v>
      </c>
      <c r="HU67" s="26">
        <f>IF(HU$2=InputTable[[#This Row],[Delivery Date]],_xlfn.XLOOKUP(HU$1,$BH$2:$BR$2,$BH67:$BR67,0),0)</f>
        <v>0</v>
      </c>
      <c r="HV67" s="26">
        <f>IF(HV$2=InputTable[[#This Row],[Delivery Date]],_xlfn.XLOOKUP(HV$1,$BH$2:$BR$2,$BH67:$BR67,0),0)</f>
        <v>0</v>
      </c>
      <c r="HW67" s="26">
        <f>IF(HW$2=InputTable[[#This Row],[Delivery Date]],_xlfn.XLOOKUP(HW$1,$BH$2:$BR$2,$BH67:$BR67,0),0)</f>
        <v>0</v>
      </c>
      <c r="HX67" s="26">
        <f>IF(HX$2=InputTable[[#This Row],[Delivery Date]],_xlfn.XLOOKUP(HX$1,$BH$2:$BR$2,$BH67:$BR67,0),0)</f>
        <v>0</v>
      </c>
      <c r="HZ67" s="26" t="e">
        <f>IF(HZ$2=InputTable[[#This Row],[Delivery Date]],_xlfn.XLOOKUP(HZ$1,$BH$2:$BR$2,$BH67:$BR67,0),0)</f>
        <v>#REF!</v>
      </c>
      <c r="IA67" s="26">
        <f>IF(IA$2=InputTable[[#This Row],[Delivery Date]],_xlfn.XLOOKUP(IA$1,$BH$2:$BR$2,$BH67:$BR67,0),0)</f>
        <v>0</v>
      </c>
      <c r="IB67" s="26">
        <f>IF(IB$2=InputTable[[#This Row],[Delivery Date]],_xlfn.XLOOKUP(IB$1,$BH$2:$BR$2,$BH67:$BR67,0),0)</f>
        <v>0</v>
      </c>
      <c r="IC67" s="26">
        <f>IF(IC$2=InputTable[[#This Row],[Delivery Date]],_xlfn.XLOOKUP(IC$1,$BH$2:$BR$2,$BH67:$BR67,0),0)</f>
        <v>0</v>
      </c>
      <c r="ID67" s="26">
        <f>IF(ID$2=InputTable[[#This Row],[Delivery Date]],_xlfn.XLOOKUP(ID$1,$BH$2:$BR$2,$BH67:$BR67,0),0)</f>
        <v>0</v>
      </c>
      <c r="IE67" s="26">
        <f>IF(IE$2=InputTable[[#This Row],[Delivery Date]],_xlfn.XLOOKUP(IE$1,$BH$2:$BR$2,$BH67:$BR67,0),0)</f>
        <v>0</v>
      </c>
      <c r="IF67" s="26">
        <f>IF(IF$2=InputTable[[#This Row],[Delivery Date]],_xlfn.XLOOKUP(IF$1,$BH$2:$BR$2,$BH67:$BR67,0),0)</f>
        <v>0</v>
      </c>
      <c r="IG67" s="26">
        <f>IF(IG$2=InputTable[[#This Row],[Delivery Date]],_xlfn.XLOOKUP(IG$1,$BH$2:$BR$2,$BH67:$BR67,0),0)</f>
        <v>0</v>
      </c>
      <c r="IH67" s="26">
        <f>IF(IH$2=InputTable[[#This Row],[Delivery Date]],_xlfn.XLOOKUP(IH$1,$BH$2:$BR$2,$BH67:$BR67,0),0)</f>
        <v>0</v>
      </c>
      <c r="IJ67" s="26" t="e">
        <f>IF(IJ$2=InputTable[[#This Row],[Delivery Date]],_xlfn.XLOOKUP(IJ$1,$BH$2:$BR$2,$BH67:$BR67,0),0)</f>
        <v>#REF!</v>
      </c>
      <c r="IK67" s="26">
        <f>IF(IK$2=InputTable[[#This Row],[Delivery Date]],_xlfn.XLOOKUP(IK$1,$BH$2:$BR$2,$BH67:$BR67,0),0)</f>
        <v>0</v>
      </c>
      <c r="IL67" s="26">
        <f>IF(IL$2=InputTable[[#This Row],[Delivery Date]],_xlfn.XLOOKUP(IL$1,$BH$2:$BR$2,$BH67:$BR67,0),0)</f>
        <v>0</v>
      </c>
      <c r="IM67" s="26">
        <f>IF(IM$2=InputTable[[#This Row],[Delivery Date]],_xlfn.XLOOKUP(IM$1,$BH$2:$BR$2,$BH67:$BR67,0),0)</f>
        <v>0</v>
      </c>
      <c r="IN67" s="26">
        <f>IF(IN$2=InputTable[[#This Row],[Delivery Date]],_xlfn.XLOOKUP(IN$1,$BH$2:$BR$2,$BH67:$BR67,0),0)</f>
        <v>0</v>
      </c>
      <c r="IO67" s="26">
        <f>IF(IO$2=InputTable[[#This Row],[Delivery Date]],_xlfn.XLOOKUP(IO$1,$BH$2:$BR$2,$BH67:$BR67,0),0)</f>
        <v>0</v>
      </c>
      <c r="IP67" s="26">
        <f>IF(IP$2=InputTable[[#This Row],[Delivery Date]],_xlfn.XLOOKUP(IP$1,$BH$2:$BR$2,$BH67:$BR67,0),0)</f>
        <v>0</v>
      </c>
      <c r="IQ67" s="26">
        <f>IF(IQ$2=InputTable[[#This Row],[Delivery Date]],_xlfn.XLOOKUP(IQ$1,$BH$2:$BR$2,$BH67:$BR67,0),0)</f>
        <v>0</v>
      </c>
      <c r="IR67" s="26">
        <f>IF(IR$2=InputTable[[#This Row],[Delivery Date]],_xlfn.XLOOKUP(IR$1,$BH$2:$BR$2,$BH67:$BR67,0),0)</f>
        <v>0</v>
      </c>
      <c r="IT67" s="26" t="e">
        <f>IF(IT$2=InputTable[[#This Row],[Delivery Date]],_xlfn.XLOOKUP(IT$1,$BH$2:$BR$2,$BH67:$BR67,0),0)</f>
        <v>#REF!</v>
      </c>
      <c r="IU67" s="26">
        <f>IF(IU$2=InputTable[[#This Row],[Delivery Date]],_xlfn.XLOOKUP(IU$1,$BH$2:$BR$2,$BH67:$BR67,0),0)</f>
        <v>0</v>
      </c>
      <c r="IV67" s="26">
        <f>IF(IV$2=InputTable[[#This Row],[Delivery Date]],_xlfn.XLOOKUP(IV$1,$BH$2:$BR$2,$BH67:$BR67,0),0)</f>
        <v>0</v>
      </c>
      <c r="IW67" s="26">
        <f>IF(IW$2=InputTable[[#This Row],[Delivery Date]],_xlfn.XLOOKUP(IW$1,$BH$2:$BR$2,$BH67:$BR67,0),0)</f>
        <v>0</v>
      </c>
      <c r="IX67" s="26">
        <f>IF(IX$2=InputTable[[#This Row],[Delivery Date]],_xlfn.XLOOKUP(IX$1,$BH$2:$BR$2,$BH67:$BR67,0),0)</f>
        <v>0</v>
      </c>
      <c r="IY67" s="26">
        <f>IF(IY$2=InputTable[[#This Row],[Delivery Date]],_xlfn.XLOOKUP(IY$1,$BH$2:$BR$2,$BH67:$BR67,0),0)</f>
        <v>0</v>
      </c>
      <c r="IZ67" s="26">
        <f>IF(IZ$2=InputTable[[#This Row],[Delivery Date]],_xlfn.XLOOKUP(IZ$1,$BH$2:$BR$2,$BH67:$BR67,0),0)</f>
        <v>0</v>
      </c>
      <c r="JA67" s="26">
        <f>IF(JA$2=InputTable[[#This Row],[Delivery Date]],_xlfn.XLOOKUP(JA$1,$BH$2:$BR$2,$BH67:$BR67,0),0)</f>
        <v>0</v>
      </c>
      <c r="JB67" s="26">
        <f>IF(JB$2=InputTable[[#This Row],[Delivery Date]],_xlfn.XLOOKUP(JB$1,$BH$2:$BR$2,$BH67:$BR67,0),0)</f>
        <v>0</v>
      </c>
      <c r="JD67" s="26" t="e">
        <f>IF(JD$2=InputTable[[#This Row],[Delivery Date]],_xlfn.XLOOKUP(JD$1,$BH$2:$BR$2,$BH67:$BR67,0),0)</f>
        <v>#REF!</v>
      </c>
      <c r="JE67" s="26">
        <f>IF(JE$2=InputTable[[#This Row],[Delivery Date]],_xlfn.XLOOKUP(JE$1,$BH$2:$BR$2,$BH67:$BR67,0),0)</f>
        <v>0</v>
      </c>
      <c r="JF67" s="26">
        <f>IF(JF$2=InputTable[[#This Row],[Delivery Date]],_xlfn.XLOOKUP(JF$1,$BH$2:$BR$2,$BH67:$BR67,0),0)</f>
        <v>0</v>
      </c>
      <c r="JG67" s="26">
        <f>IF(JG$2=InputTable[[#This Row],[Delivery Date]],_xlfn.XLOOKUP(JG$1,$BH$2:$BR$2,$BH67:$BR67,0),0)</f>
        <v>0</v>
      </c>
      <c r="JH67" s="26">
        <f>IF(JH$2=InputTable[[#This Row],[Delivery Date]],_xlfn.XLOOKUP(JH$1,$BH$2:$BR$2,$BH67:$BR67,0),0)</f>
        <v>0</v>
      </c>
      <c r="JI67" s="26">
        <f>IF(JI$2=InputTable[[#This Row],[Delivery Date]],_xlfn.XLOOKUP(JI$1,$BH$2:$BR$2,$BH67:$BR67,0),0)</f>
        <v>0</v>
      </c>
      <c r="JJ67" s="26">
        <f>IF(JJ$2=InputTable[[#This Row],[Delivery Date]],_xlfn.XLOOKUP(JJ$1,$BH$2:$BR$2,$BH67:$BR67,0),0)</f>
        <v>0</v>
      </c>
      <c r="JK67" s="26">
        <f>IF(JK$2=InputTable[[#This Row],[Delivery Date]],_xlfn.XLOOKUP(JK$1,$BH$2:$BR$2,$BH67:$BR67,0),0)</f>
        <v>0</v>
      </c>
      <c r="JL67" s="26">
        <f>IF(JL$2=InputTable[[#This Row],[Delivery Date]],_xlfn.XLOOKUP(JL$1,$BH$2:$BR$2,$BH67:$BR67,0),0)</f>
        <v>0</v>
      </c>
      <c r="JN67" s="26" t="e">
        <f>IF(JN$2=InputTable[[#This Row],[Delivery Date]],_xlfn.XLOOKUP(JN$1,$BH$2:$BR$2,$BH67:$BR67,0),0)</f>
        <v>#REF!</v>
      </c>
      <c r="JO67" s="26">
        <f>IF(JO$2=InputTable[[#This Row],[Delivery Date]],_xlfn.XLOOKUP(JO$1,$BH$2:$BR$2,$BH67:$BR67,0),0)</f>
        <v>0</v>
      </c>
      <c r="JP67" s="26">
        <f>IF(JP$2=InputTable[[#This Row],[Delivery Date]],_xlfn.XLOOKUP(JP$1,$BH$2:$BR$2,$BH67:$BR67,0),0)</f>
        <v>0</v>
      </c>
      <c r="JQ67" s="26">
        <f>IF(JQ$2=InputTable[[#This Row],[Delivery Date]],_xlfn.XLOOKUP(JQ$1,$BH$2:$BR$2,$BH67:$BR67,0),0)</f>
        <v>0</v>
      </c>
      <c r="JR67" s="26">
        <f>IF(JR$2=InputTable[[#This Row],[Delivery Date]],_xlfn.XLOOKUP(JR$1,$BH$2:$BR$2,$BH67:$BR67,0),0)</f>
        <v>0</v>
      </c>
      <c r="JS67" s="26">
        <f>IF(JS$2=InputTable[[#This Row],[Delivery Date]],_xlfn.XLOOKUP(JS$1,$BH$2:$BR$2,$BH67:$BR67,0),0)</f>
        <v>0</v>
      </c>
      <c r="JT67" s="26">
        <f>IF(JT$2=InputTable[[#This Row],[Delivery Date]],_xlfn.XLOOKUP(JT$1,$BH$2:$BR$2,$BH67:$BR67,0),0)</f>
        <v>0</v>
      </c>
      <c r="JU67" s="26">
        <f>IF(JU$2=InputTable[[#This Row],[Delivery Date]],_xlfn.XLOOKUP(JU$1,$BH$2:$BR$2,$BH67:$BR67,0),0)</f>
        <v>0</v>
      </c>
      <c r="JV67" s="26">
        <f>IF(JV$2=InputTable[[#This Row],[Delivery Date]],_xlfn.XLOOKUP(JV$1,$BH$2:$BR$2,$BH67:$BR67,0),0)</f>
        <v>0</v>
      </c>
      <c r="JX67" s="26" t="e">
        <f>IF(JX$2=InputTable[[#This Row],[Delivery Date]],_xlfn.XLOOKUP(JX$1,$BH$2:$BR$2,$BH67:$BR67,0),0)</f>
        <v>#REF!</v>
      </c>
      <c r="JY67" s="26">
        <f>IF(JY$2=InputTable[[#This Row],[Delivery Date]],_xlfn.XLOOKUP(JY$1,$BH$2:$BR$2,$BH67:$BR67,0),0)</f>
        <v>0</v>
      </c>
      <c r="JZ67" s="26">
        <f>IF(JZ$2=InputTable[[#This Row],[Delivery Date]],_xlfn.XLOOKUP(JZ$1,$BH$2:$BR$2,$BH67:$BR67,0),0)</f>
        <v>0</v>
      </c>
      <c r="KA67" s="26">
        <f>IF(KA$2=InputTable[[#This Row],[Delivery Date]],_xlfn.XLOOKUP(KA$1,$BH$2:$BR$2,$BH67:$BR67,0),0)</f>
        <v>0</v>
      </c>
      <c r="KB67" s="26">
        <f>IF(KB$2=InputTable[[#This Row],[Delivery Date]],_xlfn.XLOOKUP(KB$1,$BH$2:$BR$2,$BH67:$BR67,0),0)</f>
        <v>0</v>
      </c>
      <c r="KC67" s="26">
        <f>IF(KC$2=InputTable[[#This Row],[Delivery Date]],_xlfn.XLOOKUP(KC$1,$BH$2:$BR$2,$BH67:$BR67,0),0)</f>
        <v>0</v>
      </c>
      <c r="KD67" s="26">
        <f>IF(KD$2=InputTable[[#This Row],[Delivery Date]],_xlfn.XLOOKUP(KD$1,$BH$2:$BR$2,$BH67:$BR67,0),0)</f>
        <v>0</v>
      </c>
      <c r="KE67" s="26">
        <f>IF(KE$2=InputTable[[#This Row],[Delivery Date]],_xlfn.XLOOKUP(KE$1,$BH$2:$BR$2,$BH67:$BR67,0),0)</f>
        <v>0</v>
      </c>
      <c r="KF67" s="26">
        <f>IF(KF$2=InputTable[[#This Row],[Delivery Date]],_xlfn.XLOOKUP(KF$1,$BH$2:$BR$2,$BH67:$BR67,0),0)</f>
        <v>0</v>
      </c>
    </row>
    <row r="68" spans="1:292" ht="39.6" hidden="1" customHeight="1" x14ac:dyDescent="0.25">
      <c r="A68" s="141" t="s">
        <v>181</v>
      </c>
      <c r="B68" s="141" t="s">
        <v>114</v>
      </c>
      <c r="C68" s="92" t="s">
        <v>61</v>
      </c>
      <c r="D68" s="125" t="s">
        <v>319</v>
      </c>
      <c r="E68" s="193" t="s">
        <v>320</v>
      </c>
      <c r="F68" s="92" t="s">
        <v>61</v>
      </c>
      <c r="G68" s="92">
        <v>2024</v>
      </c>
      <c r="H68" s="99" t="s">
        <v>100</v>
      </c>
      <c r="I68" s="98" t="s">
        <v>98</v>
      </c>
      <c r="J68" s="126"/>
      <c r="K68" s="95" t="e">
        <f>VLOOKUP((InputTable[[#This Row],[Starting Date]]&amp; " - " &amp;InputTable[[#This Row],[Delivery Date]]),'System List'!$F$40:$H$83,2,FALSE)</f>
        <v>#N/A</v>
      </c>
      <c r="L68" s="95" t="e">
        <f>VLOOKUP(InputTable[[#This Row],[Duration]],Duration,2,FALSE)</f>
        <v>#N/A</v>
      </c>
      <c r="M68" s="126" t="s">
        <v>110</v>
      </c>
      <c r="N68" s="98"/>
      <c r="O68" s="98"/>
      <c r="P68" s="98" t="s">
        <v>139</v>
      </c>
      <c r="Q68" s="98"/>
      <c r="R68" s="98"/>
      <c r="S68" s="92"/>
      <c r="T68" s="95" cm="1">
        <f t="array" ref="T6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1.6</v>
      </c>
      <c r="U68" s="138"/>
      <c r="V68" s="98"/>
      <c r="W68" s="98"/>
      <c r="X68" s="98"/>
      <c r="Y68" s="98" t="s">
        <v>111</v>
      </c>
      <c r="Z68" s="98" t="s">
        <v>111</v>
      </c>
      <c r="AA68" s="98" t="s">
        <v>100</v>
      </c>
      <c r="AB68" s="98"/>
      <c r="AC68" s="98"/>
      <c r="AD68" s="92">
        <f>COUNTA(InputTable[[#This Row],[CORPHRFIN]:[SALES]])</f>
        <v>3</v>
      </c>
      <c r="AE68" s="88" cm="1">
        <f t="array" ref="AE68">SUM(
_xlfn.XLOOKUP(InputTable[[#This Row],[CORPHRFIN]:[SALES]],'System List'!$F$4:$F$7,'System List'!$H$4:$H$7,0))</f>
        <v>23</v>
      </c>
      <c r="AF68" s="140"/>
      <c r="AG68" s="101"/>
      <c r="AH68" s="101"/>
      <c r="AI68" s="101"/>
      <c r="AJ68" s="101"/>
      <c r="AK68" s="101"/>
      <c r="AL68" s="101"/>
      <c r="AM68" s="101" t="s">
        <v>139</v>
      </c>
      <c r="AN68" s="101"/>
      <c r="AO68" s="101"/>
      <c r="AP68" s="101"/>
      <c r="AQ68" s="101"/>
      <c r="AR68" s="88" cm="1">
        <f t="array" ref="AR68">SUM(
_xlfn.XLOOKUP(InputTable[[#This Row],[Impact on - CIAL]:[Impact on - STRAT]],'System List'!$F$4:$F$7,'System List'!$H$4:$H$7,0))</f>
        <v>8</v>
      </c>
      <c r="AS68" s="88" t="e">
        <f>VLOOKUP(InputTable[[#This Row],[Duration]],Duration,2,FALSE)+InputTable[[#This Row],[Resource Score]]</f>
        <v>#N/A</v>
      </c>
      <c r="AT6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8" s="24" t="e">
        <f>InputTable[[#This Row],[Value Score]]/InputTable[[#This Row],[EFFORT SCORE]]*100</f>
        <v>#N/A</v>
      </c>
      <c r="AV68" s="25" t="str">
        <f>InputTable[[#This Row],[IS Portfolio Ref ID]]</f>
        <v>ISPRJ-60</v>
      </c>
      <c r="AW68" s="25" t="s">
        <v>258</v>
      </c>
      <c r="AX68" s="208"/>
      <c r="AY68" s="25" t="s">
        <v>247</v>
      </c>
      <c r="AZ68" s="209">
        <v>0</v>
      </c>
      <c r="BA68" s="209">
        <v>50004</v>
      </c>
      <c r="BB68" s="209"/>
      <c r="BC68" s="189">
        <f>SUM(InputTable[[#This Row],[Opex IS Budget (full project)]]+InputTable[[#This Row],[Capex IS Budget (full project)]])</f>
        <v>50004</v>
      </c>
      <c r="BD68" s="188"/>
      <c r="BE68" s="188"/>
      <c r="BF68" s="70"/>
      <c r="BH68" s="2">
        <f>IFERROR(VLOOKUP(InputTable[[#This Row],[Impact on - CIAL]],'System List'!$F$4:$H$7,3,FALSE),0)</f>
        <v>0</v>
      </c>
      <c r="BI68" s="2">
        <f>IFERROR(VLOOKUP(InputTable[[#This Row],[Impact on - COM]],'System List'!$F$4:$H$7,3,FALSE),0)</f>
        <v>0</v>
      </c>
      <c r="BJ68" s="2">
        <f>IFERROR(VLOOKUP(InputTable[[#This Row],[Impact on - FIN]],'System List'!$F$4:$H$7,3,FALSE),0)</f>
        <v>0</v>
      </c>
      <c r="BK68" s="2">
        <f>IFERROR(VLOOKUP(InputTable[[#This Row],[Impact on - GEN SEC]],'System List'!$F$4:$H$7,3,FALSE),0)</f>
        <v>0</v>
      </c>
      <c r="BL68" s="2">
        <f>IFERROR(VLOOKUP(InputTable[[#This Row],[Impact on - HR]],'System List'!$F$4:$H$7,3,FALSE),0)</f>
        <v>0</v>
      </c>
      <c r="BM68" s="2">
        <f>IFERROR(VLOOKUP(InputTable[[#This Row],[Impact on - IS]],'System List'!$F$4:$H$7,3,FALSE),0)</f>
        <v>0</v>
      </c>
      <c r="BN68" s="2">
        <f>IFERROR(VLOOKUP(InputTable[[#This Row],[Impact on - OPS]],'System List'!$F$4:$H$7,3,FALSE),0)</f>
        <v>8</v>
      </c>
      <c r="BO68" s="2">
        <f>IFERROR(VLOOKUP(InputTable[[#This Row],[Impact on - ROLL STOCK]],'System List'!$F$4:$H$7,3,FALSE),0)</f>
        <v>0</v>
      </c>
      <c r="BP68" s="2">
        <f>IFERROR(VLOOKUP(InputTable[[#This Row],[Impact on - SAFETY]],'System List'!$F$4:$H$7,3,FALSE),0)</f>
        <v>0</v>
      </c>
      <c r="BQ68" s="2">
        <f>IFERROR(VLOOKUP(InputTable[[#This Row],[Impact on - STATION]],'System List'!$F$4:$H$7,3,FALSE),0)</f>
        <v>0</v>
      </c>
      <c r="BR68" s="2">
        <f>IFERROR(VLOOKUP(InputTable[[#This Row],[Impact on - STRAT]],'System List'!$F$4:$H$7,3,FALSE),0)</f>
        <v>0</v>
      </c>
      <c r="BT68" s="2">
        <f>IFERROR(VLOOKUP(InputTable[[#This Row],[CORPHRFIN]],'System List'!$F$4:$H$7,3,FALSE),0)</f>
        <v>0</v>
      </c>
      <c r="BU68" s="2">
        <f>IFERROR(VLOOKUP(InputTable[[#This Row],[CUST]],'System List'!$F$4:$H$7,3,FALSE),0)</f>
        <v>0</v>
      </c>
      <c r="BV68" s="2">
        <f>IFERROR(VLOOKUP(InputTable[[#This Row],[CYBER]],'System List'!$F$4:$H$7,3,FALSE),0)</f>
        <v>0</v>
      </c>
      <c r="BW68" s="2">
        <f>IFERROR(VLOOKUP(InputTable[[#This Row],[DATA]],'System List'!$F$4:$H$7,3,FALSE),0)</f>
        <v>5</v>
      </c>
      <c r="BX68" s="2">
        <f>IFERROR(VLOOKUP(InputTable[[#This Row],[INFRA]],'System List'!$F$4:$H$7,3,FALSE),0)</f>
        <v>5</v>
      </c>
      <c r="BY68" s="2">
        <f>IFERROR(VLOOKUP(InputTable[[#This Row],[OPERATIONS]],'System List'!$F$4:$H$7,3,FALSE),0)</f>
        <v>13</v>
      </c>
      <c r="BZ68" s="2">
        <f>IFERROR(VLOOKUP(InputTable[[#This Row],[PMO]],'System List'!$F$4:$H$7,3,FALSE),0)</f>
        <v>0</v>
      </c>
      <c r="CA68" s="2">
        <f>IFERROR(VLOOKUP(InputTable[[#This Row],[SALES]],'System List'!$F$4:$H$7,3,FALSE),0)</f>
        <v>0</v>
      </c>
      <c r="CC68" s="2" cm="1">
        <f t="array" ref="CC6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8" s="2" cm="1">
        <f t="array" ref="CD6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8" s="2" cm="1">
        <f t="array" ref="CE6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8" s="2" cm="1">
        <f t="array" ref="CF6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8" s="2" cm="1">
        <f t="array" ref="CG6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8" s="2" cm="1">
        <f t="array" ref="CH6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8" s="2" cm="1">
        <f t="array" ref="CI6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8" s="2" cm="1">
        <f t="array" ref="CJ6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8" s="2" cm="1">
        <f t="array" ref="CK6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6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6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6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6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8" s="26">
        <f t="shared" si="151"/>
        <v>0</v>
      </c>
      <c r="CY68" s="26">
        <f t="shared" si="152"/>
        <v>0</v>
      </c>
      <c r="CZ68" s="26">
        <f t="shared" si="153"/>
        <v>0</v>
      </c>
      <c r="DA68" s="26">
        <f t="shared" si="154"/>
        <v>0</v>
      </c>
      <c r="DB68" s="26">
        <f t="shared" si="155"/>
        <v>0</v>
      </c>
      <c r="DC68" s="26">
        <f t="shared" si="156"/>
        <v>0</v>
      </c>
      <c r="DD68" s="26">
        <f t="shared" si="157"/>
        <v>0</v>
      </c>
      <c r="DE68" s="26">
        <f t="shared" si="158"/>
        <v>0</v>
      </c>
      <c r="DF68" s="26">
        <f t="shared" si="159"/>
        <v>0</v>
      </c>
      <c r="DH68" s="26">
        <f t="shared" si="160"/>
        <v>0</v>
      </c>
      <c r="DI68" s="26">
        <f t="shared" si="161"/>
        <v>0</v>
      </c>
      <c r="DJ68" s="26">
        <f t="shared" si="162"/>
        <v>0</v>
      </c>
      <c r="DK68" s="26">
        <f t="shared" si="163"/>
        <v>0</v>
      </c>
      <c r="DL68" s="26">
        <f t="shared" si="164"/>
        <v>0</v>
      </c>
      <c r="DM68" s="26">
        <f t="shared" si="165"/>
        <v>0</v>
      </c>
      <c r="DN68" s="26">
        <f t="shared" si="166"/>
        <v>0</v>
      </c>
      <c r="DO68" s="26">
        <f t="shared" si="167"/>
        <v>0</v>
      </c>
      <c r="DP68" s="26">
        <f t="shared" si="168"/>
        <v>0</v>
      </c>
      <c r="DR68" s="26">
        <f t="shared" si="169"/>
        <v>0</v>
      </c>
      <c r="DS68" s="26">
        <f t="shared" si="170"/>
        <v>0</v>
      </c>
      <c r="DT68" s="26">
        <f t="shared" si="171"/>
        <v>0</v>
      </c>
      <c r="DU68" s="26">
        <f t="shared" si="172"/>
        <v>0</v>
      </c>
      <c r="DV68" s="26">
        <f t="shared" si="173"/>
        <v>0</v>
      </c>
      <c r="DW68" s="26">
        <f t="shared" si="174"/>
        <v>0</v>
      </c>
      <c r="DX68" s="26">
        <f t="shared" si="175"/>
        <v>0</v>
      </c>
      <c r="DY68" s="26">
        <f t="shared" si="176"/>
        <v>0</v>
      </c>
      <c r="DZ68" s="26">
        <f t="shared" si="177"/>
        <v>0</v>
      </c>
      <c r="EB68" s="26">
        <f t="shared" si="178"/>
        <v>0</v>
      </c>
      <c r="EC68" s="26">
        <f t="shared" si="179"/>
        <v>5</v>
      </c>
      <c r="ED68" s="26">
        <f t="shared" si="180"/>
        <v>5</v>
      </c>
      <c r="EE68" s="26">
        <f t="shared" si="181"/>
        <v>5</v>
      </c>
      <c r="EF68" s="26">
        <f t="shared" si="182"/>
        <v>5</v>
      </c>
      <c r="EG68" s="26">
        <f t="shared" si="183"/>
        <v>5</v>
      </c>
      <c r="EH68" s="26">
        <f t="shared" si="184"/>
        <v>0</v>
      </c>
      <c r="EI68" s="26">
        <f t="shared" si="185"/>
        <v>0</v>
      </c>
      <c r="EJ68" s="26">
        <f t="shared" si="186"/>
        <v>0</v>
      </c>
      <c r="EL68" s="26">
        <f t="shared" si="187"/>
        <v>0</v>
      </c>
      <c r="EM68" s="26">
        <f t="shared" si="188"/>
        <v>5</v>
      </c>
      <c r="EN68" s="26">
        <f t="shared" si="189"/>
        <v>5</v>
      </c>
      <c r="EO68" s="26">
        <f t="shared" si="190"/>
        <v>5</v>
      </c>
      <c r="EP68" s="26">
        <f t="shared" si="191"/>
        <v>5</v>
      </c>
      <c r="EQ68" s="26">
        <f t="shared" si="192"/>
        <v>5</v>
      </c>
      <c r="ER68" s="26">
        <f t="shared" si="193"/>
        <v>0</v>
      </c>
      <c r="ES68" s="26">
        <f t="shared" si="194"/>
        <v>0</v>
      </c>
      <c r="ET68" s="26">
        <f t="shared" si="195"/>
        <v>0</v>
      </c>
      <c r="EV68" s="26">
        <f t="shared" si="196"/>
        <v>0</v>
      </c>
      <c r="EW68" s="26">
        <f t="shared" si="197"/>
        <v>13</v>
      </c>
      <c r="EX68" s="26">
        <f t="shared" si="198"/>
        <v>13</v>
      </c>
      <c r="EY68" s="26">
        <f t="shared" si="199"/>
        <v>13</v>
      </c>
      <c r="EZ68" s="26">
        <f t="shared" si="200"/>
        <v>13</v>
      </c>
      <c r="FA68" s="26">
        <f t="shared" si="201"/>
        <v>13</v>
      </c>
      <c r="FB68" s="26">
        <f t="shared" si="202"/>
        <v>0</v>
      </c>
      <c r="FC68" s="26">
        <f t="shared" si="203"/>
        <v>0</v>
      </c>
      <c r="FD68" s="26">
        <f t="shared" si="204"/>
        <v>0</v>
      </c>
      <c r="FF68" s="26">
        <f t="shared" si="205"/>
        <v>0</v>
      </c>
      <c r="FG68" s="26">
        <f t="shared" si="206"/>
        <v>0</v>
      </c>
      <c r="FH68" s="26">
        <f t="shared" si="207"/>
        <v>0</v>
      </c>
      <c r="FI68" s="26">
        <f t="shared" si="208"/>
        <v>0</v>
      </c>
      <c r="FJ68" s="26">
        <f t="shared" si="209"/>
        <v>0</v>
      </c>
      <c r="FK68" s="26">
        <f t="shared" si="210"/>
        <v>0</v>
      </c>
      <c r="FL68" s="26">
        <f t="shared" si="211"/>
        <v>0</v>
      </c>
      <c r="FM68" s="26">
        <f t="shared" si="212"/>
        <v>0</v>
      </c>
      <c r="FN68" s="26">
        <f t="shared" si="213"/>
        <v>0</v>
      </c>
      <c r="FP68" s="26" t="e">
        <f t="shared" si="214"/>
        <v>#REF!</v>
      </c>
      <c r="FQ68" s="26" t="e">
        <f t="shared" si="215"/>
        <v>#REF!</v>
      </c>
      <c r="FR68" s="26" t="e">
        <f t="shared" si="216"/>
        <v>#REF!</v>
      </c>
      <c r="FS68" s="26" t="e">
        <f t="shared" si="217"/>
        <v>#REF!</v>
      </c>
      <c r="FT68" s="26" t="e">
        <f t="shared" si="218"/>
        <v>#REF!</v>
      </c>
      <c r="FU68" s="26" t="e">
        <f t="shared" si="219"/>
        <v>#REF!</v>
      </c>
      <c r="FV68" s="26" t="e">
        <f t="shared" si="220"/>
        <v>#REF!</v>
      </c>
      <c r="FW68" s="26" t="e">
        <f t="shared" si="221"/>
        <v>#REF!</v>
      </c>
      <c r="FX68" s="26" t="e">
        <f t="shared" si="222"/>
        <v>#REF!</v>
      </c>
      <c r="GB68" s="26" t="e">
        <f>IF(GB$2=InputTable[[#This Row],[Delivery Date]],_xlfn.XLOOKUP(GB$1,$BH$2:$BR$2,$BH68:$BR68,0),0)</f>
        <v>#REF!</v>
      </c>
      <c r="GC68" s="26">
        <f>IF(GC$2=InputTable[[#This Row],[Delivery Date]],_xlfn.XLOOKUP(GC$1,$BH$2:$BR$2,$BH68:$BR68,0),0)</f>
        <v>0</v>
      </c>
      <c r="GD68" s="26">
        <f>IF(GD$2=InputTable[[#This Row],[Delivery Date]],_xlfn.XLOOKUP(GD$1,$BH$2:$BR$2,$BH68:$BR68,0),0)</f>
        <v>0</v>
      </c>
      <c r="GE68" s="26">
        <f>IF(GE$2=InputTable[[#This Row],[Delivery Date]],_xlfn.XLOOKUP(GE$1,$BH$2:$BR$2,$BH68:$BR68,0),0)</f>
        <v>0</v>
      </c>
      <c r="GF68" s="26">
        <f>IF(GF$2=InputTable[[#This Row],[Delivery Date]],_xlfn.XLOOKUP(GF$1,$BH$2:$BR$2,$BH68:$BR68,0),0)</f>
        <v>0</v>
      </c>
      <c r="GG68" s="26">
        <f>IF(GG$2=InputTable[[#This Row],[Delivery Date]],_xlfn.XLOOKUP(GG$1,$BH$2:$BR$2,$BH68:$BR68,0),0)</f>
        <v>0</v>
      </c>
      <c r="GH68" s="26">
        <f>IF(GH$2=InputTable[[#This Row],[Delivery Date]],_xlfn.XLOOKUP(GH$1,$BH$2:$BR$2,$BH68:$BR68,0),0)</f>
        <v>0</v>
      </c>
      <c r="GI68" s="26">
        <f>IF(GI$2=InputTable[[#This Row],[Delivery Date]],_xlfn.XLOOKUP(GI$1,$BH$2:$BR$2,$BH68:$BR68,0),0)</f>
        <v>0</v>
      </c>
      <c r="GJ68" s="26">
        <f>IF(GJ$2=InputTable[[#This Row],[Delivery Date]],_xlfn.XLOOKUP(GJ$1,$BH$2:$BR$2,$BH68:$BR68,0),0)</f>
        <v>0</v>
      </c>
      <c r="GL68" s="26" t="e">
        <f>IF(GL$2=InputTable[[#This Row],[Delivery Date]],_xlfn.XLOOKUP(GL$1,$BH$2:$BR$2,$BH68:$BR68,0),0)</f>
        <v>#REF!</v>
      </c>
      <c r="GM68" s="26">
        <f>IF(GM$2=InputTable[[#This Row],[Delivery Date]],_xlfn.XLOOKUP(GM$1,$BH$2:$BR$2,$BH68:$BR68,0),0)</f>
        <v>0</v>
      </c>
      <c r="GN68" s="26">
        <f>IF(GN$2=InputTable[[#This Row],[Delivery Date]],_xlfn.XLOOKUP(GN$1,$BH$2:$BR$2,$BH68:$BR68,0),0)</f>
        <v>0</v>
      </c>
      <c r="GO68" s="26">
        <f>IF(GO$2=InputTable[[#This Row],[Delivery Date]],_xlfn.XLOOKUP(GO$1,$BH$2:$BR$2,$BH68:$BR68,0),0)</f>
        <v>0</v>
      </c>
      <c r="GP68" s="26">
        <f>IF(GP$2=InputTable[[#This Row],[Delivery Date]],_xlfn.XLOOKUP(GP$1,$BH$2:$BR$2,$BH68:$BR68,0),0)</f>
        <v>0</v>
      </c>
      <c r="GQ68" s="26">
        <f>IF(GQ$2=InputTable[[#This Row],[Delivery Date]],_xlfn.XLOOKUP(GQ$1,$BH$2:$BR$2,$BH68:$BR68,0),0)</f>
        <v>0</v>
      </c>
      <c r="GR68" s="26">
        <f>IF(GR$2=InputTable[[#This Row],[Delivery Date]],_xlfn.XLOOKUP(GR$1,$BH$2:$BR$2,$BH68:$BR68,0),0)</f>
        <v>0</v>
      </c>
      <c r="GS68" s="26">
        <f>IF(GS$2=InputTable[[#This Row],[Delivery Date]],_xlfn.XLOOKUP(GS$1,$BH$2:$BR$2,$BH68:$BR68,0),0)</f>
        <v>0</v>
      </c>
      <c r="GT68" s="26">
        <f>IF(GT$2=InputTable[[#This Row],[Delivery Date]],_xlfn.XLOOKUP(GT$1,$BH$2:$BR$2,$BH68:$BR68,0),0)</f>
        <v>0</v>
      </c>
      <c r="GV68" s="26" t="e">
        <f>IF(GV$2=InputTable[[#This Row],[Delivery Date]],_xlfn.XLOOKUP(GV$1,$BH$2:$BR$2,$BH68:$BR68,0),0)</f>
        <v>#REF!</v>
      </c>
      <c r="GW68" s="26">
        <f>IF(GW$2=InputTable[[#This Row],[Delivery Date]],_xlfn.XLOOKUP(GW$1,$BH$2:$BR$2,$BH68:$BR68,0),0)</f>
        <v>0</v>
      </c>
      <c r="GX68" s="26">
        <f>IF(GX$2=InputTable[[#This Row],[Delivery Date]],_xlfn.XLOOKUP(GX$1,$BH$2:$BR$2,$BH68:$BR68,0),0)</f>
        <v>0</v>
      </c>
      <c r="GY68" s="26">
        <f>IF(GY$2=InputTable[[#This Row],[Delivery Date]],_xlfn.XLOOKUP(GY$1,$BH$2:$BR$2,$BH68:$BR68,0),0)</f>
        <v>0</v>
      </c>
      <c r="GZ68" s="26">
        <f>IF(GZ$2=InputTable[[#This Row],[Delivery Date]],_xlfn.XLOOKUP(GZ$1,$BH$2:$BR$2,$BH68:$BR68,0),0)</f>
        <v>0</v>
      </c>
      <c r="HA68" s="26">
        <f>IF(HA$2=InputTable[[#This Row],[Delivery Date]],_xlfn.XLOOKUP(HA$1,$BH$2:$BR$2,$BH68:$BR68,0),0)</f>
        <v>0</v>
      </c>
      <c r="HB68" s="26">
        <f>IF(HB$2=InputTable[[#This Row],[Delivery Date]],_xlfn.XLOOKUP(HB$1,$BH$2:$BR$2,$BH68:$BR68,0),0)</f>
        <v>0</v>
      </c>
      <c r="HC68" s="26">
        <f>IF(HC$2=InputTable[[#This Row],[Delivery Date]],_xlfn.XLOOKUP(HC$1,$BH$2:$BR$2,$BH68:$BR68,0),0)</f>
        <v>0</v>
      </c>
      <c r="HD68" s="26">
        <f>IF(HD$2=InputTable[[#This Row],[Delivery Date]],_xlfn.XLOOKUP(HD$1,$BH$2:$BR$2,$BH68:$BR68,0),0)</f>
        <v>0</v>
      </c>
      <c r="HF68" s="26" t="e">
        <f>IF(HF$2=InputTable[[#This Row],[Delivery Date]],_xlfn.XLOOKUP(HF$1,$BH$2:$BR$2,$BH68:$BR68,0),0)</f>
        <v>#REF!</v>
      </c>
      <c r="HG68" s="26">
        <f>IF(HG$2=InputTable[[#This Row],[Delivery Date]],_xlfn.XLOOKUP(HG$1,$BH$2:$BR$2,$BH68:$BR68,0),0)</f>
        <v>0</v>
      </c>
      <c r="HH68" s="26">
        <f>IF(HH$2=InputTable[[#This Row],[Delivery Date]],_xlfn.XLOOKUP(HH$1,$BH$2:$BR$2,$BH68:$BR68,0),0)</f>
        <v>0</v>
      </c>
      <c r="HI68" s="26">
        <f>IF(HI$2=InputTable[[#This Row],[Delivery Date]],_xlfn.XLOOKUP(HI$1,$BH$2:$BR$2,$BH68:$BR68,0),0)</f>
        <v>0</v>
      </c>
      <c r="HJ68" s="26">
        <f>IF(HJ$2=InputTable[[#This Row],[Delivery Date]],_xlfn.XLOOKUP(HJ$1,$BH$2:$BR$2,$BH68:$BR68,0),0)</f>
        <v>0</v>
      </c>
      <c r="HK68" s="26">
        <f>IF(HK$2=InputTable[[#This Row],[Delivery Date]],_xlfn.XLOOKUP(HK$1,$BH$2:$BR$2,$BH68:$BR68,0),0)</f>
        <v>0</v>
      </c>
      <c r="HL68" s="26">
        <f>IF(HL$2=InputTable[[#This Row],[Delivery Date]],_xlfn.XLOOKUP(HL$1,$BH$2:$BR$2,$BH68:$BR68,0),0)</f>
        <v>0</v>
      </c>
      <c r="HM68" s="26">
        <f>IF(HM$2=InputTable[[#This Row],[Delivery Date]],_xlfn.XLOOKUP(HM$1,$BH$2:$BR$2,$BH68:$BR68,0),0)</f>
        <v>0</v>
      </c>
      <c r="HN68" s="26">
        <f>IF(HN$2=InputTable[[#This Row],[Delivery Date]],_xlfn.XLOOKUP(HN$1,$BH$2:$BR$2,$BH68:$BR68,0),0)</f>
        <v>0</v>
      </c>
      <c r="HP68" s="26" t="e">
        <f>IF(HP$2=InputTable[[#This Row],[Delivery Date]],_xlfn.XLOOKUP(HP$1,$BH$2:$BR$2,$BH68:$BR68,0),0)</f>
        <v>#REF!</v>
      </c>
      <c r="HQ68" s="26">
        <f>IF(HQ$2=InputTable[[#This Row],[Delivery Date]],_xlfn.XLOOKUP(HQ$1,$BH$2:$BR$2,$BH68:$BR68,0),0)</f>
        <v>0</v>
      </c>
      <c r="HR68" s="26">
        <f>IF(HR$2=InputTable[[#This Row],[Delivery Date]],_xlfn.XLOOKUP(HR$1,$BH$2:$BR$2,$BH68:$BR68,0),0)</f>
        <v>0</v>
      </c>
      <c r="HS68" s="26">
        <f>IF(HS$2=InputTable[[#This Row],[Delivery Date]],_xlfn.XLOOKUP(HS$1,$BH$2:$BR$2,$BH68:$BR68,0),0)</f>
        <v>0</v>
      </c>
      <c r="HT68" s="26">
        <f>IF(HT$2=InputTable[[#This Row],[Delivery Date]],_xlfn.XLOOKUP(HT$1,$BH$2:$BR$2,$BH68:$BR68,0),0)</f>
        <v>0</v>
      </c>
      <c r="HU68" s="26">
        <f>IF(HU$2=InputTable[[#This Row],[Delivery Date]],_xlfn.XLOOKUP(HU$1,$BH$2:$BR$2,$BH68:$BR68,0),0)</f>
        <v>0</v>
      </c>
      <c r="HV68" s="26">
        <f>IF(HV$2=InputTable[[#This Row],[Delivery Date]],_xlfn.XLOOKUP(HV$1,$BH$2:$BR$2,$BH68:$BR68,0),0)</f>
        <v>0</v>
      </c>
      <c r="HW68" s="26">
        <f>IF(HW$2=InputTable[[#This Row],[Delivery Date]],_xlfn.XLOOKUP(HW$1,$BH$2:$BR$2,$BH68:$BR68,0),0)</f>
        <v>0</v>
      </c>
      <c r="HX68" s="26">
        <f>IF(HX$2=InputTable[[#This Row],[Delivery Date]],_xlfn.XLOOKUP(HX$1,$BH$2:$BR$2,$BH68:$BR68,0),0)</f>
        <v>0</v>
      </c>
      <c r="HZ68" s="26" t="e">
        <f>IF(HZ$2=InputTable[[#This Row],[Delivery Date]],_xlfn.XLOOKUP(HZ$1,$BH$2:$BR$2,$BH68:$BR68,0),0)</f>
        <v>#REF!</v>
      </c>
      <c r="IA68" s="26">
        <f>IF(IA$2=InputTable[[#This Row],[Delivery Date]],_xlfn.XLOOKUP(IA$1,$BH$2:$BR$2,$BH68:$BR68,0),0)</f>
        <v>0</v>
      </c>
      <c r="IB68" s="26">
        <f>IF(IB$2=InputTable[[#This Row],[Delivery Date]],_xlfn.XLOOKUP(IB$1,$BH$2:$BR$2,$BH68:$BR68,0),0)</f>
        <v>0</v>
      </c>
      <c r="IC68" s="26">
        <f>IF(IC$2=InputTable[[#This Row],[Delivery Date]],_xlfn.XLOOKUP(IC$1,$BH$2:$BR$2,$BH68:$BR68,0),0)</f>
        <v>0</v>
      </c>
      <c r="ID68" s="26">
        <f>IF(ID$2=InputTable[[#This Row],[Delivery Date]],_xlfn.XLOOKUP(ID$1,$BH$2:$BR$2,$BH68:$BR68,0),0)</f>
        <v>0</v>
      </c>
      <c r="IE68" s="26">
        <f>IF(IE$2=InputTable[[#This Row],[Delivery Date]],_xlfn.XLOOKUP(IE$1,$BH$2:$BR$2,$BH68:$BR68,0),0)</f>
        <v>0</v>
      </c>
      <c r="IF68" s="26">
        <f>IF(IF$2=InputTable[[#This Row],[Delivery Date]],_xlfn.XLOOKUP(IF$1,$BH$2:$BR$2,$BH68:$BR68,0),0)</f>
        <v>0</v>
      </c>
      <c r="IG68" s="26">
        <f>IF(IG$2=InputTable[[#This Row],[Delivery Date]],_xlfn.XLOOKUP(IG$1,$BH$2:$BR$2,$BH68:$BR68,0),0)</f>
        <v>0</v>
      </c>
      <c r="IH68" s="26">
        <f>IF(IH$2=InputTable[[#This Row],[Delivery Date]],_xlfn.XLOOKUP(IH$1,$BH$2:$BR$2,$BH68:$BR68,0),0)</f>
        <v>0</v>
      </c>
      <c r="IJ68" s="26" t="e">
        <f>IF(IJ$2=InputTable[[#This Row],[Delivery Date]],_xlfn.XLOOKUP(IJ$1,$BH$2:$BR$2,$BH68:$BR68,0),0)</f>
        <v>#REF!</v>
      </c>
      <c r="IK68" s="26">
        <f>IF(IK$2=InputTable[[#This Row],[Delivery Date]],_xlfn.XLOOKUP(IK$1,$BH$2:$BR$2,$BH68:$BR68,0),0)</f>
        <v>0</v>
      </c>
      <c r="IL68" s="26">
        <f>IF(IL$2=InputTable[[#This Row],[Delivery Date]],_xlfn.XLOOKUP(IL$1,$BH$2:$BR$2,$BH68:$BR68,0),0)</f>
        <v>0</v>
      </c>
      <c r="IM68" s="26">
        <f>IF(IM$2=InputTable[[#This Row],[Delivery Date]],_xlfn.XLOOKUP(IM$1,$BH$2:$BR$2,$BH68:$BR68,0),0)</f>
        <v>0</v>
      </c>
      <c r="IN68" s="26">
        <f>IF(IN$2=InputTable[[#This Row],[Delivery Date]],_xlfn.XLOOKUP(IN$1,$BH$2:$BR$2,$BH68:$BR68,0),0)</f>
        <v>0</v>
      </c>
      <c r="IO68" s="26">
        <f>IF(IO$2=InputTable[[#This Row],[Delivery Date]],_xlfn.XLOOKUP(IO$1,$BH$2:$BR$2,$BH68:$BR68,0),0)</f>
        <v>8</v>
      </c>
      <c r="IP68" s="26">
        <f>IF(IP$2=InputTable[[#This Row],[Delivery Date]],_xlfn.XLOOKUP(IP$1,$BH$2:$BR$2,$BH68:$BR68,0),0)</f>
        <v>0</v>
      </c>
      <c r="IQ68" s="26">
        <f>IF(IQ$2=InputTable[[#This Row],[Delivery Date]],_xlfn.XLOOKUP(IQ$1,$BH$2:$BR$2,$BH68:$BR68,0),0)</f>
        <v>0</v>
      </c>
      <c r="IR68" s="26">
        <f>IF(IR$2=InputTable[[#This Row],[Delivery Date]],_xlfn.XLOOKUP(IR$1,$BH$2:$BR$2,$BH68:$BR68,0),0)</f>
        <v>0</v>
      </c>
      <c r="IT68" s="26" t="e">
        <f>IF(IT$2=InputTable[[#This Row],[Delivery Date]],_xlfn.XLOOKUP(IT$1,$BH$2:$BR$2,$BH68:$BR68,0),0)</f>
        <v>#REF!</v>
      </c>
      <c r="IU68" s="26">
        <f>IF(IU$2=InputTable[[#This Row],[Delivery Date]],_xlfn.XLOOKUP(IU$1,$BH$2:$BR$2,$BH68:$BR68,0),0)</f>
        <v>0</v>
      </c>
      <c r="IV68" s="26">
        <f>IF(IV$2=InputTable[[#This Row],[Delivery Date]],_xlfn.XLOOKUP(IV$1,$BH$2:$BR$2,$BH68:$BR68,0),0)</f>
        <v>0</v>
      </c>
      <c r="IW68" s="26">
        <f>IF(IW$2=InputTable[[#This Row],[Delivery Date]],_xlfn.XLOOKUP(IW$1,$BH$2:$BR$2,$BH68:$BR68,0),0)</f>
        <v>0</v>
      </c>
      <c r="IX68" s="26">
        <f>IF(IX$2=InputTable[[#This Row],[Delivery Date]],_xlfn.XLOOKUP(IX$1,$BH$2:$BR$2,$BH68:$BR68,0),0)</f>
        <v>0</v>
      </c>
      <c r="IY68" s="26">
        <f>IF(IY$2=InputTable[[#This Row],[Delivery Date]],_xlfn.XLOOKUP(IY$1,$BH$2:$BR$2,$BH68:$BR68,0),0)</f>
        <v>0</v>
      </c>
      <c r="IZ68" s="26">
        <f>IF(IZ$2=InputTable[[#This Row],[Delivery Date]],_xlfn.XLOOKUP(IZ$1,$BH$2:$BR$2,$BH68:$BR68,0),0)</f>
        <v>0</v>
      </c>
      <c r="JA68" s="26">
        <f>IF(JA$2=InputTable[[#This Row],[Delivery Date]],_xlfn.XLOOKUP(JA$1,$BH$2:$BR$2,$BH68:$BR68,0),0)</f>
        <v>0</v>
      </c>
      <c r="JB68" s="26">
        <f>IF(JB$2=InputTable[[#This Row],[Delivery Date]],_xlfn.XLOOKUP(JB$1,$BH$2:$BR$2,$BH68:$BR68,0),0)</f>
        <v>0</v>
      </c>
      <c r="JD68" s="26" t="e">
        <f>IF(JD$2=InputTable[[#This Row],[Delivery Date]],_xlfn.XLOOKUP(JD$1,$BH$2:$BR$2,$BH68:$BR68,0),0)</f>
        <v>#REF!</v>
      </c>
      <c r="JE68" s="26">
        <f>IF(JE$2=InputTable[[#This Row],[Delivery Date]],_xlfn.XLOOKUP(JE$1,$BH$2:$BR$2,$BH68:$BR68,0),0)</f>
        <v>0</v>
      </c>
      <c r="JF68" s="26">
        <f>IF(JF$2=InputTable[[#This Row],[Delivery Date]],_xlfn.XLOOKUP(JF$1,$BH$2:$BR$2,$BH68:$BR68,0),0)</f>
        <v>0</v>
      </c>
      <c r="JG68" s="26">
        <f>IF(JG$2=InputTable[[#This Row],[Delivery Date]],_xlfn.XLOOKUP(JG$1,$BH$2:$BR$2,$BH68:$BR68,0),0)</f>
        <v>0</v>
      </c>
      <c r="JH68" s="26">
        <f>IF(JH$2=InputTable[[#This Row],[Delivery Date]],_xlfn.XLOOKUP(JH$1,$BH$2:$BR$2,$BH68:$BR68,0),0)</f>
        <v>0</v>
      </c>
      <c r="JI68" s="26">
        <f>IF(JI$2=InputTable[[#This Row],[Delivery Date]],_xlfn.XLOOKUP(JI$1,$BH$2:$BR$2,$BH68:$BR68,0),0)</f>
        <v>0</v>
      </c>
      <c r="JJ68" s="26">
        <f>IF(JJ$2=InputTable[[#This Row],[Delivery Date]],_xlfn.XLOOKUP(JJ$1,$BH$2:$BR$2,$BH68:$BR68,0),0)</f>
        <v>0</v>
      </c>
      <c r="JK68" s="26">
        <f>IF(JK$2=InputTable[[#This Row],[Delivery Date]],_xlfn.XLOOKUP(JK$1,$BH$2:$BR$2,$BH68:$BR68,0),0)</f>
        <v>0</v>
      </c>
      <c r="JL68" s="26">
        <f>IF(JL$2=InputTable[[#This Row],[Delivery Date]],_xlfn.XLOOKUP(JL$1,$BH$2:$BR$2,$BH68:$BR68,0),0)</f>
        <v>0</v>
      </c>
      <c r="JN68" s="26" t="e">
        <f>IF(JN$2=InputTable[[#This Row],[Delivery Date]],_xlfn.XLOOKUP(JN$1,$BH$2:$BR$2,$BH68:$BR68,0),0)</f>
        <v>#REF!</v>
      </c>
      <c r="JO68" s="26">
        <f>IF(JO$2=InputTable[[#This Row],[Delivery Date]],_xlfn.XLOOKUP(JO$1,$BH$2:$BR$2,$BH68:$BR68,0),0)</f>
        <v>0</v>
      </c>
      <c r="JP68" s="26">
        <f>IF(JP$2=InputTable[[#This Row],[Delivery Date]],_xlfn.XLOOKUP(JP$1,$BH$2:$BR$2,$BH68:$BR68,0),0)</f>
        <v>0</v>
      </c>
      <c r="JQ68" s="26">
        <f>IF(JQ$2=InputTable[[#This Row],[Delivery Date]],_xlfn.XLOOKUP(JQ$1,$BH$2:$BR$2,$BH68:$BR68,0),0)</f>
        <v>0</v>
      </c>
      <c r="JR68" s="26">
        <f>IF(JR$2=InputTable[[#This Row],[Delivery Date]],_xlfn.XLOOKUP(JR$1,$BH$2:$BR$2,$BH68:$BR68,0),0)</f>
        <v>0</v>
      </c>
      <c r="JS68" s="26">
        <f>IF(JS$2=InputTable[[#This Row],[Delivery Date]],_xlfn.XLOOKUP(JS$1,$BH$2:$BR$2,$BH68:$BR68,0),0)</f>
        <v>0</v>
      </c>
      <c r="JT68" s="26">
        <f>IF(JT$2=InputTable[[#This Row],[Delivery Date]],_xlfn.XLOOKUP(JT$1,$BH$2:$BR$2,$BH68:$BR68,0),0)</f>
        <v>0</v>
      </c>
      <c r="JU68" s="26">
        <f>IF(JU$2=InputTable[[#This Row],[Delivery Date]],_xlfn.XLOOKUP(JU$1,$BH$2:$BR$2,$BH68:$BR68,0),0)</f>
        <v>0</v>
      </c>
      <c r="JV68" s="26">
        <f>IF(JV$2=InputTable[[#This Row],[Delivery Date]],_xlfn.XLOOKUP(JV$1,$BH$2:$BR$2,$BH68:$BR68,0),0)</f>
        <v>0</v>
      </c>
      <c r="JX68" s="26" t="e">
        <f>IF(JX$2=InputTable[[#This Row],[Delivery Date]],_xlfn.XLOOKUP(JX$1,$BH$2:$BR$2,$BH68:$BR68,0),0)</f>
        <v>#REF!</v>
      </c>
      <c r="JY68" s="26">
        <f>IF(JY$2=InputTable[[#This Row],[Delivery Date]],_xlfn.XLOOKUP(JY$1,$BH$2:$BR$2,$BH68:$BR68,0),0)</f>
        <v>0</v>
      </c>
      <c r="JZ68" s="26">
        <f>IF(JZ$2=InputTable[[#This Row],[Delivery Date]],_xlfn.XLOOKUP(JZ$1,$BH$2:$BR$2,$BH68:$BR68,0),0)</f>
        <v>0</v>
      </c>
      <c r="KA68" s="26">
        <f>IF(KA$2=InputTable[[#This Row],[Delivery Date]],_xlfn.XLOOKUP(KA$1,$BH$2:$BR$2,$BH68:$BR68,0),0)</f>
        <v>0</v>
      </c>
      <c r="KB68" s="26">
        <f>IF(KB$2=InputTable[[#This Row],[Delivery Date]],_xlfn.XLOOKUP(KB$1,$BH$2:$BR$2,$BH68:$BR68,0),0)</f>
        <v>0</v>
      </c>
      <c r="KC68" s="26">
        <f>IF(KC$2=InputTable[[#This Row],[Delivery Date]],_xlfn.XLOOKUP(KC$1,$BH$2:$BR$2,$BH68:$BR68,0),0)</f>
        <v>0</v>
      </c>
      <c r="KD68" s="26">
        <f>IF(KD$2=InputTable[[#This Row],[Delivery Date]],_xlfn.XLOOKUP(KD$1,$BH$2:$BR$2,$BH68:$BR68,0),0)</f>
        <v>0</v>
      </c>
      <c r="KE68" s="26">
        <f>IF(KE$2=InputTable[[#This Row],[Delivery Date]],_xlfn.XLOOKUP(KE$1,$BH$2:$BR$2,$BH68:$BR68,0),0)</f>
        <v>0</v>
      </c>
      <c r="KF68" s="26">
        <f>IF(KF$2=InputTable[[#This Row],[Delivery Date]],_xlfn.XLOOKUP(KF$1,$BH$2:$BR$2,$BH68:$BR68,0),0)</f>
        <v>0</v>
      </c>
    </row>
    <row r="69" spans="1:292" ht="39.6" hidden="1" customHeight="1" x14ac:dyDescent="0.25">
      <c r="A69" s="125" t="s">
        <v>142</v>
      </c>
      <c r="B69" s="125" t="s">
        <v>156</v>
      </c>
      <c r="C69" s="92" t="s">
        <v>57</v>
      </c>
      <c r="D69" s="125" t="s">
        <v>321</v>
      </c>
      <c r="E69" s="193" t="s">
        <v>322</v>
      </c>
      <c r="F69" s="92" t="s">
        <v>96</v>
      </c>
      <c r="G69" s="92" t="s">
        <v>97</v>
      </c>
      <c r="H69" s="92" t="s">
        <v>100</v>
      </c>
      <c r="I69" s="92" t="s">
        <v>97</v>
      </c>
      <c r="J69" s="142"/>
      <c r="K69" s="95" t="e">
        <f>VLOOKUP((InputTable[[#This Row],[Starting Date]]&amp; " - " &amp;InputTable[[#This Row],[Delivery Date]]),'System List'!$F$40:$H$83,2,FALSE)</f>
        <v>#N/A</v>
      </c>
      <c r="L69" s="95" t="e">
        <f>VLOOKUP(InputTable[[#This Row],[Duration]],Duration,2,FALSE)</f>
        <v>#N/A</v>
      </c>
      <c r="M69" s="142"/>
      <c r="N69" s="92"/>
      <c r="O69" s="92"/>
      <c r="P69" s="92"/>
      <c r="Q69" s="92"/>
      <c r="R69" s="92" t="s">
        <v>139</v>
      </c>
      <c r="S69" s="92"/>
      <c r="T69" s="95" cm="1">
        <f t="array" ref="T6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</v>
      </c>
      <c r="U69" s="138"/>
      <c r="V69" s="92"/>
      <c r="W69" s="92" t="s">
        <v>139</v>
      </c>
      <c r="X69" s="92" t="s">
        <v>111</v>
      </c>
      <c r="Y69" s="92" t="s">
        <v>111</v>
      </c>
      <c r="Z69" s="92"/>
      <c r="AA69" s="92"/>
      <c r="AB69" s="92"/>
      <c r="AC69" s="92" t="s">
        <v>111</v>
      </c>
      <c r="AD69" s="92">
        <f>COUNTA(InputTable[[#This Row],[CORPHRFIN]:[SALES]])</f>
        <v>4</v>
      </c>
      <c r="AE69" s="88" cm="1">
        <f t="array" ref="AE69">SUM(
_xlfn.XLOOKUP(InputTable[[#This Row],[CORPHRFIN]:[SALES]],'System List'!$F$4:$F$7,'System List'!$H$4:$H$7,0))</f>
        <v>23</v>
      </c>
      <c r="AF69" s="140"/>
      <c r="AG69" s="96" t="s">
        <v>139</v>
      </c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88" cm="1">
        <f t="array" ref="AR69">SUM(
_xlfn.XLOOKUP(InputTable[[#This Row],[Impact on - CIAL]:[Impact on - STRAT]],'System List'!$F$4:$F$7,'System List'!$H$4:$H$7,0))</f>
        <v>8</v>
      </c>
      <c r="AS69" s="88" t="e">
        <f>VLOOKUP(InputTable[[#This Row],[Duration]],Duration,2,FALSE)+InputTable[[#This Row],[Resource Score]]</f>
        <v>#N/A</v>
      </c>
      <c r="AT6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69" s="24" t="e">
        <f>InputTable[[#This Row],[Value Score]]/InputTable[[#This Row],[EFFORT SCORE]]*100</f>
        <v>#N/A</v>
      </c>
      <c r="AV69" s="25" t="str">
        <f>InputTable[[#This Row],[IS Portfolio Ref ID]]</f>
        <v>ISPRJ-51</v>
      </c>
      <c r="AW69" s="25" t="s">
        <v>323</v>
      </c>
      <c r="AX69" s="208" t="s">
        <v>154</v>
      </c>
      <c r="AY69" s="25">
        <v>1052</v>
      </c>
      <c r="AZ69" s="209">
        <v>0</v>
      </c>
      <c r="BA69" s="209">
        <v>51656.198400000001</v>
      </c>
      <c r="BB69" s="209"/>
      <c r="BC69" s="189">
        <f>SUM(InputTable[[#This Row],[Opex IS Budget (full project)]]+InputTable[[#This Row],[Capex IS Budget (full project)]])</f>
        <v>51656.198400000001</v>
      </c>
      <c r="BD69" s="188">
        <v>1</v>
      </c>
      <c r="BE69" s="188"/>
      <c r="BF69" s="70"/>
      <c r="BH69" s="2">
        <f>IFERROR(VLOOKUP(InputTable[[#This Row],[Impact on - CIAL]],'System List'!$F$4:$H$7,3,FALSE),0)</f>
        <v>8</v>
      </c>
      <c r="BI69" s="2">
        <f>IFERROR(VLOOKUP(InputTable[[#This Row],[Impact on - COM]],'System List'!$F$4:$H$7,3,FALSE),0)</f>
        <v>0</v>
      </c>
      <c r="BJ69" s="2">
        <f>IFERROR(VLOOKUP(InputTable[[#This Row],[Impact on - FIN]],'System List'!$F$4:$H$7,3,FALSE),0)</f>
        <v>0</v>
      </c>
      <c r="BK69" s="2">
        <f>IFERROR(VLOOKUP(InputTable[[#This Row],[Impact on - GEN SEC]],'System List'!$F$4:$H$7,3,FALSE),0)</f>
        <v>0</v>
      </c>
      <c r="BL69" s="2">
        <f>IFERROR(VLOOKUP(InputTable[[#This Row],[Impact on - HR]],'System List'!$F$4:$H$7,3,FALSE),0)</f>
        <v>0</v>
      </c>
      <c r="BM69" s="2">
        <f>IFERROR(VLOOKUP(InputTable[[#This Row],[Impact on - IS]],'System List'!$F$4:$H$7,3,FALSE),0)</f>
        <v>0</v>
      </c>
      <c r="BN69" s="2">
        <f>IFERROR(VLOOKUP(InputTable[[#This Row],[Impact on - OPS]],'System List'!$F$4:$H$7,3,FALSE),0)</f>
        <v>0</v>
      </c>
      <c r="BO69" s="2">
        <f>IFERROR(VLOOKUP(InputTable[[#This Row],[Impact on - ROLL STOCK]],'System List'!$F$4:$H$7,3,FALSE),0)</f>
        <v>0</v>
      </c>
      <c r="BP69" s="2">
        <f>IFERROR(VLOOKUP(InputTable[[#This Row],[Impact on - SAFETY]],'System List'!$F$4:$H$7,3,FALSE),0)</f>
        <v>0</v>
      </c>
      <c r="BQ69" s="2">
        <f>IFERROR(VLOOKUP(InputTable[[#This Row],[Impact on - STATION]],'System List'!$F$4:$H$7,3,FALSE),0)</f>
        <v>0</v>
      </c>
      <c r="BR69" s="2">
        <f>IFERROR(VLOOKUP(InputTable[[#This Row],[Impact on - STRAT]],'System List'!$F$4:$H$7,3,FALSE),0)</f>
        <v>0</v>
      </c>
      <c r="BT69" s="2">
        <f>IFERROR(VLOOKUP(InputTable[[#This Row],[CORPHRFIN]],'System List'!$F$4:$H$7,3,FALSE),0)</f>
        <v>0</v>
      </c>
      <c r="BU69" s="2">
        <f>IFERROR(VLOOKUP(InputTable[[#This Row],[CUST]],'System List'!$F$4:$H$7,3,FALSE),0)</f>
        <v>8</v>
      </c>
      <c r="BV69" s="2">
        <f>IFERROR(VLOOKUP(InputTable[[#This Row],[CYBER]],'System List'!$F$4:$H$7,3,FALSE),0)</f>
        <v>5</v>
      </c>
      <c r="BW69" s="2">
        <f>IFERROR(VLOOKUP(InputTable[[#This Row],[DATA]],'System List'!$F$4:$H$7,3,FALSE),0)</f>
        <v>5</v>
      </c>
      <c r="BX69" s="2">
        <f>IFERROR(VLOOKUP(InputTable[[#This Row],[INFRA]],'System List'!$F$4:$H$7,3,FALSE),0)</f>
        <v>0</v>
      </c>
      <c r="BY69" s="2">
        <f>IFERROR(VLOOKUP(InputTable[[#This Row],[OPERATIONS]],'System List'!$F$4:$H$7,3,FALSE),0)</f>
        <v>0</v>
      </c>
      <c r="BZ69" s="2">
        <f>IFERROR(VLOOKUP(InputTable[[#This Row],[PMO]],'System List'!$F$4:$H$7,3,FALSE),0)</f>
        <v>0</v>
      </c>
      <c r="CA69" s="2">
        <f>IFERROR(VLOOKUP(InputTable[[#This Row],[SALES]],'System List'!$F$4:$H$7,3,FALSE),0)</f>
        <v>5</v>
      </c>
      <c r="CC69" s="2" cm="1">
        <f t="array" ref="CC6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69" s="2" cm="1">
        <f t="array" ref="CD6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69" s="2" cm="1">
        <f t="array" ref="CE6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69" s="2" cm="1">
        <f t="array" ref="CF6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69" s="2" cm="1">
        <f t="array" ref="CG6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69" s="2" cm="1">
        <f t="array" ref="CH6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69" s="2" cm="1">
        <f t="array" ref="CI6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69" s="2" cm="1">
        <f t="array" ref="CJ6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69" s="2" cm="1">
        <f t="array" ref="CK6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6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6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6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6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6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6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6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6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6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69" s="26">
        <f t="shared" si="151"/>
        <v>0</v>
      </c>
      <c r="CY69" s="26">
        <f t="shared" si="152"/>
        <v>0</v>
      </c>
      <c r="CZ69" s="26">
        <f t="shared" si="153"/>
        <v>0</v>
      </c>
      <c r="DA69" s="26">
        <f t="shared" si="154"/>
        <v>0</v>
      </c>
      <c r="DB69" s="26">
        <f t="shared" si="155"/>
        <v>0</v>
      </c>
      <c r="DC69" s="26">
        <f t="shared" si="156"/>
        <v>0</v>
      </c>
      <c r="DD69" s="26">
        <f t="shared" si="157"/>
        <v>0</v>
      </c>
      <c r="DE69" s="26">
        <f t="shared" si="158"/>
        <v>0</v>
      </c>
      <c r="DF69" s="26">
        <f t="shared" si="159"/>
        <v>0</v>
      </c>
      <c r="DH69" s="26">
        <f t="shared" si="160"/>
        <v>0</v>
      </c>
      <c r="DI69" s="26">
        <f t="shared" si="161"/>
        <v>0</v>
      </c>
      <c r="DJ69" s="26">
        <f t="shared" si="162"/>
        <v>8</v>
      </c>
      <c r="DK69" s="26">
        <f t="shared" si="163"/>
        <v>0</v>
      </c>
      <c r="DL69" s="26">
        <f t="shared" si="164"/>
        <v>0</v>
      </c>
      <c r="DM69" s="26">
        <f t="shared" si="165"/>
        <v>0</v>
      </c>
      <c r="DN69" s="26">
        <f t="shared" si="166"/>
        <v>0</v>
      </c>
      <c r="DO69" s="26">
        <f t="shared" si="167"/>
        <v>0</v>
      </c>
      <c r="DP69" s="26">
        <f t="shared" si="168"/>
        <v>0</v>
      </c>
      <c r="DR69" s="26">
        <f t="shared" si="169"/>
        <v>0</v>
      </c>
      <c r="DS69" s="26">
        <f t="shared" si="170"/>
        <v>0</v>
      </c>
      <c r="DT69" s="26">
        <f t="shared" si="171"/>
        <v>5</v>
      </c>
      <c r="DU69" s="26">
        <f t="shared" si="172"/>
        <v>0</v>
      </c>
      <c r="DV69" s="26">
        <f t="shared" si="173"/>
        <v>0</v>
      </c>
      <c r="DW69" s="26">
        <f t="shared" si="174"/>
        <v>0</v>
      </c>
      <c r="DX69" s="26">
        <f t="shared" si="175"/>
        <v>0</v>
      </c>
      <c r="DY69" s="26">
        <f t="shared" si="176"/>
        <v>0</v>
      </c>
      <c r="DZ69" s="26">
        <f t="shared" si="177"/>
        <v>0</v>
      </c>
      <c r="EB69" s="26">
        <f t="shared" si="178"/>
        <v>0</v>
      </c>
      <c r="EC69" s="26">
        <f t="shared" si="179"/>
        <v>0</v>
      </c>
      <c r="ED69" s="26">
        <f t="shared" si="180"/>
        <v>5</v>
      </c>
      <c r="EE69" s="26">
        <f t="shared" si="181"/>
        <v>0</v>
      </c>
      <c r="EF69" s="26">
        <f t="shared" si="182"/>
        <v>0</v>
      </c>
      <c r="EG69" s="26">
        <f t="shared" si="183"/>
        <v>0</v>
      </c>
      <c r="EH69" s="26">
        <f t="shared" si="184"/>
        <v>0</v>
      </c>
      <c r="EI69" s="26">
        <f t="shared" si="185"/>
        <v>0</v>
      </c>
      <c r="EJ69" s="26">
        <f t="shared" si="186"/>
        <v>0</v>
      </c>
      <c r="EL69" s="26">
        <f t="shared" si="187"/>
        <v>0</v>
      </c>
      <c r="EM69" s="26">
        <f t="shared" si="188"/>
        <v>0</v>
      </c>
      <c r="EN69" s="26">
        <f t="shared" si="189"/>
        <v>0</v>
      </c>
      <c r="EO69" s="26">
        <f t="shared" si="190"/>
        <v>0</v>
      </c>
      <c r="EP69" s="26">
        <f t="shared" si="191"/>
        <v>0</v>
      </c>
      <c r="EQ69" s="26">
        <f t="shared" si="192"/>
        <v>0</v>
      </c>
      <c r="ER69" s="26">
        <f t="shared" si="193"/>
        <v>0</v>
      </c>
      <c r="ES69" s="26">
        <f t="shared" si="194"/>
        <v>0</v>
      </c>
      <c r="ET69" s="26">
        <f t="shared" si="195"/>
        <v>0</v>
      </c>
      <c r="EV69" s="26">
        <f t="shared" si="196"/>
        <v>0</v>
      </c>
      <c r="EW69" s="26">
        <f t="shared" si="197"/>
        <v>0</v>
      </c>
      <c r="EX69" s="26">
        <f t="shared" si="198"/>
        <v>0</v>
      </c>
      <c r="EY69" s="26">
        <f t="shared" si="199"/>
        <v>0</v>
      </c>
      <c r="EZ69" s="26">
        <f t="shared" si="200"/>
        <v>0</v>
      </c>
      <c r="FA69" s="26">
        <f t="shared" si="201"/>
        <v>0</v>
      </c>
      <c r="FB69" s="26">
        <f t="shared" si="202"/>
        <v>0</v>
      </c>
      <c r="FC69" s="26">
        <f t="shared" si="203"/>
        <v>0</v>
      </c>
      <c r="FD69" s="26">
        <f t="shared" si="204"/>
        <v>0</v>
      </c>
      <c r="FF69" s="26">
        <f t="shared" si="205"/>
        <v>0</v>
      </c>
      <c r="FG69" s="26">
        <f t="shared" si="206"/>
        <v>0</v>
      </c>
      <c r="FH69" s="26">
        <f t="shared" si="207"/>
        <v>0</v>
      </c>
      <c r="FI69" s="26">
        <f t="shared" si="208"/>
        <v>0</v>
      </c>
      <c r="FJ69" s="26">
        <f t="shared" si="209"/>
        <v>0</v>
      </c>
      <c r="FK69" s="26">
        <f t="shared" si="210"/>
        <v>0</v>
      </c>
      <c r="FL69" s="26">
        <f t="shared" si="211"/>
        <v>0</v>
      </c>
      <c r="FM69" s="26">
        <f t="shared" si="212"/>
        <v>0</v>
      </c>
      <c r="FN69" s="26">
        <f t="shared" si="213"/>
        <v>0</v>
      </c>
      <c r="FP69" s="26" t="e">
        <f t="shared" si="214"/>
        <v>#REF!</v>
      </c>
      <c r="FQ69" s="26" t="e">
        <f t="shared" si="215"/>
        <v>#REF!</v>
      </c>
      <c r="FR69" s="26" t="e">
        <f t="shared" si="216"/>
        <v>#REF!</v>
      </c>
      <c r="FS69" s="26" t="e">
        <f t="shared" si="217"/>
        <v>#REF!</v>
      </c>
      <c r="FT69" s="26" t="e">
        <f t="shared" si="218"/>
        <v>#REF!</v>
      </c>
      <c r="FU69" s="26" t="e">
        <f t="shared" si="219"/>
        <v>#REF!</v>
      </c>
      <c r="FV69" s="26" t="e">
        <f t="shared" si="220"/>
        <v>#REF!</v>
      </c>
      <c r="FW69" s="26" t="e">
        <f t="shared" si="221"/>
        <v>#REF!</v>
      </c>
      <c r="FX69" s="26" t="e">
        <f t="shared" si="222"/>
        <v>#REF!</v>
      </c>
      <c r="GB69" s="26" t="e">
        <f>IF(GB$2=InputTable[[#This Row],[Delivery Date]],_xlfn.XLOOKUP(GB$1,$BH$2:$BR$2,$BH69:$BR69,0),0)</f>
        <v>#REF!</v>
      </c>
      <c r="GC69" s="26">
        <f>IF(GC$2=InputTable[[#This Row],[Delivery Date]],_xlfn.XLOOKUP(GC$1,$BH$2:$BR$2,$BH69:$BR69,0),0)</f>
        <v>0</v>
      </c>
      <c r="GD69" s="26">
        <f>IF(GD$2=InputTable[[#This Row],[Delivery Date]],_xlfn.XLOOKUP(GD$1,$BH$2:$BR$2,$BH69:$BR69,0),0)</f>
        <v>8</v>
      </c>
      <c r="GE69" s="26">
        <f>IF(GE$2=InputTable[[#This Row],[Delivery Date]],_xlfn.XLOOKUP(GE$1,$BH$2:$BR$2,$BH69:$BR69,0),0)</f>
        <v>0</v>
      </c>
      <c r="GF69" s="26">
        <f>IF(GF$2=InputTable[[#This Row],[Delivery Date]],_xlfn.XLOOKUP(GF$1,$BH$2:$BR$2,$BH69:$BR69,0),0)</f>
        <v>0</v>
      </c>
      <c r="GG69" s="26">
        <f>IF(GG$2=InputTable[[#This Row],[Delivery Date]],_xlfn.XLOOKUP(GG$1,$BH$2:$BR$2,$BH69:$BR69,0),0)</f>
        <v>0</v>
      </c>
      <c r="GH69" s="26">
        <f>IF(GH$2=InputTable[[#This Row],[Delivery Date]],_xlfn.XLOOKUP(GH$1,$BH$2:$BR$2,$BH69:$BR69,0),0)</f>
        <v>0</v>
      </c>
      <c r="GI69" s="26">
        <f>IF(GI$2=InputTable[[#This Row],[Delivery Date]],_xlfn.XLOOKUP(GI$1,$BH$2:$BR$2,$BH69:$BR69,0),0)</f>
        <v>0</v>
      </c>
      <c r="GJ69" s="26">
        <f>IF(GJ$2=InputTable[[#This Row],[Delivery Date]],_xlfn.XLOOKUP(GJ$1,$BH$2:$BR$2,$BH69:$BR69,0),0)</f>
        <v>0</v>
      </c>
      <c r="GL69" s="26" t="e">
        <f>IF(GL$2=InputTable[[#This Row],[Delivery Date]],_xlfn.XLOOKUP(GL$1,$BH$2:$BR$2,$BH69:$BR69,0),0)</f>
        <v>#REF!</v>
      </c>
      <c r="GM69" s="26">
        <f>IF(GM$2=InputTable[[#This Row],[Delivery Date]],_xlfn.XLOOKUP(GM$1,$BH$2:$BR$2,$BH69:$BR69,0),0)</f>
        <v>0</v>
      </c>
      <c r="GN69" s="26">
        <f>IF(GN$2=InputTable[[#This Row],[Delivery Date]],_xlfn.XLOOKUP(GN$1,$BH$2:$BR$2,$BH69:$BR69,0),0)</f>
        <v>0</v>
      </c>
      <c r="GO69" s="26">
        <f>IF(GO$2=InputTable[[#This Row],[Delivery Date]],_xlfn.XLOOKUP(GO$1,$BH$2:$BR$2,$BH69:$BR69,0),0)</f>
        <v>0</v>
      </c>
      <c r="GP69" s="26">
        <f>IF(GP$2=InputTable[[#This Row],[Delivery Date]],_xlfn.XLOOKUP(GP$1,$BH$2:$BR$2,$BH69:$BR69,0),0)</f>
        <v>0</v>
      </c>
      <c r="GQ69" s="26">
        <f>IF(GQ$2=InputTable[[#This Row],[Delivery Date]],_xlfn.XLOOKUP(GQ$1,$BH$2:$BR$2,$BH69:$BR69,0),0)</f>
        <v>0</v>
      </c>
      <c r="GR69" s="26">
        <f>IF(GR$2=InputTable[[#This Row],[Delivery Date]],_xlfn.XLOOKUP(GR$1,$BH$2:$BR$2,$BH69:$BR69,0),0)</f>
        <v>0</v>
      </c>
      <c r="GS69" s="26">
        <f>IF(GS$2=InputTable[[#This Row],[Delivery Date]],_xlfn.XLOOKUP(GS$1,$BH$2:$BR$2,$BH69:$BR69,0),0)</f>
        <v>0</v>
      </c>
      <c r="GT69" s="26">
        <f>IF(GT$2=InputTable[[#This Row],[Delivery Date]],_xlfn.XLOOKUP(GT$1,$BH$2:$BR$2,$BH69:$BR69,0),0)</f>
        <v>0</v>
      </c>
      <c r="GV69" s="26" t="e">
        <f>IF(GV$2=InputTable[[#This Row],[Delivery Date]],_xlfn.XLOOKUP(GV$1,$BH$2:$BR$2,$BH69:$BR69,0),0)</f>
        <v>#REF!</v>
      </c>
      <c r="GW69" s="26">
        <f>IF(GW$2=InputTable[[#This Row],[Delivery Date]],_xlfn.XLOOKUP(GW$1,$BH$2:$BR$2,$BH69:$BR69,0),0)</f>
        <v>0</v>
      </c>
      <c r="GX69" s="26">
        <f>IF(GX$2=InputTable[[#This Row],[Delivery Date]],_xlfn.XLOOKUP(GX$1,$BH$2:$BR$2,$BH69:$BR69,0),0)</f>
        <v>0</v>
      </c>
      <c r="GY69" s="26">
        <f>IF(GY$2=InputTable[[#This Row],[Delivery Date]],_xlfn.XLOOKUP(GY$1,$BH$2:$BR$2,$BH69:$BR69,0),0)</f>
        <v>0</v>
      </c>
      <c r="GZ69" s="26">
        <f>IF(GZ$2=InputTable[[#This Row],[Delivery Date]],_xlfn.XLOOKUP(GZ$1,$BH$2:$BR$2,$BH69:$BR69,0),0)</f>
        <v>0</v>
      </c>
      <c r="HA69" s="26">
        <f>IF(HA$2=InputTable[[#This Row],[Delivery Date]],_xlfn.XLOOKUP(HA$1,$BH$2:$BR$2,$BH69:$BR69,0),0)</f>
        <v>0</v>
      </c>
      <c r="HB69" s="26">
        <f>IF(HB$2=InputTable[[#This Row],[Delivery Date]],_xlfn.XLOOKUP(HB$1,$BH$2:$BR$2,$BH69:$BR69,0),0)</f>
        <v>0</v>
      </c>
      <c r="HC69" s="26">
        <f>IF(HC$2=InputTable[[#This Row],[Delivery Date]],_xlfn.XLOOKUP(HC$1,$BH$2:$BR$2,$BH69:$BR69,0),0)</f>
        <v>0</v>
      </c>
      <c r="HD69" s="26">
        <f>IF(HD$2=InputTable[[#This Row],[Delivery Date]],_xlfn.XLOOKUP(HD$1,$BH$2:$BR$2,$BH69:$BR69,0),0)</f>
        <v>0</v>
      </c>
      <c r="HF69" s="26" t="e">
        <f>IF(HF$2=InputTable[[#This Row],[Delivery Date]],_xlfn.XLOOKUP(HF$1,$BH$2:$BR$2,$BH69:$BR69,0),0)</f>
        <v>#REF!</v>
      </c>
      <c r="HG69" s="26">
        <f>IF(HG$2=InputTable[[#This Row],[Delivery Date]],_xlfn.XLOOKUP(HG$1,$BH$2:$BR$2,$BH69:$BR69,0),0)</f>
        <v>0</v>
      </c>
      <c r="HH69" s="26">
        <f>IF(HH$2=InputTable[[#This Row],[Delivery Date]],_xlfn.XLOOKUP(HH$1,$BH$2:$BR$2,$BH69:$BR69,0),0)</f>
        <v>0</v>
      </c>
      <c r="HI69" s="26">
        <f>IF(HI$2=InputTable[[#This Row],[Delivery Date]],_xlfn.XLOOKUP(HI$1,$BH$2:$BR$2,$BH69:$BR69,0),0)</f>
        <v>0</v>
      </c>
      <c r="HJ69" s="26">
        <f>IF(HJ$2=InputTable[[#This Row],[Delivery Date]],_xlfn.XLOOKUP(HJ$1,$BH$2:$BR$2,$BH69:$BR69,0),0)</f>
        <v>0</v>
      </c>
      <c r="HK69" s="26">
        <f>IF(HK$2=InputTable[[#This Row],[Delivery Date]],_xlfn.XLOOKUP(HK$1,$BH$2:$BR$2,$BH69:$BR69,0),0)</f>
        <v>0</v>
      </c>
      <c r="HL69" s="26">
        <f>IF(HL$2=InputTable[[#This Row],[Delivery Date]],_xlfn.XLOOKUP(HL$1,$BH$2:$BR$2,$BH69:$BR69,0),0)</f>
        <v>0</v>
      </c>
      <c r="HM69" s="26">
        <f>IF(HM$2=InputTable[[#This Row],[Delivery Date]],_xlfn.XLOOKUP(HM$1,$BH$2:$BR$2,$BH69:$BR69,0),0)</f>
        <v>0</v>
      </c>
      <c r="HN69" s="26">
        <f>IF(HN$2=InputTable[[#This Row],[Delivery Date]],_xlfn.XLOOKUP(HN$1,$BH$2:$BR$2,$BH69:$BR69,0),0)</f>
        <v>0</v>
      </c>
      <c r="HP69" s="26" t="e">
        <f>IF(HP$2=InputTable[[#This Row],[Delivery Date]],_xlfn.XLOOKUP(HP$1,$BH$2:$BR$2,$BH69:$BR69,0),0)</f>
        <v>#REF!</v>
      </c>
      <c r="HQ69" s="26">
        <f>IF(HQ$2=InputTable[[#This Row],[Delivery Date]],_xlfn.XLOOKUP(HQ$1,$BH$2:$BR$2,$BH69:$BR69,0),0)</f>
        <v>0</v>
      </c>
      <c r="HR69" s="26">
        <f>IF(HR$2=InputTable[[#This Row],[Delivery Date]],_xlfn.XLOOKUP(HR$1,$BH$2:$BR$2,$BH69:$BR69,0),0)</f>
        <v>0</v>
      </c>
      <c r="HS69" s="26">
        <f>IF(HS$2=InputTable[[#This Row],[Delivery Date]],_xlfn.XLOOKUP(HS$1,$BH$2:$BR$2,$BH69:$BR69,0),0)</f>
        <v>0</v>
      </c>
      <c r="HT69" s="26">
        <f>IF(HT$2=InputTable[[#This Row],[Delivery Date]],_xlfn.XLOOKUP(HT$1,$BH$2:$BR$2,$BH69:$BR69,0),0)</f>
        <v>0</v>
      </c>
      <c r="HU69" s="26">
        <f>IF(HU$2=InputTable[[#This Row],[Delivery Date]],_xlfn.XLOOKUP(HU$1,$BH$2:$BR$2,$BH69:$BR69,0),0)</f>
        <v>0</v>
      </c>
      <c r="HV69" s="26">
        <f>IF(HV$2=InputTable[[#This Row],[Delivery Date]],_xlfn.XLOOKUP(HV$1,$BH$2:$BR$2,$BH69:$BR69,0),0)</f>
        <v>0</v>
      </c>
      <c r="HW69" s="26">
        <f>IF(HW$2=InputTable[[#This Row],[Delivery Date]],_xlfn.XLOOKUP(HW$1,$BH$2:$BR$2,$BH69:$BR69,0),0)</f>
        <v>0</v>
      </c>
      <c r="HX69" s="26">
        <f>IF(HX$2=InputTable[[#This Row],[Delivery Date]],_xlfn.XLOOKUP(HX$1,$BH$2:$BR$2,$BH69:$BR69,0),0)</f>
        <v>0</v>
      </c>
      <c r="HZ69" s="26" t="e">
        <f>IF(HZ$2=InputTable[[#This Row],[Delivery Date]],_xlfn.XLOOKUP(HZ$1,$BH$2:$BR$2,$BH69:$BR69,0),0)</f>
        <v>#REF!</v>
      </c>
      <c r="IA69" s="26">
        <f>IF(IA$2=InputTable[[#This Row],[Delivery Date]],_xlfn.XLOOKUP(IA$1,$BH$2:$BR$2,$BH69:$BR69,0),0)</f>
        <v>0</v>
      </c>
      <c r="IB69" s="26">
        <f>IF(IB$2=InputTable[[#This Row],[Delivery Date]],_xlfn.XLOOKUP(IB$1,$BH$2:$BR$2,$BH69:$BR69,0),0)</f>
        <v>0</v>
      </c>
      <c r="IC69" s="26">
        <f>IF(IC$2=InputTable[[#This Row],[Delivery Date]],_xlfn.XLOOKUP(IC$1,$BH$2:$BR$2,$BH69:$BR69,0),0)</f>
        <v>0</v>
      </c>
      <c r="ID69" s="26">
        <f>IF(ID$2=InputTable[[#This Row],[Delivery Date]],_xlfn.XLOOKUP(ID$1,$BH$2:$BR$2,$BH69:$BR69,0),0)</f>
        <v>0</v>
      </c>
      <c r="IE69" s="26">
        <f>IF(IE$2=InputTable[[#This Row],[Delivery Date]],_xlfn.XLOOKUP(IE$1,$BH$2:$BR$2,$BH69:$BR69,0),0)</f>
        <v>0</v>
      </c>
      <c r="IF69" s="26">
        <f>IF(IF$2=InputTable[[#This Row],[Delivery Date]],_xlfn.XLOOKUP(IF$1,$BH$2:$BR$2,$BH69:$BR69,0),0)</f>
        <v>0</v>
      </c>
      <c r="IG69" s="26">
        <f>IF(IG$2=InputTable[[#This Row],[Delivery Date]],_xlfn.XLOOKUP(IG$1,$BH$2:$BR$2,$BH69:$BR69,0),0)</f>
        <v>0</v>
      </c>
      <c r="IH69" s="26">
        <f>IF(IH$2=InputTable[[#This Row],[Delivery Date]],_xlfn.XLOOKUP(IH$1,$BH$2:$BR$2,$BH69:$BR69,0),0)</f>
        <v>0</v>
      </c>
      <c r="IJ69" s="26" t="e">
        <f>IF(IJ$2=InputTable[[#This Row],[Delivery Date]],_xlfn.XLOOKUP(IJ$1,$BH$2:$BR$2,$BH69:$BR69,0),0)</f>
        <v>#REF!</v>
      </c>
      <c r="IK69" s="26">
        <f>IF(IK$2=InputTable[[#This Row],[Delivery Date]],_xlfn.XLOOKUP(IK$1,$BH$2:$BR$2,$BH69:$BR69,0),0)</f>
        <v>0</v>
      </c>
      <c r="IL69" s="26">
        <f>IF(IL$2=InputTable[[#This Row],[Delivery Date]],_xlfn.XLOOKUP(IL$1,$BH$2:$BR$2,$BH69:$BR69,0),0)</f>
        <v>0</v>
      </c>
      <c r="IM69" s="26">
        <f>IF(IM$2=InputTable[[#This Row],[Delivery Date]],_xlfn.XLOOKUP(IM$1,$BH$2:$BR$2,$BH69:$BR69,0),0)</f>
        <v>0</v>
      </c>
      <c r="IN69" s="26">
        <f>IF(IN$2=InputTable[[#This Row],[Delivery Date]],_xlfn.XLOOKUP(IN$1,$BH$2:$BR$2,$BH69:$BR69,0),0)</f>
        <v>0</v>
      </c>
      <c r="IO69" s="26">
        <f>IF(IO$2=InputTable[[#This Row],[Delivery Date]],_xlfn.XLOOKUP(IO$1,$BH$2:$BR$2,$BH69:$BR69,0),0)</f>
        <v>0</v>
      </c>
      <c r="IP69" s="26">
        <f>IF(IP$2=InputTable[[#This Row],[Delivery Date]],_xlfn.XLOOKUP(IP$1,$BH$2:$BR$2,$BH69:$BR69,0),0)</f>
        <v>0</v>
      </c>
      <c r="IQ69" s="26">
        <f>IF(IQ$2=InputTable[[#This Row],[Delivery Date]],_xlfn.XLOOKUP(IQ$1,$BH$2:$BR$2,$BH69:$BR69,0),0)</f>
        <v>0</v>
      </c>
      <c r="IR69" s="26">
        <f>IF(IR$2=InputTable[[#This Row],[Delivery Date]],_xlfn.XLOOKUP(IR$1,$BH$2:$BR$2,$BH69:$BR69,0),0)</f>
        <v>0</v>
      </c>
      <c r="IT69" s="26" t="e">
        <f>IF(IT$2=InputTable[[#This Row],[Delivery Date]],_xlfn.XLOOKUP(IT$1,$BH$2:$BR$2,$BH69:$BR69,0),0)</f>
        <v>#REF!</v>
      </c>
      <c r="IU69" s="26">
        <f>IF(IU$2=InputTable[[#This Row],[Delivery Date]],_xlfn.XLOOKUP(IU$1,$BH$2:$BR$2,$BH69:$BR69,0),0)</f>
        <v>0</v>
      </c>
      <c r="IV69" s="26">
        <f>IF(IV$2=InputTable[[#This Row],[Delivery Date]],_xlfn.XLOOKUP(IV$1,$BH$2:$BR$2,$BH69:$BR69,0),0)</f>
        <v>0</v>
      </c>
      <c r="IW69" s="26">
        <f>IF(IW$2=InputTable[[#This Row],[Delivery Date]],_xlfn.XLOOKUP(IW$1,$BH$2:$BR$2,$BH69:$BR69,0),0)</f>
        <v>0</v>
      </c>
      <c r="IX69" s="26">
        <f>IF(IX$2=InputTable[[#This Row],[Delivery Date]],_xlfn.XLOOKUP(IX$1,$BH$2:$BR$2,$BH69:$BR69,0),0)</f>
        <v>0</v>
      </c>
      <c r="IY69" s="26">
        <f>IF(IY$2=InputTable[[#This Row],[Delivery Date]],_xlfn.XLOOKUP(IY$1,$BH$2:$BR$2,$BH69:$BR69,0),0)</f>
        <v>0</v>
      </c>
      <c r="IZ69" s="26">
        <f>IF(IZ$2=InputTable[[#This Row],[Delivery Date]],_xlfn.XLOOKUP(IZ$1,$BH$2:$BR$2,$BH69:$BR69,0),0)</f>
        <v>0</v>
      </c>
      <c r="JA69" s="26">
        <f>IF(JA$2=InputTable[[#This Row],[Delivery Date]],_xlfn.XLOOKUP(JA$1,$BH$2:$BR$2,$BH69:$BR69,0),0)</f>
        <v>0</v>
      </c>
      <c r="JB69" s="26">
        <f>IF(JB$2=InputTable[[#This Row],[Delivery Date]],_xlfn.XLOOKUP(JB$1,$BH$2:$BR$2,$BH69:$BR69,0),0)</f>
        <v>0</v>
      </c>
      <c r="JD69" s="26" t="e">
        <f>IF(JD$2=InputTable[[#This Row],[Delivery Date]],_xlfn.XLOOKUP(JD$1,$BH$2:$BR$2,$BH69:$BR69,0),0)</f>
        <v>#REF!</v>
      </c>
      <c r="JE69" s="26">
        <f>IF(JE$2=InputTable[[#This Row],[Delivery Date]],_xlfn.XLOOKUP(JE$1,$BH$2:$BR$2,$BH69:$BR69,0),0)</f>
        <v>0</v>
      </c>
      <c r="JF69" s="26">
        <f>IF(JF$2=InputTable[[#This Row],[Delivery Date]],_xlfn.XLOOKUP(JF$1,$BH$2:$BR$2,$BH69:$BR69,0),0)</f>
        <v>0</v>
      </c>
      <c r="JG69" s="26">
        <f>IF(JG$2=InputTable[[#This Row],[Delivery Date]],_xlfn.XLOOKUP(JG$1,$BH$2:$BR$2,$BH69:$BR69,0),0)</f>
        <v>0</v>
      </c>
      <c r="JH69" s="26">
        <f>IF(JH$2=InputTable[[#This Row],[Delivery Date]],_xlfn.XLOOKUP(JH$1,$BH$2:$BR$2,$BH69:$BR69,0),0)</f>
        <v>0</v>
      </c>
      <c r="JI69" s="26">
        <f>IF(JI$2=InputTable[[#This Row],[Delivery Date]],_xlfn.XLOOKUP(JI$1,$BH$2:$BR$2,$BH69:$BR69,0),0)</f>
        <v>0</v>
      </c>
      <c r="JJ69" s="26">
        <f>IF(JJ$2=InputTable[[#This Row],[Delivery Date]],_xlfn.XLOOKUP(JJ$1,$BH$2:$BR$2,$BH69:$BR69,0),0)</f>
        <v>0</v>
      </c>
      <c r="JK69" s="26">
        <f>IF(JK$2=InputTable[[#This Row],[Delivery Date]],_xlfn.XLOOKUP(JK$1,$BH$2:$BR$2,$BH69:$BR69,0),0)</f>
        <v>0</v>
      </c>
      <c r="JL69" s="26">
        <f>IF(JL$2=InputTable[[#This Row],[Delivery Date]],_xlfn.XLOOKUP(JL$1,$BH$2:$BR$2,$BH69:$BR69,0),0)</f>
        <v>0</v>
      </c>
      <c r="JN69" s="26" t="e">
        <f>IF(JN$2=InputTable[[#This Row],[Delivery Date]],_xlfn.XLOOKUP(JN$1,$BH$2:$BR$2,$BH69:$BR69,0),0)</f>
        <v>#REF!</v>
      </c>
      <c r="JO69" s="26">
        <f>IF(JO$2=InputTable[[#This Row],[Delivery Date]],_xlfn.XLOOKUP(JO$1,$BH$2:$BR$2,$BH69:$BR69,0),0)</f>
        <v>0</v>
      </c>
      <c r="JP69" s="26">
        <f>IF(JP$2=InputTable[[#This Row],[Delivery Date]],_xlfn.XLOOKUP(JP$1,$BH$2:$BR$2,$BH69:$BR69,0),0)</f>
        <v>0</v>
      </c>
      <c r="JQ69" s="26">
        <f>IF(JQ$2=InputTable[[#This Row],[Delivery Date]],_xlfn.XLOOKUP(JQ$1,$BH$2:$BR$2,$BH69:$BR69,0),0)</f>
        <v>0</v>
      </c>
      <c r="JR69" s="26">
        <f>IF(JR$2=InputTable[[#This Row],[Delivery Date]],_xlfn.XLOOKUP(JR$1,$BH$2:$BR$2,$BH69:$BR69,0),0)</f>
        <v>0</v>
      </c>
      <c r="JS69" s="26">
        <f>IF(JS$2=InputTable[[#This Row],[Delivery Date]],_xlfn.XLOOKUP(JS$1,$BH$2:$BR$2,$BH69:$BR69,0),0)</f>
        <v>0</v>
      </c>
      <c r="JT69" s="26">
        <f>IF(JT$2=InputTable[[#This Row],[Delivery Date]],_xlfn.XLOOKUP(JT$1,$BH$2:$BR$2,$BH69:$BR69,0),0)</f>
        <v>0</v>
      </c>
      <c r="JU69" s="26">
        <f>IF(JU$2=InputTable[[#This Row],[Delivery Date]],_xlfn.XLOOKUP(JU$1,$BH$2:$BR$2,$BH69:$BR69,0),0)</f>
        <v>0</v>
      </c>
      <c r="JV69" s="26">
        <f>IF(JV$2=InputTable[[#This Row],[Delivery Date]],_xlfn.XLOOKUP(JV$1,$BH$2:$BR$2,$BH69:$BR69,0),0)</f>
        <v>0</v>
      </c>
      <c r="JX69" s="26" t="e">
        <f>IF(JX$2=InputTable[[#This Row],[Delivery Date]],_xlfn.XLOOKUP(JX$1,$BH$2:$BR$2,$BH69:$BR69,0),0)</f>
        <v>#REF!</v>
      </c>
      <c r="JY69" s="26">
        <f>IF(JY$2=InputTable[[#This Row],[Delivery Date]],_xlfn.XLOOKUP(JY$1,$BH$2:$BR$2,$BH69:$BR69,0),0)</f>
        <v>0</v>
      </c>
      <c r="JZ69" s="26">
        <f>IF(JZ$2=InputTable[[#This Row],[Delivery Date]],_xlfn.XLOOKUP(JZ$1,$BH$2:$BR$2,$BH69:$BR69,0),0)</f>
        <v>0</v>
      </c>
      <c r="KA69" s="26">
        <f>IF(KA$2=InputTable[[#This Row],[Delivery Date]],_xlfn.XLOOKUP(KA$1,$BH$2:$BR$2,$BH69:$BR69,0),0)</f>
        <v>0</v>
      </c>
      <c r="KB69" s="26">
        <f>IF(KB$2=InputTable[[#This Row],[Delivery Date]],_xlfn.XLOOKUP(KB$1,$BH$2:$BR$2,$BH69:$BR69,0),0)</f>
        <v>0</v>
      </c>
      <c r="KC69" s="26">
        <f>IF(KC$2=InputTable[[#This Row],[Delivery Date]],_xlfn.XLOOKUP(KC$1,$BH$2:$BR$2,$BH69:$BR69,0),0)</f>
        <v>0</v>
      </c>
      <c r="KD69" s="26">
        <f>IF(KD$2=InputTable[[#This Row],[Delivery Date]],_xlfn.XLOOKUP(KD$1,$BH$2:$BR$2,$BH69:$BR69,0),0)</f>
        <v>0</v>
      </c>
      <c r="KE69" s="26">
        <f>IF(KE$2=InputTable[[#This Row],[Delivery Date]],_xlfn.XLOOKUP(KE$1,$BH$2:$BR$2,$BH69:$BR69,0),0)</f>
        <v>0</v>
      </c>
      <c r="KF69" s="26">
        <f>IF(KF$2=InputTable[[#This Row],[Delivery Date]],_xlfn.XLOOKUP(KF$1,$BH$2:$BR$2,$BH69:$BR69,0),0)</f>
        <v>0</v>
      </c>
    </row>
    <row r="70" spans="1:292" ht="39.6" customHeight="1" x14ac:dyDescent="0.25">
      <c r="A70" s="125"/>
      <c r="B70" s="141" t="s">
        <v>104</v>
      </c>
      <c r="C70" s="92" t="s">
        <v>59</v>
      </c>
      <c r="D70" s="125" t="s">
        <v>324</v>
      </c>
      <c r="E70" s="193" t="s">
        <v>325</v>
      </c>
      <c r="F70" s="92" t="s">
        <v>96</v>
      </c>
      <c r="G70" s="92">
        <v>2026</v>
      </c>
      <c r="H70" s="92"/>
      <c r="I70" s="92">
        <v>2026</v>
      </c>
      <c r="J70" s="125"/>
      <c r="K70" s="95" t="str">
        <f>VLOOKUP((InputTable[[#This Row],[Starting Date]]&amp; " - " &amp;InputTable[[#This Row],[Delivery Date]]),'System List'!$F$40:$H$83,2,FALSE)</f>
        <v>1 to 2 years</v>
      </c>
      <c r="L70" s="95">
        <f>VLOOKUP(InputTable[[#This Row],[Duration]],Duration,2,FALSE)</f>
        <v>8</v>
      </c>
      <c r="M70" s="193"/>
      <c r="N70" s="92"/>
      <c r="O70" s="92"/>
      <c r="P70" s="92"/>
      <c r="Q70" s="92"/>
      <c r="R70" s="92" t="s">
        <v>139</v>
      </c>
      <c r="S70" s="92"/>
      <c r="T70" s="95" cm="1">
        <f t="array" ref="T7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</v>
      </c>
      <c r="U70" s="138"/>
      <c r="V70" s="92"/>
      <c r="W70" s="92"/>
      <c r="X70" s="92"/>
      <c r="Y70" s="92"/>
      <c r="Z70" s="92"/>
      <c r="AA70" s="92"/>
      <c r="AB70" s="92"/>
      <c r="AC70" s="92"/>
      <c r="AD70" s="92">
        <f>COUNTA(InputTable[[#This Row],[CORPHRFIN]:[SALES]])</f>
        <v>0</v>
      </c>
      <c r="AE70" s="88" cm="1">
        <f t="array" ref="AE70">SUM(
_xlfn.XLOOKUP(InputTable[[#This Row],[CORPHRFIN]:[SALES]],'System List'!$F$4:$F$7,'System List'!$H$4:$H$7,0))</f>
        <v>0</v>
      </c>
      <c r="AF70" s="140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88" cm="1">
        <f t="array" ref="AR70">SUM(
_xlfn.XLOOKUP(InputTable[[#This Row],[Impact on - CIAL]:[Impact on - STRAT]],'System List'!$F$4:$F$7,'System List'!$H$4:$H$7,0))</f>
        <v>0</v>
      </c>
      <c r="AS70" s="88">
        <f>VLOOKUP(InputTable[[#This Row],[Duration]],Duration,2,FALSE)+InputTable[[#This Row],[Resource Score]]</f>
        <v>8</v>
      </c>
      <c r="AT7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0" s="24">
        <f>InputTable[[#This Row],[Value Score]]/InputTable[[#This Row],[EFFORT SCORE]]*100</f>
        <v>30</v>
      </c>
      <c r="AV70" s="25"/>
      <c r="AW70" s="25" t="s">
        <v>128</v>
      </c>
      <c r="AX70" s="208"/>
      <c r="AY70" s="25"/>
      <c r="AZ70" s="209"/>
      <c r="BA70" s="209"/>
      <c r="BB70" s="209"/>
      <c r="BC70" s="189"/>
      <c r="BD70" s="188"/>
      <c r="BE70" s="188"/>
      <c r="BF70" s="70"/>
      <c r="BH70" s="2">
        <f>IFERROR(VLOOKUP(InputTable[[#This Row],[Impact on - CIAL]],'System List'!$F$4:$H$7,3,FALSE),0)</f>
        <v>0</v>
      </c>
      <c r="BI70" s="2">
        <f>IFERROR(VLOOKUP(InputTable[[#This Row],[Impact on - COM]],'System List'!$F$4:$H$7,3,FALSE),0)</f>
        <v>0</v>
      </c>
      <c r="BJ70" s="2">
        <f>IFERROR(VLOOKUP(InputTable[[#This Row],[Impact on - FIN]],'System List'!$F$4:$H$7,3,FALSE),0)</f>
        <v>0</v>
      </c>
      <c r="BK70" s="2">
        <f>IFERROR(VLOOKUP(InputTable[[#This Row],[Impact on - GEN SEC]],'System List'!$F$4:$H$7,3,FALSE),0)</f>
        <v>0</v>
      </c>
      <c r="BL70" s="2">
        <f>IFERROR(VLOOKUP(InputTable[[#This Row],[Impact on - HR]],'System List'!$F$4:$H$7,3,FALSE),0)</f>
        <v>0</v>
      </c>
      <c r="BM70" s="2">
        <f>IFERROR(VLOOKUP(InputTable[[#This Row],[Impact on - IS]],'System List'!$F$4:$H$7,3,FALSE),0)</f>
        <v>0</v>
      </c>
      <c r="BN70" s="2">
        <f>IFERROR(VLOOKUP(InputTable[[#This Row],[Impact on - OPS]],'System List'!$F$4:$H$7,3,FALSE),0)</f>
        <v>0</v>
      </c>
      <c r="BO70" s="2">
        <f>IFERROR(VLOOKUP(InputTable[[#This Row],[Impact on - ROLL STOCK]],'System List'!$F$4:$H$7,3,FALSE),0)</f>
        <v>0</v>
      </c>
      <c r="BP70" s="2">
        <f>IFERROR(VLOOKUP(InputTable[[#This Row],[Impact on - SAFETY]],'System List'!$F$4:$H$7,3,FALSE),0)</f>
        <v>0</v>
      </c>
      <c r="BQ70" s="2">
        <f>IFERROR(VLOOKUP(InputTable[[#This Row],[Impact on - STATION]],'System List'!$F$4:$H$7,3,FALSE),0)</f>
        <v>0</v>
      </c>
      <c r="BR70" s="2">
        <f>IFERROR(VLOOKUP(InputTable[[#This Row],[Impact on - STRAT]],'System List'!$F$4:$H$7,3,FALSE),0)</f>
        <v>0</v>
      </c>
      <c r="BT70" s="2">
        <f>IFERROR(VLOOKUP(InputTable[[#This Row],[CORPHRFIN]],'System List'!$F$4:$H$7,3,FALSE),0)</f>
        <v>0</v>
      </c>
      <c r="BU70" s="2">
        <f>IFERROR(VLOOKUP(InputTable[[#This Row],[CUST]],'System List'!$F$4:$H$7,3,FALSE),0)</f>
        <v>0</v>
      </c>
      <c r="BV70" s="2">
        <f>IFERROR(VLOOKUP(InputTable[[#This Row],[CYBER]],'System List'!$F$4:$H$7,3,FALSE),0)</f>
        <v>0</v>
      </c>
      <c r="BW70" s="2">
        <f>IFERROR(VLOOKUP(InputTable[[#This Row],[DATA]],'System List'!$F$4:$H$7,3,FALSE),0)</f>
        <v>0</v>
      </c>
      <c r="BX70" s="2">
        <f>IFERROR(VLOOKUP(InputTable[[#This Row],[INFRA]],'System List'!$F$4:$H$7,3,FALSE),0)</f>
        <v>0</v>
      </c>
      <c r="BY70" s="2">
        <f>IFERROR(VLOOKUP(InputTable[[#This Row],[OPERATIONS]],'System List'!$F$4:$H$7,3,FALSE),0)</f>
        <v>0</v>
      </c>
      <c r="BZ70" s="2">
        <f>IFERROR(VLOOKUP(InputTable[[#This Row],[PMO]],'System List'!$F$4:$H$7,3,FALSE),0)</f>
        <v>0</v>
      </c>
      <c r="CA70" s="2">
        <f>IFERROR(VLOOKUP(InputTable[[#This Row],[SALES]],'System List'!$F$4:$H$7,3,FALSE),0)</f>
        <v>0</v>
      </c>
      <c r="CC70" s="2" cm="1">
        <f t="array" ref="CC7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0" s="2" cm="1">
        <f t="array" ref="CD7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0" s="2" cm="1">
        <f t="array" ref="CE7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0" s="2" cm="1">
        <f t="array" ref="CF7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0" s="2" cm="1">
        <f t="array" ref="CG7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0" s="2" cm="1">
        <f t="array" ref="CH7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0" s="2" cm="1">
        <f t="array" ref="CI7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0" s="2" cm="1">
        <f t="array" ref="CJ7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0" s="2" cm="1">
        <f t="array" ref="CK7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7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7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7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0" s="26">
        <f t="shared" si="151"/>
        <v>0</v>
      </c>
      <c r="CY70" s="26">
        <f t="shared" si="152"/>
        <v>0</v>
      </c>
      <c r="CZ70" s="26">
        <f t="shared" si="153"/>
        <v>0</v>
      </c>
      <c r="DA70" s="26">
        <f t="shared" si="154"/>
        <v>0</v>
      </c>
      <c r="DB70" s="26">
        <f t="shared" si="155"/>
        <v>0</v>
      </c>
      <c r="DC70" s="26">
        <f t="shared" si="156"/>
        <v>0</v>
      </c>
      <c r="DD70" s="26">
        <f t="shared" si="157"/>
        <v>0</v>
      </c>
      <c r="DE70" s="26">
        <f t="shared" si="158"/>
        <v>0</v>
      </c>
      <c r="DF70" s="26">
        <f t="shared" si="159"/>
        <v>0</v>
      </c>
      <c r="DH70" s="26">
        <f t="shared" si="160"/>
        <v>0</v>
      </c>
      <c r="DI70" s="26">
        <f t="shared" si="161"/>
        <v>0</v>
      </c>
      <c r="DJ70" s="26">
        <f t="shared" si="162"/>
        <v>0</v>
      </c>
      <c r="DK70" s="26">
        <f t="shared" si="163"/>
        <v>0</v>
      </c>
      <c r="DL70" s="26">
        <f t="shared" si="164"/>
        <v>0</v>
      </c>
      <c r="DM70" s="26">
        <f t="shared" si="165"/>
        <v>0</v>
      </c>
      <c r="DN70" s="26">
        <f t="shared" si="166"/>
        <v>0</v>
      </c>
      <c r="DO70" s="26">
        <f t="shared" si="167"/>
        <v>0</v>
      </c>
      <c r="DP70" s="26">
        <f t="shared" si="168"/>
        <v>0</v>
      </c>
      <c r="DR70" s="26">
        <f t="shared" si="169"/>
        <v>0</v>
      </c>
      <c r="DS70" s="26">
        <f t="shared" si="170"/>
        <v>0</v>
      </c>
      <c r="DT70" s="26">
        <f t="shared" si="171"/>
        <v>0</v>
      </c>
      <c r="DU70" s="26">
        <f t="shared" si="172"/>
        <v>0</v>
      </c>
      <c r="DV70" s="26">
        <f t="shared" si="173"/>
        <v>0</v>
      </c>
      <c r="DW70" s="26">
        <f t="shared" si="174"/>
        <v>0</v>
      </c>
      <c r="DX70" s="26">
        <f t="shared" si="175"/>
        <v>0</v>
      </c>
      <c r="DY70" s="26">
        <f t="shared" si="176"/>
        <v>0</v>
      </c>
      <c r="DZ70" s="26">
        <f t="shared" si="177"/>
        <v>0</v>
      </c>
      <c r="EB70" s="26">
        <f t="shared" si="178"/>
        <v>0</v>
      </c>
      <c r="EC70" s="26">
        <f t="shared" si="179"/>
        <v>0</v>
      </c>
      <c r="ED70" s="26">
        <f t="shared" si="180"/>
        <v>0</v>
      </c>
      <c r="EE70" s="26">
        <f t="shared" si="181"/>
        <v>0</v>
      </c>
      <c r="EF70" s="26">
        <f t="shared" si="182"/>
        <v>0</v>
      </c>
      <c r="EG70" s="26">
        <f t="shared" si="183"/>
        <v>0</v>
      </c>
      <c r="EH70" s="26">
        <f t="shared" si="184"/>
        <v>0</v>
      </c>
      <c r="EI70" s="26">
        <f t="shared" si="185"/>
        <v>0</v>
      </c>
      <c r="EJ70" s="26">
        <f t="shared" si="186"/>
        <v>0</v>
      </c>
      <c r="EL70" s="26">
        <f t="shared" si="187"/>
        <v>0</v>
      </c>
      <c r="EM70" s="26">
        <f t="shared" si="188"/>
        <v>0</v>
      </c>
      <c r="EN70" s="26">
        <f t="shared" si="189"/>
        <v>0</v>
      </c>
      <c r="EO70" s="26">
        <f t="shared" si="190"/>
        <v>0</v>
      </c>
      <c r="EP70" s="26">
        <f t="shared" si="191"/>
        <v>0</v>
      </c>
      <c r="EQ70" s="26">
        <f t="shared" si="192"/>
        <v>0</v>
      </c>
      <c r="ER70" s="26">
        <f t="shared" si="193"/>
        <v>0</v>
      </c>
      <c r="ES70" s="26">
        <f t="shared" si="194"/>
        <v>0</v>
      </c>
      <c r="ET70" s="26">
        <f t="shared" si="195"/>
        <v>0</v>
      </c>
      <c r="EV70" s="26">
        <f t="shared" si="196"/>
        <v>0</v>
      </c>
      <c r="EW70" s="26">
        <f t="shared" si="197"/>
        <v>0</v>
      </c>
      <c r="EX70" s="26">
        <f t="shared" si="198"/>
        <v>0</v>
      </c>
      <c r="EY70" s="26">
        <f t="shared" si="199"/>
        <v>0</v>
      </c>
      <c r="EZ70" s="26">
        <f t="shared" si="200"/>
        <v>0</v>
      </c>
      <c r="FA70" s="26">
        <f t="shared" si="201"/>
        <v>0</v>
      </c>
      <c r="FB70" s="26">
        <f t="shared" si="202"/>
        <v>0</v>
      </c>
      <c r="FC70" s="26">
        <f t="shared" si="203"/>
        <v>0</v>
      </c>
      <c r="FD70" s="26">
        <f t="shared" si="204"/>
        <v>0</v>
      </c>
      <c r="FF70" s="26">
        <f t="shared" si="205"/>
        <v>0</v>
      </c>
      <c r="FG70" s="26">
        <f t="shared" si="206"/>
        <v>0</v>
      </c>
      <c r="FH70" s="26">
        <f t="shared" si="207"/>
        <v>0</v>
      </c>
      <c r="FI70" s="26">
        <f t="shared" si="208"/>
        <v>0</v>
      </c>
      <c r="FJ70" s="26">
        <f t="shared" si="209"/>
        <v>0</v>
      </c>
      <c r="FK70" s="26">
        <f t="shared" si="210"/>
        <v>0</v>
      </c>
      <c r="FL70" s="26">
        <f t="shared" si="211"/>
        <v>0</v>
      </c>
      <c r="FM70" s="26">
        <f t="shared" si="212"/>
        <v>0</v>
      </c>
      <c r="FN70" s="26">
        <f t="shared" si="213"/>
        <v>0</v>
      </c>
      <c r="FP70" s="26" t="e">
        <f t="shared" si="214"/>
        <v>#REF!</v>
      </c>
      <c r="FQ70" s="26" t="e">
        <f t="shared" si="215"/>
        <v>#REF!</v>
      </c>
      <c r="FR70" s="26" t="e">
        <f t="shared" si="216"/>
        <v>#REF!</v>
      </c>
      <c r="FS70" s="26" t="e">
        <f t="shared" si="217"/>
        <v>#REF!</v>
      </c>
      <c r="FT70" s="26" t="e">
        <f t="shared" si="218"/>
        <v>#REF!</v>
      </c>
      <c r="FU70" s="26" t="e">
        <f t="shared" si="219"/>
        <v>#REF!</v>
      </c>
      <c r="FV70" s="26" t="e">
        <f t="shared" si="220"/>
        <v>#REF!</v>
      </c>
      <c r="FW70" s="26" t="e">
        <f t="shared" si="221"/>
        <v>#REF!</v>
      </c>
      <c r="FX70" s="26" t="e">
        <f t="shared" si="222"/>
        <v>#REF!</v>
      </c>
      <c r="GB70" s="26" t="e">
        <f>IF(GB$2=InputTable[[#This Row],[Delivery Date]],_xlfn.XLOOKUP(GB$1,$BH$2:$BR$2,$BH70:$BR70,0),0)</f>
        <v>#REF!</v>
      </c>
      <c r="GC70" s="26">
        <f>IF(GC$2=InputTable[[#This Row],[Delivery Date]],_xlfn.XLOOKUP(GC$1,$BH$2:$BR$2,$BH70:$BR70,0),0)</f>
        <v>0</v>
      </c>
      <c r="GD70" s="26">
        <f>IF(GD$2=InputTable[[#This Row],[Delivery Date]],_xlfn.XLOOKUP(GD$1,$BH$2:$BR$2,$BH70:$BR70,0),0)</f>
        <v>0</v>
      </c>
      <c r="GE70" s="26">
        <f>IF(GE$2=InputTable[[#This Row],[Delivery Date]],_xlfn.XLOOKUP(GE$1,$BH$2:$BR$2,$BH70:$BR70,0),0)</f>
        <v>0</v>
      </c>
      <c r="GF70" s="26">
        <f>IF(GF$2=InputTable[[#This Row],[Delivery Date]],_xlfn.XLOOKUP(GF$1,$BH$2:$BR$2,$BH70:$BR70,0),0)</f>
        <v>0</v>
      </c>
      <c r="GG70" s="26">
        <f>IF(GG$2=InputTable[[#This Row],[Delivery Date]],_xlfn.XLOOKUP(GG$1,$BH$2:$BR$2,$BH70:$BR70,0),0)</f>
        <v>0</v>
      </c>
      <c r="GH70" s="26">
        <f>IF(GH$2=InputTable[[#This Row],[Delivery Date]],_xlfn.XLOOKUP(GH$1,$BH$2:$BR$2,$BH70:$BR70,0),0)</f>
        <v>0</v>
      </c>
      <c r="GI70" s="26">
        <f>IF(GI$2=InputTable[[#This Row],[Delivery Date]],_xlfn.XLOOKUP(GI$1,$BH$2:$BR$2,$BH70:$BR70,0),0)</f>
        <v>0</v>
      </c>
      <c r="GJ70" s="26">
        <f>IF(GJ$2=InputTable[[#This Row],[Delivery Date]],_xlfn.XLOOKUP(GJ$1,$BH$2:$BR$2,$BH70:$BR70,0),0)</f>
        <v>0</v>
      </c>
      <c r="GL70" s="26" t="e">
        <f>IF(GL$2=InputTable[[#This Row],[Delivery Date]],_xlfn.XLOOKUP(GL$1,$BH$2:$BR$2,$BH70:$BR70,0),0)</f>
        <v>#REF!</v>
      </c>
      <c r="GM70" s="26">
        <f>IF(GM$2=InputTable[[#This Row],[Delivery Date]],_xlfn.XLOOKUP(GM$1,$BH$2:$BR$2,$BH70:$BR70,0),0)</f>
        <v>0</v>
      </c>
      <c r="GN70" s="26">
        <f>IF(GN$2=InputTable[[#This Row],[Delivery Date]],_xlfn.XLOOKUP(GN$1,$BH$2:$BR$2,$BH70:$BR70,0),0)</f>
        <v>0</v>
      </c>
      <c r="GO70" s="26">
        <f>IF(GO$2=InputTable[[#This Row],[Delivery Date]],_xlfn.XLOOKUP(GO$1,$BH$2:$BR$2,$BH70:$BR70,0),0)</f>
        <v>0</v>
      </c>
      <c r="GP70" s="26">
        <f>IF(GP$2=InputTable[[#This Row],[Delivery Date]],_xlfn.XLOOKUP(GP$1,$BH$2:$BR$2,$BH70:$BR70,0),0)</f>
        <v>0</v>
      </c>
      <c r="GQ70" s="26">
        <f>IF(GQ$2=InputTable[[#This Row],[Delivery Date]],_xlfn.XLOOKUP(GQ$1,$BH$2:$BR$2,$BH70:$BR70,0),0)</f>
        <v>0</v>
      </c>
      <c r="GR70" s="26">
        <f>IF(GR$2=InputTable[[#This Row],[Delivery Date]],_xlfn.XLOOKUP(GR$1,$BH$2:$BR$2,$BH70:$BR70,0),0)</f>
        <v>0</v>
      </c>
      <c r="GS70" s="26">
        <f>IF(GS$2=InputTable[[#This Row],[Delivery Date]],_xlfn.XLOOKUP(GS$1,$BH$2:$BR$2,$BH70:$BR70,0),0)</f>
        <v>0</v>
      </c>
      <c r="GT70" s="26">
        <f>IF(GT$2=InputTable[[#This Row],[Delivery Date]],_xlfn.XLOOKUP(GT$1,$BH$2:$BR$2,$BH70:$BR70,0),0)</f>
        <v>0</v>
      </c>
      <c r="GV70" s="26" t="e">
        <f>IF(GV$2=InputTable[[#This Row],[Delivery Date]],_xlfn.XLOOKUP(GV$1,$BH$2:$BR$2,$BH70:$BR70,0),0)</f>
        <v>#REF!</v>
      </c>
      <c r="GW70" s="26">
        <f>IF(GW$2=InputTable[[#This Row],[Delivery Date]],_xlfn.XLOOKUP(GW$1,$BH$2:$BR$2,$BH70:$BR70,0),0)</f>
        <v>0</v>
      </c>
      <c r="GX70" s="26">
        <f>IF(GX$2=InputTable[[#This Row],[Delivery Date]],_xlfn.XLOOKUP(GX$1,$BH$2:$BR$2,$BH70:$BR70,0),0)</f>
        <v>0</v>
      </c>
      <c r="GY70" s="26">
        <f>IF(GY$2=InputTable[[#This Row],[Delivery Date]],_xlfn.XLOOKUP(GY$1,$BH$2:$BR$2,$BH70:$BR70,0),0)</f>
        <v>0</v>
      </c>
      <c r="GZ70" s="26">
        <f>IF(GZ$2=InputTable[[#This Row],[Delivery Date]],_xlfn.XLOOKUP(GZ$1,$BH$2:$BR$2,$BH70:$BR70,0),0)</f>
        <v>0</v>
      </c>
      <c r="HA70" s="26">
        <f>IF(HA$2=InputTable[[#This Row],[Delivery Date]],_xlfn.XLOOKUP(HA$1,$BH$2:$BR$2,$BH70:$BR70,0),0)</f>
        <v>0</v>
      </c>
      <c r="HB70" s="26">
        <f>IF(HB$2=InputTable[[#This Row],[Delivery Date]],_xlfn.XLOOKUP(HB$1,$BH$2:$BR$2,$BH70:$BR70,0),0)</f>
        <v>0</v>
      </c>
      <c r="HC70" s="26">
        <f>IF(HC$2=InputTable[[#This Row],[Delivery Date]],_xlfn.XLOOKUP(HC$1,$BH$2:$BR$2,$BH70:$BR70,0),0)</f>
        <v>0</v>
      </c>
      <c r="HD70" s="26">
        <f>IF(HD$2=InputTable[[#This Row],[Delivery Date]],_xlfn.XLOOKUP(HD$1,$BH$2:$BR$2,$BH70:$BR70,0),0)</f>
        <v>0</v>
      </c>
      <c r="HF70" s="26" t="e">
        <f>IF(HF$2=InputTable[[#This Row],[Delivery Date]],_xlfn.XLOOKUP(HF$1,$BH$2:$BR$2,$BH70:$BR70,0),0)</f>
        <v>#REF!</v>
      </c>
      <c r="HG70" s="26">
        <f>IF(HG$2=InputTable[[#This Row],[Delivery Date]],_xlfn.XLOOKUP(HG$1,$BH$2:$BR$2,$BH70:$BR70,0),0)</f>
        <v>0</v>
      </c>
      <c r="HH70" s="26">
        <f>IF(HH$2=InputTable[[#This Row],[Delivery Date]],_xlfn.XLOOKUP(HH$1,$BH$2:$BR$2,$BH70:$BR70,0),0)</f>
        <v>0</v>
      </c>
      <c r="HI70" s="26">
        <f>IF(HI$2=InputTable[[#This Row],[Delivery Date]],_xlfn.XLOOKUP(HI$1,$BH$2:$BR$2,$BH70:$BR70,0),0)</f>
        <v>0</v>
      </c>
      <c r="HJ70" s="26">
        <f>IF(HJ$2=InputTable[[#This Row],[Delivery Date]],_xlfn.XLOOKUP(HJ$1,$BH$2:$BR$2,$BH70:$BR70,0),0)</f>
        <v>0</v>
      </c>
      <c r="HK70" s="26">
        <f>IF(HK$2=InputTable[[#This Row],[Delivery Date]],_xlfn.XLOOKUP(HK$1,$BH$2:$BR$2,$BH70:$BR70,0),0)</f>
        <v>0</v>
      </c>
      <c r="HL70" s="26">
        <f>IF(HL$2=InputTable[[#This Row],[Delivery Date]],_xlfn.XLOOKUP(HL$1,$BH$2:$BR$2,$BH70:$BR70,0),0)</f>
        <v>0</v>
      </c>
      <c r="HM70" s="26">
        <f>IF(HM$2=InputTable[[#This Row],[Delivery Date]],_xlfn.XLOOKUP(HM$1,$BH$2:$BR$2,$BH70:$BR70,0),0)</f>
        <v>0</v>
      </c>
      <c r="HN70" s="26">
        <f>IF(HN$2=InputTable[[#This Row],[Delivery Date]],_xlfn.XLOOKUP(HN$1,$BH$2:$BR$2,$BH70:$BR70,0),0)</f>
        <v>0</v>
      </c>
      <c r="HP70" s="26" t="e">
        <f>IF(HP$2=InputTable[[#This Row],[Delivery Date]],_xlfn.XLOOKUP(HP$1,$BH$2:$BR$2,$BH70:$BR70,0),0)</f>
        <v>#REF!</v>
      </c>
      <c r="HQ70" s="26">
        <f>IF(HQ$2=InputTable[[#This Row],[Delivery Date]],_xlfn.XLOOKUP(HQ$1,$BH$2:$BR$2,$BH70:$BR70,0),0)</f>
        <v>0</v>
      </c>
      <c r="HR70" s="26">
        <f>IF(HR$2=InputTable[[#This Row],[Delivery Date]],_xlfn.XLOOKUP(HR$1,$BH$2:$BR$2,$BH70:$BR70,0),0)</f>
        <v>0</v>
      </c>
      <c r="HS70" s="26">
        <f>IF(HS$2=InputTable[[#This Row],[Delivery Date]],_xlfn.XLOOKUP(HS$1,$BH$2:$BR$2,$BH70:$BR70,0),0)</f>
        <v>0</v>
      </c>
      <c r="HT70" s="26">
        <f>IF(HT$2=InputTable[[#This Row],[Delivery Date]],_xlfn.XLOOKUP(HT$1,$BH$2:$BR$2,$BH70:$BR70,0),0)</f>
        <v>0</v>
      </c>
      <c r="HU70" s="26">
        <f>IF(HU$2=InputTable[[#This Row],[Delivery Date]],_xlfn.XLOOKUP(HU$1,$BH$2:$BR$2,$BH70:$BR70,0),0)</f>
        <v>0</v>
      </c>
      <c r="HV70" s="26">
        <f>IF(HV$2=InputTable[[#This Row],[Delivery Date]],_xlfn.XLOOKUP(HV$1,$BH$2:$BR$2,$BH70:$BR70,0),0)</f>
        <v>0</v>
      </c>
      <c r="HW70" s="26">
        <f>IF(HW$2=InputTable[[#This Row],[Delivery Date]],_xlfn.XLOOKUP(HW$1,$BH$2:$BR$2,$BH70:$BR70,0),0)</f>
        <v>0</v>
      </c>
      <c r="HX70" s="26">
        <f>IF(HX$2=InputTable[[#This Row],[Delivery Date]],_xlfn.XLOOKUP(HX$1,$BH$2:$BR$2,$BH70:$BR70,0),0)</f>
        <v>0</v>
      </c>
      <c r="HZ70" s="26" t="e">
        <f>IF(HZ$2=InputTable[[#This Row],[Delivery Date]],_xlfn.XLOOKUP(HZ$1,$BH$2:$BR$2,$BH70:$BR70,0),0)</f>
        <v>#REF!</v>
      </c>
      <c r="IA70" s="26">
        <f>IF(IA$2=InputTable[[#This Row],[Delivery Date]],_xlfn.XLOOKUP(IA$1,$BH$2:$BR$2,$BH70:$BR70,0),0)</f>
        <v>0</v>
      </c>
      <c r="IB70" s="26">
        <f>IF(IB$2=InputTable[[#This Row],[Delivery Date]],_xlfn.XLOOKUP(IB$1,$BH$2:$BR$2,$BH70:$BR70,0),0)</f>
        <v>0</v>
      </c>
      <c r="IC70" s="26">
        <f>IF(IC$2=InputTable[[#This Row],[Delivery Date]],_xlfn.XLOOKUP(IC$1,$BH$2:$BR$2,$BH70:$BR70,0),0)</f>
        <v>0</v>
      </c>
      <c r="ID70" s="26">
        <f>IF(ID$2=InputTable[[#This Row],[Delivery Date]],_xlfn.XLOOKUP(ID$1,$BH$2:$BR$2,$BH70:$BR70,0),0)</f>
        <v>0</v>
      </c>
      <c r="IE70" s="26">
        <f>IF(IE$2=InputTable[[#This Row],[Delivery Date]],_xlfn.XLOOKUP(IE$1,$BH$2:$BR$2,$BH70:$BR70,0),0)</f>
        <v>0</v>
      </c>
      <c r="IF70" s="26">
        <f>IF(IF$2=InputTable[[#This Row],[Delivery Date]],_xlfn.XLOOKUP(IF$1,$BH$2:$BR$2,$BH70:$BR70,0),0)</f>
        <v>0</v>
      </c>
      <c r="IG70" s="26">
        <f>IF(IG$2=InputTable[[#This Row],[Delivery Date]],_xlfn.XLOOKUP(IG$1,$BH$2:$BR$2,$BH70:$BR70,0),0)</f>
        <v>0</v>
      </c>
      <c r="IH70" s="26">
        <f>IF(IH$2=InputTable[[#This Row],[Delivery Date]],_xlfn.XLOOKUP(IH$1,$BH$2:$BR$2,$BH70:$BR70,0),0)</f>
        <v>0</v>
      </c>
      <c r="IJ70" s="26" t="e">
        <f>IF(IJ$2=InputTable[[#This Row],[Delivery Date]],_xlfn.XLOOKUP(IJ$1,$BH$2:$BR$2,$BH70:$BR70,0),0)</f>
        <v>#REF!</v>
      </c>
      <c r="IK70" s="26">
        <f>IF(IK$2=InputTable[[#This Row],[Delivery Date]],_xlfn.XLOOKUP(IK$1,$BH$2:$BR$2,$BH70:$BR70,0),0)</f>
        <v>0</v>
      </c>
      <c r="IL70" s="26">
        <f>IF(IL$2=InputTable[[#This Row],[Delivery Date]],_xlfn.XLOOKUP(IL$1,$BH$2:$BR$2,$BH70:$BR70,0),0)</f>
        <v>0</v>
      </c>
      <c r="IM70" s="26">
        <f>IF(IM$2=InputTable[[#This Row],[Delivery Date]],_xlfn.XLOOKUP(IM$1,$BH$2:$BR$2,$BH70:$BR70,0),0)</f>
        <v>0</v>
      </c>
      <c r="IN70" s="26">
        <f>IF(IN$2=InputTable[[#This Row],[Delivery Date]],_xlfn.XLOOKUP(IN$1,$BH$2:$BR$2,$BH70:$BR70,0),0)</f>
        <v>0</v>
      </c>
      <c r="IO70" s="26">
        <f>IF(IO$2=InputTable[[#This Row],[Delivery Date]],_xlfn.XLOOKUP(IO$1,$BH$2:$BR$2,$BH70:$BR70,0),0)</f>
        <v>0</v>
      </c>
      <c r="IP70" s="26">
        <f>IF(IP$2=InputTable[[#This Row],[Delivery Date]],_xlfn.XLOOKUP(IP$1,$BH$2:$BR$2,$BH70:$BR70,0),0)</f>
        <v>0</v>
      </c>
      <c r="IQ70" s="26">
        <f>IF(IQ$2=InputTable[[#This Row],[Delivery Date]],_xlfn.XLOOKUP(IQ$1,$BH$2:$BR$2,$BH70:$BR70,0),0)</f>
        <v>0</v>
      </c>
      <c r="IR70" s="26">
        <f>IF(IR$2=InputTable[[#This Row],[Delivery Date]],_xlfn.XLOOKUP(IR$1,$BH$2:$BR$2,$BH70:$BR70,0),0)</f>
        <v>0</v>
      </c>
      <c r="IT70" s="26" t="e">
        <f>IF(IT$2=InputTable[[#This Row],[Delivery Date]],_xlfn.XLOOKUP(IT$1,$BH$2:$BR$2,$BH70:$BR70,0),0)</f>
        <v>#REF!</v>
      </c>
      <c r="IU70" s="26">
        <f>IF(IU$2=InputTable[[#This Row],[Delivery Date]],_xlfn.XLOOKUP(IU$1,$BH$2:$BR$2,$BH70:$BR70,0),0)</f>
        <v>0</v>
      </c>
      <c r="IV70" s="26">
        <f>IF(IV$2=InputTable[[#This Row],[Delivery Date]],_xlfn.XLOOKUP(IV$1,$BH$2:$BR$2,$BH70:$BR70,0),0)</f>
        <v>0</v>
      </c>
      <c r="IW70" s="26">
        <f>IF(IW$2=InputTable[[#This Row],[Delivery Date]],_xlfn.XLOOKUP(IW$1,$BH$2:$BR$2,$BH70:$BR70,0),0)</f>
        <v>0</v>
      </c>
      <c r="IX70" s="26">
        <f>IF(IX$2=InputTable[[#This Row],[Delivery Date]],_xlfn.XLOOKUP(IX$1,$BH$2:$BR$2,$BH70:$BR70,0),0)</f>
        <v>0</v>
      </c>
      <c r="IY70" s="26">
        <f>IF(IY$2=InputTable[[#This Row],[Delivery Date]],_xlfn.XLOOKUP(IY$1,$BH$2:$BR$2,$BH70:$BR70,0),0)</f>
        <v>0</v>
      </c>
      <c r="IZ70" s="26">
        <f>IF(IZ$2=InputTable[[#This Row],[Delivery Date]],_xlfn.XLOOKUP(IZ$1,$BH$2:$BR$2,$BH70:$BR70,0),0)</f>
        <v>0</v>
      </c>
      <c r="JA70" s="26">
        <f>IF(JA$2=InputTable[[#This Row],[Delivery Date]],_xlfn.XLOOKUP(JA$1,$BH$2:$BR$2,$BH70:$BR70,0),0)</f>
        <v>0</v>
      </c>
      <c r="JB70" s="26">
        <f>IF(JB$2=InputTable[[#This Row],[Delivery Date]],_xlfn.XLOOKUP(JB$1,$BH$2:$BR$2,$BH70:$BR70,0),0)</f>
        <v>0</v>
      </c>
      <c r="JD70" s="26" t="e">
        <f>IF(JD$2=InputTable[[#This Row],[Delivery Date]],_xlfn.XLOOKUP(JD$1,$BH$2:$BR$2,$BH70:$BR70,0),0)</f>
        <v>#REF!</v>
      </c>
      <c r="JE70" s="26">
        <f>IF(JE$2=InputTable[[#This Row],[Delivery Date]],_xlfn.XLOOKUP(JE$1,$BH$2:$BR$2,$BH70:$BR70,0),0)</f>
        <v>0</v>
      </c>
      <c r="JF70" s="26">
        <f>IF(JF$2=InputTable[[#This Row],[Delivery Date]],_xlfn.XLOOKUP(JF$1,$BH$2:$BR$2,$BH70:$BR70,0),0)</f>
        <v>0</v>
      </c>
      <c r="JG70" s="26">
        <f>IF(JG$2=InputTable[[#This Row],[Delivery Date]],_xlfn.XLOOKUP(JG$1,$BH$2:$BR$2,$BH70:$BR70,0),0)</f>
        <v>0</v>
      </c>
      <c r="JH70" s="26">
        <f>IF(JH$2=InputTable[[#This Row],[Delivery Date]],_xlfn.XLOOKUP(JH$1,$BH$2:$BR$2,$BH70:$BR70,0),0)</f>
        <v>0</v>
      </c>
      <c r="JI70" s="26">
        <f>IF(JI$2=InputTable[[#This Row],[Delivery Date]],_xlfn.XLOOKUP(JI$1,$BH$2:$BR$2,$BH70:$BR70,0),0)</f>
        <v>0</v>
      </c>
      <c r="JJ70" s="26">
        <f>IF(JJ$2=InputTable[[#This Row],[Delivery Date]],_xlfn.XLOOKUP(JJ$1,$BH$2:$BR$2,$BH70:$BR70,0),0)</f>
        <v>0</v>
      </c>
      <c r="JK70" s="26">
        <f>IF(JK$2=InputTable[[#This Row],[Delivery Date]],_xlfn.XLOOKUP(JK$1,$BH$2:$BR$2,$BH70:$BR70,0),0)</f>
        <v>0</v>
      </c>
      <c r="JL70" s="26">
        <f>IF(JL$2=InputTable[[#This Row],[Delivery Date]],_xlfn.XLOOKUP(JL$1,$BH$2:$BR$2,$BH70:$BR70,0),0)</f>
        <v>0</v>
      </c>
      <c r="JN70" s="26" t="e">
        <f>IF(JN$2=InputTable[[#This Row],[Delivery Date]],_xlfn.XLOOKUP(JN$1,$BH$2:$BR$2,$BH70:$BR70,0),0)</f>
        <v>#REF!</v>
      </c>
      <c r="JO70" s="26">
        <f>IF(JO$2=InputTable[[#This Row],[Delivery Date]],_xlfn.XLOOKUP(JO$1,$BH$2:$BR$2,$BH70:$BR70,0),0)</f>
        <v>0</v>
      </c>
      <c r="JP70" s="26">
        <f>IF(JP$2=InputTable[[#This Row],[Delivery Date]],_xlfn.XLOOKUP(JP$1,$BH$2:$BR$2,$BH70:$BR70,0),0)</f>
        <v>0</v>
      </c>
      <c r="JQ70" s="26">
        <f>IF(JQ$2=InputTable[[#This Row],[Delivery Date]],_xlfn.XLOOKUP(JQ$1,$BH$2:$BR$2,$BH70:$BR70,0),0)</f>
        <v>0</v>
      </c>
      <c r="JR70" s="26">
        <f>IF(JR$2=InputTable[[#This Row],[Delivery Date]],_xlfn.XLOOKUP(JR$1,$BH$2:$BR$2,$BH70:$BR70,0),0)</f>
        <v>0</v>
      </c>
      <c r="JS70" s="26">
        <f>IF(JS$2=InputTable[[#This Row],[Delivery Date]],_xlfn.XLOOKUP(JS$1,$BH$2:$BR$2,$BH70:$BR70,0),0)</f>
        <v>0</v>
      </c>
      <c r="JT70" s="26">
        <f>IF(JT$2=InputTable[[#This Row],[Delivery Date]],_xlfn.XLOOKUP(JT$1,$BH$2:$BR$2,$BH70:$BR70,0),0)</f>
        <v>0</v>
      </c>
      <c r="JU70" s="26">
        <f>IF(JU$2=InputTable[[#This Row],[Delivery Date]],_xlfn.XLOOKUP(JU$1,$BH$2:$BR$2,$BH70:$BR70,0),0)</f>
        <v>0</v>
      </c>
      <c r="JV70" s="26">
        <f>IF(JV$2=InputTable[[#This Row],[Delivery Date]],_xlfn.XLOOKUP(JV$1,$BH$2:$BR$2,$BH70:$BR70,0),0)</f>
        <v>0</v>
      </c>
      <c r="JX70" s="26" t="e">
        <f>IF(JX$2=InputTable[[#This Row],[Delivery Date]],_xlfn.XLOOKUP(JX$1,$BH$2:$BR$2,$BH70:$BR70,0),0)</f>
        <v>#REF!</v>
      </c>
      <c r="JY70" s="26">
        <f>IF(JY$2=InputTable[[#This Row],[Delivery Date]],_xlfn.XLOOKUP(JY$1,$BH$2:$BR$2,$BH70:$BR70,0),0)</f>
        <v>0</v>
      </c>
      <c r="JZ70" s="26">
        <f>IF(JZ$2=InputTable[[#This Row],[Delivery Date]],_xlfn.XLOOKUP(JZ$1,$BH$2:$BR$2,$BH70:$BR70,0),0)</f>
        <v>0</v>
      </c>
      <c r="KA70" s="26">
        <f>IF(KA$2=InputTable[[#This Row],[Delivery Date]],_xlfn.XLOOKUP(KA$1,$BH$2:$BR$2,$BH70:$BR70,0),0)</f>
        <v>0</v>
      </c>
      <c r="KB70" s="26">
        <f>IF(KB$2=InputTable[[#This Row],[Delivery Date]],_xlfn.XLOOKUP(KB$1,$BH$2:$BR$2,$BH70:$BR70,0),0)</f>
        <v>0</v>
      </c>
      <c r="KC70" s="26">
        <f>IF(KC$2=InputTable[[#This Row],[Delivery Date]],_xlfn.XLOOKUP(KC$1,$BH$2:$BR$2,$BH70:$BR70,0),0)</f>
        <v>0</v>
      </c>
      <c r="KD70" s="26">
        <f>IF(KD$2=InputTable[[#This Row],[Delivery Date]],_xlfn.XLOOKUP(KD$1,$BH$2:$BR$2,$BH70:$BR70,0),0)</f>
        <v>0</v>
      </c>
      <c r="KE70" s="26">
        <f>IF(KE$2=InputTable[[#This Row],[Delivery Date]],_xlfn.XLOOKUP(KE$1,$BH$2:$BR$2,$BH70:$BR70,0),0)</f>
        <v>0</v>
      </c>
      <c r="KF70" s="26">
        <f>IF(KF$2=InputTable[[#This Row],[Delivery Date]],_xlfn.XLOOKUP(KF$1,$BH$2:$BR$2,$BH70:$BR70,0),0)</f>
        <v>0</v>
      </c>
    </row>
    <row r="71" spans="1:292" ht="39.6" customHeight="1" x14ac:dyDescent="0.25">
      <c r="A71" s="141" t="s">
        <v>326</v>
      </c>
      <c r="B71" s="141" t="s">
        <v>92</v>
      </c>
      <c r="C71" s="92" t="s">
        <v>93</v>
      </c>
      <c r="D71" s="125" t="s">
        <v>327</v>
      </c>
      <c r="E71" s="193" t="s">
        <v>328</v>
      </c>
      <c r="F71" s="92" t="s">
        <v>96</v>
      </c>
      <c r="G71" s="92">
        <v>2024</v>
      </c>
      <c r="H71" s="92" t="s">
        <v>100</v>
      </c>
      <c r="I71" s="92">
        <v>2026</v>
      </c>
      <c r="J71" s="125" t="s">
        <v>161</v>
      </c>
      <c r="K71" s="95" t="e">
        <f>VLOOKUP((InputTable[[#This Row],[Starting Date]]&amp; " - " &amp;InputTable[[#This Row],[Delivery Date]]),'System List'!$F$40:$H$83,2,FALSE)</f>
        <v>#N/A</v>
      </c>
      <c r="L71" s="95" t="e">
        <f>VLOOKUP(InputTable[[#This Row],[Duration]],Duration,2,FALSE)</f>
        <v>#N/A</v>
      </c>
      <c r="M71" s="125" t="s">
        <v>110</v>
      </c>
      <c r="N71" s="92"/>
      <c r="O71" s="92" t="s">
        <v>111</v>
      </c>
      <c r="P71" s="92"/>
      <c r="Q71" s="92" t="s">
        <v>139</v>
      </c>
      <c r="R71" s="92" t="s">
        <v>139</v>
      </c>
      <c r="S71" s="92"/>
      <c r="T71" s="95" cm="1">
        <f t="array" ref="T7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4.2</v>
      </c>
      <c r="U71" s="138"/>
      <c r="V71" s="92"/>
      <c r="W71" s="92"/>
      <c r="X71" s="92"/>
      <c r="Y71" s="92"/>
      <c r="Z71" s="92"/>
      <c r="AA71" s="92"/>
      <c r="AB71" s="92"/>
      <c r="AC71" s="98" t="s">
        <v>139</v>
      </c>
      <c r="AD71" s="92">
        <f>COUNTA(InputTable[[#This Row],[CORPHRFIN]:[SALES]])</f>
        <v>1</v>
      </c>
      <c r="AE71" s="88" cm="1">
        <f t="array" ref="AE71">SUM(
_xlfn.XLOOKUP(InputTable[[#This Row],[CORPHRFIN]:[SALES]],'System List'!$F$4:$F$7,'System List'!$H$4:$H$7,0))</f>
        <v>8</v>
      </c>
      <c r="AF71" s="140"/>
      <c r="AG71" s="96" t="s">
        <v>111</v>
      </c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88" cm="1">
        <f t="array" ref="AR71">SUM(
_xlfn.XLOOKUP(InputTable[[#This Row],[Impact on - CIAL]:[Impact on - STRAT]],'System List'!$F$4:$F$7,'System List'!$H$4:$H$7,0))</f>
        <v>5</v>
      </c>
      <c r="AS71" s="88" t="e">
        <f>VLOOKUP(InputTable[[#This Row],[Duration]],Duration,2,FALSE)+InputTable[[#This Row],[Resource Score]]</f>
        <v>#N/A</v>
      </c>
      <c r="AT7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1" s="24" t="e">
        <f>InputTable[[#This Row],[Value Score]]/InputTable[[#This Row],[EFFORT SCORE]]*100</f>
        <v>#N/A</v>
      </c>
      <c r="AV71" s="25" t="str">
        <f>InputTable[[#This Row],[IS Portfolio Ref ID]]</f>
        <v>ISPRJ-15</v>
      </c>
      <c r="AW71" s="25" t="s">
        <v>329</v>
      </c>
      <c r="AX71" s="208" t="s">
        <v>330</v>
      </c>
      <c r="AY71" s="207">
        <v>1841</v>
      </c>
      <c r="AZ71" s="209">
        <v>0</v>
      </c>
      <c r="BA71" s="209">
        <v>67500</v>
      </c>
      <c r="BB71" s="209"/>
      <c r="BC71" s="189" t="s">
        <v>331</v>
      </c>
      <c r="BD71" s="188">
        <v>0</v>
      </c>
      <c r="BE71" s="188">
        <v>1</v>
      </c>
      <c r="BF71" s="70"/>
      <c r="BH71" s="2">
        <f>IFERROR(VLOOKUP(InputTable[[#This Row],[Impact on - CIAL]],'System List'!$F$4:$H$7,3,FALSE),0)</f>
        <v>5</v>
      </c>
      <c r="BI71" s="2">
        <f>IFERROR(VLOOKUP(InputTable[[#This Row],[Impact on - COM]],'System List'!$F$4:$H$7,3,FALSE),0)</f>
        <v>0</v>
      </c>
      <c r="BJ71" s="2">
        <f>IFERROR(VLOOKUP(InputTable[[#This Row],[Impact on - FIN]],'System List'!$F$4:$H$7,3,FALSE),0)</f>
        <v>0</v>
      </c>
      <c r="BK71" s="2">
        <f>IFERROR(VLOOKUP(InputTable[[#This Row],[Impact on - GEN SEC]],'System List'!$F$4:$H$7,3,FALSE),0)</f>
        <v>0</v>
      </c>
      <c r="BL71" s="2">
        <f>IFERROR(VLOOKUP(InputTable[[#This Row],[Impact on - HR]],'System List'!$F$4:$H$7,3,FALSE),0)</f>
        <v>0</v>
      </c>
      <c r="BM71" s="2">
        <f>IFERROR(VLOOKUP(InputTable[[#This Row],[Impact on - IS]],'System List'!$F$4:$H$7,3,FALSE),0)</f>
        <v>0</v>
      </c>
      <c r="BN71" s="2">
        <f>IFERROR(VLOOKUP(InputTable[[#This Row],[Impact on - OPS]],'System List'!$F$4:$H$7,3,FALSE),0)</f>
        <v>0</v>
      </c>
      <c r="BO71" s="2">
        <f>IFERROR(VLOOKUP(InputTable[[#This Row],[Impact on - ROLL STOCK]],'System List'!$F$4:$H$7,3,FALSE),0)</f>
        <v>0</v>
      </c>
      <c r="BP71" s="2">
        <f>IFERROR(VLOOKUP(InputTable[[#This Row],[Impact on - SAFETY]],'System List'!$F$4:$H$7,3,FALSE),0)</f>
        <v>0</v>
      </c>
      <c r="BQ71" s="2">
        <f>IFERROR(VLOOKUP(InputTable[[#This Row],[Impact on - STATION]],'System List'!$F$4:$H$7,3,FALSE),0)</f>
        <v>0</v>
      </c>
      <c r="BR71" s="2">
        <f>IFERROR(VLOOKUP(InputTable[[#This Row],[Impact on - STRAT]],'System List'!$F$4:$H$7,3,FALSE),0)</f>
        <v>0</v>
      </c>
      <c r="BT71" s="2">
        <f>IFERROR(VLOOKUP(InputTable[[#This Row],[CORPHRFIN]],'System List'!$F$4:$H$7,3,FALSE),0)</f>
        <v>0</v>
      </c>
      <c r="BU71" s="2">
        <f>IFERROR(VLOOKUP(InputTable[[#This Row],[CUST]],'System List'!$F$4:$H$7,3,FALSE),0)</f>
        <v>0</v>
      </c>
      <c r="BV71" s="2">
        <f>IFERROR(VLOOKUP(InputTable[[#This Row],[CYBER]],'System List'!$F$4:$H$7,3,FALSE),0)</f>
        <v>0</v>
      </c>
      <c r="BW71" s="2">
        <f>IFERROR(VLOOKUP(InputTable[[#This Row],[DATA]],'System List'!$F$4:$H$7,3,FALSE),0)</f>
        <v>0</v>
      </c>
      <c r="BX71" s="2">
        <f>IFERROR(VLOOKUP(InputTable[[#This Row],[INFRA]],'System List'!$F$4:$H$7,3,FALSE),0)</f>
        <v>0</v>
      </c>
      <c r="BY71" s="2">
        <f>IFERROR(VLOOKUP(InputTable[[#This Row],[OPERATIONS]],'System List'!$F$4:$H$7,3,FALSE),0)</f>
        <v>0</v>
      </c>
      <c r="BZ71" s="2">
        <f>IFERROR(VLOOKUP(InputTable[[#This Row],[PMO]],'System List'!$F$4:$H$7,3,FALSE),0)</f>
        <v>0</v>
      </c>
      <c r="CA71" s="2">
        <f>IFERROR(VLOOKUP(InputTable[[#This Row],[SALES]],'System List'!$F$4:$H$7,3,FALSE),0)</f>
        <v>8</v>
      </c>
      <c r="CC71" s="2" cm="1">
        <f t="array" ref="CC7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1" s="2" cm="1">
        <f t="array" ref="CD7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1" s="2" cm="1">
        <f t="array" ref="CE7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1" s="2" cm="1">
        <f t="array" ref="CF7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1" s="2" cm="1">
        <f t="array" ref="CG7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1" s="2" cm="1">
        <f t="array" ref="CH7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1" s="2" cm="1">
        <f t="array" ref="CI7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1" s="2" cm="1">
        <f t="array" ref="CJ7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1" s="2" cm="1">
        <f t="array" ref="CK7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7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7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7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7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7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1" s="26">
        <f t="shared" si="151"/>
        <v>0</v>
      </c>
      <c r="CY71" s="26">
        <f t="shared" si="152"/>
        <v>0</v>
      </c>
      <c r="CZ71" s="26">
        <f t="shared" si="153"/>
        <v>0</v>
      </c>
      <c r="DA71" s="26">
        <f t="shared" si="154"/>
        <v>0</v>
      </c>
      <c r="DB71" s="26">
        <f t="shared" si="155"/>
        <v>0</v>
      </c>
      <c r="DC71" s="26">
        <f t="shared" si="156"/>
        <v>0</v>
      </c>
      <c r="DD71" s="26">
        <f t="shared" si="157"/>
        <v>0</v>
      </c>
      <c r="DE71" s="26">
        <f t="shared" si="158"/>
        <v>0</v>
      </c>
      <c r="DF71" s="26">
        <f t="shared" si="159"/>
        <v>0</v>
      </c>
      <c r="DH71" s="26">
        <f t="shared" si="160"/>
        <v>0</v>
      </c>
      <c r="DI71" s="26">
        <f t="shared" si="161"/>
        <v>0</v>
      </c>
      <c r="DJ71" s="26">
        <f t="shared" si="162"/>
        <v>0</v>
      </c>
      <c r="DK71" s="26">
        <f t="shared" si="163"/>
        <v>0</v>
      </c>
      <c r="DL71" s="26">
        <f t="shared" si="164"/>
        <v>0</v>
      </c>
      <c r="DM71" s="26">
        <f t="shared" si="165"/>
        <v>0</v>
      </c>
      <c r="DN71" s="26">
        <f t="shared" si="166"/>
        <v>0</v>
      </c>
      <c r="DO71" s="26">
        <f t="shared" si="167"/>
        <v>0</v>
      </c>
      <c r="DP71" s="26">
        <f t="shared" si="168"/>
        <v>0</v>
      </c>
      <c r="DR71" s="26">
        <f t="shared" si="169"/>
        <v>0</v>
      </c>
      <c r="DS71" s="26">
        <f t="shared" si="170"/>
        <v>0</v>
      </c>
      <c r="DT71" s="26">
        <f t="shared" si="171"/>
        <v>0</v>
      </c>
      <c r="DU71" s="26">
        <f t="shared" si="172"/>
        <v>0</v>
      </c>
      <c r="DV71" s="26">
        <f t="shared" si="173"/>
        <v>0</v>
      </c>
      <c r="DW71" s="26">
        <f t="shared" si="174"/>
        <v>0</v>
      </c>
      <c r="DX71" s="26">
        <f t="shared" si="175"/>
        <v>0</v>
      </c>
      <c r="DY71" s="26">
        <f t="shared" si="176"/>
        <v>0</v>
      </c>
      <c r="DZ71" s="26">
        <f t="shared" si="177"/>
        <v>0</v>
      </c>
      <c r="EB71" s="26">
        <f t="shared" si="178"/>
        <v>0</v>
      </c>
      <c r="EC71" s="26">
        <f t="shared" si="179"/>
        <v>0</v>
      </c>
      <c r="ED71" s="26">
        <f t="shared" si="180"/>
        <v>0</v>
      </c>
      <c r="EE71" s="26">
        <f t="shared" si="181"/>
        <v>0</v>
      </c>
      <c r="EF71" s="26">
        <f t="shared" si="182"/>
        <v>0</v>
      </c>
      <c r="EG71" s="26">
        <f t="shared" si="183"/>
        <v>0</v>
      </c>
      <c r="EH71" s="26">
        <f t="shared" si="184"/>
        <v>0</v>
      </c>
      <c r="EI71" s="26">
        <f t="shared" si="185"/>
        <v>0</v>
      </c>
      <c r="EJ71" s="26">
        <f t="shared" si="186"/>
        <v>0</v>
      </c>
      <c r="EL71" s="26">
        <f t="shared" si="187"/>
        <v>0</v>
      </c>
      <c r="EM71" s="26">
        <f t="shared" si="188"/>
        <v>0</v>
      </c>
      <c r="EN71" s="26">
        <f t="shared" si="189"/>
        <v>0</v>
      </c>
      <c r="EO71" s="26">
        <f t="shared" si="190"/>
        <v>0</v>
      </c>
      <c r="EP71" s="26">
        <f t="shared" si="191"/>
        <v>0</v>
      </c>
      <c r="EQ71" s="26">
        <f t="shared" si="192"/>
        <v>0</v>
      </c>
      <c r="ER71" s="26">
        <f t="shared" si="193"/>
        <v>0</v>
      </c>
      <c r="ES71" s="26">
        <f t="shared" si="194"/>
        <v>0</v>
      </c>
      <c r="ET71" s="26">
        <f t="shared" si="195"/>
        <v>0</v>
      </c>
      <c r="EV71" s="26">
        <f t="shared" si="196"/>
        <v>0</v>
      </c>
      <c r="EW71" s="26">
        <f t="shared" si="197"/>
        <v>0</v>
      </c>
      <c r="EX71" s="26">
        <f t="shared" si="198"/>
        <v>0</v>
      </c>
      <c r="EY71" s="26">
        <f t="shared" si="199"/>
        <v>0</v>
      </c>
      <c r="EZ71" s="26">
        <f t="shared" si="200"/>
        <v>0</v>
      </c>
      <c r="FA71" s="26">
        <f t="shared" si="201"/>
        <v>0</v>
      </c>
      <c r="FB71" s="26">
        <f t="shared" si="202"/>
        <v>0</v>
      </c>
      <c r="FC71" s="26">
        <f t="shared" si="203"/>
        <v>0</v>
      </c>
      <c r="FD71" s="26">
        <f t="shared" si="204"/>
        <v>0</v>
      </c>
      <c r="FF71" s="26">
        <f t="shared" si="205"/>
        <v>0</v>
      </c>
      <c r="FG71" s="26">
        <f t="shared" si="206"/>
        <v>0</v>
      </c>
      <c r="FH71" s="26">
        <f t="shared" si="207"/>
        <v>0</v>
      </c>
      <c r="FI71" s="26">
        <f t="shared" si="208"/>
        <v>0</v>
      </c>
      <c r="FJ71" s="26">
        <f t="shared" si="209"/>
        <v>0</v>
      </c>
      <c r="FK71" s="26">
        <f t="shared" si="210"/>
        <v>0</v>
      </c>
      <c r="FL71" s="26">
        <f t="shared" si="211"/>
        <v>0</v>
      </c>
      <c r="FM71" s="26">
        <f t="shared" si="212"/>
        <v>0</v>
      </c>
      <c r="FN71" s="26">
        <f t="shared" si="213"/>
        <v>0</v>
      </c>
      <c r="FP71" s="26" t="e">
        <f t="shared" si="214"/>
        <v>#REF!</v>
      </c>
      <c r="FQ71" s="26" t="e">
        <f t="shared" si="215"/>
        <v>#REF!</v>
      </c>
      <c r="FR71" s="26" t="e">
        <f t="shared" si="216"/>
        <v>#REF!</v>
      </c>
      <c r="FS71" s="26" t="e">
        <f t="shared" si="217"/>
        <v>#REF!</v>
      </c>
      <c r="FT71" s="26" t="e">
        <f t="shared" si="218"/>
        <v>#REF!</v>
      </c>
      <c r="FU71" s="26" t="e">
        <f t="shared" si="219"/>
        <v>#REF!</v>
      </c>
      <c r="FV71" s="26" t="e">
        <f t="shared" si="220"/>
        <v>#REF!</v>
      </c>
      <c r="FW71" s="26" t="e">
        <f t="shared" si="221"/>
        <v>#REF!</v>
      </c>
      <c r="FX71" s="26" t="e">
        <f t="shared" si="222"/>
        <v>#REF!</v>
      </c>
      <c r="GB71" s="26" t="e">
        <f>IF(GB$2=InputTable[[#This Row],[Delivery Date]],_xlfn.XLOOKUP(GB$1,$BH$2:$BR$2,$BH71:$BR71,0),0)</f>
        <v>#REF!</v>
      </c>
      <c r="GC71" s="26">
        <f>IF(GC$2=InputTable[[#This Row],[Delivery Date]],_xlfn.XLOOKUP(GC$1,$BH$2:$BR$2,$BH71:$BR71,0),0)</f>
        <v>0</v>
      </c>
      <c r="GD71" s="26">
        <f>IF(GD$2=InputTable[[#This Row],[Delivery Date]],_xlfn.XLOOKUP(GD$1,$BH$2:$BR$2,$BH71:$BR71,0),0)</f>
        <v>0</v>
      </c>
      <c r="GE71" s="26">
        <f>IF(GE$2=InputTable[[#This Row],[Delivery Date]],_xlfn.XLOOKUP(GE$1,$BH$2:$BR$2,$BH71:$BR71,0),0)</f>
        <v>0</v>
      </c>
      <c r="GF71" s="26">
        <f>IF(GF$2=InputTable[[#This Row],[Delivery Date]],_xlfn.XLOOKUP(GF$1,$BH$2:$BR$2,$BH71:$BR71,0),0)</f>
        <v>0</v>
      </c>
      <c r="GG71" s="26">
        <f>IF(GG$2=InputTable[[#This Row],[Delivery Date]],_xlfn.XLOOKUP(GG$1,$BH$2:$BR$2,$BH71:$BR71,0),0)</f>
        <v>0</v>
      </c>
      <c r="GH71" s="26">
        <f>IF(GH$2=InputTable[[#This Row],[Delivery Date]],_xlfn.XLOOKUP(GH$1,$BH$2:$BR$2,$BH71:$BR71,0),0)</f>
        <v>0</v>
      </c>
      <c r="GI71" s="26">
        <f>IF(GI$2=InputTable[[#This Row],[Delivery Date]],_xlfn.XLOOKUP(GI$1,$BH$2:$BR$2,$BH71:$BR71,0),0)</f>
        <v>0</v>
      </c>
      <c r="GJ71" s="26">
        <f>IF(GJ$2=InputTable[[#This Row],[Delivery Date]],_xlfn.XLOOKUP(GJ$1,$BH$2:$BR$2,$BH71:$BR71,0),0)</f>
        <v>0</v>
      </c>
      <c r="GL71" s="26" t="e">
        <f>IF(GL$2=InputTable[[#This Row],[Delivery Date]],_xlfn.XLOOKUP(GL$1,$BH$2:$BR$2,$BH71:$BR71,0),0)</f>
        <v>#REF!</v>
      </c>
      <c r="GM71" s="26">
        <f>IF(GM$2=InputTable[[#This Row],[Delivery Date]],_xlfn.XLOOKUP(GM$1,$BH$2:$BR$2,$BH71:$BR71,0),0)</f>
        <v>0</v>
      </c>
      <c r="GN71" s="26">
        <f>IF(GN$2=InputTable[[#This Row],[Delivery Date]],_xlfn.XLOOKUP(GN$1,$BH$2:$BR$2,$BH71:$BR71,0),0)</f>
        <v>0</v>
      </c>
      <c r="GO71" s="26">
        <f>IF(GO$2=InputTable[[#This Row],[Delivery Date]],_xlfn.XLOOKUP(GO$1,$BH$2:$BR$2,$BH71:$BR71,0),0)</f>
        <v>0</v>
      </c>
      <c r="GP71" s="26">
        <f>IF(GP$2=InputTable[[#This Row],[Delivery Date]],_xlfn.XLOOKUP(GP$1,$BH$2:$BR$2,$BH71:$BR71,0),0)</f>
        <v>0</v>
      </c>
      <c r="GQ71" s="26">
        <f>IF(GQ$2=InputTable[[#This Row],[Delivery Date]],_xlfn.XLOOKUP(GQ$1,$BH$2:$BR$2,$BH71:$BR71,0),0)</f>
        <v>0</v>
      </c>
      <c r="GR71" s="26">
        <f>IF(GR$2=InputTable[[#This Row],[Delivery Date]],_xlfn.XLOOKUP(GR$1,$BH$2:$BR$2,$BH71:$BR71,0),0)</f>
        <v>0</v>
      </c>
      <c r="GS71" s="26">
        <f>IF(GS$2=InputTable[[#This Row],[Delivery Date]],_xlfn.XLOOKUP(GS$1,$BH$2:$BR$2,$BH71:$BR71,0),0)</f>
        <v>0</v>
      </c>
      <c r="GT71" s="26">
        <f>IF(GT$2=InputTable[[#This Row],[Delivery Date]],_xlfn.XLOOKUP(GT$1,$BH$2:$BR$2,$BH71:$BR71,0),0)</f>
        <v>0</v>
      </c>
      <c r="GV71" s="26" t="e">
        <f>IF(GV$2=InputTable[[#This Row],[Delivery Date]],_xlfn.XLOOKUP(GV$1,$BH$2:$BR$2,$BH71:$BR71,0),0)</f>
        <v>#REF!</v>
      </c>
      <c r="GW71" s="26">
        <f>IF(GW$2=InputTable[[#This Row],[Delivery Date]],_xlfn.XLOOKUP(GW$1,$BH$2:$BR$2,$BH71:$BR71,0),0)</f>
        <v>0</v>
      </c>
      <c r="GX71" s="26">
        <f>IF(GX$2=InputTable[[#This Row],[Delivery Date]],_xlfn.XLOOKUP(GX$1,$BH$2:$BR$2,$BH71:$BR71,0),0)</f>
        <v>0</v>
      </c>
      <c r="GY71" s="26">
        <f>IF(GY$2=InputTable[[#This Row],[Delivery Date]],_xlfn.XLOOKUP(GY$1,$BH$2:$BR$2,$BH71:$BR71,0),0)</f>
        <v>0</v>
      </c>
      <c r="GZ71" s="26">
        <f>IF(GZ$2=InputTable[[#This Row],[Delivery Date]],_xlfn.XLOOKUP(GZ$1,$BH$2:$BR$2,$BH71:$BR71,0),0)</f>
        <v>0</v>
      </c>
      <c r="HA71" s="26">
        <f>IF(HA$2=InputTable[[#This Row],[Delivery Date]],_xlfn.XLOOKUP(HA$1,$BH$2:$BR$2,$BH71:$BR71,0),0)</f>
        <v>0</v>
      </c>
      <c r="HB71" s="26">
        <f>IF(HB$2=InputTable[[#This Row],[Delivery Date]],_xlfn.XLOOKUP(HB$1,$BH$2:$BR$2,$BH71:$BR71,0),0)</f>
        <v>0</v>
      </c>
      <c r="HC71" s="26">
        <f>IF(HC$2=InputTable[[#This Row],[Delivery Date]],_xlfn.XLOOKUP(HC$1,$BH$2:$BR$2,$BH71:$BR71,0),0)</f>
        <v>0</v>
      </c>
      <c r="HD71" s="26">
        <f>IF(HD$2=InputTable[[#This Row],[Delivery Date]],_xlfn.XLOOKUP(HD$1,$BH$2:$BR$2,$BH71:$BR71,0),0)</f>
        <v>0</v>
      </c>
      <c r="HF71" s="26" t="e">
        <f>IF(HF$2=InputTable[[#This Row],[Delivery Date]],_xlfn.XLOOKUP(HF$1,$BH$2:$BR$2,$BH71:$BR71,0),0)</f>
        <v>#REF!</v>
      </c>
      <c r="HG71" s="26">
        <f>IF(HG$2=InputTable[[#This Row],[Delivery Date]],_xlfn.XLOOKUP(HG$1,$BH$2:$BR$2,$BH71:$BR71,0),0)</f>
        <v>0</v>
      </c>
      <c r="HH71" s="26">
        <f>IF(HH$2=InputTable[[#This Row],[Delivery Date]],_xlfn.XLOOKUP(HH$1,$BH$2:$BR$2,$BH71:$BR71,0),0)</f>
        <v>0</v>
      </c>
      <c r="HI71" s="26">
        <f>IF(HI$2=InputTable[[#This Row],[Delivery Date]],_xlfn.XLOOKUP(HI$1,$BH$2:$BR$2,$BH71:$BR71,0),0)</f>
        <v>0</v>
      </c>
      <c r="HJ71" s="26">
        <f>IF(HJ$2=InputTable[[#This Row],[Delivery Date]],_xlfn.XLOOKUP(HJ$1,$BH$2:$BR$2,$BH71:$BR71,0),0)</f>
        <v>0</v>
      </c>
      <c r="HK71" s="26">
        <f>IF(HK$2=InputTable[[#This Row],[Delivery Date]],_xlfn.XLOOKUP(HK$1,$BH$2:$BR$2,$BH71:$BR71,0),0)</f>
        <v>0</v>
      </c>
      <c r="HL71" s="26">
        <f>IF(HL$2=InputTable[[#This Row],[Delivery Date]],_xlfn.XLOOKUP(HL$1,$BH$2:$BR$2,$BH71:$BR71,0),0)</f>
        <v>0</v>
      </c>
      <c r="HM71" s="26">
        <f>IF(HM$2=InputTable[[#This Row],[Delivery Date]],_xlfn.XLOOKUP(HM$1,$BH$2:$BR$2,$BH71:$BR71,0),0)</f>
        <v>0</v>
      </c>
      <c r="HN71" s="26">
        <f>IF(HN$2=InputTable[[#This Row],[Delivery Date]],_xlfn.XLOOKUP(HN$1,$BH$2:$BR$2,$BH71:$BR71,0),0)</f>
        <v>0</v>
      </c>
      <c r="HP71" s="26" t="e">
        <f>IF(HP$2=InputTable[[#This Row],[Delivery Date]],_xlfn.XLOOKUP(HP$1,$BH$2:$BR$2,$BH71:$BR71,0),0)</f>
        <v>#REF!</v>
      </c>
      <c r="HQ71" s="26">
        <f>IF(HQ$2=InputTable[[#This Row],[Delivery Date]],_xlfn.XLOOKUP(HQ$1,$BH$2:$BR$2,$BH71:$BR71,0),0)</f>
        <v>0</v>
      </c>
      <c r="HR71" s="26">
        <f>IF(HR$2=InputTable[[#This Row],[Delivery Date]],_xlfn.XLOOKUP(HR$1,$BH$2:$BR$2,$BH71:$BR71,0),0)</f>
        <v>0</v>
      </c>
      <c r="HS71" s="26">
        <f>IF(HS$2=InputTable[[#This Row],[Delivery Date]],_xlfn.XLOOKUP(HS$1,$BH$2:$BR$2,$BH71:$BR71,0),0)</f>
        <v>0</v>
      </c>
      <c r="HT71" s="26">
        <f>IF(HT$2=InputTable[[#This Row],[Delivery Date]],_xlfn.XLOOKUP(HT$1,$BH$2:$BR$2,$BH71:$BR71,0),0)</f>
        <v>0</v>
      </c>
      <c r="HU71" s="26">
        <f>IF(HU$2=InputTable[[#This Row],[Delivery Date]],_xlfn.XLOOKUP(HU$1,$BH$2:$BR$2,$BH71:$BR71,0),0)</f>
        <v>0</v>
      </c>
      <c r="HV71" s="26">
        <f>IF(HV$2=InputTable[[#This Row],[Delivery Date]],_xlfn.XLOOKUP(HV$1,$BH$2:$BR$2,$BH71:$BR71,0),0)</f>
        <v>0</v>
      </c>
      <c r="HW71" s="26">
        <f>IF(HW$2=InputTable[[#This Row],[Delivery Date]],_xlfn.XLOOKUP(HW$1,$BH$2:$BR$2,$BH71:$BR71,0),0)</f>
        <v>0</v>
      </c>
      <c r="HX71" s="26">
        <f>IF(HX$2=InputTable[[#This Row],[Delivery Date]],_xlfn.XLOOKUP(HX$1,$BH$2:$BR$2,$BH71:$BR71,0),0)</f>
        <v>0</v>
      </c>
      <c r="HZ71" s="26" t="e">
        <f>IF(HZ$2=InputTable[[#This Row],[Delivery Date]],_xlfn.XLOOKUP(HZ$1,$BH$2:$BR$2,$BH71:$BR71,0),0)</f>
        <v>#REF!</v>
      </c>
      <c r="IA71" s="26">
        <f>IF(IA$2=InputTable[[#This Row],[Delivery Date]],_xlfn.XLOOKUP(IA$1,$BH$2:$BR$2,$BH71:$BR71,0),0)</f>
        <v>0</v>
      </c>
      <c r="IB71" s="26">
        <f>IF(IB$2=InputTable[[#This Row],[Delivery Date]],_xlfn.XLOOKUP(IB$1,$BH$2:$BR$2,$BH71:$BR71,0),0)</f>
        <v>0</v>
      </c>
      <c r="IC71" s="26">
        <f>IF(IC$2=InputTable[[#This Row],[Delivery Date]],_xlfn.XLOOKUP(IC$1,$BH$2:$BR$2,$BH71:$BR71,0),0)</f>
        <v>0</v>
      </c>
      <c r="ID71" s="26">
        <f>IF(ID$2=InputTable[[#This Row],[Delivery Date]],_xlfn.XLOOKUP(ID$1,$BH$2:$BR$2,$BH71:$BR71,0),0)</f>
        <v>0</v>
      </c>
      <c r="IE71" s="26">
        <f>IF(IE$2=InputTable[[#This Row],[Delivery Date]],_xlfn.XLOOKUP(IE$1,$BH$2:$BR$2,$BH71:$BR71,0),0)</f>
        <v>0</v>
      </c>
      <c r="IF71" s="26">
        <f>IF(IF$2=InputTable[[#This Row],[Delivery Date]],_xlfn.XLOOKUP(IF$1,$BH$2:$BR$2,$BH71:$BR71,0),0)</f>
        <v>0</v>
      </c>
      <c r="IG71" s="26">
        <f>IF(IG$2=InputTable[[#This Row],[Delivery Date]],_xlfn.XLOOKUP(IG$1,$BH$2:$BR$2,$BH71:$BR71,0),0)</f>
        <v>0</v>
      </c>
      <c r="IH71" s="26">
        <f>IF(IH$2=InputTable[[#This Row],[Delivery Date]],_xlfn.XLOOKUP(IH$1,$BH$2:$BR$2,$BH71:$BR71,0),0)</f>
        <v>0</v>
      </c>
      <c r="IJ71" s="26" t="e">
        <f>IF(IJ$2=InputTable[[#This Row],[Delivery Date]],_xlfn.XLOOKUP(IJ$1,$BH$2:$BR$2,$BH71:$BR71,0),0)</f>
        <v>#REF!</v>
      </c>
      <c r="IK71" s="26">
        <f>IF(IK$2=InputTable[[#This Row],[Delivery Date]],_xlfn.XLOOKUP(IK$1,$BH$2:$BR$2,$BH71:$BR71,0),0)</f>
        <v>0</v>
      </c>
      <c r="IL71" s="26">
        <f>IF(IL$2=InputTable[[#This Row],[Delivery Date]],_xlfn.XLOOKUP(IL$1,$BH$2:$BR$2,$BH71:$BR71,0),0)</f>
        <v>0</v>
      </c>
      <c r="IM71" s="26">
        <f>IF(IM$2=InputTable[[#This Row],[Delivery Date]],_xlfn.XLOOKUP(IM$1,$BH$2:$BR$2,$BH71:$BR71,0),0)</f>
        <v>0</v>
      </c>
      <c r="IN71" s="26">
        <f>IF(IN$2=InputTable[[#This Row],[Delivery Date]],_xlfn.XLOOKUP(IN$1,$BH$2:$BR$2,$BH71:$BR71,0),0)</f>
        <v>0</v>
      </c>
      <c r="IO71" s="26">
        <f>IF(IO$2=InputTable[[#This Row],[Delivery Date]],_xlfn.XLOOKUP(IO$1,$BH$2:$BR$2,$BH71:$BR71,0),0)</f>
        <v>0</v>
      </c>
      <c r="IP71" s="26">
        <f>IF(IP$2=InputTable[[#This Row],[Delivery Date]],_xlfn.XLOOKUP(IP$1,$BH$2:$BR$2,$BH71:$BR71,0),0)</f>
        <v>0</v>
      </c>
      <c r="IQ71" s="26">
        <f>IF(IQ$2=InputTable[[#This Row],[Delivery Date]],_xlfn.XLOOKUP(IQ$1,$BH$2:$BR$2,$BH71:$BR71,0),0)</f>
        <v>0</v>
      </c>
      <c r="IR71" s="26">
        <f>IF(IR$2=InputTable[[#This Row],[Delivery Date]],_xlfn.XLOOKUP(IR$1,$BH$2:$BR$2,$BH71:$BR71,0),0)</f>
        <v>0</v>
      </c>
      <c r="IT71" s="26" t="e">
        <f>IF(IT$2=InputTable[[#This Row],[Delivery Date]],_xlfn.XLOOKUP(IT$1,$BH$2:$BR$2,$BH71:$BR71,0),0)</f>
        <v>#REF!</v>
      </c>
      <c r="IU71" s="26">
        <f>IF(IU$2=InputTable[[#This Row],[Delivery Date]],_xlfn.XLOOKUP(IU$1,$BH$2:$BR$2,$BH71:$BR71,0),0)</f>
        <v>0</v>
      </c>
      <c r="IV71" s="26">
        <f>IF(IV$2=InputTable[[#This Row],[Delivery Date]],_xlfn.XLOOKUP(IV$1,$BH$2:$BR$2,$BH71:$BR71,0),0)</f>
        <v>0</v>
      </c>
      <c r="IW71" s="26">
        <f>IF(IW$2=InputTable[[#This Row],[Delivery Date]],_xlfn.XLOOKUP(IW$1,$BH$2:$BR$2,$BH71:$BR71,0),0)</f>
        <v>0</v>
      </c>
      <c r="IX71" s="26">
        <f>IF(IX$2=InputTable[[#This Row],[Delivery Date]],_xlfn.XLOOKUP(IX$1,$BH$2:$BR$2,$BH71:$BR71,0),0)</f>
        <v>0</v>
      </c>
      <c r="IY71" s="26">
        <f>IF(IY$2=InputTable[[#This Row],[Delivery Date]],_xlfn.XLOOKUP(IY$1,$BH$2:$BR$2,$BH71:$BR71,0),0)</f>
        <v>0</v>
      </c>
      <c r="IZ71" s="26">
        <f>IF(IZ$2=InputTable[[#This Row],[Delivery Date]],_xlfn.XLOOKUP(IZ$1,$BH$2:$BR$2,$BH71:$BR71,0),0)</f>
        <v>0</v>
      </c>
      <c r="JA71" s="26">
        <f>IF(JA$2=InputTable[[#This Row],[Delivery Date]],_xlfn.XLOOKUP(JA$1,$BH$2:$BR$2,$BH71:$BR71,0),0)</f>
        <v>0</v>
      </c>
      <c r="JB71" s="26">
        <f>IF(JB$2=InputTable[[#This Row],[Delivery Date]],_xlfn.XLOOKUP(JB$1,$BH$2:$BR$2,$BH71:$BR71,0),0)</f>
        <v>0</v>
      </c>
      <c r="JD71" s="26" t="e">
        <f>IF(JD$2=InputTable[[#This Row],[Delivery Date]],_xlfn.XLOOKUP(JD$1,$BH$2:$BR$2,$BH71:$BR71,0),0)</f>
        <v>#REF!</v>
      </c>
      <c r="JE71" s="26">
        <f>IF(JE$2=InputTable[[#This Row],[Delivery Date]],_xlfn.XLOOKUP(JE$1,$BH$2:$BR$2,$BH71:$BR71,0),0)</f>
        <v>0</v>
      </c>
      <c r="JF71" s="26">
        <f>IF(JF$2=InputTable[[#This Row],[Delivery Date]],_xlfn.XLOOKUP(JF$1,$BH$2:$BR$2,$BH71:$BR71,0),0)</f>
        <v>0</v>
      </c>
      <c r="JG71" s="26">
        <f>IF(JG$2=InputTable[[#This Row],[Delivery Date]],_xlfn.XLOOKUP(JG$1,$BH$2:$BR$2,$BH71:$BR71,0),0)</f>
        <v>0</v>
      </c>
      <c r="JH71" s="26">
        <f>IF(JH$2=InputTable[[#This Row],[Delivery Date]],_xlfn.XLOOKUP(JH$1,$BH$2:$BR$2,$BH71:$BR71,0),0)</f>
        <v>0</v>
      </c>
      <c r="JI71" s="26">
        <f>IF(JI$2=InputTable[[#This Row],[Delivery Date]],_xlfn.XLOOKUP(JI$1,$BH$2:$BR$2,$BH71:$BR71,0),0)</f>
        <v>0</v>
      </c>
      <c r="JJ71" s="26">
        <f>IF(JJ$2=InputTable[[#This Row],[Delivery Date]],_xlfn.XLOOKUP(JJ$1,$BH$2:$BR$2,$BH71:$BR71,0),0)</f>
        <v>0</v>
      </c>
      <c r="JK71" s="26">
        <f>IF(JK$2=InputTable[[#This Row],[Delivery Date]],_xlfn.XLOOKUP(JK$1,$BH$2:$BR$2,$BH71:$BR71,0),0)</f>
        <v>0</v>
      </c>
      <c r="JL71" s="26">
        <f>IF(JL$2=InputTable[[#This Row],[Delivery Date]],_xlfn.XLOOKUP(JL$1,$BH$2:$BR$2,$BH71:$BR71,0),0)</f>
        <v>0</v>
      </c>
      <c r="JN71" s="26" t="e">
        <f>IF(JN$2=InputTable[[#This Row],[Delivery Date]],_xlfn.XLOOKUP(JN$1,$BH$2:$BR$2,$BH71:$BR71,0),0)</f>
        <v>#REF!</v>
      </c>
      <c r="JO71" s="26">
        <f>IF(JO$2=InputTable[[#This Row],[Delivery Date]],_xlfn.XLOOKUP(JO$1,$BH$2:$BR$2,$BH71:$BR71,0),0)</f>
        <v>0</v>
      </c>
      <c r="JP71" s="26">
        <f>IF(JP$2=InputTable[[#This Row],[Delivery Date]],_xlfn.XLOOKUP(JP$1,$BH$2:$BR$2,$BH71:$BR71,0),0)</f>
        <v>0</v>
      </c>
      <c r="JQ71" s="26">
        <f>IF(JQ$2=InputTable[[#This Row],[Delivery Date]],_xlfn.XLOOKUP(JQ$1,$BH$2:$BR$2,$BH71:$BR71,0),0)</f>
        <v>0</v>
      </c>
      <c r="JR71" s="26">
        <f>IF(JR$2=InputTable[[#This Row],[Delivery Date]],_xlfn.XLOOKUP(JR$1,$BH$2:$BR$2,$BH71:$BR71,0),0)</f>
        <v>0</v>
      </c>
      <c r="JS71" s="26">
        <f>IF(JS$2=InputTable[[#This Row],[Delivery Date]],_xlfn.XLOOKUP(JS$1,$BH$2:$BR$2,$BH71:$BR71,0),0)</f>
        <v>0</v>
      </c>
      <c r="JT71" s="26">
        <f>IF(JT$2=InputTable[[#This Row],[Delivery Date]],_xlfn.XLOOKUP(JT$1,$BH$2:$BR$2,$BH71:$BR71,0),0)</f>
        <v>0</v>
      </c>
      <c r="JU71" s="26">
        <f>IF(JU$2=InputTable[[#This Row],[Delivery Date]],_xlfn.XLOOKUP(JU$1,$BH$2:$BR$2,$BH71:$BR71,0),0)</f>
        <v>0</v>
      </c>
      <c r="JV71" s="26">
        <f>IF(JV$2=InputTable[[#This Row],[Delivery Date]],_xlfn.XLOOKUP(JV$1,$BH$2:$BR$2,$BH71:$BR71,0),0)</f>
        <v>0</v>
      </c>
      <c r="JX71" s="26" t="e">
        <f>IF(JX$2=InputTable[[#This Row],[Delivery Date]],_xlfn.XLOOKUP(JX$1,$BH$2:$BR$2,$BH71:$BR71,0),0)</f>
        <v>#REF!</v>
      </c>
      <c r="JY71" s="26">
        <f>IF(JY$2=InputTable[[#This Row],[Delivery Date]],_xlfn.XLOOKUP(JY$1,$BH$2:$BR$2,$BH71:$BR71,0),0)</f>
        <v>0</v>
      </c>
      <c r="JZ71" s="26">
        <f>IF(JZ$2=InputTable[[#This Row],[Delivery Date]],_xlfn.XLOOKUP(JZ$1,$BH$2:$BR$2,$BH71:$BR71,0),0)</f>
        <v>0</v>
      </c>
      <c r="KA71" s="26">
        <f>IF(KA$2=InputTable[[#This Row],[Delivery Date]],_xlfn.XLOOKUP(KA$1,$BH$2:$BR$2,$BH71:$BR71,0),0)</f>
        <v>0</v>
      </c>
      <c r="KB71" s="26">
        <f>IF(KB$2=InputTable[[#This Row],[Delivery Date]],_xlfn.XLOOKUP(KB$1,$BH$2:$BR$2,$BH71:$BR71,0),0)</f>
        <v>0</v>
      </c>
      <c r="KC71" s="26">
        <f>IF(KC$2=InputTable[[#This Row],[Delivery Date]],_xlfn.XLOOKUP(KC$1,$BH$2:$BR$2,$BH71:$BR71,0),0)</f>
        <v>0</v>
      </c>
      <c r="KD71" s="26">
        <f>IF(KD$2=InputTable[[#This Row],[Delivery Date]],_xlfn.XLOOKUP(KD$1,$BH$2:$BR$2,$BH71:$BR71,0),0)</f>
        <v>0</v>
      </c>
      <c r="KE71" s="26">
        <f>IF(KE$2=InputTable[[#This Row],[Delivery Date]],_xlfn.XLOOKUP(KE$1,$BH$2:$BR$2,$BH71:$BR71,0),0)</f>
        <v>0</v>
      </c>
      <c r="KF71" s="26">
        <f>IF(KF$2=InputTable[[#This Row],[Delivery Date]],_xlfn.XLOOKUP(KF$1,$BH$2:$BR$2,$BH71:$BR71,0),0)</f>
        <v>0</v>
      </c>
    </row>
    <row r="72" spans="1:292" ht="39.6" customHeight="1" x14ac:dyDescent="0.25">
      <c r="A72" s="125" t="s">
        <v>162</v>
      </c>
      <c r="B72" s="141" t="s">
        <v>104</v>
      </c>
      <c r="C72" s="92" t="s">
        <v>59</v>
      </c>
      <c r="D72" s="125" t="s">
        <v>332</v>
      </c>
      <c r="E72" s="193" t="s">
        <v>333</v>
      </c>
      <c r="F72" s="92" t="s">
        <v>61</v>
      </c>
      <c r="G72" s="92" t="s">
        <v>98</v>
      </c>
      <c r="H72" s="92" t="s">
        <v>139</v>
      </c>
      <c r="I72" s="92">
        <v>2026</v>
      </c>
      <c r="J72" s="125"/>
      <c r="K72" s="95" t="e">
        <f>VLOOKUP((InputTable[[#This Row],[Starting Date]]&amp; " - " &amp;InputTable[[#This Row],[Delivery Date]]),'System List'!$F$40:$H$83,2,FALSE)</f>
        <v>#N/A</v>
      </c>
      <c r="L72" s="95" t="e">
        <f>VLOOKUP(InputTable[[#This Row],[Duration]],Duration,2,FALSE)</f>
        <v>#N/A</v>
      </c>
      <c r="M72" s="193"/>
      <c r="N72" s="92"/>
      <c r="O72" s="92" t="s">
        <v>100</v>
      </c>
      <c r="P72" s="92" t="s">
        <v>111</v>
      </c>
      <c r="Q72" s="92"/>
      <c r="R72" s="92"/>
      <c r="S72" s="92"/>
      <c r="T72" s="95" cm="1">
        <f t="array" ref="T7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3.6</v>
      </c>
      <c r="U72" s="138"/>
      <c r="V72" s="92"/>
      <c r="W72" s="92"/>
      <c r="X72" s="92"/>
      <c r="Y72" s="92" t="s">
        <v>111</v>
      </c>
      <c r="Z72" s="92"/>
      <c r="AA72" s="92" t="s">
        <v>111</v>
      </c>
      <c r="AB72" s="92"/>
      <c r="AC72" s="92"/>
      <c r="AD72" s="92">
        <f>COUNTA(InputTable[[#This Row],[CORPHRFIN]:[SALES]])</f>
        <v>2</v>
      </c>
      <c r="AE72" s="88" cm="1">
        <f t="array" ref="AE72">SUM(
_xlfn.XLOOKUP(InputTable[[#This Row],[CORPHRFIN]:[SALES]],'System List'!$F$4:$F$7,'System List'!$H$4:$H$7,0))</f>
        <v>10</v>
      </c>
      <c r="AF72" s="140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88" cm="1">
        <f t="array" ref="AR72">SUM(
_xlfn.XLOOKUP(InputTable[[#This Row],[Impact on - CIAL]:[Impact on - STRAT]],'System List'!$F$4:$F$7,'System List'!$H$4:$H$7,0))</f>
        <v>0</v>
      </c>
      <c r="AS72" s="88" t="e">
        <f>VLOOKUP(InputTable[[#This Row],[Duration]],Duration,2,FALSE)+InputTable[[#This Row],[Resource Score]]</f>
        <v>#N/A</v>
      </c>
      <c r="AT7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2" s="24" t="e">
        <f>InputTable[[#This Row],[Value Score]]/InputTable[[#This Row],[EFFORT SCORE]]*100</f>
        <v>#N/A</v>
      </c>
      <c r="AV72" s="25" t="str">
        <f>InputTable[[#This Row],[IS Portfolio Ref ID]]</f>
        <v>ISPRJ-26</v>
      </c>
      <c r="AW72" s="25" t="s">
        <v>222</v>
      </c>
      <c r="AX72" s="208" t="s">
        <v>154</v>
      </c>
      <c r="AY72" s="25"/>
      <c r="AZ72" s="209">
        <v>0</v>
      </c>
      <c r="BA72" s="209">
        <v>0</v>
      </c>
      <c r="BB72" s="209"/>
      <c r="BC72" s="189">
        <v>65000</v>
      </c>
      <c r="BD72" s="188">
        <v>1</v>
      </c>
      <c r="BE72" s="188">
        <v>2</v>
      </c>
      <c r="BF72" s="70"/>
      <c r="BH72" s="2">
        <f>IFERROR(VLOOKUP(InputTable[[#This Row],[Impact on - CIAL]],'System List'!$F$4:$H$7,3,FALSE),0)</f>
        <v>0</v>
      </c>
      <c r="BI72" s="2">
        <f>IFERROR(VLOOKUP(InputTable[[#This Row],[Impact on - COM]],'System List'!$F$4:$H$7,3,FALSE),0)</f>
        <v>0</v>
      </c>
      <c r="BJ72" s="2">
        <f>IFERROR(VLOOKUP(InputTable[[#This Row],[Impact on - FIN]],'System List'!$F$4:$H$7,3,FALSE),0)</f>
        <v>0</v>
      </c>
      <c r="BK72" s="2">
        <f>IFERROR(VLOOKUP(InputTable[[#This Row],[Impact on - GEN SEC]],'System List'!$F$4:$H$7,3,FALSE),0)</f>
        <v>0</v>
      </c>
      <c r="BL72" s="2">
        <f>IFERROR(VLOOKUP(InputTable[[#This Row],[Impact on - HR]],'System List'!$F$4:$H$7,3,FALSE),0)</f>
        <v>0</v>
      </c>
      <c r="BM72" s="2">
        <f>IFERROR(VLOOKUP(InputTable[[#This Row],[Impact on - IS]],'System List'!$F$4:$H$7,3,FALSE),0)</f>
        <v>0</v>
      </c>
      <c r="BN72" s="2">
        <f>IFERROR(VLOOKUP(InputTable[[#This Row],[Impact on - OPS]],'System List'!$F$4:$H$7,3,FALSE),0)</f>
        <v>0</v>
      </c>
      <c r="BO72" s="2">
        <f>IFERROR(VLOOKUP(InputTable[[#This Row],[Impact on - ROLL STOCK]],'System List'!$F$4:$H$7,3,FALSE),0)</f>
        <v>0</v>
      </c>
      <c r="BP72" s="2">
        <f>IFERROR(VLOOKUP(InputTable[[#This Row],[Impact on - SAFETY]],'System List'!$F$4:$H$7,3,FALSE),0)</f>
        <v>0</v>
      </c>
      <c r="BQ72" s="2">
        <f>IFERROR(VLOOKUP(InputTable[[#This Row],[Impact on - STATION]],'System List'!$F$4:$H$7,3,FALSE),0)</f>
        <v>0</v>
      </c>
      <c r="BR72" s="2">
        <f>IFERROR(VLOOKUP(InputTable[[#This Row],[Impact on - STRAT]],'System List'!$F$4:$H$7,3,FALSE),0)</f>
        <v>0</v>
      </c>
      <c r="BT72" s="2">
        <f>IFERROR(VLOOKUP(InputTable[[#This Row],[CORPHRFIN]],'System List'!$F$4:$H$7,3,FALSE),0)</f>
        <v>0</v>
      </c>
      <c r="BU72" s="2">
        <f>IFERROR(VLOOKUP(InputTable[[#This Row],[CUST]],'System List'!$F$4:$H$7,3,FALSE),0)</f>
        <v>0</v>
      </c>
      <c r="BV72" s="2">
        <f>IFERROR(VLOOKUP(InputTable[[#This Row],[CYBER]],'System List'!$F$4:$H$7,3,FALSE),0)</f>
        <v>0</v>
      </c>
      <c r="BW72" s="2">
        <f>IFERROR(VLOOKUP(InputTable[[#This Row],[DATA]],'System List'!$F$4:$H$7,3,FALSE),0)</f>
        <v>5</v>
      </c>
      <c r="BX72" s="2">
        <f>IFERROR(VLOOKUP(InputTable[[#This Row],[INFRA]],'System List'!$F$4:$H$7,3,FALSE),0)</f>
        <v>0</v>
      </c>
      <c r="BY72" s="2">
        <f>IFERROR(VLOOKUP(InputTable[[#This Row],[OPERATIONS]],'System List'!$F$4:$H$7,3,FALSE),0)</f>
        <v>5</v>
      </c>
      <c r="BZ72" s="2">
        <f>IFERROR(VLOOKUP(InputTable[[#This Row],[PMO]],'System List'!$F$4:$H$7,3,FALSE),0)</f>
        <v>0</v>
      </c>
      <c r="CA72" s="2">
        <f>IFERROR(VLOOKUP(InputTable[[#This Row],[SALES]],'System List'!$F$4:$H$7,3,FALSE),0)</f>
        <v>0</v>
      </c>
      <c r="CC72" s="2" cm="1">
        <f t="array" ref="CC7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2" s="2" cm="1">
        <f t="array" ref="CD7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2" s="2" cm="1">
        <f t="array" ref="CE7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2" s="2" cm="1">
        <f t="array" ref="CF7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2" s="2" cm="1">
        <f t="array" ref="CG7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2" s="2" cm="1">
        <f t="array" ref="CH7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2" s="2" cm="1">
        <f t="array" ref="CI7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2" s="2" cm="1">
        <f t="array" ref="CJ7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2" s="2" cm="1">
        <f t="array" ref="CK7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7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7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7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2" s="26">
        <f t="shared" ref="CX72:CX104" si="224">CN72*_xlfn.XLOOKUP(CX$1,$BT$2:$CA$2,$BT72:$CA72,0)</f>
        <v>0</v>
      </c>
      <c r="CY72" s="26">
        <f t="shared" ref="CY72:CY104" si="225">CO72*_xlfn.XLOOKUP(CY$1,$BT$2:$CA$2,$BT72:$CA72,0)</f>
        <v>0</v>
      </c>
      <c r="CZ72" s="26">
        <f t="shared" ref="CZ72:CZ104" si="226">CP72*_xlfn.XLOOKUP(CZ$1,$BT$2:$CA$2,$BT72:$CA72,0)</f>
        <v>0</v>
      </c>
      <c r="DA72" s="26">
        <f t="shared" ref="DA72:DA104" si="227">CQ72*_xlfn.XLOOKUP(DA$1,$BT$2:$CA$2,$BT72:$CA72,0)</f>
        <v>0</v>
      </c>
      <c r="DB72" s="26">
        <f t="shared" ref="DB72:DB104" si="228">CR72*_xlfn.XLOOKUP(DB$1,$BT$2:$CA$2,$BT72:$CA72,0)</f>
        <v>0</v>
      </c>
      <c r="DC72" s="26">
        <f t="shared" ref="DC72:DC104" si="229">CS72*_xlfn.XLOOKUP(DC$1,$BT$2:$CA$2,$BT72:$CA72,0)</f>
        <v>0</v>
      </c>
      <c r="DD72" s="26">
        <f t="shared" ref="DD72:DD104" si="230">CT72*_xlfn.XLOOKUP(DD$1,$BT$2:$CA$2,$BT72:$CA72,0)</f>
        <v>0</v>
      </c>
      <c r="DE72" s="26">
        <f t="shared" ref="DE72:DE104" si="231">CU72*_xlfn.XLOOKUP(DE$1,$BT$2:$CA$2,$BT72:$CA72,0)</f>
        <v>0</v>
      </c>
      <c r="DF72" s="26">
        <f t="shared" ref="DF72:DF104" si="232">CV72*_xlfn.XLOOKUP(DF$1,$BT$2:$CA$2,$BT72:$CA72,0)</f>
        <v>0</v>
      </c>
      <c r="DH72" s="26">
        <f t="shared" ref="DH72:DH104" si="233">$CN72*_xlfn.XLOOKUP(DH$1,$BT$2:$CA$2,$BT72:$CA72,0)</f>
        <v>0</v>
      </c>
      <c r="DI72" s="26">
        <f t="shared" ref="DI72:DI104" si="234">$CO72*_xlfn.XLOOKUP(DI$1,$BT$2:$CA$2,$BT72:$CA72,0)</f>
        <v>0</v>
      </c>
      <c r="DJ72" s="26">
        <f t="shared" ref="DJ72:DJ104" si="235">$CP72*_xlfn.XLOOKUP(DJ$1,$BT$2:$CA$2,$BT72:$CA72,0)</f>
        <v>0</v>
      </c>
      <c r="DK72" s="26">
        <f t="shared" ref="DK72:DK104" si="236">$CQ72*_xlfn.XLOOKUP(DK$1,$BT$2:$CA$2,$BT72:$CA72,0)</f>
        <v>0</v>
      </c>
      <c r="DL72" s="26">
        <f t="shared" ref="DL72:DL104" si="237">$CR72*_xlfn.XLOOKUP(DL$1,$BT$2:$CA$2,$BT72:$CA72,0)</f>
        <v>0</v>
      </c>
      <c r="DM72" s="26">
        <f t="shared" ref="DM72:DM104" si="238">$CS72*_xlfn.XLOOKUP(DM$1,$BT$2:$CA$2,$BT72:$CA72,0)</f>
        <v>0</v>
      </c>
      <c r="DN72" s="26">
        <f t="shared" ref="DN72:DN104" si="239">$CT72*_xlfn.XLOOKUP(DN$1,$BT$2:$CA$2,$BT72:$CA72,0)</f>
        <v>0</v>
      </c>
      <c r="DO72" s="26">
        <f t="shared" ref="DO72:DO104" si="240">$CU72*_xlfn.XLOOKUP(DO$1,$BT$2:$CA$2,$BT72:$CA72,0)</f>
        <v>0</v>
      </c>
      <c r="DP72" s="26">
        <f t="shared" ref="DP72:DP104" si="241">$CV72*_xlfn.XLOOKUP(DP$1,$BT$2:$CA$2,$BT72:$CA72,0)</f>
        <v>0</v>
      </c>
      <c r="DR72" s="26">
        <f t="shared" ref="DR72:DR104" si="242">$CN72*_xlfn.XLOOKUP(DR$1,$BT$2:$CA$2,$BT72:$CA72,0)</f>
        <v>0</v>
      </c>
      <c r="DS72" s="26">
        <f t="shared" ref="DS72:DS104" si="243">$CO72*_xlfn.XLOOKUP(DS$1,$BT$2:$CA$2,$BT72:$CA72,0)</f>
        <v>0</v>
      </c>
      <c r="DT72" s="26">
        <f t="shared" ref="DT72:DT104" si="244">$CP72*_xlfn.XLOOKUP(DT$1,$BT$2:$CA$2,$BT72:$CA72,0)</f>
        <v>0</v>
      </c>
      <c r="DU72" s="26">
        <f t="shared" ref="DU72:DU104" si="245">$CQ72*_xlfn.XLOOKUP(DU$1,$BT$2:$CA$2,$BT72:$CA72,0)</f>
        <v>0</v>
      </c>
      <c r="DV72" s="26">
        <f t="shared" ref="DV72:DV104" si="246">$CR72*_xlfn.XLOOKUP(DV$1,$BT$2:$CA$2,$BT72:$CA72,0)</f>
        <v>0</v>
      </c>
      <c r="DW72" s="26">
        <f t="shared" ref="DW72:DW104" si="247">$CS72*_xlfn.XLOOKUP(DW$1,$BT$2:$CA$2,$BT72:$CA72,0)</f>
        <v>0</v>
      </c>
      <c r="DX72" s="26">
        <f t="shared" ref="DX72:DX104" si="248">$CT72*_xlfn.XLOOKUP(DX$1,$BT$2:$CA$2,$BT72:$CA72,0)</f>
        <v>0</v>
      </c>
      <c r="DY72" s="26">
        <f t="shared" ref="DY72:DY104" si="249">$CU72*_xlfn.XLOOKUP(DY$1,$BT$2:$CA$2,$BT72:$CA72,0)</f>
        <v>0</v>
      </c>
      <c r="DZ72" s="26">
        <f t="shared" ref="DZ72:DZ104" si="250">$CV72*_xlfn.XLOOKUP(DZ$1,$BT$2:$CA$2,$BT72:$CA72,0)</f>
        <v>0</v>
      </c>
      <c r="EB72" s="26">
        <f t="shared" ref="EB72:EB104" si="251">$CN72*_xlfn.XLOOKUP(EB$1,$BT$2:$CA$2,$BT72:$CA72,0)</f>
        <v>0</v>
      </c>
      <c r="EC72" s="26">
        <f t="shared" ref="EC72:EC104" si="252">$CO72*_xlfn.XLOOKUP(EC$1,$BT$2:$CA$2,$BT72:$CA72,0)</f>
        <v>0</v>
      </c>
      <c r="ED72" s="26">
        <f t="shared" ref="ED72:ED104" si="253">$CP72*_xlfn.XLOOKUP(ED$1,$BT$2:$CA$2,$BT72:$CA72,0)</f>
        <v>0</v>
      </c>
      <c r="EE72" s="26">
        <f t="shared" ref="EE72:EE104" si="254">$CQ72*_xlfn.XLOOKUP(EE$1,$BT$2:$CA$2,$BT72:$CA72,0)</f>
        <v>0</v>
      </c>
      <c r="EF72" s="26">
        <f t="shared" ref="EF72:EF104" si="255">$CR72*_xlfn.XLOOKUP(EF$1,$BT$2:$CA$2,$BT72:$CA72,0)</f>
        <v>0</v>
      </c>
      <c r="EG72" s="26">
        <f t="shared" ref="EG72:EG104" si="256">$CS72*_xlfn.XLOOKUP(EG$1,$BT$2:$CA$2,$BT72:$CA72,0)</f>
        <v>5</v>
      </c>
      <c r="EH72" s="26">
        <f t="shared" ref="EH72:EH104" si="257">$CT72*_xlfn.XLOOKUP(EH$1,$BT$2:$CA$2,$BT72:$CA72,0)</f>
        <v>0</v>
      </c>
      <c r="EI72" s="26">
        <f t="shared" ref="EI72:EI104" si="258">$CU72*_xlfn.XLOOKUP(EI$1,$BT$2:$CA$2,$BT72:$CA72,0)</f>
        <v>0</v>
      </c>
      <c r="EJ72" s="26">
        <f t="shared" ref="EJ72:EJ104" si="259">$CV72*_xlfn.XLOOKUP(EJ$1,$BT$2:$CA$2,$BT72:$CA72,0)</f>
        <v>0</v>
      </c>
      <c r="EL72" s="26">
        <f t="shared" ref="EL72:EL104" si="260">$CN72*_xlfn.XLOOKUP(EL$1,$BT$2:$CA$2,$BT72:$CA72,0)</f>
        <v>0</v>
      </c>
      <c r="EM72" s="26">
        <f t="shared" ref="EM72:EM104" si="261">$CO72*_xlfn.XLOOKUP(EM$1,$BT$2:$CA$2,$BT72:$CA72,0)</f>
        <v>0</v>
      </c>
      <c r="EN72" s="26">
        <f t="shared" ref="EN72:EN104" si="262">$CP72*_xlfn.XLOOKUP(EN$1,$BT$2:$CA$2,$BT72:$CA72,0)</f>
        <v>0</v>
      </c>
      <c r="EO72" s="26">
        <f t="shared" ref="EO72:EO104" si="263">$CQ72*_xlfn.XLOOKUP(EO$1,$BT$2:$CA$2,$BT72:$CA72,0)</f>
        <v>0</v>
      </c>
      <c r="EP72" s="26">
        <f t="shared" ref="EP72:EP104" si="264">$CR72*_xlfn.XLOOKUP(EP$1,$BT$2:$CA$2,$BT72:$CA72,0)</f>
        <v>0</v>
      </c>
      <c r="EQ72" s="26">
        <f t="shared" ref="EQ72:EQ104" si="265">$CS72*_xlfn.XLOOKUP(EQ$1,$BT$2:$CA$2,$BT72:$CA72,0)</f>
        <v>0</v>
      </c>
      <c r="ER72" s="26">
        <f t="shared" ref="ER72:ER104" si="266">$CT72*_xlfn.XLOOKUP(ER$1,$BT$2:$CA$2,$BT72:$CA72,0)</f>
        <v>0</v>
      </c>
      <c r="ES72" s="26">
        <f t="shared" ref="ES72:ES104" si="267">$CU72*_xlfn.XLOOKUP(ES$1,$BT$2:$CA$2,$BT72:$CA72,0)</f>
        <v>0</v>
      </c>
      <c r="ET72" s="26">
        <f t="shared" ref="ET72:ET104" si="268">$CV72*_xlfn.XLOOKUP(ET$1,$BT$2:$CA$2,$BT72:$CA72,0)</f>
        <v>0</v>
      </c>
      <c r="EV72" s="26">
        <f t="shared" ref="EV72:EV104" si="269">$CN72*_xlfn.XLOOKUP(EV$1,$BT$2:$CA$2,$BT72:$CA72,0)</f>
        <v>0</v>
      </c>
      <c r="EW72" s="26">
        <f t="shared" ref="EW72:EW104" si="270">$CO72*_xlfn.XLOOKUP(EW$1,$BT$2:$CA$2,$BT72:$CA72,0)</f>
        <v>0</v>
      </c>
      <c r="EX72" s="26">
        <f t="shared" ref="EX72:EX104" si="271">$CP72*_xlfn.XLOOKUP(EX$1,$BT$2:$CA$2,$BT72:$CA72,0)</f>
        <v>0</v>
      </c>
      <c r="EY72" s="26">
        <f t="shared" ref="EY72:EY104" si="272">$CQ72*_xlfn.XLOOKUP(EY$1,$BT$2:$CA$2,$BT72:$CA72,0)</f>
        <v>0</v>
      </c>
      <c r="EZ72" s="26">
        <f t="shared" ref="EZ72:EZ104" si="273">$CR72*_xlfn.XLOOKUP(EZ$1,$BT$2:$CA$2,$BT72:$CA72,0)</f>
        <v>0</v>
      </c>
      <c r="FA72" s="26">
        <f t="shared" ref="FA72:FA104" si="274">$CS72*_xlfn.XLOOKUP(FA$1,$BT$2:$CA$2,$BT72:$CA72,0)</f>
        <v>5</v>
      </c>
      <c r="FB72" s="26">
        <f t="shared" ref="FB72:FB104" si="275">$CT72*_xlfn.XLOOKUP(FB$1,$BT$2:$CA$2,$BT72:$CA72,0)</f>
        <v>0</v>
      </c>
      <c r="FC72" s="26">
        <f t="shared" ref="FC72:FC104" si="276">$CU72*_xlfn.XLOOKUP(FC$1,$BT$2:$CA$2,$BT72:$CA72,0)</f>
        <v>0</v>
      </c>
      <c r="FD72" s="26">
        <f t="shared" ref="FD72:FD104" si="277">$CV72*_xlfn.XLOOKUP(FD$1,$BT$2:$CA$2,$BT72:$CA72,0)</f>
        <v>0</v>
      </c>
      <c r="FF72" s="26">
        <f t="shared" ref="FF72:FF104" si="278">$CN72*_xlfn.XLOOKUP(FF$1,$BT$2:$CA$2,$BT72:$CA72,0)</f>
        <v>0</v>
      </c>
      <c r="FG72" s="26">
        <f t="shared" ref="FG72:FG104" si="279">$CO72*_xlfn.XLOOKUP(FG$1,$BT$2:$CA$2,$BT72:$CA72,0)</f>
        <v>0</v>
      </c>
      <c r="FH72" s="26">
        <f t="shared" ref="FH72:FH104" si="280">$CP72*_xlfn.XLOOKUP(FH$1,$BT$2:$CA$2,$BT72:$CA72,0)</f>
        <v>0</v>
      </c>
      <c r="FI72" s="26">
        <f t="shared" ref="FI72:FI104" si="281">$CQ72*_xlfn.XLOOKUP(FI$1,$BT$2:$CA$2,$BT72:$CA72,0)</f>
        <v>0</v>
      </c>
      <c r="FJ72" s="26">
        <f t="shared" ref="FJ72:FJ104" si="282">$CR72*_xlfn.XLOOKUP(FJ$1,$BT$2:$CA$2,$BT72:$CA72,0)</f>
        <v>0</v>
      </c>
      <c r="FK72" s="26">
        <f t="shared" ref="FK72:FK104" si="283">$CS72*_xlfn.XLOOKUP(FK$1,$BT$2:$CA$2,$BT72:$CA72,0)</f>
        <v>0</v>
      </c>
      <c r="FL72" s="26">
        <f t="shared" ref="FL72:FL104" si="284">$CT72*_xlfn.XLOOKUP(FL$1,$BT$2:$CA$2,$BT72:$CA72,0)</f>
        <v>0</v>
      </c>
      <c r="FM72" s="26">
        <f t="shared" ref="FM72:FM104" si="285">$CU72*_xlfn.XLOOKUP(FM$1,$BT$2:$CA$2,$BT72:$CA72,0)</f>
        <v>0</v>
      </c>
      <c r="FN72" s="26">
        <f t="shared" ref="FN72:FN104" si="286">$CV72*_xlfn.XLOOKUP(FN$1,$BT$2:$CA$2,$BT72:$CA72,0)</f>
        <v>0</v>
      </c>
      <c r="FP72" s="26" t="e">
        <f t="shared" ref="FP72:FP104" si="287">$CN72*_xlfn.XLOOKUP(FP$1,$BT$2:$CA$2,$BT72:$CA72,0)</f>
        <v>#REF!</v>
      </c>
      <c r="FQ72" s="26" t="e">
        <f t="shared" ref="FQ72:FQ104" si="288">$CO72*_xlfn.XLOOKUP(FQ$1,$BT$2:$CA$2,$BT72:$CA72,0)</f>
        <v>#REF!</v>
      </c>
      <c r="FR72" s="26" t="e">
        <f t="shared" ref="FR72:FR104" si="289">$CP72*_xlfn.XLOOKUP(FR$1,$BT$2:$CA$2,$BT72:$CA72,0)</f>
        <v>#REF!</v>
      </c>
      <c r="FS72" s="26" t="e">
        <f t="shared" ref="FS72:FS104" si="290">$CQ72*_xlfn.XLOOKUP(FS$1,$BT$2:$CA$2,$BT72:$CA72,0)</f>
        <v>#REF!</v>
      </c>
      <c r="FT72" s="26" t="e">
        <f t="shared" ref="FT72:FT104" si="291">$CR72*_xlfn.XLOOKUP(FT$1,$BT$2:$CA$2,$BT72:$CA72,0)</f>
        <v>#REF!</v>
      </c>
      <c r="FU72" s="26" t="e">
        <f t="shared" ref="FU72:FU104" si="292">$CS72*_xlfn.XLOOKUP(FU$1,$BT$2:$CA$2,$BT72:$CA72,0)</f>
        <v>#REF!</v>
      </c>
      <c r="FV72" s="26" t="e">
        <f t="shared" ref="FV72:FV104" si="293">$CT72*_xlfn.XLOOKUP(FV$1,$BT$2:$CA$2,$BT72:$CA72,0)</f>
        <v>#REF!</v>
      </c>
      <c r="FW72" s="26" t="e">
        <f t="shared" ref="FW72:FW104" si="294">$CU72*_xlfn.XLOOKUP(FW$1,$BT$2:$CA$2,$BT72:$CA72,0)</f>
        <v>#REF!</v>
      </c>
      <c r="FX72" s="26" t="e">
        <f t="shared" ref="FX72:FX104" si="295">$CV72*_xlfn.XLOOKUP(FX$1,$BT$2:$CA$2,$BT72:$CA72,0)</f>
        <v>#REF!</v>
      </c>
      <c r="GB72" s="26" t="e">
        <f>IF(GB$2=InputTable[[#This Row],[Delivery Date]],_xlfn.XLOOKUP(GB$1,$BH$2:$BR$2,$BH72:$BR72,0),0)</f>
        <v>#REF!</v>
      </c>
      <c r="GC72" s="26">
        <f>IF(GC$2=InputTable[[#This Row],[Delivery Date]],_xlfn.XLOOKUP(GC$1,$BH$2:$BR$2,$BH72:$BR72,0),0)</f>
        <v>0</v>
      </c>
      <c r="GD72" s="26">
        <f>IF(GD$2=InputTable[[#This Row],[Delivery Date]],_xlfn.XLOOKUP(GD$1,$BH$2:$BR$2,$BH72:$BR72,0),0)</f>
        <v>0</v>
      </c>
      <c r="GE72" s="26">
        <f>IF(GE$2=InputTable[[#This Row],[Delivery Date]],_xlfn.XLOOKUP(GE$1,$BH$2:$BR$2,$BH72:$BR72,0),0)</f>
        <v>0</v>
      </c>
      <c r="GF72" s="26">
        <f>IF(GF$2=InputTable[[#This Row],[Delivery Date]],_xlfn.XLOOKUP(GF$1,$BH$2:$BR$2,$BH72:$BR72,0),0)</f>
        <v>0</v>
      </c>
      <c r="GG72" s="26">
        <f>IF(GG$2=InputTable[[#This Row],[Delivery Date]],_xlfn.XLOOKUP(GG$1,$BH$2:$BR$2,$BH72:$BR72,0),0)</f>
        <v>0</v>
      </c>
      <c r="GH72" s="26">
        <f>IF(GH$2=InputTable[[#This Row],[Delivery Date]],_xlfn.XLOOKUP(GH$1,$BH$2:$BR$2,$BH72:$BR72,0),0)</f>
        <v>0</v>
      </c>
      <c r="GI72" s="26">
        <f>IF(GI$2=InputTable[[#This Row],[Delivery Date]],_xlfn.XLOOKUP(GI$1,$BH$2:$BR$2,$BH72:$BR72,0),0)</f>
        <v>0</v>
      </c>
      <c r="GJ72" s="26">
        <f>IF(GJ$2=InputTable[[#This Row],[Delivery Date]],_xlfn.XLOOKUP(GJ$1,$BH$2:$BR$2,$BH72:$BR72,0),0)</f>
        <v>0</v>
      </c>
      <c r="GL72" s="26" t="e">
        <f>IF(GL$2=InputTable[[#This Row],[Delivery Date]],_xlfn.XLOOKUP(GL$1,$BH$2:$BR$2,$BH72:$BR72,0),0)</f>
        <v>#REF!</v>
      </c>
      <c r="GM72" s="26">
        <f>IF(GM$2=InputTable[[#This Row],[Delivery Date]],_xlfn.XLOOKUP(GM$1,$BH$2:$BR$2,$BH72:$BR72,0),0)</f>
        <v>0</v>
      </c>
      <c r="GN72" s="26">
        <f>IF(GN$2=InputTable[[#This Row],[Delivery Date]],_xlfn.XLOOKUP(GN$1,$BH$2:$BR$2,$BH72:$BR72,0),0)</f>
        <v>0</v>
      </c>
      <c r="GO72" s="26">
        <f>IF(GO$2=InputTable[[#This Row],[Delivery Date]],_xlfn.XLOOKUP(GO$1,$BH$2:$BR$2,$BH72:$BR72,0),0)</f>
        <v>0</v>
      </c>
      <c r="GP72" s="26">
        <f>IF(GP$2=InputTable[[#This Row],[Delivery Date]],_xlfn.XLOOKUP(GP$1,$BH$2:$BR$2,$BH72:$BR72,0),0)</f>
        <v>0</v>
      </c>
      <c r="GQ72" s="26">
        <f>IF(GQ$2=InputTable[[#This Row],[Delivery Date]],_xlfn.XLOOKUP(GQ$1,$BH$2:$BR$2,$BH72:$BR72,0),0)</f>
        <v>0</v>
      </c>
      <c r="GR72" s="26">
        <f>IF(GR$2=InputTable[[#This Row],[Delivery Date]],_xlfn.XLOOKUP(GR$1,$BH$2:$BR$2,$BH72:$BR72,0),0)</f>
        <v>0</v>
      </c>
      <c r="GS72" s="26">
        <f>IF(GS$2=InputTable[[#This Row],[Delivery Date]],_xlfn.XLOOKUP(GS$1,$BH$2:$BR$2,$BH72:$BR72,0),0)</f>
        <v>0</v>
      </c>
      <c r="GT72" s="26">
        <f>IF(GT$2=InputTable[[#This Row],[Delivery Date]],_xlfn.XLOOKUP(GT$1,$BH$2:$BR$2,$BH72:$BR72,0),0)</f>
        <v>0</v>
      </c>
      <c r="GV72" s="26" t="e">
        <f>IF(GV$2=InputTable[[#This Row],[Delivery Date]],_xlfn.XLOOKUP(GV$1,$BH$2:$BR$2,$BH72:$BR72,0),0)</f>
        <v>#REF!</v>
      </c>
      <c r="GW72" s="26">
        <f>IF(GW$2=InputTable[[#This Row],[Delivery Date]],_xlfn.XLOOKUP(GW$1,$BH$2:$BR$2,$BH72:$BR72,0),0)</f>
        <v>0</v>
      </c>
      <c r="GX72" s="26">
        <f>IF(GX$2=InputTable[[#This Row],[Delivery Date]],_xlfn.XLOOKUP(GX$1,$BH$2:$BR$2,$BH72:$BR72,0),0)</f>
        <v>0</v>
      </c>
      <c r="GY72" s="26">
        <f>IF(GY$2=InputTable[[#This Row],[Delivery Date]],_xlfn.XLOOKUP(GY$1,$BH$2:$BR$2,$BH72:$BR72,0),0)</f>
        <v>0</v>
      </c>
      <c r="GZ72" s="26">
        <f>IF(GZ$2=InputTable[[#This Row],[Delivery Date]],_xlfn.XLOOKUP(GZ$1,$BH$2:$BR$2,$BH72:$BR72,0),0)</f>
        <v>0</v>
      </c>
      <c r="HA72" s="26">
        <f>IF(HA$2=InputTable[[#This Row],[Delivery Date]],_xlfn.XLOOKUP(HA$1,$BH$2:$BR$2,$BH72:$BR72,0),0)</f>
        <v>0</v>
      </c>
      <c r="HB72" s="26">
        <f>IF(HB$2=InputTable[[#This Row],[Delivery Date]],_xlfn.XLOOKUP(HB$1,$BH$2:$BR$2,$BH72:$BR72,0),0)</f>
        <v>0</v>
      </c>
      <c r="HC72" s="26">
        <f>IF(HC$2=InputTable[[#This Row],[Delivery Date]],_xlfn.XLOOKUP(HC$1,$BH$2:$BR$2,$BH72:$BR72,0),0)</f>
        <v>0</v>
      </c>
      <c r="HD72" s="26">
        <f>IF(HD$2=InputTable[[#This Row],[Delivery Date]],_xlfn.XLOOKUP(HD$1,$BH$2:$BR$2,$BH72:$BR72,0),0)</f>
        <v>0</v>
      </c>
      <c r="HF72" s="26" t="e">
        <f>IF(HF$2=InputTable[[#This Row],[Delivery Date]],_xlfn.XLOOKUP(HF$1,$BH$2:$BR$2,$BH72:$BR72,0),0)</f>
        <v>#REF!</v>
      </c>
      <c r="HG72" s="26">
        <f>IF(HG$2=InputTable[[#This Row],[Delivery Date]],_xlfn.XLOOKUP(HG$1,$BH$2:$BR$2,$BH72:$BR72,0),0)</f>
        <v>0</v>
      </c>
      <c r="HH72" s="26">
        <f>IF(HH$2=InputTable[[#This Row],[Delivery Date]],_xlfn.XLOOKUP(HH$1,$BH$2:$BR$2,$BH72:$BR72,0),0)</f>
        <v>0</v>
      </c>
      <c r="HI72" s="26">
        <f>IF(HI$2=InputTable[[#This Row],[Delivery Date]],_xlfn.XLOOKUP(HI$1,$BH$2:$BR$2,$BH72:$BR72,0),0)</f>
        <v>0</v>
      </c>
      <c r="HJ72" s="26">
        <f>IF(HJ$2=InputTable[[#This Row],[Delivery Date]],_xlfn.XLOOKUP(HJ$1,$BH$2:$BR$2,$BH72:$BR72,0),0)</f>
        <v>0</v>
      </c>
      <c r="HK72" s="26">
        <f>IF(HK$2=InputTable[[#This Row],[Delivery Date]],_xlfn.XLOOKUP(HK$1,$BH$2:$BR$2,$BH72:$BR72,0),0)</f>
        <v>0</v>
      </c>
      <c r="HL72" s="26">
        <f>IF(HL$2=InputTable[[#This Row],[Delivery Date]],_xlfn.XLOOKUP(HL$1,$BH$2:$BR$2,$BH72:$BR72,0),0)</f>
        <v>0</v>
      </c>
      <c r="HM72" s="26">
        <f>IF(HM$2=InputTable[[#This Row],[Delivery Date]],_xlfn.XLOOKUP(HM$1,$BH$2:$BR$2,$BH72:$BR72,0),0)</f>
        <v>0</v>
      </c>
      <c r="HN72" s="26">
        <f>IF(HN$2=InputTable[[#This Row],[Delivery Date]],_xlfn.XLOOKUP(HN$1,$BH$2:$BR$2,$BH72:$BR72,0),0)</f>
        <v>0</v>
      </c>
      <c r="HP72" s="26" t="e">
        <f>IF(HP$2=InputTable[[#This Row],[Delivery Date]],_xlfn.XLOOKUP(HP$1,$BH$2:$BR$2,$BH72:$BR72,0),0)</f>
        <v>#REF!</v>
      </c>
      <c r="HQ72" s="26">
        <f>IF(HQ$2=InputTable[[#This Row],[Delivery Date]],_xlfn.XLOOKUP(HQ$1,$BH$2:$BR$2,$BH72:$BR72,0),0)</f>
        <v>0</v>
      </c>
      <c r="HR72" s="26">
        <f>IF(HR$2=InputTable[[#This Row],[Delivery Date]],_xlfn.XLOOKUP(HR$1,$BH$2:$BR$2,$BH72:$BR72,0),0)</f>
        <v>0</v>
      </c>
      <c r="HS72" s="26">
        <f>IF(HS$2=InputTable[[#This Row],[Delivery Date]],_xlfn.XLOOKUP(HS$1,$BH$2:$BR$2,$BH72:$BR72,0),0)</f>
        <v>0</v>
      </c>
      <c r="HT72" s="26">
        <f>IF(HT$2=InputTable[[#This Row],[Delivery Date]],_xlfn.XLOOKUP(HT$1,$BH$2:$BR$2,$BH72:$BR72,0),0)</f>
        <v>0</v>
      </c>
      <c r="HU72" s="26">
        <f>IF(HU$2=InputTable[[#This Row],[Delivery Date]],_xlfn.XLOOKUP(HU$1,$BH$2:$BR$2,$BH72:$BR72,0),0)</f>
        <v>0</v>
      </c>
      <c r="HV72" s="26">
        <f>IF(HV$2=InputTable[[#This Row],[Delivery Date]],_xlfn.XLOOKUP(HV$1,$BH$2:$BR$2,$BH72:$BR72,0),0)</f>
        <v>0</v>
      </c>
      <c r="HW72" s="26">
        <f>IF(HW$2=InputTable[[#This Row],[Delivery Date]],_xlfn.XLOOKUP(HW$1,$BH$2:$BR$2,$BH72:$BR72,0),0)</f>
        <v>0</v>
      </c>
      <c r="HX72" s="26">
        <f>IF(HX$2=InputTable[[#This Row],[Delivery Date]],_xlfn.XLOOKUP(HX$1,$BH$2:$BR$2,$BH72:$BR72,0),0)</f>
        <v>0</v>
      </c>
      <c r="HZ72" s="26" t="e">
        <f>IF(HZ$2=InputTable[[#This Row],[Delivery Date]],_xlfn.XLOOKUP(HZ$1,$BH$2:$BR$2,$BH72:$BR72,0),0)</f>
        <v>#REF!</v>
      </c>
      <c r="IA72" s="26">
        <f>IF(IA$2=InputTable[[#This Row],[Delivery Date]],_xlfn.XLOOKUP(IA$1,$BH$2:$BR$2,$BH72:$BR72,0),0)</f>
        <v>0</v>
      </c>
      <c r="IB72" s="26">
        <f>IF(IB$2=InputTable[[#This Row],[Delivery Date]],_xlfn.XLOOKUP(IB$1,$BH$2:$BR$2,$BH72:$BR72,0),0)</f>
        <v>0</v>
      </c>
      <c r="IC72" s="26">
        <f>IF(IC$2=InputTable[[#This Row],[Delivery Date]],_xlfn.XLOOKUP(IC$1,$BH$2:$BR$2,$BH72:$BR72,0),0)</f>
        <v>0</v>
      </c>
      <c r="ID72" s="26">
        <f>IF(ID$2=InputTable[[#This Row],[Delivery Date]],_xlfn.XLOOKUP(ID$1,$BH$2:$BR$2,$BH72:$BR72,0),0)</f>
        <v>0</v>
      </c>
      <c r="IE72" s="26">
        <f>IF(IE$2=InputTable[[#This Row],[Delivery Date]],_xlfn.XLOOKUP(IE$1,$BH$2:$BR$2,$BH72:$BR72,0),0)</f>
        <v>0</v>
      </c>
      <c r="IF72" s="26">
        <f>IF(IF$2=InputTable[[#This Row],[Delivery Date]],_xlfn.XLOOKUP(IF$1,$BH$2:$BR$2,$BH72:$BR72,0),0)</f>
        <v>0</v>
      </c>
      <c r="IG72" s="26">
        <f>IF(IG$2=InputTable[[#This Row],[Delivery Date]],_xlfn.XLOOKUP(IG$1,$BH$2:$BR$2,$BH72:$BR72,0),0)</f>
        <v>0</v>
      </c>
      <c r="IH72" s="26">
        <f>IF(IH$2=InputTable[[#This Row],[Delivery Date]],_xlfn.XLOOKUP(IH$1,$BH$2:$BR$2,$BH72:$BR72,0),0)</f>
        <v>0</v>
      </c>
      <c r="IJ72" s="26" t="e">
        <f>IF(IJ$2=InputTable[[#This Row],[Delivery Date]],_xlfn.XLOOKUP(IJ$1,$BH$2:$BR$2,$BH72:$BR72,0),0)</f>
        <v>#REF!</v>
      </c>
      <c r="IK72" s="26">
        <f>IF(IK$2=InputTable[[#This Row],[Delivery Date]],_xlfn.XLOOKUP(IK$1,$BH$2:$BR$2,$BH72:$BR72,0),0)</f>
        <v>0</v>
      </c>
      <c r="IL72" s="26">
        <f>IF(IL$2=InputTable[[#This Row],[Delivery Date]],_xlfn.XLOOKUP(IL$1,$BH$2:$BR$2,$BH72:$BR72,0),0)</f>
        <v>0</v>
      </c>
      <c r="IM72" s="26">
        <f>IF(IM$2=InputTable[[#This Row],[Delivery Date]],_xlfn.XLOOKUP(IM$1,$BH$2:$BR$2,$BH72:$BR72,0),0)</f>
        <v>0</v>
      </c>
      <c r="IN72" s="26">
        <f>IF(IN$2=InputTable[[#This Row],[Delivery Date]],_xlfn.XLOOKUP(IN$1,$BH$2:$BR$2,$BH72:$BR72,0),0)</f>
        <v>0</v>
      </c>
      <c r="IO72" s="26">
        <f>IF(IO$2=InputTable[[#This Row],[Delivery Date]],_xlfn.XLOOKUP(IO$1,$BH$2:$BR$2,$BH72:$BR72,0),0)</f>
        <v>0</v>
      </c>
      <c r="IP72" s="26">
        <f>IF(IP$2=InputTable[[#This Row],[Delivery Date]],_xlfn.XLOOKUP(IP$1,$BH$2:$BR$2,$BH72:$BR72,0),0)</f>
        <v>0</v>
      </c>
      <c r="IQ72" s="26">
        <f>IF(IQ$2=InputTable[[#This Row],[Delivery Date]],_xlfn.XLOOKUP(IQ$1,$BH$2:$BR$2,$BH72:$BR72,0),0)</f>
        <v>0</v>
      </c>
      <c r="IR72" s="26">
        <f>IF(IR$2=InputTable[[#This Row],[Delivery Date]],_xlfn.XLOOKUP(IR$1,$BH$2:$BR$2,$BH72:$BR72,0),0)</f>
        <v>0</v>
      </c>
      <c r="IT72" s="26" t="e">
        <f>IF(IT$2=InputTable[[#This Row],[Delivery Date]],_xlfn.XLOOKUP(IT$1,$BH$2:$BR$2,$BH72:$BR72,0),0)</f>
        <v>#REF!</v>
      </c>
      <c r="IU72" s="26">
        <f>IF(IU$2=InputTable[[#This Row],[Delivery Date]],_xlfn.XLOOKUP(IU$1,$BH$2:$BR$2,$BH72:$BR72,0),0)</f>
        <v>0</v>
      </c>
      <c r="IV72" s="26">
        <f>IF(IV$2=InputTable[[#This Row],[Delivery Date]],_xlfn.XLOOKUP(IV$1,$BH$2:$BR$2,$BH72:$BR72,0),0)</f>
        <v>0</v>
      </c>
      <c r="IW72" s="26">
        <f>IF(IW$2=InputTable[[#This Row],[Delivery Date]],_xlfn.XLOOKUP(IW$1,$BH$2:$BR$2,$BH72:$BR72,0),0)</f>
        <v>0</v>
      </c>
      <c r="IX72" s="26">
        <f>IF(IX$2=InputTable[[#This Row],[Delivery Date]],_xlfn.XLOOKUP(IX$1,$BH$2:$BR$2,$BH72:$BR72,0),0)</f>
        <v>0</v>
      </c>
      <c r="IY72" s="26">
        <f>IF(IY$2=InputTable[[#This Row],[Delivery Date]],_xlfn.XLOOKUP(IY$1,$BH$2:$BR$2,$BH72:$BR72,0),0)</f>
        <v>0</v>
      </c>
      <c r="IZ72" s="26">
        <f>IF(IZ$2=InputTable[[#This Row],[Delivery Date]],_xlfn.XLOOKUP(IZ$1,$BH$2:$BR$2,$BH72:$BR72,0),0)</f>
        <v>0</v>
      </c>
      <c r="JA72" s="26">
        <f>IF(JA$2=InputTable[[#This Row],[Delivery Date]],_xlfn.XLOOKUP(JA$1,$BH$2:$BR$2,$BH72:$BR72,0),0)</f>
        <v>0</v>
      </c>
      <c r="JB72" s="26">
        <f>IF(JB$2=InputTable[[#This Row],[Delivery Date]],_xlfn.XLOOKUP(JB$1,$BH$2:$BR$2,$BH72:$BR72,0),0)</f>
        <v>0</v>
      </c>
      <c r="JD72" s="26" t="e">
        <f>IF(JD$2=InputTable[[#This Row],[Delivery Date]],_xlfn.XLOOKUP(JD$1,$BH$2:$BR$2,$BH72:$BR72,0),0)</f>
        <v>#REF!</v>
      </c>
      <c r="JE72" s="26">
        <f>IF(JE$2=InputTable[[#This Row],[Delivery Date]],_xlfn.XLOOKUP(JE$1,$BH$2:$BR$2,$BH72:$BR72,0),0)</f>
        <v>0</v>
      </c>
      <c r="JF72" s="26">
        <f>IF(JF$2=InputTable[[#This Row],[Delivery Date]],_xlfn.XLOOKUP(JF$1,$BH$2:$BR$2,$BH72:$BR72,0),0)</f>
        <v>0</v>
      </c>
      <c r="JG72" s="26">
        <f>IF(JG$2=InputTable[[#This Row],[Delivery Date]],_xlfn.XLOOKUP(JG$1,$BH$2:$BR$2,$BH72:$BR72,0),0)</f>
        <v>0</v>
      </c>
      <c r="JH72" s="26">
        <f>IF(JH$2=InputTable[[#This Row],[Delivery Date]],_xlfn.XLOOKUP(JH$1,$BH$2:$BR$2,$BH72:$BR72,0),0)</f>
        <v>0</v>
      </c>
      <c r="JI72" s="26">
        <f>IF(JI$2=InputTable[[#This Row],[Delivery Date]],_xlfn.XLOOKUP(JI$1,$BH$2:$BR$2,$BH72:$BR72,0),0)</f>
        <v>0</v>
      </c>
      <c r="JJ72" s="26">
        <f>IF(JJ$2=InputTable[[#This Row],[Delivery Date]],_xlfn.XLOOKUP(JJ$1,$BH$2:$BR$2,$BH72:$BR72,0),0)</f>
        <v>0</v>
      </c>
      <c r="JK72" s="26">
        <f>IF(JK$2=InputTable[[#This Row],[Delivery Date]],_xlfn.XLOOKUP(JK$1,$BH$2:$BR$2,$BH72:$BR72,0),0)</f>
        <v>0</v>
      </c>
      <c r="JL72" s="26">
        <f>IF(JL$2=InputTable[[#This Row],[Delivery Date]],_xlfn.XLOOKUP(JL$1,$BH$2:$BR$2,$BH72:$BR72,0),0)</f>
        <v>0</v>
      </c>
      <c r="JN72" s="26" t="e">
        <f>IF(JN$2=InputTable[[#This Row],[Delivery Date]],_xlfn.XLOOKUP(JN$1,$BH$2:$BR$2,$BH72:$BR72,0),0)</f>
        <v>#REF!</v>
      </c>
      <c r="JO72" s="26">
        <f>IF(JO$2=InputTable[[#This Row],[Delivery Date]],_xlfn.XLOOKUP(JO$1,$BH$2:$BR$2,$BH72:$BR72,0),0)</f>
        <v>0</v>
      </c>
      <c r="JP72" s="26">
        <f>IF(JP$2=InputTable[[#This Row],[Delivery Date]],_xlfn.XLOOKUP(JP$1,$BH$2:$BR$2,$BH72:$BR72,0),0)</f>
        <v>0</v>
      </c>
      <c r="JQ72" s="26">
        <f>IF(JQ$2=InputTable[[#This Row],[Delivery Date]],_xlfn.XLOOKUP(JQ$1,$BH$2:$BR$2,$BH72:$BR72,0),0)</f>
        <v>0</v>
      </c>
      <c r="JR72" s="26">
        <f>IF(JR$2=InputTable[[#This Row],[Delivery Date]],_xlfn.XLOOKUP(JR$1,$BH$2:$BR$2,$BH72:$BR72,0),0)</f>
        <v>0</v>
      </c>
      <c r="JS72" s="26">
        <f>IF(JS$2=InputTable[[#This Row],[Delivery Date]],_xlfn.XLOOKUP(JS$1,$BH$2:$BR$2,$BH72:$BR72,0),0)</f>
        <v>0</v>
      </c>
      <c r="JT72" s="26">
        <f>IF(JT$2=InputTable[[#This Row],[Delivery Date]],_xlfn.XLOOKUP(JT$1,$BH$2:$BR$2,$BH72:$BR72,0),0)</f>
        <v>0</v>
      </c>
      <c r="JU72" s="26">
        <f>IF(JU$2=InputTable[[#This Row],[Delivery Date]],_xlfn.XLOOKUP(JU$1,$BH$2:$BR$2,$BH72:$BR72,0),0)</f>
        <v>0</v>
      </c>
      <c r="JV72" s="26">
        <f>IF(JV$2=InputTable[[#This Row],[Delivery Date]],_xlfn.XLOOKUP(JV$1,$BH$2:$BR$2,$BH72:$BR72,0),0)</f>
        <v>0</v>
      </c>
      <c r="JX72" s="26" t="e">
        <f>IF(JX$2=InputTable[[#This Row],[Delivery Date]],_xlfn.XLOOKUP(JX$1,$BH$2:$BR$2,$BH72:$BR72,0),0)</f>
        <v>#REF!</v>
      </c>
      <c r="JY72" s="26">
        <f>IF(JY$2=InputTable[[#This Row],[Delivery Date]],_xlfn.XLOOKUP(JY$1,$BH$2:$BR$2,$BH72:$BR72,0),0)</f>
        <v>0</v>
      </c>
      <c r="JZ72" s="26">
        <f>IF(JZ$2=InputTable[[#This Row],[Delivery Date]],_xlfn.XLOOKUP(JZ$1,$BH$2:$BR$2,$BH72:$BR72,0),0)</f>
        <v>0</v>
      </c>
      <c r="KA72" s="26">
        <f>IF(KA$2=InputTable[[#This Row],[Delivery Date]],_xlfn.XLOOKUP(KA$1,$BH$2:$BR$2,$BH72:$BR72,0),0)</f>
        <v>0</v>
      </c>
      <c r="KB72" s="26">
        <f>IF(KB$2=InputTable[[#This Row],[Delivery Date]],_xlfn.XLOOKUP(KB$1,$BH$2:$BR$2,$BH72:$BR72,0),0)</f>
        <v>0</v>
      </c>
      <c r="KC72" s="26">
        <f>IF(KC$2=InputTable[[#This Row],[Delivery Date]],_xlfn.XLOOKUP(KC$1,$BH$2:$BR$2,$BH72:$BR72,0),0)</f>
        <v>0</v>
      </c>
      <c r="KD72" s="26">
        <f>IF(KD$2=InputTable[[#This Row],[Delivery Date]],_xlfn.XLOOKUP(KD$1,$BH$2:$BR$2,$BH72:$BR72,0),0)</f>
        <v>0</v>
      </c>
      <c r="KE72" s="26">
        <f>IF(KE$2=InputTable[[#This Row],[Delivery Date]],_xlfn.XLOOKUP(KE$1,$BH$2:$BR$2,$BH72:$BR72,0),0)</f>
        <v>0</v>
      </c>
      <c r="KF72" s="26">
        <f>IF(KF$2=InputTable[[#This Row],[Delivery Date]],_xlfn.XLOOKUP(KF$1,$BH$2:$BR$2,$BH72:$BR72,0),0)</f>
        <v>0</v>
      </c>
    </row>
    <row r="73" spans="1:292" ht="39.6" hidden="1" customHeight="1" x14ac:dyDescent="0.25">
      <c r="A73" s="125"/>
      <c r="B73" s="141" t="s">
        <v>156</v>
      </c>
      <c r="C73" s="92" t="s">
        <v>59</v>
      </c>
      <c r="D73" s="125" t="s">
        <v>335</v>
      </c>
      <c r="E73" s="193" t="s">
        <v>336</v>
      </c>
      <c r="F73" s="92" t="s">
        <v>24</v>
      </c>
      <c r="G73" s="92" t="s">
        <v>160</v>
      </c>
      <c r="H73" s="92"/>
      <c r="I73" s="98" t="s">
        <v>137</v>
      </c>
      <c r="J73" s="142"/>
      <c r="K73" s="92" t="e">
        <f>VLOOKUP((InputTable[[#This Row],[Starting Date]]&amp; " - " &amp;InputTable[[#This Row],[Delivery Date]]),'System List'!$F$40:$H$83,2,FALSE)</f>
        <v>#N/A</v>
      </c>
      <c r="L73" s="92" t="e">
        <f>VLOOKUP(InputTable[[#This Row],[Duration]],Duration,2,FALSE)</f>
        <v>#N/A</v>
      </c>
      <c r="M73" s="217" t="s">
        <v>110</v>
      </c>
      <c r="N73" s="92"/>
      <c r="O73" s="92"/>
      <c r="P73" s="92"/>
      <c r="Q73" s="92"/>
      <c r="R73" s="92" t="s">
        <v>139</v>
      </c>
      <c r="S73" s="92"/>
      <c r="T73" s="95" cm="1">
        <f t="array" ref="T7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</v>
      </c>
      <c r="U73" s="138"/>
      <c r="V73" s="92"/>
      <c r="W73" s="92"/>
      <c r="X73" s="92"/>
      <c r="Y73" s="92"/>
      <c r="Z73" s="92"/>
      <c r="AA73" s="92"/>
      <c r="AB73" s="92"/>
      <c r="AC73" s="92"/>
      <c r="AD73" s="92">
        <f>COUNTA(InputTable[[#This Row],[CORPHRFIN]:[SALES]])</f>
        <v>0</v>
      </c>
      <c r="AE73" s="88" cm="1">
        <f t="array" ref="AE73">SUM(
_xlfn.XLOOKUP(InputTable[[#This Row],[CORPHRFIN]:[SALES]],'System List'!$F$4:$F$7,'System List'!$H$4:$H$7,0))</f>
        <v>0</v>
      </c>
      <c r="AF73" s="140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88" cm="1">
        <f t="array" ref="AR73">SUM(
_xlfn.XLOOKUP(InputTable[[#This Row],[Impact on - CIAL]:[Impact on - STRAT]],'System List'!$F$4:$F$7,'System List'!$H$4:$H$7,0))</f>
        <v>0</v>
      </c>
      <c r="AS73" s="88" t="e">
        <f>VLOOKUP(InputTable[[#This Row],[Duration]],Duration,2,FALSE)+InputTable[[#This Row],[Resource Score]]</f>
        <v>#N/A</v>
      </c>
      <c r="AT7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3" s="24" t="e">
        <f>InputTable[[#This Row],[Value Score]]/InputTable[[#This Row],[EFFORT SCORE]]*100</f>
        <v>#N/A</v>
      </c>
      <c r="AV73" s="25"/>
      <c r="AW73" s="25" t="s">
        <v>225</v>
      </c>
      <c r="AX73" s="208" t="s">
        <v>154</v>
      </c>
      <c r="AY73" s="25"/>
      <c r="AZ73" s="189"/>
      <c r="BA73" s="189"/>
      <c r="BB73" s="189"/>
      <c r="BC73" s="189">
        <v>52500</v>
      </c>
      <c r="BD73" s="188">
        <v>1</v>
      </c>
      <c r="BE73" s="188">
        <v>3</v>
      </c>
      <c r="BF73" s="70"/>
      <c r="BH73" s="2">
        <f>IFERROR(VLOOKUP(InputTable[[#This Row],[Impact on - CIAL]],'System List'!$F$4:$H$7,3,FALSE),0)</f>
        <v>0</v>
      </c>
      <c r="BI73" s="2">
        <f>IFERROR(VLOOKUP(InputTable[[#This Row],[Impact on - COM]],'System List'!$F$4:$H$7,3,FALSE),0)</f>
        <v>0</v>
      </c>
      <c r="BJ73" s="2">
        <f>IFERROR(VLOOKUP(InputTable[[#This Row],[Impact on - FIN]],'System List'!$F$4:$H$7,3,FALSE),0)</f>
        <v>0</v>
      </c>
      <c r="BK73" s="2">
        <f>IFERROR(VLOOKUP(InputTable[[#This Row],[Impact on - GEN SEC]],'System List'!$F$4:$H$7,3,FALSE),0)</f>
        <v>0</v>
      </c>
      <c r="BL73" s="2">
        <f>IFERROR(VLOOKUP(InputTable[[#This Row],[Impact on - HR]],'System List'!$F$4:$H$7,3,FALSE),0)</f>
        <v>0</v>
      </c>
      <c r="BM73" s="2">
        <f>IFERROR(VLOOKUP(InputTable[[#This Row],[Impact on - IS]],'System List'!$F$4:$H$7,3,FALSE),0)</f>
        <v>0</v>
      </c>
      <c r="BN73" s="2">
        <f>IFERROR(VLOOKUP(InputTable[[#This Row],[Impact on - OPS]],'System List'!$F$4:$H$7,3,FALSE),0)</f>
        <v>0</v>
      </c>
      <c r="BO73" s="2">
        <f>IFERROR(VLOOKUP(InputTable[[#This Row],[Impact on - ROLL STOCK]],'System List'!$F$4:$H$7,3,FALSE),0)</f>
        <v>0</v>
      </c>
      <c r="BP73" s="2">
        <f>IFERROR(VLOOKUP(InputTable[[#This Row],[Impact on - SAFETY]],'System List'!$F$4:$H$7,3,FALSE),0)</f>
        <v>0</v>
      </c>
      <c r="BQ73" s="2">
        <f>IFERROR(VLOOKUP(InputTable[[#This Row],[Impact on - STATION]],'System List'!$F$4:$H$7,3,FALSE),0)</f>
        <v>0</v>
      </c>
      <c r="BR73" s="2">
        <f>IFERROR(VLOOKUP(InputTable[[#This Row],[Impact on - STRAT]],'System List'!$F$4:$H$7,3,FALSE),0)</f>
        <v>0</v>
      </c>
      <c r="BT73" s="2">
        <f>IFERROR(VLOOKUP(InputTable[[#This Row],[CORPHRFIN]],'System List'!$F$4:$H$7,3,FALSE),0)</f>
        <v>0</v>
      </c>
      <c r="BU73" s="2">
        <f>IFERROR(VLOOKUP(InputTable[[#This Row],[CUST]],'System List'!$F$4:$H$7,3,FALSE),0)</f>
        <v>0</v>
      </c>
      <c r="BV73" s="2">
        <f>IFERROR(VLOOKUP(InputTable[[#This Row],[CYBER]],'System List'!$F$4:$H$7,3,FALSE),0)</f>
        <v>0</v>
      </c>
      <c r="BW73" s="2">
        <f>IFERROR(VLOOKUP(InputTable[[#This Row],[DATA]],'System List'!$F$4:$H$7,3,FALSE),0)</f>
        <v>0</v>
      </c>
      <c r="BX73" s="2">
        <f>IFERROR(VLOOKUP(InputTable[[#This Row],[INFRA]],'System List'!$F$4:$H$7,3,FALSE),0)</f>
        <v>0</v>
      </c>
      <c r="BY73" s="2">
        <f>IFERROR(VLOOKUP(InputTable[[#This Row],[OPERATIONS]],'System List'!$F$4:$H$7,3,FALSE),0)</f>
        <v>0</v>
      </c>
      <c r="BZ73" s="2">
        <f>IFERROR(VLOOKUP(InputTable[[#This Row],[PMO]],'System List'!$F$4:$H$7,3,FALSE),0)</f>
        <v>0</v>
      </c>
      <c r="CA73" s="2">
        <f>IFERROR(VLOOKUP(InputTable[[#This Row],[SALES]],'System List'!$F$4:$H$7,3,FALSE),0)</f>
        <v>0</v>
      </c>
      <c r="CC73" s="2" cm="1">
        <f t="array" ref="CC7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3" s="2" cm="1">
        <f t="array" ref="CD7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3" s="2" cm="1">
        <f t="array" ref="CE7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3" s="2" cm="1">
        <f t="array" ref="CF7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3" s="2" cm="1">
        <f t="array" ref="CG7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3" s="2" cm="1">
        <f t="array" ref="CH7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3" s="2" cm="1">
        <f t="array" ref="CI7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3" s="2" cm="1">
        <f t="array" ref="CJ7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3" s="2" cm="1">
        <f t="array" ref="CK7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7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7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7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3" s="26">
        <f t="shared" si="224"/>
        <v>0</v>
      </c>
      <c r="CY73" s="26">
        <f t="shared" si="225"/>
        <v>0</v>
      </c>
      <c r="CZ73" s="26">
        <f t="shared" si="226"/>
        <v>0</v>
      </c>
      <c r="DA73" s="26">
        <f t="shared" si="227"/>
        <v>0</v>
      </c>
      <c r="DB73" s="26">
        <f t="shared" si="228"/>
        <v>0</v>
      </c>
      <c r="DC73" s="26">
        <f t="shared" si="229"/>
        <v>0</v>
      </c>
      <c r="DD73" s="26">
        <f t="shared" si="230"/>
        <v>0</v>
      </c>
      <c r="DE73" s="26">
        <f t="shared" si="231"/>
        <v>0</v>
      </c>
      <c r="DF73" s="26">
        <f t="shared" si="232"/>
        <v>0</v>
      </c>
      <c r="DH73" s="26">
        <f t="shared" si="233"/>
        <v>0</v>
      </c>
      <c r="DI73" s="26">
        <f t="shared" si="234"/>
        <v>0</v>
      </c>
      <c r="DJ73" s="26">
        <f t="shared" si="235"/>
        <v>0</v>
      </c>
      <c r="DK73" s="26">
        <f t="shared" si="236"/>
        <v>0</v>
      </c>
      <c r="DL73" s="26">
        <f t="shared" si="237"/>
        <v>0</v>
      </c>
      <c r="DM73" s="26">
        <f t="shared" si="238"/>
        <v>0</v>
      </c>
      <c r="DN73" s="26">
        <f t="shared" si="239"/>
        <v>0</v>
      </c>
      <c r="DO73" s="26">
        <f t="shared" si="240"/>
        <v>0</v>
      </c>
      <c r="DP73" s="26">
        <f t="shared" si="241"/>
        <v>0</v>
      </c>
      <c r="DR73" s="26">
        <f t="shared" si="242"/>
        <v>0</v>
      </c>
      <c r="DS73" s="26">
        <f t="shared" si="243"/>
        <v>0</v>
      </c>
      <c r="DT73" s="26">
        <f t="shared" si="244"/>
        <v>0</v>
      </c>
      <c r="DU73" s="26">
        <f t="shared" si="245"/>
        <v>0</v>
      </c>
      <c r="DV73" s="26">
        <f t="shared" si="246"/>
        <v>0</v>
      </c>
      <c r="DW73" s="26">
        <f t="shared" si="247"/>
        <v>0</v>
      </c>
      <c r="DX73" s="26">
        <f t="shared" si="248"/>
        <v>0</v>
      </c>
      <c r="DY73" s="26">
        <f t="shared" si="249"/>
        <v>0</v>
      </c>
      <c r="DZ73" s="26">
        <f t="shared" si="250"/>
        <v>0</v>
      </c>
      <c r="EB73" s="26">
        <f t="shared" si="251"/>
        <v>0</v>
      </c>
      <c r="EC73" s="26">
        <f t="shared" si="252"/>
        <v>0</v>
      </c>
      <c r="ED73" s="26">
        <f t="shared" si="253"/>
        <v>0</v>
      </c>
      <c r="EE73" s="26">
        <f t="shared" si="254"/>
        <v>0</v>
      </c>
      <c r="EF73" s="26">
        <f t="shared" si="255"/>
        <v>0</v>
      </c>
      <c r="EG73" s="26">
        <f t="shared" si="256"/>
        <v>0</v>
      </c>
      <c r="EH73" s="26">
        <f t="shared" si="257"/>
        <v>0</v>
      </c>
      <c r="EI73" s="26">
        <f t="shared" si="258"/>
        <v>0</v>
      </c>
      <c r="EJ73" s="26">
        <f t="shared" si="259"/>
        <v>0</v>
      </c>
      <c r="EL73" s="26">
        <f t="shared" si="260"/>
        <v>0</v>
      </c>
      <c r="EM73" s="26">
        <f t="shared" si="261"/>
        <v>0</v>
      </c>
      <c r="EN73" s="26">
        <f t="shared" si="262"/>
        <v>0</v>
      </c>
      <c r="EO73" s="26">
        <f t="shared" si="263"/>
        <v>0</v>
      </c>
      <c r="EP73" s="26">
        <f t="shared" si="264"/>
        <v>0</v>
      </c>
      <c r="EQ73" s="26">
        <f t="shared" si="265"/>
        <v>0</v>
      </c>
      <c r="ER73" s="26">
        <f t="shared" si="266"/>
        <v>0</v>
      </c>
      <c r="ES73" s="26">
        <f t="shared" si="267"/>
        <v>0</v>
      </c>
      <c r="ET73" s="26">
        <f t="shared" si="268"/>
        <v>0</v>
      </c>
      <c r="EV73" s="26">
        <f t="shared" si="269"/>
        <v>0</v>
      </c>
      <c r="EW73" s="26">
        <f t="shared" si="270"/>
        <v>0</v>
      </c>
      <c r="EX73" s="26">
        <f t="shared" si="271"/>
        <v>0</v>
      </c>
      <c r="EY73" s="26">
        <f t="shared" si="272"/>
        <v>0</v>
      </c>
      <c r="EZ73" s="26">
        <f t="shared" si="273"/>
        <v>0</v>
      </c>
      <c r="FA73" s="26">
        <f t="shared" si="274"/>
        <v>0</v>
      </c>
      <c r="FB73" s="26">
        <f t="shared" si="275"/>
        <v>0</v>
      </c>
      <c r="FC73" s="26">
        <f t="shared" si="276"/>
        <v>0</v>
      </c>
      <c r="FD73" s="26">
        <f t="shared" si="277"/>
        <v>0</v>
      </c>
      <c r="FF73" s="26">
        <f t="shared" si="278"/>
        <v>0</v>
      </c>
      <c r="FG73" s="26">
        <f t="shared" si="279"/>
        <v>0</v>
      </c>
      <c r="FH73" s="26">
        <f t="shared" si="280"/>
        <v>0</v>
      </c>
      <c r="FI73" s="26">
        <f t="shared" si="281"/>
        <v>0</v>
      </c>
      <c r="FJ73" s="26">
        <f t="shared" si="282"/>
        <v>0</v>
      </c>
      <c r="FK73" s="26">
        <f t="shared" si="283"/>
        <v>0</v>
      </c>
      <c r="FL73" s="26">
        <f t="shared" si="284"/>
        <v>0</v>
      </c>
      <c r="FM73" s="26">
        <f t="shared" si="285"/>
        <v>0</v>
      </c>
      <c r="FN73" s="26">
        <f t="shared" si="286"/>
        <v>0</v>
      </c>
      <c r="FP73" s="26" t="e">
        <f t="shared" si="287"/>
        <v>#REF!</v>
      </c>
      <c r="FQ73" s="26" t="e">
        <f t="shared" si="288"/>
        <v>#REF!</v>
      </c>
      <c r="FR73" s="26" t="e">
        <f t="shared" si="289"/>
        <v>#REF!</v>
      </c>
      <c r="FS73" s="26" t="e">
        <f t="shared" si="290"/>
        <v>#REF!</v>
      </c>
      <c r="FT73" s="26" t="e">
        <f t="shared" si="291"/>
        <v>#REF!</v>
      </c>
      <c r="FU73" s="26" t="e">
        <f t="shared" si="292"/>
        <v>#REF!</v>
      </c>
      <c r="FV73" s="26" t="e">
        <f t="shared" si="293"/>
        <v>#REF!</v>
      </c>
      <c r="FW73" s="26" t="e">
        <f t="shared" si="294"/>
        <v>#REF!</v>
      </c>
      <c r="FX73" s="26" t="e">
        <f t="shared" si="295"/>
        <v>#REF!</v>
      </c>
      <c r="GB73" s="26" t="e">
        <f>IF(GB$2=InputTable[[#This Row],[Delivery Date]],_xlfn.XLOOKUP(GB$1,$BH$2:$BR$2,$BH73:$BR73,0),0)</f>
        <v>#REF!</v>
      </c>
      <c r="GC73" s="26">
        <f>IF(GC$2=InputTable[[#This Row],[Delivery Date]],_xlfn.XLOOKUP(GC$1,$BH$2:$BR$2,$BH73:$BR73,0),0)</f>
        <v>0</v>
      </c>
      <c r="GD73" s="26">
        <f>IF(GD$2=InputTable[[#This Row],[Delivery Date]],_xlfn.XLOOKUP(GD$1,$BH$2:$BR$2,$BH73:$BR73,0),0)</f>
        <v>0</v>
      </c>
      <c r="GE73" s="26">
        <f>IF(GE$2=InputTable[[#This Row],[Delivery Date]],_xlfn.XLOOKUP(GE$1,$BH$2:$BR$2,$BH73:$BR73,0),0)</f>
        <v>0</v>
      </c>
      <c r="GF73" s="26">
        <f>IF(GF$2=InputTable[[#This Row],[Delivery Date]],_xlfn.XLOOKUP(GF$1,$BH$2:$BR$2,$BH73:$BR73,0),0)</f>
        <v>0</v>
      </c>
      <c r="GG73" s="26">
        <f>IF(GG$2=InputTable[[#This Row],[Delivery Date]],_xlfn.XLOOKUP(GG$1,$BH$2:$BR$2,$BH73:$BR73,0),0)</f>
        <v>0</v>
      </c>
      <c r="GH73" s="26">
        <f>IF(GH$2=InputTable[[#This Row],[Delivery Date]],_xlfn.XLOOKUP(GH$1,$BH$2:$BR$2,$BH73:$BR73,0),0)</f>
        <v>0</v>
      </c>
      <c r="GI73" s="26">
        <f>IF(GI$2=InputTable[[#This Row],[Delivery Date]],_xlfn.XLOOKUP(GI$1,$BH$2:$BR$2,$BH73:$BR73,0),0)</f>
        <v>0</v>
      </c>
      <c r="GJ73" s="26">
        <f>IF(GJ$2=InputTable[[#This Row],[Delivery Date]],_xlfn.XLOOKUP(GJ$1,$BH$2:$BR$2,$BH73:$BR73,0),0)</f>
        <v>0</v>
      </c>
      <c r="GL73" s="26" t="e">
        <f>IF(GL$2=InputTable[[#This Row],[Delivery Date]],_xlfn.XLOOKUP(GL$1,$BH$2:$BR$2,$BH73:$BR73,0),0)</f>
        <v>#REF!</v>
      </c>
      <c r="GM73" s="26">
        <f>IF(GM$2=InputTable[[#This Row],[Delivery Date]],_xlfn.XLOOKUP(GM$1,$BH$2:$BR$2,$BH73:$BR73,0),0)</f>
        <v>0</v>
      </c>
      <c r="GN73" s="26">
        <f>IF(GN$2=InputTable[[#This Row],[Delivery Date]],_xlfn.XLOOKUP(GN$1,$BH$2:$BR$2,$BH73:$BR73,0),0)</f>
        <v>0</v>
      </c>
      <c r="GO73" s="26">
        <f>IF(GO$2=InputTable[[#This Row],[Delivery Date]],_xlfn.XLOOKUP(GO$1,$BH$2:$BR$2,$BH73:$BR73,0),0)</f>
        <v>0</v>
      </c>
      <c r="GP73" s="26">
        <f>IF(GP$2=InputTable[[#This Row],[Delivery Date]],_xlfn.XLOOKUP(GP$1,$BH$2:$BR$2,$BH73:$BR73,0),0)</f>
        <v>0</v>
      </c>
      <c r="GQ73" s="26">
        <f>IF(GQ$2=InputTable[[#This Row],[Delivery Date]],_xlfn.XLOOKUP(GQ$1,$BH$2:$BR$2,$BH73:$BR73,0),0)</f>
        <v>0</v>
      </c>
      <c r="GR73" s="26">
        <f>IF(GR$2=InputTable[[#This Row],[Delivery Date]],_xlfn.XLOOKUP(GR$1,$BH$2:$BR$2,$BH73:$BR73,0),0)</f>
        <v>0</v>
      </c>
      <c r="GS73" s="26">
        <f>IF(GS$2=InputTable[[#This Row],[Delivery Date]],_xlfn.XLOOKUP(GS$1,$BH$2:$BR$2,$BH73:$BR73,0),0)</f>
        <v>0</v>
      </c>
      <c r="GT73" s="26">
        <f>IF(GT$2=InputTable[[#This Row],[Delivery Date]],_xlfn.XLOOKUP(GT$1,$BH$2:$BR$2,$BH73:$BR73,0),0)</f>
        <v>0</v>
      </c>
      <c r="GV73" s="26" t="e">
        <f>IF(GV$2=InputTable[[#This Row],[Delivery Date]],_xlfn.XLOOKUP(GV$1,$BH$2:$BR$2,$BH73:$BR73,0),0)</f>
        <v>#REF!</v>
      </c>
      <c r="GW73" s="26">
        <f>IF(GW$2=InputTable[[#This Row],[Delivery Date]],_xlfn.XLOOKUP(GW$1,$BH$2:$BR$2,$BH73:$BR73,0),0)</f>
        <v>0</v>
      </c>
      <c r="GX73" s="26">
        <f>IF(GX$2=InputTable[[#This Row],[Delivery Date]],_xlfn.XLOOKUP(GX$1,$BH$2:$BR$2,$BH73:$BR73,0),0)</f>
        <v>0</v>
      </c>
      <c r="GY73" s="26">
        <f>IF(GY$2=InputTable[[#This Row],[Delivery Date]],_xlfn.XLOOKUP(GY$1,$BH$2:$BR$2,$BH73:$BR73,0),0)</f>
        <v>0</v>
      </c>
      <c r="GZ73" s="26">
        <f>IF(GZ$2=InputTable[[#This Row],[Delivery Date]],_xlfn.XLOOKUP(GZ$1,$BH$2:$BR$2,$BH73:$BR73,0),0)</f>
        <v>0</v>
      </c>
      <c r="HA73" s="26">
        <f>IF(HA$2=InputTable[[#This Row],[Delivery Date]],_xlfn.XLOOKUP(HA$1,$BH$2:$BR$2,$BH73:$BR73,0),0)</f>
        <v>0</v>
      </c>
      <c r="HB73" s="26">
        <f>IF(HB$2=InputTable[[#This Row],[Delivery Date]],_xlfn.XLOOKUP(HB$1,$BH$2:$BR$2,$BH73:$BR73,0),0)</f>
        <v>0</v>
      </c>
      <c r="HC73" s="26">
        <f>IF(HC$2=InputTable[[#This Row],[Delivery Date]],_xlfn.XLOOKUP(HC$1,$BH$2:$BR$2,$BH73:$BR73,0),0)</f>
        <v>0</v>
      </c>
      <c r="HD73" s="26">
        <f>IF(HD$2=InputTable[[#This Row],[Delivery Date]],_xlfn.XLOOKUP(HD$1,$BH$2:$BR$2,$BH73:$BR73,0),0)</f>
        <v>0</v>
      </c>
      <c r="HF73" s="26" t="e">
        <f>IF(HF$2=InputTable[[#This Row],[Delivery Date]],_xlfn.XLOOKUP(HF$1,$BH$2:$BR$2,$BH73:$BR73,0),0)</f>
        <v>#REF!</v>
      </c>
      <c r="HG73" s="26">
        <f>IF(HG$2=InputTable[[#This Row],[Delivery Date]],_xlfn.XLOOKUP(HG$1,$BH$2:$BR$2,$BH73:$BR73,0),0)</f>
        <v>0</v>
      </c>
      <c r="HH73" s="26">
        <f>IF(HH$2=InputTable[[#This Row],[Delivery Date]],_xlfn.XLOOKUP(HH$1,$BH$2:$BR$2,$BH73:$BR73,0),0)</f>
        <v>0</v>
      </c>
      <c r="HI73" s="26">
        <f>IF(HI$2=InputTable[[#This Row],[Delivery Date]],_xlfn.XLOOKUP(HI$1,$BH$2:$BR$2,$BH73:$BR73,0),0)</f>
        <v>0</v>
      </c>
      <c r="HJ73" s="26">
        <f>IF(HJ$2=InputTable[[#This Row],[Delivery Date]],_xlfn.XLOOKUP(HJ$1,$BH$2:$BR$2,$BH73:$BR73,0),0)</f>
        <v>0</v>
      </c>
      <c r="HK73" s="26">
        <f>IF(HK$2=InputTable[[#This Row],[Delivery Date]],_xlfn.XLOOKUP(HK$1,$BH$2:$BR$2,$BH73:$BR73,0),0)</f>
        <v>0</v>
      </c>
      <c r="HL73" s="26">
        <f>IF(HL$2=InputTable[[#This Row],[Delivery Date]],_xlfn.XLOOKUP(HL$1,$BH$2:$BR$2,$BH73:$BR73,0),0)</f>
        <v>0</v>
      </c>
      <c r="HM73" s="26">
        <f>IF(HM$2=InputTable[[#This Row],[Delivery Date]],_xlfn.XLOOKUP(HM$1,$BH$2:$BR$2,$BH73:$BR73,0),0)</f>
        <v>0</v>
      </c>
      <c r="HN73" s="26">
        <f>IF(HN$2=InputTable[[#This Row],[Delivery Date]],_xlfn.XLOOKUP(HN$1,$BH$2:$BR$2,$BH73:$BR73,0),0)</f>
        <v>0</v>
      </c>
      <c r="HP73" s="26" t="e">
        <f>IF(HP$2=InputTable[[#This Row],[Delivery Date]],_xlfn.XLOOKUP(HP$1,$BH$2:$BR$2,$BH73:$BR73,0),0)</f>
        <v>#REF!</v>
      </c>
      <c r="HQ73" s="26">
        <f>IF(HQ$2=InputTable[[#This Row],[Delivery Date]],_xlfn.XLOOKUP(HQ$1,$BH$2:$BR$2,$BH73:$BR73,0),0)</f>
        <v>0</v>
      </c>
      <c r="HR73" s="26">
        <f>IF(HR$2=InputTable[[#This Row],[Delivery Date]],_xlfn.XLOOKUP(HR$1,$BH$2:$BR$2,$BH73:$BR73,0),0)</f>
        <v>0</v>
      </c>
      <c r="HS73" s="26">
        <f>IF(HS$2=InputTable[[#This Row],[Delivery Date]],_xlfn.XLOOKUP(HS$1,$BH$2:$BR$2,$BH73:$BR73,0),0)</f>
        <v>0</v>
      </c>
      <c r="HT73" s="26">
        <f>IF(HT$2=InputTable[[#This Row],[Delivery Date]],_xlfn.XLOOKUP(HT$1,$BH$2:$BR$2,$BH73:$BR73,0),0)</f>
        <v>0</v>
      </c>
      <c r="HU73" s="26">
        <f>IF(HU$2=InputTable[[#This Row],[Delivery Date]],_xlfn.XLOOKUP(HU$1,$BH$2:$BR$2,$BH73:$BR73,0),0)</f>
        <v>0</v>
      </c>
      <c r="HV73" s="26">
        <f>IF(HV$2=InputTable[[#This Row],[Delivery Date]],_xlfn.XLOOKUP(HV$1,$BH$2:$BR$2,$BH73:$BR73,0),0)</f>
        <v>0</v>
      </c>
      <c r="HW73" s="26">
        <f>IF(HW$2=InputTable[[#This Row],[Delivery Date]],_xlfn.XLOOKUP(HW$1,$BH$2:$BR$2,$BH73:$BR73,0),0)</f>
        <v>0</v>
      </c>
      <c r="HX73" s="26">
        <f>IF(HX$2=InputTable[[#This Row],[Delivery Date]],_xlfn.XLOOKUP(HX$1,$BH$2:$BR$2,$BH73:$BR73,0),0)</f>
        <v>0</v>
      </c>
      <c r="HZ73" s="26" t="e">
        <f>IF(HZ$2=InputTable[[#This Row],[Delivery Date]],_xlfn.XLOOKUP(HZ$1,$BH$2:$BR$2,$BH73:$BR73,0),0)</f>
        <v>#REF!</v>
      </c>
      <c r="IA73" s="26">
        <f>IF(IA$2=InputTable[[#This Row],[Delivery Date]],_xlfn.XLOOKUP(IA$1,$BH$2:$BR$2,$BH73:$BR73,0),0)</f>
        <v>0</v>
      </c>
      <c r="IB73" s="26">
        <f>IF(IB$2=InputTable[[#This Row],[Delivery Date]],_xlfn.XLOOKUP(IB$1,$BH$2:$BR$2,$BH73:$BR73,0),0)</f>
        <v>0</v>
      </c>
      <c r="IC73" s="26">
        <f>IF(IC$2=InputTable[[#This Row],[Delivery Date]],_xlfn.XLOOKUP(IC$1,$BH$2:$BR$2,$BH73:$BR73,0),0)</f>
        <v>0</v>
      </c>
      <c r="ID73" s="26">
        <f>IF(ID$2=InputTable[[#This Row],[Delivery Date]],_xlfn.XLOOKUP(ID$1,$BH$2:$BR$2,$BH73:$BR73,0),0)</f>
        <v>0</v>
      </c>
      <c r="IE73" s="26">
        <f>IF(IE$2=InputTable[[#This Row],[Delivery Date]],_xlfn.XLOOKUP(IE$1,$BH$2:$BR$2,$BH73:$BR73,0),0)</f>
        <v>0</v>
      </c>
      <c r="IF73" s="26">
        <f>IF(IF$2=InputTable[[#This Row],[Delivery Date]],_xlfn.XLOOKUP(IF$1,$BH$2:$BR$2,$BH73:$BR73,0),0)</f>
        <v>0</v>
      </c>
      <c r="IG73" s="26">
        <f>IF(IG$2=InputTable[[#This Row],[Delivery Date]],_xlfn.XLOOKUP(IG$1,$BH$2:$BR$2,$BH73:$BR73,0),0)</f>
        <v>0</v>
      </c>
      <c r="IH73" s="26">
        <f>IF(IH$2=InputTable[[#This Row],[Delivery Date]],_xlfn.XLOOKUP(IH$1,$BH$2:$BR$2,$BH73:$BR73,0),0)</f>
        <v>0</v>
      </c>
      <c r="IJ73" s="26" t="e">
        <f>IF(IJ$2=InputTable[[#This Row],[Delivery Date]],_xlfn.XLOOKUP(IJ$1,$BH$2:$BR$2,$BH73:$BR73,0),0)</f>
        <v>#REF!</v>
      </c>
      <c r="IK73" s="26">
        <f>IF(IK$2=InputTable[[#This Row],[Delivery Date]],_xlfn.XLOOKUP(IK$1,$BH$2:$BR$2,$BH73:$BR73,0),0)</f>
        <v>0</v>
      </c>
      <c r="IL73" s="26">
        <f>IF(IL$2=InputTable[[#This Row],[Delivery Date]],_xlfn.XLOOKUP(IL$1,$BH$2:$BR$2,$BH73:$BR73,0),0)</f>
        <v>0</v>
      </c>
      <c r="IM73" s="26">
        <f>IF(IM$2=InputTable[[#This Row],[Delivery Date]],_xlfn.XLOOKUP(IM$1,$BH$2:$BR$2,$BH73:$BR73,0),0)</f>
        <v>0</v>
      </c>
      <c r="IN73" s="26">
        <f>IF(IN$2=InputTable[[#This Row],[Delivery Date]],_xlfn.XLOOKUP(IN$1,$BH$2:$BR$2,$BH73:$BR73,0),0)</f>
        <v>0</v>
      </c>
      <c r="IO73" s="26">
        <f>IF(IO$2=InputTable[[#This Row],[Delivery Date]],_xlfn.XLOOKUP(IO$1,$BH$2:$BR$2,$BH73:$BR73,0),0)</f>
        <v>0</v>
      </c>
      <c r="IP73" s="26">
        <f>IF(IP$2=InputTable[[#This Row],[Delivery Date]],_xlfn.XLOOKUP(IP$1,$BH$2:$BR$2,$BH73:$BR73,0),0)</f>
        <v>0</v>
      </c>
      <c r="IQ73" s="26">
        <f>IF(IQ$2=InputTable[[#This Row],[Delivery Date]],_xlfn.XLOOKUP(IQ$1,$BH$2:$BR$2,$BH73:$BR73,0),0)</f>
        <v>0</v>
      </c>
      <c r="IR73" s="26">
        <f>IF(IR$2=InputTable[[#This Row],[Delivery Date]],_xlfn.XLOOKUP(IR$1,$BH$2:$BR$2,$BH73:$BR73,0),0)</f>
        <v>0</v>
      </c>
      <c r="IT73" s="26" t="e">
        <f>IF(IT$2=InputTable[[#This Row],[Delivery Date]],_xlfn.XLOOKUP(IT$1,$BH$2:$BR$2,$BH73:$BR73,0),0)</f>
        <v>#REF!</v>
      </c>
      <c r="IU73" s="26">
        <f>IF(IU$2=InputTable[[#This Row],[Delivery Date]],_xlfn.XLOOKUP(IU$1,$BH$2:$BR$2,$BH73:$BR73,0),0)</f>
        <v>0</v>
      </c>
      <c r="IV73" s="26">
        <f>IF(IV$2=InputTable[[#This Row],[Delivery Date]],_xlfn.XLOOKUP(IV$1,$BH$2:$BR$2,$BH73:$BR73,0),0)</f>
        <v>0</v>
      </c>
      <c r="IW73" s="26">
        <f>IF(IW$2=InputTable[[#This Row],[Delivery Date]],_xlfn.XLOOKUP(IW$1,$BH$2:$BR$2,$BH73:$BR73,0),0)</f>
        <v>0</v>
      </c>
      <c r="IX73" s="26">
        <f>IF(IX$2=InputTable[[#This Row],[Delivery Date]],_xlfn.XLOOKUP(IX$1,$BH$2:$BR$2,$BH73:$BR73,0),0)</f>
        <v>0</v>
      </c>
      <c r="IY73" s="26">
        <f>IF(IY$2=InputTable[[#This Row],[Delivery Date]],_xlfn.XLOOKUP(IY$1,$BH$2:$BR$2,$BH73:$BR73,0),0)</f>
        <v>0</v>
      </c>
      <c r="IZ73" s="26">
        <f>IF(IZ$2=InputTable[[#This Row],[Delivery Date]],_xlfn.XLOOKUP(IZ$1,$BH$2:$BR$2,$BH73:$BR73,0),0)</f>
        <v>0</v>
      </c>
      <c r="JA73" s="26">
        <f>IF(JA$2=InputTable[[#This Row],[Delivery Date]],_xlfn.XLOOKUP(JA$1,$BH$2:$BR$2,$BH73:$BR73,0),0)</f>
        <v>0</v>
      </c>
      <c r="JB73" s="26">
        <f>IF(JB$2=InputTable[[#This Row],[Delivery Date]],_xlfn.XLOOKUP(JB$1,$BH$2:$BR$2,$BH73:$BR73,0),0)</f>
        <v>0</v>
      </c>
      <c r="JD73" s="26" t="e">
        <f>IF(JD$2=InputTable[[#This Row],[Delivery Date]],_xlfn.XLOOKUP(JD$1,$BH$2:$BR$2,$BH73:$BR73,0),0)</f>
        <v>#REF!</v>
      </c>
      <c r="JE73" s="26">
        <f>IF(JE$2=InputTable[[#This Row],[Delivery Date]],_xlfn.XLOOKUP(JE$1,$BH$2:$BR$2,$BH73:$BR73,0),0)</f>
        <v>0</v>
      </c>
      <c r="JF73" s="26">
        <f>IF(JF$2=InputTable[[#This Row],[Delivery Date]],_xlfn.XLOOKUP(JF$1,$BH$2:$BR$2,$BH73:$BR73,0),0)</f>
        <v>0</v>
      </c>
      <c r="JG73" s="26">
        <f>IF(JG$2=InputTable[[#This Row],[Delivery Date]],_xlfn.XLOOKUP(JG$1,$BH$2:$BR$2,$BH73:$BR73,0),0)</f>
        <v>0</v>
      </c>
      <c r="JH73" s="26">
        <f>IF(JH$2=InputTable[[#This Row],[Delivery Date]],_xlfn.XLOOKUP(JH$1,$BH$2:$BR$2,$BH73:$BR73,0),0)</f>
        <v>0</v>
      </c>
      <c r="JI73" s="26">
        <f>IF(JI$2=InputTable[[#This Row],[Delivery Date]],_xlfn.XLOOKUP(JI$1,$BH$2:$BR$2,$BH73:$BR73,0),0)</f>
        <v>0</v>
      </c>
      <c r="JJ73" s="26">
        <f>IF(JJ$2=InputTable[[#This Row],[Delivery Date]],_xlfn.XLOOKUP(JJ$1,$BH$2:$BR$2,$BH73:$BR73,0),0)</f>
        <v>0</v>
      </c>
      <c r="JK73" s="26">
        <f>IF(JK$2=InputTable[[#This Row],[Delivery Date]],_xlfn.XLOOKUP(JK$1,$BH$2:$BR$2,$BH73:$BR73,0),0)</f>
        <v>0</v>
      </c>
      <c r="JL73" s="26">
        <f>IF(JL$2=InputTable[[#This Row],[Delivery Date]],_xlfn.XLOOKUP(JL$1,$BH$2:$BR$2,$BH73:$BR73,0),0)</f>
        <v>0</v>
      </c>
      <c r="JN73" s="26" t="e">
        <f>IF(JN$2=InputTable[[#This Row],[Delivery Date]],_xlfn.XLOOKUP(JN$1,$BH$2:$BR$2,$BH73:$BR73,0),0)</f>
        <v>#REF!</v>
      </c>
      <c r="JO73" s="26">
        <f>IF(JO$2=InputTable[[#This Row],[Delivery Date]],_xlfn.XLOOKUP(JO$1,$BH$2:$BR$2,$BH73:$BR73,0),0)</f>
        <v>0</v>
      </c>
      <c r="JP73" s="26">
        <f>IF(JP$2=InputTable[[#This Row],[Delivery Date]],_xlfn.XLOOKUP(JP$1,$BH$2:$BR$2,$BH73:$BR73,0),0)</f>
        <v>0</v>
      </c>
      <c r="JQ73" s="26">
        <f>IF(JQ$2=InputTable[[#This Row],[Delivery Date]],_xlfn.XLOOKUP(JQ$1,$BH$2:$BR$2,$BH73:$BR73,0),0)</f>
        <v>0</v>
      </c>
      <c r="JR73" s="26">
        <f>IF(JR$2=InputTable[[#This Row],[Delivery Date]],_xlfn.XLOOKUP(JR$1,$BH$2:$BR$2,$BH73:$BR73,0),0)</f>
        <v>0</v>
      </c>
      <c r="JS73" s="26">
        <f>IF(JS$2=InputTable[[#This Row],[Delivery Date]],_xlfn.XLOOKUP(JS$1,$BH$2:$BR$2,$BH73:$BR73,0),0)</f>
        <v>0</v>
      </c>
      <c r="JT73" s="26">
        <f>IF(JT$2=InputTable[[#This Row],[Delivery Date]],_xlfn.XLOOKUP(JT$1,$BH$2:$BR$2,$BH73:$BR73,0),0)</f>
        <v>0</v>
      </c>
      <c r="JU73" s="26">
        <f>IF(JU$2=InputTable[[#This Row],[Delivery Date]],_xlfn.XLOOKUP(JU$1,$BH$2:$BR$2,$BH73:$BR73,0),0)</f>
        <v>0</v>
      </c>
      <c r="JV73" s="26">
        <f>IF(JV$2=InputTable[[#This Row],[Delivery Date]],_xlfn.XLOOKUP(JV$1,$BH$2:$BR$2,$BH73:$BR73,0),0)</f>
        <v>0</v>
      </c>
      <c r="JX73" s="26" t="e">
        <f>IF(JX$2=InputTable[[#This Row],[Delivery Date]],_xlfn.XLOOKUP(JX$1,$BH$2:$BR$2,$BH73:$BR73,0),0)</f>
        <v>#REF!</v>
      </c>
      <c r="JY73" s="26">
        <f>IF(JY$2=InputTable[[#This Row],[Delivery Date]],_xlfn.XLOOKUP(JY$1,$BH$2:$BR$2,$BH73:$BR73,0),0)</f>
        <v>0</v>
      </c>
      <c r="JZ73" s="26">
        <f>IF(JZ$2=InputTable[[#This Row],[Delivery Date]],_xlfn.XLOOKUP(JZ$1,$BH$2:$BR$2,$BH73:$BR73,0),0)</f>
        <v>0</v>
      </c>
      <c r="KA73" s="26">
        <f>IF(KA$2=InputTable[[#This Row],[Delivery Date]],_xlfn.XLOOKUP(KA$1,$BH$2:$BR$2,$BH73:$BR73,0),0)</f>
        <v>0</v>
      </c>
      <c r="KB73" s="26">
        <f>IF(KB$2=InputTable[[#This Row],[Delivery Date]],_xlfn.XLOOKUP(KB$1,$BH$2:$BR$2,$BH73:$BR73,0),0)</f>
        <v>0</v>
      </c>
      <c r="KC73" s="26">
        <f>IF(KC$2=InputTable[[#This Row],[Delivery Date]],_xlfn.XLOOKUP(KC$1,$BH$2:$BR$2,$BH73:$BR73,0),0)</f>
        <v>0</v>
      </c>
      <c r="KD73" s="26">
        <f>IF(KD$2=InputTable[[#This Row],[Delivery Date]],_xlfn.XLOOKUP(KD$1,$BH$2:$BR$2,$BH73:$BR73,0),0)</f>
        <v>0</v>
      </c>
      <c r="KE73" s="26">
        <f>IF(KE$2=InputTable[[#This Row],[Delivery Date]],_xlfn.XLOOKUP(KE$1,$BH$2:$BR$2,$BH73:$BR73,0),0)</f>
        <v>0</v>
      </c>
      <c r="KF73" s="26">
        <f>IF(KF$2=InputTable[[#This Row],[Delivery Date]],_xlfn.XLOOKUP(KF$1,$BH$2:$BR$2,$BH73:$BR73,0),0)</f>
        <v>0</v>
      </c>
    </row>
    <row r="74" spans="1:292" ht="39.6" customHeight="1" x14ac:dyDescent="0.25">
      <c r="A74" s="141" t="s">
        <v>235</v>
      </c>
      <c r="B74" s="141" t="s">
        <v>156</v>
      </c>
      <c r="C74" s="92" t="s">
        <v>59</v>
      </c>
      <c r="D74" s="125" t="s">
        <v>337</v>
      </c>
      <c r="E74" s="193" t="s">
        <v>338</v>
      </c>
      <c r="F74" s="92" t="s">
        <v>96</v>
      </c>
      <c r="G74" s="92" t="s">
        <v>160</v>
      </c>
      <c r="H74" s="92"/>
      <c r="I74" s="92" t="s">
        <v>334</v>
      </c>
      <c r="J74" s="125"/>
      <c r="K74" s="95" t="e">
        <f>VLOOKUP((InputTable[[#This Row],[Starting Date]]&amp; " - " &amp;InputTable[[#This Row],[Delivery Date]]),'System List'!$F$40:$H$83,2,FALSE)</f>
        <v>#N/A</v>
      </c>
      <c r="L74" s="95" t="e">
        <f>VLOOKUP(InputTable[[#This Row],[Duration]],Duration,2,FALSE)</f>
        <v>#N/A</v>
      </c>
      <c r="M74" s="142"/>
      <c r="N74" s="92"/>
      <c r="O74" s="92" t="s">
        <v>139</v>
      </c>
      <c r="P74" s="92"/>
      <c r="Q74" s="92" t="s">
        <v>139</v>
      </c>
      <c r="R74" s="92"/>
      <c r="S74" s="92"/>
      <c r="T74" s="95" cm="1">
        <f t="array" ref="T7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2.4000000000000004</v>
      </c>
      <c r="U74" s="138"/>
      <c r="V74" s="92"/>
      <c r="W74" s="92"/>
      <c r="X74" s="92"/>
      <c r="Y74" s="92" t="s">
        <v>139</v>
      </c>
      <c r="Z74" s="92"/>
      <c r="AA74" s="92"/>
      <c r="AB74" s="92"/>
      <c r="AC74" s="92"/>
      <c r="AD74" s="92">
        <f>COUNTA(InputTable[[#This Row],[CORPHRFIN]:[SALES]])</f>
        <v>1</v>
      </c>
      <c r="AE74" s="88" cm="1">
        <f t="array" ref="AE74">SUM(
_xlfn.XLOOKUP(InputTable[[#This Row],[CORPHRFIN]:[SALES]],'System List'!$F$4:$F$7,'System List'!$H$4:$H$7,0))</f>
        <v>8</v>
      </c>
      <c r="AF74" s="140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88" cm="1">
        <f t="array" ref="AR74">SUM(
_xlfn.XLOOKUP(InputTable[[#This Row],[Impact on - CIAL]:[Impact on - STRAT]],'System List'!$F$4:$F$7,'System List'!$H$4:$H$7,0))</f>
        <v>0</v>
      </c>
      <c r="AS74" s="88" t="e">
        <f>VLOOKUP(InputTable[[#This Row],[Duration]],Duration,2,FALSE)+InputTable[[#This Row],[Resource Score]]</f>
        <v>#N/A</v>
      </c>
      <c r="AT7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4" s="24" t="e">
        <f>InputTable[[#This Row],[Value Score]]/InputTable[[#This Row],[EFFORT SCORE]]*100</f>
        <v>#N/A</v>
      </c>
      <c r="AV74" s="25" t="str">
        <f>InputTable[[#This Row],[IS Portfolio Ref ID]]</f>
        <v>ISPRJ-50</v>
      </c>
      <c r="AW74" s="25" t="s">
        <v>222</v>
      </c>
      <c r="AX74" s="208" t="s">
        <v>154</v>
      </c>
      <c r="AY74" s="25"/>
      <c r="AZ74" s="209">
        <v>0</v>
      </c>
      <c r="BA74" s="209">
        <v>0</v>
      </c>
      <c r="BB74" s="209"/>
      <c r="BC74" s="189">
        <v>52000</v>
      </c>
      <c r="BD74" s="188">
        <v>1</v>
      </c>
      <c r="BE74" s="188">
        <v>2</v>
      </c>
      <c r="BF74" s="70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T74" s="2"/>
      <c r="BU74" s="2"/>
      <c r="BV74" s="2"/>
      <c r="BW74" s="2"/>
      <c r="BX74" s="2"/>
      <c r="BY74" s="2"/>
      <c r="BZ74" s="2"/>
      <c r="CA74" s="2"/>
      <c r="CC74" s="2"/>
      <c r="CD74" s="2"/>
      <c r="CE74" s="2"/>
      <c r="CF74" s="2"/>
      <c r="CG74" s="2"/>
      <c r="CH74" s="2"/>
      <c r="CI74" s="2"/>
      <c r="CJ74" s="2"/>
      <c r="CK74" s="2"/>
      <c r="CN74" s="2"/>
      <c r="CO74" s="2"/>
      <c r="CP74" s="2"/>
      <c r="CQ74" s="2"/>
      <c r="CR74" s="2"/>
      <c r="CS74" s="2"/>
      <c r="CT74" s="2"/>
      <c r="CU74" s="2"/>
      <c r="CV74" s="2"/>
      <c r="CX74" s="26"/>
      <c r="CY74" s="26"/>
      <c r="CZ74" s="26"/>
      <c r="DA74" s="26"/>
      <c r="DB74" s="26"/>
      <c r="DC74" s="26"/>
      <c r="DD74" s="26"/>
      <c r="DE74" s="26"/>
      <c r="DF74" s="26"/>
      <c r="DH74" s="26"/>
      <c r="DI74" s="26"/>
      <c r="DJ74" s="26"/>
      <c r="DK74" s="26"/>
      <c r="DL74" s="26"/>
      <c r="DM74" s="26"/>
      <c r="DN74" s="26"/>
      <c r="DO74" s="26"/>
      <c r="DP74" s="26"/>
      <c r="DR74" s="26"/>
      <c r="DS74" s="26"/>
      <c r="DT74" s="26"/>
      <c r="DU74" s="26"/>
      <c r="DV74" s="26"/>
      <c r="DW74" s="26"/>
      <c r="DX74" s="26"/>
      <c r="DY74" s="26"/>
      <c r="DZ74" s="26"/>
      <c r="EB74" s="26"/>
      <c r="EC74" s="26"/>
      <c r="ED74" s="26"/>
      <c r="EE74" s="26"/>
      <c r="EF74" s="26"/>
      <c r="EG74" s="26"/>
      <c r="EH74" s="26"/>
      <c r="EI74" s="26"/>
      <c r="EJ74" s="26"/>
      <c r="EL74" s="26"/>
      <c r="EM74" s="26"/>
      <c r="EN74" s="26"/>
      <c r="EO74" s="26"/>
      <c r="EP74" s="26"/>
      <c r="EQ74" s="26"/>
      <c r="ER74" s="26"/>
      <c r="ES74" s="26"/>
      <c r="ET74" s="26"/>
      <c r="EV74" s="26"/>
      <c r="EW74" s="26"/>
      <c r="EX74" s="26"/>
      <c r="EY74" s="26"/>
      <c r="EZ74" s="26"/>
      <c r="FA74" s="26"/>
      <c r="FB74" s="26"/>
      <c r="FC74" s="26"/>
      <c r="FD74" s="26"/>
      <c r="FF74" s="26"/>
      <c r="FG74" s="26"/>
      <c r="FH74" s="26"/>
      <c r="FI74" s="26"/>
      <c r="FJ74" s="26"/>
      <c r="FK74" s="26"/>
      <c r="FL74" s="26"/>
      <c r="FM74" s="26"/>
      <c r="FN74" s="26"/>
      <c r="FP74" s="26"/>
      <c r="FQ74" s="26"/>
      <c r="FR74" s="26"/>
      <c r="FS74" s="26"/>
      <c r="FT74" s="26"/>
      <c r="FU74" s="26"/>
      <c r="FV74" s="26"/>
      <c r="FW74" s="26"/>
      <c r="FX74" s="26"/>
      <c r="GB74" s="26"/>
      <c r="GC74" s="26"/>
      <c r="GD74" s="26"/>
      <c r="GE74" s="26"/>
      <c r="GF74" s="26"/>
      <c r="GG74" s="26"/>
      <c r="GH74" s="26"/>
      <c r="GI74" s="26"/>
      <c r="GJ74" s="26"/>
      <c r="GL74" s="26"/>
      <c r="GM74" s="26"/>
      <c r="GN74" s="26"/>
      <c r="GO74" s="26"/>
      <c r="GP74" s="26"/>
      <c r="GQ74" s="26"/>
      <c r="GR74" s="26"/>
      <c r="GS74" s="26"/>
      <c r="GT74" s="26"/>
      <c r="GV74" s="26"/>
      <c r="GW74" s="26"/>
      <c r="GX74" s="26"/>
      <c r="GY74" s="26"/>
      <c r="GZ74" s="26"/>
      <c r="HA74" s="26"/>
      <c r="HB74" s="26"/>
      <c r="HC74" s="26"/>
      <c r="HD74" s="26"/>
      <c r="HF74" s="26"/>
      <c r="HG74" s="26"/>
      <c r="HH74" s="26"/>
      <c r="HI74" s="26"/>
      <c r="HJ74" s="26"/>
      <c r="HK74" s="26"/>
      <c r="HL74" s="26"/>
      <c r="HM74" s="26"/>
      <c r="HN74" s="26"/>
      <c r="HP74" s="26"/>
      <c r="HQ74" s="26"/>
      <c r="HR74" s="26"/>
      <c r="HS74" s="26"/>
      <c r="HT74" s="26"/>
      <c r="HU74" s="26"/>
      <c r="HV74" s="26"/>
      <c r="HW74" s="26"/>
      <c r="HX74" s="26"/>
      <c r="HZ74" s="26"/>
      <c r="IA74" s="26"/>
      <c r="IB74" s="26"/>
      <c r="IC74" s="26"/>
      <c r="ID74" s="26"/>
      <c r="IE74" s="26"/>
      <c r="IF74" s="26"/>
      <c r="IG74" s="26"/>
      <c r="IH74" s="26"/>
      <c r="IJ74" s="26"/>
      <c r="IK74" s="26"/>
      <c r="IL74" s="26"/>
      <c r="IM74" s="26"/>
      <c r="IN74" s="26"/>
      <c r="IO74" s="26"/>
      <c r="IP74" s="26"/>
      <c r="IQ74" s="26"/>
      <c r="IR74" s="26"/>
      <c r="IT74" s="26"/>
      <c r="IU74" s="26"/>
      <c r="IV74" s="26"/>
      <c r="IW74" s="26"/>
      <c r="IX74" s="26"/>
      <c r="IY74" s="26"/>
      <c r="IZ74" s="26"/>
      <c r="JA74" s="26"/>
      <c r="JB74" s="26"/>
      <c r="JD74" s="26"/>
      <c r="JE74" s="26"/>
      <c r="JF74" s="26"/>
      <c r="JG74" s="26"/>
      <c r="JH74" s="26"/>
      <c r="JI74" s="26"/>
      <c r="JJ74" s="26"/>
      <c r="JK74" s="26"/>
      <c r="JL74" s="26"/>
      <c r="JN74" s="26"/>
      <c r="JO74" s="26"/>
      <c r="JP74" s="26"/>
      <c r="JQ74" s="26"/>
      <c r="JR74" s="26"/>
      <c r="JS74" s="26"/>
      <c r="JT74" s="26"/>
      <c r="JU74" s="26"/>
      <c r="JV74" s="26"/>
      <c r="JX74" s="26"/>
      <c r="JY74" s="26"/>
      <c r="JZ74" s="26"/>
      <c r="KA74" s="26"/>
      <c r="KB74" s="26"/>
      <c r="KC74" s="26"/>
      <c r="KD74" s="26"/>
      <c r="KE74" s="26"/>
      <c r="KF74" s="26"/>
    </row>
    <row r="75" spans="1:292" ht="39.6" hidden="1" customHeight="1" x14ac:dyDescent="0.25">
      <c r="A75" s="141" t="s">
        <v>142</v>
      </c>
      <c r="B75" s="141" t="s">
        <v>156</v>
      </c>
      <c r="C75" s="92" t="s">
        <v>93</v>
      </c>
      <c r="D75" s="125" t="s">
        <v>339</v>
      </c>
      <c r="E75" s="193" t="s">
        <v>340</v>
      </c>
      <c r="F75" s="92" t="s">
        <v>159</v>
      </c>
      <c r="G75" s="92">
        <v>2024</v>
      </c>
      <c r="H75" s="102" t="s">
        <v>100</v>
      </c>
      <c r="I75" s="98" t="s">
        <v>137</v>
      </c>
      <c r="J75" s="126" t="s">
        <v>215</v>
      </c>
      <c r="K75" s="95" t="e">
        <f>VLOOKUP((InputTable[[#This Row],[Starting Date]]&amp; " - " &amp;InputTable[[#This Row],[Delivery Date]]),'System List'!$F$40:$H$83,2,FALSE)</f>
        <v>#N/A</v>
      </c>
      <c r="L75" s="95" t="e">
        <f>VLOOKUP(InputTable[[#This Row],[Duration]],Duration,2,FALSE)</f>
        <v>#N/A</v>
      </c>
      <c r="M75" s="126"/>
      <c r="N75" s="98"/>
      <c r="O75" s="98" t="s">
        <v>111</v>
      </c>
      <c r="P75" s="98" t="s">
        <v>111</v>
      </c>
      <c r="Q75" s="98"/>
      <c r="R75" s="98"/>
      <c r="S75" s="153" t="s">
        <v>216</v>
      </c>
      <c r="T75" s="95" cm="1">
        <f t="array" ref="T7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</v>
      </c>
      <c r="U75" s="138"/>
      <c r="V75" s="98"/>
      <c r="W75" s="98" t="s">
        <v>111</v>
      </c>
      <c r="X75" s="98"/>
      <c r="Y75" s="98"/>
      <c r="Z75" s="98"/>
      <c r="AA75" s="98"/>
      <c r="AB75" s="98"/>
      <c r="AC75" s="98" t="s">
        <v>111</v>
      </c>
      <c r="AD75" s="92">
        <f>COUNTA(InputTable[[#This Row],[CORPHRFIN]:[SALES]])</f>
        <v>2</v>
      </c>
      <c r="AE75" s="88" cm="1">
        <f t="array" ref="AE75">SUM(
_xlfn.XLOOKUP(InputTable[[#This Row],[CORPHRFIN]:[SALES]],'System List'!$F$4:$F$7,'System List'!$H$4:$H$7,0))</f>
        <v>10</v>
      </c>
      <c r="AF75" s="140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 t="s">
        <v>139</v>
      </c>
      <c r="AQ75" s="101"/>
      <c r="AR75" s="88" cm="1">
        <f t="array" ref="AR75">SUM(
_xlfn.XLOOKUP(InputTable[[#This Row],[Impact on - CIAL]:[Impact on - STRAT]],'System List'!$F$4:$F$7,'System List'!$H$4:$H$7,0))</f>
        <v>8</v>
      </c>
      <c r="AS75" s="88" t="e">
        <f>VLOOKUP(InputTable[[#This Row],[Duration]],Duration,2,FALSE)+InputTable[[#This Row],[Resource Score]]</f>
        <v>#N/A</v>
      </c>
      <c r="AT7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5" s="24" t="e">
        <f>InputTable[[#This Row],[Value Score]]/InputTable[[#This Row],[EFFORT SCORE]]*100</f>
        <v>#N/A</v>
      </c>
      <c r="AV75" s="25" t="str">
        <f>InputTable[[#This Row],[IS Portfolio Ref ID]]</f>
        <v>ISPRJ-57</v>
      </c>
      <c r="AW75" s="25" t="s">
        <v>341</v>
      </c>
      <c r="AX75" s="208"/>
      <c r="AY75" s="207">
        <v>1789</v>
      </c>
      <c r="AZ75" s="209">
        <v>0</v>
      </c>
      <c r="BA75" s="209">
        <v>0</v>
      </c>
      <c r="BB75" s="209"/>
      <c r="BC75" s="189">
        <f>SUM(InputTable[[#This Row],[Opex IS Budget (full project)]]+InputTable[[#This Row],[Capex IS Budget (full project)]])</f>
        <v>0</v>
      </c>
      <c r="BD75" s="188"/>
      <c r="BE75" s="188"/>
      <c r="BF75" s="70"/>
      <c r="BH75" s="2">
        <f>IFERROR(VLOOKUP(InputTable[[#This Row],[Impact on - CIAL]],'System List'!$F$4:$H$7,3,FALSE),0)</f>
        <v>0</v>
      </c>
      <c r="BI75" s="2">
        <f>IFERROR(VLOOKUP(InputTable[[#This Row],[Impact on - COM]],'System List'!$F$4:$H$7,3,FALSE),0)</f>
        <v>0</v>
      </c>
      <c r="BJ75" s="2">
        <f>IFERROR(VLOOKUP(InputTable[[#This Row],[Impact on - FIN]],'System List'!$F$4:$H$7,3,FALSE),0)</f>
        <v>0</v>
      </c>
      <c r="BK75" s="2">
        <f>IFERROR(VLOOKUP(InputTable[[#This Row],[Impact on - GEN SEC]],'System List'!$F$4:$H$7,3,FALSE),0)</f>
        <v>0</v>
      </c>
      <c r="BL75" s="2">
        <f>IFERROR(VLOOKUP(InputTable[[#This Row],[Impact on - HR]],'System List'!$F$4:$H$7,3,FALSE),0)</f>
        <v>0</v>
      </c>
      <c r="BM75" s="2">
        <f>IFERROR(VLOOKUP(InputTable[[#This Row],[Impact on - IS]],'System List'!$F$4:$H$7,3,FALSE),0)</f>
        <v>0</v>
      </c>
      <c r="BN75" s="2">
        <f>IFERROR(VLOOKUP(InputTable[[#This Row],[Impact on - OPS]],'System List'!$F$4:$H$7,3,FALSE),0)</f>
        <v>0</v>
      </c>
      <c r="BO75" s="2">
        <f>IFERROR(VLOOKUP(InputTable[[#This Row],[Impact on - ROLL STOCK]],'System List'!$F$4:$H$7,3,FALSE),0)</f>
        <v>0</v>
      </c>
      <c r="BP75" s="2">
        <f>IFERROR(VLOOKUP(InputTable[[#This Row],[Impact on - SAFETY]],'System List'!$F$4:$H$7,3,FALSE),0)</f>
        <v>0</v>
      </c>
      <c r="BQ75" s="2">
        <f>IFERROR(VLOOKUP(InputTable[[#This Row],[Impact on - STATION]],'System List'!$F$4:$H$7,3,FALSE),0)</f>
        <v>8</v>
      </c>
      <c r="BR75" s="2">
        <f>IFERROR(VLOOKUP(InputTable[[#This Row],[Impact on - STRAT]],'System List'!$F$4:$H$7,3,FALSE),0)</f>
        <v>0</v>
      </c>
      <c r="BT75" s="2">
        <f>IFERROR(VLOOKUP(InputTable[[#This Row],[CORPHRFIN]],'System List'!$F$4:$H$7,3,FALSE),0)</f>
        <v>0</v>
      </c>
      <c r="BU75" s="2">
        <f>IFERROR(VLOOKUP(InputTable[[#This Row],[CUST]],'System List'!$F$4:$H$7,3,FALSE),0)</f>
        <v>5</v>
      </c>
      <c r="BV75" s="2">
        <f>IFERROR(VLOOKUP(InputTable[[#This Row],[CYBER]],'System List'!$F$4:$H$7,3,FALSE),0)</f>
        <v>0</v>
      </c>
      <c r="BW75" s="2">
        <f>IFERROR(VLOOKUP(InputTable[[#This Row],[DATA]],'System List'!$F$4:$H$7,3,FALSE),0)</f>
        <v>0</v>
      </c>
      <c r="BX75" s="2">
        <f>IFERROR(VLOOKUP(InputTable[[#This Row],[INFRA]],'System List'!$F$4:$H$7,3,FALSE),0)</f>
        <v>0</v>
      </c>
      <c r="BY75" s="2">
        <f>IFERROR(VLOOKUP(InputTable[[#This Row],[OPERATIONS]],'System List'!$F$4:$H$7,3,FALSE),0)</f>
        <v>0</v>
      </c>
      <c r="BZ75" s="2">
        <f>IFERROR(VLOOKUP(InputTable[[#This Row],[PMO]],'System List'!$F$4:$H$7,3,FALSE),0)</f>
        <v>0</v>
      </c>
      <c r="CA75" s="2">
        <f>IFERROR(VLOOKUP(InputTable[[#This Row],[SALES]],'System List'!$F$4:$H$7,3,FALSE),0)</f>
        <v>5</v>
      </c>
      <c r="CC75" s="2" cm="1">
        <f t="array" ref="CC7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5" s="2" cm="1">
        <f t="array" ref="CD7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5" s="2" cm="1">
        <f t="array" ref="CE7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5" s="2" cm="1">
        <f t="array" ref="CF7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5" s="2" cm="1">
        <f t="array" ref="CG7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5" s="2" cm="1">
        <f t="array" ref="CH7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5" s="2" cm="1">
        <f t="array" ref="CI7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5" s="2" cm="1">
        <f t="array" ref="CJ7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5" s="2" cm="1">
        <f t="array" ref="CK7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7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7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7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7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7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5" s="26">
        <f t="shared" si="224"/>
        <v>0</v>
      </c>
      <c r="CY75" s="26">
        <f t="shared" si="225"/>
        <v>0</v>
      </c>
      <c r="CZ75" s="26">
        <f t="shared" si="226"/>
        <v>0</v>
      </c>
      <c r="DA75" s="26">
        <f t="shared" si="227"/>
        <v>0</v>
      </c>
      <c r="DB75" s="26">
        <f t="shared" si="228"/>
        <v>0</v>
      </c>
      <c r="DC75" s="26">
        <f t="shared" si="229"/>
        <v>0</v>
      </c>
      <c r="DD75" s="26">
        <f t="shared" si="230"/>
        <v>0</v>
      </c>
      <c r="DE75" s="26">
        <f t="shared" si="231"/>
        <v>0</v>
      </c>
      <c r="DF75" s="26">
        <f t="shared" si="232"/>
        <v>0</v>
      </c>
      <c r="DH75" s="26">
        <f t="shared" si="233"/>
        <v>0</v>
      </c>
      <c r="DI75" s="26">
        <f t="shared" si="234"/>
        <v>5</v>
      </c>
      <c r="DJ75" s="26">
        <f t="shared" si="235"/>
        <v>5</v>
      </c>
      <c r="DK75" s="26">
        <f t="shared" si="236"/>
        <v>5</v>
      </c>
      <c r="DL75" s="26">
        <f t="shared" si="237"/>
        <v>5</v>
      </c>
      <c r="DM75" s="26">
        <f t="shared" si="238"/>
        <v>0</v>
      </c>
      <c r="DN75" s="26">
        <f t="shared" si="239"/>
        <v>0</v>
      </c>
      <c r="DO75" s="26">
        <f t="shared" si="240"/>
        <v>0</v>
      </c>
      <c r="DP75" s="26">
        <f t="shared" si="241"/>
        <v>0</v>
      </c>
      <c r="DR75" s="26">
        <f t="shared" si="242"/>
        <v>0</v>
      </c>
      <c r="DS75" s="26">
        <f t="shared" si="243"/>
        <v>0</v>
      </c>
      <c r="DT75" s="26">
        <f t="shared" si="244"/>
        <v>0</v>
      </c>
      <c r="DU75" s="26">
        <f t="shared" si="245"/>
        <v>0</v>
      </c>
      <c r="DV75" s="26">
        <f t="shared" si="246"/>
        <v>0</v>
      </c>
      <c r="DW75" s="26">
        <f t="shared" si="247"/>
        <v>0</v>
      </c>
      <c r="DX75" s="26">
        <f t="shared" si="248"/>
        <v>0</v>
      </c>
      <c r="DY75" s="26">
        <f t="shared" si="249"/>
        <v>0</v>
      </c>
      <c r="DZ75" s="26">
        <f t="shared" si="250"/>
        <v>0</v>
      </c>
      <c r="EB75" s="26">
        <f t="shared" si="251"/>
        <v>0</v>
      </c>
      <c r="EC75" s="26">
        <f t="shared" si="252"/>
        <v>0</v>
      </c>
      <c r="ED75" s="26">
        <f t="shared" si="253"/>
        <v>0</v>
      </c>
      <c r="EE75" s="26">
        <f t="shared" si="254"/>
        <v>0</v>
      </c>
      <c r="EF75" s="26">
        <f t="shared" si="255"/>
        <v>0</v>
      </c>
      <c r="EG75" s="26">
        <f t="shared" si="256"/>
        <v>0</v>
      </c>
      <c r="EH75" s="26">
        <f t="shared" si="257"/>
        <v>0</v>
      </c>
      <c r="EI75" s="26">
        <f t="shared" si="258"/>
        <v>0</v>
      </c>
      <c r="EJ75" s="26">
        <f t="shared" si="259"/>
        <v>0</v>
      </c>
      <c r="EL75" s="26">
        <f t="shared" si="260"/>
        <v>0</v>
      </c>
      <c r="EM75" s="26">
        <f t="shared" si="261"/>
        <v>0</v>
      </c>
      <c r="EN75" s="26">
        <f t="shared" si="262"/>
        <v>0</v>
      </c>
      <c r="EO75" s="26">
        <f t="shared" si="263"/>
        <v>0</v>
      </c>
      <c r="EP75" s="26">
        <f t="shared" si="264"/>
        <v>0</v>
      </c>
      <c r="EQ75" s="26">
        <f t="shared" si="265"/>
        <v>0</v>
      </c>
      <c r="ER75" s="26">
        <f t="shared" si="266"/>
        <v>0</v>
      </c>
      <c r="ES75" s="26">
        <f t="shared" si="267"/>
        <v>0</v>
      </c>
      <c r="ET75" s="26">
        <f t="shared" si="268"/>
        <v>0</v>
      </c>
      <c r="EV75" s="26">
        <f t="shared" si="269"/>
        <v>0</v>
      </c>
      <c r="EW75" s="26">
        <f t="shared" si="270"/>
        <v>0</v>
      </c>
      <c r="EX75" s="26">
        <f t="shared" si="271"/>
        <v>0</v>
      </c>
      <c r="EY75" s="26">
        <f t="shared" si="272"/>
        <v>0</v>
      </c>
      <c r="EZ75" s="26">
        <f t="shared" si="273"/>
        <v>0</v>
      </c>
      <c r="FA75" s="26">
        <f t="shared" si="274"/>
        <v>0</v>
      </c>
      <c r="FB75" s="26">
        <f t="shared" si="275"/>
        <v>0</v>
      </c>
      <c r="FC75" s="26">
        <f t="shared" si="276"/>
        <v>0</v>
      </c>
      <c r="FD75" s="26">
        <f t="shared" si="277"/>
        <v>0</v>
      </c>
      <c r="FF75" s="26">
        <f t="shared" si="278"/>
        <v>0</v>
      </c>
      <c r="FG75" s="26">
        <f t="shared" si="279"/>
        <v>0</v>
      </c>
      <c r="FH75" s="26">
        <f t="shared" si="280"/>
        <v>0</v>
      </c>
      <c r="FI75" s="26">
        <f t="shared" si="281"/>
        <v>0</v>
      </c>
      <c r="FJ75" s="26">
        <f t="shared" si="282"/>
        <v>0</v>
      </c>
      <c r="FK75" s="26">
        <f t="shared" si="283"/>
        <v>0</v>
      </c>
      <c r="FL75" s="26">
        <f t="shared" si="284"/>
        <v>0</v>
      </c>
      <c r="FM75" s="26">
        <f t="shared" si="285"/>
        <v>0</v>
      </c>
      <c r="FN75" s="26">
        <f t="shared" si="286"/>
        <v>0</v>
      </c>
      <c r="FP75" s="26" t="e">
        <f t="shared" si="287"/>
        <v>#REF!</v>
      </c>
      <c r="FQ75" s="26" t="e">
        <f t="shared" si="288"/>
        <v>#REF!</v>
      </c>
      <c r="FR75" s="26" t="e">
        <f t="shared" si="289"/>
        <v>#REF!</v>
      </c>
      <c r="FS75" s="26" t="e">
        <f t="shared" si="290"/>
        <v>#REF!</v>
      </c>
      <c r="FT75" s="26" t="e">
        <f t="shared" si="291"/>
        <v>#REF!</v>
      </c>
      <c r="FU75" s="26" t="e">
        <f t="shared" si="292"/>
        <v>#REF!</v>
      </c>
      <c r="FV75" s="26" t="e">
        <f t="shared" si="293"/>
        <v>#REF!</v>
      </c>
      <c r="FW75" s="26" t="e">
        <f t="shared" si="294"/>
        <v>#REF!</v>
      </c>
      <c r="FX75" s="26" t="e">
        <f t="shared" si="295"/>
        <v>#REF!</v>
      </c>
      <c r="GB75" s="26" t="e">
        <f>IF(GB$2=InputTable[[#This Row],[Delivery Date]],_xlfn.XLOOKUP(GB$1,$BH$2:$BR$2,$BH75:$BR75,0),0)</f>
        <v>#REF!</v>
      </c>
      <c r="GC75" s="26">
        <f>IF(GC$2=InputTable[[#This Row],[Delivery Date]],_xlfn.XLOOKUP(GC$1,$BH$2:$BR$2,$BH75:$BR75,0),0)</f>
        <v>0</v>
      </c>
      <c r="GD75" s="26">
        <f>IF(GD$2=InputTable[[#This Row],[Delivery Date]],_xlfn.XLOOKUP(GD$1,$BH$2:$BR$2,$BH75:$BR75,0),0)</f>
        <v>0</v>
      </c>
      <c r="GE75" s="26">
        <f>IF(GE$2=InputTable[[#This Row],[Delivery Date]],_xlfn.XLOOKUP(GE$1,$BH$2:$BR$2,$BH75:$BR75,0),0)</f>
        <v>0</v>
      </c>
      <c r="GF75" s="26">
        <f>IF(GF$2=InputTable[[#This Row],[Delivery Date]],_xlfn.XLOOKUP(GF$1,$BH$2:$BR$2,$BH75:$BR75,0),0)</f>
        <v>0</v>
      </c>
      <c r="GG75" s="26">
        <f>IF(GG$2=InputTable[[#This Row],[Delivery Date]],_xlfn.XLOOKUP(GG$1,$BH$2:$BR$2,$BH75:$BR75,0),0)</f>
        <v>0</v>
      </c>
      <c r="GH75" s="26">
        <f>IF(GH$2=InputTable[[#This Row],[Delivery Date]],_xlfn.XLOOKUP(GH$1,$BH$2:$BR$2,$BH75:$BR75,0),0)</f>
        <v>0</v>
      </c>
      <c r="GI75" s="26">
        <f>IF(GI$2=InputTable[[#This Row],[Delivery Date]],_xlfn.XLOOKUP(GI$1,$BH$2:$BR$2,$BH75:$BR75,0),0)</f>
        <v>0</v>
      </c>
      <c r="GJ75" s="26">
        <f>IF(GJ$2=InputTable[[#This Row],[Delivery Date]],_xlfn.XLOOKUP(GJ$1,$BH$2:$BR$2,$BH75:$BR75,0),0)</f>
        <v>0</v>
      </c>
      <c r="GL75" s="26" t="e">
        <f>IF(GL$2=InputTable[[#This Row],[Delivery Date]],_xlfn.XLOOKUP(GL$1,$BH$2:$BR$2,$BH75:$BR75,0),0)</f>
        <v>#REF!</v>
      </c>
      <c r="GM75" s="26">
        <f>IF(GM$2=InputTable[[#This Row],[Delivery Date]],_xlfn.XLOOKUP(GM$1,$BH$2:$BR$2,$BH75:$BR75,0),0)</f>
        <v>0</v>
      </c>
      <c r="GN75" s="26">
        <f>IF(GN$2=InputTable[[#This Row],[Delivery Date]],_xlfn.XLOOKUP(GN$1,$BH$2:$BR$2,$BH75:$BR75,0),0)</f>
        <v>0</v>
      </c>
      <c r="GO75" s="26">
        <f>IF(GO$2=InputTable[[#This Row],[Delivery Date]],_xlfn.XLOOKUP(GO$1,$BH$2:$BR$2,$BH75:$BR75,0),0)</f>
        <v>0</v>
      </c>
      <c r="GP75" s="26">
        <f>IF(GP$2=InputTable[[#This Row],[Delivery Date]],_xlfn.XLOOKUP(GP$1,$BH$2:$BR$2,$BH75:$BR75,0),0)</f>
        <v>0</v>
      </c>
      <c r="GQ75" s="26">
        <f>IF(GQ$2=InputTable[[#This Row],[Delivery Date]],_xlfn.XLOOKUP(GQ$1,$BH$2:$BR$2,$BH75:$BR75,0),0)</f>
        <v>0</v>
      </c>
      <c r="GR75" s="26">
        <f>IF(GR$2=InputTable[[#This Row],[Delivery Date]],_xlfn.XLOOKUP(GR$1,$BH$2:$BR$2,$BH75:$BR75,0),0)</f>
        <v>0</v>
      </c>
      <c r="GS75" s="26">
        <f>IF(GS$2=InputTable[[#This Row],[Delivery Date]],_xlfn.XLOOKUP(GS$1,$BH$2:$BR$2,$BH75:$BR75,0),0)</f>
        <v>0</v>
      </c>
      <c r="GT75" s="26">
        <f>IF(GT$2=InputTable[[#This Row],[Delivery Date]],_xlfn.XLOOKUP(GT$1,$BH$2:$BR$2,$BH75:$BR75,0),0)</f>
        <v>0</v>
      </c>
      <c r="GV75" s="26" t="e">
        <f>IF(GV$2=InputTable[[#This Row],[Delivery Date]],_xlfn.XLOOKUP(GV$1,$BH$2:$BR$2,$BH75:$BR75,0),0)</f>
        <v>#REF!</v>
      </c>
      <c r="GW75" s="26">
        <f>IF(GW$2=InputTable[[#This Row],[Delivery Date]],_xlfn.XLOOKUP(GW$1,$BH$2:$BR$2,$BH75:$BR75,0),0)</f>
        <v>0</v>
      </c>
      <c r="GX75" s="26">
        <f>IF(GX$2=InputTable[[#This Row],[Delivery Date]],_xlfn.XLOOKUP(GX$1,$BH$2:$BR$2,$BH75:$BR75,0),0)</f>
        <v>0</v>
      </c>
      <c r="GY75" s="26">
        <f>IF(GY$2=InputTable[[#This Row],[Delivery Date]],_xlfn.XLOOKUP(GY$1,$BH$2:$BR$2,$BH75:$BR75,0),0)</f>
        <v>0</v>
      </c>
      <c r="GZ75" s="26">
        <f>IF(GZ$2=InputTable[[#This Row],[Delivery Date]],_xlfn.XLOOKUP(GZ$1,$BH$2:$BR$2,$BH75:$BR75,0),0)</f>
        <v>0</v>
      </c>
      <c r="HA75" s="26">
        <f>IF(HA$2=InputTable[[#This Row],[Delivery Date]],_xlfn.XLOOKUP(HA$1,$BH$2:$BR$2,$BH75:$BR75,0),0)</f>
        <v>0</v>
      </c>
      <c r="HB75" s="26">
        <f>IF(HB$2=InputTable[[#This Row],[Delivery Date]],_xlfn.XLOOKUP(HB$1,$BH$2:$BR$2,$BH75:$BR75,0),0)</f>
        <v>0</v>
      </c>
      <c r="HC75" s="26">
        <f>IF(HC$2=InputTable[[#This Row],[Delivery Date]],_xlfn.XLOOKUP(HC$1,$BH$2:$BR$2,$BH75:$BR75,0),0)</f>
        <v>0</v>
      </c>
      <c r="HD75" s="26">
        <f>IF(HD$2=InputTable[[#This Row],[Delivery Date]],_xlfn.XLOOKUP(HD$1,$BH$2:$BR$2,$BH75:$BR75,0),0)</f>
        <v>0</v>
      </c>
      <c r="HF75" s="26" t="e">
        <f>IF(HF$2=InputTable[[#This Row],[Delivery Date]],_xlfn.XLOOKUP(HF$1,$BH$2:$BR$2,$BH75:$BR75,0),0)</f>
        <v>#REF!</v>
      </c>
      <c r="HG75" s="26">
        <f>IF(HG$2=InputTable[[#This Row],[Delivery Date]],_xlfn.XLOOKUP(HG$1,$BH$2:$BR$2,$BH75:$BR75,0),0)</f>
        <v>0</v>
      </c>
      <c r="HH75" s="26">
        <f>IF(HH$2=InputTable[[#This Row],[Delivery Date]],_xlfn.XLOOKUP(HH$1,$BH$2:$BR$2,$BH75:$BR75,0),0)</f>
        <v>0</v>
      </c>
      <c r="HI75" s="26">
        <f>IF(HI$2=InputTable[[#This Row],[Delivery Date]],_xlfn.XLOOKUP(HI$1,$BH$2:$BR$2,$BH75:$BR75,0),0)</f>
        <v>0</v>
      </c>
      <c r="HJ75" s="26">
        <f>IF(HJ$2=InputTable[[#This Row],[Delivery Date]],_xlfn.XLOOKUP(HJ$1,$BH$2:$BR$2,$BH75:$BR75,0),0)</f>
        <v>0</v>
      </c>
      <c r="HK75" s="26">
        <f>IF(HK$2=InputTable[[#This Row],[Delivery Date]],_xlfn.XLOOKUP(HK$1,$BH$2:$BR$2,$BH75:$BR75,0),0)</f>
        <v>0</v>
      </c>
      <c r="HL75" s="26">
        <f>IF(HL$2=InputTable[[#This Row],[Delivery Date]],_xlfn.XLOOKUP(HL$1,$BH$2:$BR$2,$BH75:$BR75,0),0)</f>
        <v>0</v>
      </c>
      <c r="HM75" s="26">
        <f>IF(HM$2=InputTable[[#This Row],[Delivery Date]],_xlfn.XLOOKUP(HM$1,$BH$2:$BR$2,$BH75:$BR75,0),0)</f>
        <v>0</v>
      </c>
      <c r="HN75" s="26">
        <f>IF(HN$2=InputTable[[#This Row],[Delivery Date]],_xlfn.XLOOKUP(HN$1,$BH$2:$BR$2,$BH75:$BR75,0),0)</f>
        <v>0</v>
      </c>
      <c r="HP75" s="26" t="e">
        <f>IF(HP$2=InputTable[[#This Row],[Delivery Date]],_xlfn.XLOOKUP(HP$1,$BH$2:$BR$2,$BH75:$BR75,0),0)</f>
        <v>#REF!</v>
      </c>
      <c r="HQ75" s="26">
        <f>IF(HQ$2=InputTable[[#This Row],[Delivery Date]],_xlfn.XLOOKUP(HQ$1,$BH$2:$BR$2,$BH75:$BR75,0),0)</f>
        <v>0</v>
      </c>
      <c r="HR75" s="26">
        <f>IF(HR$2=InputTable[[#This Row],[Delivery Date]],_xlfn.XLOOKUP(HR$1,$BH$2:$BR$2,$BH75:$BR75,0),0)</f>
        <v>0</v>
      </c>
      <c r="HS75" s="26">
        <f>IF(HS$2=InputTable[[#This Row],[Delivery Date]],_xlfn.XLOOKUP(HS$1,$BH$2:$BR$2,$BH75:$BR75,0),0)</f>
        <v>0</v>
      </c>
      <c r="HT75" s="26">
        <f>IF(HT$2=InputTable[[#This Row],[Delivery Date]],_xlfn.XLOOKUP(HT$1,$BH$2:$BR$2,$BH75:$BR75,0),0)</f>
        <v>0</v>
      </c>
      <c r="HU75" s="26">
        <f>IF(HU$2=InputTable[[#This Row],[Delivery Date]],_xlfn.XLOOKUP(HU$1,$BH$2:$BR$2,$BH75:$BR75,0),0)</f>
        <v>0</v>
      </c>
      <c r="HV75" s="26">
        <f>IF(HV$2=InputTable[[#This Row],[Delivery Date]],_xlfn.XLOOKUP(HV$1,$BH$2:$BR$2,$BH75:$BR75,0),0)</f>
        <v>0</v>
      </c>
      <c r="HW75" s="26">
        <f>IF(HW$2=InputTable[[#This Row],[Delivery Date]],_xlfn.XLOOKUP(HW$1,$BH$2:$BR$2,$BH75:$BR75,0),0)</f>
        <v>0</v>
      </c>
      <c r="HX75" s="26">
        <f>IF(HX$2=InputTable[[#This Row],[Delivery Date]],_xlfn.XLOOKUP(HX$1,$BH$2:$BR$2,$BH75:$BR75,0),0)</f>
        <v>0</v>
      </c>
      <c r="HZ75" s="26" t="e">
        <f>IF(HZ$2=InputTable[[#This Row],[Delivery Date]],_xlfn.XLOOKUP(HZ$1,$BH$2:$BR$2,$BH75:$BR75,0),0)</f>
        <v>#REF!</v>
      </c>
      <c r="IA75" s="26">
        <f>IF(IA$2=InputTable[[#This Row],[Delivery Date]],_xlfn.XLOOKUP(IA$1,$BH$2:$BR$2,$BH75:$BR75,0),0)</f>
        <v>0</v>
      </c>
      <c r="IB75" s="26">
        <f>IF(IB$2=InputTable[[#This Row],[Delivery Date]],_xlfn.XLOOKUP(IB$1,$BH$2:$BR$2,$BH75:$BR75,0),0)</f>
        <v>0</v>
      </c>
      <c r="IC75" s="26">
        <f>IF(IC$2=InputTable[[#This Row],[Delivery Date]],_xlfn.XLOOKUP(IC$1,$BH$2:$BR$2,$BH75:$BR75,0),0)</f>
        <v>0</v>
      </c>
      <c r="ID75" s="26">
        <f>IF(ID$2=InputTable[[#This Row],[Delivery Date]],_xlfn.XLOOKUP(ID$1,$BH$2:$BR$2,$BH75:$BR75,0),0)</f>
        <v>0</v>
      </c>
      <c r="IE75" s="26">
        <f>IF(IE$2=InputTable[[#This Row],[Delivery Date]],_xlfn.XLOOKUP(IE$1,$BH$2:$BR$2,$BH75:$BR75,0),0)</f>
        <v>0</v>
      </c>
      <c r="IF75" s="26">
        <f>IF(IF$2=InputTable[[#This Row],[Delivery Date]],_xlfn.XLOOKUP(IF$1,$BH$2:$BR$2,$BH75:$BR75,0),0)</f>
        <v>0</v>
      </c>
      <c r="IG75" s="26">
        <f>IF(IG$2=InputTable[[#This Row],[Delivery Date]],_xlfn.XLOOKUP(IG$1,$BH$2:$BR$2,$BH75:$BR75,0),0)</f>
        <v>0</v>
      </c>
      <c r="IH75" s="26">
        <f>IF(IH$2=InputTable[[#This Row],[Delivery Date]],_xlfn.XLOOKUP(IH$1,$BH$2:$BR$2,$BH75:$BR75,0),0)</f>
        <v>0</v>
      </c>
      <c r="IJ75" s="26" t="e">
        <f>IF(IJ$2=InputTable[[#This Row],[Delivery Date]],_xlfn.XLOOKUP(IJ$1,$BH$2:$BR$2,$BH75:$BR75,0),0)</f>
        <v>#REF!</v>
      </c>
      <c r="IK75" s="26">
        <f>IF(IK$2=InputTable[[#This Row],[Delivery Date]],_xlfn.XLOOKUP(IK$1,$BH$2:$BR$2,$BH75:$BR75,0),0)</f>
        <v>0</v>
      </c>
      <c r="IL75" s="26">
        <f>IF(IL$2=InputTable[[#This Row],[Delivery Date]],_xlfn.XLOOKUP(IL$1,$BH$2:$BR$2,$BH75:$BR75,0),0)</f>
        <v>0</v>
      </c>
      <c r="IM75" s="26">
        <f>IF(IM$2=InputTable[[#This Row],[Delivery Date]],_xlfn.XLOOKUP(IM$1,$BH$2:$BR$2,$BH75:$BR75,0),0)</f>
        <v>0</v>
      </c>
      <c r="IN75" s="26">
        <f>IF(IN$2=InputTable[[#This Row],[Delivery Date]],_xlfn.XLOOKUP(IN$1,$BH$2:$BR$2,$BH75:$BR75,0),0)</f>
        <v>0</v>
      </c>
      <c r="IO75" s="26">
        <f>IF(IO$2=InputTable[[#This Row],[Delivery Date]],_xlfn.XLOOKUP(IO$1,$BH$2:$BR$2,$BH75:$BR75,0),0)</f>
        <v>0</v>
      </c>
      <c r="IP75" s="26">
        <f>IF(IP$2=InputTable[[#This Row],[Delivery Date]],_xlfn.XLOOKUP(IP$1,$BH$2:$BR$2,$BH75:$BR75,0),0)</f>
        <v>0</v>
      </c>
      <c r="IQ75" s="26">
        <f>IF(IQ$2=InputTable[[#This Row],[Delivery Date]],_xlfn.XLOOKUP(IQ$1,$BH$2:$BR$2,$BH75:$BR75,0),0)</f>
        <v>0</v>
      </c>
      <c r="IR75" s="26">
        <f>IF(IR$2=InputTable[[#This Row],[Delivery Date]],_xlfn.XLOOKUP(IR$1,$BH$2:$BR$2,$BH75:$BR75,0),0)</f>
        <v>0</v>
      </c>
      <c r="IT75" s="26" t="e">
        <f>IF(IT$2=InputTable[[#This Row],[Delivery Date]],_xlfn.XLOOKUP(IT$1,$BH$2:$BR$2,$BH75:$BR75,0),0)</f>
        <v>#REF!</v>
      </c>
      <c r="IU75" s="26">
        <f>IF(IU$2=InputTable[[#This Row],[Delivery Date]],_xlfn.XLOOKUP(IU$1,$BH$2:$BR$2,$BH75:$BR75,0),0)</f>
        <v>0</v>
      </c>
      <c r="IV75" s="26">
        <f>IF(IV$2=InputTable[[#This Row],[Delivery Date]],_xlfn.XLOOKUP(IV$1,$BH$2:$BR$2,$BH75:$BR75,0),0)</f>
        <v>0</v>
      </c>
      <c r="IW75" s="26">
        <f>IF(IW$2=InputTable[[#This Row],[Delivery Date]],_xlfn.XLOOKUP(IW$1,$BH$2:$BR$2,$BH75:$BR75,0),0)</f>
        <v>0</v>
      </c>
      <c r="IX75" s="26">
        <f>IF(IX$2=InputTable[[#This Row],[Delivery Date]],_xlfn.XLOOKUP(IX$1,$BH$2:$BR$2,$BH75:$BR75,0),0)</f>
        <v>0</v>
      </c>
      <c r="IY75" s="26">
        <f>IF(IY$2=InputTable[[#This Row],[Delivery Date]],_xlfn.XLOOKUP(IY$1,$BH$2:$BR$2,$BH75:$BR75,0),0)</f>
        <v>0</v>
      </c>
      <c r="IZ75" s="26">
        <f>IF(IZ$2=InputTable[[#This Row],[Delivery Date]],_xlfn.XLOOKUP(IZ$1,$BH$2:$BR$2,$BH75:$BR75,0),0)</f>
        <v>0</v>
      </c>
      <c r="JA75" s="26">
        <f>IF(JA$2=InputTable[[#This Row],[Delivery Date]],_xlfn.XLOOKUP(JA$1,$BH$2:$BR$2,$BH75:$BR75,0),0)</f>
        <v>0</v>
      </c>
      <c r="JB75" s="26">
        <f>IF(JB$2=InputTable[[#This Row],[Delivery Date]],_xlfn.XLOOKUP(JB$1,$BH$2:$BR$2,$BH75:$BR75,0),0)</f>
        <v>0</v>
      </c>
      <c r="JD75" s="26" t="e">
        <f>IF(JD$2=InputTable[[#This Row],[Delivery Date]],_xlfn.XLOOKUP(JD$1,$BH$2:$BR$2,$BH75:$BR75,0),0)</f>
        <v>#REF!</v>
      </c>
      <c r="JE75" s="26">
        <f>IF(JE$2=InputTable[[#This Row],[Delivery Date]],_xlfn.XLOOKUP(JE$1,$BH$2:$BR$2,$BH75:$BR75,0),0)</f>
        <v>0</v>
      </c>
      <c r="JF75" s="26">
        <f>IF(JF$2=InputTable[[#This Row],[Delivery Date]],_xlfn.XLOOKUP(JF$1,$BH$2:$BR$2,$BH75:$BR75,0),0)</f>
        <v>0</v>
      </c>
      <c r="JG75" s="26">
        <f>IF(JG$2=InputTable[[#This Row],[Delivery Date]],_xlfn.XLOOKUP(JG$1,$BH$2:$BR$2,$BH75:$BR75,0),0)</f>
        <v>0</v>
      </c>
      <c r="JH75" s="26">
        <f>IF(JH$2=InputTable[[#This Row],[Delivery Date]],_xlfn.XLOOKUP(JH$1,$BH$2:$BR$2,$BH75:$BR75,0),0)</f>
        <v>0</v>
      </c>
      <c r="JI75" s="26">
        <f>IF(JI$2=InputTable[[#This Row],[Delivery Date]],_xlfn.XLOOKUP(JI$1,$BH$2:$BR$2,$BH75:$BR75,0),0)</f>
        <v>0</v>
      </c>
      <c r="JJ75" s="26">
        <f>IF(JJ$2=InputTable[[#This Row],[Delivery Date]],_xlfn.XLOOKUP(JJ$1,$BH$2:$BR$2,$BH75:$BR75,0),0)</f>
        <v>0</v>
      </c>
      <c r="JK75" s="26">
        <f>IF(JK$2=InputTable[[#This Row],[Delivery Date]],_xlfn.XLOOKUP(JK$1,$BH$2:$BR$2,$BH75:$BR75,0),0)</f>
        <v>0</v>
      </c>
      <c r="JL75" s="26">
        <f>IF(JL$2=InputTable[[#This Row],[Delivery Date]],_xlfn.XLOOKUP(JL$1,$BH$2:$BR$2,$BH75:$BR75,0),0)</f>
        <v>0</v>
      </c>
      <c r="JN75" s="26" t="e">
        <f>IF(JN$2=InputTable[[#This Row],[Delivery Date]],_xlfn.XLOOKUP(JN$1,$BH$2:$BR$2,$BH75:$BR75,0),0)</f>
        <v>#REF!</v>
      </c>
      <c r="JO75" s="26">
        <f>IF(JO$2=InputTable[[#This Row],[Delivery Date]],_xlfn.XLOOKUP(JO$1,$BH$2:$BR$2,$BH75:$BR75,0),0)</f>
        <v>0</v>
      </c>
      <c r="JP75" s="26">
        <f>IF(JP$2=InputTable[[#This Row],[Delivery Date]],_xlfn.XLOOKUP(JP$1,$BH$2:$BR$2,$BH75:$BR75,0),0)</f>
        <v>0</v>
      </c>
      <c r="JQ75" s="26">
        <f>IF(JQ$2=InputTable[[#This Row],[Delivery Date]],_xlfn.XLOOKUP(JQ$1,$BH$2:$BR$2,$BH75:$BR75,0),0)</f>
        <v>0</v>
      </c>
      <c r="JR75" s="26">
        <f>IF(JR$2=InputTable[[#This Row],[Delivery Date]],_xlfn.XLOOKUP(JR$1,$BH$2:$BR$2,$BH75:$BR75,0),0)</f>
        <v>8</v>
      </c>
      <c r="JS75" s="26">
        <f>IF(JS$2=InputTable[[#This Row],[Delivery Date]],_xlfn.XLOOKUP(JS$1,$BH$2:$BR$2,$BH75:$BR75,0),0)</f>
        <v>0</v>
      </c>
      <c r="JT75" s="26">
        <f>IF(JT$2=InputTable[[#This Row],[Delivery Date]],_xlfn.XLOOKUP(JT$1,$BH$2:$BR$2,$BH75:$BR75,0),0)</f>
        <v>0</v>
      </c>
      <c r="JU75" s="26">
        <f>IF(JU$2=InputTable[[#This Row],[Delivery Date]],_xlfn.XLOOKUP(JU$1,$BH$2:$BR$2,$BH75:$BR75,0),0)</f>
        <v>0</v>
      </c>
      <c r="JV75" s="26">
        <f>IF(JV$2=InputTable[[#This Row],[Delivery Date]],_xlfn.XLOOKUP(JV$1,$BH$2:$BR$2,$BH75:$BR75,0),0)</f>
        <v>0</v>
      </c>
      <c r="JX75" s="26" t="e">
        <f>IF(JX$2=InputTable[[#This Row],[Delivery Date]],_xlfn.XLOOKUP(JX$1,$BH$2:$BR$2,$BH75:$BR75,0),0)</f>
        <v>#REF!</v>
      </c>
      <c r="JY75" s="26">
        <f>IF(JY$2=InputTable[[#This Row],[Delivery Date]],_xlfn.XLOOKUP(JY$1,$BH$2:$BR$2,$BH75:$BR75,0),0)</f>
        <v>0</v>
      </c>
      <c r="JZ75" s="26">
        <f>IF(JZ$2=InputTable[[#This Row],[Delivery Date]],_xlfn.XLOOKUP(JZ$1,$BH$2:$BR$2,$BH75:$BR75,0),0)</f>
        <v>0</v>
      </c>
      <c r="KA75" s="26">
        <f>IF(KA$2=InputTable[[#This Row],[Delivery Date]],_xlfn.XLOOKUP(KA$1,$BH$2:$BR$2,$BH75:$BR75,0),0)</f>
        <v>0</v>
      </c>
      <c r="KB75" s="26">
        <f>IF(KB$2=InputTable[[#This Row],[Delivery Date]],_xlfn.XLOOKUP(KB$1,$BH$2:$BR$2,$BH75:$BR75,0),0)</f>
        <v>0</v>
      </c>
      <c r="KC75" s="26">
        <f>IF(KC$2=InputTable[[#This Row],[Delivery Date]],_xlfn.XLOOKUP(KC$1,$BH$2:$BR$2,$BH75:$BR75,0),0)</f>
        <v>0</v>
      </c>
      <c r="KD75" s="26">
        <f>IF(KD$2=InputTable[[#This Row],[Delivery Date]],_xlfn.XLOOKUP(KD$1,$BH$2:$BR$2,$BH75:$BR75,0),0)</f>
        <v>0</v>
      </c>
      <c r="KE75" s="26">
        <f>IF(KE$2=InputTable[[#This Row],[Delivery Date]],_xlfn.XLOOKUP(KE$1,$BH$2:$BR$2,$BH75:$BR75,0),0)</f>
        <v>0</v>
      </c>
      <c r="KF75" s="26">
        <f>IF(KF$2=InputTable[[#This Row],[Delivery Date]],_xlfn.XLOOKUP(KF$1,$BH$2:$BR$2,$BH75:$BR75,0),0)</f>
        <v>0</v>
      </c>
    </row>
    <row r="76" spans="1:292" ht="39.6" customHeight="1" x14ac:dyDescent="0.25">
      <c r="A76" s="125"/>
      <c r="B76" s="141" t="s">
        <v>92</v>
      </c>
      <c r="C76" s="92" t="s">
        <v>59</v>
      </c>
      <c r="D76" s="125" t="s">
        <v>342</v>
      </c>
      <c r="E76" s="193" t="s">
        <v>343</v>
      </c>
      <c r="F76" s="92" t="s">
        <v>24</v>
      </c>
      <c r="G76" s="92">
        <v>2026</v>
      </c>
      <c r="H76" s="92"/>
      <c r="I76" s="92">
        <v>2026</v>
      </c>
      <c r="J76" s="125"/>
      <c r="K76" s="95" t="str">
        <f>VLOOKUP((InputTable[[#This Row],[Starting Date]]&amp; " - " &amp;InputTable[[#This Row],[Delivery Date]]),'System List'!$F$40:$H$83,2,FALSE)</f>
        <v>1 to 2 years</v>
      </c>
      <c r="L76" s="95">
        <f>VLOOKUP(InputTable[[#This Row],[Duration]],Duration,2,FALSE)</f>
        <v>8</v>
      </c>
      <c r="M76" s="193" t="s">
        <v>110</v>
      </c>
      <c r="N76" s="92"/>
      <c r="O76" s="92"/>
      <c r="P76" s="92"/>
      <c r="Q76" s="92" t="s">
        <v>111</v>
      </c>
      <c r="R76" s="92" t="s">
        <v>111</v>
      </c>
      <c r="S76" s="92"/>
      <c r="T76" s="95" cm="1">
        <f t="array" ref="T7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</v>
      </c>
      <c r="U76" s="138"/>
      <c r="V76" s="92"/>
      <c r="W76" s="92"/>
      <c r="X76" s="92"/>
      <c r="Y76" s="92"/>
      <c r="Z76" s="92"/>
      <c r="AA76" s="92"/>
      <c r="AB76" s="92"/>
      <c r="AC76" s="92"/>
      <c r="AD76" s="92">
        <f>COUNTA(InputTable[[#This Row],[CORPHRFIN]:[SALES]])</f>
        <v>0</v>
      </c>
      <c r="AE76" s="88" cm="1">
        <f t="array" ref="AE76">SUM(
_xlfn.XLOOKUP(InputTable[[#This Row],[CORPHRFIN]:[SALES]],'System List'!$F$4:$F$7,'System List'!$H$4:$H$7,0))</f>
        <v>0</v>
      </c>
      <c r="AF76" s="140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88" cm="1">
        <f t="array" ref="AR76">SUM(
_xlfn.XLOOKUP(InputTable[[#This Row],[Impact on - CIAL]:[Impact on - STRAT]],'System List'!$F$4:$F$7,'System List'!$H$4:$H$7,0))</f>
        <v>0</v>
      </c>
      <c r="AS76" s="88">
        <f>VLOOKUP(InputTable[[#This Row],[Duration]],Duration,2,FALSE)+InputTable[[#This Row],[Resource Score]]</f>
        <v>8</v>
      </c>
      <c r="AT7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6" s="24">
        <f>InputTable[[#This Row],[Value Score]]/InputTable[[#This Row],[EFFORT SCORE]]*100</f>
        <v>25</v>
      </c>
      <c r="AV76" s="25"/>
      <c r="AW76" s="25" t="s">
        <v>128</v>
      </c>
      <c r="AX76" s="208"/>
      <c r="AY76" s="25"/>
      <c r="AZ76" s="209"/>
      <c r="BA76" s="209"/>
      <c r="BB76" s="209"/>
      <c r="BC76" s="189"/>
      <c r="BD76" s="188"/>
      <c r="BE76" s="188"/>
      <c r="BF76" s="70"/>
      <c r="BH76" s="2">
        <f>IFERROR(VLOOKUP(InputTable[[#This Row],[Impact on - CIAL]],'System List'!$F$4:$H$7,3,FALSE),0)</f>
        <v>0</v>
      </c>
      <c r="BI76" s="2">
        <f>IFERROR(VLOOKUP(InputTable[[#This Row],[Impact on - COM]],'System List'!$F$4:$H$7,3,FALSE),0)</f>
        <v>0</v>
      </c>
      <c r="BJ76" s="2">
        <f>IFERROR(VLOOKUP(InputTable[[#This Row],[Impact on - FIN]],'System List'!$F$4:$H$7,3,FALSE),0)</f>
        <v>0</v>
      </c>
      <c r="BK76" s="2">
        <f>IFERROR(VLOOKUP(InputTable[[#This Row],[Impact on - GEN SEC]],'System List'!$F$4:$H$7,3,FALSE),0)</f>
        <v>0</v>
      </c>
      <c r="BL76" s="2">
        <f>IFERROR(VLOOKUP(InputTable[[#This Row],[Impact on - HR]],'System List'!$F$4:$H$7,3,FALSE),0)</f>
        <v>0</v>
      </c>
      <c r="BM76" s="2">
        <f>IFERROR(VLOOKUP(InputTable[[#This Row],[Impact on - IS]],'System List'!$F$4:$H$7,3,FALSE),0)</f>
        <v>0</v>
      </c>
      <c r="BN76" s="2">
        <f>IFERROR(VLOOKUP(InputTable[[#This Row],[Impact on - OPS]],'System List'!$F$4:$H$7,3,FALSE),0)</f>
        <v>0</v>
      </c>
      <c r="BO76" s="2">
        <f>IFERROR(VLOOKUP(InputTable[[#This Row],[Impact on - ROLL STOCK]],'System List'!$F$4:$H$7,3,FALSE),0)</f>
        <v>0</v>
      </c>
      <c r="BP76" s="2">
        <f>IFERROR(VLOOKUP(InputTable[[#This Row],[Impact on - SAFETY]],'System List'!$F$4:$H$7,3,FALSE),0)</f>
        <v>0</v>
      </c>
      <c r="BQ76" s="2">
        <f>IFERROR(VLOOKUP(InputTable[[#This Row],[Impact on - STATION]],'System List'!$F$4:$H$7,3,FALSE),0)</f>
        <v>0</v>
      </c>
      <c r="BR76" s="2">
        <f>IFERROR(VLOOKUP(InputTable[[#This Row],[Impact on - STRAT]],'System List'!$F$4:$H$7,3,FALSE),0)</f>
        <v>0</v>
      </c>
      <c r="BT76" s="2">
        <f>IFERROR(VLOOKUP(InputTable[[#This Row],[CORPHRFIN]],'System List'!$F$4:$H$7,3,FALSE),0)</f>
        <v>0</v>
      </c>
      <c r="BU76" s="2">
        <f>IFERROR(VLOOKUP(InputTable[[#This Row],[CUST]],'System List'!$F$4:$H$7,3,FALSE),0)</f>
        <v>0</v>
      </c>
      <c r="BV76" s="2">
        <f>IFERROR(VLOOKUP(InputTable[[#This Row],[CYBER]],'System List'!$F$4:$H$7,3,FALSE),0)</f>
        <v>0</v>
      </c>
      <c r="BW76" s="2">
        <f>IFERROR(VLOOKUP(InputTable[[#This Row],[DATA]],'System List'!$F$4:$H$7,3,FALSE),0)</f>
        <v>0</v>
      </c>
      <c r="BX76" s="2">
        <f>IFERROR(VLOOKUP(InputTable[[#This Row],[INFRA]],'System List'!$F$4:$H$7,3,FALSE),0)</f>
        <v>0</v>
      </c>
      <c r="BY76" s="2">
        <f>IFERROR(VLOOKUP(InputTable[[#This Row],[OPERATIONS]],'System List'!$F$4:$H$7,3,FALSE),0)</f>
        <v>0</v>
      </c>
      <c r="BZ76" s="2">
        <f>IFERROR(VLOOKUP(InputTable[[#This Row],[PMO]],'System List'!$F$4:$H$7,3,FALSE),0)</f>
        <v>0</v>
      </c>
      <c r="CA76" s="2">
        <f>IFERROR(VLOOKUP(InputTable[[#This Row],[SALES]],'System List'!$F$4:$H$7,3,FALSE),0)</f>
        <v>0</v>
      </c>
      <c r="CC76" s="2" cm="1">
        <f t="array" ref="CC7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6" s="2" cm="1">
        <f t="array" ref="CD7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6" s="2" cm="1">
        <f t="array" ref="CE7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6" s="2" cm="1">
        <f t="array" ref="CF7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6" s="2" cm="1">
        <f t="array" ref="CG7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6" s="2" cm="1">
        <f t="array" ref="CH7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6" s="2" cm="1">
        <f t="array" ref="CI7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6" s="2" cm="1">
        <f t="array" ref="CJ7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6" s="2" cm="1">
        <f t="array" ref="CK7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7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7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7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6" s="26">
        <f t="shared" si="224"/>
        <v>0</v>
      </c>
      <c r="CY76" s="26">
        <f t="shared" si="225"/>
        <v>0</v>
      </c>
      <c r="CZ76" s="26">
        <f t="shared" si="226"/>
        <v>0</v>
      </c>
      <c r="DA76" s="26">
        <f t="shared" si="227"/>
        <v>0</v>
      </c>
      <c r="DB76" s="26">
        <f t="shared" si="228"/>
        <v>0</v>
      </c>
      <c r="DC76" s="26">
        <f t="shared" si="229"/>
        <v>0</v>
      </c>
      <c r="DD76" s="26">
        <f t="shared" si="230"/>
        <v>0</v>
      </c>
      <c r="DE76" s="26">
        <f t="shared" si="231"/>
        <v>0</v>
      </c>
      <c r="DF76" s="26">
        <f t="shared" si="232"/>
        <v>0</v>
      </c>
      <c r="DH76" s="26">
        <f t="shared" si="233"/>
        <v>0</v>
      </c>
      <c r="DI76" s="26">
        <f t="shared" si="234"/>
        <v>0</v>
      </c>
      <c r="DJ76" s="26">
        <f t="shared" si="235"/>
        <v>0</v>
      </c>
      <c r="DK76" s="26">
        <f t="shared" si="236"/>
        <v>0</v>
      </c>
      <c r="DL76" s="26">
        <f t="shared" si="237"/>
        <v>0</v>
      </c>
      <c r="DM76" s="26">
        <f t="shared" si="238"/>
        <v>0</v>
      </c>
      <c r="DN76" s="26">
        <f t="shared" si="239"/>
        <v>0</v>
      </c>
      <c r="DO76" s="26">
        <f t="shared" si="240"/>
        <v>0</v>
      </c>
      <c r="DP76" s="26">
        <f t="shared" si="241"/>
        <v>0</v>
      </c>
      <c r="DR76" s="26">
        <f t="shared" si="242"/>
        <v>0</v>
      </c>
      <c r="DS76" s="26">
        <f t="shared" si="243"/>
        <v>0</v>
      </c>
      <c r="DT76" s="26">
        <f t="shared" si="244"/>
        <v>0</v>
      </c>
      <c r="DU76" s="26">
        <f t="shared" si="245"/>
        <v>0</v>
      </c>
      <c r="DV76" s="26">
        <f t="shared" si="246"/>
        <v>0</v>
      </c>
      <c r="DW76" s="26">
        <f t="shared" si="247"/>
        <v>0</v>
      </c>
      <c r="DX76" s="26">
        <f t="shared" si="248"/>
        <v>0</v>
      </c>
      <c r="DY76" s="26">
        <f t="shared" si="249"/>
        <v>0</v>
      </c>
      <c r="DZ76" s="26">
        <f t="shared" si="250"/>
        <v>0</v>
      </c>
      <c r="EB76" s="26">
        <f t="shared" si="251"/>
        <v>0</v>
      </c>
      <c r="EC76" s="26">
        <f t="shared" si="252"/>
        <v>0</v>
      </c>
      <c r="ED76" s="26">
        <f t="shared" si="253"/>
        <v>0</v>
      </c>
      <c r="EE76" s="26">
        <f t="shared" si="254"/>
        <v>0</v>
      </c>
      <c r="EF76" s="26">
        <f t="shared" si="255"/>
        <v>0</v>
      </c>
      <c r="EG76" s="26">
        <f t="shared" si="256"/>
        <v>0</v>
      </c>
      <c r="EH76" s="26">
        <f t="shared" si="257"/>
        <v>0</v>
      </c>
      <c r="EI76" s="26">
        <f t="shared" si="258"/>
        <v>0</v>
      </c>
      <c r="EJ76" s="26">
        <f t="shared" si="259"/>
        <v>0</v>
      </c>
      <c r="EL76" s="26">
        <f t="shared" si="260"/>
        <v>0</v>
      </c>
      <c r="EM76" s="26">
        <f t="shared" si="261"/>
        <v>0</v>
      </c>
      <c r="EN76" s="26">
        <f t="shared" si="262"/>
        <v>0</v>
      </c>
      <c r="EO76" s="26">
        <f t="shared" si="263"/>
        <v>0</v>
      </c>
      <c r="EP76" s="26">
        <f t="shared" si="264"/>
        <v>0</v>
      </c>
      <c r="EQ76" s="26">
        <f t="shared" si="265"/>
        <v>0</v>
      </c>
      <c r="ER76" s="26">
        <f t="shared" si="266"/>
        <v>0</v>
      </c>
      <c r="ES76" s="26">
        <f t="shared" si="267"/>
        <v>0</v>
      </c>
      <c r="ET76" s="26">
        <f t="shared" si="268"/>
        <v>0</v>
      </c>
      <c r="EV76" s="26">
        <f t="shared" si="269"/>
        <v>0</v>
      </c>
      <c r="EW76" s="26">
        <f t="shared" si="270"/>
        <v>0</v>
      </c>
      <c r="EX76" s="26">
        <f t="shared" si="271"/>
        <v>0</v>
      </c>
      <c r="EY76" s="26">
        <f t="shared" si="272"/>
        <v>0</v>
      </c>
      <c r="EZ76" s="26">
        <f t="shared" si="273"/>
        <v>0</v>
      </c>
      <c r="FA76" s="26">
        <f t="shared" si="274"/>
        <v>0</v>
      </c>
      <c r="FB76" s="26">
        <f t="shared" si="275"/>
        <v>0</v>
      </c>
      <c r="FC76" s="26">
        <f t="shared" si="276"/>
        <v>0</v>
      </c>
      <c r="FD76" s="26">
        <f t="shared" si="277"/>
        <v>0</v>
      </c>
      <c r="FF76" s="26">
        <f t="shared" si="278"/>
        <v>0</v>
      </c>
      <c r="FG76" s="26">
        <f t="shared" si="279"/>
        <v>0</v>
      </c>
      <c r="FH76" s="26">
        <f t="shared" si="280"/>
        <v>0</v>
      </c>
      <c r="FI76" s="26">
        <f t="shared" si="281"/>
        <v>0</v>
      </c>
      <c r="FJ76" s="26">
        <f t="shared" si="282"/>
        <v>0</v>
      </c>
      <c r="FK76" s="26">
        <f t="shared" si="283"/>
        <v>0</v>
      </c>
      <c r="FL76" s="26">
        <f t="shared" si="284"/>
        <v>0</v>
      </c>
      <c r="FM76" s="26">
        <f t="shared" si="285"/>
        <v>0</v>
      </c>
      <c r="FN76" s="26">
        <f t="shared" si="286"/>
        <v>0</v>
      </c>
      <c r="FP76" s="26" t="e">
        <f t="shared" si="287"/>
        <v>#REF!</v>
      </c>
      <c r="FQ76" s="26" t="e">
        <f t="shared" si="288"/>
        <v>#REF!</v>
      </c>
      <c r="FR76" s="26" t="e">
        <f t="shared" si="289"/>
        <v>#REF!</v>
      </c>
      <c r="FS76" s="26" t="e">
        <f t="shared" si="290"/>
        <v>#REF!</v>
      </c>
      <c r="FT76" s="26" t="e">
        <f t="shared" si="291"/>
        <v>#REF!</v>
      </c>
      <c r="FU76" s="26" t="e">
        <f t="shared" si="292"/>
        <v>#REF!</v>
      </c>
      <c r="FV76" s="26" t="e">
        <f t="shared" si="293"/>
        <v>#REF!</v>
      </c>
      <c r="FW76" s="26" t="e">
        <f t="shared" si="294"/>
        <v>#REF!</v>
      </c>
      <c r="FX76" s="26" t="e">
        <f t="shared" si="295"/>
        <v>#REF!</v>
      </c>
      <c r="GB76" s="26" t="e">
        <f>IF(GB$2=InputTable[[#This Row],[Delivery Date]],_xlfn.XLOOKUP(GB$1,$BH$2:$BR$2,$BH76:$BR76,0),0)</f>
        <v>#REF!</v>
      </c>
      <c r="GC76" s="26">
        <f>IF(GC$2=InputTable[[#This Row],[Delivery Date]],_xlfn.XLOOKUP(GC$1,$BH$2:$BR$2,$BH76:$BR76,0),0)</f>
        <v>0</v>
      </c>
      <c r="GD76" s="26">
        <f>IF(GD$2=InputTable[[#This Row],[Delivery Date]],_xlfn.XLOOKUP(GD$1,$BH$2:$BR$2,$BH76:$BR76,0),0)</f>
        <v>0</v>
      </c>
      <c r="GE76" s="26">
        <f>IF(GE$2=InputTable[[#This Row],[Delivery Date]],_xlfn.XLOOKUP(GE$1,$BH$2:$BR$2,$BH76:$BR76,0),0)</f>
        <v>0</v>
      </c>
      <c r="GF76" s="26">
        <f>IF(GF$2=InputTable[[#This Row],[Delivery Date]],_xlfn.XLOOKUP(GF$1,$BH$2:$BR$2,$BH76:$BR76,0),0)</f>
        <v>0</v>
      </c>
      <c r="GG76" s="26">
        <f>IF(GG$2=InputTable[[#This Row],[Delivery Date]],_xlfn.XLOOKUP(GG$1,$BH$2:$BR$2,$BH76:$BR76,0),0)</f>
        <v>0</v>
      </c>
      <c r="GH76" s="26">
        <f>IF(GH$2=InputTable[[#This Row],[Delivery Date]],_xlfn.XLOOKUP(GH$1,$BH$2:$BR$2,$BH76:$BR76,0),0)</f>
        <v>0</v>
      </c>
      <c r="GI76" s="26">
        <f>IF(GI$2=InputTable[[#This Row],[Delivery Date]],_xlfn.XLOOKUP(GI$1,$BH$2:$BR$2,$BH76:$BR76,0),0)</f>
        <v>0</v>
      </c>
      <c r="GJ76" s="26">
        <f>IF(GJ$2=InputTable[[#This Row],[Delivery Date]],_xlfn.XLOOKUP(GJ$1,$BH$2:$BR$2,$BH76:$BR76,0),0)</f>
        <v>0</v>
      </c>
      <c r="GL76" s="26" t="e">
        <f>IF(GL$2=InputTable[[#This Row],[Delivery Date]],_xlfn.XLOOKUP(GL$1,$BH$2:$BR$2,$BH76:$BR76,0),0)</f>
        <v>#REF!</v>
      </c>
      <c r="GM76" s="26">
        <f>IF(GM$2=InputTable[[#This Row],[Delivery Date]],_xlfn.XLOOKUP(GM$1,$BH$2:$BR$2,$BH76:$BR76,0),0)</f>
        <v>0</v>
      </c>
      <c r="GN76" s="26">
        <f>IF(GN$2=InputTable[[#This Row],[Delivery Date]],_xlfn.XLOOKUP(GN$1,$BH$2:$BR$2,$BH76:$BR76,0),0)</f>
        <v>0</v>
      </c>
      <c r="GO76" s="26">
        <f>IF(GO$2=InputTable[[#This Row],[Delivery Date]],_xlfn.XLOOKUP(GO$1,$BH$2:$BR$2,$BH76:$BR76,0),0)</f>
        <v>0</v>
      </c>
      <c r="GP76" s="26">
        <f>IF(GP$2=InputTable[[#This Row],[Delivery Date]],_xlfn.XLOOKUP(GP$1,$BH$2:$BR$2,$BH76:$BR76,0),0)</f>
        <v>0</v>
      </c>
      <c r="GQ76" s="26">
        <f>IF(GQ$2=InputTable[[#This Row],[Delivery Date]],_xlfn.XLOOKUP(GQ$1,$BH$2:$BR$2,$BH76:$BR76,0),0)</f>
        <v>0</v>
      </c>
      <c r="GR76" s="26">
        <f>IF(GR$2=InputTable[[#This Row],[Delivery Date]],_xlfn.XLOOKUP(GR$1,$BH$2:$BR$2,$BH76:$BR76,0),0)</f>
        <v>0</v>
      </c>
      <c r="GS76" s="26">
        <f>IF(GS$2=InputTable[[#This Row],[Delivery Date]],_xlfn.XLOOKUP(GS$1,$BH$2:$BR$2,$BH76:$BR76,0),0)</f>
        <v>0</v>
      </c>
      <c r="GT76" s="26">
        <f>IF(GT$2=InputTable[[#This Row],[Delivery Date]],_xlfn.XLOOKUP(GT$1,$BH$2:$BR$2,$BH76:$BR76,0),0)</f>
        <v>0</v>
      </c>
      <c r="GV76" s="26" t="e">
        <f>IF(GV$2=InputTable[[#This Row],[Delivery Date]],_xlfn.XLOOKUP(GV$1,$BH$2:$BR$2,$BH76:$BR76,0),0)</f>
        <v>#REF!</v>
      </c>
      <c r="GW76" s="26">
        <f>IF(GW$2=InputTable[[#This Row],[Delivery Date]],_xlfn.XLOOKUP(GW$1,$BH$2:$BR$2,$BH76:$BR76,0),0)</f>
        <v>0</v>
      </c>
      <c r="GX76" s="26">
        <f>IF(GX$2=InputTable[[#This Row],[Delivery Date]],_xlfn.XLOOKUP(GX$1,$BH$2:$BR$2,$BH76:$BR76,0),0)</f>
        <v>0</v>
      </c>
      <c r="GY76" s="26">
        <f>IF(GY$2=InputTable[[#This Row],[Delivery Date]],_xlfn.XLOOKUP(GY$1,$BH$2:$BR$2,$BH76:$BR76,0),0)</f>
        <v>0</v>
      </c>
      <c r="GZ76" s="26">
        <f>IF(GZ$2=InputTable[[#This Row],[Delivery Date]],_xlfn.XLOOKUP(GZ$1,$BH$2:$BR$2,$BH76:$BR76,0),0)</f>
        <v>0</v>
      </c>
      <c r="HA76" s="26">
        <f>IF(HA$2=InputTable[[#This Row],[Delivery Date]],_xlfn.XLOOKUP(HA$1,$BH$2:$BR$2,$BH76:$BR76,0),0)</f>
        <v>0</v>
      </c>
      <c r="HB76" s="26">
        <f>IF(HB$2=InputTable[[#This Row],[Delivery Date]],_xlfn.XLOOKUP(HB$1,$BH$2:$BR$2,$BH76:$BR76,0),0)</f>
        <v>0</v>
      </c>
      <c r="HC76" s="26">
        <f>IF(HC$2=InputTable[[#This Row],[Delivery Date]],_xlfn.XLOOKUP(HC$1,$BH$2:$BR$2,$BH76:$BR76,0),0)</f>
        <v>0</v>
      </c>
      <c r="HD76" s="26">
        <f>IF(HD$2=InputTable[[#This Row],[Delivery Date]],_xlfn.XLOOKUP(HD$1,$BH$2:$BR$2,$BH76:$BR76,0),0)</f>
        <v>0</v>
      </c>
      <c r="HF76" s="26" t="e">
        <f>IF(HF$2=InputTable[[#This Row],[Delivery Date]],_xlfn.XLOOKUP(HF$1,$BH$2:$BR$2,$BH76:$BR76,0),0)</f>
        <v>#REF!</v>
      </c>
      <c r="HG76" s="26">
        <f>IF(HG$2=InputTable[[#This Row],[Delivery Date]],_xlfn.XLOOKUP(HG$1,$BH$2:$BR$2,$BH76:$BR76,0),0)</f>
        <v>0</v>
      </c>
      <c r="HH76" s="26">
        <f>IF(HH$2=InputTable[[#This Row],[Delivery Date]],_xlfn.XLOOKUP(HH$1,$BH$2:$BR$2,$BH76:$BR76,0),0)</f>
        <v>0</v>
      </c>
      <c r="HI76" s="26">
        <f>IF(HI$2=InputTable[[#This Row],[Delivery Date]],_xlfn.XLOOKUP(HI$1,$BH$2:$BR$2,$BH76:$BR76,0),0)</f>
        <v>0</v>
      </c>
      <c r="HJ76" s="26">
        <f>IF(HJ$2=InputTable[[#This Row],[Delivery Date]],_xlfn.XLOOKUP(HJ$1,$BH$2:$BR$2,$BH76:$BR76,0),0)</f>
        <v>0</v>
      </c>
      <c r="HK76" s="26">
        <f>IF(HK$2=InputTable[[#This Row],[Delivery Date]],_xlfn.XLOOKUP(HK$1,$BH$2:$BR$2,$BH76:$BR76,0),0)</f>
        <v>0</v>
      </c>
      <c r="HL76" s="26">
        <f>IF(HL$2=InputTable[[#This Row],[Delivery Date]],_xlfn.XLOOKUP(HL$1,$BH$2:$BR$2,$BH76:$BR76,0),0)</f>
        <v>0</v>
      </c>
      <c r="HM76" s="26">
        <f>IF(HM$2=InputTable[[#This Row],[Delivery Date]],_xlfn.XLOOKUP(HM$1,$BH$2:$BR$2,$BH76:$BR76,0),0)</f>
        <v>0</v>
      </c>
      <c r="HN76" s="26">
        <f>IF(HN$2=InputTable[[#This Row],[Delivery Date]],_xlfn.XLOOKUP(HN$1,$BH$2:$BR$2,$BH76:$BR76,0),0)</f>
        <v>0</v>
      </c>
      <c r="HP76" s="26" t="e">
        <f>IF(HP$2=InputTable[[#This Row],[Delivery Date]],_xlfn.XLOOKUP(HP$1,$BH$2:$BR$2,$BH76:$BR76,0),0)</f>
        <v>#REF!</v>
      </c>
      <c r="HQ76" s="26">
        <f>IF(HQ$2=InputTable[[#This Row],[Delivery Date]],_xlfn.XLOOKUP(HQ$1,$BH$2:$BR$2,$BH76:$BR76,0),0)</f>
        <v>0</v>
      </c>
      <c r="HR76" s="26">
        <f>IF(HR$2=InputTable[[#This Row],[Delivery Date]],_xlfn.XLOOKUP(HR$1,$BH$2:$BR$2,$BH76:$BR76,0),0)</f>
        <v>0</v>
      </c>
      <c r="HS76" s="26">
        <f>IF(HS$2=InputTable[[#This Row],[Delivery Date]],_xlfn.XLOOKUP(HS$1,$BH$2:$BR$2,$BH76:$BR76,0),0)</f>
        <v>0</v>
      </c>
      <c r="HT76" s="26">
        <f>IF(HT$2=InputTable[[#This Row],[Delivery Date]],_xlfn.XLOOKUP(HT$1,$BH$2:$BR$2,$BH76:$BR76,0),0)</f>
        <v>0</v>
      </c>
      <c r="HU76" s="26">
        <f>IF(HU$2=InputTable[[#This Row],[Delivery Date]],_xlfn.XLOOKUP(HU$1,$BH$2:$BR$2,$BH76:$BR76,0),0)</f>
        <v>0</v>
      </c>
      <c r="HV76" s="26">
        <f>IF(HV$2=InputTable[[#This Row],[Delivery Date]],_xlfn.XLOOKUP(HV$1,$BH$2:$BR$2,$BH76:$BR76,0),0)</f>
        <v>0</v>
      </c>
      <c r="HW76" s="26">
        <f>IF(HW$2=InputTable[[#This Row],[Delivery Date]],_xlfn.XLOOKUP(HW$1,$BH$2:$BR$2,$BH76:$BR76,0),0)</f>
        <v>0</v>
      </c>
      <c r="HX76" s="26">
        <f>IF(HX$2=InputTable[[#This Row],[Delivery Date]],_xlfn.XLOOKUP(HX$1,$BH$2:$BR$2,$BH76:$BR76,0),0)</f>
        <v>0</v>
      </c>
      <c r="HZ76" s="26" t="e">
        <f>IF(HZ$2=InputTable[[#This Row],[Delivery Date]],_xlfn.XLOOKUP(HZ$1,$BH$2:$BR$2,$BH76:$BR76,0),0)</f>
        <v>#REF!</v>
      </c>
      <c r="IA76" s="26">
        <f>IF(IA$2=InputTable[[#This Row],[Delivery Date]],_xlfn.XLOOKUP(IA$1,$BH$2:$BR$2,$BH76:$BR76,0),0)</f>
        <v>0</v>
      </c>
      <c r="IB76" s="26">
        <f>IF(IB$2=InputTable[[#This Row],[Delivery Date]],_xlfn.XLOOKUP(IB$1,$BH$2:$BR$2,$BH76:$BR76,0),0)</f>
        <v>0</v>
      </c>
      <c r="IC76" s="26">
        <f>IF(IC$2=InputTable[[#This Row],[Delivery Date]],_xlfn.XLOOKUP(IC$1,$BH$2:$BR$2,$BH76:$BR76,0),0)</f>
        <v>0</v>
      </c>
      <c r="ID76" s="26">
        <f>IF(ID$2=InputTable[[#This Row],[Delivery Date]],_xlfn.XLOOKUP(ID$1,$BH$2:$BR$2,$BH76:$BR76,0),0)</f>
        <v>0</v>
      </c>
      <c r="IE76" s="26">
        <f>IF(IE$2=InputTable[[#This Row],[Delivery Date]],_xlfn.XLOOKUP(IE$1,$BH$2:$BR$2,$BH76:$BR76,0),0)</f>
        <v>0</v>
      </c>
      <c r="IF76" s="26">
        <f>IF(IF$2=InputTable[[#This Row],[Delivery Date]],_xlfn.XLOOKUP(IF$1,$BH$2:$BR$2,$BH76:$BR76,0),0)</f>
        <v>0</v>
      </c>
      <c r="IG76" s="26">
        <f>IF(IG$2=InputTable[[#This Row],[Delivery Date]],_xlfn.XLOOKUP(IG$1,$BH$2:$BR$2,$BH76:$BR76,0),0)</f>
        <v>0</v>
      </c>
      <c r="IH76" s="26">
        <f>IF(IH$2=InputTable[[#This Row],[Delivery Date]],_xlfn.XLOOKUP(IH$1,$BH$2:$BR$2,$BH76:$BR76,0),0)</f>
        <v>0</v>
      </c>
      <c r="IJ76" s="26" t="e">
        <f>IF(IJ$2=InputTable[[#This Row],[Delivery Date]],_xlfn.XLOOKUP(IJ$1,$BH$2:$BR$2,$BH76:$BR76,0),0)</f>
        <v>#REF!</v>
      </c>
      <c r="IK76" s="26">
        <f>IF(IK$2=InputTable[[#This Row],[Delivery Date]],_xlfn.XLOOKUP(IK$1,$BH$2:$BR$2,$BH76:$BR76,0),0)</f>
        <v>0</v>
      </c>
      <c r="IL76" s="26">
        <f>IF(IL$2=InputTable[[#This Row],[Delivery Date]],_xlfn.XLOOKUP(IL$1,$BH$2:$BR$2,$BH76:$BR76,0),0)</f>
        <v>0</v>
      </c>
      <c r="IM76" s="26">
        <f>IF(IM$2=InputTable[[#This Row],[Delivery Date]],_xlfn.XLOOKUP(IM$1,$BH$2:$BR$2,$BH76:$BR76,0),0)</f>
        <v>0</v>
      </c>
      <c r="IN76" s="26">
        <f>IF(IN$2=InputTable[[#This Row],[Delivery Date]],_xlfn.XLOOKUP(IN$1,$BH$2:$BR$2,$BH76:$BR76,0),0)</f>
        <v>0</v>
      </c>
      <c r="IO76" s="26">
        <f>IF(IO$2=InputTable[[#This Row],[Delivery Date]],_xlfn.XLOOKUP(IO$1,$BH$2:$BR$2,$BH76:$BR76,0),0)</f>
        <v>0</v>
      </c>
      <c r="IP76" s="26">
        <f>IF(IP$2=InputTable[[#This Row],[Delivery Date]],_xlfn.XLOOKUP(IP$1,$BH$2:$BR$2,$BH76:$BR76,0),0)</f>
        <v>0</v>
      </c>
      <c r="IQ76" s="26">
        <f>IF(IQ$2=InputTable[[#This Row],[Delivery Date]],_xlfn.XLOOKUP(IQ$1,$BH$2:$BR$2,$BH76:$BR76,0),0)</f>
        <v>0</v>
      </c>
      <c r="IR76" s="26">
        <f>IF(IR$2=InputTable[[#This Row],[Delivery Date]],_xlfn.XLOOKUP(IR$1,$BH$2:$BR$2,$BH76:$BR76,0),0)</f>
        <v>0</v>
      </c>
      <c r="IT76" s="26" t="e">
        <f>IF(IT$2=InputTable[[#This Row],[Delivery Date]],_xlfn.XLOOKUP(IT$1,$BH$2:$BR$2,$BH76:$BR76,0),0)</f>
        <v>#REF!</v>
      </c>
      <c r="IU76" s="26">
        <f>IF(IU$2=InputTable[[#This Row],[Delivery Date]],_xlfn.XLOOKUP(IU$1,$BH$2:$BR$2,$BH76:$BR76,0),0)</f>
        <v>0</v>
      </c>
      <c r="IV76" s="26">
        <f>IF(IV$2=InputTable[[#This Row],[Delivery Date]],_xlfn.XLOOKUP(IV$1,$BH$2:$BR$2,$BH76:$BR76,0),0)</f>
        <v>0</v>
      </c>
      <c r="IW76" s="26">
        <f>IF(IW$2=InputTable[[#This Row],[Delivery Date]],_xlfn.XLOOKUP(IW$1,$BH$2:$BR$2,$BH76:$BR76,0),0)</f>
        <v>0</v>
      </c>
      <c r="IX76" s="26">
        <f>IF(IX$2=InputTable[[#This Row],[Delivery Date]],_xlfn.XLOOKUP(IX$1,$BH$2:$BR$2,$BH76:$BR76,0),0)</f>
        <v>0</v>
      </c>
      <c r="IY76" s="26">
        <f>IF(IY$2=InputTable[[#This Row],[Delivery Date]],_xlfn.XLOOKUP(IY$1,$BH$2:$BR$2,$BH76:$BR76,0),0)</f>
        <v>0</v>
      </c>
      <c r="IZ76" s="26">
        <f>IF(IZ$2=InputTable[[#This Row],[Delivery Date]],_xlfn.XLOOKUP(IZ$1,$BH$2:$BR$2,$BH76:$BR76,0),0)</f>
        <v>0</v>
      </c>
      <c r="JA76" s="26">
        <f>IF(JA$2=InputTable[[#This Row],[Delivery Date]],_xlfn.XLOOKUP(JA$1,$BH$2:$BR$2,$BH76:$BR76,0),0)</f>
        <v>0</v>
      </c>
      <c r="JB76" s="26">
        <f>IF(JB$2=InputTable[[#This Row],[Delivery Date]],_xlfn.XLOOKUP(JB$1,$BH$2:$BR$2,$BH76:$BR76,0),0)</f>
        <v>0</v>
      </c>
      <c r="JD76" s="26" t="e">
        <f>IF(JD$2=InputTable[[#This Row],[Delivery Date]],_xlfn.XLOOKUP(JD$1,$BH$2:$BR$2,$BH76:$BR76,0),0)</f>
        <v>#REF!</v>
      </c>
      <c r="JE76" s="26">
        <f>IF(JE$2=InputTable[[#This Row],[Delivery Date]],_xlfn.XLOOKUP(JE$1,$BH$2:$BR$2,$BH76:$BR76,0),0)</f>
        <v>0</v>
      </c>
      <c r="JF76" s="26">
        <f>IF(JF$2=InputTable[[#This Row],[Delivery Date]],_xlfn.XLOOKUP(JF$1,$BH$2:$BR$2,$BH76:$BR76,0),0)</f>
        <v>0</v>
      </c>
      <c r="JG76" s="26">
        <f>IF(JG$2=InputTable[[#This Row],[Delivery Date]],_xlfn.XLOOKUP(JG$1,$BH$2:$BR$2,$BH76:$BR76,0),0)</f>
        <v>0</v>
      </c>
      <c r="JH76" s="26">
        <f>IF(JH$2=InputTable[[#This Row],[Delivery Date]],_xlfn.XLOOKUP(JH$1,$BH$2:$BR$2,$BH76:$BR76,0),0)</f>
        <v>0</v>
      </c>
      <c r="JI76" s="26">
        <f>IF(JI$2=InputTable[[#This Row],[Delivery Date]],_xlfn.XLOOKUP(JI$1,$BH$2:$BR$2,$BH76:$BR76,0),0)</f>
        <v>0</v>
      </c>
      <c r="JJ76" s="26">
        <f>IF(JJ$2=InputTable[[#This Row],[Delivery Date]],_xlfn.XLOOKUP(JJ$1,$BH$2:$BR$2,$BH76:$BR76,0),0)</f>
        <v>0</v>
      </c>
      <c r="JK76" s="26">
        <f>IF(JK$2=InputTable[[#This Row],[Delivery Date]],_xlfn.XLOOKUP(JK$1,$BH$2:$BR$2,$BH76:$BR76,0),0)</f>
        <v>0</v>
      </c>
      <c r="JL76" s="26">
        <f>IF(JL$2=InputTable[[#This Row],[Delivery Date]],_xlfn.XLOOKUP(JL$1,$BH$2:$BR$2,$BH76:$BR76,0),0)</f>
        <v>0</v>
      </c>
      <c r="JN76" s="26" t="e">
        <f>IF(JN$2=InputTable[[#This Row],[Delivery Date]],_xlfn.XLOOKUP(JN$1,$BH$2:$BR$2,$BH76:$BR76,0),0)</f>
        <v>#REF!</v>
      </c>
      <c r="JO76" s="26">
        <f>IF(JO$2=InputTable[[#This Row],[Delivery Date]],_xlfn.XLOOKUP(JO$1,$BH$2:$BR$2,$BH76:$BR76,0),0)</f>
        <v>0</v>
      </c>
      <c r="JP76" s="26">
        <f>IF(JP$2=InputTable[[#This Row],[Delivery Date]],_xlfn.XLOOKUP(JP$1,$BH$2:$BR$2,$BH76:$BR76,0),0)</f>
        <v>0</v>
      </c>
      <c r="JQ76" s="26">
        <f>IF(JQ$2=InputTable[[#This Row],[Delivery Date]],_xlfn.XLOOKUP(JQ$1,$BH$2:$BR$2,$BH76:$BR76,0),0)</f>
        <v>0</v>
      </c>
      <c r="JR76" s="26">
        <f>IF(JR$2=InputTable[[#This Row],[Delivery Date]],_xlfn.XLOOKUP(JR$1,$BH$2:$BR$2,$BH76:$BR76,0),0)</f>
        <v>0</v>
      </c>
      <c r="JS76" s="26">
        <f>IF(JS$2=InputTable[[#This Row],[Delivery Date]],_xlfn.XLOOKUP(JS$1,$BH$2:$BR$2,$BH76:$BR76,0),0)</f>
        <v>0</v>
      </c>
      <c r="JT76" s="26">
        <f>IF(JT$2=InputTable[[#This Row],[Delivery Date]],_xlfn.XLOOKUP(JT$1,$BH$2:$BR$2,$BH76:$BR76,0),0)</f>
        <v>0</v>
      </c>
      <c r="JU76" s="26">
        <f>IF(JU$2=InputTable[[#This Row],[Delivery Date]],_xlfn.XLOOKUP(JU$1,$BH$2:$BR$2,$BH76:$BR76,0),0)</f>
        <v>0</v>
      </c>
      <c r="JV76" s="26">
        <f>IF(JV$2=InputTable[[#This Row],[Delivery Date]],_xlfn.XLOOKUP(JV$1,$BH$2:$BR$2,$BH76:$BR76,0),0)</f>
        <v>0</v>
      </c>
      <c r="JX76" s="26" t="e">
        <f>IF(JX$2=InputTable[[#This Row],[Delivery Date]],_xlfn.XLOOKUP(JX$1,$BH$2:$BR$2,$BH76:$BR76,0),0)</f>
        <v>#REF!</v>
      </c>
      <c r="JY76" s="26">
        <f>IF(JY$2=InputTable[[#This Row],[Delivery Date]],_xlfn.XLOOKUP(JY$1,$BH$2:$BR$2,$BH76:$BR76,0),0)</f>
        <v>0</v>
      </c>
      <c r="JZ76" s="26">
        <f>IF(JZ$2=InputTable[[#This Row],[Delivery Date]],_xlfn.XLOOKUP(JZ$1,$BH$2:$BR$2,$BH76:$BR76,0),0)</f>
        <v>0</v>
      </c>
      <c r="KA76" s="26">
        <f>IF(KA$2=InputTable[[#This Row],[Delivery Date]],_xlfn.XLOOKUP(KA$1,$BH$2:$BR$2,$BH76:$BR76,0),0)</f>
        <v>0</v>
      </c>
      <c r="KB76" s="26">
        <f>IF(KB$2=InputTable[[#This Row],[Delivery Date]],_xlfn.XLOOKUP(KB$1,$BH$2:$BR$2,$BH76:$BR76,0),0)</f>
        <v>0</v>
      </c>
      <c r="KC76" s="26">
        <f>IF(KC$2=InputTable[[#This Row],[Delivery Date]],_xlfn.XLOOKUP(KC$1,$BH$2:$BR$2,$BH76:$BR76,0),0)</f>
        <v>0</v>
      </c>
      <c r="KD76" s="26">
        <f>IF(KD$2=InputTable[[#This Row],[Delivery Date]],_xlfn.XLOOKUP(KD$1,$BH$2:$BR$2,$BH76:$BR76,0),0)</f>
        <v>0</v>
      </c>
      <c r="KE76" s="26">
        <f>IF(KE$2=InputTable[[#This Row],[Delivery Date]],_xlfn.XLOOKUP(KE$1,$BH$2:$BR$2,$BH76:$BR76,0),0)</f>
        <v>0</v>
      </c>
      <c r="KF76" s="26">
        <f>IF(KF$2=InputTable[[#This Row],[Delivery Date]],_xlfn.XLOOKUP(KF$1,$BH$2:$BR$2,$BH76:$BR76,0),0)</f>
        <v>0</v>
      </c>
    </row>
    <row r="77" spans="1:292" ht="39.6" customHeight="1" x14ac:dyDescent="0.25">
      <c r="A77" s="125" t="s">
        <v>162</v>
      </c>
      <c r="B77" s="141" t="s">
        <v>156</v>
      </c>
      <c r="C77" s="92" t="s">
        <v>59</v>
      </c>
      <c r="D77" s="125" t="s">
        <v>344</v>
      </c>
      <c r="E77" s="193" t="s">
        <v>345</v>
      </c>
      <c r="F77" s="92" t="s">
        <v>61</v>
      </c>
      <c r="G77" s="92" t="s">
        <v>160</v>
      </c>
      <c r="H77" s="92" t="s">
        <v>139</v>
      </c>
      <c r="I77" s="92" t="s">
        <v>123</v>
      </c>
      <c r="J77" s="125" t="s">
        <v>161</v>
      </c>
      <c r="K77" s="95" t="e">
        <f>VLOOKUP((InputTable[[#This Row],[Starting Date]]&amp; " - " &amp;InputTable[[#This Row],[Delivery Date]]),'System List'!$F$40:$H$83,2,FALSE)</f>
        <v>#N/A</v>
      </c>
      <c r="L77" s="95" t="e">
        <f>VLOOKUP(InputTable[[#This Row],[Duration]],Duration,2,FALSE)</f>
        <v>#N/A</v>
      </c>
      <c r="M77" s="125"/>
      <c r="N77" s="92"/>
      <c r="O77" s="92" t="s">
        <v>139</v>
      </c>
      <c r="P77" s="92" t="s">
        <v>139</v>
      </c>
      <c r="Q77" s="92"/>
      <c r="R77" s="92" t="s">
        <v>111</v>
      </c>
      <c r="S77" s="92"/>
      <c r="T77" s="95" cm="1">
        <f t="array" ref="T7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4.7</v>
      </c>
      <c r="U77" s="138"/>
      <c r="V77" s="92"/>
      <c r="W77" s="92"/>
      <c r="X77" s="92"/>
      <c r="Y77" s="92" t="s">
        <v>111</v>
      </c>
      <c r="Z77" s="92"/>
      <c r="AA77" s="92" t="s">
        <v>111</v>
      </c>
      <c r="AB77" s="92"/>
      <c r="AC77" s="92"/>
      <c r="AD77" s="92">
        <f>COUNTA(InputTable[[#This Row],[CORPHRFIN]:[SALES]])</f>
        <v>2</v>
      </c>
      <c r="AE77" s="88" cm="1">
        <f t="array" ref="AE77">SUM(
_xlfn.XLOOKUP(InputTable[[#This Row],[CORPHRFIN]:[SALES]],'System List'!$F$4:$F$7,'System List'!$H$4:$H$7,0))</f>
        <v>10</v>
      </c>
      <c r="AF77" s="140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88" cm="1">
        <f t="array" ref="AR77">SUM(
_xlfn.XLOOKUP(InputTable[[#This Row],[Impact on - CIAL]:[Impact on - STRAT]],'System List'!$F$4:$F$7,'System List'!$H$4:$H$7,0))</f>
        <v>0</v>
      </c>
      <c r="AS77" s="88" t="e">
        <f>VLOOKUP(InputTable[[#This Row],[Duration]],Duration,2,FALSE)+InputTable[[#This Row],[Resource Score]]</f>
        <v>#N/A</v>
      </c>
      <c r="AT7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7" s="24" t="e">
        <f>InputTable[[#This Row],[Value Score]]/InputTable[[#This Row],[EFFORT SCORE]]*100</f>
        <v>#N/A</v>
      </c>
      <c r="AV77" s="25" t="str">
        <f>InputTable[[#This Row],[IS Portfolio Ref ID]]</f>
        <v>ISPRJ-13</v>
      </c>
      <c r="AW77" s="25" t="s">
        <v>222</v>
      </c>
      <c r="AX77" s="208" t="s">
        <v>154</v>
      </c>
      <c r="AY77" s="25"/>
      <c r="AZ77" s="209">
        <v>0</v>
      </c>
      <c r="BA77" s="209">
        <v>45000</v>
      </c>
      <c r="BB77" s="209"/>
      <c r="BC77" s="189">
        <f>SUM(InputTable[[#This Row],[Opex IS Budget (full project)]]+InputTable[[#This Row],[Capex IS Budget (full project)]])</f>
        <v>45000</v>
      </c>
      <c r="BD77" s="188">
        <v>1</v>
      </c>
      <c r="BE77" s="188">
        <v>2</v>
      </c>
      <c r="BF77" s="70"/>
      <c r="BH77" s="2">
        <f>IFERROR(VLOOKUP(InputTable[[#This Row],[Impact on - CIAL]],'System List'!$F$4:$H$7,3,FALSE),0)</f>
        <v>0</v>
      </c>
      <c r="BI77" s="2">
        <f>IFERROR(VLOOKUP(InputTable[[#This Row],[Impact on - COM]],'System List'!$F$4:$H$7,3,FALSE),0)</f>
        <v>0</v>
      </c>
      <c r="BJ77" s="2">
        <f>IFERROR(VLOOKUP(InputTable[[#This Row],[Impact on - FIN]],'System List'!$F$4:$H$7,3,FALSE),0)</f>
        <v>0</v>
      </c>
      <c r="BK77" s="2">
        <f>IFERROR(VLOOKUP(InputTable[[#This Row],[Impact on - GEN SEC]],'System List'!$F$4:$H$7,3,FALSE),0)</f>
        <v>0</v>
      </c>
      <c r="BL77" s="2">
        <f>IFERROR(VLOOKUP(InputTable[[#This Row],[Impact on - HR]],'System List'!$F$4:$H$7,3,FALSE),0)</f>
        <v>0</v>
      </c>
      <c r="BM77" s="2">
        <f>IFERROR(VLOOKUP(InputTable[[#This Row],[Impact on - IS]],'System List'!$F$4:$H$7,3,FALSE),0)</f>
        <v>0</v>
      </c>
      <c r="BN77" s="2">
        <f>IFERROR(VLOOKUP(InputTable[[#This Row],[Impact on - OPS]],'System List'!$F$4:$H$7,3,FALSE),0)</f>
        <v>0</v>
      </c>
      <c r="BO77" s="2">
        <f>IFERROR(VLOOKUP(InputTable[[#This Row],[Impact on - ROLL STOCK]],'System List'!$F$4:$H$7,3,FALSE),0)</f>
        <v>0</v>
      </c>
      <c r="BP77" s="2">
        <f>IFERROR(VLOOKUP(InputTable[[#This Row],[Impact on - SAFETY]],'System List'!$F$4:$H$7,3,FALSE),0)</f>
        <v>0</v>
      </c>
      <c r="BQ77" s="2">
        <f>IFERROR(VLOOKUP(InputTable[[#This Row],[Impact on - STATION]],'System List'!$F$4:$H$7,3,FALSE),0)</f>
        <v>0</v>
      </c>
      <c r="BR77" s="2">
        <f>IFERROR(VLOOKUP(InputTable[[#This Row],[Impact on - STRAT]],'System List'!$F$4:$H$7,3,FALSE),0)</f>
        <v>0</v>
      </c>
      <c r="BT77" s="2">
        <f>IFERROR(VLOOKUP(InputTable[[#This Row],[CORPHRFIN]],'System List'!$F$4:$H$7,3,FALSE),0)</f>
        <v>0</v>
      </c>
      <c r="BU77" s="2">
        <f>IFERROR(VLOOKUP(InputTable[[#This Row],[CUST]],'System List'!$F$4:$H$7,3,FALSE),0)</f>
        <v>0</v>
      </c>
      <c r="BV77" s="2">
        <f>IFERROR(VLOOKUP(InputTable[[#This Row],[CYBER]],'System List'!$F$4:$H$7,3,FALSE),0)</f>
        <v>0</v>
      </c>
      <c r="BW77" s="2">
        <f>IFERROR(VLOOKUP(InputTable[[#This Row],[DATA]],'System List'!$F$4:$H$7,3,FALSE),0)</f>
        <v>5</v>
      </c>
      <c r="BX77" s="2">
        <f>IFERROR(VLOOKUP(InputTable[[#This Row],[INFRA]],'System List'!$F$4:$H$7,3,FALSE),0)</f>
        <v>0</v>
      </c>
      <c r="BY77" s="2">
        <f>IFERROR(VLOOKUP(InputTable[[#This Row],[OPERATIONS]],'System List'!$F$4:$H$7,3,FALSE),0)</f>
        <v>5</v>
      </c>
      <c r="BZ77" s="2">
        <f>IFERROR(VLOOKUP(InputTable[[#This Row],[PMO]],'System List'!$F$4:$H$7,3,FALSE),0)</f>
        <v>0</v>
      </c>
      <c r="CA77" s="2">
        <f>IFERROR(VLOOKUP(InputTable[[#This Row],[SALES]],'System List'!$F$4:$H$7,3,FALSE),0)</f>
        <v>0</v>
      </c>
      <c r="CC77" s="2" cm="1">
        <f t="array" ref="CC7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7" s="2" cm="1">
        <f t="array" ref="CD7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7" s="2" cm="1">
        <f t="array" ref="CE7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7" s="2" cm="1">
        <f t="array" ref="CF7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7" s="2" cm="1">
        <f t="array" ref="CG7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7" s="2" cm="1">
        <f t="array" ref="CH7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7" s="2" cm="1">
        <f t="array" ref="CI7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7" s="2" cm="1">
        <f t="array" ref="CJ7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7" s="2" cm="1">
        <f t="array" ref="CK7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7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7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7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7" s="26">
        <f t="shared" si="224"/>
        <v>0</v>
      </c>
      <c r="CY77" s="26">
        <f t="shared" si="225"/>
        <v>0</v>
      </c>
      <c r="CZ77" s="26">
        <f t="shared" si="226"/>
        <v>0</v>
      </c>
      <c r="DA77" s="26">
        <f t="shared" si="227"/>
        <v>0</v>
      </c>
      <c r="DB77" s="26">
        <f t="shared" si="228"/>
        <v>0</v>
      </c>
      <c r="DC77" s="26">
        <f t="shared" si="229"/>
        <v>0</v>
      </c>
      <c r="DD77" s="26">
        <f t="shared" si="230"/>
        <v>0</v>
      </c>
      <c r="DE77" s="26">
        <f t="shared" si="231"/>
        <v>0</v>
      </c>
      <c r="DF77" s="26">
        <f t="shared" si="232"/>
        <v>0</v>
      </c>
      <c r="DH77" s="26">
        <f t="shared" si="233"/>
        <v>0</v>
      </c>
      <c r="DI77" s="26">
        <f t="shared" si="234"/>
        <v>0</v>
      </c>
      <c r="DJ77" s="26">
        <f t="shared" si="235"/>
        <v>0</v>
      </c>
      <c r="DK77" s="26">
        <f t="shared" si="236"/>
        <v>0</v>
      </c>
      <c r="DL77" s="26">
        <f t="shared" si="237"/>
        <v>0</v>
      </c>
      <c r="DM77" s="26">
        <f t="shared" si="238"/>
        <v>0</v>
      </c>
      <c r="DN77" s="26">
        <f t="shared" si="239"/>
        <v>0</v>
      </c>
      <c r="DO77" s="26">
        <f t="shared" si="240"/>
        <v>0</v>
      </c>
      <c r="DP77" s="26">
        <f t="shared" si="241"/>
        <v>0</v>
      </c>
      <c r="DR77" s="26">
        <f t="shared" si="242"/>
        <v>0</v>
      </c>
      <c r="DS77" s="26">
        <f t="shared" si="243"/>
        <v>0</v>
      </c>
      <c r="DT77" s="26">
        <f t="shared" si="244"/>
        <v>0</v>
      </c>
      <c r="DU77" s="26">
        <f t="shared" si="245"/>
        <v>0</v>
      </c>
      <c r="DV77" s="26">
        <f t="shared" si="246"/>
        <v>0</v>
      </c>
      <c r="DW77" s="26">
        <f t="shared" si="247"/>
        <v>0</v>
      </c>
      <c r="DX77" s="26">
        <f t="shared" si="248"/>
        <v>0</v>
      </c>
      <c r="DY77" s="26">
        <f t="shared" si="249"/>
        <v>0</v>
      </c>
      <c r="DZ77" s="26">
        <f t="shared" si="250"/>
        <v>0</v>
      </c>
      <c r="EB77" s="26">
        <f t="shared" si="251"/>
        <v>0</v>
      </c>
      <c r="EC77" s="26">
        <f t="shared" si="252"/>
        <v>0</v>
      </c>
      <c r="ED77" s="26">
        <f t="shared" si="253"/>
        <v>0</v>
      </c>
      <c r="EE77" s="26">
        <f t="shared" si="254"/>
        <v>0</v>
      </c>
      <c r="EF77" s="26">
        <f t="shared" si="255"/>
        <v>0</v>
      </c>
      <c r="EG77" s="26">
        <f t="shared" si="256"/>
        <v>0</v>
      </c>
      <c r="EH77" s="26">
        <f t="shared" si="257"/>
        <v>0</v>
      </c>
      <c r="EI77" s="26">
        <f t="shared" si="258"/>
        <v>0</v>
      </c>
      <c r="EJ77" s="26">
        <f t="shared" si="259"/>
        <v>0</v>
      </c>
      <c r="EL77" s="26">
        <f t="shared" si="260"/>
        <v>0</v>
      </c>
      <c r="EM77" s="26">
        <f t="shared" si="261"/>
        <v>0</v>
      </c>
      <c r="EN77" s="26">
        <f t="shared" si="262"/>
        <v>0</v>
      </c>
      <c r="EO77" s="26">
        <f t="shared" si="263"/>
        <v>0</v>
      </c>
      <c r="EP77" s="26">
        <f t="shared" si="264"/>
        <v>0</v>
      </c>
      <c r="EQ77" s="26">
        <f t="shared" si="265"/>
        <v>0</v>
      </c>
      <c r="ER77" s="26">
        <f t="shared" si="266"/>
        <v>0</v>
      </c>
      <c r="ES77" s="26">
        <f t="shared" si="267"/>
        <v>0</v>
      </c>
      <c r="ET77" s="26">
        <f t="shared" si="268"/>
        <v>0</v>
      </c>
      <c r="EV77" s="26">
        <f t="shared" si="269"/>
        <v>0</v>
      </c>
      <c r="EW77" s="26">
        <f t="shared" si="270"/>
        <v>0</v>
      </c>
      <c r="EX77" s="26">
        <f t="shared" si="271"/>
        <v>0</v>
      </c>
      <c r="EY77" s="26">
        <f t="shared" si="272"/>
        <v>0</v>
      </c>
      <c r="EZ77" s="26">
        <f t="shared" si="273"/>
        <v>0</v>
      </c>
      <c r="FA77" s="26">
        <f t="shared" si="274"/>
        <v>0</v>
      </c>
      <c r="FB77" s="26">
        <f t="shared" si="275"/>
        <v>0</v>
      </c>
      <c r="FC77" s="26">
        <f t="shared" si="276"/>
        <v>0</v>
      </c>
      <c r="FD77" s="26">
        <f t="shared" si="277"/>
        <v>0</v>
      </c>
      <c r="FF77" s="26">
        <f t="shared" si="278"/>
        <v>0</v>
      </c>
      <c r="FG77" s="26">
        <f t="shared" si="279"/>
        <v>0</v>
      </c>
      <c r="FH77" s="26">
        <f t="shared" si="280"/>
        <v>0</v>
      </c>
      <c r="FI77" s="26">
        <f t="shared" si="281"/>
        <v>0</v>
      </c>
      <c r="FJ77" s="26">
        <f t="shared" si="282"/>
        <v>0</v>
      </c>
      <c r="FK77" s="26">
        <f t="shared" si="283"/>
        <v>0</v>
      </c>
      <c r="FL77" s="26">
        <f t="shared" si="284"/>
        <v>0</v>
      </c>
      <c r="FM77" s="26">
        <f t="shared" si="285"/>
        <v>0</v>
      </c>
      <c r="FN77" s="26">
        <f t="shared" si="286"/>
        <v>0</v>
      </c>
      <c r="FP77" s="26" t="e">
        <f t="shared" si="287"/>
        <v>#REF!</v>
      </c>
      <c r="FQ77" s="26" t="e">
        <f t="shared" si="288"/>
        <v>#REF!</v>
      </c>
      <c r="FR77" s="26" t="e">
        <f t="shared" si="289"/>
        <v>#REF!</v>
      </c>
      <c r="FS77" s="26" t="e">
        <f t="shared" si="290"/>
        <v>#REF!</v>
      </c>
      <c r="FT77" s="26" t="e">
        <f t="shared" si="291"/>
        <v>#REF!</v>
      </c>
      <c r="FU77" s="26" t="e">
        <f t="shared" si="292"/>
        <v>#REF!</v>
      </c>
      <c r="FV77" s="26" t="e">
        <f t="shared" si="293"/>
        <v>#REF!</v>
      </c>
      <c r="FW77" s="26" t="e">
        <f t="shared" si="294"/>
        <v>#REF!</v>
      </c>
      <c r="FX77" s="26" t="e">
        <f t="shared" si="295"/>
        <v>#REF!</v>
      </c>
      <c r="GB77" s="26" t="e">
        <f>IF(GB$2=InputTable[[#This Row],[Delivery Date]],_xlfn.XLOOKUP(GB$1,$BH$2:$BR$2,$BH77:$BR77,0),0)</f>
        <v>#REF!</v>
      </c>
      <c r="GC77" s="26">
        <f>IF(GC$2=InputTable[[#This Row],[Delivery Date]],_xlfn.XLOOKUP(GC$1,$BH$2:$BR$2,$BH77:$BR77,0),0)</f>
        <v>0</v>
      </c>
      <c r="GD77" s="26">
        <f>IF(GD$2=InputTable[[#This Row],[Delivery Date]],_xlfn.XLOOKUP(GD$1,$BH$2:$BR$2,$BH77:$BR77,0),0)</f>
        <v>0</v>
      </c>
      <c r="GE77" s="26">
        <f>IF(GE$2=InputTable[[#This Row],[Delivery Date]],_xlfn.XLOOKUP(GE$1,$BH$2:$BR$2,$BH77:$BR77,0),0)</f>
        <v>0</v>
      </c>
      <c r="GF77" s="26">
        <f>IF(GF$2=InputTable[[#This Row],[Delivery Date]],_xlfn.XLOOKUP(GF$1,$BH$2:$BR$2,$BH77:$BR77,0),0)</f>
        <v>0</v>
      </c>
      <c r="GG77" s="26">
        <f>IF(GG$2=InputTable[[#This Row],[Delivery Date]],_xlfn.XLOOKUP(GG$1,$BH$2:$BR$2,$BH77:$BR77,0),0)</f>
        <v>0</v>
      </c>
      <c r="GH77" s="26">
        <f>IF(GH$2=InputTable[[#This Row],[Delivery Date]],_xlfn.XLOOKUP(GH$1,$BH$2:$BR$2,$BH77:$BR77,0),0)</f>
        <v>0</v>
      </c>
      <c r="GI77" s="26">
        <f>IF(GI$2=InputTable[[#This Row],[Delivery Date]],_xlfn.XLOOKUP(GI$1,$BH$2:$BR$2,$BH77:$BR77,0),0)</f>
        <v>0</v>
      </c>
      <c r="GJ77" s="26">
        <f>IF(GJ$2=InputTable[[#This Row],[Delivery Date]],_xlfn.XLOOKUP(GJ$1,$BH$2:$BR$2,$BH77:$BR77,0),0)</f>
        <v>0</v>
      </c>
      <c r="GL77" s="26" t="e">
        <f>IF(GL$2=InputTable[[#This Row],[Delivery Date]],_xlfn.XLOOKUP(GL$1,$BH$2:$BR$2,$BH77:$BR77,0),0)</f>
        <v>#REF!</v>
      </c>
      <c r="GM77" s="26">
        <f>IF(GM$2=InputTable[[#This Row],[Delivery Date]],_xlfn.XLOOKUP(GM$1,$BH$2:$BR$2,$BH77:$BR77,0),0)</f>
        <v>0</v>
      </c>
      <c r="GN77" s="26">
        <f>IF(GN$2=InputTable[[#This Row],[Delivery Date]],_xlfn.XLOOKUP(GN$1,$BH$2:$BR$2,$BH77:$BR77,0),0)</f>
        <v>0</v>
      </c>
      <c r="GO77" s="26">
        <f>IF(GO$2=InputTable[[#This Row],[Delivery Date]],_xlfn.XLOOKUP(GO$1,$BH$2:$BR$2,$BH77:$BR77,0),0)</f>
        <v>0</v>
      </c>
      <c r="GP77" s="26">
        <f>IF(GP$2=InputTable[[#This Row],[Delivery Date]],_xlfn.XLOOKUP(GP$1,$BH$2:$BR$2,$BH77:$BR77,0),0)</f>
        <v>0</v>
      </c>
      <c r="GQ77" s="26">
        <f>IF(GQ$2=InputTable[[#This Row],[Delivery Date]],_xlfn.XLOOKUP(GQ$1,$BH$2:$BR$2,$BH77:$BR77,0),0)</f>
        <v>0</v>
      </c>
      <c r="GR77" s="26">
        <f>IF(GR$2=InputTable[[#This Row],[Delivery Date]],_xlfn.XLOOKUP(GR$1,$BH$2:$BR$2,$BH77:$BR77,0),0)</f>
        <v>0</v>
      </c>
      <c r="GS77" s="26">
        <f>IF(GS$2=InputTable[[#This Row],[Delivery Date]],_xlfn.XLOOKUP(GS$1,$BH$2:$BR$2,$BH77:$BR77,0),0)</f>
        <v>0</v>
      </c>
      <c r="GT77" s="26">
        <f>IF(GT$2=InputTable[[#This Row],[Delivery Date]],_xlfn.XLOOKUP(GT$1,$BH$2:$BR$2,$BH77:$BR77,0),0)</f>
        <v>0</v>
      </c>
      <c r="GV77" s="26" t="e">
        <f>IF(GV$2=InputTable[[#This Row],[Delivery Date]],_xlfn.XLOOKUP(GV$1,$BH$2:$BR$2,$BH77:$BR77,0),0)</f>
        <v>#REF!</v>
      </c>
      <c r="GW77" s="26">
        <f>IF(GW$2=InputTable[[#This Row],[Delivery Date]],_xlfn.XLOOKUP(GW$1,$BH$2:$BR$2,$BH77:$BR77,0),0)</f>
        <v>0</v>
      </c>
      <c r="GX77" s="26">
        <f>IF(GX$2=InputTable[[#This Row],[Delivery Date]],_xlfn.XLOOKUP(GX$1,$BH$2:$BR$2,$BH77:$BR77,0),0)</f>
        <v>0</v>
      </c>
      <c r="GY77" s="26">
        <f>IF(GY$2=InputTable[[#This Row],[Delivery Date]],_xlfn.XLOOKUP(GY$1,$BH$2:$BR$2,$BH77:$BR77,0),0)</f>
        <v>0</v>
      </c>
      <c r="GZ77" s="26">
        <f>IF(GZ$2=InputTable[[#This Row],[Delivery Date]],_xlfn.XLOOKUP(GZ$1,$BH$2:$BR$2,$BH77:$BR77,0),0)</f>
        <v>0</v>
      </c>
      <c r="HA77" s="26">
        <f>IF(HA$2=InputTable[[#This Row],[Delivery Date]],_xlfn.XLOOKUP(HA$1,$BH$2:$BR$2,$BH77:$BR77,0),0)</f>
        <v>0</v>
      </c>
      <c r="HB77" s="26">
        <f>IF(HB$2=InputTable[[#This Row],[Delivery Date]],_xlfn.XLOOKUP(HB$1,$BH$2:$BR$2,$BH77:$BR77,0),0)</f>
        <v>0</v>
      </c>
      <c r="HC77" s="26">
        <f>IF(HC$2=InputTable[[#This Row],[Delivery Date]],_xlfn.XLOOKUP(HC$1,$BH$2:$BR$2,$BH77:$BR77,0),0)</f>
        <v>0</v>
      </c>
      <c r="HD77" s="26">
        <f>IF(HD$2=InputTable[[#This Row],[Delivery Date]],_xlfn.XLOOKUP(HD$1,$BH$2:$BR$2,$BH77:$BR77,0),0)</f>
        <v>0</v>
      </c>
      <c r="HF77" s="26" t="e">
        <f>IF(HF$2=InputTable[[#This Row],[Delivery Date]],_xlfn.XLOOKUP(HF$1,$BH$2:$BR$2,$BH77:$BR77,0),0)</f>
        <v>#REF!</v>
      </c>
      <c r="HG77" s="26">
        <f>IF(HG$2=InputTable[[#This Row],[Delivery Date]],_xlfn.XLOOKUP(HG$1,$BH$2:$BR$2,$BH77:$BR77,0),0)</f>
        <v>0</v>
      </c>
      <c r="HH77" s="26">
        <f>IF(HH$2=InputTable[[#This Row],[Delivery Date]],_xlfn.XLOOKUP(HH$1,$BH$2:$BR$2,$BH77:$BR77,0),0)</f>
        <v>0</v>
      </c>
      <c r="HI77" s="26">
        <f>IF(HI$2=InputTable[[#This Row],[Delivery Date]],_xlfn.XLOOKUP(HI$1,$BH$2:$BR$2,$BH77:$BR77,0),0)</f>
        <v>0</v>
      </c>
      <c r="HJ77" s="26">
        <f>IF(HJ$2=InputTable[[#This Row],[Delivery Date]],_xlfn.XLOOKUP(HJ$1,$BH$2:$BR$2,$BH77:$BR77,0),0)</f>
        <v>0</v>
      </c>
      <c r="HK77" s="26">
        <f>IF(HK$2=InputTable[[#This Row],[Delivery Date]],_xlfn.XLOOKUP(HK$1,$BH$2:$BR$2,$BH77:$BR77,0),0)</f>
        <v>0</v>
      </c>
      <c r="HL77" s="26">
        <f>IF(HL$2=InputTable[[#This Row],[Delivery Date]],_xlfn.XLOOKUP(HL$1,$BH$2:$BR$2,$BH77:$BR77,0),0)</f>
        <v>0</v>
      </c>
      <c r="HM77" s="26">
        <f>IF(HM$2=InputTable[[#This Row],[Delivery Date]],_xlfn.XLOOKUP(HM$1,$BH$2:$BR$2,$BH77:$BR77,0),0)</f>
        <v>0</v>
      </c>
      <c r="HN77" s="26">
        <f>IF(HN$2=InputTable[[#This Row],[Delivery Date]],_xlfn.XLOOKUP(HN$1,$BH$2:$BR$2,$BH77:$BR77,0),0)</f>
        <v>0</v>
      </c>
      <c r="HP77" s="26" t="e">
        <f>IF(HP$2=InputTable[[#This Row],[Delivery Date]],_xlfn.XLOOKUP(HP$1,$BH$2:$BR$2,$BH77:$BR77,0),0)</f>
        <v>#REF!</v>
      </c>
      <c r="HQ77" s="26">
        <f>IF(HQ$2=InputTable[[#This Row],[Delivery Date]],_xlfn.XLOOKUP(HQ$1,$BH$2:$BR$2,$BH77:$BR77,0),0)</f>
        <v>0</v>
      </c>
      <c r="HR77" s="26">
        <f>IF(HR$2=InputTable[[#This Row],[Delivery Date]],_xlfn.XLOOKUP(HR$1,$BH$2:$BR$2,$BH77:$BR77,0),0)</f>
        <v>0</v>
      </c>
      <c r="HS77" s="26">
        <f>IF(HS$2=InputTable[[#This Row],[Delivery Date]],_xlfn.XLOOKUP(HS$1,$BH$2:$BR$2,$BH77:$BR77,0),0)</f>
        <v>0</v>
      </c>
      <c r="HT77" s="26">
        <f>IF(HT$2=InputTable[[#This Row],[Delivery Date]],_xlfn.XLOOKUP(HT$1,$BH$2:$BR$2,$BH77:$BR77,0),0)</f>
        <v>0</v>
      </c>
      <c r="HU77" s="26">
        <f>IF(HU$2=InputTable[[#This Row],[Delivery Date]],_xlfn.XLOOKUP(HU$1,$BH$2:$BR$2,$BH77:$BR77,0),0)</f>
        <v>0</v>
      </c>
      <c r="HV77" s="26">
        <f>IF(HV$2=InputTable[[#This Row],[Delivery Date]],_xlfn.XLOOKUP(HV$1,$BH$2:$BR$2,$BH77:$BR77,0),0)</f>
        <v>0</v>
      </c>
      <c r="HW77" s="26">
        <f>IF(HW$2=InputTable[[#This Row],[Delivery Date]],_xlfn.XLOOKUP(HW$1,$BH$2:$BR$2,$BH77:$BR77,0),0)</f>
        <v>0</v>
      </c>
      <c r="HX77" s="26">
        <f>IF(HX$2=InputTable[[#This Row],[Delivery Date]],_xlfn.XLOOKUP(HX$1,$BH$2:$BR$2,$BH77:$BR77,0),0)</f>
        <v>0</v>
      </c>
      <c r="HZ77" s="26" t="e">
        <f>IF(HZ$2=InputTable[[#This Row],[Delivery Date]],_xlfn.XLOOKUP(HZ$1,$BH$2:$BR$2,$BH77:$BR77,0),0)</f>
        <v>#REF!</v>
      </c>
      <c r="IA77" s="26">
        <f>IF(IA$2=InputTable[[#This Row],[Delivery Date]],_xlfn.XLOOKUP(IA$1,$BH$2:$BR$2,$BH77:$BR77,0),0)</f>
        <v>0</v>
      </c>
      <c r="IB77" s="26">
        <f>IF(IB$2=InputTable[[#This Row],[Delivery Date]],_xlfn.XLOOKUP(IB$1,$BH$2:$BR$2,$BH77:$BR77,0),0)</f>
        <v>0</v>
      </c>
      <c r="IC77" s="26">
        <f>IF(IC$2=InputTable[[#This Row],[Delivery Date]],_xlfn.XLOOKUP(IC$1,$BH$2:$BR$2,$BH77:$BR77,0),0)</f>
        <v>0</v>
      </c>
      <c r="ID77" s="26">
        <f>IF(ID$2=InputTable[[#This Row],[Delivery Date]],_xlfn.XLOOKUP(ID$1,$BH$2:$BR$2,$BH77:$BR77,0),0)</f>
        <v>0</v>
      </c>
      <c r="IE77" s="26">
        <f>IF(IE$2=InputTable[[#This Row],[Delivery Date]],_xlfn.XLOOKUP(IE$1,$BH$2:$BR$2,$BH77:$BR77,0),0)</f>
        <v>0</v>
      </c>
      <c r="IF77" s="26">
        <f>IF(IF$2=InputTable[[#This Row],[Delivery Date]],_xlfn.XLOOKUP(IF$1,$BH$2:$BR$2,$BH77:$BR77,0),0)</f>
        <v>0</v>
      </c>
      <c r="IG77" s="26">
        <f>IF(IG$2=InputTable[[#This Row],[Delivery Date]],_xlfn.XLOOKUP(IG$1,$BH$2:$BR$2,$BH77:$BR77,0),0)</f>
        <v>0</v>
      </c>
      <c r="IH77" s="26">
        <f>IF(IH$2=InputTable[[#This Row],[Delivery Date]],_xlfn.XLOOKUP(IH$1,$BH$2:$BR$2,$BH77:$BR77,0),0)</f>
        <v>0</v>
      </c>
      <c r="IJ77" s="26" t="e">
        <f>IF(IJ$2=InputTable[[#This Row],[Delivery Date]],_xlfn.XLOOKUP(IJ$1,$BH$2:$BR$2,$BH77:$BR77,0),0)</f>
        <v>#REF!</v>
      </c>
      <c r="IK77" s="26">
        <f>IF(IK$2=InputTable[[#This Row],[Delivery Date]],_xlfn.XLOOKUP(IK$1,$BH$2:$BR$2,$BH77:$BR77,0),0)</f>
        <v>0</v>
      </c>
      <c r="IL77" s="26">
        <f>IF(IL$2=InputTable[[#This Row],[Delivery Date]],_xlfn.XLOOKUP(IL$1,$BH$2:$BR$2,$BH77:$BR77,0),0)</f>
        <v>0</v>
      </c>
      <c r="IM77" s="26">
        <f>IF(IM$2=InputTable[[#This Row],[Delivery Date]],_xlfn.XLOOKUP(IM$1,$BH$2:$BR$2,$BH77:$BR77,0),0)</f>
        <v>0</v>
      </c>
      <c r="IN77" s="26">
        <f>IF(IN$2=InputTable[[#This Row],[Delivery Date]],_xlfn.XLOOKUP(IN$1,$BH$2:$BR$2,$BH77:$BR77,0),0)</f>
        <v>0</v>
      </c>
      <c r="IO77" s="26">
        <f>IF(IO$2=InputTable[[#This Row],[Delivery Date]],_xlfn.XLOOKUP(IO$1,$BH$2:$BR$2,$BH77:$BR77,0),0)</f>
        <v>0</v>
      </c>
      <c r="IP77" s="26">
        <f>IF(IP$2=InputTable[[#This Row],[Delivery Date]],_xlfn.XLOOKUP(IP$1,$BH$2:$BR$2,$BH77:$BR77,0),0)</f>
        <v>0</v>
      </c>
      <c r="IQ77" s="26">
        <f>IF(IQ$2=InputTable[[#This Row],[Delivery Date]],_xlfn.XLOOKUP(IQ$1,$BH$2:$BR$2,$BH77:$BR77,0),0)</f>
        <v>0</v>
      </c>
      <c r="IR77" s="26">
        <f>IF(IR$2=InputTable[[#This Row],[Delivery Date]],_xlfn.XLOOKUP(IR$1,$BH$2:$BR$2,$BH77:$BR77,0),0)</f>
        <v>0</v>
      </c>
      <c r="IT77" s="26" t="e">
        <f>IF(IT$2=InputTable[[#This Row],[Delivery Date]],_xlfn.XLOOKUP(IT$1,$BH$2:$BR$2,$BH77:$BR77,0),0)</f>
        <v>#REF!</v>
      </c>
      <c r="IU77" s="26">
        <f>IF(IU$2=InputTable[[#This Row],[Delivery Date]],_xlfn.XLOOKUP(IU$1,$BH$2:$BR$2,$BH77:$BR77,0),0)</f>
        <v>0</v>
      </c>
      <c r="IV77" s="26">
        <f>IF(IV$2=InputTable[[#This Row],[Delivery Date]],_xlfn.XLOOKUP(IV$1,$BH$2:$BR$2,$BH77:$BR77,0),0)</f>
        <v>0</v>
      </c>
      <c r="IW77" s="26">
        <f>IF(IW$2=InputTable[[#This Row],[Delivery Date]],_xlfn.XLOOKUP(IW$1,$BH$2:$BR$2,$BH77:$BR77,0),0)</f>
        <v>0</v>
      </c>
      <c r="IX77" s="26">
        <f>IF(IX$2=InputTable[[#This Row],[Delivery Date]],_xlfn.XLOOKUP(IX$1,$BH$2:$BR$2,$BH77:$BR77,0),0)</f>
        <v>0</v>
      </c>
      <c r="IY77" s="26">
        <f>IF(IY$2=InputTable[[#This Row],[Delivery Date]],_xlfn.XLOOKUP(IY$1,$BH$2:$BR$2,$BH77:$BR77,0),0)</f>
        <v>0</v>
      </c>
      <c r="IZ77" s="26">
        <f>IF(IZ$2=InputTable[[#This Row],[Delivery Date]],_xlfn.XLOOKUP(IZ$1,$BH$2:$BR$2,$BH77:$BR77,0),0)</f>
        <v>0</v>
      </c>
      <c r="JA77" s="26">
        <f>IF(JA$2=InputTable[[#This Row],[Delivery Date]],_xlfn.XLOOKUP(JA$1,$BH$2:$BR$2,$BH77:$BR77,0),0)</f>
        <v>0</v>
      </c>
      <c r="JB77" s="26">
        <f>IF(JB$2=InputTable[[#This Row],[Delivery Date]],_xlfn.XLOOKUP(JB$1,$BH$2:$BR$2,$BH77:$BR77,0),0)</f>
        <v>0</v>
      </c>
      <c r="JD77" s="26" t="e">
        <f>IF(JD$2=InputTable[[#This Row],[Delivery Date]],_xlfn.XLOOKUP(JD$1,$BH$2:$BR$2,$BH77:$BR77,0),0)</f>
        <v>#REF!</v>
      </c>
      <c r="JE77" s="26">
        <f>IF(JE$2=InputTable[[#This Row],[Delivery Date]],_xlfn.XLOOKUP(JE$1,$BH$2:$BR$2,$BH77:$BR77,0),0)</f>
        <v>0</v>
      </c>
      <c r="JF77" s="26">
        <f>IF(JF$2=InputTable[[#This Row],[Delivery Date]],_xlfn.XLOOKUP(JF$1,$BH$2:$BR$2,$BH77:$BR77,0),0)</f>
        <v>0</v>
      </c>
      <c r="JG77" s="26">
        <f>IF(JG$2=InputTable[[#This Row],[Delivery Date]],_xlfn.XLOOKUP(JG$1,$BH$2:$BR$2,$BH77:$BR77,0),0)</f>
        <v>0</v>
      </c>
      <c r="JH77" s="26">
        <f>IF(JH$2=InputTable[[#This Row],[Delivery Date]],_xlfn.XLOOKUP(JH$1,$BH$2:$BR$2,$BH77:$BR77,0),0)</f>
        <v>0</v>
      </c>
      <c r="JI77" s="26">
        <f>IF(JI$2=InputTable[[#This Row],[Delivery Date]],_xlfn.XLOOKUP(JI$1,$BH$2:$BR$2,$BH77:$BR77,0),0)</f>
        <v>0</v>
      </c>
      <c r="JJ77" s="26">
        <f>IF(JJ$2=InputTable[[#This Row],[Delivery Date]],_xlfn.XLOOKUP(JJ$1,$BH$2:$BR$2,$BH77:$BR77,0),0)</f>
        <v>0</v>
      </c>
      <c r="JK77" s="26">
        <f>IF(JK$2=InputTable[[#This Row],[Delivery Date]],_xlfn.XLOOKUP(JK$1,$BH$2:$BR$2,$BH77:$BR77,0),0)</f>
        <v>0</v>
      </c>
      <c r="JL77" s="26">
        <f>IF(JL$2=InputTable[[#This Row],[Delivery Date]],_xlfn.XLOOKUP(JL$1,$BH$2:$BR$2,$BH77:$BR77,0),0)</f>
        <v>0</v>
      </c>
      <c r="JN77" s="26" t="e">
        <f>IF(JN$2=InputTable[[#This Row],[Delivery Date]],_xlfn.XLOOKUP(JN$1,$BH$2:$BR$2,$BH77:$BR77,0),0)</f>
        <v>#REF!</v>
      </c>
      <c r="JO77" s="26">
        <f>IF(JO$2=InputTable[[#This Row],[Delivery Date]],_xlfn.XLOOKUP(JO$1,$BH$2:$BR$2,$BH77:$BR77,0),0)</f>
        <v>0</v>
      </c>
      <c r="JP77" s="26">
        <f>IF(JP$2=InputTable[[#This Row],[Delivery Date]],_xlfn.XLOOKUP(JP$1,$BH$2:$BR$2,$BH77:$BR77,0),0)</f>
        <v>0</v>
      </c>
      <c r="JQ77" s="26">
        <f>IF(JQ$2=InputTable[[#This Row],[Delivery Date]],_xlfn.XLOOKUP(JQ$1,$BH$2:$BR$2,$BH77:$BR77,0),0)</f>
        <v>0</v>
      </c>
      <c r="JR77" s="26">
        <f>IF(JR$2=InputTable[[#This Row],[Delivery Date]],_xlfn.XLOOKUP(JR$1,$BH$2:$BR$2,$BH77:$BR77,0),0)</f>
        <v>0</v>
      </c>
      <c r="JS77" s="26">
        <f>IF(JS$2=InputTable[[#This Row],[Delivery Date]],_xlfn.XLOOKUP(JS$1,$BH$2:$BR$2,$BH77:$BR77,0),0)</f>
        <v>0</v>
      </c>
      <c r="JT77" s="26">
        <f>IF(JT$2=InputTable[[#This Row],[Delivery Date]],_xlfn.XLOOKUP(JT$1,$BH$2:$BR$2,$BH77:$BR77,0),0)</f>
        <v>0</v>
      </c>
      <c r="JU77" s="26">
        <f>IF(JU$2=InputTable[[#This Row],[Delivery Date]],_xlfn.XLOOKUP(JU$1,$BH$2:$BR$2,$BH77:$BR77,0),0)</f>
        <v>0</v>
      </c>
      <c r="JV77" s="26">
        <f>IF(JV$2=InputTable[[#This Row],[Delivery Date]],_xlfn.XLOOKUP(JV$1,$BH$2:$BR$2,$BH77:$BR77,0),0)</f>
        <v>0</v>
      </c>
      <c r="JX77" s="26" t="e">
        <f>IF(JX$2=InputTable[[#This Row],[Delivery Date]],_xlfn.XLOOKUP(JX$1,$BH$2:$BR$2,$BH77:$BR77,0),0)</f>
        <v>#REF!</v>
      </c>
      <c r="JY77" s="26">
        <f>IF(JY$2=InputTable[[#This Row],[Delivery Date]],_xlfn.XLOOKUP(JY$1,$BH$2:$BR$2,$BH77:$BR77,0),0)</f>
        <v>0</v>
      </c>
      <c r="JZ77" s="26">
        <f>IF(JZ$2=InputTable[[#This Row],[Delivery Date]],_xlfn.XLOOKUP(JZ$1,$BH$2:$BR$2,$BH77:$BR77,0),0)</f>
        <v>0</v>
      </c>
      <c r="KA77" s="26">
        <f>IF(KA$2=InputTable[[#This Row],[Delivery Date]],_xlfn.XLOOKUP(KA$1,$BH$2:$BR$2,$BH77:$BR77,0),0)</f>
        <v>0</v>
      </c>
      <c r="KB77" s="26">
        <f>IF(KB$2=InputTable[[#This Row],[Delivery Date]],_xlfn.XLOOKUP(KB$1,$BH$2:$BR$2,$BH77:$BR77,0),0)</f>
        <v>0</v>
      </c>
      <c r="KC77" s="26">
        <f>IF(KC$2=InputTable[[#This Row],[Delivery Date]],_xlfn.XLOOKUP(KC$1,$BH$2:$BR$2,$BH77:$BR77,0),0)</f>
        <v>0</v>
      </c>
      <c r="KD77" s="26">
        <f>IF(KD$2=InputTable[[#This Row],[Delivery Date]],_xlfn.XLOOKUP(KD$1,$BH$2:$BR$2,$BH77:$BR77,0),0)</f>
        <v>0</v>
      </c>
      <c r="KE77" s="26">
        <f>IF(KE$2=InputTable[[#This Row],[Delivery Date]],_xlfn.XLOOKUP(KE$1,$BH$2:$BR$2,$BH77:$BR77,0),0)</f>
        <v>0</v>
      </c>
      <c r="KF77" s="26">
        <f>IF(KF$2=InputTable[[#This Row],[Delivery Date]],_xlfn.XLOOKUP(KF$1,$BH$2:$BR$2,$BH77:$BR77,0),0)</f>
        <v>0</v>
      </c>
    </row>
    <row r="78" spans="1:292" ht="39.6" customHeight="1" x14ac:dyDescent="0.25">
      <c r="A78" s="141"/>
      <c r="B78" s="141" t="s">
        <v>92</v>
      </c>
      <c r="C78" s="92" t="s">
        <v>56</v>
      </c>
      <c r="D78" s="125" t="s">
        <v>346</v>
      </c>
      <c r="E78" s="193" t="s">
        <v>347</v>
      </c>
      <c r="F78" s="92" t="s">
        <v>24</v>
      </c>
      <c r="G78" s="92">
        <v>2024</v>
      </c>
      <c r="H78" s="92"/>
      <c r="I78" s="92">
        <v>2026</v>
      </c>
      <c r="J78" s="122"/>
      <c r="K78" s="95" t="e">
        <f>VLOOKUP((InputTable[[#This Row],[Starting Date]]&amp; " - " &amp;InputTable[[#This Row],[Delivery Date]]),'System List'!$F$40:$H$83,2,FALSE)</f>
        <v>#N/A</v>
      </c>
      <c r="L78" s="95" t="e">
        <f>VLOOKUP(InputTable[[#This Row],[Duration]],Duration,2,FALSE)</f>
        <v>#N/A</v>
      </c>
      <c r="M78" s="122" t="s">
        <v>348</v>
      </c>
      <c r="N78" s="92" t="s">
        <v>111</v>
      </c>
      <c r="O78" s="92"/>
      <c r="P78" s="92"/>
      <c r="Q78" s="92"/>
      <c r="R78" s="92" t="s">
        <v>111</v>
      </c>
      <c r="S78" s="92"/>
      <c r="T78" s="95" cm="1">
        <f t="array" ref="T7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78" s="138"/>
      <c r="V78" s="92"/>
      <c r="W78" s="92"/>
      <c r="X78" s="92"/>
      <c r="Y78" s="92"/>
      <c r="Z78" s="92"/>
      <c r="AA78" s="92"/>
      <c r="AB78" s="92"/>
      <c r="AC78" s="92"/>
      <c r="AD78" s="92">
        <f>COUNTA(InputTable[[#This Row],[CORPHRFIN]:[SALES]])</f>
        <v>0</v>
      </c>
      <c r="AE78" s="88" cm="1">
        <f t="array" ref="AE78">SUM(
_xlfn.XLOOKUP(InputTable[[#This Row],[CORPHRFIN]:[SALES]],'System List'!$F$4:$F$7,'System List'!$H$4:$H$7,0))</f>
        <v>0</v>
      </c>
      <c r="AF78" s="140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88" cm="1">
        <f t="array" ref="AR78">SUM(
_xlfn.XLOOKUP(InputTable[[#This Row],[Impact on - CIAL]:[Impact on - STRAT]],'System List'!$F$4:$F$7,'System List'!$H$4:$H$7,0))</f>
        <v>0</v>
      </c>
      <c r="AS78" s="88" t="e">
        <f>VLOOKUP(InputTable[[#This Row],[Duration]],Duration,2,FALSE)+InputTable[[#This Row],[Resource Score]]</f>
        <v>#N/A</v>
      </c>
      <c r="AT7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8" s="24" t="e">
        <f>InputTable[[#This Row],[Value Score]]/InputTable[[#This Row],[EFFORT SCORE]]*100</f>
        <v>#N/A</v>
      </c>
      <c r="AV78" s="25" t="str">
        <f>InputTable[[#This Row],[IS Portfolio Ref ID]]</f>
        <v>ISPRJ-83</v>
      </c>
      <c r="AW78" s="25" t="s">
        <v>185</v>
      </c>
      <c r="AX78" s="208"/>
      <c r="AY78" s="25"/>
      <c r="AZ78" s="209">
        <v>0</v>
      </c>
      <c r="BA78" s="209">
        <v>0</v>
      </c>
      <c r="BB78" s="209"/>
      <c r="BC78" s="189">
        <v>0</v>
      </c>
      <c r="BD78" s="188">
        <v>1</v>
      </c>
      <c r="BE78" s="188"/>
      <c r="BF78" s="70"/>
      <c r="BH78" s="2">
        <f>IFERROR(VLOOKUP(InputTable[[#This Row],[Impact on - CIAL]],'System List'!$F$4:$H$7,3,FALSE),0)</f>
        <v>0</v>
      </c>
      <c r="BI78" s="2">
        <f>IFERROR(VLOOKUP(InputTable[[#This Row],[Impact on - COM]],'System List'!$F$4:$H$7,3,FALSE),0)</f>
        <v>0</v>
      </c>
      <c r="BJ78" s="2">
        <f>IFERROR(VLOOKUP(InputTable[[#This Row],[Impact on - FIN]],'System List'!$F$4:$H$7,3,FALSE),0)</f>
        <v>0</v>
      </c>
      <c r="BK78" s="2">
        <f>IFERROR(VLOOKUP(InputTable[[#This Row],[Impact on - GEN SEC]],'System List'!$F$4:$H$7,3,FALSE),0)</f>
        <v>0</v>
      </c>
      <c r="BL78" s="2">
        <f>IFERROR(VLOOKUP(InputTable[[#This Row],[Impact on - HR]],'System List'!$F$4:$H$7,3,FALSE),0)</f>
        <v>0</v>
      </c>
      <c r="BM78" s="2">
        <f>IFERROR(VLOOKUP(InputTable[[#This Row],[Impact on - IS]],'System List'!$F$4:$H$7,3,FALSE),0)</f>
        <v>0</v>
      </c>
      <c r="BN78" s="2">
        <f>IFERROR(VLOOKUP(InputTable[[#This Row],[Impact on - OPS]],'System List'!$F$4:$H$7,3,FALSE),0)</f>
        <v>0</v>
      </c>
      <c r="BO78" s="2">
        <f>IFERROR(VLOOKUP(InputTable[[#This Row],[Impact on - ROLL STOCK]],'System List'!$F$4:$H$7,3,FALSE),0)</f>
        <v>0</v>
      </c>
      <c r="BP78" s="2">
        <f>IFERROR(VLOOKUP(InputTable[[#This Row],[Impact on - SAFETY]],'System List'!$F$4:$H$7,3,FALSE),0)</f>
        <v>0</v>
      </c>
      <c r="BQ78" s="2">
        <f>IFERROR(VLOOKUP(InputTable[[#This Row],[Impact on - STATION]],'System List'!$F$4:$H$7,3,FALSE),0)</f>
        <v>0</v>
      </c>
      <c r="BR78" s="2">
        <f>IFERROR(VLOOKUP(InputTable[[#This Row],[Impact on - STRAT]],'System List'!$F$4:$H$7,3,FALSE),0)</f>
        <v>0</v>
      </c>
      <c r="BT78" s="2">
        <f>IFERROR(VLOOKUP(InputTable[[#This Row],[CORPHRFIN]],'System List'!$F$4:$H$7,3,FALSE),0)</f>
        <v>0</v>
      </c>
      <c r="BU78" s="2">
        <f>IFERROR(VLOOKUP(InputTable[[#This Row],[CUST]],'System List'!$F$4:$H$7,3,FALSE),0)</f>
        <v>0</v>
      </c>
      <c r="BV78" s="2">
        <f>IFERROR(VLOOKUP(InputTable[[#This Row],[CYBER]],'System List'!$F$4:$H$7,3,FALSE),0)</f>
        <v>0</v>
      </c>
      <c r="BW78" s="2">
        <f>IFERROR(VLOOKUP(InputTable[[#This Row],[DATA]],'System List'!$F$4:$H$7,3,FALSE),0)</f>
        <v>0</v>
      </c>
      <c r="BX78" s="2">
        <f>IFERROR(VLOOKUP(InputTable[[#This Row],[INFRA]],'System List'!$F$4:$H$7,3,FALSE),0)</f>
        <v>0</v>
      </c>
      <c r="BY78" s="2">
        <f>IFERROR(VLOOKUP(InputTable[[#This Row],[OPERATIONS]],'System List'!$F$4:$H$7,3,FALSE),0)</f>
        <v>0</v>
      </c>
      <c r="BZ78" s="2">
        <f>IFERROR(VLOOKUP(InputTable[[#This Row],[PMO]],'System List'!$F$4:$H$7,3,FALSE),0)</f>
        <v>0</v>
      </c>
      <c r="CA78" s="2">
        <f>IFERROR(VLOOKUP(InputTable[[#This Row],[SALES]],'System List'!$F$4:$H$7,3,FALSE),0)</f>
        <v>0</v>
      </c>
      <c r="CC78" s="2" cm="1">
        <f t="array" ref="CC7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8" s="2" cm="1">
        <f t="array" ref="CD7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8" s="2" cm="1">
        <f t="array" ref="CE7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8" s="2" cm="1">
        <f t="array" ref="CF7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8" s="2" cm="1">
        <f t="array" ref="CG7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8" s="2" cm="1">
        <f t="array" ref="CH7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8" s="2" cm="1">
        <f t="array" ref="CI7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8" s="2" cm="1">
        <f t="array" ref="CJ7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8" s="2" cm="1">
        <f t="array" ref="CK7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7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7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7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7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7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8" s="26">
        <f t="shared" si="224"/>
        <v>0</v>
      </c>
      <c r="CY78" s="26">
        <f t="shared" si="225"/>
        <v>0</v>
      </c>
      <c r="CZ78" s="26">
        <f t="shared" si="226"/>
        <v>0</v>
      </c>
      <c r="DA78" s="26">
        <f t="shared" si="227"/>
        <v>0</v>
      </c>
      <c r="DB78" s="26">
        <f t="shared" si="228"/>
        <v>0</v>
      </c>
      <c r="DC78" s="26">
        <f t="shared" si="229"/>
        <v>0</v>
      </c>
      <c r="DD78" s="26">
        <f t="shared" si="230"/>
        <v>0</v>
      </c>
      <c r="DE78" s="26">
        <f t="shared" si="231"/>
        <v>0</v>
      </c>
      <c r="DF78" s="26">
        <f t="shared" si="232"/>
        <v>0</v>
      </c>
      <c r="DH78" s="26">
        <f t="shared" si="233"/>
        <v>0</v>
      </c>
      <c r="DI78" s="26">
        <f t="shared" si="234"/>
        <v>0</v>
      </c>
      <c r="DJ78" s="26">
        <f t="shared" si="235"/>
        <v>0</v>
      </c>
      <c r="DK78" s="26">
        <f t="shared" si="236"/>
        <v>0</v>
      </c>
      <c r="DL78" s="26">
        <f t="shared" si="237"/>
        <v>0</v>
      </c>
      <c r="DM78" s="26">
        <f t="shared" si="238"/>
        <v>0</v>
      </c>
      <c r="DN78" s="26">
        <f t="shared" si="239"/>
        <v>0</v>
      </c>
      <c r="DO78" s="26">
        <f t="shared" si="240"/>
        <v>0</v>
      </c>
      <c r="DP78" s="26">
        <f t="shared" si="241"/>
        <v>0</v>
      </c>
      <c r="DR78" s="26">
        <f t="shared" si="242"/>
        <v>0</v>
      </c>
      <c r="DS78" s="26">
        <f t="shared" si="243"/>
        <v>0</v>
      </c>
      <c r="DT78" s="26">
        <f t="shared" si="244"/>
        <v>0</v>
      </c>
      <c r="DU78" s="26">
        <f t="shared" si="245"/>
        <v>0</v>
      </c>
      <c r="DV78" s="26">
        <f t="shared" si="246"/>
        <v>0</v>
      </c>
      <c r="DW78" s="26">
        <f t="shared" si="247"/>
        <v>0</v>
      </c>
      <c r="DX78" s="26">
        <f t="shared" si="248"/>
        <v>0</v>
      </c>
      <c r="DY78" s="26">
        <f t="shared" si="249"/>
        <v>0</v>
      </c>
      <c r="DZ78" s="26">
        <f t="shared" si="250"/>
        <v>0</v>
      </c>
      <c r="EB78" s="26">
        <f t="shared" si="251"/>
        <v>0</v>
      </c>
      <c r="EC78" s="26">
        <f t="shared" si="252"/>
        <v>0</v>
      </c>
      <c r="ED78" s="26">
        <f t="shared" si="253"/>
        <v>0</v>
      </c>
      <c r="EE78" s="26">
        <f t="shared" si="254"/>
        <v>0</v>
      </c>
      <c r="EF78" s="26">
        <f t="shared" si="255"/>
        <v>0</v>
      </c>
      <c r="EG78" s="26">
        <f t="shared" si="256"/>
        <v>0</v>
      </c>
      <c r="EH78" s="26">
        <f t="shared" si="257"/>
        <v>0</v>
      </c>
      <c r="EI78" s="26">
        <f t="shared" si="258"/>
        <v>0</v>
      </c>
      <c r="EJ78" s="26">
        <f t="shared" si="259"/>
        <v>0</v>
      </c>
      <c r="EL78" s="26">
        <f t="shared" si="260"/>
        <v>0</v>
      </c>
      <c r="EM78" s="26">
        <f t="shared" si="261"/>
        <v>0</v>
      </c>
      <c r="EN78" s="26">
        <f t="shared" si="262"/>
        <v>0</v>
      </c>
      <c r="EO78" s="26">
        <f t="shared" si="263"/>
        <v>0</v>
      </c>
      <c r="EP78" s="26">
        <f t="shared" si="264"/>
        <v>0</v>
      </c>
      <c r="EQ78" s="26">
        <f t="shared" si="265"/>
        <v>0</v>
      </c>
      <c r="ER78" s="26">
        <f t="shared" si="266"/>
        <v>0</v>
      </c>
      <c r="ES78" s="26">
        <f t="shared" si="267"/>
        <v>0</v>
      </c>
      <c r="ET78" s="26">
        <f t="shared" si="268"/>
        <v>0</v>
      </c>
      <c r="EV78" s="26">
        <f t="shared" si="269"/>
        <v>0</v>
      </c>
      <c r="EW78" s="26">
        <f t="shared" si="270"/>
        <v>0</v>
      </c>
      <c r="EX78" s="26">
        <f t="shared" si="271"/>
        <v>0</v>
      </c>
      <c r="EY78" s="26">
        <f t="shared" si="272"/>
        <v>0</v>
      </c>
      <c r="EZ78" s="26">
        <f t="shared" si="273"/>
        <v>0</v>
      </c>
      <c r="FA78" s="26">
        <f t="shared" si="274"/>
        <v>0</v>
      </c>
      <c r="FB78" s="26">
        <f t="shared" si="275"/>
        <v>0</v>
      </c>
      <c r="FC78" s="26">
        <f t="shared" si="276"/>
        <v>0</v>
      </c>
      <c r="FD78" s="26">
        <f t="shared" si="277"/>
        <v>0</v>
      </c>
      <c r="FF78" s="26">
        <f t="shared" si="278"/>
        <v>0</v>
      </c>
      <c r="FG78" s="26">
        <f t="shared" si="279"/>
        <v>0</v>
      </c>
      <c r="FH78" s="26">
        <f t="shared" si="280"/>
        <v>0</v>
      </c>
      <c r="FI78" s="26">
        <f t="shared" si="281"/>
        <v>0</v>
      </c>
      <c r="FJ78" s="26">
        <f t="shared" si="282"/>
        <v>0</v>
      </c>
      <c r="FK78" s="26">
        <f t="shared" si="283"/>
        <v>0</v>
      </c>
      <c r="FL78" s="26">
        <f t="shared" si="284"/>
        <v>0</v>
      </c>
      <c r="FM78" s="26">
        <f t="shared" si="285"/>
        <v>0</v>
      </c>
      <c r="FN78" s="26">
        <f t="shared" si="286"/>
        <v>0</v>
      </c>
      <c r="FP78" s="26" t="e">
        <f t="shared" si="287"/>
        <v>#REF!</v>
      </c>
      <c r="FQ78" s="26" t="e">
        <f t="shared" si="288"/>
        <v>#REF!</v>
      </c>
      <c r="FR78" s="26" t="e">
        <f t="shared" si="289"/>
        <v>#REF!</v>
      </c>
      <c r="FS78" s="26" t="e">
        <f t="shared" si="290"/>
        <v>#REF!</v>
      </c>
      <c r="FT78" s="26" t="e">
        <f t="shared" si="291"/>
        <v>#REF!</v>
      </c>
      <c r="FU78" s="26" t="e">
        <f t="shared" si="292"/>
        <v>#REF!</v>
      </c>
      <c r="FV78" s="26" t="e">
        <f t="shared" si="293"/>
        <v>#REF!</v>
      </c>
      <c r="FW78" s="26" t="e">
        <f t="shared" si="294"/>
        <v>#REF!</v>
      </c>
      <c r="FX78" s="26" t="e">
        <f t="shared" si="295"/>
        <v>#REF!</v>
      </c>
      <c r="GB78" s="26" t="e">
        <f>IF(GB$2=InputTable[[#This Row],[Delivery Date]],_xlfn.XLOOKUP(GB$1,$BH$2:$BR$2,$BH78:$BR78,0),0)</f>
        <v>#REF!</v>
      </c>
      <c r="GC78" s="26">
        <f>IF(GC$2=InputTable[[#This Row],[Delivery Date]],_xlfn.XLOOKUP(GC$1,$BH$2:$BR$2,$BH78:$BR78,0),0)</f>
        <v>0</v>
      </c>
      <c r="GD78" s="26">
        <f>IF(GD$2=InputTable[[#This Row],[Delivery Date]],_xlfn.XLOOKUP(GD$1,$BH$2:$BR$2,$BH78:$BR78,0),0)</f>
        <v>0</v>
      </c>
      <c r="GE78" s="26">
        <f>IF(GE$2=InputTable[[#This Row],[Delivery Date]],_xlfn.XLOOKUP(GE$1,$BH$2:$BR$2,$BH78:$BR78,0),0)</f>
        <v>0</v>
      </c>
      <c r="GF78" s="26">
        <f>IF(GF$2=InputTable[[#This Row],[Delivery Date]],_xlfn.XLOOKUP(GF$1,$BH$2:$BR$2,$BH78:$BR78,0),0)</f>
        <v>0</v>
      </c>
      <c r="GG78" s="26">
        <f>IF(GG$2=InputTable[[#This Row],[Delivery Date]],_xlfn.XLOOKUP(GG$1,$BH$2:$BR$2,$BH78:$BR78,0),0)</f>
        <v>0</v>
      </c>
      <c r="GH78" s="26">
        <f>IF(GH$2=InputTable[[#This Row],[Delivery Date]],_xlfn.XLOOKUP(GH$1,$BH$2:$BR$2,$BH78:$BR78,0),0)</f>
        <v>0</v>
      </c>
      <c r="GI78" s="26">
        <f>IF(GI$2=InputTable[[#This Row],[Delivery Date]],_xlfn.XLOOKUP(GI$1,$BH$2:$BR$2,$BH78:$BR78,0),0)</f>
        <v>0</v>
      </c>
      <c r="GJ78" s="26">
        <f>IF(GJ$2=InputTable[[#This Row],[Delivery Date]],_xlfn.XLOOKUP(GJ$1,$BH$2:$BR$2,$BH78:$BR78,0),0)</f>
        <v>0</v>
      </c>
      <c r="GL78" s="26" t="e">
        <f>IF(GL$2=InputTable[[#This Row],[Delivery Date]],_xlfn.XLOOKUP(GL$1,$BH$2:$BR$2,$BH78:$BR78,0),0)</f>
        <v>#REF!</v>
      </c>
      <c r="GM78" s="26">
        <f>IF(GM$2=InputTable[[#This Row],[Delivery Date]],_xlfn.XLOOKUP(GM$1,$BH$2:$BR$2,$BH78:$BR78,0),0)</f>
        <v>0</v>
      </c>
      <c r="GN78" s="26">
        <f>IF(GN$2=InputTable[[#This Row],[Delivery Date]],_xlfn.XLOOKUP(GN$1,$BH$2:$BR$2,$BH78:$BR78,0),0)</f>
        <v>0</v>
      </c>
      <c r="GO78" s="26">
        <f>IF(GO$2=InputTable[[#This Row],[Delivery Date]],_xlfn.XLOOKUP(GO$1,$BH$2:$BR$2,$BH78:$BR78,0),0)</f>
        <v>0</v>
      </c>
      <c r="GP78" s="26">
        <f>IF(GP$2=InputTable[[#This Row],[Delivery Date]],_xlfn.XLOOKUP(GP$1,$BH$2:$BR$2,$BH78:$BR78,0),0)</f>
        <v>0</v>
      </c>
      <c r="GQ78" s="26">
        <f>IF(GQ$2=InputTable[[#This Row],[Delivery Date]],_xlfn.XLOOKUP(GQ$1,$BH$2:$BR$2,$BH78:$BR78,0),0)</f>
        <v>0</v>
      </c>
      <c r="GR78" s="26">
        <f>IF(GR$2=InputTable[[#This Row],[Delivery Date]],_xlfn.XLOOKUP(GR$1,$BH$2:$BR$2,$BH78:$BR78,0),0)</f>
        <v>0</v>
      </c>
      <c r="GS78" s="26">
        <f>IF(GS$2=InputTable[[#This Row],[Delivery Date]],_xlfn.XLOOKUP(GS$1,$BH$2:$BR$2,$BH78:$BR78,0),0)</f>
        <v>0</v>
      </c>
      <c r="GT78" s="26">
        <f>IF(GT$2=InputTable[[#This Row],[Delivery Date]],_xlfn.XLOOKUP(GT$1,$BH$2:$BR$2,$BH78:$BR78,0),0)</f>
        <v>0</v>
      </c>
      <c r="GV78" s="26" t="e">
        <f>IF(GV$2=InputTable[[#This Row],[Delivery Date]],_xlfn.XLOOKUP(GV$1,$BH$2:$BR$2,$BH78:$BR78,0),0)</f>
        <v>#REF!</v>
      </c>
      <c r="GW78" s="26">
        <f>IF(GW$2=InputTable[[#This Row],[Delivery Date]],_xlfn.XLOOKUP(GW$1,$BH$2:$BR$2,$BH78:$BR78,0),0)</f>
        <v>0</v>
      </c>
      <c r="GX78" s="26">
        <f>IF(GX$2=InputTable[[#This Row],[Delivery Date]],_xlfn.XLOOKUP(GX$1,$BH$2:$BR$2,$BH78:$BR78,0),0)</f>
        <v>0</v>
      </c>
      <c r="GY78" s="26">
        <f>IF(GY$2=InputTable[[#This Row],[Delivery Date]],_xlfn.XLOOKUP(GY$1,$BH$2:$BR$2,$BH78:$BR78,0),0)</f>
        <v>0</v>
      </c>
      <c r="GZ78" s="26">
        <f>IF(GZ$2=InputTable[[#This Row],[Delivery Date]],_xlfn.XLOOKUP(GZ$1,$BH$2:$BR$2,$BH78:$BR78,0),0)</f>
        <v>0</v>
      </c>
      <c r="HA78" s="26">
        <f>IF(HA$2=InputTable[[#This Row],[Delivery Date]],_xlfn.XLOOKUP(HA$1,$BH$2:$BR$2,$BH78:$BR78,0),0)</f>
        <v>0</v>
      </c>
      <c r="HB78" s="26">
        <f>IF(HB$2=InputTable[[#This Row],[Delivery Date]],_xlfn.XLOOKUP(HB$1,$BH$2:$BR$2,$BH78:$BR78,0),0)</f>
        <v>0</v>
      </c>
      <c r="HC78" s="26">
        <f>IF(HC$2=InputTable[[#This Row],[Delivery Date]],_xlfn.XLOOKUP(HC$1,$BH$2:$BR$2,$BH78:$BR78,0),0)</f>
        <v>0</v>
      </c>
      <c r="HD78" s="26">
        <f>IF(HD$2=InputTable[[#This Row],[Delivery Date]],_xlfn.XLOOKUP(HD$1,$BH$2:$BR$2,$BH78:$BR78,0),0)</f>
        <v>0</v>
      </c>
      <c r="HF78" s="26" t="e">
        <f>IF(HF$2=InputTable[[#This Row],[Delivery Date]],_xlfn.XLOOKUP(HF$1,$BH$2:$BR$2,$BH78:$BR78,0),0)</f>
        <v>#REF!</v>
      </c>
      <c r="HG78" s="26">
        <f>IF(HG$2=InputTable[[#This Row],[Delivery Date]],_xlfn.XLOOKUP(HG$1,$BH$2:$BR$2,$BH78:$BR78,0),0)</f>
        <v>0</v>
      </c>
      <c r="HH78" s="26">
        <f>IF(HH$2=InputTable[[#This Row],[Delivery Date]],_xlfn.XLOOKUP(HH$1,$BH$2:$BR$2,$BH78:$BR78,0),0)</f>
        <v>0</v>
      </c>
      <c r="HI78" s="26">
        <f>IF(HI$2=InputTable[[#This Row],[Delivery Date]],_xlfn.XLOOKUP(HI$1,$BH$2:$BR$2,$BH78:$BR78,0),0)</f>
        <v>0</v>
      </c>
      <c r="HJ78" s="26">
        <f>IF(HJ$2=InputTable[[#This Row],[Delivery Date]],_xlfn.XLOOKUP(HJ$1,$BH$2:$BR$2,$BH78:$BR78,0),0)</f>
        <v>0</v>
      </c>
      <c r="HK78" s="26">
        <f>IF(HK$2=InputTable[[#This Row],[Delivery Date]],_xlfn.XLOOKUP(HK$1,$BH$2:$BR$2,$BH78:$BR78,0),0)</f>
        <v>0</v>
      </c>
      <c r="HL78" s="26">
        <f>IF(HL$2=InputTable[[#This Row],[Delivery Date]],_xlfn.XLOOKUP(HL$1,$BH$2:$BR$2,$BH78:$BR78,0),0)</f>
        <v>0</v>
      </c>
      <c r="HM78" s="26">
        <f>IF(HM$2=InputTable[[#This Row],[Delivery Date]],_xlfn.XLOOKUP(HM$1,$BH$2:$BR$2,$BH78:$BR78,0),0)</f>
        <v>0</v>
      </c>
      <c r="HN78" s="26">
        <f>IF(HN$2=InputTable[[#This Row],[Delivery Date]],_xlfn.XLOOKUP(HN$1,$BH$2:$BR$2,$BH78:$BR78,0),0)</f>
        <v>0</v>
      </c>
      <c r="HP78" s="26" t="e">
        <f>IF(HP$2=InputTable[[#This Row],[Delivery Date]],_xlfn.XLOOKUP(HP$1,$BH$2:$BR$2,$BH78:$BR78,0),0)</f>
        <v>#REF!</v>
      </c>
      <c r="HQ78" s="26">
        <f>IF(HQ$2=InputTable[[#This Row],[Delivery Date]],_xlfn.XLOOKUP(HQ$1,$BH$2:$BR$2,$BH78:$BR78,0),0)</f>
        <v>0</v>
      </c>
      <c r="HR78" s="26">
        <f>IF(HR$2=InputTable[[#This Row],[Delivery Date]],_xlfn.XLOOKUP(HR$1,$BH$2:$BR$2,$BH78:$BR78,0),0)</f>
        <v>0</v>
      </c>
      <c r="HS78" s="26">
        <f>IF(HS$2=InputTable[[#This Row],[Delivery Date]],_xlfn.XLOOKUP(HS$1,$BH$2:$BR$2,$BH78:$BR78,0),0)</f>
        <v>0</v>
      </c>
      <c r="HT78" s="26">
        <f>IF(HT$2=InputTable[[#This Row],[Delivery Date]],_xlfn.XLOOKUP(HT$1,$BH$2:$BR$2,$BH78:$BR78,0),0)</f>
        <v>0</v>
      </c>
      <c r="HU78" s="26">
        <f>IF(HU$2=InputTable[[#This Row],[Delivery Date]],_xlfn.XLOOKUP(HU$1,$BH$2:$BR$2,$BH78:$BR78,0),0)</f>
        <v>0</v>
      </c>
      <c r="HV78" s="26">
        <f>IF(HV$2=InputTable[[#This Row],[Delivery Date]],_xlfn.XLOOKUP(HV$1,$BH$2:$BR$2,$BH78:$BR78,0),0)</f>
        <v>0</v>
      </c>
      <c r="HW78" s="26">
        <f>IF(HW$2=InputTable[[#This Row],[Delivery Date]],_xlfn.XLOOKUP(HW$1,$BH$2:$BR$2,$BH78:$BR78,0),0)</f>
        <v>0</v>
      </c>
      <c r="HX78" s="26">
        <f>IF(HX$2=InputTable[[#This Row],[Delivery Date]],_xlfn.XLOOKUP(HX$1,$BH$2:$BR$2,$BH78:$BR78,0),0)</f>
        <v>0</v>
      </c>
      <c r="HZ78" s="26" t="e">
        <f>IF(HZ$2=InputTable[[#This Row],[Delivery Date]],_xlfn.XLOOKUP(HZ$1,$BH$2:$BR$2,$BH78:$BR78,0),0)</f>
        <v>#REF!</v>
      </c>
      <c r="IA78" s="26">
        <f>IF(IA$2=InputTable[[#This Row],[Delivery Date]],_xlfn.XLOOKUP(IA$1,$BH$2:$BR$2,$BH78:$BR78,0),0)</f>
        <v>0</v>
      </c>
      <c r="IB78" s="26">
        <f>IF(IB$2=InputTable[[#This Row],[Delivery Date]],_xlfn.XLOOKUP(IB$1,$BH$2:$BR$2,$BH78:$BR78,0),0)</f>
        <v>0</v>
      </c>
      <c r="IC78" s="26">
        <f>IF(IC$2=InputTable[[#This Row],[Delivery Date]],_xlfn.XLOOKUP(IC$1,$BH$2:$BR$2,$BH78:$BR78,0),0)</f>
        <v>0</v>
      </c>
      <c r="ID78" s="26">
        <f>IF(ID$2=InputTable[[#This Row],[Delivery Date]],_xlfn.XLOOKUP(ID$1,$BH$2:$BR$2,$BH78:$BR78,0),0)</f>
        <v>0</v>
      </c>
      <c r="IE78" s="26">
        <f>IF(IE$2=InputTable[[#This Row],[Delivery Date]],_xlfn.XLOOKUP(IE$1,$BH$2:$BR$2,$BH78:$BR78,0),0)</f>
        <v>0</v>
      </c>
      <c r="IF78" s="26">
        <f>IF(IF$2=InputTable[[#This Row],[Delivery Date]],_xlfn.XLOOKUP(IF$1,$BH$2:$BR$2,$BH78:$BR78,0),0)</f>
        <v>0</v>
      </c>
      <c r="IG78" s="26">
        <f>IF(IG$2=InputTable[[#This Row],[Delivery Date]],_xlfn.XLOOKUP(IG$1,$BH$2:$BR$2,$BH78:$BR78,0),0)</f>
        <v>0</v>
      </c>
      <c r="IH78" s="26">
        <f>IF(IH$2=InputTable[[#This Row],[Delivery Date]],_xlfn.XLOOKUP(IH$1,$BH$2:$BR$2,$BH78:$BR78,0),0)</f>
        <v>0</v>
      </c>
      <c r="IJ78" s="26" t="e">
        <f>IF(IJ$2=InputTable[[#This Row],[Delivery Date]],_xlfn.XLOOKUP(IJ$1,$BH$2:$BR$2,$BH78:$BR78,0),0)</f>
        <v>#REF!</v>
      </c>
      <c r="IK78" s="26">
        <f>IF(IK$2=InputTable[[#This Row],[Delivery Date]],_xlfn.XLOOKUP(IK$1,$BH$2:$BR$2,$BH78:$BR78,0),0)</f>
        <v>0</v>
      </c>
      <c r="IL78" s="26">
        <f>IF(IL$2=InputTable[[#This Row],[Delivery Date]],_xlfn.XLOOKUP(IL$1,$BH$2:$BR$2,$BH78:$BR78,0),0)</f>
        <v>0</v>
      </c>
      <c r="IM78" s="26">
        <f>IF(IM$2=InputTable[[#This Row],[Delivery Date]],_xlfn.XLOOKUP(IM$1,$BH$2:$BR$2,$BH78:$BR78,0),0)</f>
        <v>0</v>
      </c>
      <c r="IN78" s="26">
        <f>IF(IN$2=InputTable[[#This Row],[Delivery Date]],_xlfn.XLOOKUP(IN$1,$BH$2:$BR$2,$BH78:$BR78,0),0)</f>
        <v>0</v>
      </c>
      <c r="IO78" s="26">
        <f>IF(IO$2=InputTable[[#This Row],[Delivery Date]],_xlfn.XLOOKUP(IO$1,$BH$2:$BR$2,$BH78:$BR78,0),0)</f>
        <v>0</v>
      </c>
      <c r="IP78" s="26">
        <f>IF(IP$2=InputTable[[#This Row],[Delivery Date]],_xlfn.XLOOKUP(IP$1,$BH$2:$BR$2,$BH78:$BR78,0),0)</f>
        <v>0</v>
      </c>
      <c r="IQ78" s="26">
        <f>IF(IQ$2=InputTable[[#This Row],[Delivery Date]],_xlfn.XLOOKUP(IQ$1,$BH$2:$BR$2,$BH78:$BR78,0),0)</f>
        <v>0</v>
      </c>
      <c r="IR78" s="26">
        <f>IF(IR$2=InputTable[[#This Row],[Delivery Date]],_xlfn.XLOOKUP(IR$1,$BH$2:$BR$2,$BH78:$BR78,0),0)</f>
        <v>0</v>
      </c>
      <c r="IT78" s="26" t="e">
        <f>IF(IT$2=InputTable[[#This Row],[Delivery Date]],_xlfn.XLOOKUP(IT$1,$BH$2:$BR$2,$BH78:$BR78,0),0)</f>
        <v>#REF!</v>
      </c>
      <c r="IU78" s="26">
        <f>IF(IU$2=InputTable[[#This Row],[Delivery Date]],_xlfn.XLOOKUP(IU$1,$BH$2:$BR$2,$BH78:$BR78,0),0)</f>
        <v>0</v>
      </c>
      <c r="IV78" s="26">
        <f>IF(IV$2=InputTable[[#This Row],[Delivery Date]],_xlfn.XLOOKUP(IV$1,$BH$2:$BR$2,$BH78:$BR78,0),0)</f>
        <v>0</v>
      </c>
      <c r="IW78" s="26">
        <f>IF(IW$2=InputTable[[#This Row],[Delivery Date]],_xlfn.XLOOKUP(IW$1,$BH$2:$BR$2,$BH78:$BR78,0),0)</f>
        <v>0</v>
      </c>
      <c r="IX78" s="26">
        <f>IF(IX$2=InputTable[[#This Row],[Delivery Date]],_xlfn.XLOOKUP(IX$1,$BH$2:$BR$2,$BH78:$BR78,0),0)</f>
        <v>0</v>
      </c>
      <c r="IY78" s="26">
        <f>IF(IY$2=InputTable[[#This Row],[Delivery Date]],_xlfn.XLOOKUP(IY$1,$BH$2:$BR$2,$BH78:$BR78,0),0)</f>
        <v>0</v>
      </c>
      <c r="IZ78" s="26">
        <f>IF(IZ$2=InputTable[[#This Row],[Delivery Date]],_xlfn.XLOOKUP(IZ$1,$BH$2:$BR$2,$BH78:$BR78,0),0)</f>
        <v>0</v>
      </c>
      <c r="JA78" s="26">
        <f>IF(JA$2=InputTable[[#This Row],[Delivery Date]],_xlfn.XLOOKUP(JA$1,$BH$2:$BR$2,$BH78:$BR78,0),0)</f>
        <v>0</v>
      </c>
      <c r="JB78" s="26">
        <f>IF(JB$2=InputTable[[#This Row],[Delivery Date]],_xlfn.XLOOKUP(JB$1,$BH$2:$BR$2,$BH78:$BR78,0),0)</f>
        <v>0</v>
      </c>
      <c r="JD78" s="26" t="e">
        <f>IF(JD$2=InputTable[[#This Row],[Delivery Date]],_xlfn.XLOOKUP(JD$1,$BH$2:$BR$2,$BH78:$BR78,0),0)</f>
        <v>#REF!</v>
      </c>
      <c r="JE78" s="26">
        <f>IF(JE$2=InputTable[[#This Row],[Delivery Date]],_xlfn.XLOOKUP(JE$1,$BH$2:$BR$2,$BH78:$BR78,0),0)</f>
        <v>0</v>
      </c>
      <c r="JF78" s="26">
        <f>IF(JF$2=InputTable[[#This Row],[Delivery Date]],_xlfn.XLOOKUP(JF$1,$BH$2:$BR$2,$BH78:$BR78,0),0)</f>
        <v>0</v>
      </c>
      <c r="JG78" s="26">
        <f>IF(JG$2=InputTable[[#This Row],[Delivery Date]],_xlfn.XLOOKUP(JG$1,$BH$2:$BR$2,$BH78:$BR78,0),0)</f>
        <v>0</v>
      </c>
      <c r="JH78" s="26">
        <f>IF(JH$2=InputTable[[#This Row],[Delivery Date]],_xlfn.XLOOKUP(JH$1,$BH$2:$BR$2,$BH78:$BR78,0),0)</f>
        <v>0</v>
      </c>
      <c r="JI78" s="26">
        <f>IF(JI$2=InputTable[[#This Row],[Delivery Date]],_xlfn.XLOOKUP(JI$1,$BH$2:$BR$2,$BH78:$BR78,0),0)</f>
        <v>0</v>
      </c>
      <c r="JJ78" s="26">
        <f>IF(JJ$2=InputTable[[#This Row],[Delivery Date]],_xlfn.XLOOKUP(JJ$1,$BH$2:$BR$2,$BH78:$BR78,0),0)</f>
        <v>0</v>
      </c>
      <c r="JK78" s="26">
        <f>IF(JK$2=InputTable[[#This Row],[Delivery Date]],_xlfn.XLOOKUP(JK$1,$BH$2:$BR$2,$BH78:$BR78,0),0)</f>
        <v>0</v>
      </c>
      <c r="JL78" s="26">
        <f>IF(JL$2=InputTable[[#This Row],[Delivery Date]],_xlfn.XLOOKUP(JL$1,$BH$2:$BR$2,$BH78:$BR78,0),0)</f>
        <v>0</v>
      </c>
      <c r="JN78" s="26" t="e">
        <f>IF(JN$2=InputTable[[#This Row],[Delivery Date]],_xlfn.XLOOKUP(JN$1,$BH$2:$BR$2,$BH78:$BR78,0),0)</f>
        <v>#REF!</v>
      </c>
      <c r="JO78" s="26">
        <f>IF(JO$2=InputTable[[#This Row],[Delivery Date]],_xlfn.XLOOKUP(JO$1,$BH$2:$BR$2,$BH78:$BR78,0),0)</f>
        <v>0</v>
      </c>
      <c r="JP78" s="26">
        <f>IF(JP$2=InputTable[[#This Row],[Delivery Date]],_xlfn.XLOOKUP(JP$1,$BH$2:$BR$2,$BH78:$BR78,0),0)</f>
        <v>0</v>
      </c>
      <c r="JQ78" s="26">
        <f>IF(JQ$2=InputTable[[#This Row],[Delivery Date]],_xlfn.XLOOKUP(JQ$1,$BH$2:$BR$2,$BH78:$BR78,0),0)</f>
        <v>0</v>
      </c>
      <c r="JR78" s="26">
        <f>IF(JR$2=InputTable[[#This Row],[Delivery Date]],_xlfn.XLOOKUP(JR$1,$BH$2:$BR$2,$BH78:$BR78,0),0)</f>
        <v>0</v>
      </c>
      <c r="JS78" s="26">
        <f>IF(JS$2=InputTable[[#This Row],[Delivery Date]],_xlfn.XLOOKUP(JS$1,$BH$2:$BR$2,$BH78:$BR78,0),0)</f>
        <v>0</v>
      </c>
      <c r="JT78" s="26">
        <f>IF(JT$2=InputTable[[#This Row],[Delivery Date]],_xlfn.XLOOKUP(JT$1,$BH$2:$BR$2,$BH78:$BR78,0),0)</f>
        <v>0</v>
      </c>
      <c r="JU78" s="26">
        <f>IF(JU$2=InputTable[[#This Row],[Delivery Date]],_xlfn.XLOOKUP(JU$1,$BH$2:$BR$2,$BH78:$BR78,0),0)</f>
        <v>0</v>
      </c>
      <c r="JV78" s="26">
        <f>IF(JV$2=InputTable[[#This Row],[Delivery Date]],_xlfn.XLOOKUP(JV$1,$BH$2:$BR$2,$BH78:$BR78,0),0)</f>
        <v>0</v>
      </c>
      <c r="JX78" s="26" t="e">
        <f>IF(JX$2=InputTable[[#This Row],[Delivery Date]],_xlfn.XLOOKUP(JX$1,$BH$2:$BR$2,$BH78:$BR78,0),0)</f>
        <v>#REF!</v>
      </c>
      <c r="JY78" s="26">
        <f>IF(JY$2=InputTable[[#This Row],[Delivery Date]],_xlfn.XLOOKUP(JY$1,$BH$2:$BR$2,$BH78:$BR78,0),0)</f>
        <v>0</v>
      </c>
      <c r="JZ78" s="26">
        <f>IF(JZ$2=InputTable[[#This Row],[Delivery Date]],_xlfn.XLOOKUP(JZ$1,$BH$2:$BR$2,$BH78:$BR78,0),0)</f>
        <v>0</v>
      </c>
      <c r="KA78" s="26">
        <f>IF(KA$2=InputTable[[#This Row],[Delivery Date]],_xlfn.XLOOKUP(KA$1,$BH$2:$BR$2,$BH78:$BR78,0),0)</f>
        <v>0</v>
      </c>
      <c r="KB78" s="26">
        <f>IF(KB$2=InputTable[[#This Row],[Delivery Date]],_xlfn.XLOOKUP(KB$1,$BH$2:$BR$2,$BH78:$BR78,0),0)</f>
        <v>0</v>
      </c>
      <c r="KC78" s="26">
        <f>IF(KC$2=InputTable[[#This Row],[Delivery Date]],_xlfn.XLOOKUP(KC$1,$BH$2:$BR$2,$BH78:$BR78,0),0)</f>
        <v>0</v>
      </c>
      <c r="KD78" s="26">
        <f>IF(KD$2=InputTable[[#This Row],[Delivery Date]],_xlfn.XLOOKUP(KD$1,$BH$2:$BR$2,$BH78:$BR78,0),0)</f>
        <v>0</v>
      </c>
      <c r="KE78" s="26">
        <f>IF(KE$2=InputTable[[#This Row],[Delivery Date]],_xlfn.XLOOKUP(KE$1,$BH$2:$BR$2,$BH78:$BR78,0),0)</f>
        <v>0</v>
      </c>
      <c r="KF78" s="26">
        <f>IF(KF$2=InputTable[[#This Row],[Delivery Date]],_xlfn.XLOOKUP(KF$1,$BH$2:$BR$2,$BH78:$BR78,0),0)</f>
        <v>0</v>
      </c>
    </row>
    <row r="79" spans="1:292" ht="39.6" customHeight="1" x14ac:dyDescent="0.25">
      <c r="A79" s="141" t="s">
        <v>134</v>
      </c>
      <c r="B79" s="141" t="s">
        <v>104</v>
      </c>
      <c r="C79" s="92" t="s">
        <v>60</v>
      </c>
      <c r="D79" s="125" t="s">
        <v>349</v>
      </c>
      <c r="E79" s="193" t="s">
        <v>350</v>
      </c>
      <c r="F79" s="92" t="s">
        <v>24</v>
      </c>
      <c r="G79" s="92" t="s">
        <v>98</v>
      </c>
      <c r="H79" s="92"/>
      <c r="I79" s="92">
        <v>2026</v>
      </c>
      <c r="J79" s="125" t="s">
        <v>290</v>
      </c>
      <c r="K79" s="95" t="e">
        <f>VLOOKUP((InputTable[[#This Row],[Starting Date]]&amp; " - " &amp;InputTable[[#This Row],[Delivery Date]]),'System List'!$F$40:$H$83,2,FALSE)</f>
        <v>#N/A</v>
      </c>
      <c r="L79" s="95" t="e">
        <f>VLOOKUP(InputTable[[#This Row],[Duration]],Duration,2,FALSE)</f>
        <v>#N/A</v>
      </c>
      <c r="M79" s="125"/>
      <c r="N79" s="92"/>
      <c r="O79" s="92"/>
      <c r="P79" s="92"/>
      <c r="Q79" s="92" t="s">
        <v>111</v>
      </c>
      <c r="R79" s="92" t="s">
        <v>111</v>
      </c>
      <c r="S79" s="92"/>
      <c r="T79" s="95" cm="1">
        <f t="array" ref="T7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</v>
      </c>
      <c r="U79" s="138"/>
      <c r="V79" s="92" t="s">
        <v>111</v>
      </c>
      <c r="W79" s="92"/>
      <c r="X79" s="92"/>
      <c r="Y79" s="92"/>
      <c r="Z79" s="98" t="s">
        <v>111</v>
      </c>
      <c r="AA79" s="92" t="s">
        <v>111</v>
      </c>
      <c r="AB79" s="92"/>
      <c r="AC79" s="92"/>
      <c r="AD79" s="92">
        <f>COUNTA(InputTable[[#This Row],[CORPHRFIN]:[SALES]])</f>
        <v>3</v>
      </c>
      <c r="AE79" s="88" cm="1">
        <f t="array" ref="AE79">SUM(
_xlfn.XLOOKUP(InputTable[[#This Row],[CORPHRFIN]:[SALES]],'System List'!$F$4:$F$7,'System List'!$H$4:$H$7,0))</f>
        <v>15</v>
      </c>
      <c r="AF79" s="140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88" cm="1">
        <f t="array" ref="AR79">SUM(
_xlfn.XLOOKUP(InputTable[[#This Row],[Impact on - CIAL]:[Impact on - STRAT]],'System List'!$F$4:$F$7,'System List'!$H$4:$H$7,0))</f>
        <v>0</v>
      </c>
      <c r="AS79" s="88" t="e">
        <f>VLOOKUP(InputTable[[#This Row],[Duration]],Duration,2,FALSE)+InputTable[[#This Row],[Resource Score]]</f>
        <v>#N/A</v>
      </c>
      <c r="AT7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79" s="24" t="e">
        <f>InputTable[[#This Row],[Value Score]]/InputTable[[#This Row],[EFFORT SCORE]]*100</f>
        <v>#N/A</v>
      </c>
      <c r="AV79" s="25" t="str">
        <f>InputTable[[#This Row],[IS Portfolio Ref ID]]</f>
        <v>ISPRJ-58</v>
      </c>
      <c r="AW79" s="25" t="s">
        <v>351</v>
      </c>
      <c r="AX79" s="208" t="s">
        <v>352</v>
      </c>
      <c r="AY79" s="25"/>
      <c r="AZ79" s="209">
        <v>0</v>
      </c>
      <c r="BA79" s="209">
        <v>227280</v>
      </c>
      <c r="BB79" s="209"/>
      <c r="BC79" s="189">
        <f>SUM(InputTable[[#This Row],[Opex IS Budget (full project)]]+InputTable[[#This Row],[Capex IS Budget (full project)]])</f>
        <v>227280</v>
      </c>
      <c r="BD79" s="188"/>
      <c r="BE79" s="188"/>
      <c r="BF79" s="70"/>
      <c r="BH79" s="2">
        <f>IFERROR(VLOOKUP(InputTable[[#This Row],[Impact on - CIAL]],'System List'!$F$4:$H$7,3,FALSE),0)</f>
        <v>0</v>
      </c>
      <c r="BI79" s="2">
        <f>IFERROR(VLOOKUP(InputTable[[#This Row],[Impact on - COM]],'System List'!$F$4:$H$7,3,FALSE),0)</f>
        <v>0</v>
      </c>
      <c r="BJ79" s="2">
        <f>IFERROR(VLOOKUP(InputTable[[#This Row],[Impact on - FIN]],'System List'!$F$4:$H$7,3,FALSE),0)</f>
        <v>0</v>
      </c>
      <c r="BK79" s="2">
        <f>IFERROR(VLOOKUP(InputTable[[#This Row],[Impact on - GEN SEC]],'System List'!$F$4:$H$7,3,FALSE),0)</f>
        <v>0</v>
      </c>
      <c r="BL79" s="2">
        <f>IFERROR(VLOOKUP(InputTable[[#This Row],[Impact on - HR]],'System List'!$F$4:$H$7,3,FALSE),0)</f>
        <v>0</v>
      </c>
      <c r="BM79" s="2">
        <f>IFERROR(VLOOKUP(InputTable[[#This Row],[Impact on - IS]],'System List'!$F$4:$H$7,3,FALSE),0)</f>
        <v>0</v>
      </c>
      <c r="BN79" s="2">
        <f>IFERROR(VLOOKUP(InputTable[[#This Row],[Impact on - OPS]],'System List'!$F$4:$H$7,3,FALSE),0)</f>
        <v>0</v>
      </c>
      <c r="BO79" s="2">
        <f>IFERROR(VLOOKUP(InputTable[[#This Row],[Impact on - ROLL STOCK]],'System List'!$F$4:$H$7,3,FALSE),0)</f>
        <v>0</v>
      </c>
      <c r="BP79" s="2">
        <f>IFERROR(VLOOKUP(InputTable[[#This Row],[Impact on - SAFETY]],'System List'!$F$4:$H$7,3,FALSE),0)</f>
        <v>0</v>
      </c>
      <c r="BQ79" s="2">
        <f>IFERROR(VLOOKUP(InputTable[[#This Row],[Impact on - STATION]],'System List'!$F$4:$H$7,3,FALSE),0)</f>
        <v>0</v>
      </c>
      <c r="BR79" s="2">
        <f>IFERROR(VLOOKUP(InputTable[[#This Row],[Impact on - STRAT]],'System List'!$F$4:$H$7,3,FALSE),0)</f>
        <v>0</v>
      </c>
      <c r="BT79" s="2">
        <f>IFERROR(VLOOKUP(InputTable[[#This Row],[CORPHRFIN]],'System List'!$F$4:$H$7,3,FALSE),0)</f>
        <v>5</v>
      </c>
      <c r="BU79" s="2">
        <f>IFERROR(VLOOKUP(InputTable[[#This Row],[CUST]],'System List'!$F$4:$H$7,3,FALSE),0)</f>
        <v>0</v>
      </c>
      <c r="BV79" s="2">
        <f>IFERROR(VLOOKUP(InputTable[[#This Row],[CYBER]],'System List'!$F$4:$H$7,3,FALSE),0)</f>
        <v>0</v>
      </c>
      <c r="BW79" s="2">
        <f>IFERROR(VLOOKUP(InputTable[[#This Row],[DATA]],'System List'!$F$4:$H$7,3,FALSE),0)</f>
        <v>0</v>
      </c>
      <c r="BX79" s="2">
        <f>IFERROR(VLOOKUP(InputTable[[#This Row],[INFRA]],'System List'!$F$4:$H$7,3,FALSE),0)</f>
        <v>5</v>
      </c>
      <c r="BY79" s="2">
        <f>IFERROR(VLOOKUP(InputTable[[#This Row],[OPERATIONS]],'System List'!$F$4:$H$7,3,FALSE),0)</f>
        <v>5</v>
      </c>
      <c r="BZ79" s="2">
        <f>IFERROR(VLOOKUP(InputTable[[#This Row],[PMO]],'System List'!$F$4:$H$7,3,FALSE),0)</f>
        <v>0</v>
      </c>
      <c r="CA79" s="2">
        <f>IFERROR(VLOOKUP(InputTable[[#This Row],[SALES]],'System List'!$F$4:$H$7,3,FALSE),0)</f>
        <v>0</v>
      </c>
      <c r="CC79" s="2" cm="1">
        <f t="array" ref="CC7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79" s="2" cm="1">
        <f t="array" ref="CD7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79" s="2" cm="1">
        <f t="array" ref="CE7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79" s="2" cm="1">
        <f t="array" ref="CF7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79" s="2" cm="1">
        <f t="array" ref="CG7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79" s="2" cm="1">
        <f t="array" ref="CH7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79" s="2" cm="1">
        <f t="array" ref="CI7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79" s="2" cm="1">
        <f t="array" ref="CJ7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79" s="2" cm="1">
        <f t="array" ref="CK7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7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7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7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7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7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7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7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7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7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79" s="26">
        <f t="shared" si="224"/>
        <v>0</v>
      </c>
      <c r="CY79" s="26">
        <f t="shared" si="225"/>
        <v>0</v>
      </c>
      <c r="CZ79" s="26">
        <f t="shared" si="226"/>
        <v>0</v>
      </c>
      <c r="DA79" s="26">
        <f t="shared" si="227"/>
        <v>0</v>
      </c>
      <c r="DB79" s="26">
        <f t="shared" si="228"/>
        <v>0</v>
      </c>
      <c r="DC79" s="26">
        <f t="shared" si="229"/>
        <v>5</v>
      </c>
      <c r="DD79" s="26">
        <f t="shared" si="230"/>
        <v>0</v>
      </c>
      <c r="DE79" s="26">
        <f t="shared" si="231"/>
        <v>0</v>
      </c>
      <c r="DF79" s="26">
        <f t="shared" si="232"/>
        <v>0</v>
      </c>
      <c r="DH79" s="26">
        <f t="shared" si="233"/>
        <v>0</v>
      </c>
      <c r="DI79" s="26">
        <f t="shared" si="234"/>
        <v>0</v>
      </c>
      <c r="DJ79" s="26">
        <f t="shared" si="235"/>
        <v>0</v>
      </c>
      <c r="DK79" s="26">
        <f t="shared" si="236"/>
        <v>0</v>
      </c>
      <c r="DL79" s="26">
        <f t="shared" si="237"/>
        <v>0</v>
      </c>
      <c r="DM79" s="26">
        <f t="shared" si="238"/>
        <v>0</v>
      </c>
      <c r="DN79" s="26">
        <f t="shared" si="239"/>
        <v>0</v>
      </c>
      <c r="DO79" s="26">
        <f t="shared" si="240"/>
        <v>0</v>
      </c>
      <c r="DP79" s="26">
        <f t="shared" si="241"/>
        <v>0</v>
      </c>
      <c r="DR79" s="26">
        <f t="shared" si="242"/>
        <v>0</v>
      </c>
      <c r="DS79" s="26">
        <f t="shared" si="243"/>
        <v>0</v>
      </c>
      <c r="DT79" s="26">
        <f t="shared" si="244"/>
        <v>0</v>
      </c>
      <c r="DU79" s="26">
        <f t="shared" si="245"/>
        <v>0</v>
      </c>
      <c r="DV79" s="26">
        <f t="shared" si="246"/>
        <v>0</v>
      </c>
      <c r="DW79" s="26">
        <f t="shared" si="247"/>
        <v>0</v>
      </c>
      <c r="DX79" s="26">
        <f t="shared" si="248"/>
        <v>0</v>
      </c>
      <c r="DY79" s="26">
        <f t="shared" si="249"/>
        <v>0</v>
      </c>
      <c r="DZ79" s="26">
        <f t="shared" si="250"/>
        <v>0</v>
      </c>
      <c r="EB79" s="26">
        <f t="shared" si="251"/>
        <v>0</v>
      </c>
      <c r="EC79" s="26">
        <f t="shared" si="252"/>
        <v>0</v>
      </c>
      <c r="ED79" s="26">
        <f t="shared" si="253"/>
        <v>0</v>
      </c>
      <c r="EE79" s="26">
        <f t="shared" si="254"/>
        <v>0</v>
      </c>
      <c r="EF79" s="26">
        <f t="shared" si="255"/>
        <v>0</v>
      </c>
      <c r="EG79" s="26">
        <f t="shared" si="256"/>
        <v>0</v>
      </c>
      <c r="EH79" s="26">
        <f t="shared" si="257"/>
        <v>0</v>
      </c>
      <c r="EI79" s="26">
        <f t="shared" si="258"/>
        <v>0</v>
      </c>
      <c r="EJ79" s="26">
        <f t="shared" si="259"/>
        <v>0</v>
      </c>
      <c r="EL79" s="26">
        <f t="shared" si="260"/>
        <v>0</v>
      </c>
      <c r="EM79" s="26">
        <f t="shared" si="261"/>
        <v>0</v>
      </c>
      <c r="EN79" s="26">
        <f t="shared" si="262"/>
        <v>0</v>
      </c>
      <c r="EO79" s="26">
        <f t="shared" si="263"/>
        <v>0</v>
      </c>
      <c r="EP79" s="26">
        <f t="shared" si="264"/>
        <v>0</v>
      </c>
      <c r="EQ79" s="26">
        <f t="shared" si="265"/>
        <v>5</v>
      </c>
      <c r="ER79" s="26">
        <f t="shared" si="266"/>
        <v>0</v>
      </c>
      <c r="ES79" s="26">
        <f t="shared" si="267"/>
        <v>0</v>
      </c>
      <c r="ET79" s="26">
        <f t="shared" si="268"/>
        <v>0</v>
      </c>
      <c r="EV79" s="26">
        <f t="shared" si="269"/>
        <v>0</v>
      </c>
      <c r="EW79" s="26">
        <f t="shared" si="270"/>
        <v>0</v>
      </c>
      <c r="EX79" s="26">
        <f t="shared" si="271"/>
        <v>0</v>
      </c>
      <c r="EY79" s="26">
        <f t="shared" si="272"/>
        <v>0</v>
      </c>
      <c r="EZ79" s="26">
        <f t="shared" si="273"/>
        <v>0</v>
      </c>
      <c r="FA79" s="26">
        <f t="shared" si="274"/>
        <v>5</v>
      </c>
      <c r="FB79" s="26">
        <f t="shared" si="275"/>
        <v>0</v>
      </c>
      <c r="FC79" s="26">
        <f t="shared" si="276"/>
        <v>0</v>
      </c>
      <c r="FD79" s="26">
        <f t="shared" si="277"/>
        <v>0</v>
      </c>
      <c r="FF79" s="26">
        <f t="shared" si="278"/>
        <v>0</v>
      </c>
      <c r="FG79" s="26">
        <f t="shared" si="279"/>
        <v>0</v>
      </c>
      <c r="FH79" s="26">
        <f t="shared" si="280"/>
        <v>0</v>
      </c>
      <c r="FI79" s="26">
        <f t="shared" si="281"/>
        <v>0</v>
      </c>
      <c r="FJ79" s="26">
        <f t="shared" si="282"/>
        <v>0</v>
      </c>
      <c r="FK79" s="26">
        <f t="shared" si="283"/>
        <v>0</v>
      </c>
      <c r="FL79" s="26">
        <f t="shared" si="284"/>
        <v>0</v>
      </c>
      <c r="FM79" s="26">
        <f t="shared" si="285"/>
        <v>0</v>
      </c>
      <c r="FN79" s="26">
        <f t="shared" si="286"/>
        <v>0</v>
      </c>
      <c r="FP79" s="26" t="e">
        <f t="shared" si="287"/>
        <v>#REF!</v>
      </c>
      <c r="FQ79" s="26" t="e">
        <f t="shared" si="288"/>
        <v>#REF!</v>
      </c>
      <c r="FR79" s="26" t="e">
        <f t="shared" si="289"/>
        <v>#REF!</v>
      </c>
      <c r="FS79" s="26" t="e">
        <f t="shared" si="290"/>
        <v>#REF!</v>
      </c>
      <c r="FT79" s="26" t="e">
        <f t="shared" si="291"/>
        <v>#REF!</v>
      </c>
      <c r="FU79" s="26" t="e">
        <f t="shared" si="292"/>
        <v>#REF!</v>
      </c>
      <c r="FV79" s="26" t="e">
        <f t="shared" si="293"/>
        <v>#REF!</v>
      </c>
      <c r="FW79" s="26" t="e">
        <f t="shared" si="294"/>
        <v>#REF!</v>
      </c>
      <c r="FX79" s="26" t="e">
        <f t="shared" si="295"/>
        <v>#REF!</v>
      </c>
      <c r="GB79" s="26" t="e">
        <f>IF(GB$2=InputTable[[#This Row],[Delivery Date]],_xlfn.XLOOKUP(GB$1,$BH$2:$BR$2,$BH79:$BR79,0),0)</f>
        <v>#REF!</v>
      </c>
      <c r="GC79" s="26">
        <f>IF(GC$2=InputTable[[#This Row],[Delivery Date]],_xlfn.XLOOKUP(GC$1,$BH$2:$BR$2,$BH79:$BR79,0),0)</f>
        <v>0</v>
      </c>
      <c r="GD79" s="26">
        <f>IF(GD$2=InputTable[[#This Row],[Delivery Date]],_xlfn.XLOOKUP(GD$1,$BH$2:$BR$2,$BH79:$BR79,0),0)</f>
        <v>0</v>
      </c>
      <c r="GE79" s="26">
        <f>IF(GE$2=InputTable[[#This Row],[Delivery Date]],_xlfn.XLOOKUP(GE$1,$BH$2:$BR$2,$BH79:$BR79,0),0)</f>
        <v>0</v>
      </c>
      <c r="GF79" s="26">
        <f>IF(GF$2=InputTable[[#This Row],[Delivery Date]],_xlfn.XLOOKUP(GF$1,$BH$2:$BR$2,$BH79:$BR79,0),0)</f>
        <v>0</v>
      </c>
      <c r="GG79" s="26">
        <f>IF(GG$2=InputTable[[#This Row],[Delivery Date]],_xlfn.XLOOKUP(GG$1,$BH$2:$BR$2,$BH79:$BR79,0),0)</f>
        <v>0</v>
      </c>
      <c r="GH79" s="26">
        <f>IF(GH$2=InputTable[[#This Row],[Delivery Date]],_xlfn.XLOOKUP(GH$1,$BH$2:$BR$2,$BH79:$BR79,0),0)</f>
        <v>0</v>
      </c>
      <c r="GI79" s="26">
        <f>IF(GI$2=InputTable[[#This Row],[Delivery Date]],_xlfn.XLOOKUP(GI$1,$BH$2:$BR$2,$BH79:$BR79,0),0)</f>
        <v>0</v>
      </c>
      <c r="GJ79" s="26">
        <f>IF(GJ$2=InputTable[[#This Row],[Delivery Date]],_xlfn.XLOOKUP(GJ$1,$BH$2:$BR$2,$BH79:$BR79,0),0)</f>
        <v>0</v>
      </c>
      <c r="GL79" s="26" t="e">
        <f>IF(GL$2=InputTable[[#This Row],[Delivery Date]],_xlfn.XLOOKUP(GL$1,$BH$2:$BR$2,$BH79:$BR79,0),0)</f>
        <v>#REF!</v>
      </c>
      <c r="GM79" s="26">
        <f>IF(GM$2=InputTable[[#This Row],[Delivery Date]],_xlfn.XLOOKUP(GM$1,$BH$2:$BR$2,$BH79:$BR79,0),0)</f>
        <v>0</v>
      </c>
      <c r="GN79" s="26">
        <f>IF(GN$2=InputTable[[#This Row],[Delivery Date]],_xlfn.XLOOKUP(GN$1,$BH$2:$BR$2,$BH79:$BR79,0),0)</f>
        <v>0</v>
      </c>
      <c r="GO79" s="26">
        <f>IF(GO$2=InputTable[[#This Row],[Delivery Date]],_xlfn.XLOOKUP(GO$1,$BH$2:$BR$2,$BH79:$BR79,0),0)</f>
        <v>0</v>
      </c>
      <c r="GP79" s="26">
        <f>IF(GP$2=InputTable[[#This Row],[Delivery Date]],_xlfn.XLOOKUP(GP$1,$BH$2:$BR$2,$BH79:$BR79,0),0)</f>
        <v>0</v>
      </c>
      <c r="GQ79" s="26">
        <f>IF(GQ$2=InputTable[[#This Row],[Delivery Date]],_xlfn.XLOOKUP(GQ$1,$BH$2:$BR$2,$BH79:$BR79,0),0)</f>
        <v>0</v>
      </c>
      <c r="GR79" s="26">
        <f>IF(GR$2=InputTable[[#This Row],[Delivery Date]],_xlfn.XLOOKUP(GR$1,$BH$2:$BR$2,$BH79:$BR79,0),0)</f>
        <v>0</v>
      </c>
      <c r="GS79" s="26">
        <f>IF(GS$2=InputTable[[#This Row],[Delivery Date]],_xlfn.XLOOKUP(GS$1,$BH$2:$BR$2,$BH79:$BR79,0),0)</f>
        <v>0</v>
      </c>
      <c r="GT79" s="26">
        <f>IF(GT$2=InputTable[[#This Row],[Delivery Date]],_xlfn.XLOOKUP(GT$1,$BH$2:$BR$2,$BH79:$BR79,0),0)</f>
        <v>0</v>
      </c>
      <c r="GV79" s="26" t="e">
        <f>IF(GV$2=InputTable[[#This Row],[Delivery Date]],_xlfn.XLOOKUP(GV$1,$BH$2:$BR$2,$BH79:$BR79,0),0)</f>
        <v>#REF!</v>
      </c>
      <c r="GW79" s="26">
        <f>IF(GW$2=InputTable[[#This Row],[Delivery Date]],_xlfn.XLOOKUP(GW$1,$BH$2:$BR$2,$BH79:$BR79,0),0)</f>
        <v>0</v>
      </c>
      <c r="GX79" s="26">
        <f>IF(GX$2=InputTable[[#This Row],[Delivery Date]],_xlfn.XLOOKUP(GX$1,$BH$2:$BR$2,$BH79:$BR79,0),0)</f>
        <v>0</v>
      </c>
      <c r="GY79" s="26">
        <f>IF(GY$2=InputTable[[#This Row],[Delivery Date]],_xlfn.XLOOKUP(GY$1,$BH$2:$BR$2,$BH79:$BR79,0),0)</f>
        <v>0</v>
      </c>
      <c r="GZ79" s="26">
        <f>IF(GZ$2=InputTable[[#This Row],[Delivery Date]],_xlfn.XLOOKUP(GZ$1,$BH$2:$BR$2,$BH79:$BR79,0),0)</f>
        <v>0</v>
      </c>
      <c r="HA79" s="26">
        <f>IF(HA$2=InputTable[[#This Row],[Delivery Date]],_xlfn.XLOOKUP(HA$1,$BH$2:$BR$2,$BH79:$BR79,0),0)</f>
        <v>0</v>
      </c>
      <c r="HB79" s="26">
        <f>IF(HB$2=InputTable[[#This Row],[Delivery Date]],_xlfn.XLOOKUP(HB$1,$BH$2:$BR$2,$BH79:$BR79,0),0)</f>
        <v>0</v>
      </c>
      <c r="HC79" s="26">
        <f>IF(HC$2=InputTable[[#This Row],[Delivery Date]],_xlfn.XLOOKUP(HC$1,$BH$2:$BR$2,$BH79:$BR79,0),0)</f>
        <v>0</v>
      </c>
      <c r="HD79" s="26">
        <f>IF(HD$2=InputTable[[#This Row],[Delivery Date]],_xlfn.XLOOKUP(HD$1,$BH$2:$BR$2,$BH79:$BR79,0),0)</f>
        <v>0</v>
      </c>
      <c r="HF79" s="26" t="e">
        <f>IF(HF$2=InputTable[[#This Row],[Delivery Date]],_xlfn.XLOOKUP(HF$1,$BH$2:$BR$2,$BH79:$BR79,0),0)</f>
        <v>#REF!</v>
      </c>
      <c r="HG79" s="26">
        <f>IF(HG$2=InputTable[[#This Row],[Delivery Date]],_xlfn.XLOOKUP(HG$1,$BH$2:$BR$2,$BH79:$BR79,0),0)</f>
        <v>0</v>
      </c>
      <c r="HH79" s="26">
        <f>IF(HH$2=InputTable[[#This Row],[Delivery Date]],_xlfn.XLOOKUP(HH$1,$BH$2:$BR$2,$BH79:$BR79,0),0)</f>
        <v>0</v>
      </c>
      <c r="HI79" s="26">
        <f>IF(HI$2=InputTable[[#This Row],[Delivery Date]],_xlfn.XLOOKUP(HI$1,$BH$2:$BR$2,$BH79:$BR79,0),0)</f>
        <v>0</v>
      </c>
      <c r="HJ79" s="26">
        <f>IF(HJ$2=InputTable[[#This Row],[Delivery Date]],_xlfn.XLOOKUP(HJ$1,$BH$2:$BR$2,$BH79:$BR79,0),0)</f>
        <v>0</v>
      </c>
      <c r="HK79" s="26">
        <f>IF(HK$2=InputTable[[#This Row],[Delivery Date]],_xlfn.XLOOKUP(HK$1,$BH$2:$BR$2,$BH79:$BR79,0),0)</f>
        <v>0</v>
      </c>
      <c r="HL79" s="26">
        <f>IF(HL$2=InputTable[[#This Row],[Delivery Date]],_xlfn.XLOOKUP(HL$1,$BH$2:$BR$2,$BH79:$BR79,0),0)</f>
        <v>0</v>
      </c>
      <c r="HM79" s="26">
        <f>IF(HM$2=InputTable[[#This Row],[Delivery Date]],_xlfn.XLOOKUP(HM$1,$BH$2:$BR$2,$BH79:$BR79,0),0)</f>
        <v>0</v>
      </c>
      <c r="HN79" s="26">
        <f>IF(HN$2=InputTable[[#This Row],[Delivery Date]],_xlfn.XLOOKUP(HN$1,$BH$2:$BR$2,$BH79:$BR79,0),0)</f>
        <v>0</v>
      </c>
      <c r="HP79" s="26" t="e">
        <f>IF(HP$2=InputTable[[#This Row],[Delivery Date]],_xlfn.XLOOKUP(HP$1,$BH$2:$BR$2,$BH79:$BR79,0),0)</f>
        <v>#REF!</v>
      </c>
      <c r="HQ79" s="26">
        <f>IF(HQ$2=InputTable[[#This Row],[Delivery Date]],_xlfn.XLOOKUP(HQ$1,$BH$2:$BR$2,$BH79:$BR79,0),0)</f>
        <v>0</v>
      </c>
      <c r="HR79" s="26">
        <f>IF(HR$2=InputTable[[#This Row],[Delivery Date]],_xlfn.XLOOKUP(HR$1,$BH$2:$BR$2,$BH79:$BR79,0),0)</f>
        <v>0</v>
      </c>
      <c r="HS79" s="26">
        <f>IF(HS$2=InputTable[[#This Row],[Delivery Date]],_xlfn.XLOOKUP(HS$1,$BH$2:$BR$2,$BH79:$BR79,0),0)</f>
        <v>0</v>
      </c>
      <c r="HT79" s="26">
        <f>IF(HT$2=InputTable[[#This Row],[Delivery Date]],_xlfn.XLOOKUP(HT$1,$BH$2:$BR$2,$BH79:$BR79,0),0)</f>
        <v>0</v>
      </c>
      <c r="HU79" s="26">
        <f>IF(HU$2=InputTable[[#This Row],[Delivery Date]],_xlfn.XLOOKUP(HU$1,$BH$2:$BR$2,$BH79:$BR79,0),0)</f>
        <v>0</v>
      </c>
      <c r="HV79" s="26">
        <f>IF(HV$2=InputTable[[#This Row],[Delivery Date]],_xlfn.XLOOKUP(HV$1,$BH$2:$BR$2,$BH79:$BR79,0),0)</f>
        <v>0</v>
      </c>
      <c r="HW79" s="26">
        <f>IF(HW$2=InputTable[[#This Row],[Delivery Date]],_xlfn.XLOOKUP(HW$1,$BH$2:$BR$2,$BH79:$BR79,0),0)</f>
        <v>0</v>
      </c>
      <c r="HX79" s="26">
        <f>IF(HX$2=InputTable[[#This Row],[Delivery Date]],_xlfn.XLOOKUP(HX$1,$BH$2:$BR$2,$BH79:$BR79,0),0)</f>
        <v>0</v>
      </c>
      <c r="HZ79" s="26" t="e">
        <f>IF(HZ$2=InputTable[[#This Row],[Delivery Date]],_xlfn.XLOOKUP(HZ$1,$BH$2:$BR$2,$BH79:$BR79,0),0)</f>
        <v>#REF!</v>
      </c>
      <c r="IA79" s="26">
        <f>IF(IA$2=InputTable[[#This Row],[Delivery Date]],_xlfn.XLOOKUP(IA$1,$BH$2:$BR$2,$BH79:$BR79,0),0)</f>
        <v>0</v>
      </c>
      <c r="IB79" s="26">
        <f>IF(IB$2=InputTable[[#This Row],[Delivery Date]],_xlfn.XLOOKUP(IB$1,$BH$2:$BR$2,$BH79:$BR79,0),0)</f>
        <v>0</v>
      </c>
      <c r="IC79" s="26">
        <f>IF(IC$2=InputTable[[#This Row],[Delivery Date]],_xlfn.XLOOKUP(IC$1,$BH$2:$BR$2,$BH79:$BR79,0),0)</f>
        <v>0</v>
      </c>
      <c r="ID79" s="26">
        <f>IF(ID$2=InputTable[[#This Row],[Delivery Date]],_xlfn.XLOOKUP(ID$1,$BH$2:$BR$2,$BH79:$BR79,0),0)</f>
        <v>0</v>
      </c>
      <c r="IE79" s="26">
        <f>IF(IE$2=InputTable[[#This Row],[Delivery Date]],_xlfn.XLOOKUP(IE$1,$BH$2:$BR$2,$BH79:$BR79,0),0)</f>
        <v>0</v>
      </c>
      <c r="IF79" s="26">
        <f>IF(IF$2=InputTable[[#This Row],[Delivery Date]],_xlfn.XLOOKUP(IF$1,$BH$2:$BR$2,$BH79:$BR79,0),0)</f>
        <v>0</v>
      </c>
      <c r="IG79" s="26">
        <f>IF(IG$2=InputTable[[#This Row],[Delivery Date]],_xlfn.XLOOKUP(IG$1,$BH$2:$BR$2,$BH79:$BR79,0),0)</f>
        <v>0</v>
      </c>
      <c r="IH79" s="26">
        <f>IF(IH$2=InputTable[[#This Row],[Delivery Date]],_xlfn.XLOOKUP(IH$1,$BH$2:$BR$2,$BH79:$BR79,0),0)</f>
        <v>0</v>
      </c>
      <c r="IJ79" s="26" t="e">
        <f>IF(IJ$2=InputTable[[#This Row],[Delivery Date]],_xlfn.XLOOKUP(IJ$1,$BH$2:$BR$2,$BH79:$BR79,0),0)</f>
        <v>#REF!</v>
      </c>
      <c r="IK79" s="26">
        <f>IF(IK$2=InputTable[[#This Row],[Delivery Date]],_xlfn.XLOOKUP(IK$1,$BH$2:$BR$2,$BH79:$BR79,0),0)</f>
        <v>0</v>
      </c>
      <c r="IL79" s="26">
        <f>IF(IL$2=InputTable[[#This Row],[Delivery Date]],_xlfn.XLOOKUP(IL$1,$BH$2:$BR$2,$BH79:$BR79,0),0)</f>
        <v>0</v>
      </c>
      <c r="IM79" s="26">
        <f>IF(IM$2=InputTable[[#This Row],[Delivery Date]],_xlfn.XLOOKUP(IM$1,$BH$2:$BR$2,$BH79:$BR79,0),0)</f>
        <v>0</v>
      </c>
      <c r="IN79" s="26">
        <f>IF(IN$2=InputTable[[#This Row],[Delivery Date]],_xlfn.XLOOKUP(IN$1,$BH$2:$BR$2,$BH79:$BR79,0),0)</f>
        <v>0</v>
      </c>
      <c r="IO79" s="26">
        <f>IF(IO$2=InputTable[[#This Row],[Delivery Date]],_xlfn.XLOOKUP(IO$1,$BH$2:$BR$2,$BH79:$BR79,0),0)</f>
        <v>0</v>
      </c>
      <c r="IP79" s="26">
        <f>IF(IP$2=InputTable[[#This Row],[Delivery Date]],_xlfn.XLOOKUP(IP$1,$BH$2:$BR$2,$BH79:$BR79,0),0)</f>
        <v>0</v>
      </c>
      <c r="IQ79" s="26">
        <f>IF(IQ$2=InputTable[[#This Row],[Delivery Date]],_xlfn.XLOOKUP(IQ$1,$BH$2:$BR$2,$BH79:$BR79,0),0)</f>
        <v>0</v>
      </c>
      <c r="IR79" s="26">
        <f>IF(IR$2=InputTable[[#This Row],[Delivery Date]],_xlfn.XLOOKUP(IR$1,$BH$2:$BR$2,$BH79:$BR79,0),0)</f>
        <v>0</v>
      </c>
      <c r="IT79" s="26" t="e">
        <f>IF(IT$2=InputTable[[#This Row],[Delivery Date]],_xlfn.XLOOKUP(IT$1,$BH$2:$BR$2,$BH79:$BR79,0),0)</f>
        <v>#REF!</v>
      </c>
      <c r="IU79" s="26">
        <f>IF(IU$2=InputTable[[#This Row],[Delivery Date]],_xlfn.XLOOKUP(IU$1,$BH$2:$BR$2,$BH79:$BR79,0),0)</f>
        <v>0</v>
      </c>
      <c r="IV79" s="26">
        <f>IF(IV$2=InputTable[[#This Row],[Delivery Date]],_xlfn.XLOOKUP(IV$1,$BH$2:$BR$2,$BH79:$BR79,0),0)</f>
        <v>0</v>
      </c>
      <c r="IW79" s="26">
        <f>IF(IW$2=InputTable[[#This Row],[Delivery Date]],_xlfn.XLOOKUP(IW$1,$BH$2:$BR$2,$BH79:$BR79,0),0)</f>
        <v>0</v>
      </c>
      <c r="IX79" s="26">
        <f>IF(IX$2=InputTable[[#This Row],[Delivery Date]],_xlfn.XLOOKUP(IX$1,$BH$2:$BR$2,$BH79:$BR79,0),0)</f>
        <v>0</v>
      </c>
      <c r="IY79" s="26">
        <f>IF(IY$2=InputTable[[#This Row],[Delivery Date]],_xlfn.XLOOKUP(IY$1,$BH$2:$BR$2,$BH79:$BR79,0),0)</f>
        <v>0</v>
      </c>
      <c r="IZ79" s="26">
        <f>IF(IZ$2=InputTable[[#This Row],[Delivery Date]],_xlfn.XLOOKUP(IZ$1,$BH$2:$BR$2,$BH79:$BR79,0),0)</f>
        <v>0</v>
      </c>
      <c r="JA79" s="26">
        <f>IF(JA$2=InputTable[[#This Row],[Delivery Date]],_xlfn.XLOOKUP(JA$1,$BH$2:$BR$2,$BH79:$BR79,0),0)</f>
        <v>0</v>
      </c>
      <c r="JB79" s="26">
        <f>IF(JB$2=InputTable[[#This Row],[Delivery Date]],_xlfn.XLOOKUP(JB$1,$BH$2:$BR$2,$BH79:$BR79,0),0)</f>
        <v>0</v>
      </c>
      <c r="JD79" s="26" t="e">
        <f>IF(JD$2=InputTable[[#This Row],[Delivery Date]],_xlfn.XLOOKUP(JD$1,$BH$2:$BR$2,$BH79:$BR79,0),0)</f>
        <v>#REF!</v>
      </c>
      <c r="JE79" s="26">
        <f>IF(JE$2=InputTable[[#This Row],[Delivery Date]],_xlfn.XLOOKUP(JE$1,$BH$2:$BR$2,$BH79:$BR79,0),0)</f>
        <v>0</v>
      </c>
      <c r="JF79" s="26">
        <f>IF(JF$2=InputTable[[#This Row],[Delivery Date]],_xlfn.XLOOKUP(JF$1,$BH$2:$BR$2,$BH79:$BR79,0),0)</f>
        <v>0</v>
      </c>
      <c r="JG79" s="26">
        <f>IF(JG$2=InputTable[[#This Row],[Delivery Date]],_xlfn.XLOOKUP(JG$1,$BH$2:$BR$2,$BH79:$BR79,0),0)</f>
        <v>0</v>
      </c>
      <c r="JH79" s="26">
        <f>IF(JH$2=InputTable[[#This Row],[Delivery Date]],_xlfn.XLOOKUP(JH$1,$BH$2:$BR$2,$BH79:$BR79,0),0)</f>
        <v>0</v>
      </c>
      <c r="JI79" s="26">
        <f>IF(JI$2=InputTable[[#This Row],[Delivery Date]],_xlfn.XLOOKUP(JI$1,$BH$2:$BR$2,$BH79:$BR79,0),0)</f>
        <v>0</v>
      </c>
      <c r="JJ79" s="26">
        <f>IF(JJ$2=InputTable[[#This Row],[Delivery Date]],_xlfn.XLOOKUP(JJ$1,$BH$2:$BR$2,$BH79:$BR79,0),0)</f>
        <v>0</v>
      </c>
      <c r="JK79" s="26">
        <f>IF(JK$2=InputTable[[#This Row],[Delivery Date]],_xlfn.XLOOKUP(JK$1,$BH$2:$BR$2,$BH79:$BR79,0),0)</f>
        <v>0</v>
      </c>
      <c r="JL79" s="26">
        <f>IF(JL$2=InputTable[[#This Row],[Delivery Date]],_xlfn.XLOOKUP(JL$1,$BH$2:$BR$2,$BH79:$BR79,0),0)</f>
        <v>0</v>
      </c>
      <c r="JN79" s="26" t="e">
        <f>IF(JN$2=InputTable[[#This Row],[Delivery Date]],_xlfn.XLOOKUP(JN$1,$BH$2:$BR$2,$BH79:$BR79,0),0)</f>
        <v>#REF!</v>
      </c>
      <c r="JO79" s="26">
        <f>IF(JO$2=InputTable[[#This Row],[Delivery Date]],_xlfn.XLOOKUP(JO$1,$BH$2:$BR$2,$BH79:$BR79,0),0)</f>
        <v>0</v>
      </c>
      <c r="JP79" s="26">
        <f>IF(JP$2=InputTable[[#This Row],[Delivery Date]],_xlfn.XLOOKUP(JP$1,$BH$2:$BR$2,$BH79:$BR79,0),0)</f>
        <v>0</v>
      </c>
      <c r="JQ79" s="26">
        <f>IF(JQ$2=InputTable[[#This Row],[Delivery Date]],_xlfn.XLOOKUP(JQ$1,$BH$2:$BR$2,$BH79:$BR79,0),0)</f>
        <v>0</v>
      </c>
      <c r="JR79" s="26">
        <f>IF(JR$2=InputTable[[#This Row],[Delivery Date]],_xlfn.XLOOKUP(JR$1,$BH$2:$BR$2,$BH79:$BR79,0),0)</f>
        <v>0</v>
      </c>
      <c r="JS79" s="26">
        <f>IF(JS$2=InputTable[[#This Row],[Delivery Date]],_xlfn.XLOOKUP(JS$1,$BH$2:$BR$2,$BH79:$BR79,0),0)</f>
        <v>0</v>
      </c>
      <c r="JT79" s="26">
        <f>IF(JT$2=InputTable[[#This Row],[Delivery Date]],_xlfn.XLOOKUP(JT$1,$BH$2:$BR$2,$BH79:$BR79,0),0)</f>
        <v>0</v>
      </c>
      <c r="JU79" s="26">
        <f>IF(JU$2=InputTable[[#This Row],[Delivery Date]],_xlfn.XLOOKUP(JU$1,$BH$2:$BR$2,$BH79:$BR79,0),0)</f>
        <v>0</v>
      </c>
      <c r="JV79" s="26">
        <f>IF(JV$2=InputTable[[#This Row],[Delivery Date]],_xlfn.XLOOKUP(JV$1,$BH$2:$BR$2,$BH79:$BR79,0),0)</f>
        <v>0</v>
      </c>
      <c r="JX79" s="26" t="e">
        <f>IF(JX$2=InputTable[[#This Row],[Delivery Date]],_xlfn.XLOOKUP(JX$1,$BH$2:$BR$2,$BH79:$BR79,0),0)</f>
        <v>#REF!</v>
      </c>
      <c r="JY79" s="26">
        <f>IF(JY$2=InputTable[[#This Row],[Delivery Date]],_xlfn.XLOOKUP(JY$1,$BH$2:$BR$2,$BH79:$BR79,0),0)</f>
        <v>0</v>
      </c>
      <c r="JZ79" s="26">
        <f>IF(JZ$2=InputTable[[#This Row],[Delivery Date]],_xlfn.XLOOKUP(JZ$1,$BH$2:$BR$2,$BH79:$BR79,0),0)</f>
        <v>0</v>
      </c>
      <c r="KA79" s="26">
        <f>IF(KA$2=InputTable[[#This Row],[Delivery Date]],_xlfn.XLOOKUP(KA$1,$BH$2:$BR$2,$BH79:$BR79,0),0)</f>
        <v>0</v>
      </c>
      <c r="KB79" s="26">
        <f>IF(KB$2=InputTable[[#This Row],[Delivery Date]],_xlfn.XLOOKUP(KB$1,$BH$2:$BR$2,$BH79:$BR79,0),0)</f>
        <v>0</v>
      </c>
      <c r="KC79" s="26">
        <f>IF(KC$2=InputTable[[#This Row],[Delivery Date]],_xlfn.XLOOKUP(KC$1,$BH$2:$BR$2,$BH79:$BR79,0),0)</f>
        <v>0</v>
      </c>
      <c r="KD79" s="26">
        <f>IF(KD$2=InputTable[[#This Row],[Delivery Date]],_xlfn.XLOOKUP(KD$1,$BH$2:$BR$2,$BH79:$BR79,0),0)</f>
        <v>0</v>
      </c>
      <c r="KE79" s="26">
        <f>IF(KE$2=InputTable[[#This Row],[Delivery Date]],_xlfn.XLOOKUP(KE$1,$BH$2:$BR$2,$BH79:$BR79,0),0)</f>
        <v>0</v>
      </c>
      <c r="KF79" s="26">
        <f>IF(KF$2=InputTable[[#This Row],[Delivery Date]],_xlfn.XLOOKUP(KF$1,$BH$2:$BR$2,$BH79:$BR79,0),0)</f>
        <v>0</v>
      </c>
    </row>
    <row r="80" spans="1:292" ht="39.6" hidden="1" customHeight="1" x14ac:dyDescent="0.25">
      <c r="A80" s="141" t="s">
        <v>162</v>
      </c>
      <c r="B80" s="141" t="s">
        <v>156</v>
      </c>
      <c r="C80" s="92" t="s">
        <v>57</v>
      </c>
      <c r="D80" s="125" t="s">
        <v>353</v>
      </c>
      <c r="E80" s="142" t="s">
        <v>354</v>
      </c>
      <c r="F80" s="98" t="s">
        <v>61</v>
      </c>
      <c r="G80" s="92" t="s">
        <v>160</v>
      </c>
      <c r="H80" s="102"/>
      <c r="I80" s="98" t="s">
        <v>137</v>
      </c>
      <c r="J80" s="126" t="s">
        <v>152</v>
      </c>
      <c r="K80" s="95" t="e">
        <f>VLOOKUP((InputTable[[#This Row],[Starting Date]]&amp; " - " &amp;InputTable[[#This Row],[Delivery Date]]),'System List'!$F$40:$H$83,2,FALSE)</f>
        <v>#N/A</v>
      </c>
      <c r="L80" s="95" t="e">
        <f>VLOOKUP(InputTable[[#This Row],[Duration]],Duration,2,FALSE)</f>
        <v>#N/A</v>
      </c>
      <c r="M80" s="126"/>
      <c r="N80" s="98"/>
      <c r="O80" s="98"/>
      <c r="P80" s="98" t="s">
        <v>111</v>
      </c>
      <c r="Q80" s="98" t="s">
        <v>139</v>
      </c>
      <c r="R80" s="98"/>
      <c r="S80" s="92"/>
      <c r="T80" s="95" cm="1">
        <f t="array" ref="T8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1.8</v>
      </c>
      <c r="U80" s="138"/>
      <c r="V80" s="98"/>
      <c r="W80" s="98" t="s">
        <v>139</v>
      </c>
      <c r="X80" s="98"/>
      <c r="Y80" s="98"/>
      <c r="Z80" s="98"/>
      <c r="AA80" s="100"/>
      <c r="AB80" s="100"/>
      <c r="AC80" s="98"/>
      <c r="AD80" s="92">
        <f>COUNTA(InputTable[[#This Row],[CORPHRFIN]:[SALES]])</f>
        <v>1</v>
      </c>
      <c r="AE80" s="88" cm="1">
        <f t="array" ref="AE80">SUM(
_xlfn.XLOOKUP(InputTable[[#This Row],[CORPHRFIN]:[SALES]],'System List'!$F$4:$F$7,'System List'!$H$4:$H$7,0))</f>
        <v>8</v>
      </c>
      <c r="AF80" s="140"/>
      <c r="AG80" s="101"/>
      <c r="AH80" s="101"/>
      <c r="AI80" s="101"/>
      <c r="AJ80" s="101"/>
      <c r="AK80" s="101"/>
      <c r="AL80" s="101"/>
      <c r="AM80" s="101" t="s">
        <v>111</v>
      </c>
      <c r="AN80" s="101"/>
      <c r="AO80" s="101"/>
      <c r="AP80" s="101"/>
      <c r="AQ80" s="101"/>
      <c r="AR80" s="88" cm="1">
        <f t="array" ref="AR80">SUM(
_xlfn.XLOOKUP(InputTable[[#This Row],[Impact on - CIAL]:[Impact on - STRAT]],'System List'!$F$4:$F$7,'System List'!$H$4:$H$7,0))</f>
        <v>5</v>
      </c>
      <c r="AS80" s="88" t="e">
        <f>VLOOKUP(InputTable[[#This Row],[Duration]],Duration,2,FALSE)+InputTable[[#This Row],[Resource Score]]</f>
        <v>#N/A</v>
      </c>
      <c r="AT8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0" s="24" t="e">
        <f>InputTable[[#This Row],[Value Score]]/InputTable[[#This Row],[EFFORT SCORE]]*100</f>
        <v>#N/A</v>
      </c>
      <c r="AV80" s="25" t="str">
        <f>InputTable[[#This Row],[IS Portfolio Ref ID]]</f>
        <v>ISPRJ-59</v>
      </c>
      <c r="AW80" s="25" t="s">
        <v>131</v>
      </c>
      <c r="AX80" s="208" t="s">
        <v>154</v>
      </c>
      <c r="AY80" s="25"/>
      <c r="AZ80" s="209">
        <v>0</v>
      </c>
      <c r="BA80" s="209">
        <v>77484.297600000005</v>
      </c>
      <c r="BB80" s="209"/>
      <c r="BC80" s="189">
        <f>SUM(InputTable[[#This Row],[Opex IS Budget (full project)]]+InputTable[[#This Row],[Capex IS Budget (full project)]])</f>
        <v>77484.297600000005</v>
      </c>
      <c r="BD80" s="188">
        <v>1</v>
      </c>
      <c r="BE80" s="188"/>
      <c r="BF80" s="70"/>
      <c r="BH80" s="2">
        <f>IFERROR(VLOOKUP(InputTable[[#This Row],[Impact on - CIAL]],'System List'!$F$4:$H$7,3,FALSE),0)</f>
        <v>0</v>
      </c>
      <c r="BI80" s="2">
        <f>IFERROR(VLOOKUP(InputTable[[#This Row],[Impact on - COM]],'System List'!$F$4:$H$7,3,FALSE),0)</f>
        <v>0</v>
      </c>
      <c r="BJ80" s="2">
        <f>IFERROR(VLOOKUP(InputTable[[#This Row],[Impact on - FIN]],'System List'!$F$4:$H$7,3,FALSE),0)</f>
        <v>0</v>
      </c>
      <c r="BK80" s="2">
        <f>IFERROR(VLOOKUP(InputTable[[#This Row],[Impact on - GEN SEC]],'System List'!$F$4:$H$7,3,FALSE),0)</f>
        <v>0</v>
      </c>
      <c r="BL80" s="2">
        <f>IFERROR(VLOOKUP(InputTable[[#This Row],[Impact on - HR]],'System List'!$F$4:$H$7,3,FALSE),0)</f>
        <v>0</v>
      </c>
      <c r="BM80" s="2">
        <f>IFERROR(VLOOKUP(InputTable[[#This Row],[Impact on - IS]],'System List'!$F$4:$H$7,3,FALSE),0)</f>
        <v>0</v>
      </c>
      <c r="BN80" s="2">
        <f>IFERROR(VLOOKUP(InputTable[[#This Row],[Impact on - OPS]],'System List'!$F$4:$H$7,3,FALSE),0)</f>
        <v>5</v>
      </c>
      <c r="BO80" s="2">
        <f>IFERROR(VLOOKUP(InputTable[[#This Row],[Impact on - ROLL STOCK]],'System List'!$F$4:$H$7,3,FALSE),0)</f>
        <v>0</v>
      </c>
      <c r="BP80" s="2">
        <f>IFERROR(VLOOKUP(InputTable[[#This Row],[Impact on - SAFETY]],'System List'!$F$4:$H$7,3,FALSE),0)</f>
        <v>0</v>
      </c>
      <c r="BQ80" s="2">
        <f>IFERROR(VLOOKUP(InputTable[[#This Row],[Impact on - STATION]],'System List'!$F$4:$H$7,3,FALSE),0)</f>
        <v>0</v>
      </c>
      <c r="BR80" s="2">
        <f>IFERROR(VLOOKUP(InputTable[[#This Row],[Impact on - STRAT]],'System List'!$F$4:$H$7,3,FALSE),0)</f>
        <v>0</v>
      </c>
      <c r="BT80" s="2">
        <f>IFERROR(VLOOKUP(InputTable[[#This Row],[CORPHRFIN]],'System List'!$F$4:$H$7,3,FALSE),0)</f>
        <v>0</v>
      </c>
      <c r="BU80" s="2">
        <f>IFERROR(VLOOKUP(InputTable[[#This Row],[CUST]],'System List'!$F$4:$H$7,3,FALSE),0)</f>
        <v>8</v>
      </c>
      <c r="BV80" s="2">
        <f>IFERROR(VLOOKUP(InputTable[[#This Row],[CYBER]],'System List'!$F$4:$H$7,3,FALSE),0)</f>
        <v>0</v>
      </c>
      <c r="BW80" s="2">
        <f>IFERROR(VLOOKUP(InputTable[[#This Row],[DATA]],'System List'!$F$4:$H$7,3,FALSE),0)</f>
        <v>0</v>
      </c>
      <c r="BX80" s="2">
        <f>IFERROR(VLOOKUP(InputTable[[#This Row],[INFRA]],'System List'!$F$4:$H$7,3,FALSE),0)</f>
        <v>0</v>
      </c>
      <c r="BY80" s="2">
        <f>IFERROR(VLOOKUP(InputTable[[#This Row],[OPERATIONS]],'System List'!$F$4:$H$7,3,FALSE),0)</f>
        <v>0</v>
      </c>
      <c r="BZ80" s="2">
        <f>IFERROR(VLOOKUP(InputTable[[#This Row],[PMO]],'System List'!$F$4:$H$7,3,FALSE),0)</f>
        <v>0</v>
      </c>
      <c r="CA80" s="2">
        <f>IFERROR(VLOOKUP(InputTable[[#This Row],[SALES]],'System List'!$F$4:$H$7,3,FALSE),0)</f>
        <v>0</v>
      </c>
      <c r="CC80" s="2" cm="1">
        <f t="array" ref="CC8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0" s="2" cm="1">
        <f t="array" ref="CD8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0" s="2" cm="1">
        <f t="array" ref="CE8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0" s="2" cm="1">
        <f t="array" ref="CF8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0" s="2" cm="1">
        <f t="array" ref="CG8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0" s="2" cm="1">
        <f t="array" ref="CH8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0" s="2" cm="1">
        <f t="array" ref="CI8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0" s="2" cm="1">
        <f t="array" ref="CJ8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0" s="2" cm="1">
        <f t="array" ref="CK8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8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0" s="26">
        <f t="shared" si="224"/>
        <v>0</v>
      </c>
      <c r="CY80" s="26">
        <f t="shared" si="225"/>
        <v>0</v>
      </c>
      <c r="CZ80" s="26">
        <f t="shared" si="226"/>
        <v>0</v>
      </c>
      <c r="DA80" s="26">
        <f t="shared" si="227"/>
        <v>0</v>
      </c>
      <c r="DB80" s="26">
        <f t="shared" si="228"/>
        <v>0</v>
      </c>
      <c r="DC80" s="26">
        <f t="shared" si="229"/>
        <v>0</v>
      </c>
      <c r="DD80" s="26">
        <f t="shared" si="230"/>
        <v>0</v>
      </c>
      <c r="DE80" s="26">
        <f t="shared" si="231"/>
        <v>0</v>
      </c>
      <c r="DF80" s="26">
        <f t="shared" si="232"/>
        <v>0</v>
      </c>
      <c r="DH80" s="26">
        <f t="shared" si="233"/>
        <v>0</v>
      </c>
      <c r="DI80" s="26">
        <f t="shared" si="234"/>
        <v>0</v>
      </c>
      <c r="DJ80" s="26">
        <f t="shared" si="235"/>
        <v>0</v>
      </c>
      <c r="DK80" s="26">
        <f t="shared" si="236"/>
        <v>8</v>
      </c>
      <c r="DL80" s="26">
        <f t="shared" si="237"/>
        <v>8</v>
      </c>
      <c r="DM80" s="26">
        <f t="shared" si="238"/>
        <v>0</v>
      </c>
      <c r="DN80" s="26">
        <f t="shared" si="239"/>
        <v>0</v>
      </c>
      <c r="DO80" s="26">
        <f t="shared" si="240"/>
        <v>0</v>
      </c>
      <c r="DP80" s="26">
        <f t="shared" si="241"/>
        <v>0</v>
      </c>
      <c r="DR80" s="26">
        <f t="shared" si="242"/>
        <v>0</v>
      </c>
      <c r="DS80" s="26">
        <f t="shared" si="243"/>
        <v>0</v>
      </c>
      <c r="DT80" s="26">
        <f t="shared" si="244"/>
        <v>0</v>
      </c>
      <c r="DU80" s="26">
        <f t="shared" si="245"/>
        <v>0</v>
      </c>
      <c r="DV80" s="26">
        <f t="shared" si="246"/>
        <v>0</v>
      </c>
      <c r="DW80" s="26">
        <f t="shared" si="247"/>
        <v>0</v>
      </c>
      <c r="DX80" s="26">
        <f t="shared" si="248"/>
        <v>0</v>
      </c>
      <c r="DY80" s="26">
        <f t="shared" si="249"/>
        <v>0</v>
      </c>
      <c r="DZ80" s="26">
        <f t="shared" si="250"/>
        <v>0</v>
      </c>
      <c r="EB80" s="26">
        <f t="shared" si="251"/>
        <v>0</v>
      </c>
      <c r="EC80" s="26">
        <f t="shared" si="252"/>
        <v>0</v>
      </c>
      <c r="ED80" s="26">
        <f t="shared" si="253"/>
        <v>0</v>
      </c>
      <c r="EE80" s="26">
        <f t="shared" si="254"/>
        <v>0</v>
      </c>
      <c r="EF80" s="26">
        <f t="shared" si="255"/>
        <v>0</v>
      </c>
      <c r="EG80" s="26">
        <f t="shared" si="256"/>
        <v>0</v>
      </c>
      <c r="EH80" s="26">
        <f t="shared" si="257"/>
        <v>0</v>
      </c>
      <c r="EI80" s="26">
        <f t="shared" si="258"/>
        <v>0</v>
      </c>
      <c r="EJ80" s="26">
        <f t="shared" si="259"/>
        <v>0</v>
      </c>
      <c r="EL80" s="26">
        <f t="shared" si="260"/>
        <v>0</v>
      </c>
      <c r="EM80" s="26">
        <f t="shared" si="261"/>
        <v>0</v>
      </c>
      <c r="EN80" s="26">
        <f t="shared" si="262"/>
        <v>0</v>
      </c>
      <c r="EO80" s="26">
        <f t="shared" si="263"/>
        <v>0</v>
      </c>
      <c r="EP80" s="26">
        <f t="shared" si="264"/>
        <v>0</v>
      </c>
      <c r="EQ80" s="26">
        <f t="shared" si="265"/>
        <v>0</v>
      </c>
      <c r="ER80" s="26">
        <f t="shared" si="266"/>
        <v>0</v>
      </c>
      <c r="ES80" s="26">
        <f t="shared" si="267"/>
        <v>0</v>
      </c>
      <c r="ET80" s="26">
        <f t="shared" si="268"/>
        <v>0</v>
      </c>
      <c r="EV80" s="26">
        <f t="shared" si="269"/>
        <v>0</v>
      </c>
      <c r="EW80" s="26">
        <f t="shared" si="270"/>
        <v>0</v>
      </c>
      <c r="EX80" s="26">
        <f t="shared" si="271"/>
        <v>0</v>
      </c>
      <c r="EY80" s="26">
        <f t="shared" si="272"/>
        <v>0</v>
      </c>
      <c r="EZ80" s="26">
        <f t="shared" si="273"/>
        <v>0</v>
      </c>
      <c r="FA80" s="26">
        <f t="shared" si="274"/>
        <v>0</v>
      </c>
      <c r="FB80" s="26">
        <f t="shared" si="275"/>
        <v>0</v>
      </c>
      <c r="FC80" s="26">
        <f t="shared" si="276"/>
        <v>0</v>
      </c>
      <c r="FD80" s="26">
        <f t="shared" si="277"/>
        <v>0</v>
      </c>
      <c r="FF80" s="26">
        <f t="shared" si="278"/>
        <v>0</v>
      </c>
      <c r="FG80" s="26">
        <f t="shared" si="279"/>
        <v>0</v>
      </c>
      <c r="FH80" s="26">
        <f t="shared" si="280"/>
        <v>0</v>
      </c>
      <c r="FI80" s="26">
        <f t="shared" si="281"/>
        <v>0</v>
      </c>
      <c r="FJ80" s="26">
        <f t="shared" si="282"/>
        <v>0</v>
      </c>
      <c r="FK80" s="26">
        <f t="shared" si="283"/>
        <v>0</v>
      </c>
      <c r="FL80" s="26">
        <f t="shared" si="284"/>
        <v>0</v>
      </c>
      <c r="FM80" s="26">
        <f t="shared" si="285"/>
        <v>0</v>
      </c>
      <c r="FN80" s="26">
        <f t="shared" si="286"/>
        <v>0</v>
      </c>
      <c r="FP80" s="26" t="e">
        <f t="shared" si="287"/>
        <v>#REF!</v>
      </c>
      <c r="FQ80" s="26" t="e">
        <f t="shared" si="288"/>
        <v>#REF!</v>
      </c>
      <c r="FR80" s="26" t="e">
        <f t="shared" si="289"/>
        <v>#REF!</v>
      </c>
      <c r="FS80" s="26" t="e">
        <f t="shared" si="290"/>
        <v>#REF!</v>
      </c>
      <c r="FT80" s="26" t="e">
        <f t="shared" si="291"/>
        <v>#REF!</v>
      </c>
      <c r="FU80" s="26" t="e">
        <f t="shared" si="292"/>
        <v>#REF!</v>
      </c>
      <c r="FV80" s="26" t="e">
        <f t="shared" si="293"/>
        <v>#REF!</v>
      </c>
      <c r="FW80" s="26" t="e">
        <f t="shared" si="294"/>
        <v>#REF!</v>
      </c>
      <c r="FX80" s="26" t="e">
        <f t="shared" si="295"/>
        <v>#REF!</v>
      </c>
      <c r="GB80" s="26" t="e">
        <f>IF(GB$2=InputTable[[#This Row],[Delivery Date]],_xlfn.XLOOKUP(GB$1,$BH$2:$BR$2,$BH80:$BR80,0),0)</f>
        <v>#REF!</v>
      </c>
      <c r="GC80" s="26">
        <f>IF(GC$2=InputTable[[#This Row],[Delivery Date]],_xlfn.XLOOKUP(GC$1,$BH$2:$BR$2,$BH80:$BR80,0),0)</f>
        <v>0</v>
      </c>
      <c r="GD80" s="26">
        <f>IF(GD$2=InputTable[[#This Row],[Delivery Date]],_xlfn.XLOOKUP(GD$1,$BH$2:$BR$2,$BH80:$BR80,0),0)</f>
        <v>0</v>
      </c>
      <c r="GE80" s="26">
        <f>IF(GE$2=InputTable[[#This Row],[Delivery Date]],_xlfn.XLOOKUP(GE$1,$BH$2:$BR$2,$BH80:$BR80,0),0)</f>
        <v>0</v>
      </c>
      <c r="GF80" s="26">
        <f>IF(GF$2=InputTable[[#This Row],[Delivery Date]],_xlfn.XLOOKUP(GF$1,$BH$2:$BR$2,$BH80:$BR80,0),0)</f>
        <v>0</v>
      </c>
      <c r="GG80" s="26">
        <f>IF(GG$2=InputTable[[#This Row],[Delivery Date]],_xlfn.XLOOKUP(GG$1,$BH$2:$BR$2,$BH80:$BR80,0),0)</f>
        <v>0</v>
      </c>
      <c r="GH80" s="26">
        <f>IF(GH$2=InputTable[[#This Row],[Delivery Date]],_xlfn.XLOOKUP(GH$1,$BH$2:$BR$2,$BH80:$BR80,0),0)</f>
        <v>0</v>
      </c>
      <c r="GI80" s="26">
        <f>IF(GI$2=InputTable[[#This Row],[Delivery Date]],_xlfn.XLOOKUP(GI$1,$BH$2:$BR$2,$BH80:$BR80,0),0)</f>
        <v>0</v>
      </c>
      <c r="GJ80" s="26">
        <f>IF(GJ$2=InputTable[[#This Row],[Delivery Date]],_xlfn.XLOOKUP(GJ$1,$BH$2:$BR$2,$BH80:$BR80,0),0)</f>
        <v>0</v>
      </c>
      <c r="GL80" s="26" t="e">
        <f>IF(GL$2=InputTable[[#This Row],[Delivery Date]],_xlfn.XLOOKUP(GL$1,$BH$2:$BR$2,$BH80:$BR80,0),0)</f>
        <v>#REF!</v>
      </c>
      <c r="GM80" s="26">
        <f>IF(GM$2=InputTable[[#This Row],[Delivery Date]],_xlfn.XLOOKUP(GM$1,$BH$2:$BR$2,$BH80:$BR80,0),0)</f>
        <v>0</v>
      </c>
      <c r="GN80" s="26">
        <f>IF(GN$2=InputTable[[#This Row],[Delivery Date]],_xlfn.XLOOKUP(GN$1,$BH$2:$BR$2,$BH80:$BR80,0),0)</f>
        <v>0</v>
      </c>
      <c r="GO80" s="26">
        <f>IF(GO$2=InputTable[[#This Row],[Delivery Date]],_xlfn.XLOOKUP(GO$1,$BH$2:$BR$2,$BH80:$BR80,0),0)</f>
        <v>0</v>
      </c>
      <c r="GP80" s="26">
        <f>IF(GP$2=InputTable[[#This Row],[Delivery Date]],_xlfn.XLOOKUP(GP$1,$BH$2:$BR$2,$BH80:$BR80,0),0)</f>
        <v>0</v>
      </c>
      <c r="GQ80" s="26">
        <f>IF(GQ$2=InputTable[[#This Row],[Delivery Date]],_xlfn.XLOOKUP(GQ$1,$BH$2:$BR$2,$BH80:$BR80,0),0)</f>
        <v>0</v>
      </c>
      <c r="GR80" s="26">
        <f>IF(GR$2=InputTable[[#This Row],[Delivery Date]],_xlfn.XLOOKUP(GR$1,$BH$2:$BR$2,$BH80:$BR80,0),0)</f>
        <v>0</v>
      </c>
      <c r="GS80" s="26">
        <f>IF(GS$2=InputTable[[#This Row],[Delivery Date]],_xlfn.XLOOKUP(GS$1,$BH$2:$BR$2,$BH80:$BR80,0),0)</f>
        <v>0</v>
      </c>
      <c r="GT80" s="26">
        <f>IF(GT$2=InputTable[[#This Row],[Delivery Date]],_xlfn.XLOOKUP(GT$1,$BH$2:$BR$2,$BH80:$BR80,0),0)</f>
        <v>0</v>
      </c>
      <c r="GV80" s="26" t="e">
        <f>IF(GV$2=InputTable[[#This Row],[Delivery Date]],_xlfn.XLOOKUP(GV$1,$BH$2:$BR$2,$BH80:$BR80,0),0)</f>
        <v>#REF!</v>
      </c>
      <c r="GW80" s="26">
        <f>IF(GW$2=InputTable[[#This Row],[Delivery Date]],_xlfn.XLOOKUP(GW$1,$BH$2:$BR$2,$BH80:$BR80,0),0)</f>
        <v>0</v>
      </c>
      <c r="GX80" s="26">
        <f>IF(GX$2=InputTable[[#This Row],[Delivery Date]],_xlfn.XLOOKUP(GX$1,$BH$2:$BR$2,$BH80:$BR80,0),0)</f>
        <v>0</v>
      </c>
      <c r="GY80" s="26">
        <f>IF(GY$2=InputTable[[#This Row],[Delivery Date]],_xlfn.XLOOKUP(GY$1,$BH$2:$BR$2,$BH80:$BR80,0),0)</f>
        <v>0</v>
      </c>
      <c r="GZ80" s="26">
        <f>IF(GZ$2=InputTable[[#This Row],[Delivery Date]],_xlfn.XLOOKUP(GZ$1,$BH$2:$BR$2,$BH80:$BR80,0),0)</f>
        <v>0</v>
      </c>
      <c r="HA80" s="26">
        <f>IF(HA$2=InputTable[[#This Row],[Delivery Date]],_xlfn.XLOOKUP(HA$1,$BH$2:$BR$2,$BH80:$BR80,0),0)</f>
        <v>0</v>
      </c>
      <c r="HB80" s="26">
        <f>IF(HB$2=InputTable[[#This Row],[Delivery Date]],_xlfn.XLOOKUP(HB$1,$BH$2:$BR$2,$BH80:$BR80,0),0)</f>
        <v>0</v>
      </c>
      <c r="HC80" s="26">
        <f>IF(HC$2=InputTable[[#This Row],[Delivery Date]],_xlfn.XLOOKUP(HC$1,$BH$2:$BR$2,$BH80:$BR80,0),0)</f>
        <v>0</v>
      </c>
      <c r="HD80" s="26">
        <f>IF(HD$2=InputTable[[#This Row],[Delivery Date]],_xlfn.XLOOKUP(HD$1,$BH$2:$BR$2,$BH80:$BR80,0),0)</f>
        <v>0</v>
      </c>
      <c r="HF80" s="26" t="e">
        <f>IF(HF$2=InputTable[[#This Row],[Delivery Date]],_xlfn.XLOOKUP(HF$1,$BH$2:$BR$2,$BH80:$BR80,0),0)</f>
        <v>#REF!</v>
      </c>
      <c r="HG80" s="26">
        <f>IF(HG$2=InputTable[[#This Row],[Delivery Date]],_xlfn.XLOOKUP(HG$1,$BH$2:$BR$2,$BH80:$BR80,0),0)</f>
        <v>0</v>
      </c>
      <c r="HH80" s="26">
        <f>IF(HH$2=InputTable[[#This Row],[Delivery Date]],_xlfn.XLOOKUP(HH$1,$BH$2:$BR$2,$BH80:$BR80,0),0)</f>
        <v>0</v>
      </c>
      <c r="HI80" s="26">
        <f>IF(HI$2=InputTable[[#This Row],[Delivery Date]],_xlfn.XLOOKUP(HI$1,$BH$2:$BR$2,$BH80:$BR80,0),0)</f>
        <v>0</v>
      </c>
      <c r="HJ80" s="26">
        <f>IF(HJ$2=InputTable[[#This Row],[Delivery Date]],_xlfn.XLOOKUP(HJ$1,$BH$2:$BR$2,$BH80:$BR80,0),0)</f>
        <v>0</v>
      </c>
      <c r="HK80" s="26">
        <f>IF(HK$2=InputTable[[#This Row],[Delivery Date]],_xlfn.XLOOKUP(HK$1,$BH$2:$BR$2,$BH80:$BR80,0),0)</f>
        <v>0</v>
      </c>
      <c r="HL80" s="26">
        <f>IF(HL$2=InputTable[[#This Row],[Delivery Date]],_xlfn.XLOOKUP(HL$1,$BH$2:$BR$2,$BH80:$BR80,0),0)</f>
        <v>0</v>
      </c>
      <c r="HM80" s="26">
        <f>IF(HM$2=InputTable[[#This Row],[Delivery Date]],_xlfn.XLOOKUP(HM$1,$BH$2:$BR$2,$BH80:$BR80,0),0)</f>
        <v>0</v>
      </c>
      <c r="HN80" s="26">
        <f>IF(HN$2=InputTable[[#This Row],[Delivery Date]],_xlfn.XLOOKUP(HN$1,$BH$2:$BR$2,$BH80:$BR80,0),0)</f>
        <v>0</v>
      </c>
      <c r="HP80" s="26" t="e">
        <f>IF(HP$2=InputTable[[#This Row],[Delivery Date]],_xlfn.XLOOKUP(HP$1,$BH$2:$BR$2,$BH80:$BR80,0),0)</f>
        <v>#REF!</v>
      </c>
      <c r="HQ80" s="26">
        <f>IF(HQ$2=InputTable[[#This Row],[Delivery Date]],_xlfn.XLOOKUP(HQ$1,$BH$2:$BR$2,$BH80:$BR80,0),0)</f>
        <v>0</v>
      </c>
      <c r="HR80" s="26">
        <f>IF(HR$2=InputTable[[#This Row],[Delivery Date]],_xlfn.XLOOKUP(HR$1,$BH$2:$BR$2,$BH80:$BR80,0),0)</f>
        <v>0</v>
      </c>
      <c r="HS80" s="26">
        <f>IF(HS$2=InputTable[[#This Row],[Delivery Date]],_xlfn.XLOOKUP(HS$1,$BH$2:$BR$2,$BH80:$BR80,0),0)</f>
        <v>0</v>
      </c>
      <c r="HT80" s="26">
        <f>IF(HT$2=InputTable[[#This Row],[Delivery Date]],_xlfn.XLOOKUP(HT$1,$BH$2:$BR$2,$BH80:$BR80,0),0)</f>
        <v>0</v>
      </c>
      <c r="HU80" s="26">
        <f>IF(HU$2=InputTable[[#This Row],[Delivery Date]],_xlfn.XLOOKUP(HU$1,$BH$2:$BR$2,$BH80:$BR80,0),0)</f>
        <v>0</v>
      </c>
      <c r="HV80" s="26">
        <f>IF(HV$2=InputTable[[#This Row],[Delivery Date]],_xlfn.XLOOKUP(HV$1,$BH$2:$BR$2,$BH80:$BR80,0),0)</f>
        <v>0</v>
      </c>
      <c r="HW80" s="26">
        <f>IF(HW$2=InputTable[[#This Row],[Delivery Date]],_xlfn.XLOOKUP(HW$1,$BH$2:$BR$2,$BH80:$BR80,0),0)</f>
        <v>0</v>
      </c>
      <c r="HX80" s="26">
        <f>IF(HX$2=InputTable[[#This Row],[Delivery Date]],_xlfn.XLOOKUP(HX$1,$BH$2:$BR$2,$BH80:$BR80,0),0)</f>
        <v>0</v>
      </c>
      <c r="HZ80" s="26" t="e">
        <f>IF(HZ$2=InputTable[[#This Row],[Delivery Date]],_xlfn.XLOOKUP(HZ$1,$BH$2:$BR$2,$BH80:$BR80,0),0)</f>
        <v>#REF!</v>
      </c>
      <c r="IA80" s="26">
        <f>IF(IA$2=InputTable[[#This Row],[Delivery Date]],_xlfn.XLOOKUP(IA$1,$BH$2:$BR$2,$BH80:$BR80,0),0)</f>
        <v>0</v>
      </c>
      <c r="IB80" s="26">
        <f>IF(IB$2=InputTable[[#This Row],[Delivery Date]],_xlfn.XLOOKUP(IB$1,$BH$2:$BR$2,$BH80:$BR80,0),0)</f>
        <v>0</v>
      </c>
      <c r="IC80" s="26">
        <f>IF(IC$2=InputTable[[#This Row],[Delivery Date]],_xlfn.XLOOKUP(IC$1,$BH$2:$BR$2,$BH80:$BR80,0),0)</f>
        <v>0</v>
      </c>
      <c r="ID80" s="26">
        <f>IF(ID$2=InputTable[[#This Row],[Delivery Date]],_xlfn.XLOOKUP(ID$1,$BH$2:$BR$2,$BH80:$BR80,0),0)</f>
        <v>0</v>
      </c>
      <c r="IE80" s="26">
        <f>IF(IE$2=InputTable[[#This Row],[Delivery Date]],_xlfn.XLOOKUP(IE$1,$BH$2:$BR$2,$BH80:$BR80,0),0)</f>
        <v>0</v>
      </c>
      <c r="IF80" s="26">
        <f>IF(IF$2=InputTable[[#This Row],[Delivery Date]],_xlfn.XLOOKUP(IF$1,$BH$2:$BR$2,$BH80:$BR80,0),0)</f>
        <v>0</v>
      </c>
      <c r="IG80" s="26">
        <f>IF(IG$2=InputTable[[#This Row],[Delivery Date]],_xlfn.XLOOKUP(IG$1,$BH$2:$BR$2,$BH80:$BR80,0),0)</f>
        <v>0</v>
      </c>
      <c r="IH80" s="26">
        <f>IF(IH$2=InputTable[[#This Row],[Delivery Date]],_xlfn.XLOOKUP(IH$1,$BH$2:$BR$2,$BH80:$BR80,0),0)</f>
        <v>0</v>
      </c>
      <c r="IJ80" s="26" t="e">
        <f>IF(IJ$2=InputTable[[#This Row],[Delivery Date]],_xlfn.XLOOKUP(IJ$1,$BH$2:$BR$2,$BH80:$BR80,0),0)</f>
        <v>#REF!</v>
      </c>
      <c r="IK80" s="26">
        <f>IF(IK$2=InputTable[[#This Row],[Delivery Date]],_xlfn.XLOOKUP(IK$1,$BH$2:$BR$2,$BH80:$BR80,0),0)</f>
        <v>0</v>
      </c>
      <c r="IL80" s="26">
        <f>IF(IL$2=InputTable[[#This Row],[Delivery Date]],_xlfn.XLOOKUP(IL$1,$BH$2:$BR$2,$BH80:$BR80,0),0)</f>
        <v>0</v>
      </c>
      <c r="IM80" s="26">
        <f>IF(IM$2=InputTable[[#This Row],[Delivery Date]],_xlfn.XLOOKUP(IM$1,$BH$2:$BR$2,$BH80:$BR80,0),0)</f>
        <v>0</v>
      </c>
      <c r="IN80" s="26">
        <f>IF(IN$2=InputTable[[#This Row],[Delivery Date]],_xlfn.XLOOKUP(IN$1,$BH$2:$BR$2,$BH80:$BR80,0),0)</f>
        <v>5</v>
      </c>
      <c r="IO80" s="26">
        <f>IF(IO$2=InputTable[[#This Row],[Delivery Date]],_xlfn.XLOOKUP(IO$1,$BH$2:$BR$2,$BH80:$BR80,0),0)</f>
        <v>0</v>
      </c>
      <c r="IP80" s="26">
        <f>IF(IP$2=InputTable[[#This Row],[Delivery Date]],_xlfn.XLOOKUP(IP$1,$BH$2:$BR$2,$BH80:$BR80,0),0)</f>
        <v>0</v>
      </c>
      <c r="IQ80" s="26">
        <f>IF(IQ$2=InputTable[[#This Row],[Delivery Date]],_xlfn.XLOOKUP(IQ$1,$BH$2:$BR$2,$BH80:$BR80,0),0)</f>
        <v>0</v>
      </c>
      <c r="IR80" s="26">
        <f>IF(IR$2=InputTable[[#This Row],[Delivery Date]],_xlfn.XLOOKUP(IR$1,$BH$2:$BR$2,$BH80:$BR80,0),0)</f>
        <v>0</v>
      </c>
      <c r="IT80" s="26" t="e">
        <f>IF(IT$2=InputTable[[#This Row],[Delivery Date]],_xlfn.XLOOKUP(IT$1,$BH$2:$BR$2,$BH80:$BR80,0),0)</f>
        <v>#REF!</v>
      </c>
      <c r="IU80" s="26">
        <f>IF(IU$2=InputTable[[#This Row],[Delivery Date]],_xlfn.XLOOKUP(IU$1,$BH$2:$BR$2,$BH80:$BR80,0),0)</f>
        <v>0</v>
      </c>
      <c r="IV80" s="26">
        <f>IF(IV$2=InputTable[[#This Row],[Delivery Date]],_xlfn.XLOOKUP(IV$1,$BH$2:$BR$2,$BH80:$BR80,0),0)</f>
        <v>0</v>
      </c>
      <c r="IW80" s="26">
        <f>IF(IW$2=InputTable[[#This Row],[Delivery Date]],_xlfn.XLOOKUP(IW$1,$BH$2:$BR$2,$BH80:$BR80,0),0)</f>
        <v>0</v>
      </c>
      <c r="IX80" s="26">
        <f>IF(IX$2=InputTable[[#This Row],[Delivery Date]],_xlfn.XLOOKUP(IX$1,$BH$2:$BR$2,$BH80:$BR80,0),0)</f>
        <v>0</v>
      </c>
      <c r="IY80" s="26">
        <f>IF(IY$2=InputTable[[#This Row],[Delivery Date]],_xlfn.XLOOKUP(IY$1,$BH$2:$BR$2,$BH80:$BR80,0),0)</f>
        <v>0</v>
      </c>
      <c r="IZ80" s="26">
        <f>IF(IZ$2=InputTable[[#This Row],[Delivery Date]],_xlfn.XLOOKUP(IZ$1,$BH$2:$BR$2,$BH80:$BR80,0),0)</f>
        <v>0</v>
      </c>
      <c r="JA80" s="26">
        <f>IF(JA$2=InputTable[[#This Row],[Delivery Date]],_xlfn.XLOOKUP(JA$1,$BH$2:$BR$2,$BH80:$BR80,0),0)</f>
        <v>0</v>
      </c>
      <c r="JB80" s="26">
        <f>IF(JB$2=InputTable[[#This Row],[Delivery Date]],_xlfn.XLOOKUP(JB$1,$BH$2:$BR$2,$BH80:$BR80,0),0)</f>
        <v>0</v>
      </c>
      <c r="JD80" s="26" t="e">
        <f>IF(JD$2=InputTable[[#This Row],[Delivery Date]],_xlfn.XLOOKUP(JD$1,$BH$2:$BR$2,$BH80:$BR80,0),0)</f>
        <v>#REF!</v>
      </c>
      <c r="JE80" s="26">
        <f>IF(JE$2=InputTable[[#This Row],[Delivery Date]],_xlfn.XLOOKUP(JE$1,$BH$2:$BR$2,$BH80:$BR80,0),0)</f>
        <v>0</v>
      </c>
      <c r="JF80" s="26">
        <f>IF(JF$2=InputTable[[#This Row],[Delivery Date]],_xlfn.XLOOKUP(JF$1,$BH$2:$BR$2,$BH80:$BR80,0),0)</f>
        <v>0</v>
      </c>
      <c r="JG80" s="26">
        <f>IF(JG$2=InputTable[[#This Row],[Delivery Date]],_xlfn.XLOOKUP(JG$1,$BH$2:$BR$2,$BH80:$BR80,0),0)</f>
        <v>0</v>
      </c>
      <c r="JH80" s="26">
        <f>IF(JH$2=InputTable[[#This Row],[Delivery Date]],_xlfn.XLOOKUP(JH$1,$BH$2:$BR$2,$BH80:$BR80,0),0)</f>
        <v>0</v>
      </c>
      <c r="JI80" s="26">
        <f>IF(JI$2=InputTable[[#This Row],[Delivery Date]],_xlfn.XLOOKUP(JI$1,$BH$2:$BR$2,$BH80:$BR80,0),0)</f>
        <v>0</v>
      </c>
      <c r="JJ80" s="26">
        <f>IF(JJ$2=InputTable[[#This Row],[Delivery Date]],_xlfn.XLOOKUP(JJ$1,$BH$2:$BR$2,$BH80:$BR80,0),0)</f>
        <v>0</v>
      </c>
      <c r="JK80" s="26">
        <f>IF(JK$2=InputTable[[#This Row],[Delivery Date]],_xlfn.XLOOKUP(JK$1,$BH$2:$BR$2,$BH80:$BR80,0),0)</f>
        <v>0</v>
      </c>
      <c r="JL80" s="26">
        <f>IF(JL$2=InputTable[[#This Row],[Delivery Date]],_xlfn.XLOOKUP(JL$1,$BH$2:$BR$2,$BH80:$BR80,0),0)</f>
        <v>0</v>
      </c>
      <c r="JN80" s="26" t="e">
        <f>IF(JN$2=InputTable[[#This Row],[Delivery Date]],_xlfn.XLOOKUP(JN$1,$BH$2:$BR$2,$BH80:$BR80,0),0)</f>
        <v>#REF!</v>
      </c>
      <c r="JO80" s="26">
        <f>IF(JO$2=InputTable[[#This Row],[Delivery Date]],_xlfn.XLOOKUP(JO$1,$BH$2:$BR$2,$BH80:$BR80,0),0)</f>
        <v>0</v>
      </c>
      <c r="JP80" s="26">
        <f>IF(JP$2=InputTable[[#This Row],[Delivery Date]],_xlfn.XLOOKUP(JP$1,$BH$2:$BR$2,$BH80:$BR80,0),0)</f>
        <v>0</v>
      </c>
      <c r="JQ80" s="26">
        <f>IF(JQ$2=InputTable[[#This Row],[Delivery Date]],_xlfn.XLOOKUP(JQ$1,$BH$2:$BR$2,$BH80:$BR80,0),0)</f>
        <v>0</v>
      </c>
      <c r="JR80" s="26">
        <f>IF(JR$2=InputTable[[#This Row],[Delivery Date]],_xlfn.XLOOKUP(JR$1,$BH$2:$BR$2,$BH80:$BR80,0),0)</f>
        <v>0</v>
      </c>
      <c r="JS80" s="26">
        <f>IF(JS$2=InputTable[[#This Row],[Delivery Date]],_xlfn.XLOOKUP(JS$1,$BH$2:$BR$2,$BH80:$BR80,0),0)</f>
        <v>0</v>
      </c>
      <c r="JT80" s="26">
        <f>IF(JT$2=InputTable[[#This Row],[Delivery Date]],_xlfn.XLOOKUP(JT$1,$BH$2:$BR$2,$BH80:$BR80,0),0)</f>
        <v>0</v>
      </c>
      <c r="JU80" s="26">
        <f>IF(JU$2=InputTable[[#This Row],[Delivery Date]],_xlfn.XLOOKUP(JU$1,$BH$2:$BR$2,$BH80:$BR80,0),0)</f>
        <v>0</v>
      </c>
      <c r="JV80" s="26">
        <f>IF(JV$2=InputTable[[#This Row],[Delivery Date]],_xlfn.XLOOKUP(JV$1,$BH$2:$BR$2,$BH80:$BR80,0),0)</f>
        <v>0</v>
      </c>
      <c r="JX80" s="26" t="e">
        <f>IF(JX$2=InputTable[[#This Row],[Delivery Date]],_xlfn.XLOOKUP(JX$1,$BH$2:$BR$2,$BH80:$BR80,0),0)</f>
        <v>#REF!</v>
      </c>
      <c r="JY80" s="26">
        <f>IF(JY$2=InputTable[[#This Row],[Delivery Date]],_xlfn.XLOOKUP(JY$1,$BH$2:$BR$2,$BH80:$BR80,0),0)</f>
        <v>0</v>
      </c>
      <c r="JZ80" s="26">
        <f>IF(JZ$2=InputTable[[#This Row],[Delivery Date]],_xlfn.XLOOKUP(JZ$1,$BH$2:$BR$2,$BH80:$BR80,0),0)</f>
        <v>0</v>
      </c>
      <c r="KA80" s="26">
        <f>IF(KA$2=InputTable[[#This Row],[Delivery Date]],_xlfn.XLOOKUP(KA$1,$BH$2:$BR$2,$BH80:$BR80,0),0)</f>
        <v>0</v>
      </c>
      <c r="KB80" s="26">
        <f>IF(KB$2=InputTable[[#This Row],[Delivery Date]],_xlfn.XLOOKUP(KB$1,$BH$2:$BR$2,$BH80:$BR80,0),0)</f>
        <v>0</v>
      </c>
      <c r="KC80" s="26">
        <f>IF(KC$2=InputTable[[#This Row],[Delivery Date]],_xlfn.XLOOKUP(KC$1,$BH$2:$BR$2,$BH80:$BR80,0),0)</f>
        <v>0</v>
      </c>
      <c r="KD80" s="26">
        <f>IF(KD$2=InputTable[[#This Row],[Delivery Date]],_xlfn.XLOOKUP(KD$1,$BH$2:$BR$2,$BH80:$BR80,0),0)</f>
        <v>0</v>
      </c>
      <c r="KE80" s="26">
        <f>IF(KE$2=InputTable[[#This Row],[Delivery Date]],_xlfn.XLOOKUP(KE$1,$BH$2:$BR$2,$BH80:$BR80,0),0)</f>
        <v>0</v>
      </c>
      <c r="KF80" s="26">
        <f>IF(KF$2=InputTable[[#This Row],[Delivery Date]],_xlfn.XLOOKUP(KF$1,$BH$2:$BR$2,$BH80:$BR80,0),0)</f>
        <v>0</v>
      </c>
    </row>
    <row r="81" spans="1:292" ht="39.6" customHeight="1" x14ac:dyDescent="0.25">
      <c r="A81" s="141" t="s">
        <v>155</v>
      </c>
      <c r="B81" s="141" t="s">
        <v>104</v>
      </c>
      <c r="C81" s="92" t="s">
        <v>61</v>
      </c>
      <c r="D81" s="125" t="s">
        <v>355</v>
      </c>
      <c r="E81" s="193" t="s">
        <v>356</v>
      </c>
      <c r="F81" s="92" t="s">
        <v>357</v>
      </c>
      <c r="G81" s="92">
        <v>2026</v>
      </c>
      <c r="H81" s="92" t="s">
        <v>100</v>
      </c>
      <c r="I81" s="92" t="s">
        <v>242</v>
      </c>
      <c r="J81" s="122"/>
      <c r="K81" s="95" t="str">
        <f>VLOOKUP((InputTable[[#This Row],[Starting Date]]&amp; " - " &amp;InputTable[[#This Row],[Delivery Date]]),'System List'!$F$40:$H$83,2,FALSE)</f>
        <v>&gt;2 Years</v>
      </c>
      <c r="L81" s="95">
        <f>VLOOKUP(InputTable[[#This Row],[Duration]],Duration,2,FALSE)</f>
        <v>13</v>
      </c>
      <c r="M81" s="122"/>
      <c r="N81" s="92"/>
      <c r="O81" s="92" t="s">
        <v>111</v>
      </c>
      <c r="P81" s="92" t="s">
        <v>111</v>
      </c>
      <c r="Q81" s="92" t="s">
        <v>111</v>
      </c>
      <c r="R81" s="92" t="s">
        <v>100</v>
      </c>
      <c r="S81" s="92"/>
      <c r="T81" s="95" cm="1">
        <f t="array" ref="T8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6.4</v>
      </c>
      <c r="U81" s="138"/>
      <c r="V81" s="92"/>
      <c r="W81" s="92" t="s">
        <v>111</v>
      </c>
      <c r="X81" s="92" t="s">
        <v>111</v>
      </c>
      <c r="Y81" s="92"/>
      <c r="Z81" s="92"/>
      <c r="AA81" s="92" t="s">
        <v>111</v>
      </c>
      <c r="AB81" s="92"/>
      <c r="AC81" s="92" t="s">
        <v>111</v>
      </c>
      <c r="AD81" s="92">
        <f>COUNTA(InputTable[[#This Row],[CORPHRFIN]:[SALES]])</f>
        <v>4</v>
      </c>
      <c r="AE81" s="88" cm="1">
        <f t="array" ref="AE81">SUM(
_xlfn.XLOOKUP(InputTable[[#This Row],[CORPHRFIN]:[SALES]],'System List'!$F$4:$F$7,'System List'!$H$4:$H$7,0))</f>
        <v>20</v>
      </c>
      <c r="AF81" s="140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88" cm="1">
        <f t="array" ref="AR81">SUM(
_xlfn.XLOOKUP(InputTable[[#This Row],[Impact on - CIAL]:[Impact on - STRAT]],'System List'!$F$4:$F$7,'System List'!$H$4:$H$7,0))</f>
        <v>0</v>
      </c>
      <c r="AS81" s="88">
        <f>VLOOKUP(InputTable[[#This Row],[Duration]],Duration,2,FALSE)+InputTable[[#This Row],[Resource Score]]</f>
        <v>33</v>
      </c>
      <c r="AT81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46.153846153846153</v>
      </c>
      <c r="AU81" s="24">
        <f>InputTable[[#This Row],[Value Score]]/InputTable[[#This Row],[EFFORT SCORE]]*100</f>
        <v>19.393939393939394</v>
      </c>
      <c r="AV81" s="25" t="str">
        <f>InputTable[[#This Row],[IS Portfolio Ref ID]]</f>
        <v>ISPRJ-2</v>
      </c>
      <c r="AW81" s="25" t="s">
        <v>358</v>
      </c>
      <c r="AX81" s="208"/>
      <c r="AY81" s="25">
        <v>1015</v>
      </c>
      <c r="AZ81" s="209">
        <v>0</v>
      </c>
      <c r="BA81" s="209">
        <v>0</v>
      </c>
      <c r="BB81" s="209"/>
      <c r="BC81" s="189">
        <f>SUM(InputTable[[#This Row],[Opex IS Budget (full project)]]+InputTable[[#This Row],[Capex IS Budget (full project)]])</f>
        <v>0</v>
      </c>
      <c r="BD81" s="188"/>
      <c r="BE81" s="188"/>
      <c r="BF81" s="70"/>
      <c r="BH81" s="2">
        <f>IFERROR(VLOOKUP(InputTable[[#This Row],[Impact on - CIAL]],'System List'!$F$4:$H$7,3,FALSE),0)</f>
        <v>0</v>
      </c>
      <c r="BI81" s="2">
        <f>IFERROR(VLOOKUP(InputTable[[#This Row],[Impact on - COM]],'System List'!$F$4:$H$7,3,FALSE),0)</f>
        <v>0</v>
      </c>
      <c r="BJ81" s="2">
        <f>IFERROR(VLOOKUP(InputTable[[#This Row],[Impact on - FIN]],'System List'!$F$4:$H$7,3,FALSE),0)</f>
        <v>0</v>
      </c>
      <c r="BK81" s="2">
        <f>IFERROR(VLOOKUP(InputTable[[#This Row],[Impact on - GEN SEC]],'System List'!$F$4:$H$7,3,FALSE),0)</f>
        <v>0</v>
      </c>
      <c r="BL81" s="2">
        <f>IFERROR(VLOOKUP(InputTable[[#This Row],[Impact on - HR]],'System List'!$F$4:$H$7,3,FALSE),0)</f>
        <v>0</v>
      </c>
      <c r="BM81" s="2">
        <f>IFERROR(VLOOKUP(InputTable[[#This Row],[Impact on - IS]],'System List'!$F$4:$H$7,3,FALSE),0)</f>
        <v>0</v>
      </c>
      <c r="BN81" s="2">
        <f>IFERROR(VLOOKUP(InputTable[[#This Row],[Impact on - OPS]],'System List'!$F$4:$H$7,3,FALSE),0)</f>
        <v>0</v>
      </c>
      <c r="BO81" s="2">
        <f>IFERROR(VLOOKUP(InputTable[[#This Row],[Impact on - ROLL STOCK]],'System List'!$F$4:$H$7,3,FALSE),0)</f>
        <v>0</v>
      </c>
      <c r="BP81" s="2">
        <f>IFERROR(VLOOKUP(InputTable[[#This Row],[Impact on - SAFETY]],'System List'!$F$4:$H$7,3,FALSE),0)</f>
        <v>0</v>
      </c>
      <c r="BQ81" s="2">
        <f>IFERROR(VLOOKUP(InputTable[[#This Row],[Impact on - STATION]],'System List'!$F$4:$H$7,3,FALSE),0)</f>
        <v>0</v>
      </c>
      <c r="BR81" s="2">
        <f>IFERROR(VLOOKUP(InputTable[[#This Row],[Impact on - STRAT]],'System List'!$F$4:$H$7,3,FALSE),0)</f>
        <v>0</v>
      </c>
      <c r="BT81" s="2">
        <f>IFERROR(VLOOKUP(InputTable[[#This Row],[CORPHRFIN]],'System List'!$F$4:$H$7,3,FALSE),0)</f>
        <v>0</v>
      </c>
      <c r="BU81" s="2">
        <f>IFERROR(VLOOKUP(InputTable[[#This Row],[CUST]],'System List'!$F$4:$H$7,3,FALSE),0)</f>
        <v>5</v>
      </c>
      <c r="BV81" s="2">
        <f>IFERROR(VLOOKUP(InputTable[[#This Row],[CYBER]],'System List'!$F$4:$H$7,3,FALSE),0)</f>
        <v>5</v>
      </c>
      <c r="BW81" s="2">
        <f>IFERROR(VLOOKUP(InputTable[[#This Row],[DATA]],'System List'!$F$4:$H$7,3,FALSE),0)</f>
        <v>0</v>
      </c>
      <c r="BX81" s="2">
        <f>IFERROR(VLOOKUP(InputTable[[#This Row],[INFRA]],'System List'!$F$4:$H$7,3,FALSE),0)</f>
        <v>0</v>
      </c>
      <c r="BY81" s="2">
        <f>IFERROR(VLOOKUP(InputTable[[#This Row],[OPERATIONS]],'System List'!$F$4:$H$7,3,FALSE),0)</f>
        <v>5</v>
      </c>
      <c r="BZ81" s="2">
        <f>IFERROR(VLOOKUP(InputTable[[#This Row],[PMO]],'System List'!$F$4:$H$7,3,FALSE),0)</f>
        <v>0</v>
      </c>
      <c r="CA81" s="2">
        <f>IFERROR(VLOOKUP(InputTable[[#This Row],[SALES]],'System List'!$F$4:$H$7,3,FALSE),0)</f>
        <v>5</v>
      </c>
      <c r="CC81" s="2" cm="1">
        <f t="array" ref="CC8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1" s="2" cm="1">
        <f t="array" ref="CD8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1" s="2" cm="1">
        <f t="array" ref="CE8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1" s="2" cm="1">
        <f t="array" ref="CF8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1" s="2" cm="1">
        <f t="array" ref="CG8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1" s="2" cm="1">
        <f t="array" ref="CH8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1" s="2" cm="1">
        <f t="array" ref="CI8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1" s="2" cm="1">
        <f t="array" ref="CJ8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1" s="2" cm="1">
        <f t="array" ref="CK8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8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8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8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1</v>
      </c>
      <c r="CX81" s="26">
        <f t="shared" si="224"/>
        <v>0</v>
      </c>
      <c r="CY81" s="26">
        <f t="shared" si="225"/>
        <v>0</v>
      </c>
      <c r="CZ81" s="26">
        <f t="shared" si="226"/>
        <v>0</v>
      </c>
      <c r="DA81" s="26">
        <f t="shared" si="227"/>
        <v>0</v>
      </c>
      <c r="DB81" s="26">
        <f t="shared" si="228"/>
        <v>0</v>
      </c>
      <c r="DC81" s="26">
        <f t="shared" si="229"/>
        <v>0</v>
      </c>
      <c r="DD81" s="26">
        <f t="shared" si="230"/>
        <v>0</v>
      </c>
      <c r="DE81" s="26">
        <f t="shared" si="231"/>
        <v>0</v>
      </c>
      <c r="DF81" s="26">
        <f t="shared" si="232"/>
        <v>0</v>
      </c>
      <c r="DH81" s="26">
        <f t="shared" si="233"/>
        <v>0</v>
      </c>
      <c r="DI81" s="26">
        <f t="shared" si="234"/>
        <v>0</v>
      </c>
      <c r="DJ81" s="26">
        <f t="shared" si="235"/>
        <v>0</v>
      </c>
      <c r="DK81" s="26">
        <f t="shared" si="236"/>
        <v>0</v>
      </c>
      <c r="DL81" s="26">
        <f t="shared" si="237"/>
        <v>0</v>
      </c>
      <c r="DM81" s="26">
        <f t="shared" si="238"/>
        <v>0</v>
      </c>
      <c r="DN81" s="26">
        <f t="shared" si="239"/>
        <v>5</v>
      </c>
      <c r="DO81" s="26">
        <f t="shared" si="240"/>
        <v>5</v>
      </c>
      <c r="DP81" s="26">
        <f t="shared" si="241"/>
        <v>5</v>
      </c>
      <c r="DR81" s="26">
        <f t="shared" si="242"/>
        <v>0</v>
      </c>
      <c r="DS81" s="26">
        <f t="shared" si="243"/>
        <v>0</v>
      </c>
      <c r="DT81" s="26">
        <f t="shared" si="244"/>
        <v>0</v>
      </c>
      <c r="DU81" s="26">
        <f t="shared" si="245"/>
        <v>0</v>
      </c>
      <c r="DV81" s="26">
        <f t="shared" si="246"/>
        <v>0</v>
      </c>
      <c r="DW81" s="26">
        <f t="shared" si="247"/>
        <v>0</v>
      </c>
      <c r="DX81" s="26">
        <f t="shared" si="248"/>
        <v>5</v>
      </c>
      <c r="DY81" s="26">
        <f t="shared" si="249"/>
        <v>5</v>
      </c>
      <c r="DZ81" s="26">
        <f t="shared" si="250"/>
        <v>5</v>
      </c>
      <c r="EB81" s="26">
        <f t="shared" si="251"/>
        <v>0</v>
      </c>
      <c r="EC81" s="26">
        <f t="shared" si="252"/>
        <v>0</v>
      </c>
      <c r="ED81" s="26">
        <f t="shared" si="253"/>
        <v>0</v>
      </c>
      <c r="EE81" s="26">
        <f t="shared" si="254"/>
        <v>0</v>
      </c>
      <c r="EF81" s="26">
        <f t="shared" si="255"/>
        <v>0</v>
      </c>
      <c r="EG81" s="26">
        <f t="shared" si="256"/>
        <v>0</v>
      </c>
      <c r="EH81" s="26">
        <f t="shared" si="257"/>
        <v>0</v>
      </c>
      <c r="EI81" s="26">
        <f t="shared" si="258"/>
        <v>0</v>
      </c>
      <c r="EJ81" s="26">
        <f t="shared" si="259"/>
        <v>0</v>
      </c>
      <c r="EL81" s="26">
        <f t="shared" si="260"/>
        <v>0</v>
      </c>
      <c r="EM81" s="26">
        <f t="shared" si="261"/>
        <v>0</v>
      </c>
      <c r="EN81" s="26">
        <f t="shared" si="262"/>
        <v>0</v>
      </c>
      <c r="EO81" s="26">
        <f t="shared" si="263"/>
        <v>0</v>
      </c>
      <c r="EP81" s="26">
        <f t="shared" si="264"/>
        <v>0</v>
      </c>
      <c r="EQ81" s="26">
        <f t="shared" si="265"/>
        <v>0</v>
      </c>
      <c r="ER81" s="26">
        <f t="shared" si="266"/>
        <v>0</v>
      </c>
      <c r="ES81" s="26">
        <f t="shared" si="267"/>
        <v>0</v>
      </c>
      <c r="ET81" s="26">
        <f t="shared" si="268"/>
        <v>0</v>
      </c>
      <c r="EV81" s="26">
        <f t="shared" si="269"/>
        <v>0</v>
      </c>
      <c r="EW81" s="26">
        <f t="shared" si="270"/>
        <v>0</v>
      </c>
      <c r="EX81" s="26">
        <f t="shared" si="271"/>
        <v>0</v>
      </c>
      <c r="EY81" s="26">
        <f t="shared" si="272"/>
        <v>0</v>
      </c>
      <c r="EZ81" s="26">
        <f t="shared" si="273"/>
        <v>0</v>
      </c>
      <c r="FA81" s="26">
        <f t="shared" si="274"/>
        <v>0</v>
      </c>
      <c r="FB81" s="26">
        <f t="shared" si="275"/>
        <v>5</v>
      </c>
      <c r="FC81" s="26">
        <f t="shared" si="276"/>
        <v>5</v>
      </c>
      <c r="FD81" s="26">
        <f t="shared" si="277"/>
        <v>5</v>
      </c>
      <c r="FF81" s="26">
        <f t="shared" si="278"/>
        <v>0</v>
      </c>
      <c r="FG81" s="26">
        <f t="shared" si="279"/>
        <v>0</v>
      </c>
      <c r="FH81" s="26">
        <f t="shared" si="280"/>
        <v>0</v>
      </c>
      <c r="FI81" s="26">
        <f t="shared" si="281"/>
        <v>0</v>
      </c>
      <c r="FJ81" s="26">
        <f t="shared" si="282"/>
        <v>0</v>
      </c>
      <c r="FK81" s="26">
        <f t="shared" si="283"/>
        <v>0</v>
      </c>
      <c r="FL81" s="26">
        <f t="shared" si="284"/>
        <v>0</v>
      </c>
      <c r="FM81" s="26">
        <f t="shared" si="285"/>
        <v>0</v>
      </c>
      <c r="FN81" s="26">
        <f t="shared" si="286"/>
        <v>0</v>
      </c>
      <c r="FP81" s="26" t="e">
        <f t="shared" si="287"/>
        <v>#REF!</v>
      </c>
      <c r="FQ81" s="26" t="e">
        <f t="shared" si="288"/>
        <v>#REF!</v>
      </c>
      <c r="FR81" s="26" t="e">
        <f t="shared" si="289"/>
        <v>#REF!</v>
      </c>
      <c r="FS81" s="26" t="e">
        <f t="shared" si="290"/>
        <v>#REF!</v>
      </c>
      <c r="FT81" s="26" t="e">
        <f t="shared" si="291"/>
        <v>#REF!</v>
      </c>
      <c r="FU81" s="26" t="e">
        <f t="shared" si="292"/>
        <v>#REF!</v>
      </c>
      <c r="FV81" s="26" t="e">
        <f t="shared" si="293"/>
        <v>#REF!</v>
      </c>
      <c r="FW81" s="26" t="e">
        <f t="shared" si="294"/>
        <v>#REF!</v>
      </c>
      <c r="FX81" s="26" t="e">
        <f t="shared" si="295"/>
        <v>#REF!</v>
      </c>
      <c r="GB81" s="26" t="e">
        <f>IF(GB$2=InputTable[[#This Row],[Delivery Date]],_xlfn.XLOOKUP(GB$1,$BH$2:$BR$2,$BH81:$BR81,0),0)</f>
        <v>#REF!</v>
      </c>
      <c r="GC81" s="26">
        <f>IF(GC$2=InputTable[[#This Row],[Delivery Date]],_xlfn.XLOOKUP(GC$1,$BH$2:$BR$2,$BH81:$BR81,0),0)</f>
        <v>0</v>
      </c>
      <c r="GD81" s="26">
        <f>IF(GD$2=InputTable[[#This Row],[Delivery Date]],_xlfn.XLOOKUP(GD$1,$BH$2:$BR$2,$BH81:$BR81,0),0)</f>
        <v>0</v>
      </c>
      <c r="GE81" s="26">
        <f>IF(GE$2=InputTable[[#This Row],[Delivery Date]],_xlfn.XLOOKUP(GE$1,$BH$2:$BR$2,$BH81:$BR81,0),0)</f>
        <v>0</v>
      </c>
      <c r="GF81" s="26">
        <f>IF(GF$2=InputTable[[#This Row],[Delivery Date]],_xlfn.XLOOKUP(GF$1,$BH$2:$BR$2,$BH81:$BR81,0),0)</f>
        <v>0</v>
      </c>
      <c r="GG81" s="26">
        <f>IF(GG$2=InputTable[[#This Row],[Delivery Date]],_xlfn.XLOOKUP(GG$1,$BH$2:$BR$2,$BH81:$BR81,0),0)</f>
        <v>0</v>
      </c>
      <c r="GH81" s="26">
        <f>IF(GH$2=InputTable[[#This Row],[Delivery Date]],_xlfn.XLOOKUP(GH$1,$BH$2:$BR$2,$BH81:$BR81,0),0)</f>
        <v>0</v>
      </c>
      <c r="GI81" s="26">
        <f>IF(GI$2=InputTable[[#This Row],[Delivery Date]],_xlfn.XLOOKUP(GI$1,$BH$2:$BR$2,$BH81:$BR81,0),0)</f>
        <v>0</v>
      </c>
      <c r="GJ81" s="26">
        <f>IF(GJ$2=InputTable[[#This Row],[Delivery Date]],_xlfn.XLOOKUP(GJ$1,$BH$2:$BR$2,$BH81:$BR81,0),0)</f>
        <v>0</v>
      </c>
      <c r="GL81" s="26" t="e">
        <f>IF(GL$2=InputTable[[#This Row],[Delivery Date]],_xlfn.XLOOKUP(GL$1,$BH$2:$BR$2,$BH81:$BR81,0),0)</f>
        <v>#REF!</v>
      </c>
      <c r="GM81" s="26">
        <f>IF(GM$2=InputTable[[#This Row],[Delivery Date]],_xlfn.XLOOKUP(GM$1,$BH$2:$BR$2,$BH81:$BR81,0),0)</f>
        <v>0</v>
      </c>
      <c r="GN81" s="26">
        <f>IF(GN$2=InputTable[[#This Row],[Delivery Date]],_xlfn.XLOOKUP(GN$1,$BH$2:$BR$2,$BH81:$BR81,0),0)</f>
        <v>0</v>
      </c>
      <c r="GO81" s="26">
        <f>IF(GO$2=InputTable[[#This Row],[Delivery Date]],_xlfn.XLOOKUP(GO$1,$BH$2:$BR$2,$BH81:$BR81,0),0)</f>
        <v>0</v>
      </c>
      <c r="GP81" s="26">
        <f>IF(GP$2=InputTable[[#This Row],[Delivery Date]],_xlfn.XLOOKUP(GP$1,$BH$2:$BR$2,$BH81:$BR81,0),0)</f>
        <v>0</v>
      </c>
      <c r="GQ81" s="26">
        <f>IF(GQ$2=InputTable[[#This Row],[Delivery Date]],_xlfn.XLOOKUP(GQ$1,$BH$2:$BR$2,$BH81:$BR81,0),0)</f>
        <v>0</v>
      </c>
      <c r="GR81" s="26">
        <f>IF(GR$2=InputTable[[#This Row],[Delivery Date]],_xlfn.XLOOKUP(GR$1,$BH$2:$BR$2,$BH81:$BR81,0),0)</f>
        <v>0</v>
      </c>
      <c r="GS81" s="26">
        <f>IF(GS$2=InputTable[[#This Row],[Delivery Date]],_xlfn.XLOOKUP(GS$1,$BH$2:$BR$2,$BH81:$BR81,0),0)</f>
        <v>0</v>
      </c>
      <c r="GT81" s="26">
        <f>IF(GT$2=InputTable[[#This Row],[Delivery Date]],_xlfn.XLOOKUP(GT$1,$BH$2:$BR$2,$BH81:$BR81,0),0)</f>
        <v>0</v>
      </c>
      <c r="GV81" s="26" t="e">
        <f>IF(GV$2=InputTable[[#This Row],[Delivery Date]],_xlfn.XLOOKUP(GV$1,$BH$2:$BR$2,$BH81:$BR81,0),0)</f>
        <v>#REF!</v>
      </c>
      <c r="GW81" s="26">
        <f>IF(GW$2=InputTable[[#This Row],[Delivery Date]],_xlfn.XLOOKUP(GW$1,$BH$2:$BR$2,$BH81:$BR81,0),0)</f>
        <v>0</v>
      </c>
      <c r="GX81" s="26">
        <f>IF(GX$2=InputTable[[#This Row],[Delivery Date]],_xlfn.XLOOKUP(GX$1,$BH$2:$BR$2,$BH81:$BR81,0),0)</f>
        <v>0</v>
      </c>
      <c r="GY81" s="26">
        <f>IF(GY$2=InputTable[[#This Row],[Delivery Date]],_xlfn.XLOOKUP(GY$1,$BH$2:$BR$2,$BH81:$BR81,0),0)</f>
        <v>0</v>
      </c>
      <c r="GZ81" s="26">
        <f>IF(GZ$2=InputTable[[#This Row],[Delivery Date]],_xlfn.XLOOKUP(GZ$1,$BH$2:$BR$2,$BH81:$BR81,0),0)</f>
        <v>0</v>
      </c>
      <c r="HA81" s="26">
        <f>IF(HA$2=InputTable[[#This Row],[Delivery Date]],_xlfn.XLOOKUP(HA$1,$BH$2:$BR$2,$BH81:$BR81,0),0)</f>
        <v>0</v>
      </c>
      <c r="HB81" s="26">
        <f>IF(HB$2=InputTable[[#This Row],[Delivery Date]],_xlfn.XLOOKUP(HB$1,$BH$2:$BR$2,$BH81:$BR81,0),0)</f>
        <v>0</v>
      </c>
      <c r="HC81" s="26">
        <f>IF(HC$2=InputTable[[#This Row],[Delivery Date]],_xlfn.XLOOKUP(HC$1,$BH$2:$BR$2,$BH81:$BR81,0),0)</f>
        <v>0</v>
      </c>
      <c r="HD81" s="26">
        <f>IF(HD$2=InputTable[[#This Row],[Delivery Date]],_xlfn.XLOOKUP(HD$1,$BH$2:$BR$2,$BH81:$BR81,0),0)</f>
        <v>0</v>
      </c>
      <c r="HF81" s="26" t="e">
        <f>IF(HF$2=InputTable[[#This Row],[Delivery Date]],_xlfn.XLOOKUP(HF$1,$BH$2:$BR$2,$BH81:$BR81,0),0)</f>
        <v>#REF!</v>
      </c>
      <c r="HG81" s="26">
        <f>IF(HG$2=InputTable[[#This Row],[Delivery Date]],_xlfn.XLOOKUP(HG$1,$BH$2:$BR$2,$BH81:$BR81,0),0)</f>
        <v>0</v>
      </c>
      <c r="HH81" s="26">
        <f>IF(HH$2=InputTable[[#This Row],[Delivery Date]],_xlfn.XLOOKUP(HH$1,$BH$2:$BR$2,$BH81:$BR81,0),0)</f>
        <v>0</v>
      </c>
      <c r="HI81" s="26">
        <f>IF(HI$2=InputTable[[#This Row],[Delivery Date]],_xlfn.XLOOKUP(HI$1,$BH$2:$BR$2,$BH81:$BR81,0),0)</f>
        <v>0</v>
      </c>
      <c r="HJ81" s="26">
        <f>IF(HJ$2=InputTable[[#This Row],[Delivery Date]],_xlfn.XLOOKUP(HJ$1,$BH$2:$BR$2,$BH81:$BR81,0),0)</f>
        <v>0</v>
      </c>
      <c r="HK81" s="26">
        <f>IF(HK$2=InputTable[[#This Row],[Delivery Date]],_xlfn.XLOOKUP(HK$1,$BH$2:$BR$2,$BH81:$BR81,0),0)</f>
        <v>0</v>
      </c>
      <c r="HL81" s="26">
        <f>IF(HL$2=InputTable[[#This Row],[Delivery Date]],_xlfn.XLOOKUP(HL$1,$BH$2:$BR$2,$BH81:$BR81,0),0)</f>
        <v>0</v>
      </c>
      <c r="HM81" s="26">
        <f>IF(HM$2=InputTable[[#This Row],[Delivery Date]],_xlfn.XLOOKUP(HM$1,$BH$2:$BR$2,$BH81:$BR81,0),0)</f>
        <v>0</v>
      </c>
      <c r="HN81" s="26">
        <f>IF(HN$2=InputTable[[#This Row],[Delivery Date]],_xlfn.XLOOKUP(HN$1,$BH$2:$BR$2,$BH81:$BR81,0),0)</f>
        <v>0</v>
      </c>
      <c r="HP81" s="26" t="e">
        <f>IF(HP$2=InputTable[[#This Row],[Delivery Date]],_xlfn.XLOOKUP(HP$1,$BH$2:$BR$2,$BH81:$BR81,0),0)</f>
        <v>#REF!</v>
      </c>
      <c r="HQ81" s="26">
        <f>IF(HQ$2=InputTable[[#This Row],[Delivery Date]],_xlfn.XLOOKUP(HQ$1,$BH$2:$BR$2,$BH81:$BR81,0),0)</f>
        <v>0</v>
      </c>
      <c r="HR81" s="26">
        <f>IF(HR$2=InputTable[[#This Row],[Delivery Date]],_xlfn.XLOOKUP(HR$1,$BH$2:$BR$2,$BH81:$BR81,0),0)</f>
        <v>0</v>
      </c>
      <c r="HS81" s="26">
        <f>IF(HS$2=InputTable[[#This Row],[Delivery Date]],_xlfn.XLOOKUP(HS$1,$BH$2:$BR$2,$BH81:$BR81,0),0)</f>
        <v>0</v>
      </c>
      <c r="HT81" s="26">
        <f>IF(HT$2=InputTable[[#This Row],[Delivery Date]],_xlfn.XLOOKUP(HT$1,$BH$2:$BR$2,$BH81:$BR81,0),0)</f>
        <v>0</v>
      </c>
      <c r="HU81" s="26">
        <f>IF(HU$2=InputTable[[#This Row],[Delivery Date]],_xlfn.XLOOKUP(HU$1,$BH$2:$BR$2,$BH81:$BR81,0),0)</f>
        <v>0</v>
      </c>
      <c r="HV81" s="26">
        <f>IF(HV$2=InputTable[[#This Row],[Delivery Date]],_xlfn.XLOOKUP(HV$1,$BH$2:$BR$2,$BH81:$BR81,0),0)</f>
        <v>0</v>
      </c>
      <c r="HW81" s="26">
        <f>IF(HW$2=InputTable[[#This Row],[Delivery Date]],_xlfn.XLOOKUP(HW$1,$BH$2:$BR$2,$BH81:$BR81,0),0)</f>
        <v>0</v>
      </c>
      <c r="HX81" s="26">
        <f>IF(HX$2=InputTable[[#This Row],[Delivery Date]],_xlfn.XLOOKUP(HX$1,$BH$2:$BR$2,$BH81:$BR81,0),0)</f>
        <v>0</v>
      </c>
      <c r="HZ81" s="26" t="e">
        <f>IF(HZ$2=InputTable[[#This Row],[Delivery Date]],_xlfn.XLOOKUP(HZ$1,$BH$2:$BR$2,$BH81:$BR81,0),0)</f>
        <v>#REF!</v>
      </c>
      <c r="IA81" s="26">
        <f>IF(IA$2=InputTable[[#This Row],[Delivery Date]],_xlfn.XLOOKUP(IA$1,$BH$2:$BR$2,$BH81:$BR81,0),0)</f>
        <v>0</v>
      </c>
      <c r="IB81" s="26">
        <f>IF(IB$2=InputTable[[#This Row],[Delivery Date]],_xlfn.XLOOKUP(IB$1,$BH$2:$BR$2,$BH81:$BR81,0),0)</f>
        <v>0</v>
      </c>
      <c r="IC81" s="26">
        <f>IF(IC$2=InputTable[[#This Row],[Delivery Date]],_xlfn.XLOOKUP(IC$1,$BH$2:$BR$2,$BH81:$BR81,0),0)</f>
        <v>0</v>
      </c>
      <c r="ID81" s="26">
        <f>IF(ID$2=InputTable[[#This Row],[Delivery Date]],_xlfn.XLOOKUP(ID$1,$BH$2:$BR$2,$BH81:$BR81,0),0)</f>
        <v>0</v>
      </c>
      <c r="IE81" s="26">
        <f>IF(IE$2=InputTable[[#This Row],[Delivery Date]],_xlfn.XLOOKUP(IE$1,$BH$2:$BR$2,$BH81:$BR81,0),0)</f>
        <v>0</v>
      </c>
      <c r="IF81" s="26">
        <f>IF(IF$2=InputTable[[#This Row],[Delivery Date]],_xlfn.XLOOKUP(IF$1,$BH$2:$BR$2,$BH81:$BR81,0),0)</f>
        <v>0</v>
      </c>
      <c r="IG81" s="26">
        <f>IF(IG$2=InputTable[[#This Row],[Delivery Date]],_xlfn.XLOOKUP(IG$1,$BH$2:$BR$2,$BH81:$BR81,0),0)</f>
        <v>0</v>
      </c>
      <c r="IH81" s="26">
        <f>IF(IH$2=InputTable[[#This Row],[Delivery Date]],_xlfn.XLOOKUP(IH$1,$BH$2:$BR$2,$BH81:$BR81,0),0)</f>
        <v>0</v>
      </c>
      <c r="IJ81" s="26" t="e">
        <f>IF(IJ$2=InputTable[[#This Row],[Delivery Date]],_xlfn.XLOOKUP(IJ$1,$BH$2:$BR$2,$BH81:$BR81,0),0)</f>
        <v>#REF!</v>
      </c>
      <c r="IK81" s="26">
        <f>IF(IK$2=InputTable[[#This Row],[Delivery Date]],_xlfn.XLOOKUP(IK$1,$BH$2:$BR$2,$BH81:$BR81,0),0)</f>
        <v>0</v>
      </c>
      <c r="IL81" s="26">
        <f>IF(IL$2=InputTable[[#This Row],[Delivery Date]],_xlfn.XLOOKUP(IL$1,$BH$2:$BR$2,$BH81:$BR81,0),0)</f>
        <v>0</v>
      </c>
      <c r="IM81" s="26">
        <f>IF(IM$2=InputTable[[#This Row],[Delivery Date]],_xlfn.XLOOKUP(IM$1,$BH$2:$BR$2,$BH81:$BR81,0),0)</f>
        <v>0</v>
      </c>
      <c r="IN81" s="26">
        <f>IF(IN$2=InputTable[[#This Row],[Delivery Date]],_xlfn.XLOOKUP(IN$1,$BH$2:$BR$2,$BH81:$BR81,0),0)</f>
        <v>0</v>
      </c>
      <c r="IO81" s="26">
        <f>IF(IO$2=InputTable[[#This Row],[Delivery Date]],_xlfn.XLOOKUP(IO$1,$BH$2:$BR$2,$BH81:$BR81,0),0)</f>
        <v>0</v>
      </c>
      <c r="IP81" s="26">
        <f>IF(IP$2=InputTable[[#This Row],[Delivery Date]],_xlfn.XLOOKUP(IP$1,$BH$2:$BR$2,$BH81:$BR81,0),0)</f>
        <v>0</v>
      </c>
      <c r="IQ81" s="26">
        <f>IF(IQ$2=InputTable[[#This Row],[Delivery Date]],_xlfn.XLOOKUP(IQ$1,$BH$2:$BR$2,$BH81:$BR81,0),0)</f>
        <v>0</v>
      </c>
      <c r="IR81" s="26">
        <f>IF(IR$2=InputTable[[#This Row],[Delivery Date]],_xlfn.XLOOKUP(IR$1,$BH$2:$BR$2,$BH81:$BR81,0),0)</f>
        <v>0</v>
      </c>
      <c r="IT81" s="26" t="e">
        <f>IF(IT$2=InputTable[[#This Row],[Delivery Date]],_xlfn.XLOOKUP(IT$1,$BH$2:$BR$2,$BH81:$BR81,0),0)</f>
        <v>#REF!</v>
      </c>
      <c r="IU81" s="26">
        <f>IF(IU$2=InputTable[[#This Row],[Delivery Date]],_xlfn.XLOOKUP(IU$1,$BH$2:$BR$2,$BH81:$BR81,0),0)</f>
        <v>0</v>
      </c>
      <c r="IV81" s="26">
        <f>IF(IV$2=InputTable[[#This Row],[Delivery Date]],_xlfn.XLOOKUP(IV$1,$BH$2:$BR$2,$BH81:$BR81,0),0)</f>
        <v>0</v>
      </c>
      <c r="IW81" s="26">
        <f>IF(IW$2=InputTable[[#This Row],[Delivery Date]],_xlfn.XLOOKUP(IW$1,$BH$2:$BR$2,$BH81:$BR81,0),0)</f>
        <v>0</v>
      </c>
      <c r="IX81" s="26">
        <f>IF(IX$2=InputTable[[#This Row],[Delivery Date]],_xlfn.XLOOKUP(IX$1,$BH$2:$BR$2,$BH81:$BR81,0),0)</f>
        <v>0</v>
      </c>
      <c r="IY81" s="26">
        <f>IF(IY$2=InputTable[[#This Row],[Delivery Date]],_xlfn.XLOOKUP(IY$1,$BH$2:$BR$2,$BH81:$BR81,0),0)</f>
        <v>0</v>
      </c>
      <c r="IZ81" s="26">
        <f>IF(IZ$2=InputTable[[#This Row],[Delivery Date]],_xlfn.XLOOKUP(IZ$1,$BH$2:$BR$2,$BH81:$BR81,0),0)</f>
        <v>0</v>
      </c>
      <c r="JA81" s="26">
        <f>IF(JA$2=InputTable[[#This Row],[Delivery Date]],_xlfn.XLOOKUP(JA$1,$BH$2:$BR$2,$BH81:$BR81,0),0)</f>
        <v>0</v>
      </c>
      <c r="JB81" s="26">
        <f>IF(JB$2=InputTable[[#This Row],[Delivery Date]],_xlfn.XLOOKUP(JB$1,$BH$2:$BR$2,$BH81:$BR81,0),0)</f>
        <v>0</v>
      </c>
      <c r="JD81" s="26" t="e">
        <f>IF(JD$2=InputTable[[#This Row],[Delivery Date]],_xlfn.XLOOKUP(JD$1,$BH$2:$BR$2,$BH81:$BR81,0),0)</f>
        <v>#REF!</v>
      </c>
      <c r="JE81" s="26">
        <f>IF(JE$2=InputTable[[#This Row],[Delivery Date]],_xlfn.XLOOKUP(JE$1,$BH$2:$BR$2,$BH81:$BR81,0),0)</f>
        <v>0</v>
      </c>
      <c r="JF81" s="26">
        <f>IF(JF$2=InputTable[[#This Row],[Delivery Date]],_xlfn.XLOOKUP(JF$1,$BH$2:$BR$2,$BH81:$BR81,0),0)</f>
        <v>0</v>
      </c>
      <c r="JG81" s="26">
        <f>IF(JG$2=InputTable[[#This Row],[Delivery Date]],_xlfn.XLOOKUP(JG$1,$BH$2:$BR$2,$BH81:$BR81,0),0)</f>
        <v>0</v>
      </c>
      <c r="JH81" s="26">
        <f>IF(JH$2=InputTable[[#This Row],[Delivery Date]],_xlfn.XLOOKUP(JH$1,$BH$2:$BR$2,$BH81:$BR81,0),0)</f>
        <v>0</v>
      </c>
      <c r="JI81" s="26">
        <f>IF(JI$2=InputTable[[#This Row],[Delivery Date]],_xlfn.XLOOKUP(JI$1,$BH$2:$BR$2,$BH81:$BR81,0),0)</f>
        <v>0</v>
      </c>
      <c r="JJ81" s="26">
        <f>IF(JJ$2=InputTable[[#This Row],[Delivery Date]],_xlfn.XLOOKUP(JJ$1,$BH$2:$BR$2,$BH81:$BR81,0),0)</f>
        <v>0</v>
      </c>
      <c r="JK81" s="26">
        <f>IF(JK$2=InputTable[[#This Row],[Delivery Date]],_xlfn.XLOOKUP(JK$1,$BH$2:$BR$2,$BH81:$BR81,0),0)</f>
        <v>0</v>
      </c>
      <c r="JL81" s="26">
        <f>IF(JL$2=InputTable[[#This Row],[Delivery Date]],_xlfn.XLOOKUP(JL$1,$BH$2:$BR$2,$BH81:$BR81,0),0)</f>
        <v>0</v>
      </c>
      <c r="JN81" s="26" t="e">
        <f>IF(JN$2=InputTable[[#This Row],[Delivery Date]],_xlfn.XLOOKUP(JN$1,$BH$2:$BR$2,$BH81:$BR81,0),0)</f>
        <v>#REF!</v>
      </c>
      <c r="JO81" s="26">
        <f>IF(JO$2=InputTable[[#This Row],[Delivery Date]],_xlfn.XLOOKUP(JO$1,$BH$2:$BR$2,$BH81:$BR81,0),0)</f>
        <v>0</v>
      </c>
      <c r="JP81" s="26">
        <f>IF(JP$2=InputTable[[#This Row],[Delivery Date]],_xlfn.XLOOKUP(JP$1,$BH$2:$BR$2,$BH81:$BR81,0),0)</f>
        <v>0</v>
      </c>
      <c r="JQ81" s="26">
        <f>IF(JQ$2=InputTable[[#This Row],[Delivery Date]],_xlfn.XLOOKUP(JQ$1,$BH$2:$BR$2,$BH81:$BR81,0),0)</f>
        <v>0</v>
      </c>
      <c r="JR81" s="26">
        <f>IF(JR$2=InputTable[[#This Row],[Delivery Date]],_xlfn.XLOOKUP(JR$1,$BH$2:$BR$2,$BH81:$BR81,0),0)</f>
        <v>0</v>
      </c>
      <c r="JS81" s="26">
        <f>IF(JS$2=InputTable[[#This Row],[Delivery Date]],_xlfn.XLOOKUP(JS$1,$BH$2:$BR$2,$BH81:$BR81,0),0)</f>
        <v>0</v>
      </c>
      <c r="JT81" s="26">
        <f>IF(JT$2=InputTable[[#This Row],[Delivery Date]],_xlfn.XLOOKUP(JT$1,$BH$2:$BR$2,$BH81:$BR81,0),0)</f>
        <v>0</v>
      </c>
      <c r="JU81" s="26">
        <f>IF(JU$2=InputTable[[#This Row],[Delivery Date]],_xlfn.XLOOKUP(JU$1,$BH$2:$BR$2,$BH81:$BR81,0),0)</f>
        <v>0</v>
      </c>
      <c r="JV81" s="26">
        <f>IF(JV$2=InputTable[[#This Row],[Delivery Date]],_xlfn.XLOOKUP(JV$1,$BH$2:$BR$2,$BH81:$BR81,0),0)</f>
        <v>0</v>
      </c>
      <c r="JX81" s="26" t="e">
        <f>IF(JX$2=InputTable[[#This Row],[Delivery Date]],_xlfn.XLOOKUP(JX$1,$BH$2:$BR$2,$BH81:$BR81,0),0)</f>
        <v>#REF!</v>
      </c>
      <c r="JY81" s="26">
        <f>IF(JY$2=InputTable[[#This Row],[Delivery Date]],_xlfn.XLOOKUP(JY$1,$BH$2:$BR$2,$BH81:$BR81,0),0)</f>
        <v>0</v>
      </c>
      <c r="JZ81" s="26">
        <f>IF(JZ$2=InputTable[[#This Row],[Delivery Date]],_xlfn.XLOOKUP(JZ$1,$BH$2:$BR$2,$BH81:$BR81,0),0)</f>
        <v>0</v>
      </c>
      <c r="KA81" s="26">
        <f>IF(KA$2=InputTable[[#This Row],[Delivery Date]],_xlfn.XLOOKUP(KA$1,$BH$2:$BR$2,$BH81:$BR81,0),0)</f>
        <v>0</v>
      </c>
      <c r="KB81" s="26">
        <f>IF(KB$2=InputTable[[#This Row],[Delivery Date]],_xlfn.XLOOKUP(KB$1,$BH$2:$BR$2,$BH81:$BR81,0),0)</f>
        <v>0</v>
      </c>
      <c r="KC81" s="26">
        <f>IF(KC$2=InputTable[[#This Row],[Delivery Date]],_xlfn.XLOOKUP(KC$1,$BH$2:$BR$2,$BH81:$BR81,0),0)</f>
        <v>0</v>
      </c>
      <c r="KD81" s="26">
        <f>IF(KD$2=InputTable[[#This Row],[Delivery Date]],_xlfn.XLOOKUP(KD$1,$BH$2:$BR$2,$BH81:$BR81,0),0)</f>
        <v>0</v>
      </c>
      <c r="KE81" s="26">
        <f>IF(KE$2=InputTable[[#This Row],[Delivery Date]],_xlfn.XLOOKUP(KE$1,$BH$2:$BR$2,$BH81:$BR81,0),0)</f>
        <v>0</v>
      </c>
      <c r="KF81" s="26">
        <f>IF(KF$2=InputTable[[#This Row],[Delivery Date]],_xlfn.XLOOKUP(KF$1,$BH$2:$BR$2,$BH81:$BR81,0),0)</f>
        <v>0</v>
      </c>
    </row>
    <row r="82" spans="1:292" ht="39.6" customHeight="1" x14ac:dyDescent="0.25">
      <c r="A82" s="141"/>
      <c r="B82" s="141" t="s">
        <v>104</v>
      </c>
      <c r="C82" s="92" t="s">
        <v>57</v>
      </c>
      <c r="D82" s="125" t="s">
        <v>359</v>
      </c>
      <c r="E82" s="193" t="s">
        <v>360</v>
      </c>
      <c r="F82" s="92" t="s">
        <v>96</v>
      </c>
      <c r="G82" s="92">
        <v>2026</v>
      </c>
      <c r="H82" s="92"/>
      <c r="I82" s="92">
        <v>2026</v>
      </c>
      <c r="J82" s="126" t="s">
        <v>152</v>
      </c>
      <c r="K82" s="95" t="str">
        <f>VLOOKUP((InputTable[[#This Row],[Starting Date]]&amp; " - " &amp;InputTable[[#This Row],[Delivery Date]]),'System List'!$F$40:$H$83,2,FALSE)</f>
        <v>1 to 2 years</v>
      </c>
      <c r="L82" s="95">
        <f>VLOOKUP(InputTable[[#This Row],[Duration]],Duration,2,FALSE)</f>
        <v>8</v>
      </c>
      <c r="M82" s="122"/>
      <c r="N82" s="92"/>
      <c r="O82" s="92" t="s">
        <v>111</v>
      </c>
      <c r="P82" s="92"/>
      <c r="Q82" s="92" t="s">
        <v>139</v>
      </c>
      <c r="R82" s="92"/>
      <c r="S82" s="92"/>
      <c r="T82" s="95" cm="1">
        <f t="array" ref="T8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1.8</v>
      </c>
      <c r="U82" s="138"/>
      <c r="V82" s="92"/>
      <c r="W82" s="92"/>
      <c r="X82" s="92"/>
      <c r="Y82" s="92"/>
      <c r="Z82" s="92"/>
      <c r="AA82" s="92"/>
      <c r="AB82" s="92"/>
      <c r="AC82" s="92"/>
      <c r="AD82" s="92">
        <f>COUNTA(InputTable[[#This Row],[CORPHRFIN]:[SALES]])</f>
        <v>0</v>
      </c>
      <c r="AE82" s="88" cm="1">
        <f t="array" ref="AE82">SUM(
_xlfn.XLOOKUP(InputTable[[#This Row],[CORPHRFIN]:[SALES]],'System List'!$F$4:$F$7,'System List'!$H$4:$H$7,0))</f>
        <v>0</v>
      </c>
      <c r="AF82" s="140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88" cm="1">
        <f t="array" ref="AR82">SUM(
_xlfn.XLOOKUP(InputTable[[#This Row],[Impact on - CIAL]:[Impact on - STRAT]],'System List'!$F$4:$F$7,'System List'!$H$4:$H$7,0))</f>
        <v>0</v>
      </c>
      <c r="AS82" s="88">
        <f>VLOOKUP(InputTable[[#This Row],[Duration]],Duration,2,FALSE)+InputTable[[#This Row],[Resource Score]]</f>
        <v>8</v>
      </c>
      <c r="AT8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2" s="24">
        <f>InputTable[[#This Row],[Value Score]]/InputTable[[#This Row],[EFFORT SCORE]]*100</f>
        <v>22.5</v>
      </c>
      <c r="AV82" s="25" t="str">
        <f>InputTable[[#This Row],[IS Portfolio Ref ID]]</f>
        <v>ISPRJ-93</v>
      </c>
      <c r="AW82" s="25" t="s">
        <v>262</v>
      </c>
      <c r="AX82" s="208"/>
      <c r="AY82" s="25"/>
      <c r="AZ82" s="209">
        <v>0</v>
      </c>
      <c r="BA82" s="209">
        <v>0</v>
      </c>
      <c r="BB82" s="209"/>
      <c r="BC82" s="189"/>
      <c r="BD82" s="188"/>
      <c r="BE82" s="188"/>
      <c r="BF82" s="70"/>
      <c r="BH82" s="2">
        <f>IFERROR(VLOOKUP(InputTable[[#This Row],[Impact on - CIAL]],'System List'!$F$4:$H$7,3,FALSE),0)</f>
        <v>0</v>
      </c>
      <c r="BI82" s="2">
        <f>IFERROR(VLOOKUP(InputTable[[#This Row],[Impact on - COM]],'System List'!$F$4:$H$7,3,FALSE),0)</f>
        <v>0</v>
      </c>
      <c r="BJ82" s="2">
        <f>IFERROR(VLOOKUP(InputTable[[#This Row],[Impact on - FIN]],'System List'!$F$4:$H$7,3,FALSE),0)</f>
        <v>0</v>
      </c>
      <c r="BK82" s="2">
        <f>IFERROR(VLOOKUP(InputTable[[#This Row],[Impact on - GEN SEC]],'System List'!$F$4:$H$7,3,FALSE),0)</f>
        <v>0</v>
      </c>
      <c r="BL82" s="2">
        <f>IFERROR(VLOOKUP(InputTable[[#This Row],[Impact on - HR]],'System List'!$F$4:$H$7,3,FALSE),0)</f>
        <v>0</v>
      </c>
      <c r="BM82" s="2">
        <f>IFERROR(VLOOKUP(InputTable[[#This Row],[Impact on - IS]],'System List'!$F$4:$H$7,3,FALSE),0)</f>
        <v>0</v>
      </c>
      <c r="BN82" s="2">
        <f>IFERROR(VLOOKUP(InputTable[[#This Row],[Impact on - OPS]],'System List'!$F$4:$H$7,3,FALSE),0)</f>
        <v>0</v>
      </c>
      <c r="BO82" s="2">
        <f>IFERROR(VLOOKUP(InputTable[[#This Row],[Impact on - ROLL STOCK]],'System List'!$F$4:$H$7,3,FALSE),0)</f>
        <v>0</v>
      </c>
      <c r="BP82" s="2">
        <f>IFERROR(VLOOKUP(InputTable[[#This Row],[Impact on - SAFETY]],'System List'!$F$4:$H$7,3,FALSE),0)</f>
        <v>0</v>
      </c>
      <c r="BQ82" s="2">
        <f>IFERROR(VLOOKUP(InputTable[[#This Row],[Impact on - STATION]],'System List'!$F$4:$H$7,3,FALSE),0)</f>
        <v>0</v>
      </c>
      <c r="BR82" s="2">
        <f>IFERROR(VLOOKUP(InputTable[[#This Row],[Impact on - STRAT]],'System List'!$F$4:$H$7,3,FALSE),0)</f>
        <v>0</v>
      </c>
      <c r="BT82" s="2">
        <f>IFERROR(VLOOKUP(InputTable[[#This Row],[CORPHRFIN]],'System List'!$F$4:$H$7,3,FALSE),0)</f>
        <v>0</v>
      </c>
      <c r="BU82" s="2">
        <f>IFERROR(VLOOKUP(InputTable[[#This Row],[CUST]],'System List'!$F$4:$H$7,3,FALSE),0)</f>
        <v>0</v>
      </c>
      <c r="BV82" s="2">
        <f>IFERROR(VLOOKUP(InputTable[[#This Row],[CYBER]],'System List'!$F$4:$H$7,3,FALSE),0)</f>
        <v>0</v>
      </c>
      <c r="BW82" s="2">
        <f>IFERROR(VLOOKUP(InputTable[[#This Row],[DATA]],'System List'!$F$4:$H$7,3,FALSE),0)</f>
        <v>0</v>
      </c>
      <c r="BX82" s="2">
        <f>IFERROR(VLOOKUP(InputTable[[#This Row],[INFRA]],'System List'!$F$4:$H$7,3,FALSE),0)</f>
        <v>0</v>
      </c>
      <c r="BY82" s="2">
        <f>IFERROR(VLOOKUP(InputTable[[#This Row],[OPERATIONS]],'System List'!$F$4:$H$7,3,FALSE),0)</f>
        <v>0</v>
      </c>
      <c r="BZ82" s="2">
        <f>IFERROR(VLOOKUP(InputTable[[#This Row],[PMO]],'System List'!$F$4:$H$7,3,FALSE),0)</f>
        <v>0</v>
      </c>
      <c r="CA82" s="2">
        <f>IFERROR(VLOOKUP(InputTable[[#This Row],[SALES]],'System List'!$F$4:$H$7,3,FALSE),0)</f>
        <v>0</v>
      </c>
      <c r="CC82" s="2" cm="1">
        <f t="array" ref="CC8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2" s="2" cm="1">
        <f t="array" ref="CD8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2" s="2" cm="1">
        <f t="array" ref="CE8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2" s="2" cm="1">
        <f t="array" ref="CF8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2" s="2" cm="1">
        <f t="array" ref="CG8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2" s="2" cm="1">
        <f t="array" ref="CH8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2" s="2" cm="1">
        <f t="array" ref="CI8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2" s="2" cm="1">
        <f t="array" ref="CJ8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2" s="2" cm="1">
        <f t="array" ref="CK8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8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2" s="26">
        <f t="shared" si="224"/>
        <v>0</v>
      </c>
      <c r="CY82" s="26">
        <f t="shared" si="225"/>
        <v>0</v>
      </c>
      <c r="CZ82" s="26">
        <f t="shared" si="226"/>
        <v>0</v>
      </c>
      <c r="DA82" s="26">
        <f t="shared" si="227"/>
        <v>0</v>
      </c>
      <c r="DB82" s="26">
        <f t="shared" si="228"/>
        <v>0</v>
      </c>
      <c r="DC82" s="26">
        <f t="shared" si="229"/>
        <v>0</v>
      </c>
      <c r="DD82" s="26">
        <f t="shared" si="230"/>
        <v>0</v>
      </c>
      <c r="DE82" s="26">
        <f t="shared" si="231"/>
        <v>0</v>
      </c>
      <c r="DF82" s="26">
        <f t="shared" si="232"/>
        <v>0</v>
      </c>
      <c r="DH82" s="26">
        <f t="shared" si="233"/>
        <v>0</v>
      </c>
      <c r="DI82" s="26">
        <f t="shared" si="234"/>
        <v>0</v>
      </c>
      <c r="DJ82" s="26">
        <f t="shared" si="235"/>
        <v>0</v>
      </c>
      <c r="DK82" s="26">
        <f t="shared" si="236"/>
        <v>0</v>
      </c>
      <c r="DL82" s="26">
        <f t="shared" si="237"/>
        <v>0</v>
      </c>
      <c r="DM82" s="26">
        <f t="shared" si="238"/>
        <v>0</v>
      </c>
      <c r="DN82" s="26">
        <f t="shared" si="239"/>
        <v>0</v>
      </c>
      <c r="DO82" s="26">
        <f t="shared" si="240"/>
        <v>0</v>
      </c>
      <c r="DP82" s="26">
        <f t="shared" si="241"/>
        <v>0</v>
      </c>
      <c r="DR82" s="26">
        <f t="shared" si="242"/>
        <v>0</v>
      </c>
      <c r="DS82" s="26">
        <f t="shared" si="243"/>
        <v>0</v>
      </c>
      <c r="DT82" s="26">
        <f t="shared" si="244"/>
        <v>0</v>
      </c>
      <c r="DU82" s="26">
        <f t="shared" si="245"/>
        <v>0</v>
      </c>
      <c r="DV82" s="26">
        <f t="shared" si="246"/>
        <v>0</v>
      </c>
      <c r="DW82" s="26">
        <f t="shared" si="247"/>
        <v>0</v>
      </c>
      <c r="DX82" s="26">
        <f t="shared" si="248"/>
        <v>0</v>
      </c>
      <c r="DY82" s="26">
        <f t="shared" si="249"/>
        <v>0</v>
      </c>
      <c r="DZ82" s="26">
        <f t="shared" si="250"/>
        <v>0</v>
      </c>
      <c r="EB82" s="26">
        <f t="shared" si="251"/>
        <v>0</v>
      </c>
      <c r="EC82" s="26">
        <f t="shared" si="252"/>
        <v>0</v>
      </c>
      <c r="ED82" s="26">
        <f t="shared" si="253"/>
        <v>0</v>
      </c>
      <c r="EE82" s="26">
        <f t="shared" si="254"/>
        <v>0</v>
      </c>
      <c r="EF82" s="26">
        <f t="shared" si="255"/>
        <v>0</v>
      </c>
      <c r="EG82" s="26">
        <f t="shared" si="256"/>
        <v>0</v>
      </c>
      <c r="EH82" s="26">
        <f t="shared" si="257"/>
        <v>0</v>
      </c>
      <c r="EI82" s="26">
        <f t="shared" si="258"/>
        <v>0</v>
      </c>
      <c r="EJ82" s="26">
        <f t="shared" si="259"/>
        <v>0</v>
      </c>
      <c r="EL82" s="26">
        <f t="shared" si="260"/>
        <v>0</v>
      </c>
      <c r="EM82" s="26">
        <f t="shared" si="261"/>
        <v>0</v>
      </c>
      <c r="EN82" s="26">
        <f t="shared" si="262"/>
        <v>0</v>
      </c>
      <c r="EO82" s="26">
        <f t="shared" si="263"/>
        <v>0</v>
      </c>
      <c r="EP82" s="26">
        <f t="shared" si="264"/>
        <v>0</v>
      </c>
      <c r="EQ82" s="26">
        <f t="shared" si="265"/>
        <v>0</v>
      </c>
      <c r="ER82" s="26">
        <f t="shared" si="266"/>
        <v>0</v>
      </c>
      <c r="ES82" s="26">
        <f t="shared" si="267"/>
        <v>0</v>
      </c>
      <c r="ET82" s="26">
        <f t="shared" si="268"/>
        <v>0</v>
      </c>
      <c r="EV82" s="26">
        <f t="shared" si="269"/>
        <v>0</v>
      </c>
      <c r="EW82" s="26">
        <f t="shared" si="270"/>
        <v>0</v>
      </c>
      <c r="EX82" s="26">
        <f t="shared" si="271"/>
        <v>0</v>
      </c>
      <c r="EY82" s="26">
        <f t="shared" si="272"/>
        <v>0</v>
      </c>
      <c r="EZ82" s="26">
        <f t="shared" si="273"/>
        <v>0</v>
      </c>
      <c r="FA82" s="26">
        <f t="shared" si="274"/>
        <v>0</v>
      </c>
      <c r="FB82" s="26">
        <f t="shared" si="275"/>
        <v>0</v>
      </c>
      <c r="FC82" s="26">
        <f t="shared" si="276"/>
        <v>0</v>
      </c>
      <c r="FD82" s="26">
        <f t="shared" si="277"/>
        <v>0</v>
      </c>
      <c r="FF82" s="26">
        <f t="shared" si="278"/>
        <v>0</v>
      </c>
      <c r="FG82" s="26">
        <f t="shared" si="279"/>
        <v>0</v>
      </c>
      <c r="FH82" s="26">
        <f t="shared" si="280"/>
        <v>0</v>
      </c>
      <c r="FI82" s="26">
        <f t="shared" si="281"/>
        <v>0</v>
      </c>
      <c r="FJ82" s="26">
        <f t="shared" si="282"/>
        <v>0</v>
      </c>
      <c r="FK82" s="26">
        <f t="shared" si="283"/>
        <v>0</v>
      </c>
      <c r="FL82" s="26">
        <f t="shared" si="284"/>
        <v>0</v>
      </c>
      <c r="FM82" s="26">
        <f t="shared" si="285"/>
        <v>0</v>
      </c>
      <c r="FN82" s="26">
        <f t="shared" si="286"/>
        <v>0</v>
      </c>
      <c r="FP82" s="26" t="e">
        <f t="shared" si="287"/>
        <v>#REF!</v>
      </c>
      <c r="FQ82" s="26" t="e">
        <f t="shared" si="288"/>
        <v>#REF!</v>
      </c>
      <c r="FR82" s="26" t="e">
        <f t="shared" si="289"/>
        <v>#REF!</v>
      </c>
      <c r="FS82" s="26" t="e">
        <f t="shared" si="290"/>
        <v>#REF!</v>
      </c>
      <c r="FT82" s="26" t="e">
        <f t="shared" si="291"/>
        <v>#REF!</v>
      </c>
      <c r="FU82" s="26" t="e">
        <f t="shared" si="292"/>
        <v>#REF!</v>
      </c>
      <c r="FV82" s="26" t="e">
        <f t="shared" si="293"/>
        <v>#REF!</v>
      </c>
      <c r="FW82" s="26" t="e">
        <f t="shared" si="294"/>
        <v>#REF!</v>
      </c>
      <c r="FX82" s="26" t="e">
        <f t="shared" si="295"/>
        <v>#REF!</v>
      </c>
      <c r="GB82" s="26" t="e">
        <f>IF(GB$2=InputTable[[#This Row],[Delivery Date]],_xlfn.XLOOKUP(GB$1,$BH$2:$BR$2,$BH82:$BR82,0),0)</f>
        <v>#REF!</v>
      </c>
      <c r="GC82" s="26">
        <f>IF(GC$2=InputTable[[#This Row],[Delivery Date]],_xlfn.XLOOKUP(GC$1,$BH$2:$BR$2,$BH82:$BR82,0),0)</f>
        <v>0</v>
      </c>
      <c r="GD82" s="26">
        <f>IF(GD$2=InputTable[[#This Row],[Delivery Date]],_xlfn.XLOOKUP(GD$1,$BH$2:$BR$2,$BH82:$BR82,0),0)</f>
        <v>0</v>
      </c>
      <c r="GE82" s="26">
        <f>IF(GE$2=InputTable[[#This Row],[Delivery Date]],_xlfn.XLOOKUP(GE$1,$BH$2:$BR$2,$BH82:$BR82,0),0)</f>
        <v>0</v>
      </c>
      <c r="GF82" s="26">
        <f>IF(GF$2=InputTable[[#This Row],[Delivery Date]],_xlfn.XLOOKUP(GF$1,$BH$2:$BR$2,$BH82:$BR82,0),0)</f>
        <v>0</v>
      </c>
      <c r="GG82" s="26">
        <f>IF(GG$2=InputTable[[#This Row],[Delivery Date]],_xlfn.XLOOKUP(GG$1,$BH$2:$BR$2,$BH82:$BR82,0),0)</f>
        <v>0</v>
      </c>
      <c r="GH82" s="26">
        <f>IF(GH$2=InputTable[[#This Row],[Delivery Date]],_xlfn.XLOOKUP(GH$1,$BH$2:$BR$2,$BH82:$BR82,0),0)</f>
        <v>0</v>
      </c>
      <c r="GI82" s="26">
        <f>IF(GI$2=InputTable[[#This Row],[Delivery Date]],_xlfn.XLOOKUP(GI$1,$BH$2:$BR$2,$BH82:$BR82,0),0)</f>
        <v>0</v>
      </c>
      <c r="GJ82" s="26">
        <f>IF(GJ$2=InputTable[[#This Row],[Delivery Date]],_xlfn.XLOOKUP(GJ$1,$BH$2:$BR$2,$BH82:$BR82,0),0)</f>
        <v>0</v>
      </c>
      <c r="GL82" s="26" t="e">
        <f>IF(GL$2=InputTable[[#This Row],[Delivery Date]],_xlfn.XLOOKUP(GL$1,$BH$2:$BR$2,$BH82:$BR82,0),0)</f>
        <v>#REF!</v>
      </c>
      <c r="GM82" s="26">
        <f>IF(GM$2=InputTable[[#This Row],[Delivery Date]],_xlfn.XLOOKUP(GM$1,$BH$2:$BR$2,$BH82:$BR82,0),0)</f>
        <v>0</v>
      </c>
      <c r="GN82" s="26">
        <f>IF(GN$2=InputTable[[#This Row],[Delivery Date]],_xlfn.XLOOKUP(GN$1,$BH$2:$BR$2,$BH82:$BR82,0),0)</f>
        <v>0</v>
      </c>
      <c r="GO82" s="26">
        <f>IF(GO$2=InputTable[[#This Row],[Delivery Date]],_xlfn.XLOOKUP(GO$1,$BH$2:$BR$2,$BH82:$BR82,0),0)</f>
        <v>0</v>
      </c>
      <c r="GP82" s="26">
        <f>IF(GP$2=InputTable[[#This Row],[Delivery Date]],_xlfn.XLOOKUP(GP$1,$BH$2:$BR$2,$BH82:$BR82,0),0)</f>
        <v>0</v>
      </c>
      <c r="GQ82" s="26">
        <f>IF(GQ$2=InputTable[[#This Row],[Delivery Date]],_xlfn.XLOOKUP(GQ$1,$BH$2:$BR$2,$BH82:$BR82,0),0)</f>
        <v>0</v>
      </c>
      <c r="GR82" s="26">
        <f>IF(GR$2=InputTable[[#This Row],[Delivery Date]],_xlfn.XLOOKUP(GR$1,$BH$2:$BR$2,$BH82:$BR82,0),0)</f>
        <v>0</v>
      </c>
      <c r="GS82" s="26">
        <f>IF(GS$2=InputTable[[#This Row],[Delivery Date]],_xlfn.XLOOKUP(GS$1,$BH$2:$BR$2,$BH82:$BR82,0),0)</f>
        <v>0</v>
      </c>
      <c r="GT82" s="26">
        <f>IF(GT$2=InputTable[[#This Row],[Delivery Date]],_xlfn.XLOOKUP(GT$1,$BH$2:$BR$2,$BH82:$BR82,0),0)</f>
        <v>0</v>
      </c>
      <c r="GV82" s="26" t="e">
        <f>IF(GV$2=InputTable[[#This Row],[Delivery Date]],_xlfn.XLOOKUP(GV$1,$BH$2:$BR$2,$BH82:$BR82,0),0)</f>
        <v>#REF!</v>
      </c>
      <c r="GW82" s="26">
        <f>IF(GW$2=InputTable[[#This Row],[Delivery Date]],_xlfn.XLOOKUP(GW$1,$BH$2:$BR$2,$BH82:$BR82,0),0)</f>
        <v>0</v>
      </c>
      <c r="GX82" s="26">
        <f>IF(GX$2=InputTable[[#This Row],[Delivery Date]],_xlfn.XLOOKUP(GX$1,$BH$2:$BR$2,$BH82:$BR82,0),0)</f>
        <v>0</v>
      </c>
      <c r="GY82" s="26">
        <f>IF(GY$2=InputTable[[#This Row],[Delivery Date]],_xlfn.XLOOKUP(GY$1,$BH$2:$BR$2,$BH82:$BR82,0),0)</f>
        <v>0</v>
      </c>
      <c r="GZ82" s="26">
        <f>IF(GZ$2=InputTable[[#This Row],[Delivery Date]],_xlfn.XLOOKUP(GZ$1,$BH$2:$BR$2,$BH82:$BR82,0),0)</f>
        <v>0</v>
      </c>
      <c r="HA82" s="26">
        <f>IF(HA$2=InputTable[[#This Row],[Delivery Date]],_xlfn.XLOOKUP(HA$1,$BH$2:$BR$2,$BH82:$BR82,0),0)</f>
        <v>0</v>
      </c>
      <c r="HB82" s="26">
        <f>IF(HB$2=InputTable[[#This Row],[Delivery Date]],_xlfn.XLOOKUP(HB$1,$BH$2:$BR$2,$BH82:$BR82,0),0)</f>
        <v>0</v>
      </c>
      <c r="HC82" s="26">
        <f>IF(HC$2=InputTable[[#This Row],[Delivery Date]],_xlfn.XLOOKUP(HC$1,$BH$2:$BR$2,$BH82:$BR82,0),0)</f>
        <v>0</v>
      </c>
      <c r="HD82" s="26">
        <f>IF(HD$2=InputTable[[#This Row],[Delivery Date]],_xlfn.XLOOKUP(HD$1,$BH$2:$BR$2,$BH82:$BR82,0),0)</f>
        <v>0</v>
      </c>
      <c r="HF82" s="26" t="e">
        <f>IF(HF$2=InputTable[[#This Row],[Delivery Date]],_xlfn.XLOOKUP(HF$1,$BH$2:$BR$2,$BH82:$BR82,0),0)</f>
        <v>#REF!</v>
      </c>
      <c r="HG82" s="26">
        <f>IF(HG$2=InputTable[[#This Row],[Delivery Date]],_xlfn.XLOOKUP(HG$1,$BH$2:$BR$2,$BH82:$BR82,0),0)</f>
        <v>0</v>
      </c>
      <c r="HH82" s="26">
        <f>IF(HH$2=InputTable[[#This Row],[Delivery Date]],_xlfn.XLOOKUP(HH$1,$BH$2:$BR$2,$BH82:$BR82,0),0)</f>
        <v>0</v>
      </c>
      <c r="HI82" s="26">
        <f>IF(HI$2=InputTable[[#This Row],[Delivery Date]],_xlfn.XLOOKUP(HI$1,$BH$2:$BR$2,$BH82:$BR82,0),0)</f>
        <v>0</v>
      </c>
      <c r="HJ82" s="26">
        <f>IF(HJ$2=InputTable[[#This Row],[Delivery Date]],_xlfn.XLOOKUP(HJ$1,$BH$2:$BR$2,$BH82:$BR82,0),0)</f>
        <v>0</v>
      </c>
      <c r="HK82" s="26">
        <f>IF(HK$2=InputTable[[#This Row],[Delivery Date]],_xlfn.XLOOKUP(HK$1,$BH$2:$BR$2,$BH82:$BR82,0),0)</f>
        <v>0</v>
      </c>
      <c r="HL82" s="26">
        <f>IF(HL$2=InputTable[[#This Row],[Delivery Date]],_xlfn.XLOOKUP(HL$1,$BH$2:$BR$2,$BH82:$BR82,0),0)</f>
        <v>0</v>
      </c>
      <c r="HM82" s="26">
        <f>IF(HM$2=InputTable[[#This Row],[Delivery Date]],_xlfn.XLOOKUP(HM$1,$BH$2:$BR$2,$BH82:$BR82,0),0)</f>
        <v>0</v>
      </c>
      <c r="HN82" s="26">
        <f>IF(HN$2=InputTable[[#This Row],[Delivery Date]],_xlfn.XLOOKUP(HN$1,$BH$2:$BR$2,$BH82:$BR82,0),0)</f>
        <v>0</v>
      </c>
      <c r="HP82" s="26" t="e">
        <f>IF(HP$2=InputTable[[#This Row],[Delivery Date]],_xlfn.XLOOKUP(HP$1,$BH$2:$BR$2,$BH82:$BR82,0),0)</f>
        <v>#REF!</v>
      </c>
      <c r="HQ82" s="26">
        <f>IF(HQ$2=InputTable[[#This Row],[Delivery Date]],_xlfn.XLOOKUP(HQ$1,$BH$2:$BR$2,$BH82:$BR82,0),0)</f>
        <v>0</v>
      </c>
      <c r="HR82" s="26">
        <f>IF(HR$2=InputTable[[#This Row],[Delivery Date]],_xlfn.XLOOKUP(HR$1,$BH$2:$BR$2,$BH82:$BR82,0),0)</f>
        <v>0</v>
      </c>
      <c r="HS82" s="26">
        <f>IF(HS$2=InputTable[[#This Row],[Delivery Date]],_xlfn.XLOOKUP(HS$1,$BH$2:$BR$2,$BH82:$BR82,0),0)</f>
        <v>0</v>
      </c>
      <c r="HT82" s="26">
        <f>IF(HT$2=InputTable[[#This Row],[Delivery Date]],_xlfn.XLOOKUP(HT$1,$BH$2:$BR$2,$BH82:$BR82,0),0)</f>
        <v>0</v>
      </c>
      <c r="HU82" s="26">
        <f>IF(HU$2=InputTable[[#This Row],[Delivery Date]],_xlfn.XLOOKUP(HU$1,$BH$2:$BR$2,$BH82:$BR82,0),0)</f>
        <v>0</v>
      </c>
      <c r="HV82" s="26">
        <f>IF(HV$2=InputTable[[#This Row],[Delivery Date]],_xlfn.XLOOKUP(HV$1,$BH$2:$BR$2,$BH82:$BR82,0),0)</f>
        <v>0</v>
      </c>
      <c r="HW82" s="26">
        <f>IF(HW$2=InputTable[[#This Row],[Delivery Date]],_xlfn.XLOOKUP(HW$1,$BH$2:$BR$2,$BH82:$BR82,0),0)</f>
        <v>0</v>
      </c>
      <c r="HX82" s="26">
        <f>IF(HX$2=InputTable[[#This Row],[Delivery Date]],_xlfn.XLOOKUP(HX$1,$BH$2:$BR$2,$BH82:$BR82,0),0)</f>
        <v>0</v>
      </c>
      <c r="HZ82" s="26" t="e">
        <f>IF(HZ$2=InputTable[[#This Row],[Delivery Date]],_xlfn.XLOOKUP(HZ$1,$BH$2:$BR$2,$BH82:$BR82,0),0)</f>
        <v>#REF!</v>
      </c>
      <c r="IA82" s="26">
        <f>IF(IA$2=InputTable[[#This Row],[Delivery Date]],_xlfn.XLOOKUP(IA$1,$BH$2:$BR$2,$BH82:$BR82,0),0)</f>
        <v>0</v>
      </c>
      <c r="IB82" s="26">
        <f>IF(IB$2=InputTable[[#This Row],[Delivery Date]],_xlfn.XLOOKUP(IB$1,$BH$2:$BR$2,$BH82:$BR82,0),0)</f>
        <v>0</v>
      </c>
      <c r="IC82" s="26">
        <f>IF(IC$2=InputTable[[#This Row],[Delivery Date]],_xlfn.XLOOKUP(IC$1,$BH$2:$BR$2,$BH82:$BR82,0),0)</f>
        <v>0</v>
      </c>
      <c r="ID82" s="26">
        <f>IF(ID$2=InputTable[[#This Row],[Delivery Date]],_xlfn.XLOOKUP(ID$1,$BH$2:$BR$2,$BH82:$BR82,0),0)</f>
        <v>0</v>
      </c>
      <c r="IE82" s="26">
        <f>IF(IE$2=InputTable[[#This Row],[Delivery Date]],_xlfn.XLOOKUP(IE$1,$BH$2:$BR$2,$BH82:$BR82,0),0)</f>
        <v>0</v>
      </c>
      <c r="IF82" s="26">
        <f>IF(IF$2=InputTable[[#This Row],[Delivery Date]],_xlfn.XLOOKUP(IF$1,$BH$2:$BR$2,$BH82:$BR82,0),0)</f>
        <v>0</v>
      </c>
      <c r="IG82" s="26">
        <f>IF(IG$2=InputTable[[#This Row],[Delivery Date]],_xlfn.XLOOKUP(IG$1,$BH$2:$BR$2,$BH82:$BR82,0),0)</f>
        <v>0</v>
      </c>
      <c r="IH82" s="26">
        <f>IF(IH$2=InputTable[[#This Row],[Delivery Date]],_xlfn.XLOOKUP(IH$1,$BH$2:$BR$2,$BH82:$BR82,0),0)</f>
        <v>0</v>
      </c>
      <c r="IJ82" s="26" t="e">
        <f>IF(IJ$2=InputTable[[#This Row],[Delivery Date]],_xlfn.XLOOKUP(IJ$1,$BH$2:$BR$2,$BH82:$BR82,0),0)</f>
        <v>#REF!</v>
      </c>
      <c r="IK82" s="26">
        <f>IF(IK$2=InputTable[[#This Row],[Delivery Date]],_xlfn.XLOOKUP(IK$1,$BH$2:$BR$2,$BH82:$BR82,0),0)</f>
        <v>0</v>
      </c>
      <c r="IL82" s="26">
        <f>IF(IL$2=InputTable[[#This Row],[Delivery Date]],_xlfn.XLOOKUP(IL$1,$BH$2:$BR$2,$BH82:$BR82,0),0)</f>
        <v>0</v>
      </c>
      <c r="IM82" s="26">
        <f>IF(IM$2=InputTable[[#This Row],[Delivery Date]],_xlfn.XLOOKUP(IM$1,$BH$2:$BR$2,$BH82:$BR82,0),0)</f>
        <v>0</v>
      </c>
      <c r="IN82" s="26">
        <f>IF(IN$2=InputTable[[#This Row],[Delivery Date]],_xlfn.XLOOKUP(IN$1,$BH$2:$BR$2,$BH82:$BR82,0),0)</f>
        <v>0</v>
      </c>
      <c r="IO82" s="26">
        <f>IF(IO$2=InputTable[[#This Row],[Delivery Date]],_xlfn.XLOOKUP(IO$1,$BH$2:$BR$2,$BH82:$BR82,0),0)</f>
        <v>0</v>
      </c>
      <c r="IP82" s="26">
        <f>IF(IP$2=InputTable[[#This Row],[Delivery Date]],_xlfn.XLOOKUP(IP$1,$BH$2:$BR$2,$BH82:$BR82,0),0)</f>
        <v>0</v>
      </c>
      <c r="IQ82" s="26">
        <f>IF(IQ$2=InputTable[[#This Row],[Delivery Date]],_xlfn.XLOOKUP(IQ$1,$BH$2:$BR$2,$BH82:$BR82,0),0)</f>
        <v>0</v>
      </c>
      <c r="IR82" s="26">
        <f>IF(IR$2=InputTable[[#This Row],[Delivery Date]],_xlfn.XLOOKUP(IR$1,$BH$2:$BR$2,$BH82:$BR82,0),0)</f>
        <v>0</v>
      </c>
      <c r="IT82" s="26" t="e">
        <f>IF(IT$2=InputTable[[#This Row],[Delivery Date]],_xlfn.XLOOKUP(IT$1,$BH$2:$BR$2,$BH82:$BR82,0),0)</f>
        <v>#REF!</v>
      </c>
      <c r="IU82" s="26">
        <f>IF(IU$2=InputTable[[#This Row],[Delivery Date]],_xlfn.XLOOKUP(IU$1,$BH$2:$BR$2,$BH82:$BR82,0),0)</f>
        <v>0</v>
      </c>
      <c r="IV82" s="26">
        <f>IF(IV$2=InputTable[[#This Row],[Delivery Date]],_xlfn.XLOOKUP(IV$1,$BH$2:$BR$2,$BH82:$BR82,0),0)</f>
        <v>0</v>
      </c>
      <c r="IW82" s="26">
        <f>IF(IW$2=InputTable[[#This Row],[Delivery Date]],_xlfn.XLOOKUP(IW$1,$BH$2:$BR$2,$BH82:$BR82,0),0)</f>
        <v>0</v>
      </c>
      <c r="IX82" s="26">
        <f>IF(IX$2=InputTable[[#This Row],[Delivery Date]],_xlfn.XLOOKUP(IX$1,$BH$2:$BR$2,$BH82:$BR82,0),0)</f>
        <v>0</v>
      </c>
      <c r="IY82" s="26">
        <f>IF(IY$2=InputTable[[#This Row],[Delivery Date]],_xlfn.XLOOKUP(IY$1,$BH$2:$BR$2,$BH82:$BR82,0),0)</f>
        <v>0</v>
      </c>
      <c r="IZ82" s="26">
        <f>IF(IZ$2=InputTable[[#This Row],[Delivery Date]],_xlfn.XLOOKUP(IZ$1,$BH$2:$BR$2,$BH82:$BR82,0),0)</f>
        <v>0</v>
      </c>
      <c r="JA82" s="26">
        <f>IF(JA$2=InputTable[[#This Row],[Delivery Date]],_xlfn.XLOOKUP(JA$1,$BH$2:$BR$2,$BH82:$BR82,0),0)</f>
        <v>0</v>
      </c>
      <c r="JB82" s="26">
        <f>IF(JB$2=InputTable[[#This Row],[Delivery Date]],_xlfn.XLOOKUP(JB$1,$BH$2:$BR$2,$BH82:$BR82,0),0)</f>
        <v>0</v>
      </c>
      <c r="JD82" s="26" t="e">
        <f>IF(JD$2=InputTable[[#This Row],[Delivery Date]],_xlfn.XLOOKUP(JD$1,$BH$2:$BR$2,$BH82:$BR82,0),0)</f>
        <v>#REF!</v>
      </c>
      <c r="JE82" s="26">
        <f>IF(JE$2=InputTable[[#This Row],[Delivery Date]],_xlfn.XLOOKUP(JE$1,$BH$2:$BR$2,$BH82:$BR82,0),0)</f>
        <v>0</v>
      </c>
      <c r="JF82" s="26">
        <f>IF(JF$2=InputTable[[#This Row],[Delivery Date]],_xlfn.XLOOKUP(JF$1,$BH$2:$BR$2,$BH82:$BR82,0),0)</f>
        <v>0</v>
      </c>
      <c r="JG82" s="26">
        <f>IF(JG$2=InputTable[[#This Row],[Delivery Date]],_xlfn.XLOOKUP(JG$1,$BH$2:$BR$2,$BH82:$BR82,0),0)</f>
        <v>0</v>
      </c>
      <c r="JH82" s="26">
        <f>IF(JH$2=InputTable[[#This Row],[Delivery Date]],_xlfn.XLOOKUP(JH$1,$BH$2:$BR$2,$BH82:$BR82,0),0)</f>
        <v>0</v>
      </c>
      <c r="JI82" s="26">
        <f>IF(JI$2=InputTable[[#This Row],[Delivery Date]],_xlfn.XLOOKUP(JI$1,$BH$2:$BR$2,$BH82:$BR82,0),0)</f>
        <v>0</v>
      </c>
      <c r="JJ82" s="26">
        <f>IF(JJ$2=InputTable[[#This Row],[Delivery Date]],_xlfn.XLOOKUP(JJ$1,$BH$2:$BR$2,$BH82:$BR82,0),0)</f>
        <v>0</v>
      </c>
      <c r="JK82" s="26">
        <f>IF(JK$2=InputTable[[#This Row],[Delivery Date]],_xlfn.XLOOKUP(JK$1,$BH$2:$BR$2,$BH82:$BR82,0),0)</f>
        <v>0</v>
      </c>
      <c r="JL82" s="26">
        <f>IF(JL$2=InputTable[[#This Row],[Delivery Date]],_xlfn.XLOOKUP(JL$1,$BH$2:$BR$2,$BH82:$BR82,0),0)</f>
        <v>0</v>
      </c>
      <c r="JN82" s="26" t="e">
        <f>IF(JN$2=InputTable[[#This Row],[Delivery Date]],_xlfn.XLOOKUP(JN$1,$BH$2:$BR$2,$BH82:$BR82,0),0)</f>
        <v>#REF!</v>
      </c>
      <c r="JO82" s="26">
        <f>IF(JO$2=InputTable[[#This Row],[Delivery Date]],_xlfn.XLOOKUP(JO$1,$BH$2:$BR$2,$BH82:$BR82,0),0)</f>
        <v>0</v>
      </c>
      <c r="JP82" s="26">
        <f>IF(JP$2=InputTable[[#This Row],[Delivery Date]],_xlfn.XLOOKUP(JP$1,$BH$2:$BR$2,$BH82:$BR82,0),0)</f>
        <v>0</v>
      </c>
      <c r="JQ82" s="26">
        <f>IF(JQ$2=InputTable[[#This Row],[Delivery Date]],_xlfn.XLOOKUP(JQ$1,$BH$2:$BR$2,$BH82:$BR82,0),0)</f>
        <v>0</v>
      </c>
      <c r="JR82" s="26">
        <f>IF(JR$2=InputTable[[#This Row],[Delivery Date]],_xlfn.XLOOKUP(JR$1,$BH$2:$BR$2,$BH82:$BR82,0),0)</f>
        <v>0</v>
      </c>
      <c r="JS82" s="26">
        <f>IF(JS$2=InputTable[[#This Row],[Delivery Date]],_xlfn.XLOOKUP(JS$1,$BH$2:$BR$2,$BH82:$BR82,0),0)</f>
        <v>0</v>
      </c>
      <c r="JT82" s="26">
        <f>IF(JT$2=InputTable[[#This Row],[Delivery Date]],_xlfn.XLOOKUP(JT$1,$BH$2:$BR$2,$BH82:$BR82,0),0)</f>
        <v>0</v>
      </c>
      <c r="JU82" s="26">
        <f>IF(JU$2=InputTable[[#This Row],[Delivery Date]],_xlfn.XLOOKUP(JU$1,$BH$2:$BR$2,$BH82:$BR82,0),0)</f>
        <v>0</v>
      </c>
      <c r="JV82" s="26">
        <f>IF(JV$2=InputTable[[#This Row],[Delivery Date]],_xlfn.XLOOKUP(JV$1,$BH$2:$BR$2,$BH82:$BR82,0),0)</f>
        <v>0</v>
      </c>
      <c r="JX82" s="26" t="e">
        <f>IF(JX$2=InputTable[[#This Row],[Delivery Date]],_xlfn.XLOOKUP(JX$1,$BH$2:$BR$2,$BH82:$BR82,0),0)</f>
        <v>#REF!</v>
      </c>
      <c r="JY82" s="26">
        <f>IF(JY$2=InputTable[[#This Row],[Delivery Date]],_xlfn.XLOOKUP(JY$1,$BH$2:$BR$2,$BH82:$BR82,0),0)</f>
        <v>0</v>
      </c>
      <c r="JZ82" s="26">
        <f>IF(JZ$2=InputTable[[#This Row],[Delivery Date]],_xlfn.XLOOKUP(JZ$1,$BH$2:$BR$2,$BH82:$BR82,0),0)</f>
        <v>0</v>
      </c>
      <c r="KA82" s="26">
        <f>IF(KA$2=InputTable[[#This Row],[Delivery Date]],_xlfn.XLOOKUP(KA$1,$BH$2:$BR$2,$BH82:$BR82,0),0)</f>
        <v>0</v>
      </c>
      <c r="KB82" s="26">
        <f>IF(KB$2=InputTable[[#This Row],[Delivery Date]],_xlfn.XLOOKUP(KB$1,$BH$2:$BR$2,$BH82:$BR82,0),0)</f>
        <v>0</v>
      </c>
      <c r="KC82" s="26">
        <f>IF(KC$2=InputTable[[#This Row],[Delivery Date]],_xlfn.XLOOKUP(KC$1,$BH$2:$BR$2,$BH82:$BR82,0),0)</f>
        <v>0</v>
      </c>
      <c r="KD82" s="26">
        <f>IF(KD$2=InputTable[[#This Row],[Delivery Date]],_xlfn.XLOOKUP(KD$1,$BH$2:$BR$2,$BH82:$BR82,0),0)</f>
        <v>0</v>
      </c>
      <c r="KE82" s="26">
        <f>IF(KE$2=InputTable[[#This Row],[Delivery Date]],_xlfn.XLOOKUP(KE$1,$BH$2:$BR$2,$BH82:$BR82,0),0)</f>
        <v>0</v>
      </c>
      <c r="KF82" s="26">
        <f>IF(KF$2=InputTable[[#This Row],[Delivery Date]],_xlfn.XLOOKUP(KF$1,$BH$2:$BR$2,$BH82:$BR82,0),0)</f>
        <v>0</v>
      </c>
    </row>
    <row r="83" spans="1:292" ht="39.6" hidden="1" customHeight="1" x14ac:dyDescent="0.25">
      <c r="A83" s="125" t="s">
        <v>162</v>
      </c>
      <c r="B83" s="141" t="s">
        <v>156</v>
      </c>
      <c r="C83" s="92" t="s">
        <v>59</v>
      </c>
      <c r="D83" s="125" t="s">
        <v>361</v>
      </c>
      <c r="E83" s="193" t="s">
        <v>362</v>
      </c>
      <c r="F83" s="92" t="s">
        <v>61</v>
      </c>
      <c r="G83" s="92" t="s">
        <v>97</v>
      </c>
      <c r="H83" s="92" t="s">
        <v>139</v>
      </c>
      <c r="I83" s="92" t="s">
        <v>160</v>
      </c>
      <c r="J83" s="126"/>
      <c r="K83" s="95" t="e">
        <f>VLOOKUP((InputTable[[#This Row],[Starting Date]]&amp; " - " &amp;InputTable[[#This Row],[Delivery Date]]),'System List'!$F$40:$H$83,2,FALSE)</f>
        <v>#N/A</v>
      </c>
      <c r="L83" s="95" t="e">
        <f>VLOOKUP(InputTable[[#This Row],[Duration]],Duration,2,FALSE)</f>
        <v>#N/A</v>
      </c>
      <c r="M83" s="193"/>
      <c r="N83" s="92"/>
      <c r="O83" s="92"/>
      <c r="P83" s="92" t="s">
        <v>139</v>
      </c>
      <c r="Q83" s="92"/>
      <c r="R83" s="92"/>
      <c r="S83" s="92"/>
      <c r="T83" s="95" cm="1">
        <f t="array" ref="T8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1.6</v>
      </c>
      <c r="U83" s="138"/>
      <c r="V83" s="92"/>
      <c r="W83" s="92"/>
      <c r="X83" s="92"/>
      <c r="Y83" s="92" t="s">
        <v>111</v>
      </c>
      <c r="Z83" s="92"/>
      <c r="AA83" s="92" t="s">
        <v>111</v>
      </c>
      <c r="AB83" s="92"/>
      <c r="AC83" s="92"/>
      <c r="AD83" s="92">
        <f>COUNTA(InputTable[[#This Row],[CORPHRFIN]:[SALES]])</f>
        <v>2</v>
      </c>
      <c r="AE83" s="88" cm="1">
        <f t="array" ref="AE83">SUM(
_xlfn.XLOOKUP(InputTable[[#This Row],[CORPHRFIN]:[SALES]],'System List'!$F$4:$F$7,'System List'!$H$4:$H$7,0))</f>
        <v>10</v>
      </c>
      <c r="AF83" s="140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88" cm="1">
        <f t="array" ref="AR83">SUM(
_xlfn.XLOOKUP(InputTable[[#This Row],[Impact on - CIAL]:[Impact on - STRAT]],'System List'!$F$4:$F$7,'System List'!$H$4:$H$7,0))</f>
        <v>0</v>
      </c>
      <c r="AS83" s="88" t="e">
        <f>VLOOKUP(InputTable[[#This Row],[Duration]],Duration,2,FALSE)+InputTable[[#This Row],[Resource Score]]</f>
        <v>#N/A</v>
      </c>
      <c r="AT8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3" s="24" t="e">
        <f>InputTable[[#This Row],[Value Score]]/InputTable[[#This Row],[EFFORT SCORE]]*100</f>
        <v>#N/A</v>
      </c>
      <c r="AV83" s="25" t="str">
        <f>InputTable[[#This Row],[IS Portfolio Ref ID]]</f>
        <v>ISPRJ-64</v>
      </c>
      <c r="AW83" s="25" t="s">
        <v>222</v>
      </c>
      <c r="AX83" s="208" t="s">
        <v>154</v>
      </c>
      <c r="AY83" s="25"/>
      <c r="AZ83" s="209">
        <v>0</v>
      </c>
      <c r="BA83" s="209">
        <v>0</v>
      </c>
      <c r="BB83" s="209"/>
      <c r="BC83" s="189">
        <f>SUM(InputTable[[#This Row],[Opex IS Budget (full project)]]+InputTable[[#This Row],[Capex IS Budget (full project)]])</f>
        <v>0</v>
      </c>
      <c r="BD83" s="188">
        <v>1</v>
      </c>
      <c r="BE83" s="188">
        <v>2</v>
      </c>
      <c r="BF83" s="70"/>
      <c r="BH83" s="2">
        <f>IFERROR(VLOOKUP(InputTable[[#This Row],[Impact on - CIAL]],'System List'!$F$4:$H$7,3,FALSE),0)</f>
        <v>0</v>
      </c>
      <c r="BI83" s="2">
        <f>IFERROR(VLOOKUP(InputTable[[#This Row],[Impact on - COM]],'System List'!$F$4:$H$7,3,FALSE),0)</f>
        <v>0</v>
      </c>
      <c r="BJ83" s="2">
        <f>IFERROR(VLOOKUP(InputTable[[#This Row],[Impact on - FIN]],'System List'!$F$4:$H$7,3,FALSE),0)</f>
        <v>0</v>
      </c>
      <c r="BK83" s="2">
        <f>IFERROR(VLOOKUP(InputTable[[#This Row],[Impact on - GEN SEC]],'System List'!$F$4:$H$7,3,FALSE),0)</f>
        <v>0</v>
      </c>
      <c r="BL83" s="2">
        <f>IFERROR(VLOOKUP(InputTable[[#This Row],[Impact on - HR]],'System List'!$F$4:$H$7,3,FALSE),0)</f>
        <v>0</v>
      </c>
      <c r="BM83" s="2">
        <f>IFERROR(VLOOKUP(InputTable[[#This Row],[Impact on - IS]],'System List'!$F$4:$H$7,3,FALSE),0)</f>
        <v>0</v>
      </c>
      <c r="BN83" s="2">
        <f>IFERROR(VLOOKUP(InputTable[[#This Row],[Impact on - OPS]],'System List'!$F$4:$H$7,3,FALSE),0)</f>
        <v>0</v>
      </c>
      <c r="BO83" s="2">
        <f>IFERROR(VLOOKUP(InputTable[[#This Row],[Impact on - ROLL STOCK]],'System List'!$F$4:$H$7,3,FALSE),0)</f>
        <v>0</v>
      </c>
      <c r="BP83" s="2">
        <f>IFERROR(VLOOKUP(InputTable[[#This Row],[Impact on - SAFETY]],'System List'!$F$4:$H$7,3,FALSE),0)</f>
        <v>0</v>
      </c>
      <c r="BQ83" s="2">
        <f>IFERROR(VLOOKUP(InputTable[[#This Row],[Impact on - STATION]],'System List'!$F$4:$H$7,3,FALSE),0)</f>
        <v>0</v>
      </c>
      <c r="BR83" s="2">
        <f>IFERROR(VLOOKUP(InputTable[[#This Row],[Impact on - STRAT]],'System List'!$F$4:$H$7,3,FALSE),0)</f>
        <v>0</v>
      </c>
      <c r="BT83" s="2">
        <f>IFERROR(VLOOKUP(InputTable[[#This Row],[CORPHRFIN]],'System List'!$F$4:$H$7,3,FALSE),0)</f>
        <v>0</v>
      </c>
      <c r="BU83" s="2">
        <f>IFERROR(VLOOKUP(InputTable[[#This Row],[CUST]],'System List'!$F$4:$H$7,3,FALSE),0)</f>
        <v>0</v>
      </c>
      <c r="BV83" s="2">
        <f>IFERROR(VLOOKUP(InputTable[[#This Row],[CYBER]],'System List'!$F$4:$H$7,3,FALSE),0)</f>
        <v>0</v>
      </c>
      <c r="BW83" s="2">
        <f>IFERROR(VLOOKUP(InputTable[[#This Row],[DATA]],'System List'!$F$4:$H$7,3,FALSE),0)</f>
        <v>5</v>
      </c>
      <c r="BX83" s="2">
        <f>IFERROR(VLOOKUP(InputTable[[#This Row],[INFRA]],'System List'!$F$4:$H$7,3,FALSE),0)</f>
        <v>0</v>
      </c>
      <c r="BY83" s="2">
        <f>IFERROR(VLOOKUP(InputTable[[#This Row],[OPERATIONS]],'System List'!$F$4:$H$7,3,FALSE),0)</f>
        <v>5</v>
      </c>
      <c r="BZ83" s="2">
        <f>IFERROR(VLOOKUP(InputTable[[#This Row],[PMO]],'System List'!$F$4:$H$7,3,FALSE),0)</f>
        <v>0</v>
      </c>
      <c r="CA83" s="2">
        <f>IFERROR(VLOOKUP(InputTable[[#This Row],[SALES]],'System List'!$F$4:$H$7,3,FALSE),0)</f>
        <v>0</v>
      </c>
      <c r="CC83" s="2" cm="1">
        <f t="array" ref="CC8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3" s="2" cm="1">
        <f t="array" ref="CD8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3" s="2" cm="1">
        <f t="array" ref="CE8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3" s="2" cm="1">
        <f t="array" ref="CF8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3" s="2" cm="1">
        <f t="array" ref="CG8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3" s="2" cm="1">
        <f t="array" ref="CH8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3" s="2" cm="1">
        <f t="array" ref="CI8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3" s="2" cm="1">
        <f t="array" ref="CJ8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3" s="2" cm="1">
        <f t="array" ref="CK8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8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3" s="26">
        <f t="shared" si="224"/>
        <v>0</v>
      </c>
      <c r="CY83" s="26">
        <f t="shared" si="225"/>
        <v>0</v>
      </c>
      <c r="CZ83" s="26">
        <f t="shared" si="226"/>
        <v>0</v>
      </c>
      <c r="DA83" s="26">
        <f t="shared" si="227"/>
        <v>0</v>
      </c>
      <c r="DB83" s="26">
        <f t="shared" si="228"/>
        <v>0</v>
      </c>
      <c r="DC83" s="26">
        <f t="shared" si="229"/>
        <v>0</v>
      </c>
      <c r="DD83" s="26">
        <f t="shared" si="230"/>
        <v>0</v>
      </c>
      <c r="DE83" s="26">
        <f t="shared" si="231"/>
        <v>0</v>
      </c>
      <c r="DF83" s="26">
        <f t="shared" si="232"/>
        <v>0</v>
      </c>
      <c r="DH83" s="26">
        <f t="shared" si="233"/>
        <v>0</v>
      </c>
      <c r="DI83" s="26">
        <f t="shared" si="234"/>
        <v>0</v>
      </c>
      <c r="DJ83" s="26">
        <f t="shared" si="235"/>
        <v>0</v>
      </c>
      <c r="DK83" s="26">
        <f t="shared" si="236"/>
        <v>0</v>
      </c>
      <c r="DL83" s="26">
        <f t="shared" si="237"/>
        <v>0</v>
      </c>
      <c r="DM83" s="26">
        <f t="shared" si="238"/>
        <v>0</v>
      </c>
      <c r="DN83" s="26">
        <f t="shared" si="239"/>
        <v>0</v>
      </c>
      <c r="DO83" s="26">
        <f t="shared" si="240"/>
        <v>0</v>
      </c>
      <c r="DP83" s="26">
        <f t="shared" si="241"/>
        <v>0</v>
      </c>
      <c r="DR83" s="26">
        <f t="shared" si="242"/>
        <v>0</v>
      </c>
      <c r="DS83" s="26">
        <f t="shared" si="243"/>
        <v>0</v>
      </c>
      <c r="DT83" s="26">
        <f t="shared" si="244"/>
        <v>0</v>
      </c>
      <c r="DU83" s="26">
        <f t="shared" si="245"/>
        <v>0</v>
      </c>
      <c r="DV83" s="26">
        <f t="shared" si="246"/>
        <v>0</v>
      </c>
      <c r="DW83" s="26">
        <f t="shared" si="247"/>
        <v>0</v>
      </c>
      <c r="DX83" s="26">
        <f t="shared" si="248"/>
        <v>0</v>
      </c>
      <c r="DY83" s="26">
        <f t="shared" si="249"/>
        <v>0</v>
      </c>
      <c r="DZ83" s="26">
        <f t="shared" si="250"/>
        <v>0</v>
      </c>
      <c r="EB83" s="26">
        <f t="shared" si="251"/>
        <v>0</v>
      </c>
      <c r="EC83" s="26">
        <f t="shared" si="252"/>
        <v>0</v>
      </c>
      <c r="ED83" s="26">
        <f t="shared" si="253"/>
        <v>5</v>
      </c>
      <c r="EE83" s="26">
        <f t="shared" si="254"/>
        <v>5</v>
      </c>
      <c r="EF83" s="26">
        <f t="shared" si="255"/>
        <v>0</v>
      </c>
      <c r="EG83" s="26">
        <f t="shared" si="256"/>
        <v>0</v>
      </c>
      <c r="EH83" s="26">
        <f t="shared" si="257"/>
        <v>0</v>
      </c>
      <c r="EI83" s="26">
        <f t="shared" si="258"/>
        <v>0</v>
      </c>
      <c r="EJ83" s="26">
        <f t="shared" si="259"/>
        <v>0</v>
      </c>
      <c r="EL83" s="26">
        <f t="shared" si="260"/>
        <v>0</v>
      </c>
      <c r="EM83" s="26">
        <f t="shared" si="261"/>
        <v>0</v>
      </c>
      <c r="EN83" s="26">
        <f t="shared" si="262"/>
        <v>0</v>
      </c>
      <c r="EO83" s="26">
        <f t="shared" si="263"/>
        <v>0</v>
      </c>
      <c r="EP83" s="26">
        <f t="shared" si="264"/>
        <v>0</v>
      </c>
      <c r="EQ83" s="26">
        <f t="shared" si="265"/>
        <v>0</v>
      </c>
      <c r="ER83" s="26">
        <f t="shared" si="266"/>
        <v>0</v>
      </c>
      <c r="ES83" s="26">
        <f t="shared" si="267"/>
        <v>0</v>
      </c>
      <c r="ET83" s="26">
        <f t="shared" si="268"/>
        <v>0</v>
      </c>
      <c r="EV83" s="26">
        <f t="shared" si="269"/>
        <v>0</v>
      </c>
      <c r="EW83" s="26">
        <f t="shared" si="270"/>
        <v>0</v>
      </c>
      <c r="EX83" s="26">
        <f t="shared" si="271"/>
        <v>5</v>
      </c>
      <c r="EY83" s="26">
        <f t="shared" si="272"/>
        <v>5</v>
      </c>
      <c r="EZ83" s="26">
        <f t="shared" si="273"/>
        <v>0</v>
      </c>
      <c r="FA83" s="26">
        <f t="shared" si="274"/>
        <v>0</v>
      </c>
      <c r="FB83" s="26">
        <f t="shared" si="275"/>
        <v>0</v>
      </c>
      <c r="FC83" s="26">
        <f t="shared" si="276"/>
        <v>0</v>
      </c>
      <c r="FD83" s="26">
        <f t="shared" si="277"/>
        <v>0</v>
      </c>
      <c r="FF83" s="26">
        <f t="shared" si="278"/>
        <v>0</v>
      </c>
      <c r="FG83" s="26">
        <f t="shared" si="279"/>
        <v>0</v>
      </c>
      <c r="FH83" s="26">
        <f t="shared" si="280"/>
        <v>0</v>
      </c>
      <c r="FI83" s="26">
        <f t="shared" si="281"/>
        <v>0</v>
      </c>
      <c r="FJ83" s="26">
        <f t="shared" si="282"/>
        <v>0</v>
      </c>
      <c r="FK83" s="26">
        <f t="shared" si="283"/>
        <v>0</v>
      </c>
      <c r="FL83" s="26">
        <f t="shared" si="284"/>
        <v>0</v>
      </c>
      <c r="FM83" s="26">
        <f t="shared" si="285"/>
        <v>0</v>
      </c>
      <c r="FN83" s="26">
        <f t="shared" si="286"/>
        <v>0</v>
      </c>
      <c r="FP83" s="26" t="e">
        <f t="shared" si="287"/>
        <v>#REF!</v>
      </c>
      <c r="FQ83" s="26" t="e">
        <f t="shared" si="288"/>
        <v>#REF!</v>
      </c>
      <c r="FR83" s="26" t="e">
        <f t="shared" si="289"/>
        <v>#REF!</v>
      </c>
      <c r="FS83" s="26" t="e">
        <f t="shared" si="290"/>
        <v>#REF!</v>
      </c>
      <c r="FT83" s="26" t="e">
        <f t="shared" si="291"/>
        <v>#REF!</v>
      </c>
      <c r="FU83" s="26" t="e">
        <f t="shared" si="292"/>
        <v>#REF!</v>
      </c>
      <c r="FV83" s="26" t="e">
        <f t="shared" si="293"/>
        <v>#REF!</v>
      </c>
      <c r="FW83" s="26" t="e">
        <f t="shared" si="294"/>
        <v>#REF!</v>
      </c>
      <c r="FX83" s="26" t="e">
        <f t="shared" si="295"/>
        <v>#REF!</v>
      </c>
      <c r="GB83" s="26" t="e">
        <f>IF(GB$2=InputTable[[#This Row],[Delivery Date]],_xlfn.XLOOKUP(GB$1,$BH$2:$BR$2,$BH83:$BR83,0),0)</f>
        <v>#REF!</v>
      </c>
      <c r="GC83" s="26">
        <f>IF(GC$2=InputTable[[#This Row],[Delivery Date]],_xlfn.XLOOKUP(GC$1,$BH$2:$BR$2,$BH83:$BR83,0),0)</f>
        <v>0</v>
      </c>
      <c r="GD83" s="26">
        <f>IF(GD$2=InputTable[[#This Row],[Delivery Date]],_xlfn.XLOOKUP(GD$1,$BH$2:$BR$2,$BH83:$BR83,0),0)</f>
        <v>0</v>
      </c>
      <c r="GE83" s="26">
        <f>IF(GE$2=InputTable[[#This Row],[Delivery Date]],_xlfn.XLOOKUP(GE$1,$BH$2:$BR$2,$BH83:$BR83,0),0)</f>
        <v>0</v>
      </c>
      <c r="GF83" s="26">
        <f>IF(GF$2=InputTable[[#This Row],[Delivery Date]],_xlfn.XLOOKUP(GF$1,$BH$2:$BR$2,$BH83:$BR83,0),0)</f>
        <v>0</v>
      </c>
      <c r="GG83" s="26">
        <f>IF(GG$2=InputTable[[#This Row],[Delivery Date]],_xlfn.XLOOKUP(GG$1,$BH$2:$BR$2,$BH83:$BR83,0),0)</f>
        <v>0</v>
      </c>
      <c r="GH83" s="26">
        <f>IF(GH$2=InputTable[[#This Row],[Delivery Date]],_xlfn.XLOOKUP(GH$1,$BH$2:$BR$2,$BH83:$BR83,0),0)</f>
        <v>0</v>
      </c>
      <c r="GI83" s="26">
        <f>IF(GI$2=InputTable[[#This Row],[Delivery Date]],_xlfn.XLOOKUP(GI$1,$BH$2:$BR$2,$BH83:$BR83,0),0)</f>
        <v>0</v>
      </c>
      <c r="GJ83" s="26">
        <f>IF(GJ$2=InputTable[[#This Row],[Delivery Date]],_xlfn.XLOOKUP(GJ$1,$BH$2:$BR$2,$BH83:$BR83,0),0)</f>
        <v>0</v>
      </c>
      <c r="GL83" s="26" t="e">
        <f>IF(GL$2=InputTable[[#This Row],[Delivery Date]],_xlfn.XLOOKUP(GL$1,$BH$2:$BR$2,$BH83:$BR83,0),0)</f>
        <v>#REF!</v>
      </c>
      <c r="GM83" s="26">
        <f>IF(GM$2=InputTable[[#This Row],[Delivery Date]],_xlfn.XLOOKUP(GM$1,$BH$2:$BR$2,$BH83:$BR83,0),0)</f>
        <v>0</v>
      </c>
      <c r="GN83" s="26">
        <f>IF(GN$2=InputTable[[#This Row],[Delivery Date]],_xlfn.XLOOKUP(GN$1,$BH$2:$BR$2,$BH83:$BR83,0),0)</f>
        <v>0</v>
      </c>
      <c r="GO83" s="26">
        <f>IF(GO$2=InputTable[[#This Row],[Delivery Date]],_xlfn.XLOOKUP(GO$1,$BH$2:$BR$2,$BH83:$BR83,0),0)</f>
        <v>0</v>
      </c>
      <c r="GP83" s="26">
        <f>IF(GP$2=InputTable[[#This Row],[Delivery Date]],_xlfn.XLOOKUP(GP$1,$BH$2:$BR$2,$BH83:$BR83,0),0)</f>
        <v>0</v>
      </c>
      <c r="GQ83" s="26">
        <f>IF(GQ$2=InputTable[[#This Row],[Delivery Date]],_xlfn.XLOOKUP(GQ$1,$BH$2:$BR$2,$BH83:$BR83,0),0)</f>
        <v>0</v>
      </c>
      <c r="GR83" s="26">
        <f>IF(GR$2=InputTable[[#This Row],[Delivery Date]],_xlfn.XLOOKUP(GR$1,$BH$2:$BR$2,$BH83:$BR83,0),0)</f>
        <v>0</v>
      </c>
      <c r="GS83" s="26">
        <f>IF(GS$2=InputTable[[#This Row],[Delivery Date]],_xlfn.XLOOKUP(GS$1,$BH$2:$BR$2,$BH83:$BR83,0),0)</f>
        <v>0</v>
      </c>
      <c r="GT83" s="26">
        <f>IF(GT$2=InputTable[[#This Row],[Delivery Date]],_xlfn.XLOOKUP(GT$1,$BH$2:$BR$2,$BH83:$BR83,0),0)</f>
        <v>0</v>
      </c>
      <c r="GV83" s="26" t="e">
        <f>IF(GV$2=InputTable[[#This Row],[Delivery Date]],_xlfn.XLOOKUP(GV$1,$BH$2:$BR$2,$BH83:$BR83,0),0)</f>
        <v>#REF!</v>
      </c>
      <c r="GW83" s="26">
        <f>IF(GW$2=InputTable[[#This Row],[Delivery Date]],_xlfn.XLOOKUP(GW$1,$BH$2:$BR$2,$BH83:$BR83,0),0)</f>
        <v>0</v>
      </c>
      <c r="GX83" s="26">
        <f>IF(GX$2=InputTable[[#This Row],[Delivery Date]],_xlfn.XLOOKUP(GX$1,$BH$2:$BR$2,$BH83:$BR83,0),0)</f>
        <v>0</v>
      </c>
      <c r="GY83" s="26">
        <f>IF(GY$2=InputTable[[#This Row],[Delivery Date]],_xlfn.XLOOKUP(GY$1,$BH$2:$BR$2,$BH83:$BR83,0),0)</f>
        <v>0</v>
      </c>
      <c r="GZ83" s="26">
        <f>IF(GZ$2=InputTable[[#This Row],[Delivery Date]],_xlfn.XLOOKUP(GZ$1,$BH$2:$BR$2,$BH83:$BR83,0),0)</f>
        <v>0</v>
      </c>
      <c r="HA83" s="26">
        <f>IF(HA$2=InputTable[[#This Row],[Delivery Date]],_xlfn.XLOOKUP(HA$1,$BH$2:$BR$2,$BH83:$BR83,0),0)</f>
        <v>0</v>
      </c>
      <c r="HB83" s="26">
        <f>IF(HB$2=InputTable[[#This Row],[Delivery Date]],_xlfn.XLOOKUP(HB$1,$BH$2:$BR$2,$BH83:$BR83,0),0)</f>
        <v>0</v>
      </c>
      <c r="HC83" s="26">
        <f>IF(HC$2=InputTable[[#This Row],[Delivery Date]],_xlfn.XLOOKUP(HC$1,$BH$2:$BR$2,$BH83:$BR83,0),0)</f>
        <v>0</v>
      </c>
      <c r="HD83" s="26">
        <f>IF(HD$2=InputTable[[#This Row],[Delivery Date]],_xlfn.XLOOKUP(HD$1,$BH$2:$BR$2,$BH83:$BR83,0),0)</f>
        <v>0</v>
      </c>
      <c r="HF83" s="26" t="e">
        <f>IF(HF$2=InputTable[[#This Row],[Delivery Date]],_xlfn.XLOOKUP(HF$1,$BH$2:$BR$2,$BH83:$BR83,0),0)</f>
        <v>#REF!</v>
      </c>
      <c r="HG83" s="26">
        <f>IF(HG$2=InputTable[[#This Row],[Delivery Date]],_xlfn.XLOOKUP(HG$1,$BH$2:$BR$2,$BH83:$BR83,0),0)</f>
        <v>0</v>
      </c>
      <c r="HH83" s="26">
        <f>IF(HH$2=InputTable[[#This Row],[Delivery Date]],_xlfn.XLOOKUP(HH$1,$BH$2:$BR$2,$BH83:$BR83,0),0)</f>
        <v>0</v>
      </c>
      <c r="HI83" s="26">
        <f>IF(HI$2=InputTable[[#This Row],[Delivery Date]],_xlfn.XLOOKUP(HI$1,$BH$2:$BR$2,$BH83:$BR83,0),0)</f>
        <v>0</v>
      </c>
      <c r="HJ83" s="26">
        <f>IF(HJ$2=InputTable[[#This Row],[Delivery Date]],_xlfn.XLOOKUP(HJ$1,$BH$2:$BR$2,$BH83:$BR83,0),0)</f>
        <v>0</v>
      </c>
      <c r="HK83" s="26">
        <f>IF(HK$2=InputTable[[#This Row],[Delivery Date]],_xlfn.XLOOKUP(HK$1,$BH$2:$BR$2,$BH83:$BR83,0),0)</f>
        <v>0</v>
      </c>
      <c r="HL83" s="26">
        <f>IF(HL$2=InputTable[[#This Row],[Delivery Date]],_xlfn.XLOOKUP(HL$1,$BH$2:$BR$2,$BH83:$BR83,0),0)</f>
        <v>0</v>
      </c>
      <c r="HM83" s="26">
        <f>IF(HM$2=InputTable[[#This Row],[Delivery Date]],_xlfn.XLOOKUP(HM$1,$BH$2:$BR$2,$BH83:$BR83,0),0)</f>
        <v>0</v>
      </c>
      <c r="HN83" s="26">
        <f>IF(HN$2=InputTable[[#This Row],[Delivery Date]],_xlfn.XLOOKUP(HN$1,$BH$2:$BR$2,$BH83:$BR83,0),0)</f>
        <v>0</v>
      </c>
      <c r="HP83" s="26" t="e">
        <f>IF(HP$2=InputTable[[#This Row],[Delivery Date]],_xlfn.XLOOKUP(HP$1,$BH$2:$BR$2,$BH83:$BR83,0),0)</f>
        <v>#REF!</v>
      </c>
      <c r="HQ83" s="26">
        <f>IF(HQ$2=InputTable[[#This Row],[Delivery Date]],_xlfn.XLOOKUP(HQ$1,$BH$2:$BR$2,$BH83:$BR83,0),0)</f>
        <v>0</v>
      </c>
      <c r="HR83" s="26">
        <f>IF(HR$2=InputTable[[#This Row],[Delivery Date]],_xlfn.XLOOKUP(HR$1,$BH$2:$BR$2,$BH83:$BR83,0),0)</f>
        <v>0</v>
      </c>
      <c r="HS83" s="26">
        <f>IF(HS$2=InputTable[[#This Row],[Delivery Date]],_xlfn.XLOOKUP(HS$1,$BH$2:$BR$2,$BH83:$BR83,0),0)</f>
        <v>0</v>
      </c>
      <c r="HT83" s="26">
        <f>IF(HT$2=InputTable[[#This Row],[Delivery Date]],_xlfn.XLOOKUP(HT$1,$BH$2:$BR$2,$BH83:$BR83,0),0)</f>
        <v>0</v>
      </c>
      <c r="HU83" s="26">
        <f>IF(HU$2=InputTable[[#This Row],[Delivery Date]],_xlfn.XLOOKUP(HU$1,$BH$2:$BR$2,$BH83:$BR83,0),0)</f>
        <v>0</v>
      </c>
      <c r="HV83" s="26">
        <f>IF(HV$2=InputTable[[#This Row],[Delivery Date]],_xlfn.XLOOKUP(HV$1,$BH$2:$BR$2,$BH83:$BR83,0),0)</f>
        <v>0</v>
      </c>
      <c r="HW83" s="26">
        <f>IF(HW$2=InputTable[[#This Row],[Delivery Date]],_xlfn.XLOOKUP(HW$1,$BH$2:$BR$2,$BH83:$BR83,0),0)</f>
        <v>0</v>
      </c>
      <c r="HX83" s="26">
        <f>IF(HX$2=InputTable[[#This Row],[Delivery Date]],_xlfn.XLOOKUP(HX$1,$BH$2:$BR$2,$BH83:$BR83,0),0)</f>
        <v>0</v>
      </c>
      <c r="HZ83" s="26" t="e">
        <f>IF(HZ$2=InputTable[[#This Row],[Delivery Date]],_xlfn.XLOOKUP(HZ$1,$BH$2:$BR$2,$BH83:$BR83,0),0)</f>
        <v>#REF!</v>
      </c>
      <c r="IA83" s="26">
        <f>IF(IA$2=InputTable[[#This Row],[Delivery Date]],_xlfn.XLOOKUP(IA$1,$BH$2:$BR$2,$BH83:$BR83,0),0)</f>
        <v>0</v>
      </c>
      <c r="IB83" s="26">
        <f>IF(IB$2=InputTable[[#This Row],[Delivery Date]],_xlfn.XLOOKUP(IB$1,$BH$2:$BR$2,$BH83:$BR83,0),0)</f>
        <v>0</v>
      </c>
      <c r="IC83" s="26">
        <f>IF(IC$2=InputTable[[#This Row],[Delivery Date]],_xlfn.XLOOKUP(IC$1,$BH$2:$BR$2,$BH83:$BR83,0),0)</f>
        <v>0</v>
      </c>
      <c r="ID83" s="26">
        <f>IF(ID$2=InputTable[[#This Row],[Delivery Date]],_xlfn.XLOOKUP(ID$1,$BH$2:$BR$2,$BH83:$BR83,0),0)</f>
        <v>0</v>
      </c>
      <c r="IE83" s="26">
        <f>IF(IE$2=InputTable[[#This Row],[Delivery Date]],_xlfn.XLOOKUP(IE$1,$BH$2:$BR$2,$BH83:$BR83,0),0)</f>
        <v>0</v>
      </c>
      <c r="IF83" s="26">
        <f>IF(IF$2=InputTable[[#This Row],[Delivery Date]],_xlfn.XLOOKUP(IF$1,$BH$2:$BR$2,$BH83:$BR83,0),0)</f>
        <v>0</v>
      </c>
      <c r="IG83" s="26">
        <f>IF(IG$2=InputTable[[#This Row],[Delivery Date]],_xlfn.XLOOKUP(IG$1,$BH$2:$BR$2,$BH83:$BR83,0),0)</f>
        <v>0</v>
      </c>
      <c r="IH83" s="26">
        <f>IF(IH$2=InputTable[[#This Row],[Delivery Date]],_xlfn.XLOOKUP(IH$1,$BH$2:$BR$2,$BH83:$BR83,0),0)</f>
        <v>0</v>
      </c>
      <c r="IJ83" s="26" t="e">
        <f>IF(IJ$2=InputTable[[#This Row],[Delivery Date]],_xlfn.XLOOKUP(IJ$1,$BH$2:$BR$2,$BH83:$BR83,0),0)</f>
        <v>#REF!</v>
      </c>
      <c r="IK83" s="26">
        <f>IF(IK$2=InputTable[[#This Row],[Delivery Date]],_xlfn.XLOOKUP(IK$1,$BH$2:$BR$2,$BH83:$BR83,0),0)</f>
        <v>0</v>
      </c>
      <c r="IL83" s="26">
        <f>IF(IL$2=InputTable[[#This Row],[Delivery Date]],_xlfn.XLOOKUP(IL$1,$BH$2:$BR$2,$BH83:$BR83,0),0)</f>
        <v>0</v>
      </c>
      <c r="IM83" s="26">
        <f>IF(IM$2=InputTable[[#This Row],[Delivery Date]],_xlfn.XLOOKUP(IM$1,$BH$2:$BR$2,$BH83:$BR83,0),0)</f>
        <v>0</v>
      </c>
      <c r="IN83" s="26">
        <f>IF(IN$2=InputTable[[#This Row],[Delivery Date]],_xlfn.XLOOKUP(IN$1,$BH$2:$BR$2,$BH83:$BR83,0),0)</f>
        <v>0</v>
      </c>
      <c r="IO83" s="26">
        <f>IF(IO$2=InputTable[[#This Row],[Delivery Date]],_xlfn.XLOOKUP(IO$1,$BH$2:$BR$2,$BH83:$BR83,0),0)</f>
        <v>0</v>
      </c>
      <c r="IP83" s="26">
        <f>IF(IP$2=InputTable[[#This Row],[Delivery Date]],_xlfn.XLOOKUP(IP$1,$BH$2:$BR$2,$BH83:$BR83,0),0)</f>
        <v>0</v>
      </c>
      <c r="IQ83" s="26">
        <f>IF(IQ$2=InputTable[[#This Row],[Delivery Date]],_xlfn.XLOOKUP(IQ$1,$BH$2:$BR$2,$BH83:$BR83,0),0)</f>
        <v>0</v>
      </c>
      <c r="IR83" s="26">
        <f>IF(IR$2=InputTable[[#This Row],[Delivery Date]],_xlfn.XLOOKUP(IR$1,$BH$2:$BR$2,$BH83:$BR83,0),0)</f>
        <v>0</v>
      </c>
      <c r="IT83" s="26" t="e">
        <f>IF(IT$2=InputTable[[#This Row],[Delivery Date]],_xlfn.XLOOKUP(IT$1,$BH$2:$BR$2,$BH83:$BR83,0),0)</f>
        <v>#REF!</v>
      </c>
      <c r="IU83" s="26">
        <f>IF(IU$2=InputTable[[#This Row],[Delivery Date]],_xlfn.XLOOKUP(IU$1,$BH$2:$BR$2,$BH83:$BR83,0),0)</f>
        <v>0</v>
      </c>
      <c r="IV83" s="26">
        <f>IF(IV$2=InputTable[[#This Row],[Delivery Date]],_xlfn.XLOOKUP(IV$1,$BH$2:$BR$2,$BH83:$BR83,0),0)</f>
        <v>0</v>
      </c>
      <c r="IW83" s="26">
        <f>IF(IW$2=InputTable[[#This Row],[Delivery Date]],_xlfn.XLOOKUP(IW$1,$BH$2:$BR$2,$BH83:$BR83,0),0)</f>
        <v>0</v>
      </c>
      <c r="IX83" s="26">
        <f>IF(IX$2=InputTable[[#This Row],[Delivery Date]],_xlfn.XLOOKUP(IX$1,$BH$2:$BR$2,$BH83:$BR83,0),0)</f>
        <v>0</v>
      </c>
      <c r="IY83" s="26">
        <f>IF(IY$2=InputTable[[#This Row],[Delivery Date]],_xlfn.XLOOKUP(IY$1,$BH$2:$BR$2,$BH83:$BR83,0),0)</f>
        <v>0</v>
      </c>
      <c r="IZ83" s="26">
        <f>IF(IZ$2=InputTable[[#This Row],[Delivery Date]],_xlfn.XLOOKUP(IZ$1,$BH$2:$BR$2,$BH83:$BR83,0),0)</f>
        <v>0</v>
      </c>
      <c r="JA83" s="26">
        <f>IF(JA$2=InputTable[[#This Row],[Delivery Date]],_xlfn.XLOOKUP(JA$1,$BH$2:$BR$2,$BH83:$BR83,0),0)</f>
        <v>0</v>
      </c>
      <c r="JB83" s="26">
        <f>IF(JB$2=InputTable[[#This Row],[Delivery Date]],_xlfn.XLOOKUP(JB$1,$BH$2:$BR$2,$BH83:$BR83,0),0)</f>
        <v>0</v>
      </c>
      <c r="JD83" s="26" t="e">
        <f>IF(JD$2=InputTable[[#This Row],[Delivery Date]],_xlfn.XLOOKUP(JD$1,$BH$2:$BR$2,$BH83:$BR83,0),0)</f>
        <v>#REF!</v>
      </c>
      <c r="JE83" s="26">
        <f>IF(JE$2=InputTable[[#This Row],[Delivery Date]],_xlfn.XLOOKUP(JE$1,$BH$2:$BR$2,$BH83:$BR83,0),0)</f>
        <v>0</v>
      </c>
      <c r="JF83" s="26">
        <f>IF(JF$2=InputTable[[#This Row],[Delivery Date]],_xlfn.XLOOKUP(JF$1,$BH$2:$BR$2,$BH83:$BR83,0),0)</f>
        <v>0</v>
      </c>
      <c r="JG83" s="26">
        <f>IF(JG$2=InputTable[[#This Row],[Delivery Date]],_xlfn.XLOOKUP(JG$1,$BH$2:$BR$2,$BH83:$BR83,0),0)</f>
        <v>0</v>
      </c>
      <c r="JH83" s="26">
        <f>IF(JH$2=InputTable[[#This Row],[Delivery Date]],_xlfn.XLOOKUP(JH$1,$BH$2:$BR$2,$BH83:$BR83,0),0)</f>
        <v>0</v>
      </c>
      <c r="JI83" s="26">
        <f>IF(JI$2=InputTable[[#This Row],[Delivery Date]],_xlfn.XLOOKUP(JI$1,$BH$2:$BR$2,$BH83:$BR83,0),0)</f>
        <v>0</v>
      </c>
      <c r="JJ83" s="26">
        <f>IF(JJ$2=InputTable[[#This Row],[Delivery Date]],_xlfn.XLOOKUP(JJ$1,$BH$2:$BR$2,$BH83:$BR83,0),0)</f>
        <v>0</v>
      </c>
      <c r="JK83" s="26">
        <f>IF(JK$2=InputTable[[#This Row],[Delivery Date]],_xlfn.XLOOKUP(JK$1,$BH$2:$BR$2,$BH83:$BR83,0),0)</f>
        <v>0</v>
      </c>
      <c r="JL83" s="26">
        <f>IF(JL$2=InputTable[[#This Row],[Delivery Date]],_xlfn.XLOOKUP(JL$1,$BH$2:$BR$2,$BH83:$BR83,0),0)</f>
        <v>0</v>
      </c>
      <c r="JN83" s="26" t="e">
        <f>IF(JN$2=InputTable[[#This Row],[Delivery Date]],_xlfn.XLOOKUP(JN$1,$BH$2:$BR$2,$BH83:$BR83,0),0)</f>
        <v>#REF!</v>
      </c>
      <c r="JO83" s="26">
        <f>IF(JO$2=InputTable[[#This Row],[Delivery Date]],_xlfn.XLOOKUP(JO$1,$BH$2:$BR$2,$BH83:$BR83,0),0)</f>
        <v>0</v>
      </c>
      <c r="JP83" s="26">
        <f>IF(JP$2=InputTable[[#This Row],[Delivery Date]],_xlfn.XLOOKUP(JP$1,$BH$2:$BR$2,$BH83:$BR83,0),0)</f>
        <v>0</v>
      </c>
      <c r="JQ83" s="26">
        <f>IF(JQ$2=InputTable[[#This Row],[Delivery Date]],_xlfn.XLOOKUP(JQ$1,$BH$2:$BR$2,$BH83:$BR83,0),0)</f>
        <v>0</v>
      </c>
      <c r="JR83" s="26">
        <f>IF(JR$2=InputTable[[#This Row],[Delivery Date]],_xlfn.XLOOKUP(JR$1,$BH$2:$BR$2,$BH83:$BR83,0),0)</f>
        <v>0</v>
      </c>
      <c r="JS83" s="26">
        <f>IF(JS$2=InputTable[[#This Row],[Delivery Date]],_xlfn.XLOOKUP(JS$1,$BH$2:$BR$2,$BH83:$BR83,0),0)</f>
        <v>0</v>
      </c>
      <c r="JT83" s="26">
        <f>IF(JT$2=InputTable[[#This Row],[Delivery Date]],_xlfn.XLOOKUP(JT$1,$BH$2:$BR$2,$BH83:$BR83,0),0)</f>
        <v>0</v>
      </c>
      <c r="JU83" s="26">
        <f>IF(JU$2=InputTable[[#This Row],[Delivery Date]],_xlfn.XLOOKUP(JU$1,$BH$2:$BR$2,$BH83:$BR83,0),0)</f>
        <v>0</v>
      </c>
      <c r="JV83" s="26">
        <f>IF(JV$2=InputTable[[#This Row],[Delivery Date]],_xlfn.XLOOKUP(JV$1,$BH$2:$BR$2,$BH83:$BR83,0),0)</f>
        <v>0</v>
      </c>
      <c r="JX83" s="26" t="e">
        <f>IF(JX$2=InputTable[[#This Row],[Delivery Date]],_xlfn.XLOOKUP(JX$1,$BH$2:$BR$2,$BH83:$BR83,0),0)</f>
        <v>#REF!</v>
      </c>
      <c r="JY83" s="26">
        <f>IF(JY$2=InputTable[[#This Row],[Delivery Date]],_xlfn.XLOOKUP(JY$1,$BH$2:$BR$2,$BH83:$BR83,0),0)</f>
        <v>0</v>
      </c>
      <c r="JZ83" s="26">
        <f>IF(JZ$2=InputTable[[#This Row],[Delivery Date]],_xlfn.XLOOKUP(JZ$1,$BH$2:$BR$2,$BH83:$BR83,0),0)</f>
        <v>0</v>
      </c>
      <c r="KA83" s="26">
        <f>IF(KA$2=InputTable[[#This Row],[Delivery Date]],_xlfn.XLOOKUP(KA$1,$BH$2:$BR$2,$BH83:$BR83,0),0)</f>
        <v>0</v>
      </c>
      <c r="KB83" s="26">
        <f>IF(KB$2=InputTable[[#This Row],[Delivery Date]],_xlfn.XLOOKUP(KB$1,$BH$2:$BR$2,$BH83:$BR83,0),0)</f>
        <v>0</v>
      </c>
      <c r="KC83" s="26">
        <f>IF(KC$2=InputTable[[#This Row],[Delivery Date]],_xlfn.XLOOKUP(KC$1,$BH$2:$BR$2,$BH83:$BR83,0),0)</f>
        <v>0</v>
      </c>
      <c r="KD83" s="26">
        <f>IF(KD$2=InputTable[[#This Row],[Delivery Date]],_xlfn.XLOOKUP(KD$1,$BH$2:$BR$2,$BH83:$BR83,0),0)</f>
        <v>0</v>
      </c>
      <c r="KE83" s="26">
        <f>IF(KE$2=InputTable[[#This Row],[Delivery Date]],_xlfn.XLOOKUP(KE$1,$BH$2:$BR$2,$BH83:$BR83,0),0)</f>
        <v>0</v>
      </c>
      <c r="KF83" s="26">
        <f>IF(KF$2=InputTable[[#This Row],[Delivery Date]],_xlfn.XLOOKUP(KF$1,$BH$2:$BR$2,$BH83:$BR83,0),0)</f>
        <v>0</v>
      </c>
    </row>
    <row r="84" spans="1:292" ht="39.6" customHeight="1" x14ac:dyDescent="0.25">
      <c r="A84" s="141" t="s">
        <v>162</v>
      </c>
      <c r="B84" s="141" t="s">
        <v>104</v>
      </c>
      <c r="C84" s="92" t="s">
        <v>60</v>
      </c>
      <c r="D84" s="125" t="s">
        <v>363</v>
      </c>
      <c r="E84" s="193" t="s">
        <v>364</v>
      </c>
      <c r="F84" s="92" t="s">
        <v>159</v>
      </c>
      <c r="G84" s="92">
        <v>2026</v>
      </c>
      <c r="H84" s="92"/>
      <c r="I84" s="92">
        <v>2027</v>
      </c>
      <c r="J84" s="126" t="s">
        <v>152</v>
      </c>
      <c r="K84" s="95" t="str">
        <f>VLOOKUP((InputTable[[#This Row],[Starting Date]]&amp; " - " &amp;InputTable[[#This Row],[Delivery Date]]),'System List'!$F$40:$H$83,2,FALSE)</f>
        <v>1 to 2 years</v>
      </c>
      <c r="L84" s="95">
        <f>VLOOKUP(InputTable[[#This Row],[Duration]],Duration,2,FALSE)</f>
        <v>8</v>
      </c>
      <c r="M84" s="125"/>
      <c r="N84" s="92" t="s">
        <v>139</v>
      </c>
      <c r="O84" s="92"/>
      <c r="P84" s="92"/>
      <c r="Q84" s="92"/>
      <c r="R84" s="92"/>
      <c r="S84" s="92"/>
      <c r="T84" s="95" cm="1">
        <f t="array" ref="T8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1.6</v>
      </c>
      <c r="U84" s="138"/>
      <c r="V84" s="92"/>
      <c r="W84" s="92"/>
      <c r="X84" s="92" t="s">
        <v>111</v>
      </c>
      <c r="Y84" s="92"/>
      <c r="Z84" s="98" t="s">
        <v>111</v>
      </c>
      <c r="AA84" s="92"/>
      <c r="AB84" s="92"/>
      <c r="AC84" s="92"/>
      <c r="AD84" s="92">
        <f>COUNTA(InputTable[[#This Row],[CORPHRFIN]:[SALES]])</f>
        <v>2</v>
      </c>
      <c r="AE84" s="88" cm="1">
        <f t="array" ref="AE84">SUM(
_xlfn.XLOOKUP(InputTable[[#This Row],[CORPHRFIN]:[SALES]],'System List'!$F$4:$F$7,'System List'!$H$4:$H$7,0))</f>
        <v>10</v>
      </c>
      <c r="AF84" s="140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88" cm="1">
        <f t="array" ref="AR84">SUM(
_xlfn.XLOOKUP(InputTable[[#This Row],[Impact on - CIAL]:[Impact on - STRAT]],'System List'!$F$4:$F$7,'System List'!$H$4:$H$7,0))</f>
        <v>0</v>
      </c>
      <c r="AS84" s="88">
        <f>VLOOKUP(InputTable[[#This Row],[Duration]],Duration,2,FALSE)+InputTable[[#This Row],[Resource Score]]</f>
        <v>18</v>
      </c>
      <c r="AT84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26.923076923076923</v>
      </c>
      <c r="AU84" s="24">
        <f>InputTable[[#This Row],[Value Score]]/InputTable[[#This Row],[EFFORT SCORE]]*100</f>
        <v>8.8888888888888893</v>
      </c>
      <c r="AV84" s="25" t="str">
        <f>InputTable[[#This Row],[IS Portfolio Ref ID]]</f>
        <v>ISPRJ-62</v>
      </c>
      <c r="AW84" s="25" t="s">
        <v>234</v>
      </c>
      <c r="AX84" s="208"/>
      <c r="AY84" s="25"/>
      <c r="AZ84" s="209">
        <v>0</v>
      </c>
      <c r="BA84" s="209">
        <v>226002.68640000001</v>
      </c>
      <c r="BB84" s="209"/>
      <c r="BC84" s="189">
        <f>SUM(InputTable[[#This Row],[Opex IS Budget (full project)]]+InputTable[[#This Row],[Capex IS Budget (full project)]])</f>
        <v>226002.68640000001</v>
      </c>
      <c r="BD84" s="188"/>
      <c r="BE84" s="188"/>
      <c r="BF84" s="70"/>
      <c r="BH84" s="2">
        <f>IFERROR(VLOOKUP(InputTable[[#This Row],[Impact on - CIAL]],'System List'!$F$4:$H$7,3,FALSE),0)</f>
        <v>0</v>
      </c>
      <c r="BI84" s="2">
        <f>IFERROR(VLOOKUP(InputTable[[#This Row],[Impact on - COM]],'System List'!$F$4:$H$7,3,FALSE),0)</f>
        <v>0</v>
      </c>
      <c r="BJ84" s="2">
        <f>IFERROR(VLOOKUP(InputTable[[#This Row],[Impact on - FIN]],'System List'!$F$4:$H$7,3,FALSE),0)</f>
        <v>0</v>
      </c>
      <c r="BK84" s="2">
        <f>IFERROR(VLOOKUP(InputTable[[#This Row],[Impact on - GEN SEC]],'System List'!$F$4:$H$7,3,FALSE),0)</f>
        <v>0</v>
      </c>
      <c r="BL84" s="2">
        <f>IFERROR(VLOOKUP(InputTable[[#This Row],[Impact on - HR]],'System List'!$F$4:$H$7,3,FALSE),0)</f>
        <v>0</v>
      </c>
      <c r="BM84" s="2">
        <f>IFERROR(VLOOKUP(InputTable[[#This Row],[Impact on - IS]],'System List'!$F$4:$H$7,3,FALSE),0)</f>
        <v>0</v>
      </c>
      <c r="BN84" s="2">
        <f>IFERROR(VLOOKUP(InputTable[[#This Row],[Impact on - OPS]],'System List'!$F$4:$H$7,3,FALSE),0)</f>
        <v>0</v>
      </c>
      <c r="BO84" s="2">
        <f>IFERROR(VLOOKUP(InputTable[[#This Row],[Impact on - ROLL STOCK]],'System List'!$F$4:$H$7,3,FALSE),0)</f>
        <v>0</v>
      </c>
      <c r="BP84" s="2">
        <f>IFERROR(VLOOKUP(InputTable[[#This Row],[Impact on - SAFETY]],'System List'!$F$4:$H$7,3,FALSE),0)</f>
        <v>0</v>
      </c>
      <c r="BQ84" s="2">
        <f>IFERROR(VLOOKUP(InputTable[[#This Row],[Impact on - STATION]],'System List'!$F$4:$H$7,3,FALSE),0)</f>
        <v>0</v>
      </c>
      <c r="BR84" s="2">
        <f>IFERROR(VLOOKUP(InputTable[[#This Row],[Impact on - STRAT]],'System List'!$F$4:$H$7,3,FALSE),0)</f>
        <v>0</v>
      </c>
      <c r="BT84" s="2">
        <f>IFERROR(VLOOKUP(InputTable[[#This Row],[CORPHRFIN]],'System List'!$F$4:$H$7,3,FALSE),0)</f>
        <v>0</v>
      </c>
      <c r="BU84" s="2">
        <f>IFERROR(VLOOKUP(InputTable[[#This Row],[CUST]],'System List'!$F$4:$H$7,3,FALSE),0)</f>
        <v>0</v>
      </c>
      <c r="BV84" s="2">
        <f>IFERROR(VLOOKUP(InputTable[[#This Row],[CYBER]],'System List'!$F$4:$H$7,3,FALSE),0)</f>
        <v>5</v>
      </c>
      <c r="BW84" s="2">
        <f>IFERROR(VLOOKUP(InputTable[[#This Row],[DATA]],'System List'!$F$4:$H$7,3,FALSE),0)</f>
        <v>0</v>
      </c>
      <c r="BX84" s="2">
        <f>IFERROR(VLOOKUP(InputTable[[#This Row],[INFRA]],'System List'!$F$4:$H$7,3,FALSE),0)</f>
        <v>5</v>
      </c>
      <c r="BY84" s="2">
        <f>IFERROR(VLOOKUP(InputTable[[#This Row],[OPERATIONS]],'System List'!$F$4:$H$7,3,FALSE),0)</f>
        <v>0</v>
      </c>
      <c r="BZ84" s="2">
        <f>IFERROR(VLOOKUP(InputTable[[#This Row],[PMO]],'System List'!$F$4:$H$7,3,FALSE),0)</f>
        <v>0</v>
      </c>
      <c r="CA84" s="2">
        <f>IFERROR(VLOOKUP(InputTable[[#This Row],[SALES]],'System List'!$F$4:$H$7,3,FALSE),0)</f>
        <v>0</v>
      </c>
      <c r="CC84" s="2" cm="1">
        <f t="array" ref="CC8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4" s="2" cm="1">
        <f t="array" ref="CD8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4" s="2" cm="1">
        <f t="array" ref="CE8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4" s="2" cm="1">
        <f t="array" ref="CF8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4" s="2" cm="1">
        <f t="array" ref="CG8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4" s="2" cm="1">
        <f t="array" ref="CH8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4" s="2" cm="1">
        <f t="array" ref="CI8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4" s="2" cm="1">
        <f t="array" ref="CJ8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4" s="2" cm="1">
        <f t="array" ref="CK8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8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1</v>
      </c>
      <c r="CU8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1</v>
      </c>
      <c r="CV8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4" s="26">
        <f t="shared" ref="CX84:DF84" si="296">CN84*_xlfn.XLOOKUP(CX$1,$BT$2:$CA$2,$BT84:$CA84,0)</f>
        <v>0</v>
      </c>
      <c r="CY84" s="26">
        <f t="shared" si="296"/>
        <v>0</v>
      </c>
      <c r="CZ84" s="26">
        <f t="shared" si="296"/>
        <v>0</v>
      </c>
      <c r="DA84" s="26">
        <f t="shared" si="296"/>
        <v>0</v>
      </c>
      <c r="DB84" s="26">
        <f t="shared" si="296"/>
        <v>0</v>
      </c>
      <c r="DC84" s="26">
        <f t="shared" si="296"/>
        <v>0</v>
      </c>
      <c r="DD84" s="26">
        <f t="shared" si="296"/>
        <v>0</v>
      </c>
      <c r="DE84" s="26">
        <f t="shared" si="296"/>
        <v>0</v>
      </c>
      <c r="DF84" s="26">
        <f t="shared" si="296"/>
        <v>0</v>
      </c>
      <c r="DH84" s="26">
        <f>$CN84*_xlfn.XLOOKUP(DH$1,$BT$2:$CA$2,$BT84:$CA84,0)</f>
        <v>0</v>
      </c>
      <c r="DI84" s="26">
        <f>$CO84*_xlfn.XLOOKUP(DI$1,$BT$2:$CA$2,$BT84:$CA84,0)</f>
        <v>0</v>
      </c>
      <c r="DJ84" s="26">
        <f>$CP84*_xlfn.XLOOKUP(DJ$1,$BT$2:$CA$2,$BT84:$CA84,0)</f>
        <v>0</v>
      </c>
      <c r="DK84" s="26">
        <f>$CQ84*_xlfn.XLOOKUP(DK$1,$BT$2:$CA$2,$BT84:$CA84,0)</f>
        <v>0</v>
      </c>
      <c r="DL84" s="26">
        <f>$CR84*_xlfn.XLOOKUP(DL$1,$BT$2:$CA$2,$BT84:$CA84,0)</f>
        <v>0</v>
      </c>
      <c r="DM84" s="26">
        <f>$CS84*_xlfn.XLOOKUP(DM$1,$BT$2:$CA$2,$BT84:$CA84,0)</f>
        <v>0</v>
      </c>
      <c r="DN84" s="26">
        <f>$CT84*_xlfn.XLOOKUP(DN$1,$BT$2:$CA$2,$BT84:$CA84,0)</f>
        <v>0</v>
      </c>
      <c r="DO84" s="26">
        <f>$CU84*_xlfn.XLOOKUP(DO$1,$BT$2:$CA$2,$BT84:$CA84,0)</f>
        <v>0</v>
      </c>
      <c r="DP84" s="26">
        <f>$CV84*_xlfn.XLOOKUP(DP$1,$BT$2:$CA$2,$BT84:$CA84,0)</f>
        <v>0</v>
      </c>
      <c r="DR84" s="26">
        <f>$CN84*_xlfn.XLOOKUP(DR$1,$BT$2:$CA$2,$BT84:$CA84,0)</f>
        <v>0</v>
      </c>
      <c r="DS84" s="26">
        <f>$CO84*_xlfn.XLOOKUP(DS$1,$BT$2:$CA$2,$BT84:$CA84,0)</f>
        <v>0</v>
      </c>
      <c r="DT84" s="26">
        <f>$CP84*_xlfn.XLOOKUP(DT$1,$BT$2:$CA$2,$BT84:$CA84,0)</f>
        <v>0</v>
      </c>
      <c r="DU84" s="26">
        <f>$CQ84*_xlfn.XLOOKUP(DU$1,$BT$2:$CA$2,$BT84:$CA84,0)</f>
        <v>0</v>
      </c>
      <c r="DV84" s="26">
        <f>$CR84*_xlfn.XLOOKUP(DV$1,$BT$2:$CA$2,$BT84:$CA84,0)</f>
        <v>0</v>
      </c>
      <c r="DW84" s="26">
        <f>$CS84*_xlfn.XLOOKUP(DW$1,$BT$2:$CA$2,$BT84:$CA84,0)</f>
        <v>0</v>
      </c>
      <c r="DX84" s="26">
        <f>$CT84*_xlfn.XLOOKUP(DX$1,$BT$2:$CA$2,$BT84:$CA84,0)</f>
        <v>5</v>
      </c>
      <c r="DY84" s="26">
        <f>$CU84*_xlfn.XLOOKUP(DY$1,$BT$2:$CA$2,$BT84:$CA84,0)</f>
        <v>5</v>
      </c>
      <c r="DZ84" s="26">
        <f>$CV84*_xlfn.XLOOKUP(DZ$1,$BT$2:$CA$2,$BT84:$CA84,0)</f>
        <v>0</v>
      </c>
      <c r="EB84" s="26">
        <f>$CN84*_xlfn.XLOOKUP(EB$1,$BT$2:$CA$2,$BT84:$CA84,0)</f>
        <v>0</v>
      </c>
      <c r="EC84" s="26">
        <f>$CO84*_xlfn.XLOOKUP(EC$1,$BT$2:$CA$2,$BT84:$CA84,0)</f>
        <v>0</v>
      </c>
      <c r="ED84" s="26">
        <f>$CP84*_xlfn.XLOOKUP(ED$1,$BT$2:$CA$2,$BT84:$CA84,0)</f>
        <v>0</v>
      </c>
      <c r="EE84" s="26">
        <f>$CQ84*_xlfn.XLOOKUP(EE$1,$BT$2:$CA$2,$BT84:$CA84,0)</f>
        <v>0</v>
      </c>
      <c r="EF84" s="26">
        <f>$CR84*_xlfn.XLOOKUP(EF$1,$BT$2:$CA$2,$BT84:$CA84,0)</f>
        <v>0</v>
      </c>
      <c r="EG84" s="26">
        <f>$CS84*_xlfn.XLOOKUP(EG$1,$BT$2:$CA$2,$BT84:$CA84,0)</f>
        <v>0</v>
      </c>
      <c r="EH84" s="26">
        <f>$CT84*_xlfn.XLOOKUP(EH$1,$BT$2:$CA$2,$BT84:$CA84,0)</f>
        <v>0</v>
      </c>
      <c r="EI84" s="26">
        <f>$CU84*_xlfn.XLOOKUP(EI$1,$BT$2:$CA$2,$BT84:$CA84,0)</f>
        <v>0</v>
      </c>
      <c r="EJ84" s="26">
        <f>$CV84*_xlfn.XLOOKUP(EJ$1,$BT$2:$CA$2,$BT84:$CA84,0)</f>
        <v>0</v>
      </c>
      <c r="EL84" s="26">
        <f>$CN84*_xlfn.XLOOKUP(EL$1,$BT$2:$CA$2,$BT84:$CA84,0)</f>
        <v>0</v>
      </c>
      <c r="EM84" s="26">
        <f>$CO84*_xlfn.XLOOKUP(EM$1,$BT$2:$CA$2,$BT84:$CA84,0)</f>
        <v>0</v>
      </c>
      <c r="EN84" s="26">
        <f>$CP84*_xlfn.XLOOKUP(EN$1,$BT$2:$CA$2,$BT84:$CA84,0)</f>
        <v>0</v>
      </c>
      <c r="EO84" s="26">
        <f>$CQ84*_xlfn.XLOOKUP(EO$1,$BT$2:$CA$2,$BT84:$CA84,0)</f>
        <v>0</v>
      </c>
      <c r="EP84" s="26">
        <f>$CR84*_xlfn.XLOOKUP(EP$1,$BT$2:$CA$2,$BT84:$CA84,0)</f>
        <v>0</v>
      </c>
      <c r="EQ84" s="26">
        <f>$CS84*_xlfn.XLOOKUP(EQ$1,$BT$2:$CA$2,$BT84:$CA84,0)</f>
        <v>0</v>
      </c>
      <c r="ER84" s="26">
        <f>$CT84*_xlfn.XLOOKUP(ER$1,$BT$2:$CA$2,$BT84:$CA84,0)</f>
        <v>5</v>
      </c>
      <c r="ES84" s="26">
        <f>$CU84*_xlfn.XLOOKUP(ES$1,$BT$2:$CA$2,$BT84:$CA84,0)</f>
        <v>5</v>
      </c>
      <c r="ET84" s="26">
        <f>$CV84*_xlfn.XLOOKUP(ET$1,$BT$2:$CA$2,$BT84:$CA84,0)</f>
        <v>0</v>
      </c>
      <c r="EV84" s="26">
        <f>$CN84*_xlfn.XLOOKUP(EV$1,$BT$2:$CA$2,$BT84:$CA84,0)</f>
        <v>0</v>
      </c>
      <c r="EW84" s="26">
        <f>$CO84*_xlfn.XLOOKUP(EW$1,$BT$2:$CA$2,$BT84:$CA84,0)</f>
        <v>0</v>
      </c>
      <c r="EX84" s="26">
        <f>$CP84*_xlfn.XLOOKUP(EX$1,$BT$2:$CA$2,$BT84:$CA84,0)</f>
        <v>0</v>
      </c>
      <c r="EY84" s="26">
        <f>$CQ84*_xlfn.XLOOKUP(EY$1,$BT$2:$CA$2,$BT84:$CA84,0)</f>
        <v>0</v>
      </c>
      <c r="EZ84" s="26">
        <f>$CR84*_xlfn.XLOOKUP(EZ$1,$BT$2:$CA$2,$BT84:$CA84,0)</f>
        <v>0</v>
      </c>
      <c r="FA84" s="26">
        <f>$CS84*_xlfn.XLOOKUP(FA$1,$BT$2:$CA$2,$BT84:$CA84,0)</f>
        <v>0</v>
      </c>
      <c r="FB84" s="26">
        <f>$CT84*_xlfn.XLOOKUP(FB$1,$BT$2:$CA$2,$BT84:$CA84,0)</f>
        <v>0</v>
      </c>
      <c r="FC84" s="26">
        <f>$CU84*_xlfn.XLOOKUP(FC$1,$BT$2:$CA$2,$BT84:$CA84,0)</f>
        <v>0</v>
      </c>
      <c r="FD84" s="26">
        <f>$CV84*_xlfn.XLOOKUP(FD$1,$BT$2:$CA$2,$BT84:$CA84,0)</f>
        <v>0</v>
      </c>
      <c r="FF84" s="26">
        <f>$CN84*_xlfn.XLOOKUP(FF$1,$BT$2:$CA$2,$BT84:$CA84,0)</f>
        <v>0</v>
      </c>
      <c r="FG84" s="26">
        <f>$CO84*_xlfn.XLOOKUP(FG$1,$BT$2:$CA$2,$BT84:$CA84,0)</f>
        <v>0</v>
      </c>
      <c r="FH84" s="26">
        <f>$CP84*_xlfn.XLOOKUP(FH$1,$BT$2:$CA$2,$BT84:$CA84,0)</f>
        <v>0</v>
      </c>
      <c r="FI84" s="26">
        <f>$CQ84*_xlfn.XLOOKUP(FI$1,$BT$2:$CA$2,$BT84:$CA84,0)</f>
        <v>0</v>
      </c>
      <c r="FJ84" s="26">
        <f>$CR84*_xlfn.XLOOKUP(FJ$1,$BT$2:$CA$2,$BT84:$CA84,0)</f>
        <v>0</v>
      </c>
      <c r="FK84" s="26">
        <f>$CS84*_xlfn.XLOOKUP(FK$1,$BT$2:$CA$2,$BT84:$CA84,0)</f>
        <v>0</v>
      </c>
      <c r="FL84" s="26">
        <f>$CT84*_xlfn.XLOOKUP(FL$1,$BT$2:$CA$2,$BT84:$CA84,0)</f>
        <v>0</v>
      </c>
      <c r="FM84" s="26">
        <f>$CU84*_xlfn.XLOOKUP(FM$1,$BT$2:$CA$2,$BT84:$CA84,0)</f>
        <v>0</v>
      </c>
      <c r="FN84" s="26">
        <f>$CV84*_xlfn.XLOOKUP(FN$1,$BT$2:$CA$2,$BT84:$CA84,0)</f>
        <v>0</v>
      </c>
      <c r="FP84" s="26" t="e">
        <f>$CN84*_xlfn.XLOOKUP(FP$1,$BT$2:$CA$2,$BT84:$CA84,0)</f>
        <v>#REF!</v>
      </c>
      <c r="FQ84" s="26" t="e">
        <f>$CO84*_xlfn.XLOOKUP(FQ$1,$BT$2:$CA$2,$BT84:$CA84,0)</f>
        <v>#REF!</v>
      </c>
      <c r="FR84" s="26" t="e">
        <f>$CP84*_xlfn.XLOOKUP(FR$1,$BT$2:$CA$2,$BT84:$CA84,0)</f>
        <v>#REF!</v>
      </c>
      <c r="FS84" s="26" t="e">
        <f>$CQ84*_xlfn.XLOOKUP(FS$1,$BT$2:$CA$2,$BT84:$CA84,0)</f>
        <v>#REF!</v>
      </c>
      <c r="FT84" s="26" t="e">
        <f>$CR84*_xlfn.XLOOKUP(FT$1,$BT$2:$CA$2,$BT84:$CA84,0)</f>
        <v>#REF!</v>
      </c>
      <c r="FU84" s="26" t="e">
        <f>$CS84*_xlfn.XLOOKUP(FU$1,$BT$2:$CA$2,$BT84:$CA84,0)</f>
        <v>#REF!</v>
      </c>
      <c r="FV84" s="26" t="e">
        <f>$CT84*_xlfn.XLOOKUP(FV$1,$BT$2:$CA$2,$BT84:$CA84,0)</f>
        <v>#REF!</v>
      </c>
      <c r="FW84" s="26" t="e">
        <f>$CU84*_xlfn.XLOOKUP(FW$1,$BT$2:$CA$2,$BT84:$CA84,0)</f>
        <v>#REF!</v>
      </c>
      <c r="FX84" s="26" t="e">
        <f>$CV84*_xlfn.XLOOKUP(FX$1,$BT$2:$CA$2,$BT84:$CA84,0)</f>
        <v>#REF!</v>
      </c>
      <c r="GB84" s="26" t="e">
        <f>IF(GB$2=InputTable[[#This Row],[Delivery Date]],_xlfn.XLOOKUP(GB$1,$BH$2:$BR$2,$BH84:$BR84,0),0)</f>
        <v>#REF!</v>
      </c>
      <c r="GC84" s="26">
        <f>IF(GC$2=InputTable[[#This Row],[Delivery Date]],_xlfn.XLOOKUP(GC$1,$BH$2:$BR$2,$BH84:$BR84,0),0)</f>
        <v>0</v>
      </c>
      <c r="GD84" s="26">
        <f>IF(GD$2=InputTable[[#This Row],[Delivery Date]],_xlfn.XLOOKUP(GD$1,$BH$2:$BR$2,$BH84:$BR84,0),0)</f>
        <v>0</v>
      </c>
      <c r="GE84" s="26">
        <f>IF(GE$2=InputTable[[#This Row],[Delivery Date]],_xlfn.XLOOKUP(GE$1,$BH$2:$BR$2,$BH84:$BR84,0),0)</f>
        <v>0</v>
      </c>
      <c r="GF84" s="26">
        <f>IF(GF$2=InputTable[[#This Row],[Delivery Date]],_xlfn.XLOOKUP(GF$1,$BH$2:$BR$2,$BH84:$BR84,0),0)</f>
        <v>0</v>
      </c>
      <c r="GG84" s="26">
        <f>IF(GG$2=InputTable[[#This Row],[Delivery Date]],_xlfn.XLOOKUP(GG$1,$BH$2:$BR$2,$BH84:$BR84,0),0)</f>
        <v>0</v>
      </c>
      <c r="GH84" s="26">
        <f>IF(GH$2=InputTable[[#This Row],[Delivery Date]],_xlfn.XLOOKUP(GH$1,$BH$2:$BR$2,$BH84:$BR84,0),0)</f>
        <v>0</v>
      </c>
      <c r="GI84" s="26">
        <f>IF(GI$2=InputTable[[#This Row],[Delivery Date]],_xlfn.XLOOKUP(GI$1,$BH$2:$BR$2,$BH84:$BR84,0),0)</f>
        <v>0</v>
      </c>
      <c r="GJ84" s="26">
        <f>IF(GJ$2=InputTable[[#This Row],[Delivery Date]],_xlfn.XLOOKUP(GJ$1,$BH$2:$BR$2,$BH84:$BR84,0),0)</f>
        <v>0</v>
      </c>
      <c r="GL84" s="26" t="e">
        <f>IF(GL$2=InputTable[[#This Row],[Delivery Date]],_xlfn.XLOOKUP(GL$1,$BH$2:$BR$2,$BH84:$BR84,0),0)</f>
        <v>#REF!</v>
      </c>
      <c r="GM84" s="26">
        <f>IF(GM$2=InputTable[[#This Row],[Delivery Date]],_xlfn.XLOOKUP(GM$1,$BH$2:$BR$2,$BH84:$BR84,0),0)</f>
        <v>0</v>
      </c>
      <c r="GN84" s="26">
        <f>IF(GN$2=InputTable[[#This Row],[Delivery Date]],_xlfn.XLOOKUP(GN$1,$BH$2:$BR$2,$BH84:$BR84,0),0)</f>
        <v>0</v>
      </c>
      <c r="GO84" s="26">
        <f>IF(GO$2=InputTable[[#This Row],[Delivery Date]],_xlfn.XLOOKUP(GO$1,$BH$2:$BR$2,$BH84:$BR84,0),0)</f>
        <v>0</v>
      </c>
      <c r="GP84" s="26">
        <f>IF(GP$2=InputTable[[#This Row],[Delivery Date]],_xlfn.XLOOKUP(GP$1,$BH$2:$BR$2,$BH84:$BR84,0),0)</f>
        <v>0</v>
      </c>
      <c r="GQ84" s="26">
        <f>IF(GQ$2=InputTable[[#This Row],[Delivery Date]],_xlfn.XLOOKUP(GQ$1,$BH$2:$BR$2,$BH84:$BR84,0),0)</f>
        <v>0</v>
      </c>
      <c r="GR84" s="26">
        <f>IF(GR$2=InputTable[[#This Row],[Delivery Date]],_xlfn.XLOOKUP(GR$1,$BH$2:$BR$2,$BH84:$BR84,0),0)</f>
        <v>0</v>
      </c>
      <c r="GS84" s="26">
        <f>IF(GS$2=InputTable[[#This Row],[Delivery Date]],_xlfn.XLOOKUP(GS$1,$BH$2:$BR$2,$BH84:$BR84,0),0)</f>
        <v>0</v>
      </c>
      <c r="GT84" s="26">
        <f>IF(GT$2=InputTable[[#This Row],[Delivery Date]],_xlfn.XLOOKUP(GT$1,$BH$2:$BR$2,$BH84:$BR84,0),0)</f>
        <v>0</v>
      </c>
      <c r="GV84" s="26" t="e">
        <f>IF(GV$2=InputTable[[#This Row],[Delivery Date]],_xlfn.XLOOKUP(GV$1,$BH$2:$BR$2,$BH84:$BR84,0),0)</f>
        <v>#REF!</v>
      </c>
      <c r="GW84" s="26">
        <f>IF(GW$2=InputTable[[#This Row],[Delivery Date]],_xlfn.XLOOKUP(GW$1,$BH$2:$BR$2,$BH84:$BR84,0),0)</f>
        <v>0</v>
      </c>
      <c r="GX84" s="26">
        <f>IF(GX$2=InputTable[[#This Row],[Delivery Date]],_xlfn.XLOOKUP(GX$1,$BH$2:$BR$2,$BH84:$BR84,0),0)</f>
        <v>0</v>
      </c>
      <c r="GY84" s="26">
        <f>IF(GY$2=InputTable[[#This Row],[Delivery Date]],_xlfn.XLOOKUP(GY$1,$BH$2:$BR$2,$BH84:$BR84,0),0)</f>
        <v>0</v>
      </c>
      <c r="GZ84" s="26">
        <f>IF(GZ$2=InputTable[[#This Row],[Delivery Date]],_xlfn.XLOOKUP(GZ$1,$BH$2:$BR$2,$BH84:$BR84,0),0)</f>
        <v>0</v>
      </c>
      <c r="HA84" s="26">
        <f>IF(HA$2=InputTable[[#This Row],[Delivery Date]],_xlfn.XLOOKUP(HA$1,$BH$2:$BR$2,$BH84:$BR84,0),0)</f>
        <v>0</v>
      </c>
      <c r="HB84" s="26">
        <f>IF(HB$2=InputTable[[#This Row],[Delivery Date]],_xlfn.XLOOKUP(HB$1,$BH$2:$BR$2,$BH84:$BR84,0),0)</f>
        <v>0</v>
      </c>
      <c r="HC84" s="26">
        <f>IF(HC$2=InputTable[[#This Row],[Delivery Date]],_xlfn.XLOOKUP(HC$1,$BH$2:$BR$2,$BH84:$BR84,0),0)</f>
        <v>0</v>
      </c>
      <c r="HD84" s="26">
        <f>IF(HD$2=InputTable[[#This Row],[Delivery Date]],_xlfn.XLOOKUP(HD$1,$BH$2:$BR$2,$BH84:$BR84,0),0)</f>
        <v>0</v>
      </c>
      <c r="HF84" s="26" t="e">
        <f>IF(HF$2=InputTable[[#This Row],[Delivery Date]],_xlfn.XLOOKUP(HF$1,$BH$2:$BR$2,$BH84:$BR84,0),0)</f>
        <v>#REF!</v>
      </c>
      <c r="HG84" s="26">
        <f>IF(HG$2=InputTable[[#This Row],[Delivery Date]],_xlfn.XLOOKUP(HG$1,$BH$2:$BR$2,$BH84:$BR84,0),0)</f>
        <v>0</v>
      </c>
      <c r="HH84" s="26">
        <f>IF(HH$2=InputTable[[#This Row],[Delivery Date]],_xlfn.XLOOKUP(HH$1,$BH$2:$BR$2,$BH84:$BR84,0),0)</f>
        <v>0</v>
      </c>
      <c r="HI84" s="26">
        <f>IF(HI$2=InputTable[[#This Row],[Delivery Date]],_xlfn.XLOOKUP(HI$1,$BH$2:$BR$2,$BH84:$BR84,0),0)</f>
        <v>0</v>
      </c>
      <c r="HJ84" s="26">
        <f>IF(HJ$2=InputTable[[#This Row],[Delivery Date]],_xlfn.XLOOKUP(HJ$1,$BH$2:$BR$2,$BH84:$BR84,0),0)</f>
        <v>0</v>
      </c>
      <c r="HK84" s="26">
        <f>IF(HK$2=InputTable[[#This Row],[Delivery Date]],_xlfn.XLOOKUP(HK$1,$BH$2:$BR$2,$BH84:$BR84,0),0)</f>
        <v>0</v>
      </c>
      <c r="HL84" s="26">
        <f>IF(HL$2=InputTable[[#This Row],[Delivery Date]],_xlfn.XLOOKUP(HL$1,$BH$2:$BR$2,$BH84:$BR84,0),0)</f>
        <v>0</v>
      </c>
      <c r="HM84" s="26">
        <f>IF(HM$2=InputTable[[#This Row],[Delivery Date]],_xlfn.XLOOKUP(HM$1,$BH$2:$BR$2,$BH84:$BR84,0),0)</f>
        <v>0</v>
      </c>
      <c r="HN84" s="26">
        <f>IF(HN$2=InputTable[[#This Row],[Delivery Date]],_xlfn.XLOOKUP(HN$1,$BH$2:$BR$2,$BH84:$BR84,0),0)</f>
        <v>0</v>
      </c>
      <c r="HP84" s="26" t="e">
        <f>IF(HP$2=InputTable[[#This Row],[Delivery Date]],_xlfn.XLOOKUP(HP$1,$BH$2:$BR$2,$BH84:$BR84,0),0)</f>
        <v>#REF!</v>
      </c>
      <c r="HQ84" s="26">
        <f>IF(HQ$2=InputTable[[#This Row],[Delivery Date]],_xlfn.XLOOKUP(HQ$1,$BH$2:$BR$2,$BH84:$BR84,0),0)</f>
        <v>0</v>
      </c>
      <c r="HR84" s="26">
        <f>IF(HR$2=InputTable[[#This Row],[Delivery Date]],_xlfn.XLOOKUP(HR$1,$BH$2:$BR$2,$BH84:$BR84,0),0)</f>
        <v>0</v>
      </c>
      <c r="HS84" s="26">
        <f>IF(HS$2=InputTable[[#This Row],[Delivery Date]],_xlfn.XLOOKUP(HS$1,$BH$2:$BR$2,$BH84:$BR84,0),0)</f>
        <v>0</v>
      </c>
      <c r="HT84" s="26">
        <f>IF(HT$2=InputTable[[#This Row],[Delivery Date]],_xlfn.XLOOKUP(HT$1,$BH$2:$BR$2,$BH84:$BR84,0),0)</f>
        <v>0</v>
      </c>
      <c r="HU84" s="26">
        <f>IF(HU$2=InputTable[[#This Row],[Delivery Date]],_xlfn.XLOOKUP(HU$1,$BH$2:$BR$2,$BH84:$BR84,0),0)</f>
        <v>0</v>
      </c>
      <c r="HV84" s="26">
        <f>IF(HV$2=InputTable[[#This Row],[Delivery Date]],_xlfn.XLOOKUP(HV$1,$BH$2:$BR$2,$BH84:$BR84,0),0)</f>
        <v>0</v>
      </c>
      <c r="HW84" s="26">
        <f>IF(HW$2=InputTable[[#This Row],[Delivery Date]],_xlfn.XLOOKUP(HW$1,$BH$2:$BR$2,$BH84:$BR84,0),0)</f>
        <v>0</v>
      </c>
      <c r="HX84" s="26">
        <f>IF(HX$2=InputTable[[#This Row],[Delivery Date]],_xlfn.XLOOKUP(HX$1,$BH$2:$BR$2,$BH84:$BR84,0),0)</f>
        <v>0</v>
      </c>
      <c r="HZ84" s="26" t="e">
        <f>IF(HZ$2=InputTable[[#This Row],[Delivery Date]],_xlfn.XLOOKUP(HZ$1,$BH$2:$BR$2,$BH84:$BR84,0),0)</f>
        <v>#REF!</v>
      </c>
      <c r="IA84" s="26">
        <f>IF(IA$2=InputTable[[#This Row],[Delivery Date]],_xlfn.XLOOKUP(IA$1,$BH$2:$BR$2,$BH84:$BR84,0),0)</f>
        <v>0</v>
      </c>
      <c r="IB84" s="26">
        <f>IF(IB$2=InputTable[[#This Row],[Delivery Date]],_xlfn.XLOOKUP(IB$1,$BH$2:$BR$2,$BH84:$BR84,0),0)</f>
        <v>0</v>
      </c>
      <c r="IC84" s="26">
        <f>IF(IC$2=InputTable[[#This Row],[Delivery Date]],_xlfn.XLOOKUP(IC$1,$BH$2:$BR$2,$BH84:$BR84,0),0)</f>
        <v>0</v>
      </c>
      <c r="ID84" s="26">
        <f>IF(ID$2=InputTable[[#This Row],[Delivery Date]],_xlfn.XLOOKUP(ID$1,$BH$2:$BR$2,$BH84:$BR84,0),0)</f>
        <v>0</v>
      </c>
      <c r="IE84" s="26">
        <f>IF(IE$2=InputTable[[#This Row],[Delivery Date]],_xlfn.XLOOKUP(IE$1,$BH$2:$BR$2,$BH84:$BR84,0),0)</f>
        <v>0</v>
      </c>
      <c r="IF84" s="26">
        <f>IF(IF$2=InputTable[[#This Row],[Delivery Date]],_xlfn.XLOOKUP(IF$1,$BH$2:$BR$2,$BH84:$BR84,0),0)</f>
        <v>0</v>
      </c>
      <c r="IG84" s="26">
        <f>IF(IG$2=InputTable[[#This Row],[Delivery Date]],_xlfn.XLOOKUP(IG$1,$BH$2:$BR$2,$BH84:$BR84,0),0)</f>
        <v>0</v>
      </c>
      <c r="IH84" s="26">
        <f>IF(IH$2=InputTable[[#This Row],[Delivery Date]],_xlfn.XLOOKUP(IH$1,$BH$2:$BR$2,$BH84:$BR84,0),0)</f>
        <v>0</v>
      </c>
      <c r="IJ84" s="26" t="e">
        <f>IF(IJ$2=InputTable[[#This Row],[Delivery Date]],_xlfn.XLOOKUP(IJ$1,$BH$2:$BR$2,$BH84:$BR84,0),0)</f>
        <v>#REF!</v>
      </c>
      <c r="IK84" s="26">
        <f>IF(IK$2=InputTable[[#This Row],[Delivery Date]],_xlfn.XLOOKUP(IK$1,$BH$2:$BR$2,$BH84:$BR84,0),0)</f>
        <v>0</v>
      </c>
      <c r="IL84" s="26">
        <f>IF(IL$2=InputTable[[#This Row],[Delivery Date]],_xlfn.XLOOKUP(IL$1,$BH$2:$BR$2,$BH84:$BR84,0),0)</f>
        <v>0</v>
      </c>
      <c r="IM84" s="26">
        <f>IF(IM$2=InputTable[[#This Row],[Delivery Date]],_xlfn.XLOOKUP(IM$1,$BH$2:$BR$2,$BH84:$BR84,0),0)</f>
        <v>0</v>
      </c>
      <c r="IN84" s="26">
        <f>IF(IN$2=InputTable[[#This Row],[Delivery Date]],_xlfn.XLOOKUP(IN$1,$BH$2:$BR$2,$BH84:$BR84,0),0)</f>
        <v>0</v>
      </c>
      <c r="IO84" s="26">
        <f>IF(IO$2=InputTable[[#This Row],[Delivery Date]],_xlfn.XLOOKUP(IO$1,$BH$2:$BR$2,$BH84:$BR84,0),0)</f>
        <v>0</v>
      </c>
      <c r="IP84" s="26">
        <f>IF(IP$2=InputTable[[#This Row],[Delivery Date]],_xlfn.XLOOKUP(IP$1,$BH$2:$BR$2,$BH84:$BR84,0),0)</f>
        <v>0</v>
      </c>
      <c r="IQ84" s="26">
        <f>IF(IQ$2=InputTable[[#This Row],[Delivery Date]],_xlfn.XLOOKUP(IQ$1,$BH$2:$BR$2,$BH84:$BR84,0),0)</f>
        <v>0</v>
      </c>
      <c r="IR84" s="26">
        <f>IF(IR$2=InputTable[[#This Row],[Delivery Date]],_xlfn.XLOOKUP(IR$1,$BH$2:$BR$2,$BH84:$BR84,0),0)</f>
        <v>0</v>
      </c>
      <c r="IT84" s="26" t="e">
        <f>IF(IT$2=InputTable[[#This Row],[Delivery Date]],_xlfn.XLOOKUP(IT$1,$BH$2:$BR$2,$BH84:$BR84,0),0)</f>
        <v>#REF!</v>
      </c>
      <c r="IU84" s="26">
        <f>IF(IU$2=InputTable[[#This Row],[Delivery Date]],_xlfn.XLOOKUP(IU$1,$BH$2:$BR$2,$BH84:$BR84,0),0)</f>
        <v>0</v>
      </c>
      <c r="IV84" s="26">
        <f>IF(IV$2=InputTable[[#This Row],[Delivery Date]],_xlfn.XLOOKUP(IV$1,$BH$2:$BR$2,$BH84:$BR84,0),0)</f>
        <v>0</v>
      </c>
      <c r="IW84" s="26">
        <f>IF(IW$2=InputTable[[#This Row],[Delivery Date]],_xlfn.XLOOKUP(IW$1,$BH$2:$BR$2,$BH84:$BR84,0),0)</f>
        <v>0</v>
      </c>
      <c r="IX84" s="26">
        <f>IF(IX$2=InputTable[[#This Row],[Delivery Date]],_xlfn.XLOOKUP(IX$1,$BH$2:$BR$2,$BH84:$BR84,0),0)</f>
        <v>0</v>
      </c>
      <c r="IY84" s="26">
        <f>IF(IY$2=InputTable[[#This Row],[Delivery Date]],_xlfn.XLOOKUP(IY$1,$BH$2:$BR$2,$BH84:$BR84,0),0)</f>
        <v>0</v>
      </c>
      <c r="IZ84" s="26">
        <f>IF(IZ$2=InputTable[[#This Row],[Delivery Date]],_xlfn.XLOOKUP(IZ$1,$BH$2:$BR$2,$BH84:$BR84,0),0)</f>
        <v>0</v>
      </c>
      <c r="JA84" s="26">
        <f>IF(JA$2=InputTable[[#This Row],[Delivery Date]],_xlfn.XLOOKUP(JA$1,$BH$2:$BR$2,$BH84:$BR84,0),0)</f>
        <v>0</v>
      </c>
      <c r="JB84" s="26">
        <f>IF(JB$2=InputTable[[#This Row],[Delivery Date]],_xlfn.XLOOKUP(JB$1,$BH$2:$BR$2,$BH84:$BR84,0),0)</f>
        <v>0</v>
      </c>
      <c r="JD84" s="26" t="e">
        <f>IF(JD$2=InputTable[[#This Row],[Delivery Date]],_xlfn.XLOOKUP(JD$1,$BH$2:$BR$2,$BH84:$BR84,0),0)</f>
        <v>#REF!</v>
      </c>
      <c r="JE84" s="26">
        <f>IF(JE$2=InputTable[[#This Row],[Delivery Date]],_xlfn.XLOOKUP(JE$1,$BH$2:$BR$2,$BH84:$BR84,0),0)</f>
        <v>0</v>
      </c>
      <c r="JF84" s="26">
        <f>IF(JF$2=InputTable[[#This Row],[Delivery Date]],_xlfn.XLOOKUP(JF$1,$BH$2:$BR$2,$BH84:$BR84,0),0)</f>
        <v>0</v>
      </c>
      <c r="JG84" s="26">
        <f>IF(JG$2=InputTable[[#This Row],[Delivery Date]],_xlfn.XLOOKUP(JG$1,$BH$2:$BR$2,$BH84:$BR84,0),0)</f>
        <v>0</v>
      </c>
      <c r="JH84" s="26">
        <f>IF(JH$2=InputTable[[#This Row],[Delivery Date]],_xlfn.XLOOKUP(JH$1,$BH$2:$BR$2,$BH84:$BR84,0),0)</f>
        <v>0</v>
      </c>
      <c r="JI84" s="26">
        <f>IF(JI$2=InputTable[[#This Row],[Delivery Date]],_xlfn.XLOOKUP(JI$1,$BH$2:$BR$2,$BH84:$BR84,0),0)</f>
        <v>0</v>
      </c>
      <c r="JJ84" s="26">
        <f>IF(JJ$2=InputTable[[#This Row],[Delivery Date]],_xlfn.XLOOKUP(JJ$1,$BH$2:$BR$2,$BH84:$BR84,0),0)</f>
        <v>0</v>
      </c>
      <c r="JK84" s="26">
        <f>IF(JK$2=InputTable[[#This Row],[Delivery Date]],_xlfn.XLOOKUP(JK$1,$BH$2:$BR$2,$BH84:$BR84,0),0)</f>
        <v>0</v>
      </c>
      <c r="JL84" s="26">
        <f>IF(JL$2=InputTable[[#This Row],[Delivery Date]],_xlfn.XLOOKUP(JL$1,$BH$2:$BR$2,$BH84:$BR84,0),0)</f>
        <v>0</v>
      </c>
      <c r="JN84" s="26" t="e">
        <f>IF(JN$2=InputTable[[#This Row],[Delivery Date]],_xlfn.XLOOKUP(JN$1,$BH$2:$BR$2,$BH84:$BR84,0),0)</f>
        <v>#REF!</v>
      </c>
      <c r="JO84" s="26">
        <f>IF(JO$2=InputTable[[#This Row],[Delivery Date]],_xlfn.XLOOKUP(JO$1,$BH$2:$BR$2,$BH84:$BR84,0),0)</f>
        <v>0</v>
      </c>
      <c r="JP84" s="26">
        <f>IF(JP$2=InputTable[[#This Row],[Delivery Date]],_xlfn.XLOOKUP(JP$1,$BH$2:$BR$2,$BH84:$BR84,0),0)</f>
        <v>0</v>
      </c>
      <c r="JQ84" s="26">
        <f>IF(JQ$2=InputTable[[#This Row],[Delivery Date]],_xlfn.XLOOKUP(JQ$1,$BH$2:$BR$2,$BH84:$BR84,0),0)</f>
        <v>0</v>
      </c>
      <c r="JR84" s="26">
        <f>IF(JR$2=InputTable[[#This Row],[Delivery Date]],_xlfn.XLOOKUP(JR$1,$BH$2:$BR$2,$BH84:$BR84,0),0)</f>
        <v>0</v>
      </c>
      <c r="JS84" s="26">
        <f>IF(JS$2=InputTable[[#This Row],[Delivery Date]],_xlfn.XLOOKUP(JS$1,$BH$2:$BR$2,$BH84:$BR84,0),0)</f>
        <v>0</v>
      </c>
      <c r="JT84" s="26">
        <f>IF(JT$2=InputTable[[#This Row],[Delivery Date]],_xlfn.XLOOKUP(JT$1,$BH$2:$BR$2,$BH84:$BR84,0),0)</f>
        <v>0</v>
      </c>
      <c r="JU84" s="26">
        <f>IF(JU$2=InputTable[[#This Row],[Delivery Date]],_xlfn.XLOOKUP(JU$1,$BH$2:$BR$2,$BH84:$BR84,0),0)</f>
        <v>0</v>
      </c>
      <c r="JV84" s="26">
        <f>IF(JV$2=InputTable[[#This Row],[Delivery Date]],_xlfn.XLOOKUP(JV$1,$BH$2:$BR$2,$BH84:$BR84,0),0)</f>
        <v>0</v>
      </c>
      <c r="JX84" s="26" t="e">
        <f>IF(JX$2=InputTable[[#This Row],[Delivery Date]],_xlfn.XLOOKUP(JX$1,$BH$2:$BR$2,$BH84:$BR84,0),0)</f>
        <v>#REF!</v>
      </c>
      <c r="JY84" s="26">
        <f>IF(JY$2=InputTable[[#This Row],[Delivery Date]],_xlfn.XLOOKUP(JY$1,$BH$2:$BR$2,$BH84:$BR84,0),0)</f>
        <v>0</v>
      </c>
      <c r="JZ84" s="26">
        <f>IF(JZ$2=InputTable[[#This Row],[Delivery Date]],_xlfn.XLOOKUP(JZ$1,$BH$2:$BR$2,$BH84:$BR84,0),0)</f>
        <v>0</v>
      </c>
      <c r="KA84" s="26">
        <f>IF(KA$2=InputTable[[#This Row],[Delivery Date]],_xlfn.XLOOKUP(KA$1,$BH$2:$BR$2,$BH84:$BR84,0),0)</f>
        <v>0</v>
      </c>
      <c r="KB84" s="26">
        <f>IF(KB$2=InputTable[[#This Row],[Delivery Date]],_xlfn.XLOOKUP(KB$1,$BH$2:$BR$2,$BH84:$BR84,0),0)</f>
        <v>0</v>
      </c>
      <c r="KC84" s="26">
        <f>IF(KC$2=InputTable[[#This Row],[Delivery Date]],_xlfn.XLOOKUP(KC$1,$BH$2:$BR$2,$BH84:$BR84,0),0)</f>
        <v>0</v>
      </c>
      <c r="KD84" s="26">
        <f>IF(KD$2=InputTable[[#This Row],[Delivery Date]],_xlfn.XLOOKUP(KD$1,$BH$2:$BR$2,$BH84:$BR84,0),0)</f>
        <v>0</v>
      </c>
      <c r="KE84" s="26">
        <f>IF(KE$2=InputTable[[#This Row],[Delivery Date]],_xlfn.XLOOKUP(KE$1,$BH$2:$BR$2,$BH84:$BR84,0),0)</f>
        <v>0</v>
      </c>
      <c r="KF84" s="26">
        <f>IF(KF$2=InputTable[[#This Row],[Delivery Date]],_xlfn.XLOOKUP(KF$1,$BH$2:$BR$2,$BH84:$BR84,0),0)</f>
        <v>0</v>
      </c>
    </row>
    <row r="85" spans="1:292" ht="39.6" customHeight="1" x14ac:dyDescent="0.25">
      <c r="A85" s="141" t="s">
        <v>162</v>
      </c>
      <c r="B85" s="141" t="s">
        <v>104</v>
      </c>
      <c r="C85" s="92" t="s">
        <v>58</v>
      </c>
      <c r="D85" s="125" t="s">
        <v>365</v>
      </c>
      <c r="E85" s="193" t="s">
        <v>366</v>
      </c>
      <c r="F85" s="92" t="s">
        <v>24</v>
      </c>
      <c r="G85" s="92">
        <v>2026</v>
      </c>
      <c r="H85" s="92"/>
      <c r="I85" s="92">
        <v>2026</v>
      </c>
      <c r="J85" s="126" t="s">
        <v>152</v>
      </c>
      <c r="K85" s="95" t="str">
        <f>VLOOKUP((InputTable[[#This Row],[Starting Date]]&amp; " - " &amp;InputTable[[#This Row],[Delivery Date]]),'System List'!$F$40:$H$83,2,FALSE)</f>
        <v>1 to 2 years</v>
      </c>
      <c r="L85" s="95">
        <f>VLOOKUP(InputTable[[#This Row],[Duration]],Duration,2,FALSE)</f>
        <v>8</v>
      </c>
      <c r="M85" s="125"/>
      <c r="N85" s="92" t="s">
        <v>139</v>
      </c>
      <c r="O85" s="92"/>
      <c r="P85" s="92"/>
      <c r="Q85" s="92"/>
      <c r="R85" s="92"/>
      <c r="S85" s="92"/>
      <c r="T85" s="95" cm="1">
        <f t="array" ref="T8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1.6</v>
      </c>
      <c r="U85" s="138"/>
      <c r="V85" s="92"/>
      <c r="W85" s="92"/>
      <c r="X85" s="92" t="s">
        <v>139</v>
      </c>
      <c r="Y85" s="92"/>
      <c r="Z85" s="92" t="s">
        <v>139</v>
      </c>
      <c r="AA85" s="92"/>
      <c r="AB85" s="92"/>
      <c r="AC85" s="92"/>
      <c r="AD85" s="92">
        <f>COUNTA(InputTable[[#This Row],[CORPHRFIN]:[SALES]])</f>
        <v>2</v>
      </c>
      <c r="AE85" s="88" cm="1">
        <f t="array" ref="AE85">SUM(
_xlfn.XLOOKUP(InputTable[[#This Row],[CORPHRFIN]:[SALES]],'System List'!$F$4:$F$7,'System List'!$H$4:$H$7,0))</f>
        <v>16</v>
      </c>
      <c r="AF85" s="140"/>
      <c r="AG85" s="96"/>
      <c r="AH85" s="96"/>
      <c r="AI85" s="96"/>
      <c r="AJ85" s="96"/>
      <c r="AK85" s="96"/>
      <c r="AL85" s="96" t="s">
        <v>111</v>
      </c>
      <c r="AM85" s="96"/>
      <c r="AN85" s="96"/>
      <c r="AO85" s="96"/>
      <c r="AP85" s="96"/>
      <c r="AQ85" s="96"/>
      <c r="AR85" s="88" cm="1">
        <f t="array" ref="AR85">SUM(
_xlfn.XLOOKUP(InputTable[[#This Row],[Impact on - CIAL]:[Impact on - STRAT]],'System List'!$F$4:$F$7,'System List'!$H$4:$H$7,0))</f>
        <v>5</v>
      </c>
      <c r="AS85" s="88">
        <f>VLOOKUP(InputTable[[#This Row],[Duration]],Duration,2,FALSE)+InputTable[[#This Row],[Resource Score]]</f>
        <v>24</v>
      </c>
      <c r="AT85" s="88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40.769230769230781</v>
      </c>
      <c r="AU85" s="24">
        <f>InputTable[[#This Row],[Value Score]]/InputTable[[#This Row],[EFFORT SCORE]]*100</f>
        <v>6.666666666666667</v>
      </c>
      <c r="AV85" s="25" t="str">
        <f>InputTable[[#This Row],[IS Portfolio Ref ID]]</f>
        <v>ISPRJ-63</v>
      </c>
      <c r="AW85" s="25" t="s">
        <v>308</v>
      </c>
      <c r="AX85" s="208"/>
      <c r="AY85" s="25"/>
      <c r="AZ85" s="209">
        <v>0</v>
      </c>
      <c r="BA85" s="209">
        <v>0</v>
      </c>
      <c r="BB85" s="209"/>
      <c r="BC85" s="189">
        <f>SUM(InputTable[[#This Row],[Opex IS Budget (full project)]]+InputTable[[#This Row],[Capex IS Budget (full project)]])</f>
        <v>0</v>
      </c>
      <c r="BD85" s="188">
        <v>5</v>
      </c>
      <c r="BE85" s="188"/>
      <c r="BF85" s="70"/>
      <c r="BH85" s="2">
        <f>IFERROR(VLOOKUP(InputTable[[#This Row],[Impact on - CIAL]],'System List'!$F$4:$H$7,3,FALSE),0)</f>
        <v>0</v>
      </c>
      <c r="BI85" s="2">
        <f>IFERROR(VLOOKUP(InputTable[[#This Row],[Impact on - COM]],'System List'!$F$4:$H$7,3,FALSE),0)</f>
        <v>0</v>
      </c>
      <c r="BJ85" s="2">
        <f>IFERROR(VLOOKUP(InputTable[[#This Row],[Impact on - FIN]],'System List'!$F$4:$H$7,3,FALSE),0)</f>
        <v>0</v>
      </c>
      <c r="BK85" s="2">
        <f>IFERROR(VLOOKUP(InputTable[[#This Row],[Impact on - GEN SEC]],'System List'!$F$4:$H$7,3,FALSE),0)</f>
        <v>0</v>
      </c>
      <c r="BL85" s="2">
        <f>IFERROR(VLOOKUP(InputTable[[#This Row],[Impact on - HR]],'System List'!$F$4:$H$7,3,FALSE),0)</f>
        <v>0</v>
      </c>
      <c r="BM85" s="2">
        <f>IFERROR(VLOOKUP(InputTable[[#This Row],[Impact on - IS]],'System List'!$F$4:$H$7,3,FALSE),0)</f>
        <v>5</v>
      </c>
      <c r="BN85" s="2">
        <f>IFERROR(VLOOKUP(InputTable[[#This Row],[Impact on - OPS]],'System List'!$F$4:$H$7,3,FALSE),0)</f>
        <v>0</v>
      </c>
      <c r="BO85" s="2">
        <f>IFERROR(VLOOKUP(InputTable[[#This Row],[Impact on - ROLL STOCK]],'System List'!$F$4:$H$7,3,FALSE),0)</f>
        <v>0</v>
      </c>
      <c r="BP85" s="2">
        <f>IFERROR(VLOOKUP(InputTable[[#This Row],[Impact on - SAFETY]],'System List'!$F$4:$H$7,3,FALSE),0)</f>
        <v>0</v>
      </c>
      <c r="BQ85" s="2">
        <f>IFERROR(VLOOKUP(InputTable[[#This Row],[Impact on - STATION]],'System List'!$F$4:$H$7,3,FALSE),0)</f>
        <v>0</v>
      </c>
      <c r="BR85" s="2">
        <f>IFERROR(VLOOKUP(InputTable[[#This Row],[Impact on - STRAT]],'System List'!$F$4:$H$7,3,FALSE),0)</f>
        <v>0</v>
      </c>
      <c r="BT85" s="2">
        <f>IFERROR(VLOOKUP(InputTable[[#This Row],[CORPHRFIN]],'System List'!$F$4:$H$7,3,FALSE),0)</f>
        <v>0</v>
      </c>
      <c r="BU85" s="2">
        <f>IFERROR(VLOOKUP(InputTable[[#This Row],[CUST]],'System List'!$F$4:$H$7,3,FALSE),0)</f>
        <v>0</v>
      </c>
      <c r="BV85" s="2">
        <f>IFERROR(VLOOKUP(InputTable[[#This Row],[CYBER]],'System List'!$F$4:$H$7,3,FALSE),0)</f>
        <v>8</v>
      </c>
      <c r="BW85" s="2">
        <f>IFERROR(VLOOKUP(InputTable[[#This Row],[DATA]],'System List'!$F$4:$H$7,3,FALSE),0)</f>
        <v>0</v>
      </c>
      <c r="BX85" s="2">
        <f>IFERROR(VLOOKUP(InputTable[[#This Row],[INFRA]],'System List'!$F$4:$H$7,3,FALSE),0)</f>
        <v>8</v>
      </c>
      <c r="BY85" s="2">
        <f>IFERROR(VLOOKUP(InputTable[[#This Row],[OPERATIONS]],'System List'!$F$4:$H$7,3,FALSE),0)</f>
        <v>0</v>
      </c>
      <c r="BZ85" s="2">
        <f>IFERROR(VLOOKUP(InputTable[[#This Row],[PMO]],'System List'!$F$4:$H$7,3,FALSE),0)</f>
        <v>0</v>
      </c>
      <c r="CA85" s="2">
        <f>IFERROR(VLOOKUP(InputTable[[#This Row],[SALES]],'System List'!$F$4:$H$7,3,FALSE),0)</f>
        <v>0</v>
      </c>
      <c r="CC85" s="2" cm="1">
        <f t="array" ref="CC8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5" s="2" cm="1">
        <f t="array" ref="CD8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5" s="2" cm="1">
        <f t="array" ref="CE8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5" s="2" cm="1">
        <f t="array" ref="CF8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5" s="2" cm="1">
        <f t="array" ref="CG8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5" s="2" cm="1">
        <f t="array" ref="CH8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5" s="2" cm="1">
        <f t="array" ref="CI8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5" s="2" cm="1">
        <f t="array" ref="CJ8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5" s="2" cm="1">
        <f t="array" ref="CK8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8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5" s="26">
        <f t="shared" ref="CX85" si="297">CN85*_xlfn.XLOOKUP(CX$1,$BT$2:$CA$2,$BT85:$CA85,0)</f>
        <v>0</v>
      </c>
      <c r="CY85" s="26">
        <f t="shared" ref="CY85" si="298">CO85*_xlfn.XLOOKUP(CY$1,$BT$2:$CA$2,$BT85:$CA85,0)</f>
        <v>0</v>
      </c>
      <c r="CZ85" s="26">
        <f t="shared" ref="CZ85" si="299">CP85*_xlfn.XLOOKUP(CZ$1,$BT$2:$CA$2,$BT85:$CA85,0)</f>
        <v>0</v>
      </c>
      <c r="DA85" s="26">
        <f t="shared" ref="DA85" si="300">CQ85*_xlfn.XLOOKUP(DA$1,$BT$2:$CA$2,$BT85:$CA85,0)</f>
        <v>0</v>
      </c>
      <c r="DB85" s="26">
        <f t="shared" ref="DB85" si="301">CR85*_xlfn.XLOOKUP(DB$1,$BT$2:$CA$2,$BT85:$CA85,0)</f>
        <v>0</v>
      </c>
      <c r="DC85" s="26">
        <f t="shared" ref="DC85" si="302">CS85*_xlfn.XLOOKUP(DC$1,$BT$2:$CA$2,$BT85:$CA85,0)</f>
        <v>0</v>
      </c>
      <c r="DD85" s="26">
        <f t="shared" ref="DD85" si="303">CT85*_xlfn.XLOOKUP(DD$1,$BT$2:$CA$2,$BT85:$CA85,0)</f>
        <v>0</v>
      </c>
      <c r="DE85" s="26">
        <f t="shared" ref="DE85" si="304">CU85*_xlfn.XLOOKUP(DE$1,$BT$2:$CA$2,$BT85:$CA85,0)</f>
        <v>0</v>
      </c>
      <c r="DF85" s="26">
        <f t="shared" ref="DF85" si="305">CV85*_xlfn.XLOOKUP(DF$1,$BT$2:$CA$2,$BT85:$CA85,0)</f>
        <v>0</v>
      </c>
      <c r="DH85" s="26">
        <f>$CN85*_xlfn.XLOOKUP(DH$1,$BT$2:$CA$2,$BT85:$CA85,0)</f>
        <v>0</v>
      </c>
      <c r="DI85" s="26">
        <f>$CO85*_xlfn.XLOOKUP(DI$1,$BT$2:$CA$2,$BT85:$CA85,0)</f>
        <v>0</v>
      </c>
      <c r="DJ85" s="26">
        <f>$CP85*_xlfn.XLOOKUP(DJ$1,$BT$2:$CA$2,$BT85:$CA85,0)</f>
        <v>0</v>
      </c>
      <c r="DK85" s="26">
        <f>$CQ85*_xlfn.XLOOKUP(DK$1,$BT$2:$CA$2,$BT85:$CA85,0)</f>
        <v>0</v>
      </c>
      <c r="DL85" s="26">
        <f>$CR85*_xlfn.XLOOKUP(DL$1,$BT$2:$CA$2,$BT85:$CA85,0)</f>
        <v>0</v>
      </c>
      <c r="DM85" s="26">
        <f>$CS85*_xlfn.XLOOKUP(DM$1,$BT$2:$CA$2,$BT85:$CA85,0)</f>
        <v>0</v>
      </c>
      <c r="DN85" s="26">
        <f>$CT85*_xlfn.XLOOKUP(DN$1,$BT$2:$CA$2,$BT85:$CA85,0)</f>
        <v>0</v>
      </c>
      <c r="DO85" s="26">
        <f>$CU85*_xlfn.XLOOKUP(DO$1,$BT$2:$CA$2,$BT85:$CA85,0)</f>
        <v>0</v>
      </c>
      <c r="DP85" s="26">
        <f>$CV85*_xlfn.XLOOKUP(DP$1,$BT$2:$CA$2,$BT85:$CA85,0)</f>
        <v>0</v>
      </c>
      <c r="DR85" s="26">
        <f>$CN85*_xlfn.XLOOKUP(DR$1,$BT$2:$CA$2,$BT85:$CA85,0)</f>
        <v>0</v>
      </c>
      <c r="DS85" s="26">
        <f>$CO85*_xlfn.XLOOKUP(DS$1,$BT$2:$CA$2,$BT85:$CA85,0)</f>
        <v>0</v>
      </c>
      <c r="DT85" s="26">
        <f>$CP85*_xlfn.XLOOKUP(DT$1,$BT$2:$CA$2,$BT85:$CA85,0)</f>
        <v>0</v>
      </c>
      <c r="DU85" s="26">
        <f>$CQ85*_xlfn.XLOOKUP(DU$1,$BT$2:$CA$2,$BT85:$CA85,0)</f>
        <v>0</v>
      </c>
      <c r="DV85" s="26">
        <f>$CR85*_xlfn.XLOOKUP(DV$1,$BT$2:$CA$2,$BT85:$CA85,0)</f>
        <v>0</v>
      </c>
      <c r="DW85" s="26">
        <f>$CS85*_xlfn.XLOOKUP(DW$1,$BT$2:$CA$2,$BT85:$CA85,0)</f>
        <v>0</v>
      </c>
      <c r="DX85" s="26">
        <f>$CT85*_xlfn.XLOOKUP(DX$1,$BT$2:$CA$2,$BT85:$CA85,0)</f>
        <v>0</v>
      </c>
      <c r="DY85" s="26">
        <f>$CU85*_xlfn.XLOOKUP(DY$1,$BT$2:$CA$2,$BT85:$CA85,0)</f>
        <v>0</v>
      </c>
      <c r="DZ85" s="26">
        <f>$CV85*_xlfn.XLOOKUP(DZ$1,$BT$2:$CA$2,$BT85:$CA85,0)</f>
        <v>0</v>
      </c>
      <c r="EB85" s="26">
        <f>$CN85*_xlfn.XLOOKUP(EB$1,$BT$2:$CA$2,$BT85:$CA85,0)</f>
        <v>0</v>
      </c>
      <c r="EC85" s="26">
        <f>$CO85*_xlfn.XLOOKUP(EC$1,$BT$2:$CA$2,$BT85:$CA85,0)</f>
        <v>0</v>
      </c>
      <c r="ED85" s="26">
        <f>$CP85*_xlfn.XLOOKUP(ED$1,$BT$2:$CA$2,$BT85:$CA85,0)</f>
        <v>0</v>
      </c>
      <c r="EE85" s="26">
        <f>$CQ85*_xlfn.XLOOKUP(EE$1,$BT$2:$CA$2,$BT85:$CA85,0)</f>
        <v>0</v>
      </c>
      <c r="EF85" s="26">
        <f>$CR85*_xlfn.XLOOKUP(EF$1,$BT$2:$CA$2,$BT85:$CA85,0)</f>
        <v>0</v>
      </c>
      <c r="EG85" s="26">
        <f>$CS85*_xlfn.XLOOKUP(EG$1,$BT$2:$CA$2,$BT85:$CA85,0)</f>
        <v>0</v>
      </c>
      <c r="EH85" s="26">
        <f>$CT85*_xlfn.XLOOKUP(EH$1,$BT$2:$CA$2,$BT85:$CA85,0)</f>
        <v>0</v>
      </c>
      <c r="EI85" s="26">
        <f>$CU85*_xlfn.XLOOKUP(EI$1,$BT$2:$CA$2,$BT85:$CA85,0)</f>
        <v>0</v>
      </c>
      <c r="EJ85" s="26">
        <f>$CV85*_xlfn.XLOOKUP(EJ$1,$BT$2:$CA$2,$BT85:$CA85,0)</f>
        <v>0</v>
      </c>
      <c r="EL85" s="26">
        <f>$CN85*_xlfn.XLOOKUP(EL$1,$BT$2:$CA$2,$BT85:$CA85,0)</f>
        <v>0</v>
      </c>
      <c r="EM85" s="26">
        <f>$CO85*_xlfn.XLOOKUP(EM$1,$BT$2:$CA$2,$BT85:$CA85,0)</f>
        <v>0</v>
      </c>
      <c r="EN85" s="26">
        <f>$CP85*_xlfn.XLOOKUP(EN$1,$BT$2:$CA$2,$BT85:$CA85,0)</f>
        <v>0</v>
      </c>
      <c r="EO85" s="26">
        <f>$CQ85*_xlfn.XLOOKUP(EO$1,$BT$2:$CA$2,$BT85:$CA85,0)</f>
        <v>0</v>
      </c>
      <c r="EP85" s="26">
        <f>$CR85*_xlfn.XLOOKUP(EP$1,$BT$2:$CA$2,$BT85:$CA85,0)</f>
        <v>0</v>
      </c>
      <c r="EQ85" s="26">
        <f>$CS85*_xlfn.XLOOKUP(EQ$1,$BT$2:$CA$2,$BT85:$CA85,0)</f>
        <v>0</v>
      </c>
      <c r="ER85" s="26">
        <f>$CT85*_xlfn.XLOOKUP(ER$1,$BT$2:$CA$2,$BT85:$CA85,0)</f>
        <v>0</v>
      </c>
      <c r="ES85" s="26">
        <f>$CU85*_xlfn.XLOOKUP(ES$1,$BT$2:$CA$2,$BT85:$CA85,0)</f>
        <v>0</v>
      </c>
      <c r="ET85" s="26">
        <f>$CV85*_xlfn.XLOOKUP(ET$1,$BT$2:$CA$2,$BT85:$CA85,0)</f>
        <v>0</v>
      </c>
      <c r="EV85" s="26">
        <f>$CN85*_xlfn.XLOOKUP(EV$1,$BT$2:$CA$2,$BT85:$CA85,0)</f>
        <v>0</v>
      </c>
      <c r="EW85" s="26">
        <f>$CO85*_xlfn.XLOOKUP(EW$1,$BT$2:$CA$2,$BT85:$CA85,0)</f>
        <v>0</v>
      </c>
      <c r="EX85" s="26">
        <f>$CP85*_xlfn.XLOOKUP(EX$1,$BT$2:$CA$2,$BT85:$CA85,0)</f>
        <v>0</v>
      </c>
      <c r="EY85" s="26">
        <f>$CQ85*_xlfn.XLOOKUP(EY$1,$BT$2:$CA$2,$BT85:$CA85,0)</f>
        <v>0</v>
      </c>
      <c r="EZ85" s="26">
        <f>$CR85*_xlfn.XLOOKUP(EZ$1,$BT$2:$CA$2,$BT85:$CA85,0)</f>
        <v>0</v>
      </c>
      <c r="FA85" s="26">
        <f>$CS85*_xlfn.XLOOKUP(FA$1,$BT$2:$CA$2,$BT85:$CA85,0)</f>
        <v>0</v>
      </c>
      <c r="FB85" s="26">
        <f>$CT85*_xlfn.XLOOKUP(FB$1,$BT$2:$CA$2,$BT85:$CA85,0)</f>
        <v>0</v>
      </c>
      <c r="FC85" s="26">
        <f>$CU85*_xlfn.XLOOKUP(FC$1,$BT$2:$CA$2,$BT85:$CA85,0)</f>
        <v>0</v>
      </c>
      <c r="FD85" s="26">
        <f>$CV85*_xlfn.XLOOKUP(FD$1,$BT$2:$CA$2,$BT85:$CA85,0)</f>
        <v>0</v>
      </c>
      <c r="FF85" s="26">
        <f>$CN85*_xlfn.XLOOKUP(FF$1,$BT$2:$CA$2,$BT85:$CA85,0)</f>
        <v>0</v>
      </c>
      <c r="FG85" s="26">
        <f>$CO85*_xlfn.XLOOKUP(FG$1,$BT$2:$CA$2,$BT85:$CA85,0)</f>
        <v>0</v>
      </c>
      <c r="FH85" s="26">
        <f>$CP85*_xlfn.XLOOKUP(FH$1,$BT$2:$CA$2,$BT85:$CA85,0)</f>
        <v>0</v>
      </c>
      <c r="FI85" s="26">
        <f>$CQ85*_xlfn.XLOOKUP(FI$1,$BT$2:$CA$2,$BT85:$CA85,0)</f>
        <v>0</v>
      </c>
      <c r="FJ85" s="26">
        <f>$CR85*_xlfn.XLOOKUP(FJ$1,$BT$2:$CA$2,$BT85:$CA85,0)</f>
        <v>0</v>
      </c>
      <c r="FK85" s="26">
        <f>$CS85*_xlfn.XLOOKUP(FK$1,$BT$2:$CA$2,$BT85:$CA85,0)</f>
        <v>0</v>
      </c>
      <c r="FL85" s="26">
        <f>$CT85*_xlfn.XLOOKUP(FL$1,$BT$2:$CA$2,$BT85:$CA85,0)</f>
        <v>0</v>
      </c>
      <c r="FM85" s="26">
        <f>$CU85*_xlfn.XLOOKUP(FM$1,$BT$2:$CA$2,$BT85:$CA85,0)</f>
        <v>0</v>
      </c>
      <c r="FN85" s="26">
        <f>$CV85*_xlfn.XLOOKUP(FN$1,$BT$2:$CA$2,$BT85:$CA85,0)</f>
        <v>0</v>
      </c>
      <c r="FP85" s="26" t="e">
        <f>$CN85*_xlfn.XLOOKUP(FP$1,$BT$2:$CA$2,$BT85:$CA85,0)</f>
        <v>#REF!</v>
      </c>
      <c r="FQ85" s="26" t="e">
        <f>$CO85*_xlfn.XLOOKUP(FQ$1,$BT$2:$CA$2,$BT85:$CA85,0)</f>
        <v>#REF!</v>
      </c>
      <c r="FR85" s="26" t="e">
        <f>$CP85*_xlfn.XLOOKUP(FR$1,$BT$2:$CA$2,$BT85:$CA85,0)</f>
        <v>#REF!</v>
      </c>
      <c r="FS85" s="26" t="e">
        <f>$CQ85*_xlfn.XLOOKUP(FS$1,$BT$2:$CA$2,$BT85:$CA85,0)</f>
        <v>#REF!</v>
      </c>
      <c r="FT85" s="26" t="e">
        <f>$CR85*_xlfn.XLOOKUP(FT$1,$BT$2:$CA$2,$BT85:$CA85,0)</f>
        <v>#REF!</v>
      </c>
      <c r="FU85" s="26" t="e">
        <f>$CS85*_xlfn.XLOOKUP(FU$1,$BT$2:$CA$2,$BT85:$CA85,0)</f>
        <v>#REF!</v>
      </c>
      <c r="FV85" s="26" t="e">
        <f>$CT85*_xlfn.XLOOKUP(FV$1,$BT$2:$CA$2,$BT85:$CA85,0)</f>
        <v>#REF!</v>
      </c>
      <c r="FW85" s="26" t="e">
        <f>$CU85*_xlfn.XLOOKUP(FW$1,$BT$2:$CA$2,$BT85:$CA85,0)</f>
        <v>#REF!</v>
      </c>
      <c r="FX85" s="26" t="e">
        <f>$CV85*_xlfn.XLOOKUP(FX$1,$BT$2:$CA$2,$BT85:$CA85,0)</f>
        <v>#REF!</v>
      </c>
      <c r="GB85" s="26" t="e">
        <f>IF(GB$2=InputTable[[#This Row],[Delivery Date]],_xlfn.XLOOKUP(GB$1,$BH$2:$BR$2,$BH85:$BR85,0),0)</f>
        <v>#REF!</v>
      </c>
      <c r="GC85" s="26">
        <f>IF(GC$2=InputTable[[#This Row],[Delivery Date]],_xlfn.XLOOKUP(GC$1,$BH$2:$BR$2,$BH85:$BR85,0),0)</f>
        <v>0</v>
      </c>
      <c r="GD85" s="26">
        <f>IF(GD$2=InputTable[[#This Row],[Delivery Date]],_xlfn.XLOOKUP(GD$1,$BH$2:$BR$2,$BH85:$BR85,0),0)</f>
        <v>0</v>
      </c>
      <c r="GE85" s="26">
        <f>IF(GE$2=InputTable[[#This Row],[Delivery Date]],_xlfn.XLOOKUP(GE$1,$BH$2:$BR$2,$BH85:$BR85,0),0)</f>
        <v>0</v>
      </c>
      <c r="GF85" s="26">
        <f>IF(GF$2=InputTable[[#This Row],[Delivery Date]],_xlfn.XLOOKUP(GF$1,$BH$2:$BR$2,$BH85:$BR85,0),0)</f>
        <v>0</v>
      </c>
      <c r="GG85" s="26">
        <f>IF(GG$2=InputTable[[#This Row],[Delivery Date]],_xlfn.XLOOKUP(GG$1,$BH$2:$BR$2,$BH85:$BR85,0),0)</f>
        <v>0</v>
      </c>
      <c r="GH85" s="26">
        <f>IF(GH$2=InputTable[[#This Row],[Delivery Date]],_xlfn.XLOOKUP(GH$1,$BH$2:$BR$2,$BH85:$BR85,0),0)</f>
        <v>0</v>
      </c>
      <c r="GI85" s="26">
        <f>IF(GI$2=InputTable[[#This Row],[Delivery Date]],_xlfn.XLOOKUP(GI$1,$BH$2:$BR$2,$BH85:$BR85,0),0)</f>
        <v>0</v>
      </c>
      <c r="GJ85" s="26">
        <f>IF(GJ$2=InputTable[[#This Row],[Delivery Date]],_xlfn.XLOOKUP(GJ$1,$BH$2:$BR$2,$BH85:$BR85,0),0)</f>
        <v>0</v>
      </c>
      <c r="GL85" s="26" t="e">
        <f>IF(GL$2=InputTable[[#This Row],[Delivery Date]],_xlfn.XLOOKUP(GL$1,$BH$2:$BR$2,$BH85:$BR85,0),0)</f>
        <v>#REF!</v>
      </c>
      <c r="GM85" s="26">
        <f>IF(GM$2=InputTable[[#This Row],[Delivery Date]],_xlfn.XLOOKUP(GM$1,$BH$2:$BR$2,$BH85:$BR85,0),0)</f>
        <v>0</v>
      </c>
      <c r="GN85" s="26">
        <f>IF(GN$2=InputTable[[#This Row],[Delivery Date]],_xlfn.XLOOKUP(GN$1,$BH$2:$BR$2,$BH85:$BR85,0),0)</f>
        <v>0</v>
      </c>
      <c r="GO85" s="26">
        <f>IF(GO$2=InputTable[[#This Row],[Delivery Date]],_xlfn.XLOOKUP(GO$1,$BH$2:$BR$2,$BH85:$BR85,0),0)</f>
        <v>0</v>
      </c>
      <c r="GP85" s="26">
        <f>IF(GP$2=InputTable[[#This Row],[Delivery Date]],_xlfn.XLOOKUP(GP$1,$BH$2:$BR$2,$BH85:$BR85,0),0)</f>
        <v>0</v>
      </c>
      <c r="GQ85" s="26">
        <f>IF(GQ$2=InputTable[[#This Row],[Delivery Date]],_xlfn.XLOOKUP(GQ$1,$BH$2:$BR$2,$BH85:$BR85,0),0)</f>
        <v>0</v>
      </c>
      <c r="GR85" s="26">
        <f>IF(GR$2=InputTable[[#This Row],[Delivery Date]],_xlfn.XLOOKUP(GR$1,$BH$2:$BR$2,$BH85:$BR85,0),0)</f>
        <v>0</v>
      </c>
      <c r="GS85" s="26">
        <f>IF(GS$2=InputTable[[#This Row],[Delivery Date]],_xlfn.XLOOKUP(GS$1,$BH$2:$BR$2,$BH85:$BR85,0),0)</f>
        <v>0</v>
      </c>
      <c r="GT85" s="26">
        <f>IF(GT$2=InputTable[[#This Row],[Delivery Date]],_xlfn.XLOOKUP(GT$1,$BH$2:$BR$2,$BH85:$BR85,0),0)</f>
        <v>0</v>
      </c>
      <c r="GV85" s="26" t="e">
        <f>IF(GV$2=InputTable[[#This Row],[Delivery Date]],_xlfn.XLOOKUP(GV$1,$BH$2:$BR$2,$BH85:$BR85,0),0)</f>
        <v>#REF!</v>
      </c>
      <c r="GW85" s="26">
        <f>IF(GW$2=InputTable[[#This Row],[Delivery Date]],_xlfn.XLOOKUP(GW$1,$BH$2:$BR$2,$BH85:$BR85,0),0)</f>
        <v>0</v>
      </c>
      <c r="GX85" s="26">
        <f>IF(GX$2=InputTable[[#This Row],[Delivery Date]],_xlfn.XLOOKUP(GX$1,$BH$2:$BR$2,$BH85:$BR85,0),0)</f>
        <v>0</v>
      </c>
      <c r="GY85" s="26">
        <f>IF(GY$2=InputTable[[#This Row],[Delivery Date]],_xlfn.XLOOKUP(GY$1,$BH$2:$BR$2,$BH85:$BR85,0),0)</f>
        <v>0</v>
      </c>
      <c r="GZ85" s="26">
        <f>IF(GZ$2=InputTable[[#This Row],[Delivery Date]],_xlfn.XLOOKUP(GZ$1,$BH$2:$BR$2,$BH85:$BR85,0),0)</f>
        <v>0</v>
      </c>
      <c r="HA85" s="26">
        <f>IF(HA$2=InputTable[[#This Row],[Delivery Date]],_xlfn.XLOOKUP(HA$1,$BH$2:$BR$2,$BH85:$BR85,0),0)</f>
        <v>0</v>
      </c>
      <c r="HB85" s="26">
        <f>IF(HB$2=InputTable[[#This Row],[Delivery Date]],_xlfn.XLOOKUP(HB$1,$BH$2:$BR$2,$BH85:$BR85,0),0)</f>
        <v>0</v>
      </c>
      <c r="HC85" s="26">
        <f>IF(HC$2=InputTable[[#This Row],[Delivery Date]],_xlfn.XLOOKUP(HC$1,$BH$2:$BR$2,$BH85:$BR85,0),0)</f>
        <v>0</v>
      </c>
      <c r="HD85" s="26">
        <f>IF(HD$2=InputTable[[#This Row],[Delivery Date]],_xlfn.XLOOKUP(HD$1,$BH$2:$BR$2,$BH85:$BR85,0),0)</f>
        <v>0</v>
      </c>
      <c r="HF85" s="26" t="e">
        <f>IF(HF$2=InputTable[[#This Row],[Delivery Date]],_xlfn.XLOOKUP(HF$1,$BH$2:$BR$2,$BH85:$BR85,0),0)</f>
        <v>#REF!</v>
      </c>
      <c r="HG85" s="26">
        <f>IF(HG$2=InputTable[[#This Row],[Delivery Date]],_xlfn.XLOOKUP(HG$1,$BH$2:$BR$2,$BH85:$BR85,0),0)</f>
        <v>0</v>
      </c>
      <c r="HH85" s="26">
        <f>IF(HH$2=InputTable[[#This Row],[Delivery Date]],_xlfn.XLOOKUP(HH$1,$BH$2:$BR$2,$BH85:$BR85,0),0)</f>
        <v>0</v>
      </c>
      <c r="HI85" s="26">
        <f>IF(HI$2=InputTable[[#This Row],[Delivery Date]],_xlfn.XLOOKUP(HI$1,$BH$2:$BR$2,$BH85:$BR85,0),0)</f>
        <v>0</v>
      </c>
      <c r="HJ85" s="26">
        <f>IF(HJ$2=InputTable[[#This Row],[Delivery Date]],_xlfn.XLOOKUP(HJ$1,$BH$2:$BR$2,$BH85:$BR85,0),0)</f>
        <v>0</v>
      </c>
      <c r="HK85" s="26">
        <f>IF(HK$2=InputTable[[#This Row],[Delivery Date]],_xlfn.XLOOKUP(HK$1,$BH$2:$BR$2,$BH85:$BR85,0),0)</f>
        <v>0</v>
      </c>
      <c r="HL85" s="26">
        <f>IF(HL$2=InputTable[[#This Row],[Delivery Date]],_xlfn.XLOOKUP(HL$1,$BH$2:$BR$2,$BH85:$BR85,0),0)</f>
        <v>0</v>
      </c>
      <c r="HM85" s="26">
        <f>IF(HM$2=InputTable[[#This Row],[Delivery Date]],_xlfn.XLOOKUP(HM$1,$BH$2:$BR$2,$BH85:$BR85,0),0)</f>
        <v>0</v>
      </c>
      <c r="HN85" s="26">
        <f>IF(HN$2=InputTable[[#This Row],[Delivery Date]],_xlfn.XLOOKUP(HN$1,$BH$2:$BR$2,$BH85:$BR85,0),0)</f>
        <v>0</v>
      </c>
      <c r="HP85" s="26" t="e">
        <f>IF(HP$2=InputTable[[#This Row],[Delivery Date]],_xlfn.XLOOKUP(HP$1,$BH$2:$BR$2,$BH85:$BR85,0),0)</f>
        <v>#REF!</v>
      </c>
      <c r="HQ85" s="26">
        <f>IF(HQ$2=InputTable[[#This Row],[Delivery Date]],_xlfn.XLOOKUP(HQ$1,$BH$2:$BR$2,$BH85:$BR85,0),0)</f>
        <v>0</v>
      </c>
      <c r="HR85" s="26">
        <f>IF(HR$2=InputTable[[#This Row],[Delivery Date]],_xlfn.XLOOKUP(HR$1,$BH$2:$BR$2,$BH85:$BR85,0),0)</f>
        <v>0</v>
      </c>
      <c r="HS85" s="26">
        <f>IF(HS$2=InputTable[[#This Row],[Delivery Date]],_xlfn.XLOOKUP(HS$1,$BH$2:$BR$2,$BH85:$BR85,0),0)</f>
        <v>0</v>
      </c>
      <c r="HT85" s="26">
        <f>IF(HT$2=InputTable[[#This Row],[Delivery Date]],_xlfn.XLOOKUP(HT$1,$BH$2:$BR$2,$BH85:$BR85,0),0)</f>
        <v>0</v>
      </c>
      <c r="HU85" s="26">
        <f>IF(HU$2=InputTable[[#This Row],[Delivery Date]],_xlfn.XLOOKUP(HU$1,$BH$2:$BR$2,$BH85:$BR85,0),0)</f>
        <v>0</v>
      </c>
      <c r="HV85" s="26">
        <f>IF(HV$2=InputTable[[#This Row],[Delivery Date]],_xlfn.XLOOKUP(HV$1,$BH$2:$BR$2,$BH85:$BR85,0),0)</f>
        <v>0</v>
      </c>
      <c r="HW85" s="26">
        <f>IF(HW$2=InputTable[[#This Row],[Delivery Date]],_xlfn.XLOOKUP(HW$1,$BH$2:$BR$2,$BH85:$BR85,0),0)</f>
        <v>0</v>
      </c>
      <c r="HX85" s="26">
        <f>IF(HX$2=InputTable[[#This Row],[Delivery Date]],_xlfn.XLOOKUP(HX$1,$BH$2:$BR$2,$BH85:$BR85,0),0)</f>
        <v>0</v>
      </c>
      <c r="HZ85" s="26" t="e">
        <f>IF(HZ$2=InputTable[[#This Row],[Delivery Date]],_xlfn.XLOOKUP(HZ$1,$BH$2:$BR$2,$BH85:$BR85,0),0)</f>
        <v>#REF!</v>
      </c>
      <c r="IA85" s="26">
        <f>IF(IA$2=InputTable[[#This Row],[Delivery Date]],_xlfn.XLOOKUP(IA$1,$BH$2:$BR$2,$BH85:$BR85,0),0)</f>
        <v>0</v>
      </c>
      <c r="IB85" s="26">
        <f>IF(IB$2=InputTable[[#This Row],[Delivery Date]],_xlfn.XLOOKUP(IB$1,$BH$2:$BR$2,$BH85:$BR85,0),0)</f>
        <v>0</v>
      </c>
      <c r="IC85" s="26">
        <f>IF(IC$2=InputTable[[#This Row],[Delivery Date]],_xlfn.XLOOKUP(IC$1,$BH$2:$BR$2,$BH85:$BR85,0),0)</f>
        <v>0</v>
      </c>
      <c r="ID85" s="26">
        <f>IF(ID$2=InputTable[[#This Row],[Delivery Date]],_xlfn.XLOOKUP(ID$1,$BH$2:$BR$2,$BH85:$BR85,0),0)</f>
        <v>0</v>
      </c>
      <c r="IE85" s="26">
        <f>IF(IE$2=InputTable[[#This Row],[Delivery Date]],_xlfn.XLOOKUP(IE$1,$BH$2:$BR$2,$BH85:$BR85,0),0)</f>
        <v>0</v>
      </c>
      <c r="IF85" s="26">
        <f>IF(IF$2=InputTable[[#This Row],[Delivery Date]],_xlfn.XLOOKUP(IF$1,$BH$2:$BR$2,$BH85:$BR85,0),0)</f>
        <v>0</v>
      </c>
      <c r="IG85" s="26">
        <f>IF(IG$2=InputTable[[#This Row],[Delivery Date]],_xlfn.XLOOKUP(IG$1,$BH$2:$BR$2,$BH85:$BR85,0),0)</f>
        <v>0</v>
      </c>
      <c r="IH85" s="26">
        <f>IF(IH$2=InputTable[[#This Row],[Delivery Date]],_xlfn.XLOOKUP(IH$1,$BH$2:$BR$2,$BH85:$BR85,0),0)</f>
        <v>0</v>
      </c>
      <c r="IJ85" s="26" t="e">
        <f>IF(IJ$2=InputTable[[#This Row],[Delivery Date]],_xlfn.XLOOKUP(IJ$1,$BH$2:$BR$2,$BH85:$BR85,0),0)</f>
        <v>#REF!</v>
      </c>
      <c r="IK85" s="26">
        <f>IF(IK$2=InputTable[[#This Row],[Delivery Date]],_xlfn.XLOOKUP(IK$1,$BH$2:$BR$2,$BH85:$BR85,0),0)</f>
        <v>0</v>
      </c>
      <c r="IL85" s="26">
        <f>IF(IL$2=InputTable[[#This Row],[Delivery Date]],_xlfn.XLOOKUP(IL$1,$BH$2:$BR$2,$BH85:$BR85,0),0)</f>
        <v>0</v>
      </c>
      <c r="IM85" s="26">
        <f>IF(IM$2=InputTable[[#This Row],[Delivery Date]],_xlfn.XLOOKUP(IM$1,$BH$2:$BR$2,$BH85:$BR85,0),0)</f>
        <v>0</v>
      </c>
      <c r="IN85" s="26">
        <f>IF(IN$2=InputTable[[#This Row],[Delivery Date]],_xlfn.XLOOKUP(IN$1,$BH$2:$BR$2,$BH85:$BR85,0),0)</f>
        <v>0</v>
      </c>
      <c r="IO85" s="26">
        <f>IF(IO$2=InputTable[[#This Row],[Delivery Date]],_xlfn.XLOOKUP(IO$1,$BH$2:$BR$2,$BH85:$BR85,0),0)</f>
        <v>0</v>
      </c>
      <c r="IP85" s="26">
        <f>IF(IP$2=InputTable[[#This Row],[Delivery Date]],_xlfn.XLOOKUP(IP$1,$BH$2:$BR$2,$BH85:$BR85,0),0)</f>
        <v>0</v>
      </c>
      <c r="IQ85" s="26">
        <f>IF(IQ$2=InputTable[[#This Row],[Delivery Date]],_xlfn.XLOOKUP(IQ$1,$BH$2:$BR$2,$BH85:$BR85,0),0)</f>
        <v>0</v>
      </c>
      <c r="IR85" s="26">
        <f>IF(IR$2=InputTable[[#This Row],[Delivery Date]],_xlfn.XLOOKUP(IR$1,$BH$2:$BR$2,$BH85:$BR85,0),0)</f>
        <v>0</v>
      </c>
      <c r="IT85" s="26" t="e">
        <f>IF(IT$2=InputTable[[#This Row],[Delivery Date]],_xlfn.XLOOKUP(IT$1,$BH$2:$BR$2,$BH85:$BR85,0),0)</f>
        <v>#REF!</v>
      </c>
      <c r="IU85" s="26">
        <f>IF(IU$2=InputTable[[#This Row],[Delivery Date]],_xlfn.XLOOKUP(IU$1,$BH$2:$BR$2,$BH85:$BR85,0),0)</f>
        <v>0</v>
      </c>
      <c r="IV85" s="26">
        <f>IF(IV$2=InputTable[[#This Row],[Delivery Date]],_xlfn.XLOOKUP(IV$1,$BH$2:$BR$2,$BH85:$BR85,0),0)</f>
        <v>0</v>
      </c>
      <c r="IW85" s="26">
        <f>IF(IW$2=InputTable[[#This Row],[Delivery Date]],_xlfn.XLOOKUP(IW$1,$BH$2:$BR$2,$BH85:$BR85,0),0)</f>
        <v>0</v>
      </c>
      <c r="IX85" s="26">
        <f>IF(IX$2=InputTable[[#This Row],[Delivery Date]],_xlfn.XLOOKUP(IX$1,$BH$2:$BR$2,$BH85:$BR85,0),0)</f>
        <v>0</v>
      </c>
      <c r="IY85" s="26">
        <f>IF(IY$2=InputTable[[#This Row],[Delivery Date]],_xlfn.XLOOKUP(IY$1,$BH$2:$BR$2,$BH85:$BR85,0),0)</f>
        <v>0</v>
      </c>
      <c r="IZ85" s="26">
        <f>IF(IZ$2=InputTable[[#This Row],[Delivery Date]],_xlfn.XLOOKUP(IZ$1,$BH$2:$BR$2,$BH85:$BR85,0),0)</f>
        <v>0</v>
      </c>
      <c r="JA85" s="26">
        <f>IF(JA$2=InputTable[[#This Row],[Delivery Date]],_xlfn.XLOOKUP(JA$1,$BH$2:$BR$2,$BH85:$BR85,0),0)</f>
        <v>0</v>
      </c>
      <c r="JB85" s="26">
        <f>IF(JB$2=InputTable[[#This Row],[Delivery Date]],_xlfn.XLOOKUP(JB$1,$BH$2:$BR$2,$BH85:$BR85,0),0)</f>
        <v>0</v>
      </c>
      <c r="JD85" s="26" t="e">
        <f>IF(JD$2=InputTable[[#This Row],[Delivery Date]],_xlfn.XLOOKUP(JD$1,$BH$2:$BR$2,$BH85:$BR85,0),0)</f>
        <v>#REF!</v>
      </c>
      <c r="JE85" s="26">
        <f>IF(JE$2=InputTable[[#This Row],[Delivery Date]],_xlfn.XLOOKUP(JE$1,$BH$2:$BR$2,$BH85:$BR85,0),0)</f>
        <v>0</v>
      </c>
      <c r="JF85" s="26">
        <f>IF(JF$2=InputTable[[#This Row],[Delivery Date]],_xlfn.XLOOKUP(JF$1,$BH$2:$BR$2,$BH85:$BR85,0),0)</f>
        <v>0</v>
      </c>
      <c r="JG85" s="26">
        <f>IF(JG$2=InputTable[[#This Row],[Delivery Date]],_xlfn.XLOOKUP(JG$1,$BH$2:$BR$2,$BH85:$BR85,0),0)</f>
        <v>0</v>
      </c>
      <c r="JH85" s="26">
        <f>IF(JH$2=InputTable[[#This Row],[Delivery Date]],_xlfn.XLOOKUP(JH$1,$BH$2:$BR$2,$BH85:$BR85,0),0)</f>
        <v>0</v>
      </c>
      <c r="JI85" s="26">
        <f>IF(JI$2=InputTable[[#This Row],[Delivery Date]],_xlfn.XLOOKUP(JI$1,$BH$2:$BR$2,$BH85:$BR85,0),0)</f>
        <v>0</v>
      </c>
      <c r="JJ85" s="26">
        <f>IF(JJ$2=InputTable[[#This Row],[Delivery Date]],_xlfn.XLOOKUP(JJ$1,$BH$2:$BR$2,$BH85:$BR85,0),0)</f>
        <v>0</v>
      </c>
      <c r="JK85" s="26">
        <f>IF(JK$2=InputTable[[#This Row],[Delivery Date]],_xlfn.XLOOKUP(JK$1,$BH$2:$BR$2,$BH85:$BR85,0),0)</f>
        <v>0</v>
      </c>
      <c r="JL85" s="26">
        <f>IF(JL$2=InputTable[[#This Row],[Delivery Date]],_xlfn.XLOOKUP(JL$1,$BH$2:$BR$2,$BH85:$BR85,0),0)</f>
        <v>0</v>
      </c>
      <c r="JN85" s="26" t="e">
        <f>IF(JN$2=InputTable[[#This Row],[Delivery Date]],_xlfn.XLOOKUP(JN$1,$BH$2:$BR$2,$BH85:$BR85,0),0)</f>
        <v>#REF!</v>
      </c>
      <c r="JO85" s="26">
        <f>IF(JO$2=InputTable[[#This Row],[Delivery Date]],_xlfn.XLOOKUP(JO$1,$BH$2:$BR$2,$BH85:$BR85,0),0)</f>
        <v>0</v>
      </c>
      <c r="JP85" s="26">
        <f>IF(JP$2=InputTable[[#This Row],[Delivery Date]],_xlfn.XLOOKUP(JP$1,$BH$2:$BR$2,$BH85:$BR85,0),0)</f>
        <v>0</v>
      </c>
      <c r="JQ85" s="26">
        <f>IF(JQ$2=InputTable[[#This Row],[Delivery Date]],_xlfn.XLOOKUP(JQ$1,$BH$2:$BR$2,$BH85:$BR85,0),0)</f>
        <v>0</v>
      </c>
      <c r="JR85" s="26">
        <f>IF(JR$2=InputTable[[#This Row],[Delivery Date]],_xlfn.XLOOKUP(JR$1,$BH$2:$BR$2,$BH85:$BR85,0),0)</f>
        <v>0</v>
      </c>
      <c r="JS85" s="26">
        <f>IF(JS$2=InputTable[[#This Row],[Delivery Date]],_xlfn.XLOOKUP(JS$1,$BH$2:$BR$2,$BH85:$BR85,0),0)</f>
        <v>0</v>
      </c>
      <c r="JT85" s="26">
        <f>IF(JT$2=InputTable[[#This Row],[Delivery Date]],_xlfn.XLOOKUP(JT$1,$BH$2:$BR$2,$BH85:$BR85,0),0)</f>
        <v>0</v>
      </c>
      <c r="JU85" s="26">
        <f>IF(JU$2=InputTable[[#This Row],[Delivery Date]],_xlfn.XLOOKUP(JU$1,$BH$2:$BR$2,$BH85:$BR85,0),0)</f>
        <v>0</v>
      </c>
      <c r="JV85" s="26">
        <f>IF(JV$2=InputTable[[#This Row],[Delivery Date]],_xlfn.XLOOKUP(JV$1,$BH$2:$BR$2,$BH85:$BR85,0),0)</f>
        <v>0</v>
      </c>
      <c r="JX85" s="26" t="e">
        <f>IF(JX$2=InputTable[[#This Row],[Delivery Date]],_xlfn.XLOOKUP(JX$1,$BH$2:$BR$2,$BH85:$BR85,0),0)</f>
        <v>#REF!</v>
      </c>
      <c r="JY85" s="26">
        <f>IF(JY$2=InputTable[[#This Row],[Delivery Date]],_xlfn.XLOOKUP(JY$1,$BH$2:$BR$2,$BH85:$BR85,0),0)</f>
        <v>0</v>
      </c>
      <c r="JZ85" s="26">
        <f>IF(JZ$2=InputTable[[#This Row],[Delivery Date]],_xlfn.XLOOKUP(JZ$1,$BH$2:$BR$2,$BH85:$BR85,0),0)</f>
        <v>0</v>
      </c>
      <c r="KA85" s="26">
        <f>IF(KA$2=InputTable[[#This Row],[Delivery Date]],_xlfn.XLOOKUP(KA$1,$BH$2:$BR$2,$BH85:$BR85,0),0)</f>
        <v>0</v>
      </c>
      <c r="KB85" s="26">
        <f>IF(KB$2=InputTable[[#This Row],[Delivery Date]],_xlfn.XLOOKUP(KB$1,$BH$2:$BR$2,$BH85:$BR85,0),0)</f>
        <v>0</v>
      </c>
      <c r="KC85" s="26">
        <f>IF(KC$2=InputTable[[#This Row],[Delivery Date]],_xlfn.XLOOKUP(KC$1,$BH$2:$BR$2,$BH85:$BR85,0),0)</f>
        <v>0</v>
      </c>
      <c r="KD85" s="26">
        <f>IF(KD$2=InputTable[[#This Row],[Delivery Date]],_xlfn.XLOOKUP(KD$1,$BH$2:$BR$2,$BH85:$BR85,0),0)</f>
        <v>0</v>
      </c>
      <c r="KE85" s="26">
        <f>IF(KE$2=InputTable[[#This Row],[Delivery Date]],_xlfn.XLOOKUP(KE$1,$BH$2:$BR$2,$BH85:$BR85,0),0)</f>
        <v>0</v>
      </c>
      <c r="KF85" s="26">
        <f>IF(KF$2=InputTable[[#This Row],[Delivery Date]],_xlfn.XLOOKUP(KF$1,$BH$2:$BR$2,$BH85:$BR85,0),0)</f>
        <v>0</v>
      </c>
    </row>
    <row r="86" spans="1:292" ht="39.6" hidden="1" customHeight="1" x14ac:dyDescent="0.25">
      <c r="A86" s="141" t="s">
        <v>181</v>
      </c>
      <c r="B86" s="141" t="s">
        <v>114</v>
      </c>
      <c r="C86" s="92" t="s">
        <v>61</v>
      </c>
      <c r="D86" s="125" t="s">
        <v>367</v>
      </c>
      <c r="E86" s="193" t="s">
        <v>368</v>
      </c>
      <c r="F86" s="92" t="s">
        <v>61</v>
      </c>
      <c r="G86" s="92" t="s">
        <v>160</v>
      </c>
      <c r="H86" s="92"/>
      <c r="I86" s="92">
        <v>2026</v>
      </c>
      <c r="J86" s="125" t="s">
        <v>215</v>
      </c>
      <c r="K86" s="95" t="e">
        <f>VLOOKUP((InputTable[[#This Row],[Starting Date]]&amp; " - " &amp;InputTable[[#This Row],[Delivery Date]]),'System List'!$F$40:$H$83,2,FALSE)</f>
        <v>#N/A</v>
      </c>
      <c r="L86" s="95" t="e">
        <f>VLOOKUP(InputTable[[#This Row],[Duration]],Duration,2,FALSE)</f>
        <v>#N/A</v>
      </c>
      <c r="M86" s="125" t="s">
        <v>110</v>
      </c>
      <c r="N86" s="92"/>
      <c r="O86" s="92"/>
      <c r="P86" s="92"/>
      <c r="Q86" s="92"/>
      <c r="R86" s="92"/>
      <c r="S86" s="153" t="s">
        <v>216</v>
      </c>
      <c r="T86" s="95" cm="1">
        <f t="array" ref="T8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</v>
      </c>
      <c r="U86" s="138"/>
      <c r="V86" s="92"/>
      <c r="W86" s="92"/>
      <c r="X86" s="92"/>
      <c r="Y86" s="92"/>
      <c r="Z86" s="92"/>
      <c r="AA86" s="92" t="s">
        <v>111</v>
      </c>
      <c r="AB86" s="92"/>
      <c r="AC86" s="92"/>
      <c r="AD86" s="92">
        <f>COUNTA(InputTable[[#This Row],[CORPHRFIN]:[SALES]])</f>
        <v>1</v>
      </c>
      <c r="AE86" s="88" cm="1">
        <f t="array" ref="AE86">SUM(
_xlfn.XLOOKUP(InputTable[[#This Row],[CORPHRFIN]:[SALES]],'System List'!$F$4:$F$7,'System List'!$H$4:$H$7,0))</f>
        <v>5</v>
      </c>
      <c r="AF86" s="140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88" cm="1">
        <f t="array" ref="AR86">SUM(
_xlfn.XLOOKUP(InputTable[[#This Row],[Impact on - CIAL]:[Impact on - STRAT]],'System List'!$F$4:$F$7,'System List'!$H$4:$H$7,0))</f>
        <v>0</v>
      </c>
      <c r="AS86" s="88" t="e">
        <f>VLOOKUP(InputTable[[#This Row],[Duration]],Duration,2,FALSE)+InputTable[[#This Row],[Resource Score]]</f>
        <v>#N/A</v>
      </c>
      <c r="AT8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6" s="24" t="e">
        <f>InputTable[[#This Row],[Value Score]]/InputTable[[#This Row],[EFFORT SCORE]]*100</f>
        <v>#N/A</v>
      </c>
      <c r="AV86" s="25" t="str">
        <f>InputTable[[#This Row],[IS Portfolio Ref ID]]</f>
        <v>ISPRJ-77</v>
      </c>
      <c r="AW86" s="25" t="s">
        <v>369</v>
      </c>
      <c r="AX86" s="208" t="s">
        <v>154</v>
      </c>
      <c r="AY86" s="25"/>
      <c r="AZ86" s="209">
        <v>0</v>
      </c>
      <c r="BA86" s="209">
        <v>200000</v>
      </c>
      <c r="BB86" s="209"/>
      <c r="BC86" s="189">
        <f>SUM(InputTable[[#This Row],[Opex IS Budget (full project)]]+InputTable[[#This Row],[Capex IS Budget (full project)]])</f>
        <v>200000</v>
      </c>
      <c r="BD86" s="188">
        <v>1</v>
      </c>
      <c r="BE86" s="188"/>
      <c r="BF86" s="70"/>
      <c r="BH86" s="2">
        <f>IFERROR(VLOOKUP(InputTable[[#This Row],[Impact on - CIAL]],'System List'!$F$4:$H$7,3,FALSE),0)</f>
        <v>0</v>
      </c>
      <c r="BI86" s="2">
        <f>IFERROR(VLOOKUP(InputTable[[#This Row],[Impact on - COM]],'System List'!$F$4:$H$7,3,FALSE),0)</f>
        <v>0</v>
      </c>
      <c r="BJ86" s="2">
        <f>IFERROR(VLOOKUP(InputTable[[#This Row],[Impact on - FIN]],'System List'!$F$4:$H$7,3,FALSE),0)</f>
        <v>0</v>
      </c>
      <c r="BK86" s="2">
        <f>IFERROR(VLOOKUP(InputTable[[#This Row],[Impact on - GEN SEC]],'System List'!$F$4:$H$7,3,FALSE),0)</f>
        <v>0</v>
      </c>
      <c r="BL86" s="2">
        <f>IFERROR(VLOOKUP(InputTable[[#This Row],[Impact on - HR]],'System List'!$F$4:$H$7,3,FALSE),0)</f>
        <v>0</v>
      </c>
      <c r="BM86" s="2">
        <f>IFERROR(VLOOKUP(InputTable[[#This Row],[Impact on - IS]],'System List'!$F$4:$H$7,3,FALSE),0)</f>
        <v>0</v>
      </c>
      <c r="BN86" s="2">
        <f>IFERROR(VLOOKUP(InputTable[[#This Row],[Impact on - OPS]],'System List'!$F$4:$H$7,3,FALSE),0)</f>
        <v>0</v>
      </c>
      <c r="BO86" s="2">
        <f>IFERROR(VLOOKUP(InputTable[[#This Row],[Impact on - ROLL STOCK]],'System List'!$F$4:$H$7,3,FALSE),0)</f>
        <v>0</v>
      </c>
      <c r="BP86" s="2">
        <f>IFERROR(VLOOKUP(InputTable[[#This Row],[Impact on - SAFETY]],'System List'!$F$4:$H$7,3,FALSE),0)</f>
        <v>0</v>
      </c>
      <c r="BQ86" s="2">
        <f>IFERROR(VLOOKUP(InputTable[[#This Row],[Impact on - STATION]],'System List'!$F$4:$H$7,3,FALSE),0)</f>
        <v>0</v>
      </c>
      <c r="BR86" s="2">
        <f>IFERROR(VLOOKUP(InputTable[[#This Row],[Impact on - STRAT]],'System List'!$F$4:$H$7,3,FALSE),0)</f>
        <v>0</v>
      </c>
      <c r="BT86" s="2">
        <f>IFERROR(VLOOKUP(InputTable[[#This Row],[CORPHRFIN]],'System List'!$F$4:$H$7,3,FALSE),0)</f>
        <v>0</v>
      </c>
      <c r="BU86" s="2">
        <f>IFERROR(VLOOKUP(InputTable[[#This Row],[CUST]],'System List'!$F$4:$H$7,3,FALSE),0)</f>
        <v>0</v>
      </c>
      <c r="BV86" s="2">
        <f>IFERROR(VLOOKUP(InputTable[[#This Row],[CYBER]],'System List'!$F$4:$H$7,3,FALSE),0)</f>
        <v>0</v>
      </c>
      <c r="BW86" s="2">
        <f>IFERROR(VLOOKUP(InputTable[[#This Row],[DATA]],'System List'!$F$4:$H$7,3,FALSE),0)</f>
        <v>0</v>
      </c>
      <c r="BX86" s="2">
        <f>IFERROR(VLOOKUP(InputTable[[#This Row],[INFRA]],'System List'!$F$4:$H$7,3,FALSE),0)</f>
        <v>0</v>
      </c>
      <c r="BY86" s="2">
        <f>IFERROR(VLOOKUP(InputTable[[#This Row],[OPERATIONS]],'System List'!$F$4:$H$7,3,FALSE),0)</f>
        <v>5</v>
      </c>
      <c r="BZ86" s="2">
        <f>IFERROR(VLOOKUP(InputTable[[#This Row],[PMO]],'System List'!$F$4:$H$7,3,FALSE),0)</f>
        <v>0</v>
      </c>
      <c r="CA86" s="2">
        <f>IFERROR(VLOOKUP(InputTable[[#This Row],[SALES]],'System List'!$F$4:$H$7,3,FALSE),0)</f>
        <v>0</v>
      </c>
      <c r="CC86" s="2" cm="1">
        <f t="array" ref="CC8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6" s="2" cm="1">
        <f t="array" ref="CD8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6" s="2" cm="1">
        <f t="array" ref="CE8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6" s="2" cm="1">
        <f t="array" ref="CF8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6" s="2" cm="1">
        <f t="array" ref="CG8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6" s="2" cm="1">
        <f t="array" ref="CH8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6" s="2" cm="1">
        <f t="array" ref="CI8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6" s="2" cm="1">
        <f t="array" ref="CJ8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6" s="2" cm="1">
        <f t="array" ref="CK8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8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8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6" s="26">
        <f t="shared" ref="CX86:DF86" si="306">CN86*_xlfn.XLOOKUP(CX$1,$BT$2:$CA$2,$BT86:$CA86,0)</f>
        <v>0</v>
      </c>
      <c r="CY86" s="26">
        <f t="shared" si="306"/>
        <v>0</v>
      </c>
      <c r="CZ86" s="26">
        <f t="shared" si="306"/>
        <v>0</v>
      </c>
      <c r="DA86" s="26">
        <f t="shared" si="306"/>
        <v>0</v>
      </c>
      <c r="DB86" s="26">
        <f t="shared" si="306"/>
        <v>0</v>
      </c>
      <c r="DC86" s="26">
        <f t="shared" si="306"/>
        <v>0</v>
      </c>
      <c r="DD86" s="26">
        <f t="shared" si="306"/>
        <v>0</v>
      </c>
      <c r="DE86" s="26">
        <f t="shared" si="306"/>
        <v>0</v>
      </c>
      <c r="DF86" s="26">
        <f t="shared" si="306"/>
        <v>0</v>
      </c>
      <c r="DH86" s="26">
        <f>$CN86*_xlfn.XLOOKUP(DH$1,$BT$2:$CA$2,$BT86:$CA86,0)</f>
        <v>0</v>
      </c>
      <c r="DI86" s="26">
        <f>$CO86*_xlfn.XLOOKUP(DI$1,$BT$2:$CA$2,$BT86:$CA86,0)</f>
        <v>0</v>
      </c>
      <c r="DJ86" s="26">
        <f>$CP86*_xlfn.XLOOKUP(DJ$1,$BT$2:$CA$2,$BT86:$CA86,0)</f>
        <v>0</v>
      </c>
      <c r="DK86" s="26">
        <f>$CQ86*_xlfn.XLOOKUP(DK$1,$BT$2:$CA$2,$BT86:$CA86,0)</f>
        <v>0</v>
      </c>
      <c r="DL86" s="26">
        <f>$CR86*_xlfn.XLOOKUP(DL$1,$BT$2:$CA$2,$BT86:$CA86,0)</f>
        <v>0</v>
      </c>
      <c r="DM86" s="26">
        <f>$CS86*_xlfn.XLOOKUP(DM$1,$BT$2:$CA$2,$BT86:$CA86,0)</f>
        <v>0</v>
      </c>
      <c r="DN86" s="26">
        <f>$CT86*_xlfn.XLOOKUP(DN$1,$BT$2:$CA$2,$BT86:$CA86,0)</f>
        <v>0</v>
      </c>
      <c r="DO86" s="26">
        <f>$CU86*_xlfn.XLOOKUP(DO$1,$BT$2:$CA$2,$BT86:$CA86,0)</f>
        <v>0</v>
      </c>
      <c r="DP86" s="26">
        <f>$CV86*_xlfn.XLOOKUP(DP$1,$BT$2:$CA$2,$BT86:$CA86,0)</f>
        <v>0</v>
      </c>
      <c r="DR86" s="26">
        <f>$CN86*_xlfn.XLOOKUP(DR$1,$BT$2:$CA$2,$BT86:$CA86,0)</f>
        <v>0</v>
      </c>
      <c r="DS86" s="26">
        <f>$CO86*_xlfn.XLOOKUP(DS$1,$BT$2:$CA$2,$BT86:$CA86,0)</f>
        <v>0</v>
      </c>
      <c r="DT86" s="26">
        <f>$CP86*_xlfn.XLOOKUP(DT$1,$BT$2:$CA$2,$BT86:$CA86,0)</f>
        <v>0</v>
      </c>
      <c r="DU86" s="26">
        <f>$CQ86*_xlfn.XLOOKUP(DU$1,$BT$2:$CA$2,$BT86:$CA86,0)</f>
        <v>0</v>
      </c>
      <c r="DV86" s="26">
        <f>$CR86*_xlfn.XLOOKUP(DV$1,$BT$2:$CA$2,$BT86:$CA86,0)</f>
        <v>0</v>
      </c>
      <c r="DW86" s="26">
        <f>$CS86*_xlfn.XLOOKUP(DW$1,$BT$2:$CA$2,$BT86:$CA86,0)</f>
        <v>0</v>
      </c>
      <c r="DX86" s="26">
        <f>$CT86*_xlfn.XLOOKUP(DX$1,$BT$2:$CA$2,$BT86:$CA86,0)</f>
        <v>0</v>
      </c>
      <c r="DY86" s="26">
        <f>$CU86*_xlfn.XLOOKUP(DY$1,$BT$2:$CA$2,$BT86:$CA86,0)</f>
        <v>0</v>
      </c>
      <c r="DZ86" s="26">
        <f>$CV86*_xlfn.XLOOKUP(DZ$1,$BT$2:$CA$2,$BT86:$CA86,0)</f>
        <v>0</v>
      </c>
      <c r="EB86" s="26">
        <f>$CN86*_xlfn.XLOOKUP(EB$1,$BT$2:$CA$2,$BT86:$CA86,0)</f>
        <v>0</v>
      </c>
      <c r="EC86" s="26">
        <f>$CO86*_xlfn.XLOOKUP(EC$1,$BT$2:$CA$2,$BT86:$CA86,0)</f>
        <v>0</v>
      </c>
      <c r="ED86" s="26">
        <f>$CP86*_xlfn.XLOOKUP(ED$1,$BT$2:$CA$2,$BT86:$CA86,0)</f>
        <v>0</v>
      </c>
      <c r="EE86" s="26">
        <f>$CQ86*_xlfn.XLOOKUP(EE$1,$BT$2:$CA$2,$BT86:$CA86,0)</f>
        <v>0</v>
      </c>
      <c r="EF86" s="26">
        <f>$CR86*_xlfn.XLOOKUP(EF$1,$BT$2:$CA$2,$BT86:$CA86,0)</f>
        <v>0</v>
      </c>
      <c r="EG86" s="26">
        <f>$CS86*_xlfn.XLOOKUP(EG$1,$BT$2:$CA$2,$BT86:$CA86,0)</f>
        <v>0</v>
      </c>
      <c r="EH86" s="26">
        <f>$CT86*_xlfn.XLOOKUP(EH$1,$BT$2:$CA$2,$BT86:$CA86,0)</f>
        <v>0</v>
      </c>
      <c r="EI86" s="26">
        <f>$CU86*_xlfn.XLOOKUP(EI$1,$BT$2:$CA$2,$BT86:$CA86,0)</f>
        <v>0</v>
      </c>
      <c r="EJ86" s="26">
        <f>$CV86*_xlfn.XLOOKUP(EJ$1,$BT$2:$CA$2,$BT86:$CA86,0)</f>
        <v>0</v>
      </c>
      <c r="EL86" s="26">
        <f>$CN86*_xlfn.XLOOKUP(EL$1,$BT$2:$CA$2,$BT86:$CA86,0)</f>
        <v>0</v>
      </c>
      <c r="EM86" s="26">
        <f>$CO86*_xlfn.XLOOKUP(EM$1,$BT$2:$CA$2,$BT86:$CA86,0)</f>
        <v>0</v>
      </c>
      <c r="EN86" s="26">
        <f>$CP86*_xlfn.XLOOKUP(EN$1,$BT$2:$CA$2,$BT86:$CA86,0)</f>
        <v>0</v>
      </c>
      <c r="EO86" s="26">
        <f>$CQ86*_xlfn.XLOOKUP(EO$1,$BT$2:$CA$2,$BT86:$CA86,0)</f>
        <v>0</v>
      </c>
      <c r="EP86" s="26">
        <f>$CR86*_xlfn.XLOOKUP(EP$1,$BT$2:$CA$2,$BT86:$CA86,0)</f>
        <v>0</v>
      </c>
      <c r="EQ86" s="26">
        <f>$CS86*_xlfn.XLOOKUP(EQ$1,$BT$2:$CA$2,$BT86:$CA86,0)</f>
        <v>0</v>
      </c>
      <c r="ER86" s="26">
        <f>$CT86*_xlfn.XLOOKUP(ER$1,$BT$2:$CA$2,$BT86:$CA86,0)</f>
        <v>0</v>
      </c>
      <c r="ES86" s="26">
        <f>$CU86*_xlfn.XLOOKUP(ES$1,$BT$2:$CA$2,$BT86:$CA86,0)</f>
        <v>0</v>
      </c>
      <c r="ET86" s="26">
        <f>$CV86*_xlfn.XLOOKUP(ET$1,$BT$2:$CA$2,$BT86:$CA86,0)</f>
        <v>0</v>
      </c>
      <c r="EV86" s="26">
        <f>$CN86*_xlfn.XLOOKUP(EV$1,$BT$2:$CA$2,$BT86:$CA86,0)</f>
        <v>0</v>
      </c>
      <c r="EW86" s="26">
        <f>$CO86*_xlfn.XLOOKUP(EW$1,$BT$2:$CA$2,$BT86:$CA86,0)</f>
        <v>0</v>
      </c>
      <c r="EX86" s="26">
        <f>$CP86*_xlfn.XLOOKUP(EX$1,$BT$2:$CA$2,$BT86:$CA86,0)</f>
        <v>0</v>
      </c>
      <c r="EY86" s="26">
        <f>$CQ86*_xlfn.XLOOKUP(EY$1,$BT$2:$CA$2,$BT86:$CA86,0)</f>
        <v>5</v>
      </c>
      <c r="EZ86" s="26">
        <f>$CR86*_xlfn.XLOOKUP(EZ$1,$BT$2:$CA$2,$BT86:$CA86,0)</f>
        <v>5</v>
      </c>
      <c r="FA86" s="26">
        <f>$CS86*_xlfn.XLOOKUP(FA$1,$BT$2:$CA$2,$BT86:$CA86,0)</f>
        <v>5</v>
      </c>
      <c r="FB86" s="26">
        <f>$CT86*_xlfn.XLOOKUP(FB$1,$BT$2:$CA$2,$BT86:$CA86,0)</f>
        <v>0</v>
      </c>
      <c r="FC86" s="26">
        <f>$CU86*_xlfn.XLOOKUP(FC$1,$BT$2:$CA$2,$BT86:$CA86,0)</f>
        <v>0</v>
      </c>
      <c r="FD86" s="26">
        <f>$CV86*_xlfn.XLOOKUP(FD$1,$BT$2:$CA$2,$BT86:$CA86,0)</f>
        <v>0</v>
      </c>
      <c r="FF86" s="26">
        <f>$CN86*_xlfn.XLOOKUP(FF$1,$BT$2:$CA$2,$BT86:$CA86,0)</f>
        <v>0</v>
      </c>
      <c r="FG86" s="26">
        <f>$CO86*_xlfn.XLOOKUP(FG$1,$BT$2:$CA$2,$BT86:$CA86,0)</f>
        <v>0</v>
      </c>
      <c r="FH86" s="26">
        <f>$CP86*_xlfn.XLOOKUP(FH$1,$BT$2:$CA$2,$BT86:$CA86,0)</f>
        <v>0</v>
      </c>
      <c r="FI86" s="26">
        <f>$CQ86*_xlfn.XLOOKUP(FI$1,$BT$2:$CA$2,$BT86:$CA86,0)</f>
        <v>0</v>
      </c>
      <c r="FJ86" s="26">
        <f>$CR86*_xlfn.XLOOKUP(FJ$1,$BT$2:$CA$2,$BT86:$CA86,0)</f>
        <v>0</v>
      </c>
      <c r="FK86" s="26">
        <f>$CS86*_xlfn.XLOOKUP(FK$1,$BT$2:$CA$2,$BT86:$CA86,0)</f>
        <v>0</v>
      </c>
      <c r="FL86" s="26">
        <f>$CT86*_xlfn.XLOOKUP(FL$1,$BT$2:$CA$2,$BT86:$CA86,0)</f>
        <v>0</v>
      </c>
      <c r="FM86" s="26">
        <f>$CU86*_xlfn.XLOOKUP(FM$1,$BT$2:$CA$2,$BT86:$CA86,0)</f>
        <v>0</v>
      </c>
      <c r="FN86" s="26">
        <f>$CV86*_xlfn.XLOOKUP(FN$1,$BT$2:$CA$2,$BT86:$CA86,0)</f>
        <v>0</v>
      </c>
      <c r="FP86" s="26" t="e">
        <f>$CN86*_xlfn.XLOOKUP(FP$1,$BT$2:$CA$2,$BT86:$CA86,0)</f>
        <v>#REF!</v>
      </c>
      <c r="FQ86" s="26" t="e">
        <f>$CO86*_xlfn.XLOOKUP(FQ$1,$BT$2:$CA$2,$BT86:$CA86,0)</f>
        <v>#REF!</v>
      </c>
      <c r="FR86" s="26" t="e">
        <f>$CP86*_xlfn.XLOOKUP(FR$1,$BT$2:$CA$2,$BT86:$CA86,0)</f>
        <v>#REF!</v>
      </c>
      <c r="FS86" s="26" t="e">
        <f>$CQ86*_xlfn.XLOOKUP(FS$1,$BT$2:$CA$2,$BT86:$CA86,0)</f>
        <v>#REF!</v>
      </c>
      <c r="FT86" s="26" t="e">
        <f>$CR86*_xlfn.XLOOKUP(FT$1,$BT$2:$CA$2,$BT86:$CA86,0)</f>
        <v>#REF!</v>
      </c>
      <c r="FU86" s="26" t="e">
        <f>$CS86*_xlfn.XLOOKUP(FU$1,$BT$2:$CA$2,$BT86:$CA86,0)</f>
        <v>#REF!</v>
      </c>
      <c r="FV86" s="26" t="e">
        <f>$CT86*_xlfn.XLOOKUP(FV$1,$BT$2:$CA$2,$BT86:$CA86,0)</f>
        <v>#REF!</v>
      </c>
      <c r="FW86" s="26" t="e">
        <f>$CU86*_xlfn.XLOOKUP(FW$1,$BT$2:$CA$2,$BT86:$CA86,0)</f>
        <v>#REF!</v>
      </c>
      <c r="FX86" s="26" t="e">
        <f>$CV86*_xlfn.XLOOKUP(FX$1,$BT$2:$CA$2,$BT86:$CA86,0)</f>
        <v>#REF!</v>
      </c>
      <c r="GB86" s="26" t="e">
        <f>IF(GB$2=InputTable[[#This Row],[Delivery Date]],_xlfn.XLOOKUP(GB$1,$BH$2:$BR$2,$BH86:$BR86,0),0)</f>
        <v>#REF!</v>
      </c>
      <c r="GC86" s="26">
        <f>IF(GC$2=InputTable[[#This Row],[Delivery Date]],_xlfn.XLOOKUP(GC$1,$BH$2:$BR$2,$BH86:$BR86,0),0)</f>
        <v>0</v>
      </c>
      <c r="GD86" s="26">
        <f>IF(GD$2=InputTable[[#This Row],[Delivery Date]],_xlfn.XLOOKUP(GD$1,$BH$2:$BR$2,$BH86:$BR86,0),0)</f>
        <v>0</v>
      </c>
      <c r="GE86" s="26">
        <f>IF(GE$2=InputTable[[#This Row],[Delivery Date]],_xlfn.XLOOKUP(GE$1,$BH$2:$BR$2,$BH86:$BR86,0),0)</f>
        <v>0</v>
      </c>
      <c r="GF86" s="26">
        <f>IF(GF$2=InputTable[[#This Row],[Delivery Date]],_xlfn.XLOOKUP(GF$1,$BH$2:$BR$2,$BH86:$BR86,0),0)</f>
        <v>0</v>
      </c>
      <c r="GG86" s="26">
        <f>IF(GG$2=InputTable[[#This Row],[Delivery Date]],_xlfn.XLOOKUP(GG$1,$BH$2:$BR$2,$BH86:$BR86,0),0)</f>
        <v>0</v>
      </c>
      <c r="GH86" s="26">
        <f>IF(GH$2=InputTable[[#This Row],[Delivery Date]],_xlfn.XLOOKUP(GH$1,$BH$2:$BR$2,$BH86:$BR86,0),0)</f>
        <v>0</v>
      </c>
      <c r="GI86" s="26">
        <f>IF(GI$2=InputTable[[#This Row],[Delivery Date]],_xlfn.XLOOKUP(GI$1,$BH$2:$BR$2,$BH86:$BR86,0),0)</f>
        <v>0</v>
      </c>
      <c r="GJ86" s="26">
        <f>IF(GJ$2=InputTable[[#This Row],[Delivery Date]],_xlfn.XLOOKUP(GJ$1,$BH$2:$BR$2,$BH86:$BR86,0),0)</f>
        <v>0</v>
      </c>
      <c r="GL86" s="26" t="e">
        <f>IF(GL$2=InputTable[[#This Row],[Delivery Date]],_xlfn.XLOOKUP(GL$1,$BH$2:$BR$2,$BH86:$BR86,0),0)</f>
        <v>#REF!</v>
      </c>
      <c r="GM86" s="26">
        <f>IF(GM$2=InputTable[[#This Row],[Delivery Date]],_xlfn.XLOOKUP(GM$1,$BH$2:$BR$2,$BH86:$BR86,0),0)</f>
        <v>0</v>
      </c>
      <c r="GN86" s="26">
        <f>IF(GN$2=InputTable[[#This Row],[Delivery Date]],_xlfn.XLOOKUP(GN$1,$BH$2:$BR$2,$BH86:$BR86,0),0)</f>
        <v>0</v>
      </c>
      <c r="GO86" s="26">
        <f>IF(GO$2=InputTable[[#This Row],[Delivery Date]],_xlfn.XLOOKUP(GO$1,$BH$2:$BR$2,$BH86:$BR86,0),0)</f>
        <v>0</v>
      </c>
      <c r="GP86" s="26">
        <f>IF(GP$2=InputTable[[#This Row],[Delivery Date]],_xlfn.XLOOKUP(GP$1,$BH$2:$BR$2,$BH86:$BR86,0),0)</f>
        <v>0</v>
      </c>
      <c r="GQ86" s="26">
        <f>IF(GQ$2=InputTable[[#This Row],[Delivery Date]],_xlfn.XLOOKUP(GQ$1,$BH$2:$BR$2,$BH86:$BR86,0),0)</f>
        <v>0</v>
      </c>
      <c r="GR86" s="26">
        <f>IF(GR$2=InputTable[[#This Row],[Delivery Date]],_xlfn.XLOOKUP(GR$1,$BH$2:$BR$2,$BH86:$BR86,0),0)</f>
        <v>0</v>
      </c>
      <c r="GS86" s="26">
        <f>IF(GS$2=InputTable[[#This Row],[Delivery Date]],_xlfn.XLOOKUP(GS$1,$BH$2:$BR$2,$BH86:$BR86,0),0)</f>
        <v>0</v>
      </c>
      <c r="GT86" s="26">
        <f>IF(GT$2=InputTable[[#This Row],[Delivery Date]],_xlfn.XLOOKUP(GT$1,$BH$2:$BR$2,$BH86:$BR86,0),0)</f>
        <v>0</v>
      </c>
      <c r="GV86" s="26" t="e">
        <f>IF(GV$2=InputTable[[#This Row],[Delivery Date]],_xlfn.XLOOKUP(GV$1,$BH$2:$BR$2,$BH86:$BR86,0),0)</f>
        <v>#REF!</v>
      </c>
      <c r="GW86" s="26">
        <f>IF(GW$2=InputTable[[#This Row],[Delivery Date]],_xlfn.XLOOKUP(GW$1,$BH$2:$BR$2,$BH86:$BR86,0),0)</f>
        <v>0</v>
      </c>
      <c r="GX86" s="26">
        <f>IF(GX$2=InputTable[[#This Row],[Delivery Date]],_xlfn.XLOOKUP(GX$1,$BH$2:$BR$2,$BH86:$BR86,0),0)</f>
        <v>0</v>
      </c>
      <c r="GY86" s="26">
        <f>IF(GY$2=InputTable[[#This Row],[Delivery Date]],_xlfn.XLOOKUP(GY$1,$BH$2:$BR$2,$BH86:$BR86,0),0)</f>
        <v>0</v>
      </c>
      <c r="GZ86" s="26">
        <f>IF(GZ$2=InputTable[[#This Row],[Delivery Date]],_xlfn.XLOOKUP(GZ$1,$BH$2:$BR$2,$BH86:$BR86,0),0)</f>
        <v>0</v>
      </c>
      <c r="HA86" s="26">
        <f>IF(HA$2=InputTable[[#This Row],[Delivery Date]],_xlfn.XLOOKUP(HA$1,$BH$2:$BR$2,$BH86:$BR86,0),0)</f>
        <v>0</v>
      </c>
      <c r="HB86" s="26">
        <f>IF(HB$2=InputTable[[#This Row],[Delivery Date]],_xlfn.XLOOKUP(HB$1,$BH$2:$BR$2,$BH86:$BR86,0),0)</f>
        <v>0</v>
      </c>
      <c r="HC86" s="26">
        <f>IF(HC$2=InputTable[[#This Row],[Delivery Date]],_xlfn.XLOOKUP(HC$1,$BH$2:$BR$2,$BH86:$BR86,0),0)</f>
        <v>0</v>
      </c>
      <c r="HD86" s="26">
        <f>IF(HD$2=InputTable[[#This Row],[Delivery Date]],_xlfn.XLOOKUP(HD$1,$BH$2:$BR$2,$BH86:$BR86,0),0)</f>
        <v>0</v>
      </c>
      <c r="HF86" s="26" t="e">
        <f>IF(HF$2=InputTable[[#This Row],[Delivery Date]],_xlfn.XLOOKUP(HF$1,$BH$2:$BR$2,$BH86:$BR86,0),0)</f>
        <v>#REF!</v>
      </c>
      <c r="HG86" s="26">
        <f>IF(HG$2=InputTable[[#This Row],[Delivery Date]],_xlfn.XLOOKUP(HG$1,$BH$2:$BR$2,$BH86:$BR86,0),0)</f>
        <v>0</v>
      </c>
      <c r="HH86" s="26">
        <f>IF(HH$2=InputTable[[#This Row],[Delivery Date]],_xlfn.XLOOKUP(HH$1,$BH$2:$BR$2,$BH86:$BR86,0),0)</f>
        <v>0</v>
      </c>
      <c r="HI86" s="26">
        <f>IF(HI$2=InputTable[[#This Row],[Delivery Date]],_xlfn.XLOOKUP(HI$1,$BH$2:$BR$2,$BH86:$BR86,0),0)</f>
        <v>0</v>
      </c>
      <c r="HJ86" s="26">
        <f>IF(HJ$2=InputTable[[#This Row],[Delivery Date]],_xlfn.XLOOKUP(HJ$1,$BH$2:$BR$2,$BH86:$BR86,0),0)</f>
        <v>0</v>
      </c>
      <c r="HK86" s="26">
        <f>IF(HK$2=InputTable[[#This Row],[Delivery Date]],_xlfn.XLOOKUP(HK$1,$BH$2:$BR$2,$BH86:$BR86,0),0)</f>
        <v>0</v>
      </c>
      <c r="HL86" s="26">
        <f>IF(HL$2=InputTable[[#This Row],[Delivery Date]],_xlfn.XLOOKUP(HL$1,$BH$2:$BR$2,$BH86:$BR86,0),0)</f>
        <v>0</v>
      </c>
      <c r="HM86" s="26">
        <f>IF(HM$2=InputTable[[#This Row],[Delivery Date]],_xlfn.XLOOKUP(HM$1,$BH$2:$BR$2,$BH86:$BR86,0),0)</f>
        <v>0</v>
      </c>
      <c r="HN86" s="26">
        <f>IF(HN$2=InputTable[[#This Row],[Delivery Date]],_xlfn.XLOOKUP(HN$1,$BH$2:$BR$2,$BH86:$BR86,0),0)</f>
        <v>0</v>
      </c>
      <c r="HP86" s="26" t="e">
        <f>IF(HP$2=InputTable[[#This Row],[Delivery Date]],_xlfn.XLOOKUP(HP$1,$BH$2:$BR$2,$BH86:$BR86,0),0)</f>
        <v>#REF!</v>
      </c>
      <c r="HQ86" s="26">
        <f>IF(HQ$2=InputTable[[#This Row],[Delivery Date]],_xlfn.XLOOKUP(HQ$1,$BH$2:$BR$2,$BH86:$BR86,0),0)</f>
        <v>0</v>
      </c>
      <c r="HR86" s="26">
        <f>IF(HR$2=InputTable[[#This Row],[Delivery Date]],_xlfn.XLOOKUP(HR$1,$BH$2:$BR$2,$BH86:$BR86,0),0)</f>
        <v>0</v>
      </c>
      <c r="HS86" s="26">
        <f>IF(HS$2=InputTable[[#This Row],[Delivery Date]],_xlfn.XLOOKUP(HS$1,$BH$2:$BR$2,$BH86:$BR86,0),0)</f>
        <v>0</v>
      </c>
      <c r="HT86" s="26">
        <f>IF(HT$2=InputTable[[#This Row],[Delivery Date]],_xlfn.XLOOKUP(HT$1,$BH$2:$BR$2,$BH86:$BR86,0),0)</f>
        <v>0</v>
      </c>
      <c r="HU86" s="26">
        <f>IF(HU$2=InputTable[[#This Row],[Delivery Date]],_xlfn.XLOOKUP(HU$1,$BH$2:$BR$2,$BH86:$BR86,0),0)</f>
        <v>0</v>
      </c>
      <c r="HV86" s="26">
        <f>IF(HV$2=InputTable[[#This Row],[Delivery Date]],_xlfn.XLOOKUP(HV$1,$BH$2:$BR$2,$BH86:$BR86,0),0)</f>
        <v>0</v>
      </c>
      <c r="HW86" s="26">
        <f>IF(HW$2=InputTable[[#This Row],[Delivery Date]],_xlfn.XLOOKUP(HW$1,$BH$2:$BR$2,$BH86:$BR86,0),0)</f>
        <v>0</v>
      </c>
      <c r="HX86" s="26">
        <f>IF(HX$2=InputTable[[#This Row],[Delivery Date]],_xlfn.XLOOKUP(HX$1,$BH$2:$BR$2,$BH86:$BR86,0),0)</f>
        <v>0</v>
      </c>
      <c r="HZ86" s="26" t="e">
        <f>IF(HZ$2=InputTable[[#This Row],[Delivery Date]],_xlfn.XLOOKUP(HZ$1,$BH$2:$BR$2,$BH86:$BR86,0),0)</f>
        <v>#REF!</v>
      </c>
      <c r="IA86" s="26">
        <f>IF(IA$2=InputTable[[#This Row],[Delivery Date]],_xlfn.XLOOKUP(IA$1,$BH$2:$BR$2,$BH86:$BR86,0),0)</f>
        <v>0</v>
      </c>
      <c r="IB86" s="26">
        <f>IF(IB$2=InputTable[[#This Row],[Delivery Date]],_xlfn.XLOOKUP(IB$1,$BH$2:$BR$2,$BH86:$BR86,0),0)</f>
        <v>0</v>
      </c>
      <c r="IC86" s="26">
        <f>IF(IC$2=InputTable[[#This Row],[Delivery Date]],_xlfn.XLOOKUP(IC$1,$BH$2:$BR$2,$BH86:$BR86,0),0)</f>
        <v>0</v>
      </c>
      <c r="ID86" s="26">
        <f>IF(ID$2=InputTable[[#This Row],[Delivery Date]],_xlfn.XLOOKUP(ID$1,$BH$2:$BR$2,$BH86:$BR86,0),0)</f>
        <v>0</v>
      </c>
      <c r="IE86" s="26">
        <f>IF(IE$2=InputTable[[#This Row],[Delivery Date]],_xlfn.XLOOKUP(IE$1,$BH$2:$BR$2,$BH86:$BR86,0),0)</f>
        <v>0</v>
      </c>
      <c r="IF86" s="26">
        <f>IF(IF$2=InputTable[[#This Row],[Delivery Date]],_xlfn.XLOOKUP(IF$1,$BH$2:$BR$2,$BH86:$BR86,0),0)</f>
        <v>0</v>
      </c>
      <c r="IG86" s="26">
        <f>IF(IG$2=InputTable[[#This Row],[Delivery Date]],_xlfn.XLOOKUP(IG$1,$BH$2:$BR$2,$BH86:$BR86,0),0)</f>
        <v>0</v>
      </c>
      <c r="IH86" s="26">
        <f>IF(IH$2=InputTable[[#This Row],[Delivery Date]],_xlfn.XLOOKUP(IH$1,$BH$2:$BR$2,$BH86:$BR86,0),0)</f>
        <v>0</v>
      </c>
      <c r="IJ86" s="26" t="e">
        <f>IF(IJ$2=InputTable[[#This Row],[Delivery Date]],_xlfn.XLOOKUP(IJ$1,$BH$2:$BR$2,$BH86:$BR86,0),0)</f>
        <v>#REF!</v>
      </c>
      <c r="IK86" s="26">
        <f>IF(IK$2=InputTable[[#This Row],[Delivery Date]],_xlfn.XLOOKUP(IK$1,$BH$2:$BR$2,$BH86:$BR86,0),0)</f>
        <v>0</v>
      </c>
      <c r="IL86" s="26">
        <f>IF(IL$2=InputTable[[#This Row],[Delivery Date]],_xlfn.XLOOKUP(IL$1,$BH$2:$BR$2,$BH86:$BR86,0),0)</f>
        <v>0</v>
      </c>
      <c r="IM86" s="26">
        <f>IF(IM$2=InputTable[[#This Row],[Delivery Date]],_xlfn.XLOOKUP(IM$1,$BH$2:$BR$2,$BH86:$BR86,0),0)</f>
        <v>0</v>
      </c>
      <c r="IN86" s="26">
        <f>IF(IN$2=InputTable[[#This Row],[Delivery Date]],_xlfn.XLOOKUP(IN$1,$BH$2:$BR$2,$BH86:$BR86,0),0)</f>
        <v>0</v>
      </c>
      <c r="IO86" s="26">
        <f>IF(IO$2=InputTable[[#This Row],[Delivery Date]],_xlfn.XLOOKUP(IO$1,$BH$2:$BR$2,$BH86:$BR86,0),0)</f>
        <v>0</v>
      </c>
      <c r="IP86" s="26">
        <f>IF(IP$2=InputTable[[#This Row],[Delivery Date]],_xlfn.XLOOKUP(IP$1,$BH$2:$BR$2,$BH86:$BR86,0),0)</f>
        <v>0</v>
      </c>
      <c r="IQ86" s="26">
        <f>IF(IQ$2=InputTable[[#This Row],[Delivery Date]],_xlfn.XLOOKUP(IQ$1,$BH$2:$BR$2,$BH86:$BR86,0),0)</f>
        <v>0</v>
      </c>
      <c r="IR86" s="26">
        <f>IF(IR$2=InputTable[[#This Row],[Delivery Date]],_xlfn.XLOOKUP(IR$1,$BH$2:$BR$2,$BH86:$BR86,0),0)</f>
        <v>0</v>
      </c>
      <c r="IT86" s="26" t="e">
        <f>IF(IT$2=InputTable[[#This Row],[Delivery Date]],_xlfn.XLOOKUP(IT$1,$BH$2:$BR$2,$BH86:$BR86,0),0)</f>
        <v>#REF!</v>
      </c>
      <c r="IU86" s="26">
        <f>IF(IU$2=InputTable[[#This Row],[Delivery Date]],_xlfn.XLOOKUP(IU$1,$BH$2:$BR$2,$BH86:$BR86,0),0)</f>
        <v>0</v>
      </c>
      <c r="IV86" s="26">
        <f>IF(IV$2=InputTable[[#This Row],[Delivery Date]],_xlfn.XLOOKUP(IV$1,$BH$2:$BR$2,$BH86:$BR86,0),0)</f>
        <v>0</v>
      </c>
      <c r="IW86" s="26">
        <f>IF(IW$2=InputTable[[#This Row],[Delivery Date]],_xlfn.XLOOKUP(IW$1,$BH$2:$BR$2,$BH86:$BR86,0),0)</f>
        <v>0</v>
      </c>
      <c r="IX86" s="26">
        <f>IF(IX$2=InputTable[[#This Row],[Delivery Date]],_xlfn.XLOOKUP(IX$1,$BH$2:$BR$2,$BH86:$BR86,0),0)</f>
        <v>0</v>
      </c>
      <c r="IY86" s="26">
        <f>IF(IY$2=InputTable[[#This Row],[Delivery Date]],_xlfn.XLOOKUP(IY$1,$BH$2:$BR$2,$BH86:$BR86,0),0)</f>
        <v>0</v>
      </c>
      <c r="IZ86" s="26">
        <f>IF(IZ$2=InputTable[[#This Row],[Delivery Date]],_xlfn.XLOOKUP(IZ$1,$BH$2:$BR$2,$BH86:$BR86,0),0)</f>
        <v>0</v>
      </c>
      <c r="JA86" s="26">
        <f>IF(JA$2=InputTable[[#This Row],[Delivery Date]],_xlfn.XLOOKUP(JA$1,$BH$2:$BR$2,$BH86:$BR86,0),0)</f>
        <v>0</v>
      </c>
      <c r="JB86" s="26">
        <f>IF(JB$2=InputTable[[#This Row],[Delivery Date]],_xlfn.XLOOKUP(JB$1,$BH$2:$BR$2,$BH86:$BR86,0),0)</f>
        <v>0</v>
      </c>
      <c r="JD86" s="26" t="e">
        <f>IF(JD$2=InputTable[[#This Row],[Delivery Date]],_xlfn.XLOOKUP(JD$1,$BH$2:$BR$2,$BH86:$BR86,0),0)</f>
        <v>#REF!</v>
      </c>
      <c r="JE86" s="26">
        <f>IF(JE$2=InputTable[[#This Row],[Delivery Date]],_xlfn.XLOOKUP(JE$1,$BH$2:$BR$2,$BH86:$BR86,0),0)</f>
        <v>0</v>
      </c>
      <c r="JF86" s="26">
        <f>IF(JF$2=InputTable[[#This Row],[Delivery Date]],_xlfn.XLOOKUP(JF$1,$BH$2:$BR$2,$BH86:$BR86,0),0)</f>
        <v>0</v>
      </c>
      <c r="JG86" s="26">
        <f>IF(JG$2=InputTable[[#This Row],[Delivery Date]],_xlfn.XLOOKUP(JG$1,$BH$2:$BR$2,$BH86:$BR86,0),0)</f>
        <v>0</v>
      </c>
      <c r="JH86" s="26">
        <f>IF(JH$2=InputTable[[#This Row],[Delivery Date]],_xlfn.XLOOKUP(JH$1,$BH$2:$BR$2,$BH86:$BR86,0),0)</f>
        <v>0</v>
      </c>
      <c r="JI86" s="26">
        <f>IF(JI$2=InputTable[[#This Row],[Delivery Date]],_xlfn.XLOOKUP(JI$1,$BH$2:$BR$2,$BH86:$BR86,0),0)</f>
        <v>0</v>
      </c>
      <c r="JJ86" s="26">
        <f>IF(JJ$2=InputTable[[#This Row],[Delivery Date]],_xlfn.XLOOKUP(JJ$1,$BH$2:$BR$2,$BH86:$BR86,0),0)</f>
        <v>0</v>
      </c>
      <c r="JK86" s="26">
        <f>IF(JK$2=InputTable[[#This Row],[Delivery Date]],_xlfn.XLOOKUP(JK$1,$BH$2:$BR$2,$BH86:$BR86,0),0)</f>
        <v>0</v>
      </c>
      <c r="JL86" s="26">
        <f>IF(JL$2=InputTable[[#This Row],[Delivery Date]],_xlfn.XLOOKUP(JL$1,$BH$2:$BR$2,$BH86:$BR86,0),0)</f>
        <v>0</v>
      </c>
      <c r="JN86" s="26" t="e">
        <f>IF(JN$2=InputTable[[#This Row],[Delivery Date]],_xlfn.XLOOKUP(JN$1,$BH$2:$BR$2,$BH86:$BR86,0),0)</f>
        <v>#REF!</v>
      </c>
      <c r="JO86" s="26">
        <f>IF(JO$2=InputTable[[#This Row],[Delivery Date]],_xlfn.XLOOKUP(JO$1,$BH$2:$BR$2,$BH86:$BR86,0),0)</f>
        <v>0</v>
      </c>
      <c r="JP86" s="26">
        <f>IF(JP$2=InputTable[[#This Row],[Delivery Date]],_xlfn.XLOOKUP(JP$1,$BH$2:$BR$2,$BH86:$BR86,0),0)</f>
        <v>0</v>
      </c>
      <c r="JQ86" s="26">
        <f>IF(JQ$2=InputTable[[#This Row],[Delivery Date]],_xlfn.XLOOKUP(JQ$1,$BH$2:$BR$2,$BH86:$BR86,0),0)</f>
        <v>0</v>
      </c>
      <c r="JR86" s="26">
        <f>IF(JR$2=InputTable[[#This Row],[Delivery Date]],_xlfn.XLOOKUP(JR$1,$BH$2:$BR$2,$BH86:$BR86,0),0)</f>
        <v>0</v>
      </c>
      <c r="JS86" s="26">
        <f>IF(JS$2=InputTable[[#This Row],[Delivery Date]],_xlfn.XLOOKUP(JS$1,$BH$2:$BR$2,$BH86:$BR86,0),0)</f>
        <v>0</v>
      </c>
      <c r="JT86" s="26">
        <f>IF(JT$2=InputTable[[#This Row],[Delivery Date]],_xlfn.XLOOKUP(JT$1,$BH$2:$BR$2,$BH86:$BR86,0),0)</f>
        <v>0</v>
      </c>
      <c r="JU86" s="26">
        <f>IF(JU$2=InputTable[[#This Row],[Delivery Date]],_xlfn.XLOOKUP(JU$1,$BH$2:$BR$2,$BH86:$BR86,0),0)</f>
        <v>0</v>
      </c>
      <c r="JV86" s="26">
        <f>IF(JV$2=InputTable[[#This Row],[Delivery Date]],_xlfn.XLOOKUP(JV$1,$BH$2:$BR$2,$BH86:$BR86,0),0)</f>
        <v>0</v>
      </c>
      <c r="JX86" s="26" t="e">
        <f>IF(JX$2=InputTable[[#This Row],[Delivery Date]],_xlfn.XLOOKUP(JX$1,$BH$2:$BR$2,$BH86:$BR86,0),0)</f>
        <v>#REF!</v>
      </c>
      <c r="JY86" s="26">
        <f>IF(JY$2=InputTable[[#This Row],[Delivery Date]],_xlfn.XLOOKUP(JY$1,$BH$2:$BR$2,$BH86:$BR86,0),0)</f>
        <v>0</v>
      </c>
      <c r="JZ86" s="26">
        <f>IF(JZ$2=InputTable[[#This Row],[Delivery Date]],_xlfn.XLOOKUP(JZ$1,$BH$2:$BR$2,$BH86:$BR86,0),0)</f>
        <v>0</v>
      </c>
      <c r="KA86" s="26">
        <f>IF(KA$2=InputTable[[#This Row],[Delivery Date]],_xlfn.XLOOKUP(KA$1,$BH$2:$BR$2,$BH86:$BR86,0),0)</f>
        <v>0</v>
      </c>
      <c r="KB86" s="26">
        <f>IF(KB$2=InputTable[[#This Row],[Delivery Date]],_xlfn.XLOOKUP(KB$1,$BH$2:$BR$2,$BH86:$BR86,0),0)</f>
        <v>0</v>
      </c>
      <c r="KC86" s="26">
        <f>IF(KC$2=InputTable[[#This Row],[Delivery Date]],_xlfn.XLOOKUP(KC$1,$BH$2:$BR$2,$BH86:$BR86,0),0)</f>
        <v>0</v>
      </c>
      <c r="KD86" s="26">
        <f>IF(KD$2=InputTable[[#This Row],[Delivery Date]],_xlfn.XLOOKUP(KD$1,$BH$2:$BR$2,$BH86:$BR86,0),0)</f>
        <v>0</v>
      </c>
      <c r="KE86" s="26">
        <f>IF(KE$2=InputTable[[#This Row],[Delivery Date]],_xlfn.XLOOKUP(KE$1,$BH$2:$BR$2,$BH86:$BR86,0),0)</f>
        <v>0</v>
      </c>
      <c r="KF86" s="26">
        <f>IF(KF$2=InputTable[[#This Row],[Delivery Date]],_xlfn.XLOOKUP(KF$1,$BH$2:$BR$2,$BH86:$BR86,0),0)</f>
        <v>0</v>
      </c>
    </row>
    <row r="87" spans="1:292" ht="39.6" customHeight="1" x14ac:dyDescent="0.25">
      <c r="A87" s="141" t="s">
        <v>134</v>
      </c>
      <c r="B87" s="141" t="s">
        <v>156</v>
      </c>
      <c r="C87" s="92" t="s">
        <v>62</v>
      </c>
      <c r="D87" s="125" t="s">
        <v>370</v>
      </c>
      <c r="E87" s="193" t="s">
        <v>371</v>
      </c>
      <c r="F87" s="92" t="s">
        <v>357</v>
      </c>
      <c r="G87" s="92">
        <v>2024</v>
      </c>
      <c r="H87" s="92" t="s">
        <v>100</v>
      </c>
      <c r="I87" s="92" t="s">
        <v>98</v>
      </c>
      <c r="J87" s="125" t="s">
        <v>209</v>
      </c>
      <c r="K87" s="95" t="e">
        <f>VLOOKUP((InputTable[[#This Row],[Starting Date]]&amp; " - " &amp;InputTable[[#This Row],[Delivery Date]]),'System List'!$F$40:$H$83,2,FALSE)</f>
        <v>#N/A</v>
      </c>
      <c r="L87" s="95" t="e">
        <f>VLOOKUP(InputTable[[#This Row],[Duration]],Duration,2,FALSE)</f>
        <v>#N/A</v>
      </c>
      <c r="M87" s="125" t="s">
        <v>110</v>
      </c>
      <c r="N87" s="92"/>
      <c r="O87" s="92"/>
      <c r="P87" s="92"/>
      <c r="Q87" s="92"/>
      <c r="R87" s="92" t="s">
        <v>100</v>
      </c>
      <c r="S87" s="92"/>
      <c r="T87" s="95" cm="1">
        <f t="array" ref="T8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3.9</v>
      </c>
      <c r="U87" s="138"/>
      <c r="V87" s="92"/>
      <c r="W87" s="92"/>
      <c r="X87" s="92"/>
      <c r="Y87" s="92"/>
      <c r="Z87" s="92"/>
      <c r="AA87" s="92"/>
      <c r="AB87" s="92" t="s">
        <v>139</v>
      </c>
      <c r="AC87" s="92"/>
      <c r="AD87" s="92">
        <f>COUNTA(InputTable[[#This Row],[CORPHRFIN]:[SALES]])</f>
        <v>1</v>
      </c>
      <c r="AE87" s="88" cm="1">
        <f t="array" ref="AE87">SUM(
_xlfn.XLOOKUP(InputTable[[#This Row],[CORPHRFIN]:[SALES]],'System List'!$F$4:$F$7,'System List'!$H$4:$H$7,0))</f>
        <v>8</v>
      </c>
      <c r="AF87" s="140"/>
      <c r="AG87" s="96"/>
      <c r="AH87" s="96"/>
      <c r="AI87" s="96"/>
      <c r="AJ87" s="96"/>
      <c r="AK87" s="96"/>
      <c r="AL87" s="96" t="s">
        <v>111</v>
      </c>
      <c r="AM87" s="96"/>
      <c r="AN87" s="96"/>
      <c r="AO87" s="96"/>
      <c r="AP87" s="96"/>
      <c r="AQ87" s="96"/>
      <c r="AR87" s="88" cm="1">
        <f t="array" ref="AR87">SUM(
_xlfn.XLOOKUP(InputTable[[#This Row],[Impact on - CIAL]:[Impact on - STRAT]],'System List'!$F$4:$F$7,'System List'!$H$4:$H$7,0))</f>
        <v>5</v>
      </c>
      <c r="AS87" s="88" t="e">
        <f>VLOOKUP(InputTable[[#This Row],[Duration]],Duration,2,FALSE)+InputTable[[#This Row],[Resource Score]]</f>
        <v>#N/A</v>
      </c>
      <c r="AT8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7" s="24" t="e">
        <f>InputTable[[#This Row],[Value Score]]/InputTable[[#This Row],[EFFORT SCORE]]*100</f>
        <v>#N/A</v>
      </c>
      <c r="AV87" s="25" t="str">
        <f>InputTable[[#This Row],[IS Portfolio Ref ID]]</f>
        <v>ISPRJ-24</v>
      </c>
      <c r="AW87" s="25" t="s">
        <v>372</v>
      </c>
      <c r="AX87" s="208" t="s">
        <v>154</v>
      </c>
      <c r="AY87" s="25"/>
      <c r="AZ87" s="209">
        <v>0</v>
      </c>
      <c r="BA87" s="209">
        <v>0</v>
      </c>
      <c r="BB87" s="209"/>
      <c r="BC87" s="189">
        <v>-1</v>
      </c>
      <c r="BD87" s="188">
        <v>8</v>
      </c>
      <c r="BE87" s="188">
        <v>1</v>
      </c>
      <c r="BF87" s="70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T87" s="2"/>
      <c r="BU87" s="2"/>
      <c r="BV87" s="2"/>
      <c r="BW87" s="2"/>
      <c r="BX87" s="2"/>
      <c r="BY87" s="2"/>
      <c r="BZ87" s="2"/>
      <c r="CA87" s="2"/>
      <c r="CC87" s="2"/>
      <c r="CD87" s="2"/>
      <c r="CE87" s="2"/>
      <c r="CF87" s="2"/>
      <c r="CG87" s="2"/>
      <c r="CH87" s="2"/>
      <c r="CI87" s="2"/>
      <c r="CJ87" s="2"/>
      <c r="CK87" s="2"/>
      <c r="CN87" s="2"/>
      <c r="CO87" s="2"/>
      <c r="CP87" s="2"/>
      <c r="CQ87" s="2"/>
      <c r="CR87" s="2"/>
      <c r="CS87" s="2"/>
      <c r="CT87" s="2"/>
      <c r="CU87" s="2"/>
      <c r="CV87" s="2"/>
      <c r="CX87" s="26"/>
      <c r="CY87" s="26"/>
      <c r="CZ87" s="26"/>
      <c r="DA87" s="26"/>
      <c r="DB87" s="26"/>
      <c r="DC87" s="26"/>
      <c r="DD87" s="26"/>
      <c r="DE87" s="26"/>
      <c r="DF87" s="26"/>
      <c r="DH87" s="26"/>
      <c r="DI87" s="26"/>
      <c r="DJ87" s="26"/>
      <c r="DK87" s="26"/>
      <c r="DL87" s="26"/>
      <c r="DM87" s="26"/>
      <c r="DN87" s="26"/>
      <c r="DO87" s="26"/>
      <c r="DP87" s="26"/>
      <c r="DR87" s="26"/>
      <c r="DS87" s="26"/>
      <c r="DT87" s="26"/>
      <c r="DU87" s="26"/>
      <c r="DV87" s="26"/>
      <c r="DW87" s="26"/>
      <c r="DX87" s="26"/>
      <c r="DY87" s="26"/>
      <c r="DZ87" s="26"/>
      <c r="EB87" s="26"/>
      <c r="EC87" s="26"/>
      <c r="ED87" s="26"/>
      <c r="EE87" s="26"/>
      <c r="EF87" s="26"/>
      <c r="EG87" s="26"/>
      <c r="EH87" s="26"/>
      <c r="EI87" s="26"/>
      <c r="EJ87" s="26"/>
      <c r="EL87" s="26"/>
      <c r="EM87" s="26"/>
      <c r="EN87" s="26"/>
      <c r="EO87" s="26"/>
      <c r="EP87" s="26"/>
      <c r="EQ87" s="26"/>
      <c r="ER87" s="26"/>
      <c r="ES87" s="26"/>
      <c r="ET87" s="26"/>
      <c r="EV87" s="26"/>
      <c r="EW87" s="26"/>
      <c r="EX87" s="26"/>
      <c r="EY87" s="26"/>
      <c r="EZ87" s="26"/>
      <c r="FA87" s="26"/>
      <c r="FB87" s="26"/>
      <c r="FC87" s="26"/>
      <c r="FD87" s="26"/>
      <c r="FF87" s="26"/>
      <c r="FG87" s="26"/>
      <c r="FH87" s="26"/>
      <c r="FI87" s="26"/>
      <c r="FJ87" s="26"/>
      <c r="FK87" s="26"/>
      <c r="FL87" s="26"/>
      <c r="FM87" s="26"/>
      <c r="FN87" s="26"/>
      <c r="FP87" s="26"/>
      <c r="FQ87" s="26"/>
      <c r="FR87" s="26"/>
      <c r="FS87" s="26"/>
      <c r="FT87" s="26"/>
      <c r="FU87" s="26"/>
      <c r="FV87" s="26"/>
      <c r="FW87" s="26"/>
      <c r="FX87" s="26"/>
      <c r="GB87" s="26"/>
      <c r="GC87" s="26"/>
      <c r="GD87" s="26"/>
      <c r="GE87" s="26"/>
      <c r="GF87" s="26"/>
      <c r="GG87" s="26"/>
      <c r="GH87" s="26"/>
      <c r="GI87" s="26"/>
      <c r="GJ87" s="26"/>
      <c r="GL87" s="26"/>
      <c r="GM87" s="26"/>
      <c r="GN87" s="26"/>
      <c r="GO87" s="26"/>
      <c r="GP87" s="26"/>
      <c r="GQ87" s="26"/>
      <c r="GR87" s="26"/>
      <c r="GS87" s="26"/>
      <c r="GT87" s="26"/>
      <c r="GV87" s="26"/>
      <c r="GW87" s="26"/>
      <c r="GX87" s="26"/>
      <c r="GY87" s="26"/>
      <c r="GZ87" s="26"/>
      <c r="HA87" s="26"/>
      <c r="HB87" s="26"/>
      <c r="HC87" s="26"/>
      <c r="HD87" s="26"/>
      <c r="HF87" s="26"/>
      <c r="HG87" s="26"/>
      <c r="HH87" s="26"/>
      <c r="HI87" s="26"/>
      <c r="HJ87" s="26"/>
      <c r="HK87" s="26"/>
      <c r="HL87" s="26"/>
      <c r="HM87" s="26"/>
      <c r="HN87" s="26"/>
      <c r="HP87" s="26"/>
      <c r="HQ87" s="26"/>
      <c r="HR87" s="26"/>
      <c r="HS87" s="26"/>
      <c r="HT87" s="26"/>
      <c r="HU87" s="26"/>
      <c r="HV87" s="26"/>
      <c r="HW87" s="26"/>
      <c r="HX87" s="26"/>
      <c r="HZ87" s="26"/>
      <c r="IA87" s="26"/>
      <c r="IB87" s="26"/>
      <c r="IC87" s="26"/>
      <c r="ID87" s="26"/>
      <c r="IE87" s="26"/>
      <c r="IF87" s="26"/>
      <c r="IG87" s="26"/>
      <c r="IH87" s="26"/>
      <c r="IJ87" s="26"/>
      <c r="IK87" s="26"/>
      <c r="IL87" s="26"/>
      <c r="IM87" s="26"/>
      <c r="IN87" s="26"/>
      <c r="IO87" s="26"/>
      <c r="IP87" s="26"/>
      <c r="IQ87" s="26"/>
      <c r="IR87" s="26"/>
      <c r="IT87" s="26"/>
      <c r="IU87" s="26"/>
      <c r="IV87" s="26"/>
      <c r="IW87" s="26"/>
      <c r="IX87" s="26"/>
      <c r="IY87" s="26"/>
      <c r="IZ87" s="26"/>
      <c r="JA87" s="26"/>
      <c r="JB87" s="26"/>
      <c r="JD87" s="26"/>
      <c r="JE87" s="26"/>
      <c r="JF87" s="26"/>
      <c r="JG87" s="26"/>
      <c r="JH87" s="26"/>
      <c r="JI87" s="26"/>
      <c r="JJ87" s="26"/>
      <c r="JK87" s="26"/>
      <c r="JL87" s="26"/>
      <c r="JN87" s="26"/>
      <c r="JO87" s="26"/>
      <c r="JP87" s="26"/>
      <c r="JQ87" s="26"/>
      <c r="JR87" s="26"/>
      <c r="JS87" s="26"/>
      <c r="JT87" s="26"/>
      <c r="JU87" s="26"/>
      <c r="JV87" s="26"/>
      <c r="JX87" s="26"/>
      <c r="JY87" s="26"/>
      <c r="JZ87" s="26"/>
      <c r="KA87" s="26"/>
      <c r="KB87" s="26"/>
      <c r="KC87" s="26"/>
      <c r="KD87" s="26"/>
      <c r="KE87" s="26"/>
      <c r="KF87" s="26"/>
    </row>
    <row r="88" spans="1:292" ht="39.6" hidden="1" customHeight="1" x14ac:dyDescent="0.25">
      <c r="A88" s="141" t="s">
        <v>134</v>
      </c>
      <c r="B88" s="141" t="s">
        <v>156</v>
      </c>
      <c r="C88" s="92" t="s">
        <v>57</v>
      </c>
      <c r="D88" s="125" t="s">
        <v>373</v>
      </c>
      <c r="E88" s="193" t="s">
        <v>374</v>
      </c>
      <c r="F88" s="92" t="s">
        <v>96</v>
      </c>
      <c r="G88" s="92" t="s">
        <v>160</v>
      </c>
      <c r="H88" s="92"/>
      <c r="I88" s="92" t="s">
        <v>98</v>
      </c>
      <c r="J88" s="126" t="s">
        <v>152</v>
      </c>
      <c r="K88" s="95" t="e">
        <f>VLOOKUP((InputTable[[#This Row],[Starting Date]]&amp; " - " &amp;InputTable[[#This Row],[Delivery Date]]),'System List'!$F$40:$H$83,2,FALSE)</f>
        <v>#N/A</v>
      </c>
      <c r="L88" s="95" t="e">
        <f>VLOOKUP(InputTable[[#This Row],[Duration]],Duration,2,FALSE)</f>
        <v>#N/A</v>
      </c>
      <c r="M88" s="122"/>
      <c r="N88" s="92"/>
      <c r="O88" s="92" t="s">
        <v>111</v>
      </c>
      <c r="P88" s="92"/>
      <c r="Q88" s="92" t="s">
        <v>111</v>
      </c>
      <c r="R88" s="92"/>
      <c r="S88" s="92"/>
      <c r="T88" s="95" cm="1">
        <f t="array" ref="T8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88" s="138"/>
      <c r="V88" s="92"/>
      <c r="W88" s="92"/>
      <c r="X88" s="92"/>
      <c r="Y88" s="92"/>
      <c r="Z88" s="92"/>
      <c r="AA88" s="92"/>
      <c r="AB88" s="92"/>
      <c r="AC88" s="92"/>
      <c r="AD88" s="92">
        <f>COUNTA(InputTable[[#This Row],[CORPHRFIN]:[SALES]])</f>
        <v>0</v>
      </c>
      <c r="AE88" s="88" cm="1">
        <f t="array" ref="AE88">SUM(
_xlfn.XLOOKUP(InputTable[[#This Row],[CORPHRFIN]:[SALES]],'System List'!$F$4:$F$7,'System List'!$H$4:$H$7,0))</f>
        <v>0</v>
      </c>
      <c r="AF88" s="140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88" cm="1">
        <f t="array" ref="AR88">SUM(
_xlfn.XLOOKUP(InputTable[[#This Row],[Impact on - CIAL]:[Impact on - STRAT]],'System List'!$F$4:$F$7,'System List'!$H$4:$H$7,0))</f>
        <v>0</v>
      </c>
      <c r="AS88" s="88" t="e">
        <f>VLOOKUP(InputTable[[#This Row],[Duration]],Duration,2,FALSE)+InputTable[[#This Row],[Resource Score]]</f>
        <v>#N/A</v>
      </c>
      <c r="AT8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8" s="24" t="e">
        <f>InputTable[[#This Row],[Value Score]]/InputTable[[#This Row],[EFFORT SCORE]]*100</f>
        <v>#N/A</v>
      </c>
      <c r="AV88" s="25" t="str">
        <f>InputTable[[#This Row],[IS Portfolio Ref ID]]</f>
        <v>ISPRJ-66</v>
      </c>
      <c r="AW88" s="25" t="s">
        <v>262</v>
      </c>
      <c r="AX88" s="208" t="s">
        <v>375</v>
      </c>
      <c r="AY88" s="25" t="s">
        <v>376</v>
      </c>
      <c r="AZ88" s="209">
        <f>110000*$AZ$1</f>
        <v>125004.00000000001</v>
      </c>
      <c r="BA88" s="209">
        <v>0</v>
      </c>
      <c r="BB88" s="209"/>
      <c r="BC88" s="189">
        <f>SUM(InputTable[[#This Row],[Opex IS Budget (full project)]]+InputTable[[#This Row],[Capex IS Budget (full project)]])</f>
        <v>125004.00000000001</v>
      </c>
      <c r="BD88" s="188">
        <v>2</v>
      </c>
      <c r="BE88" s="188">
        <v>2</v>
      </c>
      <c r="BF88" s="70"/>
      <c r="BH88" s="2">
        <f>IFERROR(VLOOKUP(InputTable[[#This Row],[Impact on - CIAL]],'System List'!$F$4:$H$7,3,FALSE),0)</f>
        <v>0</v>
      </c>
      <c r="BI88" s="2">
        <f>IFERROR(VLOOKUP(InputTable[[#This Row],[Impact on - COM]],'System List'!$F$4:$H$7,3,FALSE),0)</f>
        <v>0</v>
      </c>
      <c r="BJ88" s="2">
        <f>IFERROR(VLOOKUP(InputTable[[#This Row],[Impact on - FIN]],'System List'!$F$4:$H$7,3,FALSE),0)</f>
        <v>0</v>
      </c>
      <c r="BK88" s="2">
        <f>IFERROR(VLOOKUP(InputTable[[#This Row],[Impact on - GEN SEC]],'System List'!$F$4:$H$7,3,FALSE),0)</f>
        <v>0</v>
      </c>
      <c r="BL88" s="2">
        <f>IFERROR(VLOOKUP(InputTable[[#This Row],[Impact on - HR]],'System List'!$F$4:$H$7,3,FALSE),0)</f>
        <v>0</v>
      </c>
      <c r="BM88" s="2">
        <f>IFERROR(VLOOKUP(InputTable[[#This Row],[Impact on - IS]],'System List'!$F$4:$H$7,3,FALSE),0)</f>
        <v>0</v>
      </c>
      <c r="BN88" s="2">
        <f>IFERROR(VLOOKUP(InputTable[[#This Row],[Impact on - OPS]],'System List'!$F$4:$H$7,3,FALSE),0)</f>
        <v>0</v>
      </c>
      <c r="BO88" s="2">
        <f>IFERROR(VLOOKUP(InputTable[[#This Row],[Impact on - ROLL STOCK]],'System List'!$F$4:$H$7,3,FALSE),0)</f>
        <v>0</v>
      </c>
      <c r="BP88" s="2">
        <f>IFERROR(VLOOKUP(InputTable[[#This Row],[Impact on - SAFETY]],'System List'!$F$4:$H$7,3,FALSE),0)</f>
        <v>0</v>
      </c>
      <c r="BQ88" s="2">
        <f>IFERROR(VLOOKUP(InputTable[[#This Row],[Impact on - STATION]],'System List'!$F$4:$H$7,3,FALSE),0)</f>
        <v>0</v>
      </c>
      <c r="BR88" s="2">
        <f>IFERROR(VLOOKUP(InputTable[[#This Row],[Impact on - STRAT]],'System List'!$F$4:$H$7,3,FALSE),0)</f>
        <v>0</v>
      </c>
      <c r="BT88" s="2">
        <f>IFERROR(VLOOKUP(InputTable[[#This Row],[CORPHRFIN]],'System List'!$F$4:$H$7,3,FALSE),0)</f>
        <v>0</v>
      </c>
      <c r="BU88" s="2">
        <f>IFERROR(VLOOKUP(InputTable[[#This Row],[CUST]],'System List'!$F$4:$H$7,3,FALSE),0)</f>
        <v>0</v>
      </c>
      <c r="BV88" s="2">
        <f>IFERROR(VLOOKUP(InputTable[[#This Row],[CYBER]],'System List'!$F$4:$H$7,3,FALSE),0)</f>
        <v>0</v>
      </c>
      <c r="BW88" s="2">
        <f>IFERROR(VLOOKUP(InputTable[[#This Row],[DATA]],'System List'!$F$4:$H$7,3,FALSE),0)</f>
        <v>0</v>
      </c>
      <c r="BX88" s="2">
        <f>IFERROR(VLOOKUP(InputTable[[#This Row],[INFRA]],'System List'!$F$4:$H$7,3,FALSE),0)</f>
        <v>0</v>
      </c>
      <c r="BY88" s="2">
        <f>IFERROR(VLOOKUP(InputTable[[#This Row],[OPERATIONS]],'System List'!$F$4:$H$7,3,FALSE),0)</f>
        <v>0</v>
      </c>
      <c r="BZ88" s="2">
        <f>IFERROR(VLOOKUP(InputTable[[#This Row],[PMO]],'System List'!$F$4:$H$7,3,FALSE),0)</f>
        <v>0</v>
      </c>
      <c r="CA88" s="2">
        <f>IFERROR(VLOOKUP(InputTable[[#This Row],[SALES]],'System List'!$F$4:$H$7,3,FALSE),0)</f>
        <v>0</v>
      </c>
      <c r="CC88" s="2" cm="1">
        <f t="array" ref="CC8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8" s="2" cm="1">
        <f t="array" ref="CD8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8" s="2" cm="1">
        <f t="array" ref="CE8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8" s="2" cm="1">
        <f t="array" ref="CF8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8" s="2" cm="1">
        <f t="array" ref="CG8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8" s="2" cm="1">
        <f t="array" ref="CH8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8" s="2" cm="1">
        <f t="array" ref="CI8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8" s="2" cm="1">
        <f t="array" ref="CJ8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8" s="2" cm="1">
        <f t="array" ref="CK8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8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8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8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8" s="26">
        <f t="shared" si="224"/>
        <v>0</v>
      </c>
      <c r="CY88" s="26">
        <f t="shared" si="225"/>
        <v>0</v>
      </c>
      <c r="CZ88" s="26">
        <f t="shared" si="226"/>
        <v>0</v>
      </c>
      <c r="DA88" s="26">
        <f t="shared" si="227"/>
        <v>0</v>
      </c>
      <c r="DB88" s="26">
        <f t="shared" si="228"/>
        <v>0</v>
      </c>
      <c r="DC88" s="26">
        <f t="shared" si="229"/>
        <v>0</v>
      </c>
      <c r="DD88" s="26">
        <f t="shared" si="230"/>
        <v>0</v>
      </c>
      <c r="DE88" s="26">
        <f t="shared" si="231"/>
        <v>0</v>
      </c>
      <c r="DF88" s="26">
        <f t="shared" si="232"/>
        <v>0</v>
      </c>
      <c r="DH88" s="26">
        <f t="shared" si="233"/>
        <v>0</v>
      </c>
      <c r="DI88" s="26">
        <f t="shared" si="234"/>
        <v>0</v>
      </c>
      <c r="DJ88" s="26">
        <f t="shared" si="235"/>
        <v>0</v>
      </c>
      <c r="DK88" s="26">
        <f t="shared" si="236"/>
        <v>0</v>
      </c>
      <c r="DL88" s="26">
        <f t="shared" si="237"/>
        <v>0</v>
      </c>
      <c r="DM88" s="26">
        <f t="shared" si="238"/>
        <v>0</v>
      </c>
      <c r="DN88" s="26">
        <f t="shared" si="239"/>
        <v>0</v>
      </c>
      <c r="DO88" s="26">
        <f t="shared" si="240"/>
        <v>0</v>
      </c>
      <c r="DP88" s="26">
        <f t="shared" si="241"/>
        <v>0</v>
      </c>
      <c r="DR88" s="26">
        <f t="shared" si="242"/>
        <v>0</v>
      </c>
      <c r="DS88" s="26">
        <f t="shared" si="243"/>
        <v>0</v>
      </c>
      <c r="DT88" s="26">
        <f t="shared" si="244"/>
        <v>0</v>
      </c>
      <c r="DU88" s="26">
        <f t="shared" si="245"/>
        <v>0</v>
      </c>
      <c r="DV88" s="26">
        <f t="shared" si="246"/>
        <v>0</v>
      </c>
      <c r="DW88" s="26">
        <f t="shared" si="247"/>
        <v>0</v>
      </c>
      <c r="DX88" s="26">
        <f t="shared" si="248"/>
        <v>0</v>
      </c>
      <c r="DY88" s="26">
        <f t="shared" si="249"/>
        <v>0</v>
      </c>
      <c r="DZ88" s="26">
        <f t="shared" si="250"/>
        <v>0</v>
      </c>
      <c r="EB88" s="26">
        <f t="shared" si="251"/>
        <v>0</v>
      </c>
      <c r="EC88" s="26">
        <f t="shared" si="252"/>
        <v>0</v>
      </c>
      <c r="ED88" s="26">
        <f t="shared" si="253"/>
        <v>0</v>
      </c>
      <c r="EE88" s="26">
        <f t="shared" si="254"/>
        <v>0</v>
      </c>
      <c r="EF88" s="26">
        <f t="shared" si="255"/>
        <v>0</v>
      </c>
      <c r="EG88" s="26">
        <f t="shared" si="256"/>
        <v>0</v>
      </c>
      <c r="EH88" s="26">
        <f t="shared" si="257"/>
        <v>0</v>
      </c>
      <c r="EI88" s="26">
        <f t="shared" si="258"/>
        <v>0</v>
      </c>
      <c r="EJ88" s="26">
        <f t="shared" si="259"/>
        <v>0</v>
      </c>
      <c r="EL88" s="26">
        <f t="shared" si="260"/>
        <v>0</v>
      </c>
      <c r="EM88" s="26">
        <f t="shared" si="261"/>
        <v>0</v>
      </c>
      <c r="EN88" s="26">
        <f t="shared" si="262"/>
        <v>0</v>
      </c>
      <c r="EO88" s="26">
        <f t="shared" si="263"/>
        <v>0</v>
      </c>
      <c r="EP88" s="26">
        <f t="shared" si="264"/>
        <v>0</v>
      </c>
      <c r="EQ88" s="26">
        <f t="shared" si="265"/>
        <v>0</v>
      </c>
      <c r="ER88" s="26">
        <f t="shared" si="266"/>
        <v>0</v>
      </c>
      <c r="ES88" s="26">
        <f t="shared" si="267"/>
        <v>0</v>
      </c>
      <c r="ET88" s="26">
        <f t="shared" si="268"/>
        <v>0</v>
      </c>
      <c r="EV88" s="26">
        <f t="shared" si="269"/>
        <v>0</v>
      </c>
      <c r="EW88" s="26">
        <f t="shared" si="270"/>
        <v>0</v>
      </c>
      <c r="EX88" s="26">
        <f t="shared" si="271"/>
        <v>0</v>
      </c>
      <c r="EY88" s="26">
        <f t="shared" si="272"/>
        <v>0</v>
      </c>
      <c r="EZ88" s="26">
        <f t="shared" si="273"/>
        <v>0</v>
      </c>
      <c r="FA88" s="26">
        <f t="shared" si="274"/>
        <v>0</v>
      </c>
      <c r="FB88" s="26">
        <f t="shared" si="275"/>
        <v>0</v>
      </c>
      <c r="FC88" s="26">
        <f t="shared" si="276"/>
        <v>0</v>
      </c>
      <c r="FD88" s="26">
        <f t="shared" si="277"/>
        <v>0</v>
      </c>
      <c r="FF88" s="26">
        <f t="shared" si="278"/>
        <v>0</v>
      </c>
      <c r="FG88" s="26">
        <f t="shared" si="279"/>
        <v>0</v>
      </c>
      <c r="FH88" s="26">
        <f t="shared" si="280"/>
        <v>0</v>
      </c>
      <c r="FI88" s="26">
        <f t="shared" si="281"/>
        <v>0</v>
      </c>
      <c r="FJ88" s="26">
        <f t="shared" si="282"/>
        <v>0</v>
      </c>
      <c r="FK88" s="26">
        <f t="shared" si="283"/>
        <v>0</v>
      </c>
      <c r="FL88" s="26">
        <f t="shared" si="284"/>
        <v>0</v>
      </c>
      <c r="FM88" s="26">
        <f t="shared" si="285"/>
        <v>0</v>
      </c>
      <c r="FN88" s="26">
        <f t="shared" si="286"/>
        <v>0</v>
      </c>
      <c r="FP88" s="26" t="e">
        <f t="shared" si="287"/>
        <v>#REF!</v>
      </c>
      <c r="FQ88" s="26" t="e">
        <f t="shared" si="288"/>
        <v>#REF!</v>
      </c>
      <c r="FR88" s="26" t="e">
        <f t="shared" si="289"/>
        <v>#REF!</v>
      </c>
      <c r="FS88" s="26" t="e">
        <f t="shared" si="290"/>
        <v>#REF!</v>
      </c>
      <c r="FT88" s="26" t="e">
        <f t="shared" si="291"/>
        <v>#REF!</v>
      </c>
      <c r="FU88" s="26" t="e">
        <f t="shared" si="292"/>
        <v>#REF!</v>
      </c>
      <c r="FV88" s="26" t="e">
        <f t="shared" si="293"/>
        <v>#REF!</v>
      </c>
      <c r="FW88" s="26" t="e">
        <f t="shared" si="294"/>
        <v>#REF!</v>
      </c>
      <c r="FX88" s="26" t="e">
        <f t="shared" si="295"/>
        <v>#REF!</v>
      </c>
      <c r="GB88" s="26" t="e">
        <f>IF(GB$2=InputTable[[#This Row],[Delivery Date]],_xlfn.XLOOKUP(GB$1,$BH$2:$BR$2,$BH88:$BR88,0),0)</f>
        <v>#REF!</v>
      </c>
      <c r="GC88" s="26">
        <f>IF(GC$2=InputTable[[#This Row],[Delivery Date]],_xlfn.XLOOKUP(GC$1,$BH$2:$BR$2,$BH88:$BR88,0),0)</f>
        <v>0</v>
      </c>
      <c r="GD88" s="26">
        <f>IF(GD$2=InputTable[[#This Row],[Delivery Date]],_xlfn.XLOOKUP(GD$1,$BH$2:$BR$2,$BH88:$BR88,0),0)</f>
        <v>0</v>
      </c>
      <c r="GE88" s="26">
        <f>IF(GE$2=InputTable[[#This Row],[Delivery Date]],_xlfn.XLOOKUP(GE$1,$BH$2:$BR$2,$BH88:$BR88,0),0)</f>
        <v>0</v>
      </c>
      <c r="GF88" s="26">
        <f>IF(GF$2=InputTable[[#This Row],[Delivery Date]],_xlfn.XLOOKUP(GF$1,$BH$2:$BR$2,$BH88:$BR88,0),0)</f>
        <v>0</v>
      </c>
      <c r="GG88" s="26">
        <f>IF(GG$2=InputTable[[#This Row],[Delivery Date]],_xlfn.XLOOKUP(GG$1,$BH$2:$BR$2,$BH88:$BR88,0),0)</f>
        <v>0</v>
      </c>
      <c r="GH88" s="26">
        <f>IF(GH$2=InputTable[[#This Row],[Delivery Date]],_xlfn.XLOOKUP(GH$1,$BH$2:$BR$2,$BH88:$BR88,0),0)</f>
        <v>0</v>
      </c>
      <c r="GI88" s="26">
        <f>IF(GI$2=InputTable[[#This Row],[Delivery Date]],_xlfn.XLOOKUP(GI$1,$BH$2:$BR$2,$BH88:$BR88,0),0)</f>
        <v>0</v>
      </c>
      <c r="GJ88" s="26">
        <f>IF(GJ$2=InputTable[[#This Row],[Delivery Date]],_xlfn.XLOOKUP(GJ$1,$BH$2:$BR$2,$BH88:$BR88,0),0)</f>
        <v>0</v>
      </c>
      <c r="GL88" s="26" t="e">
        <f>IF(GL$2=InputTable[[#This Row],[Delivery Date]],_xlfn.XLOOKUP(GL$1,$BH$2:$BR$2,$BH88:$BR88,0),0)</f>
        <v>#REF!</v>
      </c>
      <c r="GM88" s="26">
        <f>IF(GM$2=InputTable[[#This Row],[Delivery Date]],_xlfn.XLOOKUP(GM$1,$BH$2:$BR$2,$BH88:$BR88,0),0)</f>
        <v>0</v>
      </c>
      <c r="GN88" s="26">
        <f>IF(GN$2=InputTable[[#This Row],[Delivery Date]],_xlfn.XLOOKUP(GN$1,$BH$2:$BR$2,$BH88:$BR88,0),0)</f>
        <v>0</v>
      </c>
      <c r="GO88" s="26">
        <f>IF(GO$2=InputTable[[#This Row],[Delivery Date]],_xlfn.XLOOKUP(GO$1,$BH$2:$BR$2,$BH88:$BR88,0),0)</f>
        <v>0</v>
      </c>
      <c r="GP88" s="26">
        <f>IF(GP$2=InputTable[[#This Row],[Delivery Date]],_xlfn.XLOOKUP(GP$1,$BH$2:$BR$2,$BH88:$BR88,0),0)</f>
        <v>0</v>
      </c>
      <c r="GQ88" s="26">
        <f>IF(GQ$2=InputTable[[#This Row],[Delivery Date]],_xlfn.XLOOKUP(GQ$1,$BH$2:$BR$2,$BH88:$BR88,0),0)</f>
        <v>0</v>
      </c>
      <c r="GR88" s="26">
        <f>IF(GR$2=InputTable[[#This Row],[Delivery Date]],_xlfn.XLOOKUP(GR$1,$BH$2:$BR$2,$BH88:$BR88,0),0)</f>
        <v>0</v>
      </c>
      <c r="GS88" s="26">
        <f>IF(GS$2=InputTable[[#This Row],[Delivery Date]],_xlfn.XLOOKUP(GS$1,$BH$2:$BR$2,$BH88:$BR88,0),0)</f>
        <v>0</v>
      </c>
      <c r="GT88" s="26">
        <f>IF(GT$2=InputTable[[#This Row],[Delivery Date]],_xlfn.XLOOKUP(GT$1,$BH$2:$BR$2,$BH88:$BR88,0),0)</f>
        <v>0</v>
      </c>
      <c r="GV88" s="26" t="e">
        <f>IF(GV$2=InputTable[[#This Row],[Delivery Date]],_xlfn.XLOOKUP(GV$1,$BH$2:$BR$2,$BH88:$BR88,0),0)</f>
        <v>#REF!</v>
      </c>
      <c r="GW88" s="26">
        <f>IF(GW$2=InputTable[[#This Row],[Delivery Date]],_xlfn.XLOOKUP(GW$1,$BH$2:$BR$2,$BH88:$BR88,0),0)</f>
        <v>0</v>
      </c>
      <c r="GX88" s="26">
        <f>IF(GX$2=InputTable[[#This Row],[Delivery Date]],_xlfn.XLOOKUP(GX$1,$BH$2:$BR$2,$BH88:$BR88,0),0)</f>
        <v>0</v>
      </c>
      <c r="GY88" s="26">
        <f>IF(GY$2=InputTable[[#This Row],[Delivery Date]],_xlfn.XLOOKUP(GY$1,$BH$2:$BR$2,$BH88:$BR88,0),0)</f>
        <v>0</v>
      </c>
      <c r="GZ88" s="26">
        <f>IF(GZ$2=InputTable[[#This Row],[Delivery Date]],_xlfn.XLOOKUP(GZ$1,$BH$2:$BR$2,$BH88:$BR88,0),0)</f>
        <v>0</v>
      </c>
      <c r="HA88" s="26">
        <f>IF(HA$2=InputTable[[#This Row],[Delivery Date]],_xlfn.XLOOKUP(HA$1,$BH$2:$BR$2,$BH88:$BR88,0),0)</f>
        <v>0</v>
      </c>
      <c r="HB88" s="26">
        <f>IF(HB$2=InputTable[[#This Row],[Delivery Date]],_xlfn.XLOOKUP(HB$1,$BH$2:$BR$2,$BH88:$BR88,0),0)</f>
        <v>0</v>
      </c>
      <c r="HC88" s="26">
        <f>IF(HC$2=InputTable[[#This Row],[Delivery Date]],_xlfn.XLOOKUP(HC$1,$BH$2:$BR$2,$BH88:$BR88,0),0)</f>
        <v>0</v>
      </c>
      <c r="HD88" s="26">
        <f>IF(HD$2=InputTable[[#This Row],[Delivery Date]],_xlfn.XLOOKUP(HD$1,$BH$2:$BR$2,$BH88:$BR88,0),0)</f>
        <v>0</v>
      </c>
      <c r="HF88" s="26" t="e">
        <f>IF(HF$2=InputTable[[#This Row],[Delivery Date]],_xlfn.XLOOKUP(HF$1,$BH$2:$BR$2,$BH88:$BR88,0),0)</f>
        <v>#REF!</v>
      </c>
      <c r="HG88" s="26">
        <f>IF(HG$2=InputTable[[#This Row],[Delivery Date]],_xlfn.XLOOKUP(HG$1,$BH$2:$BR$2,$BH88:$BR88,0),0)</f>
        <v>0</v>
      </c>
      <c r="HH88" s="26">
        <f>IF(HH$2=InputTable[[#This Row],[Delivery Date]],_xlfn.XLOOKUP(HH$1,$BH$2:$BR$2,$BH88:$BR88,0),0)</f>
        <v>0</v>
      </c>
      <c r="HI88" s="26">
        <f>IF(HI$2=InputTable[[#This Row],[Delivery Date]],_xlfn.XLOOKUP(HI$1,$BH$2:$BR$2,$BH88:$BR88,0),0)</f>
        <v>0</v>
      </c>
      <c r="HJ88" s="26">
        <f>IF(HJ$2=InputTable[[#This Row],[Delivery Date]],_xlfn.XLOOKUP(HJ$1,$BH$2:$BR$2,$BH88:$BR88,0),0)</f>
        <v>0</v>
      </c>
      <c r="HK88" s="26">
        <f>IF(HK$2=InputTable[[#This Row],[Delivery Date]],_xlfn.XLOOKUP(HK$1,$BH$2:$BR$2,$BH88:$BR88,0),0)</f>
        <v>0</v>
      </c>
      <c r="HL88" s="26">
        <f>IF(HL$2=InputTable[[#This Row],[Delivery Date]],_xlfn.XLOOKUP(HL$1,$BH$2:$BR$2,$BH88:$BR88,0),0)</f>
        <v>0</v>
      </c>
      <c r="HM88" s="26">
        <f>IF(HM$2=InputTable[[#This Row],[Delivery Date]],_xlfn.XLOOKUP(HM$1,$BH$2:$BR$2,$BH88:$BR88,0),0)</f>
        <v>0</v>
      </c>
      <c r="HN88" s="26">
        <f>IF(HN$2=InputTable[[#This Row],[Delivery Date]],_xlfn.XLOOKUP(HN$1,$BH$2:$BR$2,$BH88:$BR88,0),0)</f>
        <v>0</v>
      </c>
      <c r="HP88" s="26" t="e">
        <f>IF(HP$2=InputTable[[#This Row],[Delivery Date]],_xlfn.XLOOKUP(HP$1,$BH$2:$BR$2,$BH88:$BR88,0),0)</f>
        <v>#REF!</v>
      </c>
      <c r="HQ88" s="26">
        <f>IF(HQ$2=InputTable[[#This Row],[Delivery Date]],_xlfn.XLOOKUP(HQ$1,$BH$2:$BR$2,$BH88:$BR88,0),0)</f>
        <v>0</v>
      </c>
      <c r="HR88" s="26">
        <f>IF(HR$2=InputTable[[#This Row],[Delivery Date]],_xlfn.XLOOKUP(HR$1,$BH$2:$BR$2,$BH88:$BR88,0),0)</f>
        <v>0</v>
      </c>
      <c r="HS88" s="26">
        <f>IF(HS$2=InputTable[[#This Row],[Delivery Date]],_xlfn.XLOOKUP(HS$1,$BH$2:$BR$2,$BH88:$BR88,0),0)</f>
        <v>0</v>
      </c>
      <c r="HT88" s="26">
        <f>IF(HT$2=InputTable[[#This Row],[Delivery Date]],_xlfn.XLOOKUP(HT$1,$BH$2:$BR$2,$BH88:$BR88,0),0)</f>
        <v>0</v>
      </c>
      <c r="HU88" s="26">
        <f>IF(HU$2=InputTable[[#This Row],[Delivery Date]],_xlfn.XLOOKUP(HU$1,$BH$2:$BR$2,$BH88:$BR88,0),0)</f>
        <v>0</v>
      </c>
      <c r="HV88" s="26">
        <f>IF(HV$2=InputTable[[#This Row],[Delivery Date]],_xlfn.XLOOKUP(HV$1,$BH$2:$BR$2,$BH88:$BR88,0),0)</f>
        <v>0</v>
      </c>
      <c r="HW88" s="26">
        <f>IF(HW$2=InputTable[[#This Row],[Delivery Date]],_xlfn.XLOOKUP(HW$1,$BH$2:$BR$2,$BH88:$BR88,0),0)</f>
        <v>0</v>
      </c>
      <c r="HX88" s="26">
        <f>IF(HX$2=InputTable[[#This Row],[Delivery Date]],_xlfn.XLOOKUP(HX$1,$BH$2:$BR$2,$BH88:$BR88,0),0)</f>
        <v>0</v>
      </c>
      <c r="HZ88" s="26" t="e">
        <f>IF(HZ$2=InputTable[[#This Row],[Delivery Date]],_xlfn.XLOOKUP(HZ$1,$BH$2:$BR$2,$BH88:$BR88,0),0)</f>
        <v>#REF!</v>
      </c>
      <c r="IA88" s="26">
        <f>IF(IA$2=InputTable[[#This Row],[Delivery Date]],_xlfn.XLOOKUP(IA$1,$BH$2:$BR$2,$BH88:$BR88,0),0)</f>
        <v>0</v>
      </c>
      <c r="IB88" s="26">
        <f>IF(IB$2=InputTable[[#This Row],[Delivery Date]],_xlfn.XLOOKUP(IB$1,$BH$2:$BR$2,$BH88:$BR88,0),0)</f>
        <v>0</v>
      </c>
      <c r="IC88" s="26">
        <f>IF(IC$2=InputTable[[#This Row],[Delivery Date]],_xlfn.XLOOKUP(IC$1,$BH$2:$BR$2,$BH88:$BR88,0),0)</f>
        <v>0</v>
      </c>
      <c r="ID88" s="26">
        <f>IF(ID$2=InputTable[[#This Row],[Delivery Date]],_xlfn.XLOOKUP(ID$1,$BH$2:$BR$2,$BH88:$BR88,0),0)</f>
        <v>0</v>
      </c>
      <c r="IE88" s="26">
        <f>IF(IE$2=InputTable[[#This Row],[Delivery Date]],_xlfn.XLOOKUP(IE$1,$BH$2:$BR$2,$BH88:$BR88,0),0)</f>
        <v>0</v>
      </c>
      <c r="IF88" s="26">
        <f>IF(IF$2=InputTable[[#This Row],[Delivery Date]],_xlfn.XLOOKUP(IF$1,$BH$2:$BR$2,$BH88:$BR88,0),0)</f>
        <v>0</v>
      </c>
      <c r="IG88" s="26">
        <f>IF(IG$2=InputTable[[#This Row],[Delivery Date]],_xlfn.XLOOKUP(IG$1,$BH$2:$BR$2,$BH88:$BR88,0),0)</f>
        <v>0</v>
      </c>
      <c r="IH88" s="26">
        <f>IF(IH$2=InputTable[[#This Row],[Delivery Date]],_xlfn.XLOOKUP(IH$1,$BH$2:$BR$2,$BH88:$BR88,0),0)</f>
        <v>0</v>
      </c>
      <c r="IJ88" s="26" t="e">
        <f>IF(IJ$2=InputTable[[#This Row],[Delivery Date]],_xlfn.XLOOKUP(IJ$1,$BH$2:$BR$2,$BH88:$BR88,0),0)</f>
        <v>#REF!</v>
      </c>
      <c r="IK88" s="26">
        <f>IF(IK$2=InputTable[[#This Row],[Delivery Date]],_xlfn.XLOOKUP(IK$1,$BH$2:$BR$2,$BH88:$BR88,0),0)</f>
        <v>0</v>
      </c>
      <c r="IL88" s="26">
        <f>IF(IL$2=InputTable[[#This Row],[Delivery Date]],_xlfn.XLOOKUP(IL$1,$BH$2:$BR$2,$BH88:$BR88,0),0)</f>
        <v>0</v>
      </c>
      <c r="IM88" s="26">
        <f>IF(IM$2=InputTable[[#This Row],[Delivery Date]],_xlfn.XLOOKUP(IM$1,$BH$2:$BR$2,$BH88:$BR88,0),0)</f>
        <v>0</v>
      </c>
      <c r="IN88" s="26">
        <f>IF(IN$2=InputTable[[#This Row],[Delivery Date]],_xlfn.XLOOKUP(IN$1,$BH$2:$BR$2,$BH88:$BR88,0),0)</f>
        <v>0</v>
      </c>
      <c r="IO88" s="26">
        <f>IF(IO$2=InputTable[[#This Row],[Delivery Date]],_xlfn.XLOOKUP(IO$1,$BH$2:$BR$2,$BH88:$BR88,0),0)</f>
        <v>0</v>
      </c>
      <c r="IP88" s="26">
        <f>IF(IP$2=InputTable[[#This Row],[Delivery Date]],_xlfn.XLOOKUP(IP$1,$BH$2:$BR$2,$BH88:$BR88,0),0)</f>
        <v>0</v>
      </c>
      <c r="IQ88" s="26">
        <f>IF(IQ$2=InputTable[[#This Row],[Delivery Date]],_xlfn.XLOOKUP(IQ$1,$BH$2:$BR$2,$BH88:$BR88,0),0)</f>
        <v>0</v>
      </c>
      <c r="IR88" s="26">
        <f>IF(IR$2=InputTable[[#This Row],[Delivery Date]],_xlfn.XLOOKUP(IR$1,$BH$2:$BR$2,$BH88:$BR88,0),0)</f>
        <v>0</v>
      </c>
      <c r="IT88" s="26" t="e">
        <f>IF(IT$2=InputTable[[#This Row],[Delivery Date]],_xlfn.XLOOKUP(IT$1,$BH$2:$BR$2,$BH88:$BR88,0),0)</f>
        <v>#REF!</v>
      </c>
      <c r="IU88" s="26">
        <f>IF(IU$2=InputTable[[#This Row],[Delivery Date]],_xlfn.XLOOKUP(IU$1,$BH$2:$BR$2,$BH88:$BR88,0),0)</f>
        <v>0</v>
      </c>
      <c r="IV88" s="26">
        <f>IF(IV$2=InputTable[[#This Row],[Delivery Date]],_xlfn.XLOOKUP(IV$1,$BH$2:$BR$2,$BH88:$BR88,0),0)</f>
        <v>0</v>
      </c>
      <c r="IW88" s="26">
        <f>IF(IW$2=InputTable[[#This Row],[Delivery Date]],_xlfn.XLOOKUP(IW$1,$BH$2:$BR$2,$BH88:$BR88,0),0)</f>
        <v>0</v>
      </c>
      <c r="IX88" s="26">
        <f>IF(IX$2=InputTable[[#This Row],[Delivery Date]],_xlfn.XLOOKUP(IX$1,$BH$2:$BR$2,$BH88:$BR88,0),0)</f>
        <v>0</v>
      </c>
      <c r="IY88" s="26">
        <f>IF(IY$2=InputTable[[#This Row],[Delivery Date]],_xlfn.XLOOKUP(IY$1,$BH$2:$BR$2,$BH88:$BR88,0),0)</f>
        <v>0</v>
      </c>
      <c r="IZ88" s="26">
        <f>IF(IZ$2=InputTable[[#This Row],[Delivery Date]],_xlfn.XLOOKUP(IZ$1,$BH$2:$BR$2,$BH88:$BR88,0),0)</f>
        <v>0</v>
      </c>
      <c r="JA88" s="26">
        <f>IF(JA$2=InputTable[[#This Row],[Delivery Date]],_xlfn.XLOOKUP(JA$1,$BH$2:$BR$2,$BH88:$BR88,0),0)</f>
        <v>0</v>
      </c>
      <c r="JB88" s="26">
        <f>IF(JB$2=InputTable[[#This Row],[Delivery Date]],_xlfn.XLOOKUP(JB$1,$BH$2:$BR$2,$BH88:$BR88,0),0)</f>
        <v>0</v>
      </c>
      <c r="JD88" s="26" t="e">
        <f>IF(JD$2=InputTable[[#This Row],[Delivery Date]],_xlfn.XLOOKUP(JD$1,$BH$2:$BR$2,$BH88:$BR88,0),0)</f>
        <v>#REF!</v>
      </c>
      <c r="JE88" s="26">
        <f>IF(JE$2=InputTable[[#This Row],[Delivery Date]],_xlfn.XLOOKUP(JE$1,$BH$2:$BR$2,$BH88:$BR88,0),0)</f>
        <v>0</v>
      </c>
      <c r="JF88" s="26">
        <f>IF(JF$2=InputTable[[#This Row],[Delivery Date]],_xlfn.XLOOKUP(JF$1,$BH$2:$BR$2,$BH88:$BR88,0),0)</f>
        <v>0</v>
      </c>
      <c r="JG88" s="26">
        <f>IF(JG$2=InputTable[[#This Row],[Delivery Date]],_xlfn.XLOOKUP(JG$1,$BH$2:$BR$2,$BH88:$BR88,0),0)</f>
        <v>0</v>
      </c>
      <c r="JH88" s="26">
        <f>IF(JH$2=InputTable[[#This Row],[Delivery Date]],_xlfn.XLOOKUP(JH$1,$BH$2:$BR$2,$BH88:$BR88,0),0)</f>
        <v>0</v>
      </c>
      <c r="JI88" s="26">
        <f>IF(JI$2=InputTable[[#This Row],[Delivery Date]],_xlfn.XLOOKUP(JI$1,$BH$2:$BR$2,$BH88:$BR88,0),0)</f>
        <v>0</v>
      </c>
      <c r="JJ88" s="26">
        <f>IF(JJ$2=InputTable[[#This Row],[Delivery Date]],_xlfn.XLOOKUP(JJ$1,$BH$2:$BR$2,$BH88:$BR88,0),0)</f>
        <v>0</v>
      </c>
      <c r="JK88" s="26">
        <f>IF(JK$2=InputTable[[#This Row],[Delivery Date]],_xlfn.XLOOKUP(JK$1,$BH$2:$BR$2,$BH88:$BR88,0),0)</f>
        <v>0</v>
      </c>
      <c r="JL88" s="26">
        <f>IF(JL$2=InputTable[[#This Row],[Delivery Date]],_xlfn.XLOOKUP(JL$1,$BH$2:$BR$2,$BH88:$BR88,0),0)</f>
        <v>0</v>
      </c>
      <c r="JN88" s="26" t="e">
        <f>IF(JN$2=InputTable[[#This Row],[Delivery Date]],_xlfn.XLOOKUP(JN$1,$BH$2:$BR$2,$BH88:$BR88,0),0)</f>
        <v>#REF!</v>
      </c>
      <c r="JO88" s="26">
        <f>IF(JO$2=InputTable[[#This Row],[Delivery Date]],_xlfn.XLOOKUP(JO$1,$BH$2:$BR$2,$BH88:$BR88,0),0)</f>
        <v>0</v>
      </c>
      <c r="JP88" s="26">
        <f>IF(JP$2=InputTable[[#This Row],[Delivery Date]],_xlfn.XLOOKUP(JP$1,$BH$2:$BR$2,$BH88:$BR88,0),0)</f>
        <v>0</v>
      </c>
      <c r="JQ88" s="26">
        <f>IF(JQ$2=InputTable[[#This Row],[Delivery Date]],_xlfn.XLOOKUP(JQ$1,$BH$2:$BR$2,$BH88:$BR88,0),0)</f>
        <v>0</v>
      </c>
      <c r="JR88" s="26">
        <f>IF(JR$2=InputTable[[#This Row],[Delivery Date]],_xlfn.XLOOKUP(JR$1,$BH$2:$BR$2,$BH88:$BR88,0),0)</f>
        <v>0</v>
      </c>
      <c r="JS88" s="26">
        <f>IF(JS$2=InputTable[[#This Row],[Delivery Date]],_xlfn.XLOOKUP(JS$1,$BH$2:$BR$2,$BH88:$BR88,0),0)</f>
        <v>0</v>
      </c>
      <c r="JT88" s="26">
        <f>IF(JT$2=InputTable[[#This Row],[Delivery Date]],_xlfn.XLOOKUP(JT$1,$BH$2:$BR$2,$BH88:$BR88,0),0)</f>
        <v>0</v>
      </c>
      <c r="JU88" s="26">
        <f>IF(JU$2=InputTable[[#This Row],[Delivery Date]],_xlfn.XLOOKUP(JU$1,$BH$2:$BR$2,$BH88:$BR88,0),0)</f>
        <v>0</v>
      </c>
      <c r="JV88" s="26">
        <f>IF(JV$2=InputTable[[#This Row],[Delivery Date]],_xlfn.XLOOKUP(JV$1,$BH$2:$BR$2,$BH88:$BR88,0),0)</f>
        <v>0</v>
      </c>
      <c r="JX88" s="26" t="e">
        <f>IF(JX$2=InputTable[[#This Row],[Delivery Date]],_xlfn.XLOOKUP(JX$1,$BH$2:$BR$2,$BH88:$BR88,0),0)</f>
        <v>#REF!</v>
      </c>
      <c r="JY88" s="26">
        <f>IF(JY$2=InputTable[[#This Row],[Delivery Date]],_xlfn.XLOOKUP(JY$1,$BH$2:$BR$2,$BH88:$BR88,0),0)</f>
        <v>0</v>
      </c>
      <c r="JZ88" s="26">
        <f>IF(JZ$2=InputTable[[#This Row],[Delivery Date]],_xlfn.XLOOKUP(JZ$1,$BH$2:$BR$2,$BH88:$BR88,0),0)</f>
        <v>0</v>
      </c>
      <c r="KA88" s="26">
        <f>IF(KA$2=InputTable[[#This Row],[Delivery Date]],_xlfn.XLOOKUP(KA$1,$BH$2:$BR$2,$BH88:$BR88,0),0)</f>
        <v>0</v>
      </c>
      <c r="KB88" s="26">
        <f>IF(KB$2=InputTable[[#This Row],[Delivery Date]],_xlfn.XLOOKUP(KB$1,$BH$2:$BR$2,$BH88:$BR88,0),0)</f>
        <v>0</v>
      </c>
      <c r="KC88" s="26">
        <f>IF(KC$2=InputTable[[#This Row],[Delivery Date]],_xlfn.XLOOKUP(KC$1,$BH$2:$BR$2,$BH88:$BR88,0),0)</f>
        <v>0</v>
      </c>
      <c r="KD88" s="26">
        <f>IF(KD$2=InputTable[[#This Row],[Delivery Date]],_xlfn.XLOOKUP(KD$1,$BH$2:$BR$2,$BH88:$BR88,0),0)</f>
        <v>0</v>
      </c>
      <c r="KE88" s="26">
        <f>IF(KE$2=InputTable[[#This Row],[Delivery Date]],_xlfn.XLOOKUP(KE$1,$BH$2:$BR$2,$BH88:$BR88,0),0)</f>
        <v>0</v>
      </c>
      <c r="KF88" s="26">
        <f>IF(KF$2=InputTable[[#This Row],[Delivery Date]],_xlfn.XLOOKUP(KF$1,$BH$2:$BR$2,$BH88:$BR88,0),0)</f>
        <v>0</v>
      </c>
    </row>
    <row r="89" spans="1:292" ht="39.6" hidden="1" customHeight="1" x14ac:dyDescent="0.25">
      <c r="A89" s="141" t="s">
        <v>181</v>
      </c>
      <c r="B89" s="141" t="s">
        <v>156</v>
      </c>
      <c r="C89" s="92" t="s">
        <v>59</v>
      </c>
      <c r="D89" s="125" t="s">
        <v>377</v>
      </c>
      <c r="E89" s="193" t="s">
        <v>378</v>
      </c>
      <c r="F89" s="92" t="s">
        <v>24</v>
      </c>
      <c r="G89" s="92" t="s">
        <v>97</v>
      </c>
      <c r="H89" s="92"/>
      <c r="I89" s="92" t="s">
        <v>160</v>
      </c>
      <c r="J89" s="125"/>
      <c r="K89" s="95" t="e">
        <f>VLOOKUP((InputTable[[#This Row],[Starting Date]]&amp; " - " &amp;InputTable[[#This Row],[Delivery Date]]),'System List'!$F$40:$H$83,2,FALSE)</f>
        <v>#N/A</v>
      </c>
      <c r="L89" s="95" t="e">
        <f>VLOOKUP(InputTable[[#This Row],[Duration]],Duration,2,FALSE)</f>
        <v>#N/A</v>
      </c>
      <c r="M89" s="125"/>
      <c r="N89" s="92"/>
      <c r="O89" s="92"/>
      <c r="P89" s="92"/>
      <c r="Q89" s="92"/>
      <c r="R89" s="92" t="s">
        <v>111</v>
      </c>
      <c r="S89" s="92"/>
      <c r="T89" s="95" cm="1">
        <f t="array" ref="T8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89" s="138"/>
      <c r="V89" s="92"/>
      <c r="W89" s="92"/>
      <c r="X89" s="92" t="s">
        <v>111</v>
      </c>
      <c r="Y89" s="92"/>
      <c r="Z89" s="92"/>
      <c r="AA89" s="92" t="s">
        <v>111</v>
      </c>
      <c r="AB89" s="92"/>
      <c r="AC89" s="92"/>
      <c r="AD89" s="92">
        <f>COUNTA(InputTable[[#This Row],[CORPHRFIN]:[SALES]])</f>
        <v>2</v>
      </c>
      <c r="AE89" s="88" cm="1">
        <f t="array" ref="AE89">SUM(
_xlfn.XLOOKUP(InputTable[[#This Row],[CORPHRFIN]:[SALES]],'System List'!$F$4:$F$7,'System List'!$H$4:$H$7,0))</f>
        <v>10</v>
      </c>
      <c r="AF89" s="140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88" cm="1">
        <f t="array" ref="AR89">SUM(
_xlfn.XLOOKUP(InputTable[[#This Row],[Impact on - CIAL]:[Impact on - STRAT]],'System List'!$F$4:$F$7,'System List'!$H$4:$H$7,0))</f>
        <v>0</v>
      </c>
      <c r="AS89" s="88" t="e">
        <f>VLOOKUP(InputTable[[#This Row],[Duration]],Duration,2,FALSE)+InputTable[[#This Row],[Resource Score]]</f>
        <v>#N/A</v>
      </c>
      <c r="AT8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89" s="24" t="e">
        <f>InputTable[[#This Row],[Value Score]]/InputTable[[#This Row],[EFFORT SCORE]]*100</f>
        <v>#N/A</v>
      </c>
      <c r="AV89" s="25" t="str">
        <f>InputTable[[#This Row],[IS Portfolio Ref ID]]</f>
        <v>ISPRJ-79</v>
      </c>
      <c r="AW89" s="25" t="s">
        <v>222</v>
      </c>
      <c r="AX89" s="208" t="s">
        <v>154</v>
      </c>
      <c r="AY89" s="25"/>
      <c r="AZ89" s="209">
        <v>0</v>
      </c>
      <c r="BA89" s="209">
        <v>90000</v>
      </c>
      <c r="BB89" s="209"/>
      <c r="BC89" s="189">
        <f>SUM(InputTable[[#This Row],[Opex IS Budget (full project)]]+InputTable[[#This Row],[Capex IS Budget (full project)]])</f>
        <v>90000</v>
      </c>
      <c r="BD89" s="203">
        <v>1</v>
      </c>
      <c r="BE89" s="203">
        <v>2</v>
      </c>
      <c r="BF89" s="70"/>
      <c r="BH89" s="2">
        <f>IFERROR(VLOOKUP(InputTable[[#This Row],[Impact on - CIAL]],'System List'!$F$4:$H$7,3,FALSE),0)</f>
        <v>0</v>
      </c>
      <c r="BI89" s="2">
        <f>IFERROR(VLOOKUP(InputTable[[#This Row],[Impact on - COM]],'System List'!$F$4:$H$7,3,FALSE),0)</f>
        <v>0</v>
      </c>
      <c r="BJ89" s="2">
        <f>IFERROR(VLOOKUP(InputTable[[#This Row],[Impact on - FIN]],'System List'!$F$4:$H$7,3,FALSE),0)</f>
        <v>0</v>
      </c>
      <c r="BK89" s="2">
        <f>IFERROR(VLOOKUP(InputTable[[#This Row],[Impact on - GEN SEC]],'System List'!$F$4:$H$7,3,FALSE),0)</f>
        <v>0</v>
      </c>
      <c r="BL89" s="2">
        <f>IFERROR(VLOOKUP(InputTable[[#This Row],[Impact on - HR]],'System List'!$F$4:$H$7,3,FALSE),0)</f>
        <v>0</v>
      </c>
      <c r="BM89" s="2">
        <f>IFERROR(VLOOKUP(InputTable[[#This Row],[Impact on - IS]],'System List'!$F$4:$H$7,3,FALSE),0)</f>
        <v>0</v>
      </c>
      <c r="BN89" s="2">
        <f>IFERROR(VLOOKUP(InputTable[[#This Row],[Impact on - OPS]],'System List'!$F$4:$H$7,3,FALSE),0)</f>
        <v>0</v>
      </c>
      <c r="BO89" s="2">
        <f>IFERROR(VLOOKUP(InputTable[[#This Row],[Impact on - ROLL STOCK]],'System List'!$F$4:$H$7,3,FALSE),0)</f>
        <v>0</v>
      </c>
      <c r="BP89" s="2">
        <f>IFERROR(VLOOKUP(InputTable[[#This Row],[Impact on - SAFETY]],'System List'!$F$4:$H$7,3,FALSE),0)</f>
        <v>0</v>
      </c>
      <c r="BQ89" s="2">
        <f>IFERROR(VLOOKUP(InputTable[[#This Row],[Impact on - STATION]],'System List'!$F$4:$H$7,3,FALSE),0)</f>
        <v>0</v>
      </c>
      <c r="BR89" s="2">
        <f>IFERROR(VLOOKUP(InputTable[[#This Row],[Impact on - STRAT]],'System List'!$F$4:$H$7,3,FALSE),0)</f>
        <v>0</v>
      </c>
      <c r="BT89" s="2">
        <f>IFERROR(VLOOKUP(InputTable[[#This Row],[CORPHRFIN]],'System List'!$F$4:$H$7,3,FALSE),0)</f>
        <v>0</v>
      </c>
      <c r="BU89" s="2">
        <f>IFERROR(VLOOKUP(InputTable[[#This Row],[CUST]],'System List'!$F$4:$H$7,3,FALSE),0)</f>
        <v>0</v>
      </c>
      <c r="BV89" s="2">
        <f>IFERROR(VLOOKUP(InputTable[[#This Row],[CYBER]],'System List'!$F$4:$H$7,3,FALSE),0)</f>
        <v>5</v>
      </c>
      <c r="BW89" s="2">
        <f>IFERROR(VLOOKUP(InputTable[[#This Row],[DATA]],'System List'!$F$4:$H$7,3,FALSE),0)</f>
        <v>0</v>
      </c>
      <c r="BX89" s="2">
        <f>IFERROR(VLOOKUP(InputTable[[#This Row],[INFRA]],'System List'!$F$4:$H$7,3,FALSE),0)</f>
        <v>0</v>
      </c>
      <c r="BY89" s="2">
        <f>IFERROR(VLOOKUP(InputTable[[#This Row],[OPERATIONS]],'System List'!$F$4:$H$7,3,FALSE),0)</f>
        <v>5</v>
      </c>
      <c r="BZ89" s="2">
        <f>IFERROR(VLOOKUP(InputTable[[#This Row],[PMO]],'System List'!$F$4:$H$7,3,FALSE),0)</f>
        <v>0</v>
      </c>
      <c r="CA89" s="2">
        <f>IFERROR(VLOOKUP(InputTable[[#This Row],[SALES]],'System List'!$F$4:$H$7,3,FALSE),0)</f>
        <v>0</v>
      </c>
      <c r="CC89" s="2" cm="1">
        <f t="array" ref="CC8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89" s="2" cm="1">
        <f t="array" ref="CD8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89" s="2" cm="1">
        <f t="array" ref="CE8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89" s="2" cm="1">
        <f t="array" ref="CF8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89" s="2" cm="1">
        <f t="array" ref="CG8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89" s="2" cm="1">
        <f t="array" ref="CH8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89" s="2" cm="1">
        <f t="array" ref="CI8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89" s="2" cm="1">
        <f t="array" ref="CJ8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89" s="2" cm="1">
        <f t="array" ref="CK8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8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8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8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8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8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8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8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8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8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89" s="26">
        <f t="shared" si="224"/>
        <v>0</v>
      </c>
      <c r="CY89" s="26">
        <f t="shared" si="225"/>
        <v>0</v>
      </c>
      <c r="CZ89" s="26">
        <f t="shared" si="226"/>
        <v>0</v>
      </c>
      <c r="DA89" s="26">
        <f t="shared" si="227"/>
        <v>0</v>
      </c>
      <c r="DB89" s="26">
        <f t="shared" si="228"/>
        <v>0</v>
      </c>
      <c r="DC89" s="26">
        <f t="shared" si="229"/>
        <v>0</v>
      </c>
      <c r="DD89" s="26">
        <f t="shared" si="230"/>
        <v>0</v>
      </c>
      <c r="DE89" s="26">
        <f t="shared" si="231"/>
        <v>0</v>
      </c>
      <c r="DF89" s="26">
        <f t="shared" si="232"/>
        <v>0</v>
      </c>
      <c r="DH89" s="26">
        <f t="shared" si="233"/>
        <v>0</v>
      </c>
      <c r="DI89" s="26">
        <f t="shared" si="234"/>
        <v>0</v>
      </c>
      <c r="DJ89" s="26">
        <f t="shared" si="235"/>
        <v>0</v>
      </c>
      <c r="DK89" s="26">
        <f t="shared" si="236"/>
        <v>0</v>
      </c>
      <c r="DL89" s="26">
        <f t="shared" si="237"/>
        <v>0</v>
      </c>
      <c r="DM89" s="26">
        <f t="shared" si="238"/>
        <v>0</v>
      </c>
      <c r="DN89" s="26">
        <f t="shared" si="239"/>
        <v>0</v>
      </c>
      <c r="DO89" s="26">
        <f t="shared" si="240"/>
        <v>0</v>
      </c>
      <c r="DP89" s="26">
        <f t="shared" si="241"/>
        <v>0</v>
      </c>
      <c r="DR89" s="26">
        <f t="shared" si="242"/>
        <v>0</v>
      </c>
      <c r="DS89" s="26">
        <f t="shared" si="243"/>
        <v>0</v>
      </c>
      <c r="DT89" s="26">
        <f t="shared" si="244"/>
        <v>5</v>
      </c>
      <c r="DU89" s="26">
        <f t="shared" si="245"/>
        <v>5</v>
      </c>
      <c r="DV89" s="26">
        <f t="shared" si="246"/>
        <v>0</v>
      </c>
      <c r="DW89" s="26">
        <f t="shared" si="247"/>
        <v>0</v>
      </c>
      <c r="DX89" s="26">
        <f t="shared" si="248"/>
        <v>0</v>
      </c>
      <c r="DY89" s="26">
        <f t="shared" si="249"/>
        <v>0</v>
      </c>
      <c r="DZ89" s="26">
        <f t="shared" si="250"/>
        <v>0</v>
      </c>
      <c r="EB89" s="26">
        <f t="shared" si="251"/>
        <v>0</v>
      </c>
      <c r="EC89" s="26">
        <f t="shared" si="252"/>
        <v>0</v>
      </c>
      <c r="ED89" s="26">
        <f t="shared" si="253"/>
        <v>0</v>
      </c>
      <c r="EE89" s="26">
        <f t="shared" si="254"/>
        <v>0</v>
      </c>
      <c r="EF89" s="26">
        <f t="shared" si="255"/>
        <v>0</v>
      </c>
      <c r="EG89" s="26">
        <f t="shared" si="256"/>
        <v>0</v>
      </c>
      <c r="EH89" s="26">
        <f t="shared" si="257"/>
        <v>0</v>
      </c>
      <c r="EI89" s="26">
        <f t="shared" si="258"/>
        <v>0</v>
      </c>
      <c r="EJ89" s="26">
        <f t="shared" si="259"/>
        <v>0</v>
      </c>
      <c r="EL89" s="26">
        <f t="shared" si="260"/>
        <v>0</v>
      </c>
      <c r="EM89" s="26">
        <f t="shared" si="261"/>
        <v>0</v>
      </c>
      <c r="EN89" s="26">
        <f t="shared" si="262"/>
        <v>0</v>
      </c>
      <c r="EO89" s="26">
        <f t="shared" si="263"/>
        <v>0</v>
      </c>
      <c r="EP89" s="26">
        <f t="shared" si="264"/>
        <v>0</v>
      </c>
      <c r="EQ89" s="26">
        <f t="shared" si="265"/>
        <v>0</v>
      </c>
      <c r="ER89" s="26">
        <f t="shared" si="266"/>
        <v>0</v>
      </c>
      <c r="ES89" s="26">
        <f t="shared" si="267"/>
        <v>0</v>
      </c>
      <c r="ET89" s="26">
        <f t="shared" si="268"/>
        <v>0</v>
      </c>
      <c r="EV89" s="26">
        <f t="shared" si="269"/>
        <v>0</v>
      </c>
      <c r="EW89" s="26">
        <f t="shared" si="270"/>
        <v>0</v>
      </c>
      <c r="EX89" s="26">
        <f t="shared" si="271"/>
        <v>5</v>
      </c>
      <c r="EY89" s="26">
        <f t="shared" si="272"/>
        <v>5</v>
      </c>
      <c r="EZ89" s="26">
        <f t="shared" si="273"/>
        <v>0</v>
      </c>
      <c r="FA89" s="26">
        <f t="shared" si="274"/>
        <v>0</v>
      </c>
      <c r="FB89" s="26">
        <f t="shared" si="275"/>
        <v>0</v>
      </c>
      <c r="FC89" s="26">
        <f t="shared" si="276"/>
        <v>0</v>
      </c>
      <c r="FD89" s="26">
        <f t="shared" si="277"/>
        <v>0</v>
      </c>
      <c r="FF89" s="26">
        <f t="shared" si="278"/>
        <v>0</v>
      </c>
      <c r="FG89" s="26">
        <f t="shared" si="279"/>
        <v>0</v>
      </c>
      <c r="FH89" s="26">
        <f t="shared" si="280"/>
        <v>0</v>
      </c>
      <c r="FI89" s="26">
        <f t="shared" si="281"/>
        <v>0</v>
      </c>
      <c r="FJ89" s="26">
        <f t="shared" si="282"/>
        <v>0</v>
      </c>
      <c r="FK89" s="26">
        <f t="shared" si="283"/>
        <v>0</v>
      </c>
      <c r="FL89" s="26">
        <f t="shared" si="284"/>
        <v>0</v>
      </c>
      <c r="FM89" s="26">
        <f t="shared" si="285"/>
        <v>0</v>
      </c>
      <c r="FN89" s="26">
        <f t="shared" si="286"/>
        <v>0</v>
      </c>
      <c r="FP89" s="26" t="e">
        <f t="shared" si="287"/>
        <v>#REF!</v>
      </c>
      <c r="FQ89" s="26" t="e">
        <f t="shared" si="288"/>
        <v>#REF!</v>
      </c>
      <c r="FR89" s="26" t="e">
        <f t="shared" si="289"/>
        <v>#REF!</v>
      </c>
      <c r="FS89" s="26" t="e">
        <f t="shared" si="290"/>
        <v>#REF!</v>
      </c>
      <c r="FT89" s="26" t="e">
        <f t="shared" si="291"/>
        <v>#REF!</v>
      </c>
      <c r="FU89" s="26" t="e">
        <f t="shared" si="292"/>
        <v>#REF!</v>
      </c>
      <c r="FV89" s="26" t="e">
        <f t="shared" si="293"/>
        <v>#REF!</v>
      </c>
      <c r="FW89" s="26" t="e">
        <f t="shared" si="294"/>
        <v>#REF!</v>
      </c>
      <c r="FX89" s="26" t="e">
        <f t="shared" si="295"/>
        <v>#REF!</v>
      </c>
      <c r="GB89" s="26" t="e">
        <f>IF(GB$2=InputTable[[#This Row],[Delivery Date]],_xlfn.XLOOKUP(GB$1,$BH$2:$BR$2,$BH89:$BR89,0),0)</f>
        <v>#REF!</v>
      </c>
      <c r="GC89" s="26">
        <f>IF(GC$2=InputTable[[#This Row],[Delivery Date]],_xlfn.XLOOKUP(GC$1,$BH$2:$BR$2,$BH89:$BR89,0),0)</f>
        <v>0</v>
      </c>
      <c r="GD89" s="26">
        <f>IF(GD$2=InputTable[[#This Row],[Delivery Date]],_xlfn.XLOOKUP(GD$1,$BH$2:$BR$2,$BH89:$BR89,0),0)</f>
        <v>0</v>
      </c>
      <c r="GE89" s="26">
        <f>IF(GE$2=InputTable[[#This Row],[Delivery Date]],_xlfn.XLOOKUP(GE$1,$BH$2:$BR$2,$BH89:$BR89,0),0)</f>
        <v>0</v>
      </c>
      <c r="GF89" s="26">
        <f>IF(GF$2=InputTable[[#This Row],[Delivery Date]],_xlfn.XLOOKUP(GF$1,$BH$2:$BR$2,$BH89:$BR89,0),0)</f>
        <v>0</v>
      </c>
      <c r="GG89" s="26">
        <f>IF(GG$2=InputTable[[#This Row],[Delivery Date]],_xlfn.XLOOKUP(GG$1,$BH$2:$BR$2,$BH89:$BR89,0),0)</f>
        <v>0</v>
      </c>
      <c r="GH89" s="26">
        <f>IF(GH$2=InputTable[[#This Row],[Delivery Date]],_xlfn.XLOOKUP(GH$1,$BH$2:$BR$2,$BH89:$BR89,0),0)</f>
        <v>0</v>
      </c>
      <c r="GI89" s="26">
        <f>IF(GI$2=InputTable[[#This Row],[Delivery Date]],_xlfn.XLOOKUP(GI$1,$BH$2:$BR$2,$BH89:$BR89,0),0)</f>
        <v>0</v>
      </c>
      <c r="GJ89" s="26">
        <f>IF(GJ$2=InputTable[[#This Row],[Delivery Date]],_xlfn.XLOOKUP(GJ$1,$BH$2:$BR$2,$BH89:$BR89,0),0)</f>
        <v>0</v>
      </c>
      <c r="GL89" s="26" t="e">
        <f>IF(GL$2=InputTable[[#This Row],[Delivery Date]],_xlfn.XLOOKUP(GL$1,$BH$2:$BR$2,$BH89:$BR89,0),0)</f>
        <v>#REF!</v>
      </c>
      <c r="GM89" s="26">
        <f>IF(GM$2=InputTable[[#This Row],[Delivery Date]],_xlfn.XLOOKUP(GM$1,$BH$2:$BR$2,$BH89:$BR89,0),0)</f>
        <v>0</v>
      </c>
      <c r="GN89" s="26">
        <f>IF(GN$2=InputTable[[#This Row],[Delivery Date]],_xlfn.XLOOKUP(GN$1,$BH$2:$BR$2,$BH89:$BR89,0),0)</f>
        <v>0</v>
      </c>
      <c r="GO89" s="26">
        <f>IF(GO$2=InputTable[[#This Row],[Delivery Date]],_xlfn.XLOOKUP(GO$1,$BH$2:$BR$2,$BH89:$BR89,0),0)</f>
        <v>0</v>
      </c>
      <c r="GP89" s="26">
        <f>IF(GP$2=InputTable[[#This Row],[Delivery Date]],_xlfn.XLOOKUP(GP$1,$BH$2:$BR$2,$BH89:$BR89,0),0)</f>
        <v>0</v>
      </c>
      <c r="GQ89" s="26">
        <f>IF(GQ$2=InputTable[[#This Row],[Delivery Date]],_xlfn.XLOOKUP(GQ$1,$BH$2:$BR$2,$BH89:$BR89,0),0)</f>
        <v>0</v>
      </c>
      <c r="GR89" s="26">
        <f>IF(GR$2=InputTable[[#This Row],[Delivery Date]],_xlfn.XLOOKUP(GR$1,$BH$2:$BR$2,$BH89:$BR89,0),0)</f>
        <v>0</v>
      </c>
      <c r="GS89" s="26">
        <f>IF(GS$2=InputTable[[#This Row],[Delivery Date]],_xlfn.XLOOKUP(GS$1,$BH$2:$BR$2,$BH89:$BR89,0),0)</f>
        <v>0</v>
      </c>
      <c r="GT89" s="26">
        <f>IF(GT$2=InputTable[[#This Row],[Delivery Date]],_xlfn.XLOOKUP(GT$1,$BH$2:$BR$2,$BH89:$BR89,0),0)</f>
        <v>0</v>
      </c>
      <c r="GV89" s="26" t="e">
        <f>IF(GV$2=InputTable[[#This Row],[Delivery Date]],_xlfn.XLOOKUP(GV$1,$BH$2:$BR$2,$BH89:$BR89,0),0)</f>
        <v>#REF!</v>
      </c>
      <c r="GW89" s="26">
        <f>IF(GW$2=InputTable[[#This Row],[Delivery Date]],_xlfn.XLOOKUP(GW$1,$BH$2:$BR$2,$BH89:$BR89,0),0)</f>
        <v>0</v>
      </c>
      <c r="GX89" s="26">
        <f>IF(GX$2=InputTable[[#This Row],[Delivery Date]],_xlfn.XLOOKUP(GX$1,$BH$2:$BR$2,$BH89:$BR89,0),0)</f>
        <v>0</v>
      </c>
      <c r="GY89" s="26">
        <f>IF(GY$2=InputTable[[#This Row],[Delivery Date]],_xlfn.XLOOKUP(GY$1,$BH$2:$BR$2,$BH89:$BR89,0),0)</f>
        <v>0</v>
      </c>
      <c r="GZ89" s="26">
        <f>IF(GZ$2=InputTable[[#This Row],[Delivery Date]],_xlfn.XLOOKUP(GZ$1,$BH$2:$BR$2,$BH89:$BR89,0),0)</f>
        <v>0</v>
      </c>
      <c r="HA89" s="26">
        <f>IF(HA$2=InputTable[[#This Row],[Delivery Date]],_xlfn.XLOOKUP(HA$1,$BH$2:$BR$2,$BH89:$BR89,0),0)</f>
        <v>0</v>
      </c>
      <c r="HB89" s="26">
        <f>IF(HB$2=InputTable[[#This Row],[Delivery Date]],_xlfn.XLOOKUP(HB$1,$BH$2:$BR$2,$BH89:$BR89,0),0)</f>
        <v>0</v>
      </c>
      <c r="HC89" s="26">
        <f>IF(HC$2=InputTable[[#This Row],[Delivery Date]],_xlfn.XLOOKUP(HC$1,$BH$2:$BR$2,$BH89:$BR89,0),0)</f>
        <v>0</v>
      </c>
      <c r="HD89" s="26">
        <f>IF(HD$2=InputTable[[#This Row],[Delivery Date]],_xlfn.XLOOKUP(HD$1,$BH$2:$BR$2,$BH89:$BR89,0),0)</f>
        <v>0</v>
      </c>
      <c r="HF89" s="26" t="e">
        <f>IF(HF$2=InputTable[[#This Row],[Delivery Date]],_xlfn.XLOOKUP(HF$1,$BH$2:$BR$2,$BH89:$BR89,0),0)</f>
        <v>#REF!</v>
      </c>
      <c r="HG89" s="26">
        <f>IF(HG$2=InputTable[[#This Row],[Delivery Date]],_xlfn.XLOOKUP(HG$1,$BH$2:$BR$2,$BH89:$BR89,0),0)</f>
        <v>0</v>
      </c>
      <c r="HH89" s="26">
        <f>IF(HH$2=InputTable[[#This Row],[Delivery Date]],_xlfn.XLOOKUP(HH$1,$BH$2:$BR$2,$BH89:$BR89,0),0)</f>
        <v>0</v>
      </c>
      <c r="HI89" s="26">
        <f>IF(HI$2=InputTable[[#This Row],[Delivery Date]],_xlfn.XLOOKUP(HI$1,$BH$2:$BR$2,$BH89:$BR89,0),0)</f>
        <v>0</v>
      </c>
      <c r="HJ89" s="26">
        <f>IF(HJ$2=InputTable[[#This Row],[Delivery Date]],_xlfn.XLOOKUP(HJ$1,$BH$2:$BR$2,$BH89:$BR89,0),0)</f>
        <v>0</v>
      </c>
      <c r="HK89" s="26">
        <f>IF(HK$2=InputTable[[#This Row],[Delivery Date]],_xlfn.XLOOKUP(HK$1,$BH$2:$BR$2,$BH89:$BR89,0),0)</f>
        <v>0</v>
      </c>
      <c r="HL89" s="26">
        <f>IF(HL$2=InputTable[[#This Row],[Delivery Date]],_xlfn.XLOOKUP(HL$1,$BH$2:$BR$2,$BH89:$BR89,0),0)</f>
        <v>0</v>
      </c>
      <c r="HM89" s="26">
        <f>IF(HM$2=InputTable[[#This Row],[Delivery Date]],_xlfn.XLOOKUP(HM$1,$BH$2:$BR$2,$BH89:$BR89,0),0)</f>
        <v>0</v>
      </c>
      <c r="HN89" s="26">
        <f>IF(HN$2=InputTable[[#This Row],[Delivery Date]],_xlfn.XLOOKUP(HN$1,$BH$2:$BR$2,$BH89:$BR89,0),0)</f>
        <v>0</v>
      </c>
      <c r="HP89" s="26" t="e">
        <f>IF(HP$2=InputTable[[#This Row],[Delivery Date]],_xlfn.XLOOKUP(HP$1,$BH$2:$BR$2,$BH89:$BR89,0),0)</f>
        <v>#REF!</v>
      </c>
      <c r="HQ89" s="26">
        <f>IF(HQ$2=InputTable[[#This Row],[Delivery Date]],_xlfn.XLOOKUP(HQ$1,$BH$2:$BR$2,$BH89:$BR89,0),0)</f>
        <v>0</v>
      </c>
      <c r="HR89" s="26">
        <f>IF(HR$2=InputTable[[#This Row],[Delivery Date]],_xlfn.XLOOKUP(HR$1,$BH$2:$BR$2,$BH89:$BR89,0),0)</f>
        <v>0</v>
      </c>
      <c r="HS89" s="26">
        <f>IF(HS$2=InputTable[[#This Row],[Delivery Date]],_xlfn.XLOOKUP(HS$1,$BH$2:$BR$2,$BH89:$BR89,0),0)</f>
        <v>0</v>
      </c>
      <c r="HT89" s="26">
        <f>IF(HT$2=InputTable[[#This Row],[Delivery Date]],_xlfn.XLOOKUP(HT$1,$BH$2:$BR$2,$BH89:$BR89,0),0)</f>
        <v>0</v>
      </c>
      <c r="HU89" s="26">
        <f>IF(HU$2=InputTable[[#This Row],[Delivery Date]],_xlfn.XLOOKUP(HU$1,$BH$2:$BR$2,$BH89:$BR89,0),0)</f>
        <v>0</v>
      </c>
      <c r="HV89" s="26">
        <f>IF(HV$2=InputTable[[#This Row],[Delivery Date]],_xlfn.XLOOKUP(HV$1,$BH$2:$BR$2,$BH89:$BR89,0),0)</f>
        <v>0</v>
      </c>
      <c r="HW89" s="26">
        <f>IF(HW$2=InputTable[[#This Row],[Delivery Date]],_xlfn.XLOOKUP(HW$1,$BH$2:$BR$2,$BH89:$BR89,0),0)</f>
        <v>0</v>
      </c>
      <c r="HX89" s="26">
        <f>IF(HX$2=InputTable[[#This Row],[Delivery Date]],_xlfn.XLOOKUP(HX$1,$BH$2:$BR$2,$BH89:$BR89,0),0)</f>
        <v>0</v>
      </c>
      <c r="HZ89" s="26" t="e">
        <f>IF(HZ$2=InputTable[[#This Row],[Delivery Date]],_xlfn.XLOOKUP(HZ$1,$BH$2:$BR$2,$BH89:$BR89,0),0)</f>
        <v>#REF!</v>
      </c>
      <c r="IA89" s="26">
        <f>IF(IA$2=InputTable[[#This Row],[Delivery Date]],_xlfn.XLOOKUP(IA$1,$BH$2:$BR$2,$BH89:$BR89,0),0)</f>
        <v>0</v>
      </c>
      <c r="IB89" s="26">
        <f>IF(IB$2=InputTable[[#This Row],[Delivery Date]],_xlfn.XLOOKUP(IB$1,$BH$2:$BR$2,$BH89:$BR89,0),0)</f>
        <v>0</v>
      </c>
      <c r="IC89" s="26">
        <f>IF(IC$2=InputTable[[#This Row],[Delivery Date]],_xlfn.XLOOKUP(IC$1,$BH$2:$BR$2,$BH89:$BR89,0),0)</f>
        <v>0</v>
      </c>
      <c r="ID89" s="26">
        <f>IF(ID$2=InputTable[[#This Row],[Delivery Date]],_xlfn.XLOOKUP(ID$1,$BH$2:$BR$2,$BH89:$BR89,0),0)</f>
        <v>0</v>
      </c>
      <c r="IE89" s="26">
        <f>IF(IE$2=InputTable[[#This Row],[Delivery Date]],_xlfn.XLOOKUP(IE$1,$BH$2:$BR$2,$BH89:$BR89,0),0)</f>
        <v>0</v>
      </c>
      <c r="IF89" s="26">
        <f>IF(IF$2=InputTable[[#This Row],[Delivery Date]],_xlfn.XLOOKUP(IF$1,$BH$2:$BR$2,$BH89:$BR89,0),0)</f>
        <v>0</v>
      </c>
      <c r="IG89" s="26">
        <f>IF(IG$2=InputTable[[#This Row],[Delivery Date]],_xlfn.XLOOKUP(IG$1,$BH$2:$BR$2,$BH89:$BR89,0),0)</f>
        <v>0</v>
      </c>
      <c r="IH89" s="26">
        <f>IF(IH$2=InputTable[[#This Row],[Delivery Date]],_xlfn.XLOOKUP(IH$1,$BH$2:$BR$2,$BH89:$BR89,0),0)</f>
        <v>0</v>
      </c>
      <c r="IJ89" s="26" t="e">
        <f>IF(IJ$2=InputTable[[#This Row],[Delivery Date]],_xlfn.XLOOKUP(IJ$1,$BH$2:$BR$2,$BH89:$BR89,0),0)</f>
        <v>#REF!</v>
      </c>
      <c r="IK89" s="26">
        <f>IF(IK$2=InputTable[[#This Row],[Delivery Date]],_xlfn.XLOOKUP(IK$1,$BH$2:$BR$2,$BH89:$BR89,0),0)</f>
        <v>0</v>
      </c>
      <c r="IL89" s="26">
        <f>IF(IL$2=InputTable[[#This Row],[Delivery Date]],_xlfn.XLOOKUP(IL$1,$BH$2:$BR$2,$BH89:$BR89,0),0)</f>
        <v>0</v>
      </c>
      <c r="IM89" s="26">
        <f>IF(IM$2=InputTable[[#This Row],[Delivery Date]],_xlfn.XLOOKUP(IM$1,$BH$2:$BR$2,$BH89:$BR89,0),0)</f>
        <v>0</v>
      </c>
      <c r="IN89" s="26">
        <f>IF(IN$2=InputTable[[#This Row],[Delivery Date]],_xlfn.XLOOKUP(IN$1,$BH$2:$BR$2,$BH89:$BR89,0),0)</f>
        <v>0</v>
      </c>
      <c r="IO89" s="26">
        <f>IF(IO$2=InputTable[[#This Row],[Delivery Date]],_xlfn.XLOOKUP(IO$1,$BH$2:$BR$2,$BH89:$BR89,0),0)</f>
        <v>0</v>
      </c>
      <c r="IP89" s="26">
        <f>IF(IP$2=InputTable[[#This Row],[Delivery Date]],_xlfn.XLOOKUP(IP$1,$BH$2:$BR$2,$BH89:$BR89,0),0)</f>
        <v>0</v>
      </c>
      <c r="IQ89" s="26">
        <f>IF(IQ$2=InputTable[[#This Row],[Delivery Date]],_xlfn.XLOOKUP(IQ$1,$BH$2:$BR$2,$BH89:$BR89,0),0)</f>
        <v>0</v>
      </c>
      <c r="IR89" s="26">
        <f>IF(IR$2=InputTable[[#This Row],[Delivery Date]],_xlfn.XLOOKUP(IR$1,$BH$2:$BR$2,$BH89:$BR89,0),0)</f>
        <v>0</v>
      </c>
      <c r="IT89" s="26" t="e">
        <f>IF(IT$2=InputTable[[#This Row],[Delivery Date]],_xlfn.XLOOKUP(IT$1,$BH$2:$BR$2,$BH89:$BR89,0),0)</f>
        <v>#REF!</v>
      </c>
      <c r="IU89" s="26">
        <f>IF(IU$2=InputTable[[#This Row],[Delivery Date]],_xlfn.XLOOKUP(IU$1,$BH$2:$BR$2,$BH89:$BR89,0),0)</f>
        <v>0</v>
      </c>
      <c r="IV89" s="26">
        <f>IF(IV$2=InputTable[[#This Row],[Delivery Date]],_xlfn.XLOOKUP(IV$1,$BH$2:$BR$2,$BH89:$BR89,0),0)</f>
        <v>0</v>
      </c>
      <c r="IW89" s="26">
        <f>IF(IW$2=InputTable[[#This Row],[Delivery Date]],_xlfn.XLOOKUP(IW$1,$BH$2:$BR$2,$BH89:$BR89,0),0)</f>
        <v>0</v>
      </c>
      <c r="IX89" s="26">
        <f>IF(IX$2=InputTable[[#This Row],[Delivery Date]],_xlfn.XLOOKUP(IX$1,$BH$2:$BR$2,$BH89:$BR89,0),0)</f>
        <v>0</v>
      </c>
      <c r="IY89" s="26">
        <f>IF(IY$2=InputTable[[#This Row],[Delivery Date]],_xlfn.XLOOKUP(IY$1,$BH$2:$BR$2,$BH89:$BR89,0),0)</f>
        <v>0</v>
      </c>
      <c r="IZ89" s="26">
        <f>IF(IZ$2=InputTable[[#This Row],[Delivery Date]],_xlfn.XLOOKUP(IZ$1,$BH$2:$BR$2,$BH89:$BR89,0),0)</f>
        <v>0</v>
      </c>
      <c r="JA89" s="26">
        <f>IF(JA$2=InputTable[[#This Row],[Delivery Date]],_xlfn.XLOOKUP(JA$1,$BH$2:$BR$2,$BH89:$BR89,0),0)</f>
        <v>0</v>
      </c>
      <c r="JB89" s="26">
        <f>IF(JB$2=InputTable[[#This Row],[Delivery Date]],_xlfn.XLOOKUP(JB$1,$BH$2:$BR$2,$BH89:$BR89,0),0)</f>
        <v>0</v>
      </c>
      <c r="JD89" s="26" t="e">
        <f>IF(JD$2=InputTable[[#This Row],[Delivery Date]],_xlfn.XLOOKUP(JD$1,$BH$2:$BR$2,$BH89:$BR89,0),0)</f>
        <v>#REF!</v>
      </c>
      <c r="JE89" s="26">
        <f>IF(JE$2=InputTable[[#This Row],[Delivery Date]],_xlfn.XLOOKUP(JE$1,$BH$2:$BR$2,$BH89:$BR89,0),0)</f>
        <v>0</v>
      </c>
      <c r="JF89" s="26">
        <f>IF(JF$2=InputTable[[#This Row],[Delivery Date]],_xlfn.XLOOKUP(JF$1,$BH$2:$BR$2,$BH89:$BR89,0),0)</f>
        <v>0</v>
      </c>
      <c r="JG89" s="26">
        <f>IF(JG$2=InputTable[[#This Row],[Delivery Date]],_xlfn.XLOOKUP(JG$1,$BH$2:$BR$2,$BH89:$BR89,0),0)</f>
        <v>0</v>
      </c>
      <c r="JH89" s="26">
        <f>IF(JH$2=InputTable[[#This Row],[Delivery Date]],_xlfn.XLOOKUP(JH$1,$BH$2:$BR$2,$BH89:$BR89,0),0)</f>
        <v>0</v>
      </c>
      <c r="JI89" s="26">
        <f>IF(JI$2=InputTable[[#This Row],[Delivery Date]],_xlfn.XLOOKUP(JI$1,$BH$2:$BR$2,$BH89:$BR89,0),0)</f>
        <v>0</v>
      </c>
      <c r="JJ89" s="26">
        <f>IF(JJ$2=InputTable[[#This Row],[Delivery Date]],_xlfn.XLOOKUP(JJ$1,$BH$2:$BR$2,$BH89:$BR89,0),0)</f>
        <v>0</v>
      </c>
      <c r="JK89" s="26">
        <f>IF(JK$2=InputTable[[#This Row],[Delivery Date]],_xlfn.XLOOKUP(JK$1,$BH$2:$BR$2,$BH89:$BR89,0),0)</f>
        <v>0</v>
      </c>
      <c r="JL89" s="26">
        <f>IF(JL$2=InputTable[[#This Row],[Delivery Date]],_xlfn.XLOOKUP(JL$1,$BH$2:$BR$2,$BH89:$BR89,0),0)</f>
        <v>0</v>
      </c>
      <c r="JN89" s="26" t="e">
        <f>IF(JN$2=InputTable[[#This Row],[Delivery Date]],_xlfn.XLOOKUP(JN$1,$BH$2:$BR$2,$BH89:$BR89,0),0)</f>
        <v>#REF!</v>
      </c>
      <c r="JO89" s="26">
        <f>IF(JO$2=InputTable[[#This Row],[Delivery Date]],_xlfn.XLOOKUP(JO$1,$BH$2:$BR$2,$BH89:$BR89,0),0)</f>
        <v>0</v>
      </c>
      <c r="JP89" s="26">
        <f>IF(JP$2=InputTable[[#This Row],[Delivery Date]],_xlfn.XLOOKUP(JP$1,$BH$2:$BR$2,$BH89:$BR89,0),0)</f>
        <v>0</v>
      </c>
      <c r="JQ89" s="26">
        <f>IF(JQ$2=InputTable[[#This Row],[Delivery Date]],_xlfn.XLOOKUP(JQ$1,$BH$2:$BR$2,$BH89:$BR89,0),0)</f>
        <v>0</v>
      </c>
      <c r="JR89" s="26">
        <f>IF(JR$2=InputTable[[#This Row],[Delivery Date]],_xlfn.XLOOKUP(JR$1,$BH$2:$BR$2,$BH89:$BR89,0),0)</f>
        <v>0</v>
      </c>
      <c r="JS89" s="26">
        <f>IF(JS$2=InputTable[[#This Row],[Delivery Date]],_xlfn.XLOOKUP(JS$1,$BH$2:$BR$2,$BH89:$BR89,0),0)</f>
        <v>0</v>
      </c>
      <c r="JT89" s="26">
        <f>IF(JT$2=InputTable[[#This Row],[Delivery Date]],_xlfn.XLOOKUP(JT$1,$BH$2:$BR$2,$BH89:$BR89,0),0)</f>
        <v>0</v>
      </c>
      <c r="JU89" s="26">
        <f>IF(JU$2=InputTable[[#This Row],[Delivery Date]],_xlfn.XLOOKUP(JU$1,$BH$2:$BR$2,$BH89:$BR89,0),0)</f>
        <v>0</v>
      </c>
      <c r="JV89" s="26">
        <f>IF(JV$2=InputTable[[#This Row],[Delivery Date]],_xlfn.XLOOKUP(JV$1,$BH$2:$BR$2,$BH89:$BR89,0),0)</f>
        <v>0</v>
      </c>
      <c r="JX89" s="26" t="e">
        <f>IF(JX$2=InputTable[[#This Row],[Delivery Date]],_xlfn.XLOOKUP(JX$1,$BH$2:$BR$2,$BH89:$BR89,0),0)</f>
        <v>#REF!</v>
      </c>
      <c r="JY89" s="26">
        <f>IF(JY$2=InputTable[[#This Row],[Delivery Date]],_xlfn.XLOOKUP(JY$1,$BH$2:$BR$2,$BH89:$BR89,0),0)</f>
        <v>0</v>
      </c>
      <c r="JZ89" s="26">
        <f>IF(JZ$2=InputTable[[#This Row],[Delivery Date]],_xlfn.XLOOKUP(JZ$1,$BH$2:$BR$2,$BH89:$BR89,0),0)</f>
        <v>0</v>
      </c>
      <c r="KA89" s="26">
        <f>IF(KA$2=InputTable[[#This Row],[Delivery Date]],_xlfn.XLOOKUP(KA$1,$BH$2:$BR$2,$BH89:$BR89,0),0)</f>
        <v>0</v>
      </c>
      <c r="KB89" s="26">
        <f>IF(KB$2=InputTable[[#This Row],[Delivery Date]],_xlfn.XLOOKUP(KB$1,$BH$2:$BR$2,$BH89:$BR89,0),0)</f>
        <v>0</v>
      </c>
      <c r="KC89" s="26">
        <f>IF(KC$2=InputTable[[#This Row],[Delivery Date]],_xlfn.XLOOKUP(KC$1,$BH$2:$BR$2,$BH89:$BR89,0),0)</f>
        <v>0</v>
      </c>
      <c r="KD89" s="26">
        <f>IF(KD$2=InputTable[[#This Row],[Delivery Date]],_xlfn.XLOOKUP(KD$1,$BH$2:$BR$2,$BH89:$BR89,0),0)</f>
        <v>0</v>
      </c>
      <c r="KE89" s="26">
        <f>IF(KE$2=InputTable[[#This Row],[Delivery Date]],_xlfn.XLOOKUP(KE$1,$BH$2:$BR$2,$BH89:$BR89,0),0)</f>
        <v>0</v>
      </c>
      <c r="KF89" s="26">
        <f>IF(KF$2=InputTable[[#This Row],[Delivery Date]],_xlfn.XLOOKUP(KF$1,$BH$2:$BR$2,$BH89:$BR89,0),0)</f>
        <v>0</v>
      </c>
    </row>
    <row r="90" spans="1:292" ht="39.6" customHeight="1" x14ac:dyDescent="0.25">
      <c r="A90" s="141" t="s">
        <v>134</v>
      </c>
      <c r="B90" s="141" t="s">
        <v>156</v>
      </c>
      <c r="C90" s="92" t="s">
        <v>60</v>
      </c>
      <c r="D90" s="125" t="s">
        <v>379</v>
      </c>
      <c r="E90" s="193" t="s">
        <v>380</v>
      </c>
      <c r="F90" s="92" t="s">
        <v>24</v>
      </c>
      <c r="G90" s="92">
        <v>2024</v>
      </c>
      <c r="H90" s="99" t="s">
        <v>100</v>
      </c>
      <c r="I90" s="98" t="s">
        <v>98</v>
      </c>
      <c r="J90" s="126"/>
      <c r="K90" s="95" t="e">
        <f>VLOOKUP((InputTable[[#This Row],[Starting Date]]&amp; " - " &amp;InputTable[[#This Row],[Delivery Date]]),'System List'!$F$40:$H$83,2,FALSE)</f>
        <v>#N/A</v>
      </c>
      <c r="L90" s="95" t="e">
        <f>VLOOKUP(InputTable[[#This Row],[Duration]],Duration,2,FALSE)</f>
        <v>#N/A</v>
      </c>
      <c r="M90" s="126" t="s">
        <v>381</v>
      </c>
      <c r="N90" s="98"/>
      <c r="O90" s="98"/>
      <c r="P90" s="98"/>
      <c r="Q90" s="98"/>
      <c r="R90" s="98" t="s">
        <v>139</v>
      </c>
      <c r="S90" s="92"/>
      <c r="T90" s="95" cm="1">
        <f t="array" ref="T9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2.4</v>
      </c>
      <c r="U90" s="138"/>
      <c r="V90" s="98"/>
      <c r="W90" s="98"/>
      <c r="X90" s="98"/>
      <c r="Y90" s="98"/>
      <c r="Z90" s="98" t="s">
        <v>139</v>
      </c>
      <c r="AA90" s="98"/>
      <c r="AB90" s="98"/>
      <c r="AC90" s="98"/>
      <c r="AD90" s="92">
        <f>COUNTA(InputTable[[#This Row],[CORPHRFIN]:[SALES]])</f>
        <v>1</v>
      </c>
      <c r="AE90" s="88" cm="1">
        <f t="array" ref="AE90">SUM(
_xlfn.XLOOKUP(InputTable[[#This Row],[CORPHRFIN]:[SALES]],'System List'!$F$4:$F$7,'System List'!$H$4:$H$7,0))</f>
        <v>8</v>
      </c>
      <c r="AF90" s="140"/>
      <c r="AG90" s="101"/>
      <c r="AH90" s="101"/>
      <c r="AI90" s="101"/>
      <c r="AJ90" s="101"/>
      <c r="AK90" s="101"/>
      <c r="AL90" s="101" t="s">
        <v>139</v>
      </c>
      <c r="AM90" s="101"/>
      <c r="AN90" s="101"/>
      <c r="AO90" s="101"/>
      <c r="AP90" s="101"/>
      <c r="AQ90" s="101"/>
      <c r="AR90" s="88" cm="1">
        <f t="array" ref="AR90">SUM(
_xlfn.XLOOKUP(InputTable[[#This Row],[Impact on - CIAL]:[Impact on - STRAT]],'System List'!$F$4:$F$7,'System List'!$H$4:$H$7,0))</f>
        <v>8</v>
      </c>
      <c r="AS90" s="88" t="e">
        <f>VLOOKUP(InputTable[[#This Row],[Duration]],Duration,2,FALSE)+InputTable[[#This Row],[Resource Score]]</f>
        <v>#N/A</v>
      </c>
      <c r="AT9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0" s="24" t="e">
        <f>InputTable[[#This Row],[Value Score]]/InputTable[[#This Row],[EFFORT SCORE]]*100</f>
        <v>#N/A</v>
      </c>
      <c r="AV90" s="25" t="str">
        <f>InputTable[[#This Row],[IS Portfolio Ref ID]]</f>
        <v>ISPRJ-53</v>
      </c>
      <c r="AW90" s="25" t="s">
        <v>312</v>
      </c>
      <c r="AX90" s="208" t="s">
        <v>154</v>
      </c>
      <c r="AY90" s="25" t="s">
        <v>263</v>
      </c>
      <c r="AZ90" s="209">
        <v>0</v>
      </c>
      <c r="BA90" s="209">
        <v>0</v>
      </c>
      <c r="BB90" s="209"/>
      <c r="BC90" s="189">
        <v>-1</v>
      </c>
      <c r="BD90" s="188">
        <v>3</v>
      </c>
      <c r="BE90" s="188"/>
      <c r="BF90" s="70"/>
      <c r="BH90" s="2">
        <f>IFERROR(VLOOKUP(InputTable[[#This Row],[Impact on - CIAL]],'System List'!$F$4:$H$7,3,FALSE),0)</f>
        <v>0</v>
      </c>
      <c r="BI90" s="2">
        <f>IFERROR(VLOOKUP(InputTable[[#This Row],[Impact on - COM]],'System List'!$F$4:$H$7,3,FALSE),0)</f>
        <v>0</v>
      </c>
      <c r="BJ90" s="2">
        <f>IFERROR(VLOOKUP(InputTable[[#This Row],[Impact on - FIN]],'System List'!$F$4:$H$7,3,FALSE),0)</f>
        <v>0</v>
      </c>
      <c r="BK90" s="2">
        <f>IFERROR(VLOOKUP(InputTable[[#This Row],[Impact on - GEN SEC]],'System List'!$F$4:$H$7,3,FALSE),0)</f>
        <v>0</v>
      </c>
      <c r="BL90" s="2">
        <f>IFERROR(VLOOKUP(InputTable[[#This Row],[Impact on - HR]],'System List'!$F$4:$H$7,3,FALSE),0)</f>
        <v>0</v>
      </c>
      <c r="BM90" s="2">
        <f>IFERROR(VLOOKUP(InputTable[[#This Row],[Impact on - IS]],'System List'!$F$4:$H$7,3,FALSE),0)</f>
        <v>8</v>
      </c>
      <c r="BN90" s="2">
        <f>IFERROR(VLOOKUP(InputTable[[#This Row],[Impact on - OPS]],'System List'!$F$4:$H$7,3,FALSE),0)</f>
        <v>0</v>
      </c>
      <c r="BO90" s="2">
        <f>IFERROR(VLOOKUP(InputTable[[#This Row],[Impact on - ROLL STOCK]],'System List'!$F$4:$H$7,3,FALSE),0)</f>
        <v>0</v>
      </c>
      <c r="BP90" s="2">
        <f>IFERROR(VLOOKUP(InputTable[[#This Row],[Impact on - SAFETY]],'System List'!$F$4:$H$7,3,FALSE),0)</f>
        <v>0</v>
      </c>
      <c r="BQ90" s="2">
        <f>IFERROR(VLOOKUP(InputTable[[#This Row],[Impact on - STATION]],'System List'!$F$4:$H$7,3,FALSE),0)</f>
        <v>0</v>
      </c>
      <c r="BR90" s="2">
        <f>IFERROR(VLOOKUP(InputTable[[#This Row],[Impact on - STRAT]],'System List'!$F$4:$H$7,3,FALSE),0)</f>
        <v>0</v>
      </c>
      <c r="BT90" s="2">
        <f>IFERROR(VLOOKUP(InputTable[[#This Row],[CORPHRFIN]],'System List'!$F$4:$H$7,3,FALSE),0)</f>
        <v>0</v>
      </c>
      <c r="BU90" s="2">
        <f>IFERROR(VLOOKUP(InputTable[[#This Row],[CUST]],'System List'!$F$4:$H$7,3,FALSE),0)</f>
        <v>0</v>
      </c>
      <c r="BV90" s="2">
        <f>IFERROR(VLOOKUP(InputTable[[#This Row],[CYBER]],'System List'!$F$4:$H$7,3,FALSE),0)</f>
        <v>0</v>
      </c>
      <c r="BW90" s="2">
        <f>IFERROR(VLOOKUP(InputTable[[#This Row],[DATA]],'System List'!$F$4:$H$7,3,FALSE),0)</f>
        <v>0</v>
      </c>
      <c r="BX90" s="2">
        <f>IFERROR(VLOOKUP(InputTable[[#This Row],[INFRA]],'System List'!$F$4:$H$7,3,FALSE),0)</f>
        <v>8</v>
      </c>
      <c r="BY90" s="2">
        <f>IFERROR(VLOOKUP(InputTable[[#This Row],[OPERATIONS]],'System List'!$F$4:$H$7,3,FALSE),0)</f>
        <v>0</v>
      </c>
      <c r="BZ90" s="2">
        <f>IFERROR(VLOOKUP(InputTable[[#This Row],[PMO]],'System List'!$F$4:$H$7,3,FALSE),0)</f>
        <v>0</v>
      </c>
      <c r="CA90" s="2">
        <f>IFERROR(VLOOKUP(InputTable[[#This Row],[SALES]],'System List'!$F$4:$H$7,3,FALSE),0)</f>
        <v>0</v>
      </c>
      <c r="CC90" s="2" cm="1">
        <f t="array" ref="CC9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0" s="2" cm="1">
        <f t="array" ref="CD9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0" s="2" cm="1">
        <f t="array" ref="CE9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0" s="2" cm="1">
        <f t="array" ref="CF9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0" s="2" cm="1">
        <f t="array" ref="CG9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0" s="2" cm="1">
        <f t="array" ref="CH9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0" s="2" cm="1">
        <f t="array" ref="CI9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0" s="2" cm="1">
        <f t="array" ref="CJ9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0" s="2" cm="1">
        <f t="array" ref="CK9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9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0" s="26">
        <f t="shared" si="224"/>
        <v>0</v>
      </c>
      <c r="CY90" s="26">
        <f t="shared" si="225"/>
        <v>0</v>
      </c>
      <c r="CZ90" s="26">
        <f t="shared" si="226"/>
        <v>0</v>
      </c>
      <c r="DA90" s="26">
        <f t="shared" si="227"/>
        <v>0</v>
      </c>
      <c r="DB90" s="26">
        <f t="shared" si="228"/>
        <v>0</v>
      </c>
      <c r="DC90" s="26">
        <f t="shared" si="229"/>
        <v>0</v>
      </c>
      <c r="DD90" s="26">
        <f t="shared" si="230"/>
        <v>0</v>
      </c>
      <c r="DE90" s="26">
        <f t="shared" si="231"/>
        <v>0</v>
      </c>
      <c r="DF90" s="26">
        <f t="shared" si="232"/>
        <v>0</v>
      </c>
      <c r="DH90" s="26">
        <f t="shared" si="233"/>
        <v>0</v>
      </c>
      <c r="DI90" s="26">
        <f t="shared" si="234"/>
        <v>0</v>
      </c>
      <c r="DJ90" s="26">
        <f t="shared" si="235"/>
        <v>0</v>
      </c>
      <c r="DK90" s="26">
        <f t="shared" si="236"/>
        <v>0</v>
      </c>
      <c r="DL90" s="26">
        <f t="shared" si="237"/>
        <v>0</v>
      </c>
      <c r="DM90" s="26">
        <f t="shared" si="238"/>
        <v>0</v>
      </c>
      <c r="DN90" s="26">
        <f t="shared" si="239"/>
        <v>0</v>
      </c>
      <c r="DO90" s="26">
        <f t="shared" si="240"/>
        <v>0</v>
      </c>
      <c r="DP90" s="26">
        <f t="shared" si="241"/>
        <v>0</v>
      </c>
      <c r="DR90" s="26">
        <f t="shared" si="242"/>
        <v>0</v>
      </c>
      <c r="DS90" s="26">
        <f t="shared" si="243"/>
        <v>0</v>
      </c>
      <c r="DT90" s="26">
        <f t="shared" si="244"/>
        <v>0</v>
      </c>
      <c r="DU90" s="26">
        <f t="shared" si="245"/>
        <v>0</v>
      </c>
      <c r="DV90" s="26">
        <f t="shared" si="246"/>
        <v>0</v>
      </c>
      <c r="DW90" s="26">
        <f t="shared" si="247"/>
        <v>0</v>
      </c>
      <c r="DX90" s="26">
        <f t="shared" si="248"/>
        <v>0</v>
      </c>
      <c r="DY90" s="26">
        <f t="shared" si="249"/>
        <v>0</v>
      </c>
      <c r="DZ90" s="26">
        <f t="shared" si="250"/>
        <v>0</v>
      </c>
      <c r="EB90" s="26">
        <f t="shared" si="251"/>
        <v>0</v>
      </c>
      <c r="EC90" s="26">
        <f t="shared" si="252"/>
        <v>0</v>
      </c>
      <c r="ED90" s="26">
        <f t="shared" si="253"/>
        <v>0</v>
      </c>
      <c r="EE90" s="26">
        <f t="shared" si="254"/>
        <v>0</v>
      </c>
      <c r="EF90" s="26">
        <f t="shared" si="255"/>
        <v>0</v>
      </c>
      <c r="EG90" s="26">
        <f t="shared" si="256"/>
        <v>0</v>
      </c>
      <c r="EH90" s="26">
        <f t="shared" si="257"/>
        <v>0</v>
      </c>
      <c r="EI90" s="26">
        <f t="shared" si="258"/>
        <v>0</v>
      </c>
      <c r="EJ90" s="26">
        <f t="shared" si="259"/>
        <v>0</v>
      </c>
      <c r="EL90" s="26">
        <f t="shared" si="260"/>
        <v>0</v>
      </c>
      <c r="EM90" s="26">
        <f t="shared" si="261"/>
        <v>8</v>
      </c>
      <c r="EN90" s="26">
        <f t="shared" si="262"/>
        <v>8</v>
      </c>
      <c r="EO90" s="26">
        <f t="shared" si="263"/>
        <v>8</v>
      </c>
      <c r="EP90" s="26">
        <f t="shared" si="264"/>
        <v>8</v>
      </c>
      <c r="EQ90" s="26">
        <f t="shared" si="265"/>
        <v>8</v>
      </c>
      <c r="ER90" s="26">
        <f t="shared" si="266"/>
        <v>0</v>
      </c>
      <c r="ES90" s="26">
        <f t="shared" si="267"/>
        <v>0</v>
      </c>
      <c r="ET90" s="26">
        <f t="shared" si="268"/>
        <v>0</v>
      </c>
      <c r="EV90" s="26">
        <f t="shared" si="269"/>
        <v>0</v>
      </c>
      <c r="EW90" s="26">
        <f t="shared" si="270"/>
        <v>0</v>
      </c>
      <c r="EX90" s="26">
        <f t="shared" si="271"/>
        <v>0</v>
      </c>
      <c r="EY90" s="26">
        <f t="shared" si="272"/>
        <v>0</v>
      </c>
      <c r="EZ90" s="26">
        <f t="shared" si="273"/>
        <v>0</v>
      </c>
      <c r="FA90" s="26">
        <f t="shared" si="274"/>
        <v>0</v>
      </c>
      <c r="FB90" s="26">
        <f t="shared" si="275"/>
        <v>0</v>
      </c>
      <c r="FC90" s="26">
        <f t="shared" si="276"/>
        <v>0</v>
      </c>
      <c r="FD90" s="26">
        <f t="shared" si="277"/>
        <v>0</v>
      </c>
      <c r="FF90" s="26">
        <f t="shared" si="278"/>
        <v>0</v>
      </c>
      <c r="FG90" s="26">
        <f t="shared" si="279"/>
        <v>0</v>
      </c>
      <c r="FH90" s="26">
        <f t="shared" si="280"/>
        <v>0</v>
      </c>
      <c r="FI90" s="26">
        <f t="shared" si="281"/>
        <v>0</v>
      </c>
      <c r="FJ90" s="26">
        <f t="shared" si="282"/>
        <v>0</v>
      </c>
      <c r="FK90" s="26">
        <f t="shared" si="283"/>
        <v>0</v>
      </c>
      <c r="FL90" s="26">
        <f t="shared" si="284"/>
        <v>0</v>
      </c>
      <c r="FM90" s="26">
        <f t="shared" si="285"/>
        <v>0</v>
      </c>
      <c r="FN90" s="26">
        <f t="shared" si="286"/>
        <v>0</v>
      </c>
      <c r="FP90" s="26" t="e">
        <f t="shared" si="287"/>
        <v>#REF!</v>
      </c>
      <c r="FQ90" s="26" t="e">
        <f t="shared" si="288"/>
        <v>#REF!</v>
      </c>
      <c r="FR90" s="26" t="e">
        <f t="shared" si="289"/>
        <v>#REF!</v>
      </c>
      <c r="FS90" s="26" t="e">
        <f t="shared" si="290"/>
        <v>#REF!</v>
      </c>
      <c r="FT90" s="26" t="e">
        <f t="shared" si="291"/>
        <v>#REF!</v>
      </c>
      <c r="FU90" s="26" t="e">
        <f t="shared" si="292"/>
        <v>#REF!</v>
      </c>
      <c r="FV90" s="26" t="e">
        <f t="shared" si="293"/>
        <v>#REF!</v>
      </c>
      <c r="FW90" s="26" t="e">
        <f t="shared" si="294"/>
        <v>#REF!</v>
      </c>
      <c r="FX90" s="26" t="e">
        <f t="shared" si="295"/>
        <v>#REF!</v>
      </c>
      <c r="GB90" s="26" t="e">
        <f>IF(GB$2=InputTable[[#This Row],[Delivery Date]],_xlfn.XLOOKUP(GB$1,$BH$2:$BR$2,$BH90:$BR90,0),0)</f>
        <v>#REF!</v>
      </c>
      <c r="GC90" s="26">
        <f>IF(GC$2=InputTable[[#This Row],[Delivery Date]],_xlfn.XLOOKUP(GC$1,$BH$2:$BR$2,$BH90:$BR90,0),0)</f>
        <v>0</v>
      </c>
      <c r="GD90" s="26">
        <f>IF(GD$2=InputTable[[#This Row],[Delivery Date]],_xlfn.XLOOKUP(GD$1,$BH$2:$BR$2,$BH90:$BR90,0),0)</f>
        <v>0</v>
      </c>
      <c r="GE90" s="26">
        <f>IF(GE$2=InputTable[[#This Row],[Delivery Date]],_xlfn.XLOOKUP(GE$1,$BH$2:$BR$2,$BH90:$BR90,0),0)</f>
        <v>0</v>
      </c>
      <c r="GF90" s="26">
        <f>IF(GF$2=InputTable[[#This Row],[Delivery Date]],_xlfn.XLOOKUP(GF$1,$BH$2:$BR$2,$BH90:$BR90,0),0)</f>
        <v>0</v>
      </c>
      <c r="GG90" s="26">
        <f>IF(GG$2=InputTable[[#This Row],[Delivery Date]],_xlfn.XLOOKUP(GG$1,$BH$2:$BR$2,$BH90:$BR90,0),0)</f>
        <v>0</v>
      </c>
      <c r="GH90" s="26">
        <f>IF(GH$2=InputTable[[#This Row],[Delivery Date]],_xlfn.XLOOKUP(GH$1,$BH$2:$BR$2,$BH90:$BR90,0),0)</f>
        <v>0</v>
      </c>
      <c r="GI90" s="26">
        <f>IF(GI$2=InputTable[[#This Row],[Delivery Date]],_xlfn.XLOOKUP(GI$1,$BH$2:$BR$2,$BH90:$BR90,0),0)</f>
        <v>0</v>
      </c>
      <c r="GJ90" s="26">
        <f>IF(GJ$2=InputTable[[#This Row],[Delivery Date]],_xlfn.XLOOKUP(GJ$1,$BH$2:$BR$2,$BH90:$BR90,0),0)</f>
        <v>0</v>
      </c>
      <c r="GL90" s="26" t="e">
        <f>IF(GL$2=InputTable[[#This Row],[Delivery Date]],_xlfn.XLOOKUP(GL$1,$BH$2:$BR$2,$BH90:$BR90,0),0)</f>
        <v>#REF!</v>
      </c>
      <c r="GM90" s="26">
        <f>IF(GM$2=InputTable[[#This Row],[Delivery Date]],_xlfn.XLOOKUP(GM$1,$BH$2:$BR$2,$BH90:$BR90,0),0)</f>
        <v>0</v>
      </c>
      <c r="GN90" s="26">
        <f>IF(GN$2=InputTable[[#This Row],[Delivery Date]],_xlfn.XLOOKUP(GN$1,$BH$2:$BR$2,$BH90:$BR90,0),0)</f>
        <v>0</v>
      </c>
      <c r="GO90" s="26">
        <f>IF(GO$2=InputTable[[#This Row],[Delivery Date]],_xlfn.XLOOKUP(GO$1,$BH$2:$BR$2,$BH90:$BR90,0),0)</f>
        <v>0</v>
      </c>
      <c r="GP90" s="26">
        <f>IF(GP$2=InputTable[[#This Row],[Delivery Date]],_xlfn.XLOOKUP(GP$1,$BH$2:$BR$2,$BH90:$BR90,0),0)</f>
        <v>0</v>
      </c>
      <c r="GQ90" s="26">
        <f>IF(GQ$2=InputTable[[#This Row],[Delivery Date]],_xlfn.XLOOKUP(GQ$1,$BH$2:$BR$2,$BH90:$BR90,0),0)</f>
        <v>0</v>
      </c>
      <c r="GR90" s="26">
        <f>IF(GR$2=InputTable[[#This Row],[Delivery Date]],_xlfn.XLOOKUP(GR$1,$BH$2:$BR$2,$BH90:$BR90,0),0)</f>
        <v>0</v>
      </c>
      <c r="GS90" s="26">
        <f>IF(GS$2=InputTable[[#This Row],[Delivery Date]],_xlfn.XLOOKUP(GS$1,$BH$2:$BR$2,$BH90:$BR90,0),0)</f>
        <v>0</v>
      </c>
      <c r="GT90" s="26">
        <f>IF(GT$2=InputTable[[#This Row],[Delivery Date]],_xlfn.XLOOKUP(GT$1,$BH$2:$BR$2,$BH90:$BR90,0),0)</f>
        <v>0</v>
      </c>
      <c r="GV90" s="26" t="e">
        <f>IF(GV$2=InputTable[[#This Row],[Delivery Date]],_xlfn.XLOOKUP(GV$1,$BH$2:$BR$2,$BH90:$BR90,0),0)</f>
        <v>#REF!</v>
      </c>
      <c r="GW90" s="26">
        <f>IF(GW$2=InputTable[[#This Row],[Delivery Date]],_xlfn.XLOOKUP(GW$1,$BH$2:$BR$2,$BH90:$BR90,0),0)</f>
        <v>0</v>
      </c>
      <c r="GX90" s="26">
        <f>IF(GX$2=InputTable[[#This Row],[Delivery Date]],_xlfn.XLOOKUP(GX$1,$BH$2:$BR$2,$BH90:$BR90,0),0)</f>
        <v>0</v>
      </c>
      <c r="GY90" s="26">
        <f>IF(GY$2=InputTable[[#This Row],[Delivery Date]],_xlfn.XLOOKUP(GY$1,$BH$2:$BR$2,$BH90:$BR90,0),0)</f>
        <v>0</v>
      </c>
      <c r="GZ90" s="26">
        <f>IF(GZ$2=InputTable[[#This Row],[Delivery Date]],_xlfn.XLOOKUP(GZ$1,$BH$2:$BR$2,$BH90:$BR90,0),0)</f>
        <v>0</v>
      </c>
      <c r="HA90" s="26">
        <f>IF(HA$2=InputTable[[#This Row],[Delivery Date]],_xlfn.XLOOKUP(HA$1,$BH$2:$BR$2,$BH90:$BR90,0),0)</f>
        <v>0</v>
      </c>
      <c r="HB90" s="26">
        <f>IF(HB$2=InputTable[[#This Row],[Delivery Date]],_xlfn.XLOOKUP(HB$1,$BH$2:$BR$2,$BH90:$BR90,0),0)</f>
        <v>0</v>
      </c>
      <c r="HC90" s="26">
        <f>IF(HC$2=InputTable[[#This Row],[Delivery Date]],_xlfn.XLOOKUP(HC$1,$BH$2:$BR$2,$BH90:$BR90,0),0)</f>
        <v>0</v>
      </c>
      <c r="HD90" s="26">
        <f>IF(HD$2=InputTable[[#This Row],[Delivery Date]],_xlfn.XLOOKUP(HD$1,$BH$2:$BR$2,$BH90:$BR90,0),0)</f>
        <v>0</v>
      </c>
      <c r="HF90" s="26" t="e">
        <f>IF(HF$2=InputTable[[#This Row],[Delivery Date]],_xlfn.XLOOKUP(HF$1,$BH$2:$BR$2,$BH90:$BR90,0),0)</f>
        <v>#REF!</v>
      </c>
      <c r="HG90" s="26">
        <f>IF(HG$2=InputTable[[#This Row],[Delivery Date]],_xlfn.XLOOKUP(HG$1,$BH$2:$BR$2,$BH90:$BR90,0),0)</f>
        <v>0</v>
      </c>
      <c r="HH90" s="26">
        <f>IF(HH$2=InputTable[[#This Row],[Delivery Date]],_xlfn.XLOOKUP(HH$1,$BH$2:$BR$2,$BH90:$BR90,0),0)</f>
        <v>0</v>
      </c>
      <c r="HI90" s="26">
        <f>IF(HI$2=InputTable[[#This Row],[Delivery Date]],_xlfn.XLOOKUP(HI$1,$BH$2:$BR$2,$BH90:$BR90,0),0)</f>
        <v>0</v>
      </c>
      <c r="HJ90" s="26">
        <f>IF(HJ$2=InputTable[[#This Row],[Delivery Date]],_xlfn.XLOOKUP(HJ$1,$BH$2:$BR$2,$BH90:$BR90,0),0)</f>
        <v>0</v>
      </c>
      <c r="HK90" s="26">
        <f>IF(HK$2=InputTable[[#This Row],[Delivery Date]],_xlfn.XLOOKUP(HK$1,$BH$2:$BR$2,$BH90:$BR90,0),0)</f>
        <v>0</v>
      </c>
      <c r="HL90" s="26">
        <f>IF(HL$2=InputTable[[#This Row],[Delivery Date]],_xlfn.XLOOKUP(HL$1,$BH$2:$BR$2,$BH90:$BR90,0),0)</f>
        <v>0</v>
      </c>
      <c r="HM90" s="26">
        <f>IF(HM$2=InputTable[[#This Row],[Delivery Date]],_xlfn.XLOOKUP(HM$1,$BH$2:$BR$2,$BH90:$BR90,0),0)</f>
        <v>0</v>
      </c>
      <c r="HN90" s="26">
        <f>IF(HN$2=InputTable[[#This Row],[Delivery Date]],_xlfn.XLOOKUP(HN$1,$BH$2:$BR$2,$BH90:$BR90,0),0)</f>
        <v>0</v>
      </c>
      <c r="HP90" s="26" t="e">
        <f>IF(HP$2=InputTable[[#This Row],[Delivery Date]],_xlfn.XLOOKUP(HP$1,$BH$2:$BR$2,$BH90:$BR90,0),0)</f>
        <v>#REF!</v>
      </c>
      <c r="HQ90" s="26">
        <f>IF(HQ$2=InputTable[[#This Row],[Delivery Date]],_xlfn.XLOOKUP(HQ$1,$BH$2:$BR$2,$BH90:$BR90,0),0)</f>
        <v>0</v>
      </c>
      <c r="HR90" s="26">
        <f>IF(HR$2=InputTable[[#This Row],[Delivery Date]],_xlfn.XLOOKUP(HR$1,$BH$2:$BR$2,$BH90:$BR90,0),0)</f>
        <v>0</v>
      </c>
      <c r="HS90" s="26">
        <f>IF(HS$2=InputTable[[#This Row],[Delivery Date]],_xlfn.XLOOKUP(HS$1,$BH$2:$BR$2,$BH90:$BR90,0),0)</f>
        <v>0</v>
      </c>
      <c r="HT90" s="26">
        <f>IF(HT$2=InputTable[[#This Row],[Delivery Date]],_xlfn.XLOOKUP(HT$1,$BH$2:$BR$2,$BH90:$BR90,0),0)</f>
        <v>0</v>
      </c>
      <c r="HU90" s="26">
        <f>IF(HU$2=InputTable[[#This Row],[Delivery Date]],_xlfn.XLOOKUP(HU$1,$BH$2:$BR$2,$BH90:$BR90,0),0)</f>
        <v>0</v>
      </c>
      <c r="HV90" s="26">
        <f>IF(HV$2=InputTable[[#This Row],[Delivery Date]],_xlfn.XLOOKUP(HV$1,$BH$2:$BR$2,$BH90:$BR90,0),0)</f>
        <v>0</v>
      </c>
      <c r="HW90" s="26">
        <f>IF(HW$2=InputTable[[#This Row],[Delivery Date]],_xlfn.XLOOKUP(HW$1,$BH$2:$BR$2,$BH90:$BR90,0),0)</f>
        <v>0</v>
      </c>
      <c r="HX90" s="26">
        <f>IF(HX$2=InputTable[[#This Row],[Delivery Date]],_xlfn.XLOOKUP(HX$1,$BH$2:$BR$2,$BH90:$BR90,0),0)</f>
        <v>0</v>
      </c>
      <c r="HZ90" s="26" t="e">
        <f>IF(HZ$2=InputTable[[#This Row],[Delivery Date]],_xlfn.XLOOKUP(HZ$1,$BH$2:$BR$2,$BH90:$BR90,0),0)</f>
        <v>#REF!</v>
      </c>
      <c r="IA90" s="26">
        <f>IF(IA$2=InputTable[[#This Row],[Delivery Date]],_xlfn.XLOOKUP(IA$1,$BH$2:$BR$2,$BH90:$BR90,0),0)</f>
        <v>0</v>
      </c>
      <c r="IB90" s="26">
        <f>IF(IB$2=InputTable[[#This Row],[Delivery Date]],_xlfn.XLOOKUP(IB$1,$BH$2:$BR$2,$BH90:$BR90,0),0)</f>
        <v>0</v>
      </c>
      <c r="IC90" s="26">
        <f>IF(IC$2=InputTable[[#This Row],[Delivery Date]],_xlfn.XLOOKUP(IC$1,$BH$2:$BR$2,$BH90:$BR90,0),0)</f>
        <v>0</v>
      </c>
      <c r="ID90" s="26">
        <f>IF(ID$2=InputTable[[#This Row],[Delivery Date]],_xlfn.XLOOKUP(ID$1,$BH$2:$BR$2,$BH90:$BR90,0),0)</f>
        <v>0</v>
      </c>
      <c r="IE90" s="26">
        <f>IF(IE$2=InputTable[[#This Row],[Delivery Date]],_xlfn.XLOOKUP(IE$1,$BH$2:$BR$2,$BH90:$BR90,0),0)</f>
        <v>8</v>
      </c>
      <c r="IF90" s="26">
        <f>IF(IF$2=InputTable[[#This Row],[Delivery Date]],_xlfn.XLOOKUP(IF$1,$BH$2:$BR$2,$BH90:$BR90,0),0)</f>
        <v>0</v>
      </c>
      <c r="IG90" s="26">
        <f>IF(IG$2=InputTable[[#This Row],[Delivery Date]],_xlfn.XLOOKUP(IG$1,$BH$2:$BR$2,$BH90:$BR90,0),0)</f>
        <v>0</v>
      </c>
      <c r="IH90" s="26">
        <f>IF(IH$2=InputTable[[#This Row],[Delivery Date]],_xlfn.XLOOKUP(IH$1,$BH$2:$BR$2,$BH90:$BR90,0),0)</f>
        <v>0</v>
      </c>
      <c r="IJ90" s="26" t="e">
        <f>IF(IJ$2=InputTable[[#This Row],[Delivery Date]],_xlfn.XLOOKUP(IJ$1,$BH$2:$BR$2,$BH90:$BR90,0),0)</f>
        <v>#REF!</v>
      </c>
      <c r="IK90" s="26">
        <f>IF(IK$2=InputTable[[#This Row],[Delivery Date]],_xlfn.XLOOKUP(IK$1,$BH$2:$BR$2,$BH90:$BR90,0),0)</f>
        <v>0</v>
      </c>
      <c r="IL90" s="26">
        <f>IF(IL$2=InputTable[[#This Row],[Delivery Date]],_xlfn.XLOOKUP(IL$1,$BH$2:$BR$2,$BH90:$BR90,0),0)</f>
        <v>0</v>
      </c>
      <c r="IM90" s="26">
        <f>IF(IM$2=InputTable[[#This Row],[Delivery Date]],_xlfn.XLOOKUP(IM$1,$BH$2:$BR$2,$BH90:$BR90,0),0)</f>
        <v>0</v>
      </c>
      <c r="IN90" s="26">
        <f>IF(IN$2=InputTable[[#This Row],[Delivery Date]],_xlfn.XLOOKUP(IN$1,$BH$2:$BR$2,$BH90:$BR90,0),0)</f>
        <v>0</v>
      </c>
      <c r="IO90" s="26">
        <f>IF(IO$2=InputTable[[#This Row],[Delivery Date]],_xlfn.XLOOKUP(IO$1,$BH$2:$BR$2,$BH90:$BR90,0),0)</f>
        <v>0</v>
      </c>
      <c r="IP90" s="26">
        <f>IF(IP$2=InputTable[[#This Row],[Delivery Date]],_xlfn.XLOOKUP(IP$1,$BH$2:$BR$2,$BH90:$BR90,0),0)</f>
        <v>0</v>
      </c>
      <c r="IQ90" s="26">
        <f>IF(IQ$2=InputTable[[#This Row],[Delivery Date]],_xlfn.XLOOKUP(IQ$1,$BH$2:$BR$2,$BH90:$BR90,0),0)</f>
        <v>0</v>
      </c>
      <c r="IR90" s="26">
        <f>IF(IR$2=InputTable[[#This Row],[Delivery Date]],_xlfn.XLOOKUP(IR$1,$BH$2:$BR$2,$BH90:$BR90,0),0)</f>
        <v>0</v>
      </c>
      <c r="IT90" s="26" t="e">
        <f>IF(IT$2=InputTable[[#This Row],[Delivery Date]],_xlfn.XLOOKUP(IT$1,$BH$2:$BR$2,$BH90:$BR90,0),0)</f>
        <v>#REF!</v>
      </c>
      <c r="IU90" s="26">
        <f>IF(IU$2=InputTable[[#This Row],[Delivery Date]],_xlfn.XLOOKUP(IU$1,$BH$2:$BR$2,$BH90:$BR90,0),0)</f>
        <v>0</v>
      </c>
      <c r="IV90" s="26">
        <f>IF(IV$2=InputTable[[#This Row],[Delivery Date]],_xlfn.XLOOKUP(IV$1,$BH$2:$BR$2,$BH90:$BR90,0),0)</f>
        <v>0</v>
      </c>
      <c r="IW90" s="26">
        <f>IF(IW$2=InputTable[[#This Row],[Delivery Date]],_xlfn.XLOOKUP(IW$1,$BH$2:$BR$2,$BH90:$BR90,0),0)</f>
        <v>0</v>
      </c>
      <c r="IX90" s="26">
        <f>IF(IX$2=InputTable[[#This Row],[Delivery Date]],_xlfn.XLOOKUP(IX$1,$BH$2:$BR$2,$BH90:$BR90,0),0)</f>
        <v>0</v>
      </c>
      <c r="IY90" s="26">
        <f>IF(IY$2=InputTable[[#This Row],[Delivery Date]],_xlfn.XLOOKUP(IY$1,$BH$2:$BR$2,$BH90:$BR90,0),0)</f>
        <v>0</v>
      </c>
      <c r="IZ90" s="26">
        <f>IF(IZ$2=InputTable[[#This Row],[Delivery Date]],_xlfn.XLOOKUP(IZ$1,$BH$2:$BR$2,$BH90:$BR90,0),0)</f>
        <v>0</v>
      </c>
      <c r="JA90" s="26">
        <f>IF(JA$2=InputTable[[#This Row],[Delivery Date]],_xlfn.XLOOKUP(JA$1,$BH$2:$BR$2,$BH90:$BR90,0),0)</f>
        <v>0</v>
      </c>
      <c r="JB90" s="26">
        <f>IF(JB$2=InputTable[[#This Row],[Delivery Date]],_xlfn.XLOOKUP(JB$1,$BH$2:$BR$2,$BH90:$BR90,0),0)</f>
        <v>0</v>
      </c>
      <c r="JD90" s="26" t="e">
        <f>IF(JD$2=InputTable[[#This Row],[Delivery Date]],_xlfn.XLOOKUP(JD$1,$BH$2:$BR$2,$BH90:$BR90,0),0)</f>
        <v>#REF!</v>
      </c>
      <c r="JE90" s="26">
        <f>IF(JE$2=InputTable[[#This Row],[Delivery Date]],_xlfn.XLOOKUP(JE$1,$BH$2:$BR$2,$BH90:$BR90,0),0)</f>
        <v>0</v>
      </c>
      <c r="JF90" s="26">
        <f>IF(JF$2=InputTable[[#This Row],[Delivery Date]],_xlfn.XLOOKUP(JF$1,$BH$2:$BR$2,$BH90:$BR90,0),0)</f>
        <v>0</v>
      </c>
      <c r="JG90" s="26">
        <f>IF(JG$2=InputTable[[#This Row],[Delivery Date]],_xlfn.XLOOKUP(JG$1,$BH$2:$BR$2,$BH90:$BR90,0),0)</f>
        <v>0</v>
      </c>
      <c r="JH90" s="26">
        <f>IF(JH$2=InputTable[[#This Row],[Delivery Date]],_xlfn.XLOOKUP(JH$1,$BH$2:$BR$2,$BH90:$BR90,0),0)</f>
        <v>0</v>
      </c>
      <c r="JI90" s="26">
        <f>IF(JI$2=InputTable[[#This Row],[Delivery Date]],_xlfn.XLOOKUP(JI$1,$BH$2:$BR$2,$BH90:$BR90,0),0)</f>
        <v>0</v>
      </c>
      <c r="JJ90" s="26">
        <f>IF(JJ$2=InputTable[[#This Row],[Delivery Date]],_xlfn.XLOOKUP(JJ$1,$BH$2:$BR$2,$BH90:$BR90,0),0)</f>
        <v>0</v>
      </c>
      <c r="JK90" s="26">
        <f>IF(JK$2=InputTable[[#This Row],[Delivery Date]],_xlfn.XLOOKUP(JK$1,$BH$2:$BR$2,$BH90:$BR90,0),0)</f>
        <v>0</v>
      </c>
      <c r="JL90" s="26">
        <f>IF(JL$2=InputTable[[#This Row],[Delivery Date]],_xlfn.XLOOKUP(JL$1,$BH$2:$BR$2,$BH90:$BR90,0),0)</f>
        <v>0</v>
      </c>
      <c r="JN90" s="26" t="e">
        <f>IF(JN$2=InputTable[[#This Row],[Delivery Date]],_xlfn.XLOOKUP(JN$1,$BH$2:$BR$2,$BH90:$BR90,0),0)</f>
        <v>#REF!</v>
      </c>
      <c r="JO90" s="26">
        <f>IF(JO$2=InputTable[[#This Row],[Delivery Date]],_xlfn.XLOOKUP(JO$1,$BH$2:$BR$2,$BH90:$BR90,0),0)</f>
        <v>0</v>
      </c>
      <c r="JP90" s="26">
        <f>IF(JP$2=InputTable[[#This Row],[Delivery Date]],_xlfn.XLOOKUP(JP$1,$BH$2:$BR$2,$BH90:$BR90,0),0)</f>
        <v>0</v>
      </c>
      <c r="JQ90" s="26">
        <f>IF(JQ$2=InputTable[[#This Row],[Delivery Date]],_xlfn.XLOOKUP(JQ$1,$BH$2:$BR$2,$BH90:$BR90,0),0)</f>
        <v>0</v>
      </c>
      <c r="JR90" s="26">
        <f>IF(JR$2=InputTable[[#This Row],[Delivery Date]],_xlfn.XLOOKUP(JR$1,$BH$2:$BR$2,$BH90:$BR90,0),0)</f>
        <v>0</v>
      </c>
      <c r="JS90" s="26">
        <f>IF(JS$2=InputTable[[#This Row],[Delivery Date]],_xlfn.XLOOKUP(JS$1,$BH$2:$BR$2,$BH90:$BR90,0),0)</f>
        <v>0</v>
      </c>
      <c r="JT90" s="26">
        <f>IF(JT$2=InputTable[[#This Row],[Delivery Date]],_xlfn.XLOOKUP(JT$1,$BH$2:$BR$2,$BH90:$BR90,0),0)</f>
        <v>0</v>
      </c>
      <c r="JU90" s="26">
        <f>IF(JU$2=InputTable[[#This Row],[Delivery Date]],_xlfn.XLOOKUP(JU$1,$BH$2:$BR$2,$BH90:$BR90,0),0)</f>
        <v>0</v>
      </c>
      <c r="JV90" s="26">
        <f>IF(JV$2=InputTable[[#This Row],[Delivery Date]],_xlfn.XLOOKUP(JV$1,$BH$2:$BR$2,$BH90:$BR90,0),0)</f>
        <v>0</v>
      </c>
      <c r="JX90" s="26" t="e">
        <f>IF(JX$2=InputTable[[#This Row],[Delivery Date]],_xlfn.XLOOKUP(JX$1,$BH$2:$BR$2,$BH90:$BR90,0),0)</f>
        <v>#REF!</v>
      </c>
      <c r="JY90" s="26">
        <f>IF(JY$2=InputTable[[#This Row],[Delivery Date]],_xlfn.XLOOKUP(JY$1,$BH$2:$BR$2,$BH90:$BR90,0),0)</f>
        <v>0</v>
      </c>
      <c r="JZ90" s="26">
        <f>IF(JZ$2=InputTable[[#This Row],[Delivery Date]],_xlfn.XLOOKUP(JZ$1,$BH$2:$BR$2,$BH90:$BR90,0),0)</f>
        <v>0</v>
      </c>
      <c r="KA90" s="26">
        <f>IF(KA$2=InputTable[[#This Row],[Delivery Date]],_xlfn.XLOOKUP(KA$1,$BH$2:$BR$2,$BH90:$BR90,0),0)</f>
        <v>0</v>
      </c>
      <c r="KB90" s="26">
        <f>IF(KB$2=InputTable[[#This Row],[Delivery Date]],_xlfn.XLOOKUP(KB$1,$BH$2:$BR$2,$BH90:$BR90,0),0)</f>
        <v>0</v>
      </c>
      <c r="KC90" s="26">
        <f>IF(KC$2=InputTable[[#This Row],[Delivery Date]],_xlfn.XLOOKUP(KC$1,$BH$2:$BR$2,$BH90:$BR90,0),0)</f>
        <v>0</v>
      </c>
      <c r="KD90" s="26">
        <f>IF(KD$2=InputTable[[#This Row],[Delivery Date]],_xlfn.XLOOKUP(KD$1,$BH$2:$BR$2,$BH90:$BR90,0),0)</f>
        <v>0</v>
      </c>
      <c r="KE90" s="26">
        <f>IF(KE$2=InputTable[[#This Row],[Delivery Date]],_xlfn.XLOOKUP(KE$1,$BH$2:$BR$2,$BH90:$BR90,0),0)</f>
        <v>0</v>
      </c>
      <c r="KF90" s="26">
        <f>IF(KF$2=InputTable[[#This Row],[Delivery Date]],_xlfn.XLOOKUP(KF$1,$BH$2:$BR$2,$BH90:$BR90,0),0)</f>
        <v>0</v>
      </c>
    </row>
    <row r="91" spans="1:292" ht="39.6" customHeight="1" x14ac:dyDescent="0.25">
      <c r="A91" s="141" t="s">
        <v>162</v>
      </c>
      <c r="B91" s="141" t="s">
        <v>92</v>
      </c>
      <c r="C91" s="92" t="s">
        <v>61</v>
      </c>
      <c r="D91" s="125" t="s">
        <v>382</v>
      </c>
      <c r="E91" s="193" t="s">
        <v>383</v>
      </c>
      <c r="F91" s="92" t="s">
        <v>61</v>
      </c>
      <c r="G91" s="92" t="s">
        <v>98</v>
      </c>
      <c r="H91" s="92" t="s">
        <v>100</v>
      </c>
      <c r="I91" s="92">
        <v>2026</v>
      </c>
      <c r="J91" s="125" t="s">
        <v>99</v>
      </c>
      <c r="K91" s="95" t="e">
        <f>VLOOKUP((InputTable[[#This Row],[Starting Date]]&amp; " - " &amp;InputTable[[#This Row],[Delivery Date]]),'System List'!$F$40:$H$83,2,FALSE)</f>
        <v>#N/A</v>
      </c>
      <c r="L91" s="95" t="e">
        <f>VLOOKUP(InputTable[[#This Row],[Duration]],Duration,2,FALSE)</f>
        <v>#N/A</v>
      </c>
      <c r="M91" s="125"/>
      <c r="N91" s="92" t="s">
        <v>139</v>
      </c>
      <c r="O91" s="92"/>
      <c r="P91" s="92" t="s">
        <v>100</v>
      </c>
      <c r="Q91" s="92" t="s">
        <v>111</v>
      </c>
      <c r="R91" s="92"/>
      <c r="S91" s="92"/>
      <c r="T91" s="95" cm="1">
        <f t="array" ref="T9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4.7</v>
      </c>
      <c r="U91" s="138"/>
      <c r="V91" s="92"/>
      <c r="W91" s="92"/>
      <c r="X91" s="92" t="s">
        <v>111</v>
      </c>
      <c r="Y91" s="92" t="s">
        <v>100</v>
      </c>
      <c r="Z91" s="92"/>
      <c r="AA91" s="92" t="s">
        <v>100</v>
      </c>
      <c r="AB91" s="92"/>
      <c r="AC91" s="92" t="s">
        <v>139</v>
      </c>
      <c r="AD91" s="92">
        <f>COUNTA(InputTable[[#This Row],[CORPHRFIN]:[SALES]])</f>
        <v>4</v>
      </c>
      <c r="AE91" s="88" cm="1">
        <f t="array" ref="AE91">SUM(
_xlfn.XLOOKUP(InputTable[[#This Row],[CORPHRFIN]:[SALES]],'System List'!$F$4:$F$7,'System List'!$H$4:$H$7,0))</f>
        <v>39</v>
      </c>
      <c r="AF91" s="140"/>
      <c r="AG91" s="96"/>
      <c r="AH91" s="96"/>
      <c r="AI91" s="96"/>
      <c r="AJ91" s="96"/>
      <c r="AK91" s="96"/>
      <c r="AL91" s="96"/>
      <c r="AM91" s="96" t="s">
        <v>139</v>
      </c>
      <c r="AN91" s="96"/>
      <c r="AO91" s="96"/>
      <c r="AP91" s="96"/>
      <c r="AQ91" s="96"/>
      <c r="AR91" s="88" cm="1">
        <f t="array" ref="AR91">SUM(
_xlfn.XLOOKUP(InputTable[[#This Row],[Impact on - CIAL]:[Impact on - STRAT]],'System List'!$F$4:$F$7,'System List'!$H$4:$H$7,0))</f>
        <v>8</v>
      </c>
      <c r="AS91" s="88" t="e">
        <f>VLOOKUP(InputTable[[#This Row],[Duration]],Duration,2,FALSE)+InputTable[[#This Row],[Resource Score]]</f>
        <v>#N/A</v>
      </c>
      <c r="AT9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1" s="24" t="e">
        <f>InputTable[[#This Row],[Value Score]]/InputTable[[#This Row],[EFFORT SCORE]]*100</f>
        <v>#N/A</v>
      </c>
      <c r="AV91" s="25" t="str">
        <f>InputTable[[#This Row],[IS Portfolio Ref ID]]</f>
        <v>ISPRJ-11</v>
      </c>
      <c r="AW91" s="25" t="s">
        <v>384</v>
      </c>
      <c r="AX91" s="208" t="s">
        <v>180</v>
      </c>
      <c r="AY91" s="207">
        <v>1836</v>
      </c>
      <c r="AZ91" s="209">
        <v>0</v>
      </c>
      <c r="BA91" s="209">
        <v>0</v>
      </c>
      <c r="BB91" s="209"/>
      <c r="BC91" s="189">
        <f>2000000+N("to_be_precisely_calculated")</f>
        <v>2000000</v>
      </c>
      <c r="BD91" s="188">
        <v>7</v>
      </c>
      <c r="BE91" s="188">
        <v>10</v>
      </c>
      <c r="BF91" s="70"/>
      <c r="BH91" s="2">
        <f>IFERROR(VLOOKUP(InputTable[[#This Row],[Impact on - CIAL]],'System List'!$F$4:$H$7,3,FALSE),0)</f>
        <v>0</v>
      </c>
      <c r="BI91" s="2">
        <f>IFERROR(VLOOKUP(InputTable[[#This Row],[Impact on - COM]],'System List'!$F$4:$H$7,3,FALSE),0)</f>
        <v>0</v>
      </c>
      <c r="BJ91" s="2">
        <f>IFERROR(VLOOKUP(InputTable[[#This Row],[Impact on - FIN]],'System List'!$F$4:$H$7,3,FALSE),0)</f>
        <v>0</v>
      </c>
      <c r="BK91" s="2">
        <f>IFERROR(VLOOKUP(InputTable[[#This Row],[Impact on - GEN SEC]],'System List'!$F$4:$H$7,3,FALSE),0)</f>
        <v>0</v>
      </c>
      <c r="BL91" s="2">
        <f>IFERROR(VLOOKUP(InputTable[[#This Row],[Impact on - HR]],'System List'!$F$4:$H$7,3,FALSE),0)</f>
        <v>0</v>
      </c>
      <c r="BM91" s="2">
        <f>IFERROR(VLOOKUP(InputTable[[#This Row],[Impact on - IS]],'System List'!$F$4:$H$7,3,FALSE),0)</f>
        <v>0</v>
      </c>
      <c r="BN91" s="2">
        <f>IFERROR(VLOOKUP(InputTable[[#This Row],[Impact on - OPS]],'System List'!$F$4:$H$7,3,FALSE),0)</f>
        <v>8</v>
      </c>
      <c r="BO91" s="2">
        <f>IFERROR(VLOOKUP(InputTable[[#This Row],[Impact on - ROLL STOCK]],'System List'!$F$4:$H$7,3,FALSE),0)</f>
        <v>0</v>
      </c>
      <c r="BP91" s="2">
        <f>IFERROR(VLOOKUP(InputTable[[#This Row],[Impact on - SAFETY]],'System List'!$F$4:$H$7,3,FALSE),0)</f>
        <v>0</v>
      </c>
      <c r="BQ91" s="2">
        <f>IFERROR(VLOOKUP(InputTable[[#This Row],[Impact on - STATION]],'System List'!$F$4:$H$7,3,FALSE),0)</f>
        <v>0</v>
      </c>
      <c r="BR91" s="2">
        <f>IFERROR(VLOOKUP(InputTable[[#This Row],[Impact on - STRAT]],'System List'!$F$4:$H$7,3,FALSE),0)</f>
        <v>0</v>
      </c>
      <c r="BT91" s="2">
        <f>IFERROR(VLOOKUP(InputTable[[#This Row],[CORPHRFIN]],'System List'!$F$4:$H$7,3,FALSE),0)</f>
        <v>0</v>
      </c>
      <c r="BU91" s="2">
        <f>IFERROR(VLOOKUP(InputTable[[#This Row],[CUST]],'System List'!$F$4:$H$7,3,FALSE),0)</f>
        <v>0</v>
      </c>
      <c r="BV91" s="2">
        <f>IFERROR(VLOOKUP(InputTable[[#This Row],[CYBER]],'System List'!$F$4:$H$7,3,FALSE),0)</f>
        <v>5</v>
      </c>
      <c r="BW91" s="2">
        <f>IFERROR(VLOOKUP(InputTable[[#This Row],[DATA]],'System List'!$F$4:$H$7,3,FALSE),0)</f>
        <v>13</v>
      </c>
      <c r="BX91" s="2">
        <f>IFERROR(VLOOKUP(InputTable[[#This Row],[INFRA]],'System List'!$F$4:$H$7,3,FALSE),0)</f>
        <v>0</v>
      </c>
      <c r="BY91" s="2">
        <f>IFERROR(VLOOKUP(InputTable[[#This Row],[OPERATIONS]],'System List'!$F$4:$H$7,3,FALSE),0)</f>
        <v>13</v>
      </c>
      <c r="BZ91" s="2">
        <f>IFERROR(VLOOKUP(InputTable[[#This Row],[PMO]],'System List'!$F$4:$H$7,3,FALSE),0)</f>
        <v>0</v>
      </c>
      <c r="CA91" s="2">
        <f>IFERROR(VLOOKUP(InputTable[[#This Row],[SALES]],'System List'!$F$4:$H$7,3,FALSE),0)</f>
        <v>8</v>
      </c>
      <c r="CC91" s="2" cm="1">
        <f t="array" ref="CC9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1" s="2" cm="1">
        <f t="array" ref="CD9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1" s="2" cm="1">
        <f t="array" ref="CE9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1" s="2" cm="1">
        <f t="array" ref="CF9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1" s="2" cm="1">
        <f t="array" ref="CG9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1" s="2" cm="1">
        <f t="array" ref="CH9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1" s="2" cm="1">
        <f t="array" ref="CI9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1" s="2" cm="1">
        <f t="array" ref="CJ9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1" s="2" cm="1">
        <f t="array" ref="CK9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9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9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9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1" s="26">
        <f t="shared" si="224"/>
        <v>0</v>
      </c>
      <c r="CY91" s="26">
        <f t="shared" si="225"/>
        <v>0</v>
      </c>
      <c r="CZ91" s="26">
        <f t="shared" si="226"/>
        <v>0</v>
      </c>
      <c r="DA91" s="26">
        <f t="shared" si="227"/>
        <v>0</v>
      </c>
      <c r="DB91" s="26">
        <f t="shared" si="228"/>
        <v>0</v>
      </c>
      <c r="DC91" s="26">
        <f t="shared" si="229"/>
        <v>0</v>
      </c>
      <c r="DD91" s="26">
        <f t="shared" si="230"/>
        <v>0</v>
      </c>
      <c r="DE91" s="26">
        <f t="shared" si="231"/>
        <v>0</v>
      </c>
      <c r="DF91" s="26">
        <f t="shared" si="232"/>
        <v>0</v>
      </c>
      <c r="DH91" s="26">
        <f t="shared" si="233"/>
        <v>0</v>
      </c>
      <c r="DI91" s="26">
        <f t="shared" si="234"/>
        <v>0</v>
      </c>
      <c r="DJ91" s="26">
        <f t="shared" si="235"/>
        <v>0</v>
      </c>
      <c r="DK91" s="26">
        <f t="shared" si="236"/>
        <v>0</v>
      </c>
      <c r="DL91" s="26">
        <f t="shared" si="237"/>
        <v>0</v>
      </c>
      <c r="DM91" s="26">
        <f t="shared" si="238"/>
        <v>0</v>
      </c>
      <c r="DN91" s="26">
        <f t="shared" si="239"/>
        <v>0</v>
      </c>
      <c r="DO91" s="26">
        <f t="shared" si="240"/>
        <v>0</v>
      </c>
      <c r="DP91" s="26">
        <f t="shared" si="241"/>
        <v>0</v>
      </c>
      <c r="DR91" s="26">
        <f t="shared" si="242"/>
        <v>0</v>
      </c>
      <c r="DS91" s="26">
        <f t="shared" si="243"/>
        <v>0</v>
      </c>
      <c r="DT91" s="26">
        <f t="shared" si="244"/>
        <v>0</v>
      </c>
      <c r="DU91" s="26">
        <f t="shared" si="245"/>
        <v>0</v>
      </c>
      <c r="DV91" s="26">
        <f t="shared" si="246"/>
        <v>0</v>
      </c>
      <c r="DW91" s="26">
        <f t="shared" si="247"/>
        <v>5</v>
      </c>
      <c r="DX91" s="26">
        <f t="shared" si="248"/>
        <v>0</v>
      </c>
      <c r="DY91" s="26">
        <f t="shared" si="249"/>
        <v>0</v>
      </c>
      <c r="DZ91" s="26">
        <f t="shared" si="250"/>
        <v>0</v>
      </c>
      <c r="EB91" s="26">
        <f t="shared" si="251"/>
        <v>0</v>
      </c>
      <c r="EC91" s="26">
        <f t="shared" si="252"/>
        <v>0</v>
      </c>
      <c r="ED91" s="26">
        <f t="shared" si="253"/>
        <v>0</v>
      </c>
      <c r="EE91" s="26">
        <f t="shared" si="254"/>
        <v>0</v>
      </c>
      <c r="EF91" s="26">
        <f t="shared" si="255"/>
        <v>0</v>
      </c>
      <c r="EG91" s="26">
        <f t="shared" si="256"/>
        <v>13</v>
      </c>
      <c r="EH91" s="26">
        <f t="shared" si="257"/>
        <v>0</v>
      </c>
      <c r="EI91" s="26">
        <f t="shared" si="258"/>
        <v>0</v>
      </c>
      <c r="EJ91" s="26">
        <f t="shared" si="259"/>
        <v>0</v>
      </c>
      <c r="EL91" s="26">
        <f t="shared" si="260"/>
        <v>0</v>
      </c>
      <c r="EM91" s="26">
        <f t="shared" si="261"/>
        <v>0</v>
      </c>
      <c r="EN91" s="26">
        <f t="shared" si="262"/>
        <v>0</v>
      </c>
      <c r="EO91" s="26">
        <f t="shared" si="263"/>
        <v>0</v>
      </c>
      <c r="EP91" s="26">
        <f t="shared" si="264"/>
        <v>0</v>
      </c>
      <c r="EQ91" s="26">
        <f t="shared" si="265"/>
        <v>0</v>
      </c>
      <c r="ER91" s="26">
        <f t="shared" si="266"/>
        <v>0</v>
      </c>
      <c r="ES91" s="26">
        <f t="shared" si="267"/>
        <v>0</v>
      </c>
      <c r="ET91" s="26">
        <f t="shared" si="268"/>
        <v>0</v>
      </c>
      <c r="EV91" s="26">
        <f t="shared" si="269"/>
        <v>0</v>
      </c>
      <c r="EW91" s="26">
        <f t="shared" si="270"/>
        <v>0</v>
      </c>
      <c r="EX91" s="26">
        <f t="shared" si="271"/>
        <v>0</v>
      </c>
      <c r="EY91" s="26">
        <f t="shared" si="272"/>
        <v>0</v>
      </c>
      <c r="EZ91" s="26">
        <f t="shared" si="273"/>
        <v>0</v>
      </c>
      <c r="FA91" s="26">
        <f t="shared" si="274"/>
        <v>13</v>
      </c>
      <c r="FB91" s="26">
        <f t="shared" si="275"/>
        <v>0</v>
      </c>
      <c r="FC91" s="26">
        <f t="shared" si="276"/>
        <v>0</v>
      </c>
      <c r="FD91" s="26">
        <f t="shared" si="277"/>
        <v>0</v>
      </c>
      <c r="FF91" s="26">
        <f t="shared" si="278"/>
        <v>0</v>
      </c>
      <c r="FG91" s="26">
        <f t="shared" si="279"/>
        <v>0</v>
      </c>
      <c r="FH91" s="26">
        <f t="shared" si="280"/>
        <v>0</v>
      </c>
      <c r="FI91" s="26">
        <f t="shared" si="281"/>
        <v>0</v>
      </c>
      <c r="FJ91" s="26">
        <f t="shared" si="282"/>
        <v>0</v>
      </c>
      <c r="FK91" s="26">
        <f t="shared" si="283"/>
        <v>0</v>
      </c>
      <c r="FL91" s="26">
        <f t="shared" si="284"/>
        <v>0</v>
      </c>
      <c r="FM91" s="26">
        <f t="shared" si="285"/>
        <v>0</v>
      </c>
      <c r="FN91" s="26">
        <f t="shared" si="286"/>
        <v>0</v>
      </c>
      <c r="FP91" s="26" t="e">
        <f t="shared" si="287"/>
        <v>#REF!</v>
      </c>
      <c r="FQ91" s="26" t="e">
        <f t="shared" si="288"/>
        <v>#REF!</v>
      </c>
      <c r="FR91" s="26" t="e">
        <f t="shared" si="289"/>
        <v>#REF!</v>
      </c>
      <c r="FS91" s="26" t="e">
        <f t="shared" si="290"/>
        <v>#REF!</v>
      </c>
      <c r="FT91" s="26" t="e">
        <f t="shared" si="291"/>
        <v>#REF!</v>
      </c>
      <c r="FU91" s="26" t="e">
        <f t="shared" si="292"/>
        <v>#REF!</v>
      </c>
      <c r="FV91" s="26" t="e">
        <f t="shared" si="293"/>
        <v>#REF!</v>
      </c>
      <c r="FW91" s="26" t="e">
        <f t="shared" si="294"/>
        <v>#REF!</v>
      </c>
      <c r="FX91" s="26" t="e">
        <f t="shared" si="295"/>
        <v>#REF!</v>
      </c>
      <c r="GB91" s="26" t="e">
        <f>IF(GB$2=InputTable[[#This Row],[Delivery Date]],_xlfn.XLOOKUP(GB$1,$BH$2:$BR$2,$BH91:$BR91,0),0)</f>
        <v>#REF!</v>
      </c>
      <c r="GC91" s="26">
        <f>IF(GC$2=InputTable[[#This Row],[Delivery Date]],_xlfn.XLOOKUP(GC$1,$BH$2:$BR$2,$BH91:$BR91,0),0)</f>
        <v>0</v>
      </c>
      <c r="GD91" s="26">
        <f>IF(GD$2=InputTable[[#This Row],[Delivery Date]],_xlfn.XLOOKUP(GD$1,$BH$2:$BR$2,$BH91:$BR91,0),0)</f>
        <v>0</v>
      </c>
      <c r="GE91" s="26">
        <f>IF(GE$2=InputTable[[#This Row],[Delivery Date]],_xlfn.XLOOKUP(GE$1,$BH$2:$BR$2,$BH91:$BR91,0),0)</f>
        <v>0</v>
      </c>
      <c r="GF91" s="26">
        <f>IF(GF$2=InputTable[[#This Row],[Delivery Date]],_xlfn.XLOOKUP(GF$1,$BH$2:$BR$2,$BH91:$BR91,0),0)</f>
        <v>0</v>
      </c>
      <c r="GG91" s="26">
        <f>IF(GG$2=InputTable[[#This Row],[Delivery Date]],_xlfn.XLOOKUP(GG$1,$BH$2:$BR$2,$BH91:$BR91,0),0)</f>
        <v>0</v>
      </c>
      <c r="GH91" s="26">
        <f>IF(GH$2=InputTable[[#This Row],[Delivery Date]],_xlfn.XLOOKUP(GH$1,$BH$2:$BR$2,$BH91:$BR91,0),0)</f>
        <v>0</v>
      </c>
      <c r="GI91" s="26">
        <f>IF(GI$2=InputTable[[#This Row],[Delivery Date]],_xlfn.XLOOKUP(GI$1,$BH$2:$BR$2,$BH91:$BR91,0),0)</f>
        <v>0</v>
      </c>
      <c r="GJ91" s="26">
        <f>IF(GJ$2=InputTable[[#This Row],[Delivery Date]],_xlfn.XLOOKUP(GJ$1,$BH$2:$BR$2,$BH91:$BR91,0),0)</f>
        <v>0</v>
      </c>
      <c r="GL91" s="26" t="e">
        <f>IF(GL$2=InputTable[[#This Row],[Delivery Date]],_xlfn.XLOOKUP(GL$1,$BH$2:$BR$2,$BH91:$BR91,0),0)</f>
        <v>#REF!</v>
      </c>
      <c r="GM91" s="26">
        <f>IF(GM$2=InputTable[[#This Row],[Delivery Date]],_xlfn.XLOOKUP(GM$1,$BH$2:$BR$2,$BH91:$BR91,0),0)</f>
        <v>0</v>
      </c>
      <c r="GN91" s="26">
        <f>IF(GN$2=InputTable[[#This Row],[Delivery Date]],_xlfn.XLOOKUP(GN$1,$BH$2:$BR$2,$BH91:$BR91,0),0)</f>
        <v>0</v>
      </c>
      <c r="GO91" s="26">
        <f>IF(GO$2=InputTable[[#This Row],[Delivery Date]],_xlfn.XLOOKUP(GO$1,$BH$2:$BR$2,$BH91:$BR91,0),0)</f>
        <v>0</v>
      </c>
      <c r="GP91" s="26">
        <f>IF(GP$2=InputTable[[#This Row],[Delivery Date]],_xlfn.XLOOKUP(GP$1,$BH$2:$BR$2,$BH91:$BR91,0),0)</f>
        <v>0</v>
      </c>
      <c r="GQ91" s="26">
        <f>IF(GQ$2=InputTable[[#This Row],[Delivery Date]],_xlfn.XLOOKUP(GQ$1,$BH$2:$BR$2,$BH91:$BR91,0),0)</f>
        <v>0</v>
      </c>
      <c r="GR91" s="26">
        <f>IF(GR$2=InputTable[[#This Row],[Delivery Date]],_xlfn.XLOOKUP(GR$1,$BH$2:$BR$2,$BH91:$BR91,0),0)</f>
        <v>0</v>
      </c>
      <c r="GS91" s="26">
        <f>IF(GS$2=InputTable[[#This Row],[Delivery Date]],_xlfn.XLOOKUP(GS$1,$BH$2:$BR$2,$BH91:$BR91,0),0)</f>
        <v>0</v>
      </c>
      <c r="GT91" s="26">
        <f>IF(GT$2=InputTable[[#This Row],[Delivery Date]],_xlfn.XLOOKUP(GT$1,$BH$2:$BR$2,$BH91:$BR91,0),0)</f>
        <v>0</v>
      </c>
      <c r="GV91" s="26" t="e">
        <f>IF(GV$2=InputTable[[#This Row],[Delivery Date]],_xlfn.XLOOKUP(GV$1,$BH$2:$BR$2,$BH91:$BR91,0),0)</f>
        <v>#REF!</v>
      </c>
      <c r="GW91" s="26">
        <f>IF(GW$2=InputTable[[#This Row],[Delivery Date]],_xlfn.XLOOKUP(GW$1,$BH$2:$BR$2,$BH91:$BR91,0),0)</f>
        <v>0</v>
      </c>
      <c r="GX91" s="26">
        <f>IF(GX$2=InputTable[[#This Row],[Delivery Date]],_xlfn.XLOOKUP(GX$1,$BH$2:$BR$2,$BH91:$BR91,0),0)</f>
        <v>0</v>
      </c>
      <c r="GY91" s="26">
        <f>IF(GY$2=InputTable[[#This Row],[Delivery Date]],_xlfn.XLOOKUP(GY$1,$BH$2:$BR$2,$BH91:$BR91,0),0)</f>
        <v>0</v>
      </c>
      <c r="GZ91" s="26">
        <f>IF(GZ$2=InputTable[[#This Row],[Delivery Date]],_xlfn.XLOOKUP(GZ$1,$BH$2:$BR$2,$BH91:$BR91,0),0)</f>
        <v>0</v>
      </c>
      <c r="HA91" s="26">
        <f>IF(HA$2=InputTable[[#This Row],[Delivery Date]],_xlfn.XLOOKUP(HA$1,$BH$2:$BR$2,$BH91:$BR91,0),0)</f>
        <v>0</v>
      </c>
      <c r="HB91" s="26">
        <f>IF(HB$2=InputTable[[#This Row],[Delivery Date]],_xlfn.XLOOKUP(HB$1,$BH$2:$BR$2,$BH91:$BR91,0),0)</f>
        <v>0</v>
      </c>
      <c r="HC91" s="26">
        <f>IF(HC$2=InputTable[[#This Row],[Delivery Date]],_xlfn.XLOOKUP(HC$1,$BH$2:$BR$2,$BH91:$BR91,0),0)</f>
        <v>0</v>
      </c>
      <c r="HD91" s="26">
        <f>IF(HD$2=InputTable[[#This Row],[Delivery Date]],_xlfn.XLOOKUP(HD$1,$BH$2:$BR$2,$BH91:$BR91,0),0)</f>
        <v>0</v>
      </c>
      <c r="HF91" s="26" t="e">
        <f>IF(HF$2=InputTable[[#This Row],[Delivery Date]],_xlfn.XLOOKUP(HF$1,$BH$2:$BR$2,$BH91:$BR91,0),0)</f>
        <v>#REF!</v>
      </c>
      <c r="HG91" s="26">
        <f>IF(HG$2=InputTable[[#This Row],[Delivery Date]],_xlfn.XLOOKUP(HG$1,$BH$2:$BR$2,$BH91:$BR91,0),0)</f>
        <v>0</v>
      </c>
      <c r="HH91" s="26">
        <f>IF(HH$2=InputTable[[#This Row],[Delivery Date]],_xlfn.XLOOKUP(HH$1,$BH$2:$BR$2,$BH91:$BR91,0),0)</f>
        <v>0</v>
      </c>
      <c r="HI91" s="26">
        <f>IF(HI$2=InputTable[[#This Row],[Delivery Date]],_xlfn.XLOOKUP(HI$1,$BH$2:$BR$2,$BH91:$BR91,0),0)</f>
        <v>0</v>
      </c>
      <c r="HJ91" s="26">
        <f>IF(HJ$2=InputTable[[#This Row],[Delivery Date]],_xlfn.XLOOKUP(HJ$1,$BH$2:$BR$2,$BH91:$BR91,0),0)</f>
        <v>0</v>
      </c>
      <c r="HK91" s="26">
        <f>IF(HK$2=InputTable[[#This Row],[Delivery Date]],_xlfn.XLOOKUP(HK$1,$BH$2:$BR$2,$BH91:$BR91,0),0)</f>
        <v>0</v>
      </c>
      <c r="HL91" s="26">
        <f>IF(HL$2=InputTable[[#This Row],[Delivery Date]],_xlfn.XLOOKUP(HL$1,$BH$2:$BR$2,$BH91:$BR91,0),0)</f>
        <v>0</v>
      </c>
      <c r="HM91" s="26">
        <f>IF(HM$2=InputTable[[#This Row],[Delivery Date]],_xlfn.XLOOKUP(HM$1,$BH$2:$BR$2,$BH91:$BR91,0),0)</f>
        <v>0</v>
      </c>
      <c r="HN91" s="26">
        <f>IF(HN$2=InputTable[[#This Row],[Delivery Date]],_xlfn.XLOOKUP(HN$1,$BH$2:$BR$2,$BH91:$BR91,0),0)</f>
        <v>0</v>
      </c>
      <c r="HP91" s="26" t="e">
        <f>IF(HP$2=InputTable[[#This Row],[Delivery Date]],_xlfn.XLOOKUP(HP$1,$BH$2:$BR$2,$BH91:$BR91,0),0)</f>
        <v>#REF!</v>
      </c>
      <c r="HQ91" s="26">
        <f>IF(HQ$2=InputTable[[#This Row],[Delivery Date]],_xlfn.XLOOKUP(HQ$1,$BH$2:$BR$2,$BH91:$BR91,0),0)</f>
        <v>0</v>
      </c>
      <c r="HR91" s="26">
        <f>IF(HR$2=InputTable[[#This Row],[Delivery Date]],_xlfn.XLOOKUP(HR$1,$BH$2:$BR$2,$BH91:$BR91,0),0)</f>
        <v>0</v>
      </c>
      <c r="HS91" s="26">
        <f>IF(HS$2=InputTable[[#This Row],[Delivery Date]],_xlfn.XLOOKUP(HS$1,$BH$2:$BR$2,$BH91:$BR91,0),0)</f>
        <v>0</v>
      </c>
      <c r="HT91" s="26">
        <f>IF(HT$2=InputTable[[#This Row],[Delivery Date]],_xlfn.XLOOKUP(HT$1,$BH$2:$BR$2,$BH91:$BR91,0),0)</f>
        <v>0</v>
      </c>
      <c r="HU91" s="26">
        <f>IF(HU$2=InputTable[[#This Row],[Delivery Date]],_xlfn.XLOOKUP(HU$1,$BH$2:$BR$2,$BH91:$BR91,0),0)</f>
        <v>0</v>
      </c>
      <c r="HV91" s="26">
        <f>IF(HV$2=InputTable[[#This Row],[Delivery Date]],_xlfn.XLOOKUP(HV$1,$BH$2:$BR$2,$BH91:$BR91,0),0)</f>
        <v>0</v>
      </c>
      <c r="HW91" s="26">
        <f>IF(HW$2=InputTable[[#This Row],[Delivery Date]],_xlfn.XLOOKUP(HW$1,$BH$2:$BR$2,$BH91:$BR91,0),0)</f>
        <v>0</v>
      </c>
      <c r="HX91" s="26">
        <f>IF(HX$2=InputTable[[#This Row],[Delivery Date]],_xlfn.XLOOKUP(HX$1,$BH$2:$BR$2,$BH91:$BR91,0),0)</f>
        <v>0</v>
      </c>
      <c r="HZ91" s="26" t="e">
        <f>IF(HZ$2=InputTable[[#This Row],[Delivery Date]],_xlfn.XLOOKUP(HZ$1,$BH$2:$BR$2,$BH91:$BR91,0),0)</f>
        <v>#REF!</v>
      </c>
      <c r="IA91" s="26">
        <f>IF(IA$2=InputTable[[#This Row],[Delivery Date]],_xlfn.XLOOKUP(IA$1,$BH$2:$BR$2,$BH91:$BR91,0),0)</f>
        <v>0</v>
      </c>
      <c r="IB91" s="26">
        <f>IF(IB$2=InputTable[[#This Row],[Delivery Date]],_xlfn.XLOOKUP(IB$1,$BH$2:$BR$2,$BH91:$BR91,0),0)</f>
        <v>0</v>
      </c>
      <c r="IC91" s="26">
        <f>IF(IC$2=InputTable[[#This Row],[Delivery Date]],_xlfn.XLOOKUP(IC$1,$BH$2:$BR$2,$BH91:$BR91,0),0)</f>
        <v>0</v>
      </c>
      <c r="ID91" s="26">
        <f>IF(ID$2=InputTable[[#This Row],[Delivery Date]],_xlfn.XLOOKUP(ID$1,$BH$2:$BR$2,$BH91:$BR91,0),0)</f>
        <v>0</v>
      </c>
      <c r="IE91" s="26">
        <f>IF(IE$2=InputTable[[#This Row],[Delivery Date]],_xlfn.XLOOKUP(IE$1,$BH$2:$BR$2,$BH91:$BR91,0),0)</f>
        <v>0</v>
      </c>
      <c r="IF91" s="26">
        <f>IF(IF$2=InputTable[[#This Row],[Delivery Date]],_xlfn.XLOOKUP(IF$1,$BH$2:$BR$2,$BH91:$BR91,0),0)</f>
        <v>0</v>
      </c>
      <c r="IG91" s="26">
        <f>IF(IG$2=InputTable[[#This Row],[Delivery Date]],_xlfn.XLOOKUP(IG$1,$BH$2:$BR$2,$BH91:$BR91,0),0)</f>
        <v>0</v>
      </c>
      <c r="IH91" s="26">
        <f>IF(IH$2=InputTable[[#This Row],[Delivery Date]],_xlfn.XLOOKUP(IH$1,$BH$2:$BR$2,$BH91:$BR91,0),0)</f>
        <v>0</v>
      </c>
      <c r="IJ91" s="26" t="e">
        <f>IF(IJ$2=InputTable[[#This Row],[Delivery Date]],_xlfn.XLOOKUP(IJ$1,$BH$2:$BR$2,$BH91:$BR91,0),0)</f>
        <v>#REF!</v>
      </c>
      <c r="IK91" s="26">
        <f>IF(IK$2=InputTable[[#This Row],[Delivery Date]],_xlfn.XLOOKUP(IK$1,$BH$2:$BR$2,$BH91:$BR91,0),0)</f>
        <v>0</v>
      </c>
      <c r="IL91" s="26">
        <f>IF(IL$2=InputTable[[#This Row],[Delivery Date]],_xlfn.XLOOKUP(IL$1,$BH$2:$BR$2,$BH91:$BR91,0),0)</f>
        <v>0</v>
      </c>
      <c r="IM91" s="26">
        <f>IF(IM$2=InputTable[[#This Row],[Delivery Date]],_xlfn.XLOOKUP(IM$1,$BH$2:$BR$2,$BH91:$BR91,0),0)</f>
        <v>0</v>
      </c>
      <c r="IN91" s="26">
        <f>IF(IN$2=InputTable[[#This Row],[Delivery Date]],_xlfn.XLOOKUP(IN$1,$BH$2:$BR$2,$BH91:$BR91,0),0)</f>
        <v>0</v>
      </c>
      <c r="IO91" s="26">
        <f>IF(IO$2=InputTable[[#This Row],[Delivery Date]],_xlfn.XLOOKUP(IO$1,$BH$2:$BR$2,$BH91:$BR91,0),0)</f>
        <v>0</v>
      </c>
      <c r="IP91" s="26">
        <f>IF(IP$2=InputTable[[#This Row],[Delivery Date]],_xlfn.XLOOKUP(IP$1,$BH$2:$BR$2,$BH91:$BR91,0),0)</f>
        <v>0</v>
      </c>
      <c r="IQ91" s="26">
        <f>IF(IQ$2=InputTable[[#This Row],[Delivery Date]],_xlfn.XLOOKUP(IQ$1,$BH$2:$BR$2,$BH91:$BR91,0),0)</f>
        <v>0</v>
      </c>
      <c r="IR91" s="26">
        <f>IF(IR$2=InputTable[[#This Row],[Delivery Date]],_xlfn.XLOOKUP(IR$1,$BH$2:$BR$2,$BH91:$BR91,0),0)</f>
        <v>0</v>
      </c>
      <c r="IT91" s="26" t="e">
        <f>IF(IT$2=InputTable[[#This Row],[Delivery Date]],_xlfn.XLOOKUP(IT$1,$BH$2:$BR$2,$BH91:$BR91,0),0)</f>
        <v>#REF!</v>
      </c>
      <c r="IU91" s="26">
        <f>IF(IU$2=InputTable[[#This Row],[Delivery Date]],_xlfn.XLOOKUP(IU$1,$BH$2:$BR$2,$BH91:$BR91,0),0)</f>
        <v>0</v>
      </c>
      <c r="IV91" s="26">
        <f>IF(IV$2=InputTable[[#This Row],[Delivery Date]],_xlfn.XLOOKUP(IV$1,$BH$2:$BR$2,$BH91:$BR91,0),0)</f>
        <v>0</v>
      </c>
      <c r="IW91" s="26">
        <f>IF(IW$2=InputTable[[#This Row],[Delivery Date]],_xlfn.XLOOKUP(IW$1,$BH$2:$BR$2,$BH91:$BR91,0),0)</f>
        <v>0</v>
      </c>
      <c r="IX91" s="26">
        <f>IF(IX$2=InputTable[[#This Row],[Delivery Date]],_xlfn.XLOOKUP(IX$1,$BH$2:$BR$2,$BH91:$BR91,0),0)</f>
        <v>0</v>
      </c>
      <c r="IY91" s="26">
        <f>IF(IY$2=InputTable[[#This Row],[Delivery Date]],_xlfn.XLOOKUP(IY$1,$BH$2:$BR$2,$BH91:$BR91,0),0)</f>
        <v>0</v>
      </c>
      <c r="IZ91" s="26">
        <f>IF(IZ$2=InputTable[[#This Row],[Delivery Date]],_xlfn.XLOOKUP(IZ$1,$BH$2:$BR$2,$BH91:$BR91,0),0)</f>
        <v>0</v>
      </c>
      <c r="JA91" s="26">
        <f>IF(JA$2=InputTable[[#This Row],[Delivery Date]],_xlfn.XLOOKUP(JA$1,$BH$2:$BR$2,$BH91:$BR91,0),0)</f>
        <v>0</v>
      </c>
      <c r="JB91" s="26">
        <f>IF(JB$2=InputTable[[#This Row],[Delivery Date]],_xlfn.XLOOKUP(JB$1,$BH$2:$BR$2,$BH91:$BR91,0),0)</f>
        <v>0</v>
      </c>
      <c r="JD91" s="26" t="e">
        <f>IF(JD$2=InputTable[[#This Row],[Delivery Date]],_xlfn.XLOOKUP(JD$1,$BH$2:$BR$2,$BH91:$BR91,0),0)</f>
        <v>#REF!</v>
      </c>
      <c r="JE91" s="26">
        <f>IF(JE$2=InputTable[[#This Row],[Delivery Date]],_xlfn.XLOOKUP(JE$1,$BH$2:$BR$2,$BH91:$BR91,0),0)</f>
        <v>0</v>
      </c>
      <c r="JF91" s="26">
        <f>IF(JF$2=InputTable[[#This Row],[Delivery Date]],_xlfn.XLOOKUP(JF$1,$BH$2:$BR$2,$BH91:$BR91,0),0)</f>
        <v>0</v>
      </c>
      <c r="JG91" s="26">
        <f>IF(JG$2=InputTable[[#This Row],[Delivery Date]],_xlfn.XLOOKUP(JG$1,$BH$2:$BR$2,$BH91:$BR91,0),0)</f>
        <v>0</v>
      </c>
      <c r="JH91" s="26">
        <f>IF(JH$2=InputTable[[#This Row],[Delivery Date]],_xlfn.XLOOKUP(JH$1,$BH$2:$BR$2,$BH91:$BR91,0),0)</f>
        <v>0</v>
      </c>
      <c r="JI91" s="26">
        <f>IF(JI$2=InputTable[[#This Row],[Delivery Date]],_xlfn.XLOOKUP(JI$1,$BH$2:$BR$2,$BH91:$BR91,0),0)</f>
        <v>0</v>
      </c>
      <c r="JJ91" s="26">
        <f>IF(JJ$2=InputTable[[#This Row],[Delivery Date]],_xlfn.XLOOKUP(JJ$1,$BH$2:$BR$2,$BH91:$BR91,0),0)</f>
        <v>0</v>
      </c>
      <c r="JK91" s="26">
        <f>IF(JK$2=InputTable[[#This Row],[Delivery Date]],_xlfn.XLOOKUP(JK$1,$BH$2:$BR$2,$BH91:$BR91,0),0)</f>
        <v>0</v>
      </c>
      <c r="JL91" s="26">
        <f>IF(JL$2=InputTable[[#This Row],[Delivery Date]],_xlfn.XLOOKUP(JL$1,$BH$2:$BR$2,$BH91:$BR91,0),0)</f>
        <v>0</v>
      </c>
      <c r="JN91" s="26" t="e">
        <f>IF(JN$2=InputTable[[#This Row],[Delivery Date]],_xlfn.XLOOKUP(JN$1,$BH$2:$BR$2,$BH91:$BR91,0),0)</f>
        <v>#REF!</v>
      </c>
      <c r="JO91" s="26">
        <f>IF(JO$2=InputTable[[#This Row],[Delivery Date]],_xlfn.XLOOKUP(JO$1,$BH$2:$BR$2,$BH91:$BR91,0),0)</f>
        <v>0</v>
      </c>
      <c r="JP91" s="26">
        <f>IF(JP$2=InputTable[[#This Row],[Delivery Date]],_xlfn.XLOOKUP(JP$1,$BH$2:$BR$2,$BH91:$BR91,0),0)</f>
        <v>0</v>
      </c>
      <c r="JQ91" s="26">
        <f>IF(JQ$2=InputTable[[#This Row],[Delivery Date]],_xlfn.XLOOKUP(JQ$1,$BH$2:$BR$2,$BH91:$BR91,0),0)</f>
        <v>0</v>
      </c>
      <c r="JR91" s="26">
        <f>IF(JR$2=InputTable[[#This Row],[Delivery Date]],_xlfn.XLOOKUP(JR$1,$BH$2:$BR$2,$BH91:$BR91,0),0)</f>
        <v>0</v>
      </c>
      <c r="JS91" s="26">
        <f>IF(JS$2=InputTable[[#This Row],[Delivery Date]],_xlfn.XLOOKUP(JS$1,$BH$2:$BR$2,$BH91:$BR91,0),0)</f>
        <v>0</v>
      </c>
      <c r="JT91" s="26">
        <f>IF(JT$2=InputTable[[#This Row],[Delivery Date]],_xlfn.XLOOKUP(JT$1,$BH$2:$BR$2,$BH91:$BR91,0),0)</f>
        <v>0</v>
      </c>
      <c r="JU91" s="26">
        <f>IF(JU$2=InputTable[[#This Row],[Delivery Date]],_xlfn.XLOOKUP(JU$1,$BH$2:$BR$2,$BH91:$BR91,0),0)</f>
        <v>0</v>
      </c>
      <c r="JV91" s="26">
        <f>IF(JV$2=InputTable[[#This Row],[Delivery Date]],_xlfn.XLOOKUP(JV$1,$BH$2:$BR$2,$BH91:$BR91,0),0)</f>
        <v>0</v>
      </c>
      <c r="JX91" s="26" t="e">
        <f>IF(JX$2=InputTable[[#This Row],[Delivery Date]],_xlfn.XLOOKUP(JX$1,$BH$2:$BR$2,$BH91:$BR91,0),0)</f>
        <v>#REF!</v>
      </c>
      <c r="JY91" s="26">
        <f>IF(JY$2=InputTable[[#This Row],[Delivery Date]],_xlfn.XLOOKUP(JY$1,$BH$2:$BR$2,$BH91:$BR91,0),0)</f>
        <v>0</v>
      </c>
      <c r="JZ91" s="26">
        <f>IF(JZ$2=InputTable[[#This Row],[Delivery Date]],_xlfn.XLOOKUP(JZ$1,$BH$2:$BR$2,$BH91:$BR91,0),0)</f>
        <v>0</v>
      </c>
      <c r="KA91" s="26">
        <f>IF(KA$2=InputTable[[#This Row],[Delivery Date]],_xlfn.XLOOKUP(KA$1,$BH$2:$BR$2,$BH91:$BR91,0),0)</f>
        <v>0</v>
      </c>
      <c r="KB91" s="26">
        <f>IF(KB$2=InputTable[[#This Row],[Delivery Date]],_xlfn.XLOOKUP(KB$1,$BH$2:$BR$2,$BH91:$BR91,0),0)</f>
        <v>0</v>
      </c>
      <c r="KC91" s="26">
        <f>IF(KC$2=InputTable[[#This Row],[Delivery Date]],_xlfn.XLOOKUP(KC$1,$BH$2:$BR$2,$BH91:$BR91,0),0)</f>
        <v>0</v>
      </c>
      <c r="KD91" s="26">
        <f>IF(KD$2=InputTable[[#This Row],[Delivery Date]],_xlfn.XLOOKUP(KD$1,$BH$2:$BR$2,$BH91:$BR91,0),0)</f>
        <v>0</v>
      </c>
      <c r="KE91" s="26">
        <f>IF(KE$2=InputTable[[#This Row],[Delivery Date]],_xlfn.XLOOKUP(KE$1,$BH$2:$BR$2,$BH91:$BR91,0),0)</f>
        <v>0</v>
      </c>
      <c r="KF91" s="26">
        <f>IF(KF$2=InputTable[[#This Row],[Delivery Date]],_xlfn.XLOOKUP(KF$1,$BH$2:$BR$2,$BH91:$BR91,0),0)</f>
        <v>0</v>
      </c>
    </row>
    <row r="92" spans="1:292" ht="39.6" customHeight="1" x14ac:dyDescent="0.25">
      <c r="A92" s="141" t="s">
        <v>181</v>
      </c>
      <c r="B92" s="141" t="s">
        <v>92</v>
      </c>
      <c r="C92" s="92" t="s">
        <v>61</v>
      </c>
      <c r="D92" s="125" t="s">
        <v>385</v>
      </c>
      <c r="E92" s="193" t="s">
        <v>386</v>
      </c>
      <c r="F92" s="92" t="s">
        <v>61</v>
      </c>
      <c r="G92" s="92" t="s">
        <v>160</v>
      </c>
      <c r="H92" s="92" t="s">
        <v>100</v>
      </c>
      <c r="I92" s="92">
        <v>2026</v>
      </c>
      <c r="J92" s="125" t="s">
        <v>145</v>
      </c>
      <c r="K92" s="95" t="e">
        <f>VLOOKUP((InputTable[[#This Row],[Starting Date]]&amp; " - " &amp;InputTable[[#This Row],[Delivery Date]]),'System List'!$F$40:$H$83,2,FALSE)</f>
        <v>#N/A</v>
      </c>
      <c r="L92" s="95" t="e">
        <f>VLOOKUP(InputTable[[#This Row],[Duration]],Duration,2,FALSE)</f>
        <v>#N/A</v>
      </c>
      <c r="M92" s="125"/>
      <c r="N92" s="92"/>
      <c r="O92" s="92"/>
      <c r="P92" s="92" t="s">
        <v>111</v>
      </c>
      <c r="Q92" s="92"/>
      <c r="R92" s="92" t="s">
        <v>111</v>
      </c>
      <c r="S92" s="92"/>
      <c r="T92" s="95" cm="1">
        <f t="array" ref="T9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92" s="138"/>
      <c r="V92" s="92"/>
      <c r="W92" s="92"/>
      <c r="X92" s="92"/>
      <c r="Y92" s="92"/>
      <c r="Z92" s="92"/>
      <c r="AA92" s="92" t="s">
        <v>111</v>
      </c>
      <c r="AB92" s="92"/>
      <c r="AC92" s="92"/>
      <c r="AD92" s="92">
        <f>COUNTA(InputTable[[#This Row],[CORPHRFIN]:[SALES]])</f>
        <v>1</v>
      </c>
      <c r="AE92" s="88" cm="1">
        <f t="array" ref="AE92">SUM(
_xlfn.XLOOKUP(InputTable[[#This Row],[CORPHRFIN]:[SALES]],'System List'!$F$4:$F$7,'System List'!$H$4:$H$7,0))</f>
        <v>5</v>
      </c>
      <c r="AF92" s="140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88" cm="1">
        <f t="array" ref="AR92">SUM(
_xlfn.XLOOKUP(InputTable[[#This Row],[Impact on - CIAL]:[Impact on - STRAT]],'System List'!$F$4:$F$7,'System List'!$H$4:$H$7,0))</f>
        <v>0</v>
      </c>
      <c r="AS92" s="88" t="e">
        <f>VLOOKUP(InputTable[[#This Row],[Duration]],Duration,2,FALSE)+InputTable[[#This Row],[Resource Score]]</f>
        <v>#N/A</v>
      </c>
      <c r="AT9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2" s="24" t="e">
        <f>InputTable[[#This Row],[Value Score]]/InputTable[[#This Row],[EFFORT SCORE]]*100</f>
        <v>#N/A</v>
      </c>
      <c r="AV92" s="25" t="str">
        <f>InputTable[[#This Row],[IS Portfolio Ref ID]]</f>
        <v>ISPRJ-43</v>
      </c>
      <c r="AW92" s="25" t="s">
        <v>387</v>
      </c>
      <c r="AX92" s="208" t="s">
        <v>388</v>
      </c>
      <c r="AY92" s="25"/>
      <c r="AZ92" s="209">
        <v>0</v>
      </c>
      <c r="BA92" s="209">
        <v>250000</v>
      </c>
      <c r="BB92" s="209" t="s">
        <v>103</v>
      </c>
      <c r="BC92" s="189">
        <f>SUM(InputTable[[#This Row],[Opex IS Budget (full project)]]+InputTable[[#This Row],[Capex IS Budget (full project)]])</f>
        <v>250000</v>
      </c>
      <c r="BD92" s="188"/>
      <c r="BE92" s="188">
        <v>1</v>
      </c>
      <c r="BF92" s="70"/>
      <c r="BH92" s="2">
        <f>IFERROR(VLOOKUP(InputTable[[#This Row],[Impact on - CIAL]],'System List'!$F$4:$H$7,3,FALSE),0)</f>
        <v>0</v>
      </c>
      <c r="BI92" s="2">
        <f>IFERROR(VLOOKUP(InputTable[[#This Row],[Impact on - COM]],'System List'!$F$4:$H$7,3,FALSE),0)</f>
        <v>0</v>
      </c>
      <c r="BJ92" s="2">
        <f>IFERROR(VLOOKUP(InputTable[[#This Row],[Impact on - FIN]],'System List'!$F$4:$H$7,3,FALSE),0)</f>
        <v>0</v>
      </c>
      <c r="BK92" s="2">
        <f>IFERROR(VLOOKUP(InputTable[[#This Row],[Impact on - GEN SEC]],'System List'!$F$4:$H$7,3,FALSE),0)</f>
        <v>0</v>
      </c>
      <c r="BL92" s="2">
        <f>IFERROR(VLOOKUP(InputTable[[#This Row],[Impact on - HR]],'System List'!$F$4:$H$7,3,FALSE),0)</f>
        <v>0</v>
      </c>
      <c r="BM92" s="2">
        <f>IFERROR(VLOOKUP(InputTable[[#This Row],[Impact on - IS]],'System List'!$F$4:$H$7,3,FALSE),0)</f>
        <v>0</v>
      </c>
      <c r="BN92" s="2">
        <f>IFERROR(VLOOKUP(InputTable[[#This Row],[Impact on - OPS]],'System List'!$F$4:$H$7,3,FALSE),0)</f>
        <v>0</v>
      </c>
      <c r="BO92" s="2">
        <f>IFERROR(VLOOKUP(InputTable[[#This Row],[Impact on - ROLL STOCK]],'System List'!$F$4:$H$7,3,FALSE),0)</f>
        <v>0</v>
      </c>
      <c r="BP92" s="2">
        <f>IFERROR(VLOOKUP(InputTable[[#This Row],[Impact on - SAFETY]],'System List'!$F$4:$H$7,3,FALSE),0)</f>
        <v>0</v>
      </c>
      <c r="BQ92" s="2">
        <f>IFERROR(VLOOKUP(InputTable[[#This Row],[Impact on - STATION]],'System List'!$F$4:$H$7,3,FALSE),0)</f>
        <v>0</v>
      </c>
      <c r="BR92" s="2">
        <f>IFERROR(VLOOKUP(InputTable[[#This Row],[Impact on - STRAT]],'System List'!$F$4:$H$7,3,FALSE),0)</f>
        <v>0</v>
      </c>
      <c r="BT92" s="2">
        <f>IFERROR(VLOOKUP(InputTable[[#This Row],[CORPHRFIN]],'System List'!$F$4:$H$7,3,FALSE),0)</f>
        <v>0</v>
      </c>
      <c r="BU92" s="2">
        <f>IFERROR(VLOOKUP(InputTable[[#This Row],[CUST]],'System List'!$F$4:$H$7,3,FALSE),0)</f>
        <v>0</v>
      </c>
      <c r="BV92" s="2">
        <f>IFERROR(VLOOKUP(InputTable[[#This Row],[CYBER]],'System List'!$F$4:$H$7,3,FALSE),0)</f>
        <v>0</v>
      </c>
      <c r="BW92" s="2">
        <f>IFERROR(VLOOKUP(InputTable[[#This Row],[DATA]],'System List'!$F$4:$H$7,3,FALSE),0)</f>
        <v>0</v>
      </c>
      <c r="BX92" s="2">
        <f>IFERROR(VLOOKUP(InputTable[[#This Row],[INFRA]],'System List'!$F$4:$H$7,3,FALSE),0)</f>
        <v>0</v>
      </c>
      <c r="BY92" s="2">
        <f>IFERROR(VLOOKUP(InputTable[[#This Row],[OPERATIONS]],'System List'!$F$4:$H$7,3,FALSE),0)</f>
        <v>5</v>
      </c>
      <c r="BZ92" s="2">
        <f>IFERROR(VLOOKUP(InputTable[[#This Row],[PMO]],'System List'!$F$4:$H$7,3,FALSE),0)</f>
        <v>0</v>
      </c>
      <c r="CA92" s="2">
        <f>IFERROR(VLOOKUP(InputTable[[#This Row],[SALES]],'System List'!$F$4:$H$7,3,FALSE),0)</f>
        <v>0</v>
      </c>
      <c r="CC92" s="2" cm="1">
        <f t="array" ref="CC9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2" s="2" cm="1">
        <f t="array" ref="CD9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2" s="2" cm="1">
        <f t="array" ref="CE9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2" s="2" cm="1">
        <f t="array" ref="CF9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2" s="2" cm="1">
        <f t="array" ref="CG9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2" s="2" cm="1">
        <f t="array" ref="CH9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2" s="2" cm="1">
        <f t="array" ref="CI9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2" s="2" cm="1">
        <f t="array" ref="CJ9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2" s="2" cm="1">
        <f t="array" ref="CK9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9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2" s="26">
        <f t="shared" si="224"/>
        <v>0</v>
      </c>
      <c r="CY92" s="26">
        <f t="shared" si="225"/>
        <v>0</v>
      </c>
      <c r="CZ92" s="26">
        <f t="shared" si="226"/>
        <v>0</v>
      </c>
      <c r="DA92" s="26">
        <f t="shared" si="227"/>
        <v>0</v>
      </c>
      <c r="DB92" s="26">
        <f t="shared" si="228"/>
        <v>0</v>
      </c>
      <c r="DC92" s="26">
        <f t="shared" si="229"/>
        <v>0</v>
      </c>
      <c r="DD92" s="26">
        <f t="shared" si="230"/>
        <v>0</v>
      </c>
      <c r="DE92" s="26">
        <f t="shared" si="231"/>
        <v>0</v>
      </c>
      <c r="DF92" s="26">
        <f t="shared" si="232"/>
        <v>0</v>
      </c>
      <c r="DH92" s="26">
        <f t="shared" si="233"/>
        <v>0</v>
      </c>
      <c r="DI92" s="26">
        <f t="shared" si="234"/>
        <v>0</v>
      </c>
      <c r="DJ92" s="26">
        <f t="shared" si="235"/>
        <v>0</v>
      </c>
      <c r="DK92" s="26">
        <f t="shared" si="236"/>
        <v>0</v>
      </c>
      <c r="DL92" s="26">
        <f t="shared" si="237"/>
        <v>0</v>
      </c>
      <c r="DM92" s="26">
        <f t="shared" si="238"/>
        <v>0</v>
      </c>
      <c r="DN92" s="26">
        <f t="shared" si="239"/>
        <v>0</v>
      </c>
      <c r="DO92" s="26">
        <f t="shared" si="240"/>
        <v>0</v>
      </c>
      <c r="DP92" s="26">
        <f t="shared" si="241"/>
        <v>0</v>
      </c>
      <c r="DR92" s="26">
        <f t="shared" si="242"/>
        <v>0</v>
      </c>
      <c r="DS92" s="26">
        <f t="shared" si="243"/>
        <v>0</v>
      </c>
      <c r="DT92" s="26">
        <f t="shared" si="244"/>
        <v>0</v>
      </c>
      <c r="DU92" s="26">
        <f t="shared" si="245"/>
        <v>0</v>
      </c>
      <c r="DV92" s="26">
        <f t="shared" si="246"/>
        <v>0</v>
      </c>
      <c r="DW92" s="26">
        <f t="shared" si="247"/>
        <v>0</v>
      </c>
      <c r="DX92" s="26">
        <f t="shared" si="248"/>
        <v>0</v>
      </c>
      <c r="DY92" s="26">
        <f t="shared" si="249"/>
        <v>0</v>
      </c>
      <c r="DZ92" s="26">
        <f t="shared" si="250"/>
        <v>0</v>
      </c>
      <c r="EB92" s="26">
        <f t="shared" si="251"/>
        <v>0</v>
      </c>
      <c r="EC92" s="26">
        <f t="shared" si="252"/>
        <v>0</v>
      </c>
      <c r="ED92" s="26">
        <f t="shared" si="253"/>
        <v>0</v>
      </c>
      <c r="EE92" s="26">
        <f t="shared" si="254"/>
        <v>0</v>
      </c>
      <c r="EF92" s="26">
        <f t="shared" si="255"/>
        <v>0</v>
      </c>
      <c r="EG92" s="26">
        <f t="shared" si="256"/>
        <v>0</v>
      </c>
      <c r="EH92" s="26">
        <f t="shared" si="257"/>
        <v>0</v>
      </c>
      <c r="EI92" s="26">
        <f t="shared" si="258"/>
        <v>0</v>
      </c>
      <c r="EJ92" s="26">
        <f t="shared" si="259"/>
        <v>0</v>
      </c>
      <c r="EL92" s="26">
        <f t="shared" si="260"/>
        <v>0</v>
      </c>
      <c r="EM92" s="26">
        <f t="shared" si="261"/>
        <v>0</v>
      </c>
      <c r="EN92" s="26">
        <f t="shared" si="262"/>
        <v>0</v>
      </c>
      <c r="EO92" s="26">
        <f t="shared" si="263"/>
        <v>0</v>
      </c>
      <c r="EP92" s="26">
        <f t="shared" si="264"/>
        <v>0</v>
      </c>
      <c r="EQ92" s="26">
        <f t="shared" si="265"/>
        <v>0</v>
      </c>
      <c r="ER92" s="26">
        <f t="shared" si="266"/>
        <v>0</v>
      </c>
      <c r="ES92" s="26">
        <f t="shared" si="267"/>
        <v>0</v>
      </c>
      <c r="ET92" s="26">
        <f t="shared" si="268"/>
        <v>0</v>
      </c>
      <c r="EV92" s="26">
        <f t="shared" si="269"/>
        <v>0</v>
      </c>
      <c r="EW92" s="26">
        <f t="shared" si="270"/>
        <v>0</v>
      </c>
      <c r="EX92" s="26">
        <f t="shared" si="271"/>
        <v>0</v>
      </c>
      <c r="EY92" s="26">
        <f t="shared" si="272"/>
        <v>5</v>
      </c>
      <c r="EZ92" s="26">
        <f t="shared" si="273"/>
        <v>5</v>
      </c>
      <c r="FA92" s="26">
        <f t="shared" si="274"/>
        <v>5</v>
      </c>
      <c r="FB92" s="26">
        <f t="shared" si="275"/>
        <v>0</v>
      </c>
      <c r="FC92" s="26">
        <f t="shared" si="276"/>
        <v>0</v>
      </c>
      <c r="FD92" s="26">
        <f t="shared" si="277"/>
        <v>0</v>
      </c>
      <c r="FF92" s="26">
        <f t="shared" si="278"/>
        <v>0</v>
      </c>
      <c r="FG92" s="26">
        <f t="shared" si="279"/>
        <v>0</v>
      </c>
      <c r="FH92" s="26">
        <f t="shared" si="280"/>
        <v>0</v>
      </c>
      <c r="FI92" s="26">
        <f t="shared" si="281"/>
        <v>0</v>
      </c>
      <c r="FJ92" s="26">
        <f t="shared" si="282"/>
        <v>0</v>
      </c>
      <c r="FK92" s="26">
        <f t="shared" si="283"/>
        <v>0</v>
      </c>
      <c r="FL92" s="26">
        <f t="shared" si="284"/>
        <v>0</v>
      </c>
      <c r="FM92" s="26">
        <f t="shared" si="285"/>
        <v>0</v>
      </c>
      <c r="FN92" s="26">
        <f t="shared" si="286"/>
        <v>0</v>
      </c>
      <c r="FP92" s="26" t="e">
        <f t="shared" si="287"/>
        <v>#REF!</v>
      </c>
      <c r="FQ92" s="26" t="e">
        <f t="shared" si="288"/>
        <v>#REF!</v>
      </c>
      <c r="FR92" s="26" t="e">
        <f t="shared" si="289"/>
        <v>#REF!</v>
      </c>
      <c r="FS92" s="26" t="e">
        <f t="shared" si="290"/>
        <v>#REF!</v>
      </c>
      <c r="FT92" s="26" t="e">
        <f t="shared" si="291"/>
        <v>#REF!</v>
      </c>
      <c r="FU92" s="26" t="e">
        <f t="shared" si="292"/>
        <v>#REF!</v>
      </c>
      <c r="FV92" s="26" t="e">
        <f t="shared" si="293"/>
        <v>#REF!</v>
      </c>
      <c r="FW92" s="26" t="e">
        <f t="shared" si="294"/>
        <v>#REF!</v>
      </c>
      <c r="FX92" s="26" t="e">
        <f t="shared" si="295"/>
        <v>#REF!</v>
      </c>
      <c r="GB92" s="26" t="e">
        <f>IF(GB$2=InputTable[[#This Row],[Delivery Date]],_xlfn.XLOOKUP(GB$1,$BH$2:$BR$2,$BH92:$BR92,0),0)</f>
        <v>#REF!</v>
      </c>
      <c r="GC92" s="26">
        <f>IF(GC$2=InputTable[[#This Row],[Delivery Date]],_xlfn.XLOOKUP(GC$1,$BH$2:$BR$2,$BH92:$BR92,0),0)</f>
        <v>0</v>
      </c>
      <c r="GD92" s="26">
        <f>IF(GD$2=InputTable[[#This Row],[Delivery Date]],_xlfn.XLOOKUP(GD$1,$BH$2:$BR$2,$BH92:$BR92,0),0)</f>
        <v>0</v>
      </c>
      <c r="GE92" s="26">
        <f>IF(GE$2=InputTable[[#This Row],[Delivery Date]],_xlfn.XLOOKUP(GE$1,$BH$2:$BR$2,$BH92:$BR92,0),0)</f>
        <v>0</v>
      </c>
      <c r="GF92" s="26">
        <f>IF(GF$2=InputTable[[#This Row],[Delivery Date]],_xlfn.XLOOKUP(GF$1,$BH$2:$BR$2,$BH92:$BR92,0),0)</f>
        <v>0</v>
      </c>
      <c r="GG92" s="26">
        <f>IF(GG$2=InputTable[[#This Row],[Delivery Date]],_xlfn.XLOOKUP(GG$1,$BH$2:$BR$2,$BH92:$BR92,0),0)</f>
        <v>0</v>
      </c>
      <c r="GH92" s="26">
        <f>IF(GH$2=InputTable[[#This Row],[Delivery Date]],_xlfn.XLOOKUP(GH$1,$BH$2:$BR$2,$BH92:$BR92,0),0)</f>
        <v>0</v>
      </c>
      <c r="GI92" s="26">
        <f>IF(GI$2=InputTable[[#This Row],[Delivery Date]],_xlfn.XLOOKUP(GI$1,$BH$2:$BR$2,$BH92:$BR92,0),0)</f>
        <v>0</v>
      </c>
      <c r="GJ92" s="26">
        <f>IF(GJ$2=InputTable[[#This Row],[Delivery Date]],_xlfn.XLOOKUP(GJ$1,$BH$2:$BR$2,$BH92:$BR92,0),0)</f>
        <v>0</v>
      </c>
      <c r="GL92" s="26" t="e">
        <f>IF(GL$2=InputTable[[#This Row],[Delivery Date]],_xlfn.XLOOKUP(GL$1,$BH$2:$BR$2,$BH92:$BR92,0),0)</f>
        <v>#REF!</v>
      </c>
      <c r="GM92" s="26">
        <f>IF(GM$2=InputTable[[#This Row],[Delivery Date]],_xlfn.XLOOKUP(GM$1,$BH$2:$BR$2,$BH92:$BR92,0),0)</f>
        <v>0</v>
      </c>
      <c r="GN92" s="26">
        <f>IF(GN$2=InputTable[[#This Row],[Delivery Date]],_xlfn.XLOOKUP(GN$1,$BH$2:$BR$2,$BH92:$BR92,0),0)</f>
        <v>0</v>
      </c>
      <c r="GO92" s="26">
        <f>IF(GO$2=InputTable[[#This Row],[Delivery Date]],_xlfn.XLOOKUP(GO$1,$BH$2:$BR$2,$BH92:$BR92,0),0)</f>
        <v>0</v>
      </c>
      <c r="GP92" s="26">
        <f>IF(GP$2=InputTable[[#This Row],[Delivery Date]],_xlfn.XLOOKUP(GP$1,$BH$2:$BR$2,$BH92:$BR92,0),0)</f>
        <v>0</v>
      </c>
      <c r="GQ92" s="26">
        <f>IF(GQ$2=InputTable[[#This Row],[Delivery Date]],_xlfn.XLOOKUP(GQ$1,$BH$2:$BR$2,$BH92:$BR92,0),0)</f>
        <v>0</v>
      </c>
      <c r="GR92" s="26">
        <f>IF(GR$2=InputTable[[#This Row],[Delivery Date]],_xlfn.XLOOKUP(GR$1,$BH$2:$BR$2,$BH92:$BR92,0),0)</f>
        <v>0</v>
      </c>
      <c r="GS92" s="26">
        <f>IF(GS$2=InputTable[[#This Row],[Delivery Date]],_xlfn.XLOOKUP(GS$1,$BH$2:$BR$2,$BH92:$BR92,0),0)</f>
        <v>0</v>
      </c>
      <c r="GT92" s="26">
        <f>IF(GT$2=InputTable[[#This Row],[Delivery Date]],_xlfn.XLOOKUP(GT$1,$BH$2:$BR$2,$BH92:$BR92,0),0)</f>
        <v>0</v>
      </c>
      <c r="GV92" s="26" t="e">
        <f>IF(GV$2=InputTable[[#This Row],[Delivery Date]],_xlfn.XLOOKUP(GV$1,$BH$2:$BR$2,$BH92:$BR92,0),0)</f>
        <v>#REF!</v>
      </c>
      <c r="GW92" s="26">
        <f>IF(GW$2=InputTable[[#This Row],[Delivery Date]],_xlfn.XLOOKUP(GW$1,$BH$2:$BR$2,$BH92:$BR92,0),0)</f>
        <v>0</v>
      </c>
      <c r="GX92" s="26">
        <f>IF(GX$2=InputTable[[#This Row],[Delivery Date]],_xlfn.XLOOKUP(GX$1,$BH$2:$BR$2,$BH92:$BR92,0),0)</f>
        <v>0</v>
      </c>
      <c r="GY92" s="26">
        <f>IF(GY$2=InputTable[[#This Row],[Delivery Date]],_xlfn.XLOOKUP(GY$1,$BH$2:$BR$2,$BH92:$BR92,0),0)</f>
        <v>0</v>
      </c>
      <c r="GZ92" s="26">
        <f>IF(GZ$2=InputTable[[#This Row],[Delivery Date]],_xlfn.XLOOKUP(GZ$1,$BH$2:$BR$2,$BH92:$BR92,0),0)</f>
        <v>0</v>
      </c>
      <c r="HA92" s="26">
        <f>IF(HA$2=InputTable[[#This Row],[Delivery Date]],_xlfn.XLOOKUP(HA$1,$BH$2:$BR$2,$BH92:$BR92,0),0)</f>
        <v>0</v>
      </c>
      <c r="HB92" s="26">
        <f>IF(HB$2=InputTable[[#This Row],[Delivery Date]],_xlfn.XLOOKUP(HB$1,$BH$2:$BR$2,$BH92:$BR92,0),0)</f>
        <v>0</v>
      </c>
      <c r="HC92" s="26">
        <f>IF(HC$2=InputTable[[#This Row],[Delivery Date]],_xlfn.XLOOKUP(HC$1,$BH$2:$BR$2,$BH92:$BR92,0),0)</f>
        <v>0</v>
      </c>
      <c r="HD92" s="26">
        <f>IF(HD$2=InputTable[[#This Row],[Delivery Date]],_xlfn.XLOOKUP(HD$1,$BH$2:$BR$2,$BH92:$BR92,0),0)</f>
        <v>0</v>
      </c>
      <c r="HF92" s="26" t="e">
        <f>IF(HF$2=InputTable[[#This Row],[Delivery Date]],_xlfn.XLOOKUP(HF$1,$BH$2:$BR$2,$BH92:$BR92,0),0)</f>
        <v>#REF!</v>
      </c>
      <c r="HG92" s="26">
        <f>IF(HG$2=InputTable[[#This Row],[Delivery Date]],_xlfn.XLOOKUP(HG$1,$BH$2:$BR$2,$BH92:$BR92,0),0)</f>
        <v>0</v>
      </c>
      <c r="HH92" s="26">
        <f>IF(HH$2=InputTable[[#This Row],[Delivery Date]],_xlfn.XLOOKUP(HH$1,$BH$2:$BR$2,$BH92:$BR92,0),0)</f>
        <v>0</v>
      </c>
      <c r="HI92" s="26">
        <f>IF(HI$2=InputTable[[#This Row],[Delivery Date]],_xlfn.XLOOKUP(HI$1,$BH$2:$BR$2,$BH92:$BR92,0),0)</f>
        <v>0</v>
      </c>
      <c r="HJ92" s="26">
        <f>IF(HJ$2=InputTable[[#This Row],[Delivery Date]],_xlfn.XLOOKUP(HJ$1,$BH$2:$BR$2,$BH92:$BR92,0),0)</f>
        <v>0</v>
      </c>
      <c r="HK92" s="26">
        <f>IF(HK$2=InputTable[[#This Row],[Delivery Date]],_xlfn.XLOOKUP(HK$1,$BH$2:$BR$2,$BH92:$BR92,0),0)</f>
        <v>0</v>
      </c>
      <c r="HL92" s="26">
        <f>IF(HL$2=InputTable[[#This Row],[Delivery Date]],_xlfn.XLOOKUP(HL$1,$BH$2:$BR$2,$BH92:$BR92,0),0)</f>
        <v>0</v>
      </c>
      <c r="HM92" s="26">
        <f>IF(HM$2=InputTable[[#This Row],[Delivery Date]],_xlfn.XLOOKUP(HM$1,$BH$2:$BR$2,$BH92:$BR92,0),0)</f>
        <v>0</v>
      </c>
      <c r="HN92" s="26">
        <f>IF(HN$2=InputTable[[#This Row],[Delivery Date]],_xlfn.XLOOKUP(HN$1,$BH$2:$BR$2,$BH92:$BR92,0),0)</f>
        <v>0</v>
      </c>
      <c r="HP92" s="26" t="e">
        <f>IF(HP$2=InputTable[[#This Row],[Delivery Date]],_xlfn.XLOOKUP(HP$1,$BH$2:$BR$2,$BH92:$BR92,0),0)</f>
        <v>#REF!</v>
      </c>
      <c r="HQ92" s="26">
        <f>IF(HQ$2=InputTable[[#This Row],[Delivery Date]],_xlfn.XLOOKUP(HQ$1,$BH$2:$BR$2,$BH92:$BR92,0),0)</f>
        <v>0</v>
      </c>
      <c r="HR92" s="26">
        <f>IF(HR$2=InputTable[[#This Row],[Delivery Date]],_xlfn.XLOOKUP(HR$1,$BH$2:$BR$2,$BH92:$BR92,0),0)</f>
        <v>0</v>
      </c>
      <c r="HS92" s="26">
        <f>IF(HS$2=InputTable[[#This Row],[Delivery Date]],_xlfn.XLOOKUP(HS$1,$BH$2:$BR$2,$BH92:$BR92,0),0)</f>
        <v>0</v>
      </c>
      <c r="HT92" s="26">
        <f>IF(HT$2=InputTable[[#This Row],[Delivery Date]],_xlfn.XLOOKUP(HT$1,$BH$2:$BR$2,$BH92:$BR92,0),0)</f>
        <v>0</v>
      </c>
      <c r="HU92" s="26">
        <f>IF(HU$2=InputTable[[#This Row],[Delivery Date]],_xlfn.XLOOKUP(HU$1,$BH$2:$BR$2,$BH92:$BR92,0),0)</f>
        <v>0</v>
      </c>
      <c r="HV92" s="26">
        <f>IF(HV$2=InputTable[[#This Row],[Delivery Date]],_xlfn.XLOOKUP(HV$1,$BH$2:$BR$2,$BH92:$BR92,0),0)</f>
        <v>0</v>
      </c>
      <c r="HW92" s="26">
        <f>IF(HW$2=InputTable[[#This Row],[Delivery Date]],_xlfn.XLOOKUP(HW$1,$BH$2:$BR$2,$BH92:$BR92,0),0)</f>
        <v>0</v>
      </c>
      <c r="HX92" s="26">
        <f>IF(HX$2=InputTable[[#This Row],[Delivery Date]],_xlfn.XLOOKUP(HX$1,$BH$2:$BR$2,$BH92:$BR92,0),0)</f>
        <v>0</v>
      </c>
      <c r="HZ92" s="26" t="e">
        <f>IF(HZ$2=InputTable[[#This Row],[Delivery Date]],_xlfn.XLOOKUP(HZ$1,$BH$2:$BR$2,$BH92:$BR92,0),0)</f>
        <v>#REF!</v>
      </c>
      <c r="IA92" s="26">
        <f>IF(IA$2=InputTable[[#This Row],[Delivery Date]],_xlfn.XLOOKUP(IA$1,$BH$2:$BR$2,$BH92:$BR92,0),0)</f>
        <v>0</v>
      </c>
      <c r="IB92" s="26">
        <f>IF(IB$2=InputTable[[#This Row],[Delivery Date]],_xlfn.XLOOKUP(IB$1,$BH$2:$BR$2,$BH92:$BR92,0),0)</f>
        <v>0</v>
      </c>
      <c r="IC92" s="26">
        <f>IF(IC$2=InputTable[[#This Row],[Delivery Date]],_xlfn.XLOOKUP(IC$1,$BH$2:$BR$2,$BH92:$BR92,0),0)</f>
        <v>0</v>
      </c>
      <c r="ID92" s="26">
        <f>IF(ID$2=InputTable[[#This Row],[Delivery Date]],_xlfn.XLOOKUP(ID$1,$BH$2:$BR$2,$BH92:$BR92,0),0)</f>
        <v>0</v>
      </c>
      <c r="IE92" s="26">
        <f>IF(IE$2=InputTable[[#This Row],[Delivery Date]],_xlfn.XLOOKUP(IE$1,$BH$2:$BR$2,$BH92:$BR92,0),0)</f>
        <v>0</v>
      </c>
      <c r="IF92" s="26">
        <f>IF(IF$2=InputTable[[#This Row],[Delivery Date]],_xlfn.XLOOKUP(IF$1,$BH$2:$BR$2,$BH92:$BR92,0),0)</f>
        <v>0</v>
      </c>
      <c r="IG92" s="26">
        <f>IF(IG$2=InputTable[[#This Row],[Delivery Date]],_xlfn.XLOOKUP(IG$1,$BH$2:$BR$2,$BH92:$BR92,0),0)</f>
        <v>0</v>
      </c>
      <c r="IH92" s="26">
        <f>IF(IH$2=InputTable[[#This Row],[Delivery Date]],_xlfn.XLOOKUP(IH$1,$BH$2:$BR$2,$BH92:$BR92,0),0)</f>
        <v>0</v>
      </c>
      <c r="IJ92" s="26" t="e">
        <f>IF(IJ$2=InputTable[[#This Row],[Delivery Date]],_xlfn.XLOOKUP(IJ$1,$BH$2:$BR$2,$BH92:$BR92,0),0)</f>
        <v>#REF!</v>
      </c>
      <c r="IK92" s="26">
        <f>IF(IK$2=InputTable[[#This Row],[Delivery Date]],_xlfn.XLOOKUP(IK$1,$BH$2:$BR$2,$BH92:$BR92,0),0)</f>
        <v>0</v>
      </c>
      <c r="IL92" s="26">
        <f>IF(IL$2=InputTable[[#This Row],[Delivery Date]],_xlfn.XLOOKUP(IL$1,$BH$2:$BR$2,$BH92:$BR92,0),0)</f>
        <v>0</v>
      </c>
      <c r="IM92" s="26">
        <f>IF(IM$2=InputTable[[#This Row],[Delivery Date]],_xlfn.XLOOKUP(IM$1,$BH$2:$BR$2,$BH92:$BR92,0),0)</f>
        <v>0</v>
      </c>
      <c r="IN92" s="26">
        <f>IF(IN$2=InputTable[[#This Row],[Delivery Date]],_xlfn.XLOOKUP(IN$1,$BH$2:$BR$2,$BH92:$BR92,0),0)</f>
        <v>0</v>
      </c>
      <c r="IO92" s="26">
        <f>IF(IO$2=InputTable[[#This Row],[Delivery Date]],_xlfn.XLOOKUP(IO$1,$BH$2:$BR$2,$BH92:$BR92,0),0)</f>
        <v>0</v>
      </c>
      <c r="IP92" s="26">
        <f>IF(IP$2=InputTable[[#This Row],[Delivery Date]],_xlfn.XLOOKUP(IP$1,$BH$2:$BR$2,$BH92:$BR92,0),0)</f>
        <v>0</v>
      </c>
      <c r="IQ92" s="26">
        <f>IF(IQ$2=InputTable[[#This Row],[Delivery Date]],_xlfn.XLOOKUP(IQ$1,$BH$2:$BR$2,$BH92:$BR92,0),0)</f>
        <v>0</v>
      </c>
      <c r="IR92" s="26">
        <f>IF(IR$2=InputTable[[#This Row],[Delivery Date]],_xlfn.XLOOKUP(IR$1,$BH$2:$BR$2,$BH92:$BR92,0),0)</f>
        <v>0</v>
      </c>
      <c r="IT92" s="26" t="e">
        <f>IF(IT$2=InputTable[[#This Row],[Delivery Date]],_xlfn.XLOOKUP(IT$1,$BH$2:$BR$2,$BH92:$BR92,0),0)</f>
        <v>#REF!</v>
      </c>
      <c r="IU92" s="26">
        <f>IF(IU$2=InputTable[[#This Row],[Delivery Date]],_xlfn.XLOOKUP(IU$1,$BH$2:$BR$2,$BH92:$BR92,0),0)</f>
        <v>0</v>
      </c>
      <c r="IV92" s="26">
        <f>IF(IV$2=InputTable[[#This Row],[Delivery Date]],_xlfn.XLOOKUP(IV$1,$BH$2:$BR$2,$BH92:$BR92,0),0)</f>
        <v>0</v>
      </c>
      <c r="IW92" s="26">
        <f>IF(IW$2=InputTable[[#This Row],[Delivery Date]],_xlfn.XLOOKUP(IW$1,$BH$2:$BR$2,$BH92:$BR92,0),0)</f>
        <v>0</v>
      </c>
      <c r="IX92" s="26">
        <f>IF(IX$2=InputTable[[#This Row],[Delivery Date]],_xlfn.XLOOKUP(IX$1,$BH$2:$BR$2,$BH92:$BR92,0),0)</f>
        <v>0</v>
      </c>
      <c r="IY92" s="26">
        <f>IF(IY$2=InputTable[[#This Row],[Delivery Date]],_xlfn.XLOOKUP(IY$1,$BH$2:$BR$2,$BH92:$BR92,0),0)</f>
        <v>0</v>
      </c>
      <c r="IZ92" s="26">
        <f>IF(IZ$2=InputTable[[#This Row],[Delivery Date]],_xlfn.XLOOKUP(IZ$1,$BH$2:$BR$2,$BH92:$BR92,0),0)</f>
        <v>0</v>
      </c>
      <c r="JA92" s="26">
        <f>IF(JA$2=InputTable[[#This Row],[Delivery Date]],_xlfn.XLOOKUP(JA$1,$BH$2:$BR$2,$BH92:$BR92,0),0)</f>
        <v>0</v>
      </c>
      <c r="JB92" s="26">
        <f>IF(JB$2=InputTable[[#This Row],[Delivery Date]],_xlfn.XLOOKUP(JB$1,$BH$2:$BR$2,$BH92:$BR92,0),0)</f>
        <v>0</v>
      </c>
      <c r="JD92" s="26" t="e">
        <f>IF(JD$2=InputTable[[#This Row],[Delivery Date]],_xlfn.XLOOKUP(JD$1,$BH$2:$BR$2,$BH92:$BR92,0),0)</f>
        <v>#REF!</v>
      </c>
      <c r="JE92" s="26">
        <f>IF(JE$2=InputTable[[#This Row],[Delivery Date]],_xlfn.XLOOKUP(JE$1,$BH$2:$BR$2,$BH92:$BR92,0),0)</f>
        <v>0</v>
      </c>
      <c r="JF92" s="26">
        <f>IF(JF$2=InputTable[[#This Row],[Delivery Date]],_xlfn.XLOOKUP(JF$1,$BH$2:$BR$2,$BH92:$BR92,0),0)</f>
        <v>0</v>
      </c>
      <c r="JG92" s="26">
        <f>IF(JG$2=InputTable[[#This Row],[Delivery Date]],_xlfn.XLOOKUP(JG$1,$BH$2:$BR$2,$BH92:$BR92,0),0)</f>
        <v>0</v>
      </c>
      <c r="JH92" s="26">
        <f>IF(JH$2=InputTable[[#This Row],[Delivery Date]],_xlfn.XLOOKUP(JH$1,$BH$2:$BR$2,$BH92:$BR92,0),0)</f>
        <v>0</v>
      </c>
      <c r="JI92" s="26">
        <f>IF(JI$2=InputTable[[#This Row],[Delivery Date]],_xlfn.XLOOKUP(JI$1,$BH$2:$BR$2,$BH92:$BR92,0),0)</f>
        <v>0</v>
      </c>
      <c r="JJ92" s="26">
        <f>IF(JJ$2=InputTable[[#This Row],[Delivery Date]],_xlfn.XLOOKUP(JJ$1,$BH$2:$BR$2,$BH92:$BR92,0),0)</f>
        <v>0</v>
      </c>
      <c r="JK92" s="26">
        <f>IF(JK$2=InputTable[[#This Row],[Delivery Date]],_xlfn.XLOOKUP(JK$1,$BH$2:$BR$2,$BH92:$BR92,0),0)</f>
        <v>0</v>
      </c>
      <c r="JL92" s="26">
        <f>IF(JL$2=InputTable[[#This Row],[Delivery Date]],_xlfn.XLOOKUP(JL$1,$BH$2:$BR$2,$BH92:$BR92,0),0)</f>
        <v>0</v>
      </c>
      <c r="JN92" s="26" t="e">
        <f>IF(JN$2=InputTable[[#This Row],[Delivery Date]],_xlfn.XLOOKUP(JN$1,$BH$2:$BR$2,$BH92:$BR92,0),0)</f>
        <v>#REF!</v>
      </c>
      <c r="JO92" s="26">
        <f>IF(JO$2=InputTable[[#This Row],[Delivery Date]],_xlfn.XLOOKUP(JO$1,$BH$2:$BR$2,$BH92:$BR92,0),0)</f>
        <v>0</v>
      </c>
      <c r="JP92" s="26">
        <f>IF(JP$2=InputTable[[#This Row],[Delivery Date]],_xlfn.XLOOKUP(JP$1,$BH$2:$BR$2,$BH92:$BR92,0),0)</f>
        <v>0</v>
      </c>
      <c r="JQ92" s="26">
        <f>IF(JQ$2=InputTable[[#This Row],[Delivery Date]],_xlfn.XLOOKUP(JQ$1,$BH$2:$BR$2,$BH92:$BR92,0),0)</f>
        <v>0</v>
      </c>
      <c r="JR92" s="26">
        <f>IF(JR$2=InputTable[[#This Row],[Delivery Date]],_xlfn.XLOOKUP(JR$1,$BH$2:$BR$2,$BH92:$BR92,0),0)</f>
        <v>0</v>
      </c>
      <c r="JS92" s="26">
        <f>IF(JS$2=InputTable[[#This Row],[Delivery Date]],_xlfn.XLOOKUP(JS$1,$BH$2:$BR$2,$BH92:$BR92,0),0)</f>
        <v>0</v>
      </c>
      <c r="JT92" s="26">
        <f>IF(JT$2=InputTable[[#This Row],[Delivery Date]],_xlfn.XLOOKUP(JT$1,$BH$2:$BR$2,$BH92:$BR92,0),0)</f>
        <v>0</v>
      </c>
      <c r="JU92" s="26">
        <f>IF(JU$2=InputTable[[#This Row],[Delivery Date]],_xlfn.XLOOKUP(JU$1,$BH$2:$BR$2,$BH92:$BR92,0),0)</f>
        <v>0</v>
      </c>
      <c r="JV92" s="26">
        <f>IF(JV$2=InputTable[[#This Row],[Delivery Date]],_xlfn.XLOOKUP(JV$1,$BH$2:$BR$2,$BH92:$BR92,0),0)</f>
        <v>0</v>
      </c>
      <c r="JX92" s="26" t="e">
        <f>IF(JX$2=InputTable[[#This Row],[Delivery Date]],_xlfn.XLOOKUP(JX$1,$BH$2:$BR$2,$BH92:$BR92,0),0)</f>
        <v>#REF!</v>
      </c>
      <c r="JY92" s="26">
        <f>IF(JY$2=InputTable[[#This Row],[Delivery Date]],_xlfn.XLOOKUP(JY$1,$BH$2:$BR$2,$BH92:$BR92,0),0)</f>
        <v>0</v>
      </c>
      <c r="JZ92" s="26">
        <f>IF(JZ$2=InputTable[[#This Row],[Delivery Date]],_xlfn.XLOOKUP(JZ$1,$BH$2:$BR$2,$BH92:$BR92,0),0)</f>
        <v>0</v>
      </c>
      <c r="KA92" s="26">
        <f>IF(KA$2=InputTable[[#This Row],[Delivery Date]],_xlfn.XLOOKUP(KA$1,$BH$2:$BR$2,$BH92:$BR92,0),0)</f>
        <v>0</v>
      </c>
      <c r="KB92" s="26">
        <f>IF(KB$2=InputTable[[#This Row],[Delivery Date]],_xlfn.XLOOKUP(KB$1,$BH$2:$BR$2,$BH92:$BR92,0),0)</f>
        <v>0</v>
      </c>
      <c r="KC92" s="26">
        <f>IF(KC$2=InputTable[[#This Row],[Delivery Date]],_xlfn.XLOOKUP(KC$1,$BH$2:$BR$2,$BH92:$BR92,0),0)</f>
        <v>0</v>
      </c>
      <c r="KD92" s="26">
        <f>IF(KD$2=InputTable[[#This Row],[Delivery Date]],_xlfn.XLOOKUP(KD$1,$BH$2:$BR$2,$BH92:$BR92,0),0)</f>
        <v>0</v>
      </c>
      <c r="KE92" s="26">
        <f>IF(KE$2=InputTable[[#This Row],[Delivery Date]],_xlfn.XLOOKUP(KE$1,$BH$2:$BR$2,$BH92:$BR92,0),0)</f>
        <v>0</v>
      </c>
      <c r="KF92" s="26">
        <f>IF(KF$2=InputTable[[#This Row],[Delivery Date]],_xlfn.XLOOKUP(KF$1,$BH$2:$BR$2,$BH92:$BR92,0),0)</f>
        <v>0</v>
      </c>
    </row>
    <row r="93" spans="1:292" ht="39.6" customHeight="1" x14ac:dyDescent="0.25">
      <c r="A93" s="141" t="s">
        <v>142</v>
      </c>
      <c r="B93" s="141" t="s">
        <v>92</v>
      </c>
      <c r="C93" s="92" t="s">
        <v>61</v>
      </c>
      <c r="D93" s="125" t="s">
        <v>389</v>
      </c>
      <c r="E93" s="193" t="s">
        <v>390</v>
      </c>
      <c r="F93" s="92" t="s">
        <v>61</v>
      </c>
      <c r="G93" s="92" t="s">
        <v>137</v>
      </c>
      <c r="H93" s="92" t="s">
        <v>100</v>
      </c>
      <c r="I93" s="92">
        <v>2026</v>
      </c>
      <c r="J93" s="125"/>
      <c r="K93" s="95" t="e">
        <f>VLOOKUP((InputTable[[#This Row],[Starting Date]]&amp; " - " &amp;InputTable[[#This Row],[Delivery Date]]),'System List'!$F$40:$H$83,2,FALSE)</f>
        <v>#N/A</v>
      </c>
      <c r="L93" s="95" t="e">
        <f>VLOOKUP(InputTable[[#This Row],[Duration]],Duration,2,FALSE)</f>
        <v>#N/A</v>
      </c>
      <c r="M93" s="125"/>
      <c r="N93" s="92"/>
      <c r="O93" s="92" t="s">
        <v>100</v>
      </c>
      <c r="P93" s="92"/>
      <c r="Q93" s="92"/>
      <c r="R93" s="92" t="s">
        <v>111</v>
      </c>
      <c r="S93" s="92"/>
      <c r="T93" s="95" cm="1">
        <f t="array" ref="T9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4.0999999999999996</v>
      </c>
      <c r="U93" s="138"/>
      <c r="V93" s="92"/>
      <c r="W93" s="92"/>
      <c r="X93" s="92" t="s">
        <v>111</v>
      </c>
      <c r="Y93" s="92" t="s">
        <v>139</v>
      </c>
      <c r="Z93" s="92"/>
      <c r="AA93" s="92" t="s">
        <v>139</v>
      </c>
      <c r="AB93" s="92"/>
      <c r="AC93" s="92" t="s">
        <v>139</v>
      </c>
      <c r="AD93" s="92">
        <f>COUNTA(InputTable[[#This Row],[CORPHRFIN]:[SALES]])</f>
        <v>4</v>
      </c>
      <c r="AE93" s="88" cm="1">
        <f t="array" ref="AE93">SUM(
_xlfn.XLOOKUP(InputTable[[#This Row],[CORPHRFIN]:[SALES]],'System List'!$F$4:$F$7,'System List'!$H$4:$H$7,0))</f>
        <v>29</v>
      </c>
      <c r="AF93" s="140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88" cm="1">
        <f t="array" ref="AR93">SUM(
_xlfn.XLOOKUP(InputTable[[#This Row],[Impact on - CIAL]:[Impact on - STRAT]],'System List'!$F$4:$F$7,'System List'!$H$4:$H$7,0))</f>
        <v>0</v>
      </c>
      <c r="AS93" s="88" t="e">
        <f>VLOOKUP(InputTable[[#This Row],[Duration]],Duration,2,FALSE)+InputTable[[#This Row],[Resource Score]]</f>
        <v>#N/A</v>
      </c>
      <c r="AT9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3" s="24" t="e">
        <f>InputTable[[#This Row],[Value Score]]/InputTable[[#This Row],[EFFORT SCORE]]*100</f>
        <v>#N/A</v>
      </c>
      <c r="AV93" s="25" t="str">
        <f>InputTable[[#This Row],[IS Portfolio Ref ID]]</f>
        <v>ISPRJ-17</v>
      </c>
      <c r="AW93" s="25" t="s">
        <v>194</v>
      </c>
      <c r="AX93" s="208" t="s">
        <v>180</v>
      </c>
      <c r="AY93" s="25"/>
      <c r="AZ93" s="209">
        <v>0</v>
      </c>
      <c r="BA93" s="209">
        <v>0</v>
      </c>
      <c r="BB93" s="209"/>
      <c r="BC93" s="189">
        <v>-1</v>
      </c>
      <c r="BD93" s="188"/>
      <c r="BE93" s="188">
        <v>1</v>
      </c>
      <c r="BF93" s="70"/>
      <c r="BH93" s="2">
        <f>IFERROR(VLOOKUP(InputTable[[#This Row],[Impact on - CIAL]],'System List'!$F$4:$H$7,3,FALSE),0)</f>
        <v>0</v>
      </c>
      <c r="BI93" s="2">
        <f>IFERROR(VLOOKUP(InputTable[[#This Row],[Impact on - COM]],'System List'!$F$4:$H$7,3,FALSE),0)</f>
        <v>0</v>
      </c>
      <c r="BJ93" s="2">
        <f>IFERROR(VLOOKUP(InputTable[[#This Row],[Impact on - FIN]],'System List'!$F$4:$H$7,3,FALSE),0)</f>
        <v>0</v>
      </c>
      <c r="BK93" s="2">
        <f>IFERROR(VLOOKUP(InputTable[[#This Row],[Impact on - GEN SEC]],'System List'!$F$4:$H$7,3,FALSE),0)</f>
        <v>0</v>
      </c>
      <c r="BL93" s="2">
        <f>IFERROR(VLOOKUP(InputTable[[#This Row],[Impact on - HR]],'System List'!$F$4:$H$7,3,FALSE),0)</f>
        <v>0</v>
      </c>
      <c r="BM93" s="2">
        <f>IFERROR(VLOOKUP(InputTable[[#This Row],[Impact on - IS]],'System List'!$F$4:$H$7,3,FALSE),0)</f>
        <v>0</v>
      </c>
      <c r="BN93" s="2">
        <f>IFERROR(VLOOKUP(InputTable[[#This Row],[Impact on - OPS]],'System List'!$F$4:$H$7,3,FALSE),0)</f>
        <v>0</v>
      </c>
      <c r="BO93" s="2">
        <f>IFERROR(VLOOKUP(InputTable[[#This Row],[Impact on - ROLL STOCK]],'System List'!$F$4:$H$7,3,FALSE),0)</f>
        <v>0</v>
      </c>
      <c r="BP93" s="2">
        <f>IFERROR(VLOOKUP(InputTable[[#This Row],[Impact on - SAFETY]],'System List'!$F$4:$H$7,3,FALSE),0)</f>
        <v>0</v>
      </c>
      <c r="BQ93" s="2">
        <f>IFERROR(VLOOKUP(InputTable[[#This Row],[Impact on - STATION]],'System List'!$F$4:$H$7,3,FALSE),0)</f>
        <v>0</v>
      </c>
      <c r="BR93" s="2">
        <f>IFERROR(VLOOKUP(InputTable[[#This Row],[Impact on - STRAT]],'System List'!$F$4:$H$7,3,FALSE),0)</f>
        <v>0</v>
      </c>
      <c r="BT93" s="2">
        <f>IFERROR(VLOOKUP(InputTable[[#This Row],[CORPHRFIN]],'System List'!$F$4:$H$7,3,FALSE),0)</f>
        <v>0</v>
      </c>
      <c r="BU93" s="2">
        <f>IFERROR(VLOOKUP(InputTable[[#This Row],[CUST]],'System List'!$F$4:$H$7,3,FALSE),0)</f>
        <v>0</v>
      </c>
      <c r="BV93" s="2">
        <f>IFERROR(VLOOKUP(InputTable[[#This Row],[CYBER]],'System List'!$F$4:$H$7,3,FALSE),0)</f>
        <v>5</v>
      </c>
      <c r="BW93" s="2">
        <f>IFERROR(VLOOKUP(InputTable[[#This Row],[DATA]],'System List'!$F$4:$H$7,3,FALSE),0)</f>
        <v>8</v>
      </c>
      <c r="BX93" s="2">
        <f>IFERROR(VLOOKUP(InputTable[[#This Row],[INFRA]],'System List'!$F$4:$H$7,3,FALSE),0)</f>
        <v>0</v>
      </c>
      <c r="BY93" s="2">
        <f>IFERROR(VLOOKUP(InputTable[[#This Row],[OPERATIONS]],'System List'!$F$4:$H$7,3,FALSE),0)</f>
        <v>8</v>
      </c>
      <c r="BZ93" s="2">
        <f>IFERROR(VLOOKUP(InputTable[[#This Row],[PMO]],'System List'!$F$4:$H$7,3,FALSE),0)</f>
        <v>0</v>
      </c>
      <c r="CA93" s="2">
        <f>IFERROR(VLOOKUP(InputTable[[#This Row],[SALES]],'System List'!$F$4:$H$7,3,FALSE),0)</f>
        <v>8</v>
      </c>
      <c r="CC93" s="2" cm="1">
        <f t="array" ref="CC9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3" s="2" cm="1">
        <f t="array" ref="CD9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3" s="2" cm="1">
        <f t="array" ref="CE9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3" s="2" cm="1">
        <f t="array" ref="CF9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3" s="2" cm="1">
        <f t="array" ref="CG9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3" s="2" cm="1">
        <f t="array" ref="CH9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3" s="2" cm="1">
        <f t="array" ref="CI9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3" s="2" cm="1">
        <f t="array" ref="CJ9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3" s="2" cm="1">
        <f t="array" ref="CK9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9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9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3" s="26">
        <f t="shared" si="224"/>
        <v>0</v>
      </c>
      <c r="CY93" s="26">
        <f t="shared" si="225"/>
        <v>0</v>
      </c>
      <c r="CZ93" s="26">
        <f t="shared" si="226"/>
        <v>0</v>
      </c>
      <c r="DA93" s="26">
        <f t="shared" si="227"/>
        <v>0</v>
      </c>
      <c r="DB93" s="26">
        <f t="shared" si="228"/>
        <v>0</v>
      </c>
      <c r="DC93" s="26">
        <f t="shared" si="229"/>
        <v>0</v>
      </c>
      <c r="DD93" s="26">
        <f t="shared" si="230"/>
        <v>0</v>
      </c>
      <c r="DE93" s="26">
        <f t="shared" si="231"/>
        <v>0</v>
      </c>
      <c r="DF93" s="26">
        <f t="shared" si="232"/>
        <v>0</v>
      </c>
      <c r="DH93" s="26">
        <f t="shared" si="233"/>
        <v>0</v>
      </c>
      <c r="DI93" s="26">
        <f t="shared" si="234"/>
        <v>0</v>
      </c>
      <c r="DJ93" s="26">
        <f t="shared" si="235"/>
        <v>0</v>
      </c>
      <c r="DK93" s="26">
        <f t="shared" si="236"/>
        <v>0</v>
      </c>
      <c r="DL93" s="26">
        <f t="shared" si="237"/>
        <v>0</v>
      </c>
      <c r="DM93" s="26">
        <f t="shared" si="238"/>
        <v>0</v>
      </c>
      <c r="DN93" s="26">
        <f t="shared" si="239"/>
        <v>0</v>
      </c>
      <c r="DO93" s="26">
        <f t="shared" si="240"/>
        <v>0</v>
      </c>
      <c r="DP93" s="26">
        <f t="shared" si="241"/>
        <v>0</v>
      </c>
      <c r="DR93" s="26">
        <f t="shared" si="242"/>
        <v>0</v>
      </c>
      <c r="DS93" s="26">
        <f t="shared" si="243"/>
        <v>0</v>
      </c>
      <c r="DT93" s="26">
        <f t="shared" si="244"/>
        <v>0</v>
      </c>
      <c r="DU93" s="26">
        <f t="shared" si="245"/>
        <v>0</v>
      </c>
      <c r="DV93" s="26">
        <f t="shared" si="246"/>
        <v>5</v>
      </c>
      <c r="DW93" s="26">
        <f t="shared" si="247"/>
        <v>5</v>
      </c>
      <c r="DX93" s="26">
        <f t="shared" si="248"/>
        <v>0</v>
      </c>
      <c r="DY93" s="26">
        <f t="shared" si="249"/>
        <v>0</v>
      </c>
      <c r="DZ93" s="26">
        <f t="shared" si="250"/>
        <v>0</v>
      </c>
      <c r="EB93" s="26">
        <f t="shared" si="251"/>
        <v>0</v>
      </c>
      <c r="EC93" s="26">
        <f t="shared" si="252"/>
        <v>0</v>
      </c>
      <c r="ED93" s="26">
        <f t="shared" si="253"/>
        <v>0</v>
      </c>
      <c r="EE93" s="26">
        <f t="shared" si="254"/>
        <v>0</v>
      </c>
      <c r="EF93" s="26">
        <f t="shared" si="255"/>
        <v>8</v>
      </c>
      <c r="EG93" s="26">
        <f t="shared" si="256"/>
        <v>8</v>
      </c>
      <c r="EH93" s="26">
        <f t="shared" si="257"/>
        <v>0</v>
      </c>
      <c r="EI93" s="26">
        <f t="shared" si="258"/>
        <v>0</v>
      </c>
      <c r="EJ93" s="26">
        <f t="shared" si="259"/>
        <v>0</v>
      </c>
      <c r="EL93" s="26">
        <f t="shared" si="260"/>
        <v>0</v>
      </c>
      <c r="EM93" s="26">
        <f t="shared" si="261"/>
        <v>0</v>
      </c>
      <c r="EN93" s="26">
        <f t="shared" si="262"/>
        <v>0</v>
      </c>
      <c r="EO93" s="26">
        <f t="shared" si="263"/>
        <v>0</v>
      </c>
      <c r="EP93" s="26">
        <f t="shared" si="264"/>
        <v>0</v>
      </c>
      <c r="EQ93" s="26">
        <f t="shared" si="265"/>
        <v>0</v>
      </c>
      <c r="ER93" s="26">
        <f t="shared" si="266"/>
        <v>0</v>
      </c>
      <c r="ES93" s="26">
        <f t="shared" si="267"/>
        <v>0</v>
      </c>
      <c r="ET93" s="26">
        <f t="shared" si="268"/>
        <v>0</v>
      </c>
      <c r="EV93" s="26">
        <f t="shared" si="269"/>
        <v>0</v>
      </c>
      <c r="EW93" s="26">
        <f t="shared" si="270"/>
        <v>0</v>
      </c>
      <c r="EX93" s="26">
        <f t="shared" si="271"/>
        <v>0</v>
      </c>
      <c r="EY93" s="26">
        <f t="shared" si="272"/>
        <v>0</v>
      </c>
      <c r="EZ93" s="26">
        <f t="shared" si="273"/>
        <v>8</v>
      </c>
      <c r="FA93" s="26">
        <f t="shared" si="274"/>
        <v>8</v>
      </c>
      <c r="FB93" s="26">
        <f t="shared" si="275"/>
        <v>0</v>
      </c>
      <c r="FC93" s="26">
        <f t="shared" si="276"/>
        <v>0</v>
      </c>
      <c r="FD93" s="26">
        <f t="shared" si="277"/>
        <v>0</v>
      </c>
      <c r="FF93" s="26">
        <f t="shared" si="278"/>
        <v>0</v>
      </c>
      <c r="FG93" s="26">
        <f t="shared" si="279"/>
        <v>0</v>
      </c>
      <c r="FH93" s="26">
        <f t="shared" si="280"/>
        <v>0</v>
      </c>
      <c r="FI93" s="26">
        <f t="shared" si="281"/>
        <v>0</v>
      </c>
      <c r="FJ93" s="26">
        <f t="shared" si="282"/>
        <v>0</v>
      </c>
      <c r="FK93" s="26">
        <f t="shared" si="283"/>
        <v>0</v>
      </c>
      <c r="FL93" s="26">
        <f t="shared" si="284"/>
        <v>0</v>
      </c>
      <c r="FM93" s="26">
        <f t="shared" si="285"/>
        <v>0</v>
      </c>
      <c r="FN93" s="26">
        <f t="shared" si="286"/>
        <v>0</v>
      </c>
      <c r="FP93" s="26" t="e">
        <f t="shared" si="287"/>
        <v>#REF!</v>
      </c>
      <c r="FQ93" s="26" t="e">
        <f t="shared" si="288"/>
        <v>#REF!</v>
      </c>
      <c r="FR93" s="26" t="e">
        <f t="shared" si="289"/>
        <v>#REF!</v>
      </c>
      <c r="FS93" s="26" t="e">
        <f t="shared" si="290"/>
        <v>#REF!</v>
      </c>
      <c r="FT93" s="26" t="e">
        <f t="shared" si="291"/>
        <v>#REF!</v>
      </c>
      <c r="FU93" s="26" t="e">
        <f t="shared" si="292"/>
        <v>#REF!</v>
      </c>
      <c r="FV93" s="26" t="e">
        <f t="shared" si="293"/>
        <v>#REF!</v>
      </c>
      <c r="FW93" s="26" t="e">
        <f t="shared" si="294"/>
        <v>#REF!</v>
      </c>
      <c r="FX93" s="26" t="e">
        <f t="shared" si="295"/>
        <v>#REF!</v>
      </c>
      <c r="GB93" s="26" t="e">
        <f>IF(GB$2=InputTable[[#This Row],[Delivery Date]],_xlfn.XLOOKUP(GB$1,$BH$2:$BR$2,$BH93:$BR93,0),0)</f>
        <v>#REF!</v>
      </c>
      <c r="GC93" s="26">
        <f>IF(GC$2=InputTable[[#This Row],[Delivery Date]],_xlfn.XLOOKUP(GC$1,$BH$2:$BR$2,$BH93:$BR93,0),0)</f>
        <v>0</v>
      </c>
      <c r="GD93" s="26">
        <f>IF(GD$2=InputTable[[#This Row],[Delivery Date]],_xlfn.XLOOKUP(GD$1,$BH$2:$BR$2,$BH93:$BR93,0),0)</f>
        <v>0</v>
      </c>
      <c r="GE93" s="26">
        <f>IF(GE$2=InputTable[[#This Row],[Delivery Date]],_xlfn.XLOOKUP(GE$1,$BH$2:$BR$2,$BH93:$BR93,0),0)</f>
        <v>0</v>
      </c>
      <c r="GF93" s="26">
        <f>IF(GF$2=InputTable[[#This Row],[Delivery Date]],_xlfn.XLOOKUP(GF$1,$BH$2:$BR$2,$BH93:$BR93,0),0)</f>
        <v>0</v>
      </c>
      <c r="GG93" s="26">
        <f>IF(GG$2=InputTable[[#This Row],[Delivery Date]],_xlfn.XLOOKUP(GG$1,$BH$2:$BR$2,$BH93:$BR93,0),0)</f>
        <v>0</v>
      </c>
      <c r="GH93" s="26">
        <f>IF(GH$2=InputTable[[#This Row],[Delivery Date]],_xlfn.XLOOKUP(GH$1,$BH$2:$BR$2,$BH93:$BR93,0),0)</f>
        <v>0</v>
      </c>
      <c r="GI93" s="26">
        <f>IF(GI$2=InputTable[[#This Row],[Delivery Date]],_xlfn.XLOOKUP(GI$1,$BH$2:$BR$2,$BH93:$BR93,0),0)</f>
        <v>0</v>
      </c>
      <c r="GJ93" s="26">
        <f>IF(GJ$2=InputTable[[#This Row],[Delivery Date]],_xlfn.XLOOKUP(GJ$1,$BH$2:$BR$2,$BH93:$BR93,0),0)</f>
        <v>0</v>
      </c>
      <c r="GL93" s="26" t="e">
        <f>IF(GL$2=InputTable[[#This Row],[Delivery Date]],_xlfn.XLOOKUP(GL$1,$BH$2:$BR$2,$BH93:$BR93,0),0)</f>
        <v>#REF!</v>
      </c>
      <c r="GM93" s="26">
        <f>IF(GM$2=InputTable[[#This Row],[Delivery Date]],_xlfn.XLOOKUP(GM$1,$BH$2:$BR$2,$BH93:$BR93,0),0)</f>
        <v>0</v>
      </c>
      <c r="GN93" s="26">
        <f>IF(GN$2=InputTable[[#This Row],[Delivery Date]],_xlfn.XLOOKUP(GN$1,$BH$2:$BR$2,$BH93:$BR93,0),0)</f>
        <v>0</v>
      </c>
      <c r="GO93" s="26">
        <f>IF(GO$2=InputTable[[#This Row],[Delivery Date]],_xlfn.XLOOKUP(GO$1,$BH$2:$BR$2,$BH93:$BR93,0),0)</f>
        <v>0</v>
      </c>
      <c r="GP93" s="26">
        <f>IF(GP$2=InputTable[[#This Row],[Delivery Date]],_xlfn.XLOOKUP(GP$1,$BH$2:$BR$2,$BH93:$BR93,0),0)</f>
        <v>0</v>
      </c>
      <c r="GQ93" s="26">
        <f>IF(GQ$2=InputTable[[#This Row],[Delivery Date]],_xlfn.XLOOKUP(GQ$1,$BH$2:$BR$2,$BH93:$BR93,0),0)</f>
        <v>0</v>
      </c>
      <c r="GR93" s="26">
        <f>IF(GR$2=InputTable[[#This Row],[Delivery Date]],_xlfn.XLOOKUP(GR$1,$BH$2:$BR$2,$BH93:$BR93,0),0)</f>
        <v>0</v>
      </c>
      <c r="GS93" s="26">
        <f>IF(GS$2=InputTable[[#This Row],[Delivery Date]],_xlfn.XLOOKUP(GS$1,$BH$2:$BR$2,$BH93:$BR93,0),0)</f>
        <v>0</v>
      </c>
      <c r="GT93" s="26">
        <f>IF(GT$2=InputTable[[#This Row],[Delivery Date]],_xlfn.XLOOKUP(GT$1,$BH$2:$BR$2,$BH93:$BR93,0),0)</f>
        <v>0</v>
      </c>
      <c r="GV93" s="26" t="e">
        <f>IF(GV$2=InputTable[[#This Row],[Delivery Date]],_xlfn.XLOOKUP(GV$1,$BH$2:$BR$2,$BH93:$BR93,0),0)</f>
        <v>#REF!</v>
      </c>
      <c r="GW93" s="26">
        <f>IF(GW$2=InputTable[[#This Row],[Delivery Date]],_xlfn.XLOOKUP(GW$1,$BH$2:$BR$2,$BH93:$BR93,0),0)</f>
        <v>0</v>
      </c>
      <c r="GX93" s="26">
        <f>IF(GX$2=InputTable[[#This Row],[Delivery Date]],_xlfn.XLOOKUP(GX$1,$BH$2:$BR$2,$BH93:$BR93,0),0)</f>
        <v>0</v>
      </c>
      <c r="GY93" s="26">
        <f>IF(GY$2=InputTable[[#This Row],[Delivery Date]],_xlfn.XLOOKUP(GY$1,$BH$2:$BR$2,$BH93:$BR93,0),0)</f>
        <v>0</v>
      </c>
      <c r="GZ93" s="26">
        <f>IF(GZ$2=InputTable[[#This Row],[Delivery Date]],_xlfn.XLOOKUP(GZ$1,$BH$2:$BR$2,$BH93:$BR93,0),0)</f>
        <v>0</v>
      </c>
      <c r="HA93" s="26">
        <f>IF(HA$2=InputTable[[#This Row],[Delivery Date]],_xlfn.XLOOKUP(HA$1,$BH$2:$BR$2,$BH93:$BR93,0),0)</f>
        <v>0</v>
      </c>
      <c r="HB93" s="26">
        <f>IF(HB$2=InputTable[[#This Row],[Delivery Date]],_xlfn.XLOOKUP(HB$1,$BH$2:$BR$2,$BH93:$BR93,0),0)</f>
        <v>0</v>
      </c>
      <c r="HC93" s="26">
        <f>IF(HC$2=InputTable[[#This Row],[Delivery Date]],_xlfn.XLOOKUP(HC$1,$BH$2:$BR$2,$BH93:$BR93,0),0)</f>
        <v>0</v>
      </c>
      <c r="HD93" s="26">
        <f>IF(HD$2=InputTable[[#This Row],[Delivery Date]],_xlfn.XLOOKUP(HD$1,$BH$2:$BR$2,$BH93:$BR93,0),0)</f>
        <v>0</v>
      </c>
      <c r="HF93" s="26" t="e">
        <f>IF(HF$2=InputTable[[#This Row],[Delivery Date]],_xlfn.XLOOKUP(HF$1,$BH$2:$BR$2,$BH93:$BR93,0),0)</f>
        <v>#REF!</v>
      </c>
      <c r="HG93" s="26">
        <f>IF(HG$2=InputTable[[#This Row],[Delivery Date]],_xlfn.XLOOKUP(HG$1,$BH$2:$BR$2,$BH93:$BR93,0),0)</f>
        <v>0</v>
      </c>
      <c r="HH93" s="26">
        <f>IF(HH$2=InputTable[[#This Row],[Delivery Date]],_xlfn.XLOOKUP(HH$1,$BH$2:$BR$2,$BH93:$BR93,0),0)</f>
        <v>0</v>
      </c>
      <c r="HI93" s="26">
        <f>IF(HI$2=InputTable[[#This Row],[Delivery Date]],_xlfn.XLOOKUP(HI$1,$BH$2:$BR$2,$BH93:$BR93,0),0)</f>
        <v>0</v>
      </c>
      <c r="HJ93" s="26">
        <f>IF(HJ$2=InputTable[[#This Row],[Delivery Date]],_xlfn.XLOOKUP(HJ$1,$BH$2:$BR$2,$BH93:$BR93,0),0)</f>
        <v>0</v>
      </c>
      <c r="HK93" s="26">
        <f>IF(HK$2=InputTable[[#This Row],[Delivery Date]],_xlfn.XLOOKUP(HK$1,$BH$2:$BR$2,$BH93:$BR93,0),0)</f>
        <v>0</v>
      </c>
      <c r="HL93" s="26">
        <f>IF(HL$2=InputTable[[#This Row],[Delivery Date]],_xlfn.XLOOKUP(HL$1,$BH$2:$BR$2,$BH93:$BR93,0),0)</f>
        <v>0</v>
      </c>
      <c r="HM93" s="26">
        <f>IF(HM$2=InputTable[[#This Row],[Delivery Date]],_xlfn.XLOOKUP(HM$1,$BH$2:$BR$2,$BH93:$BR93,0),0)</f>
        <v>0</v>
      </c>
      <c r="HN93" s="26">
        <f>IF(HN$2=InputTable[[#This Row],[Delivery Date]],_xlfn.XLOOKUP(HN$1,$BH$2:$BR$2,$BH93:$BR93,0),0)</f>
        <v>0</v>
      </c>
      <c r="HP93" s="26" t="e">
        <f>IF(HP$2=InputTable[[#This Row],[Delivery Date]],_xlfn.XLOOKUP(HP$1,$BH$2:$BR$2,$BH93:$BR93,0),0)</f>
        <v>#REF!</v>
      </c>
      <c r="HQ93" s="26">
        <f>IF(HQ$2=InputTable[[#This Row],[Delivery Date]],_xlfn.XLOOKUP(HQ$1,$BH$2:$BR$2,$BH93:$BR93,0),0)</f>
        <v>0</v>
      </c>
      <c r="HR93" s="26">
        <f>IF(HR$2=InputTable[[#This Row],[Delivery Date]],_xlfn.XLOOKUP(HR$1,$BH$2:$BR$2,$BH93:$BR93,0),0)</f>
        <v>0</v>
      </c>
      <c r="HS93" s="26">
        <f>IF(HS$2=InputTable[[#This Row],[Delivery Date]],_xlfn.XLOOKUP(HS$1,$BH$2:$BR$2,$BH93:$BR93,0),0)</f>
        <v>0</v>
      </c>
      <c r="HT93" s="26">
        <f>IF(HT$2=InputTable[[#This Row],[Delivery Date]],_xlfn.XLOOKUP(HT$1,$BH$2:$BR$2,$BH93:$BR93,0),0)</f>
        <v>0</v>
      </c>
      <c r="HU93" s="26">
        <f>IF(HU$2=InputTable[[#This Row],[Delivery Date]],_xlfn.XLOOKUP(HU$1,$BH$2:$BR$2,$BH93:$BR93,0),0)</f>
        <v>0</v>
      </c>
      <c r="HV93" s="26">
        <f>IF(HV$2=InputTable[[#This Row],[Delivery Date]],_xlfn.XLOOKUP(HV$1,$BH$2:$BR$2,$BH93:$BR93,0),0)</f>
        <v>0</v>
      </c>
      <c r="HW93" s="26">
        <f>IF(HW$2=InputTable[[#This Row],[Delivery Date]],_xlfn.XLOOKUP(HW$1,$BH$2:$BR$2,$BH93:$BR93,0),0)</f>
        <v>0</v>
      </c>
      <c r="HX93" s="26">
        <f>IF(HX$2=InputTable[[#This Row],[Delivery Date]],_xlfn.XLOOKUP(HX$1,$BH$2:$BR$2,$BH93:$BR93,0),0)</f>
        <v>0</v>
      </c>
      <c r="HZ93" s="26" t="e">
        <f>IF(HZ$2=InputTable[[#This Row],[Delivery Date]],_xlfn.XLOOKUP(HZ$1,$BH$2:$BR$2,$BH93:$BR93,0),0)</f>
        <v>#REF!</v>
      </c>
      <c r="IA93" s="26">
        <f>IF(IA$2=InputTable[[#This Row],[Delivery Date]],_xlfn.XLOOKUP(IA$1,$BH$2:$BR$2,$BH93:$BR93,0),0)</f>
        <v>0</v>
      </c>
      <c r="IB93" s="26">
        <f>IF(IB$2=InputTable[[#This Row],[Delivery Date]],_xlfn.XLOOKUP(IB$1,$BH$2:$BR$2,$BH93:$BR93,0),0)</f>
        <v>0</v>
      </c>
      <c r="IC93" s="26">
        <f>IF(IC$2=InputTable[[#This Row],[Delivery Date]],_xlfn.XLOOKUP(IC$1,$BH$2:$BR$2,$BH93:$BR93,0),0)</f>
        <v>0</v>
      </c>
      <c r="ID93" s="26">
        <f>IF(ID$2=InputTable[[#This Row],[Delivery Date]],_xlfn.XLOOKUP(ID$1,$BH$2:$BR$2,$BH93:$BR93,0),0)</f>
        <v>0</v>
      </c>
      <c r="IE93" s="26">
        <f>IF(IE$2=InputTable[[#This Row],[Delivery Date]],_xlfn.XLOOKUP(IE$1,$BH$2:$BR$2,$BH93:$BR93,0),0)</f>
        <v>0</v>
      </c>
      <c r="IF93" s="26">
        <f>IF(IF$2=InputTable[[#This Row],[Delivery Date]],_xlfn.XLOOKUP(IF$1,$BH$2:$BR$2,$BH93:$BR93,0),0)</f>
        <v>0</v>
      </c>
      <c r="IG93" s="26">
        <f>IF(IG$2=InputTable[[#This Row],[Delivery Date]],_xlfn.XLOOKUP(IG$1,$BH$2:$BR$2,$BH93:$BR93,0),0)</f>
        <v>0</v>
      </c>
      <c r="IH93" s="26">
        <f>IF(IH$2=InputTable[[#This Row],[Delivery Date]],_xlfn.XLOOKUP(IH$1,$BH$2:$BR$2,$BH93:$BR93,0),0)</f>
        <v>0</v>
      </c>
      <c r="IJ93" s="26" t="e">
        <f>IF(IJ$2=InputTable[[#This Row],[Delivery Date]],_xlfn.XLOOKUP(IJ$1,$BH$2:$BR$2,$BH93:$BR93,0),0)</f>
        <v>#REF!</v>
      </c>
      <c r="IK93" s="26">
        <f>IF(IK$2=InputTable[[#This Row],[Delivery Date]],_xlfn.XLOOKUP(IK$1,$BH$2:$BR$2,$BH93:$BR93,0),0)</f>
        <v>0</v>
      </c>
      <c r="IL93" s="26">
        <f>IF(IL$2=InputTable[[#This Row],[Delivery Date]],_xlfn.XLOOKUP(IL$1,$BH$2:$BR$2,$BH93:$BR93,0),0)</f>
        <v>0</v>
      </c>
      <c r="IM93" s="26">
        <f>IF(IM$2=InputTable[[#This Row],[Delivery Date]],_xlfn.XLOOKUP(IM$1,$BH$2:$BR$2,$BH93:$BR93,0),0)</f>
        <v>0</v>
      </c>
      <c r="IN93" s="26">
        <f>IF(IN$2=InputTable[[#This Row],[Delivery Date]],_xlfn.XLOOKUP(IN$1,$BH$2:$BR$2,$BH93:$BR93,0),0)</f>
        <v>0</v>
      </c>
      <c r="IO93" s="26">
        <f>IF(IO$2=InputTable[[#This Row],[Delivery Date]],_xlfn.XLOOKUP(IO$1,$BH$2:$BR$2,$BH93:$BR93,0),0)</f>
        <v>0</v>
      </c>
      <c r="IP93" s="26">
        <f>IF(IP$2=InputTable[[#This Row],[Delivery Date]],_xlfn.XLOOKUP(IP$1,$BH$2:$BR$2,$BH93:$BR93,0),0)</f>
        <v>0</v>
      </c>
      <c r="IQ93" s="26">
        <f>IF(IQ$2=InputTable[[#This Row],[Delivery Date]],_xlfn.XLOOKUP(IQ$1,$BH$2:$BR$2,$BH93:$BR93,0),0)</f>
        <v>0</v>
      </c>
      <c r="IR93" s="26">
        <f>IF(IR$2=InputTable[[#This Row],[Delivery Date]],_xlfn.XLOOKUP(IR$1,$BH$2:$BR$2,$BH93:$BR93,0),0)</f>
        <v>0</v>
      </c>
      <c r="IT93" s="26" t="e">
        <f>IF(IT$2=InputTable[[#This Row],[Delivery Date]],_xlfn.XLOOKUP(IT$1,$BH$2:$BR$2,$BH93:$BR93,0),0)</f>
        <v>#REF!</v>
      </c>
      <c r="IU93" s="26">
        <f>IF(IU$2=InputTable[[#This Row],[Delivery Date]],_xlfn.XLOOKUP(IU$1,$BH$2:$BR$2,$BH93:$BR93,0),0)</f>
        <v>0</v>
      </c>
      <c r="IV93" s="26">
        <f>IF(IV$2=InputTable[[#This Row],[Delivery Date]],_xlfn.XLOOKUP(IV$1,$BH$2:$BR$2,$BH93:$BR93,0),0)</f>
        <v>0</v>
      </c>
      <c r="IW93" s="26">
        <f>IF(IW$2=InputTable[[#This Row],[Delivery Date]],_xlfn.XLOOKUP(IW$1,$BH$2:$BR$2,$BH93:$BR93,0),0)</f>
        <v>0</v>
      </c>
      <c r="IX93" s="26">
        <f>IF(IX$2=InputTable[[#This Row],[Delivery Date]],_xlfn.XLOOKUP(IX$1,$BH$2:$BR$2,$BH93:$BR93,0),0)</f>
        <v>0</v>
      </c>
      <c r="IY93" s="26">
        <f>IF(IY$2=InputTable[[#This Row],[Delivery Date]],_xlfn.XLOOKUP(IY$1,$BH$2:$BR$2,$BH93:$BR93,0),0)</f>
        <v>0</v>
      </c>
      <c r="IZ93" s="26">
        <f>IF(IZ$2=InputTable[[#This Row],[Delivery Date]],_xlfn.XLOOKUP(IZ$1,$BH$2:$BR$2,$BH93:$BR93,0),0)</f>
        <v>0</v>
      </c>
      <c r="JA93" s="26">
        <f>IF(JA$2=InputTable[[#This Row],[Delivery Date]],_xlfn.XLOOKUP(JA$1,$BH$2:$BR$2,$BH93:$BR93,0),0)</f>
        <v>0</v>
      </c>
      <c r="JB93" s="26">
        <f>IF(JB$2=InputTable[[#This Row],[Delivery Date]],_xlfn.XLOOKUP(JB$1,$BH$2:$BR$2,$BH93:$BR93,0),0)</f>
        <v>0</v>
      </c>
      <c r="JD93" s="26" t="e">
        <f>IF(JD$2=InputTable[[#This Row],[Delivery Date]],_xlfn.XLOOKUP(JD$1,$BH$2:$BR$2,$BH93:$BR93,0),0)</f>
        <v>#REF!</v>
      </c>
      <c r="JE93" s="26">
        <f>IF(JE$2=InputTable[[#This Row],[Delivery Date]],_xlfn.XLOOKUP(JE$1,$BH$2:$BR$2,$BH93:$BR93,0),0)</f>
        <v>0</v>
      </c>
      <c r="JF93" s="26">
        <f>IF(JF$2=InputTable[[#This Row],[Delivery Date]],_xlfn.XLOOKUP(JF$1,$BH$2:$BR$2,$BH93:$BR93,0),0)</f>
        <v>0</v>
      </c>
      <c r="JG93" s="26">
        <f>IF(JG$2=InputTable[[#This Row],[Delivery Date]],_xlfn.XLOOKUP(JG$1,$BH$2:$BR$2,$BH93:$BR93,0),0)</f>
        <v>0</v>
      </c>
      <c r="JH93" s="26">
        <f>IF(JH$2=InputTable[[#This Row],[Delivery Date]],_xlfn.XLOOKUP(JH$1,$BH$2:$BR$2,$BH93:$BR93,0),0)</f>
        <v>0</v>
      </c>
      <c r="JI93" s="26">
        <f>IF(JI$2=InputTable[[#This Row],[Delivery Date]],_xlfn.XLOOKUP(JI$1,$BH$2:$BR$2,$BH93:$BR93,0),0)</f>
        <v>0</v>
      </c>
      <c r="JJ93" s="26">
        <f>IF(JJ$2=InputTable[[#This Row],[Delivery Date]],_xlfn.XLOOKUP(JJ$1,$BH$2:$BR$2,$BH93:$BR93,0),0)</f>
        <v>0</v>
      </c>
      <c r="JK93" s="26">
        <f>IF(JK$2=InputTable[[#This Row],[Delivery Date]],_xlfn.XLOOKUP(JK$1,$BH$2:$BR$2,$BH93:$BR93,0),0)</f>
        <v>0</v>
      </c>
      <c r="JL93" s="26">
        <f>IF(JL$2=InputTable[[#This Row],[Delivery Date]],_xlfn.XLOOKUP(JL$1,$BH$2:$BR$2,$BH93:$BR93,0),0)</f>
        <v>0</v>
      </c>
      <c r="JN93" s="26" t="e">
        <f>IF(JN$2=InputTable[[#This Row],[Delivery Date]],_xlfn.XLOOKUP(JN$1,$BH$2:$BR$2,$BH93:$BR93,0),0)</f>
        <v>#REF!</v>
      </c>
      <c r="JO93" s="26">
        <f>IF(JO$2=InputTable[[#This Row],[Delivery Date]],_xlfn.XLOOKUP(JO$1,$BH$2:$BR$2,$BH93:$BR93,0),0)</f>
        <v>0</v>
      </c>
      <c r="JP93" s="26">
        <f>IF(JP$2=InputTable[[#This Row],[Delivery Date]],_xlfn.XLOOKUP(JP$1,$BH$2:$BR$2,$BH93:$BR93,0),0)</f>
        <v>0</v>
      </c>
      <c r="JQ93" s="26">
        <f>IF(JQ$2=InputTable[[#This Row],[Delivery Date]],_xlfn.XLOOKUP(JQ$1,$BH$2:$BR$2,$BH93:$BR93,0),0)</f>
        <v>0</v>
      </c>
      <c r="JR93" s="26">
        <f>IF(JR$2=InputTable[[#This Row],[Delivery Date]],_xlfn.XLOOKUP(JR$1,$BH$2:$BR$2,$BH93:$BR93,0),0)</f>
        <v>0</v>
      </c>
      <c r="JS93" s="26">
        <f>IF(JS$2=InputTable[[#This Row],[Delivery Date]],_xlfn.XLOOKUP(JS$1,$BH$2:$BR$2,$BH93:$BR93,0),0)</f>
        <v>0</v>
      </c>
      <c r="JT93" s="26">
        <f>IF(JT$2=InputTable[[#This Row],[Delivery Date]],_xlfn.XLOOKUP(JT$1,$BH$2:$BR$2,$BH93:$BR93,0),0)</f>
        <v>0</v>
      </c>
      <c r="JU93" s="26">
        <f>IF(JU$2=InputTable[[#This Row],[Delivery Date]],_xlfn.XLOOKUP(JU$1,$BH$2:$BR$2,$BH93:$BR93,0),0)</f>
        <v>0</v>
      </c>
      <c r="JV93" s="26">
        <f>IF(JV$2=InputTable[[#This Row],[Delivery Date]],_xlfn.XLOOKUP(JV$1,$BH$2:$BR$2,$BH93:$BR93,0),0)</f>
        <v>0</v>
      </c>
      <c r="JX93" s="26" t="e">
        <f>IF(JX$2=InputTable[[#This Row],[Delivery Date]],_xlfn.XLOOKUP(JX$1,$BH$2:$BR$2,$BH93:$BR93,0),0)</f>
        <v>#REF!</v>
      </c>
      <c r="JY93" s="26">
        <f>IF(JY$2=InputTable[[#This Row],[Delivery Date]],_xlfn.XLOOKUP(JY$1,$BH$2:$BR$2,$BH93:$BR93,0),0)</f>
        <v>0</v>
      </c>
      <c r="JZ93" s="26">
        <f>IF(JZ$2=InputTable[[#This Row],[Delivery Date]],_xlfn.XLOOKUP(JZ$1,$BH$2:$BR$2,$BH93:$BR93,0),0)</f>
        <v>0</v>
      </c>
      <c r="KA93" s="26">
        <f>IF(KA$2=InputTable[[#This Row],[Delivery Date]],_xlfn.XLOOKUP(KA$1,$BH$2:$BR$2,$BH93:$BR93,0),0)</f>
        <v>0</v>
      </c>
      <c r="KB93" s="26">
        <f>IF(KB$2=InputTable[[#This Row],[Delivery Date]],_xlfn.XLOOKUP(KB$1,$BH$2:$BR$2,$BH93:$BR93,0),0)</f>
        <v>0</v>
      </c>
      <c r="KC93" s="26">
        <f>IF(KC$2=InputTable[[#This Row],[Delivery Date]],_xlfn.XLOOKUP(KC$1,$BH$2:$BR$2,$BH93:$BR93,0),0)</f>
        <v>0</v>
      </c>
      <c r="KD93" s="26">
        <f>IF(KD$2=InputTable[[#This Row],[Delivery Date]],_xlfn.XLOOKUP(KD$1,$BH$2:$BR$2,$BH93:$BR93,0),0)</f>
        <v>0</v>
      </c>
      <c r="KE93" s="26">
        <f>IF(KE$2=InputTable[[#This Row],[Delivery Date]],_xlfn.XLOOKUP(KE$1,$BH$2:$BR$2,$BH93:$BR93,0),0)</f>
        <v>0</v>
      </c>
      <c r="KF93" s="26">
        <f>IF(KF$2=InputTable[[#This Row],[Delivery Date]],_xlfn.XLOOKUP(KF$1,$BH$2:$BR$2,$BH93:$BR93,0),0)</f>
        <v>0</v>
      </c>
    </row>
    <row r="94" spans="1:292" ht="39.6" hidden="1" customHeight="1" x14ac:dyDescent="0.25">
      <c r="A94" s="141"/>
      <c r="B94" s="141" t="s">
        <v>156</v>
      </c>
      <c r="C94" s="92" t="s">
        <v>61</v>
      </c>
      <c r="D94" s="125" t="s">
        <v>391</v>
      </c>
      <c r="E94" s="193" t="s">
        <v>392</v>
      </c>
      <c r="F94" s="92" t="s">
        <v>61</v>
      </c>
      <c r="G94" s="92" t="s">
        <v>97</v>
      </c>
      <c r="H94" s="92"/>
      <c r="I94" s="92" t="s">
        <v>137</v>
      </c>
      <c r="J94" s="122"/>
      <c r="K94" s="95" t="e">
        <f>VLOOKUP((InputTable[[#This Row],[Starting Date]]&amp; " - " &amp;InputTable[[#This Row],[Delivery Date]]),'System List'!$F$40:$H$83,2,FALSE)</f>
        <v>#N/A</v>
      </c>
      <c r="L94" s="95" t="e">
        <f>VLOOKUP(InputTable[[#This Row],[Duration]],Duration,2,FALSE)</f>
        <v>#N/A</v>
      </c>
      <c r="M94" s="122" t="s">
        <v>110</v>
      </c>
      <c r="N94" s="92"/>
      <c r="O94" s="92"/>
      <c r="P94" s="92"/>
      <c r="Q94" s="92"/>
      <c r="R94" s="92" t="s">
        <v>111</v>
      </c>
      <c r="S94" s="92"/>
      <c r="T94" s="172" cm="1">
        <f t="array" ref="T9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94" s="138"/>
      <c r="V94" s="92"/>
      <c r="W94" s="92"/>
      <c r="X94" s="92"/>
      <c r="Y94" s="92"/>
      <c r="Z94" s="92"/>
      <c r="AA94" s="92"/>
      <c r="AB94" s="92"/>
      <c r="AC94" s="92"/>
      <c r="AD94" s="92">
        <f>COUNTA(InputTable[[#This Row],[CORPHRFIN]:[SALES]])</f>
        <v>0</v>
      </c>
      <c r="AE94" s="88" cm="1">
        <f t="array" ref="AE94">SUM(
_xlfn.XLOOKUP(InputTable[[#This Row],[CORPHRFIN]:[SALES]],'System List'!$F$4:$F$7,'System List'!$H$4:$H$7,0))</f>
        <v>0</v>
      </c>
      <c r="AF94" s="140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88" cm="1">
        <f t="array" ref="AR94">SUM(
_xlfn.XLOOKUP(InputTable[[#This Row],[Impact on - CIAL]:[Impact on - STRAT]],'System List'!$F$4:$F$7,'System List'!$H$4:$H$7,0))</f>
        <v>0</v>
      </c>
      <c r="AS94" s="88" t="e">
        <f>VLOOKUP(InputTable[[#This Row],[Duration]],Duration,2,FALSE)+InputTable[[#This Row],[Resource Score]]</f>
        <v>#N/A</v>
      </c>
      <c r="AT9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4" s="24" t="e">
        <f>InputTable[[#This Row],[Value Score]]/InputTable[[#This Row],[EFFORT SCORE]]*100</f>
        <v>#N/A</v>
      </c>
      <c r="AV94" s="25" t="str">
        <f>InputTable[[#This Row],[IS Portfolio Ref ID]]</f>
        <v>ISPRJ-94</v>
      </c>
      <c r="AW94" s="25" t="s">
        <v>194</v>
      </c>
      <c r="AX94" s="208"/>
      <c r="AY94" s="25"/>
      <c r="AZ94" s="209">
        <v>0</v>
      </c>
      <c r="BA94" s="209">
        <v>0</v>
      </c>
      <c r="BB94" s="209"/>
      <c r="BC94" s="189"/>
      <c r="BD94" s="188"/>
      <c r="BE94" s="188"/>
      <c r="BF94" s="70"/>
      <c r="BH94" s="2">
        <f>IFERROR(VLOOKUP(InputTable[[#This Row],[Impact on - CIAL]],'System List'!$F$4:$H$7,3,FALSE),0)</f>
        <v>0</v>
      </c>
      <c r="BI94" s="2">
        <f>IFERROR(VLOOKUP(InputTable[[#This Row],[Impact on - COM]],'System List'!$F$4:$H$7,3,FALSE),0)</f>
        <v>0</v>
      </c>
      <c r="BJ94" s="2">
        <f>IFERROR(VLOOKUP(InputTable[[#This Row],[Impact on - FIN]],'System List'!$F$4:$H$7,3,FALSE),0)</f>
        <v>0</v>
      </c>
      <c r="BK94" s="2">
        <f>IFERROR(VLOOKUP(InputTable[[#This Row],[Impact on - GEN SEC]],'System List'!$F$4:$H$7,3,FALSE),0)</f>
        <v>0</v>
      </c>
      <c r="BL94" s="2">
        <f>IFERROR(VLOOKUP(InputTable[[#This Row],[Impact on - HR]],'System List'!$F$4:$H$7,3,FALSE),0)</f>
        <v>0</v>
      </c>
      <c r="BM94" s="2">
        <f>IFERROR(VLOOKUP(InputTable[[#This Row],[Impact on - IS]],'System List'!$F$4:$H$7,3,FALSE),0)</f>
        <v>0</v>
      </c>
      <c r="BN94" s="2">
        <f>IFERROR(VLOOKUP(InputTable[[#This Row],[Impact on - OPS]],'System List'!$F$4:$H$7,3,FALSE),0)</f>
        <v>0</v>
      </c>
      <c r="BO94" s="2">
        <f>IFERROR(VLOOKUP(InputTable[[#This Row],[Impact on - ROLL STOCK]],'System List'!$F$4:$H$7,3,FALSE),0)</f>
        <v>0</v>
      </c>
      <c r="BP94" s="2">
        <f>IFERROR(VLOOKUP(InputTable[[#This Row],[Impact on - SAFETY]],'System List'!$F$4:$H$7,3,FALSE),0)</f>
        <v>0</v>
      </c>
      <c r="BQ94" s="2">
        <f>IFERROR(VLOOKUP(InputTable[[#This Row],[Impact on - STATION]],'System List'!$F$4:$H$7,3,FALSE),0)</f>
        <v>0</v>
      </c>
      <c r="BR94" s="2">
        <f>IFERROR(VLOOKUP(InputTable[[#This Row],[Impact on - STRAT]],'System List'!$F$4:$H$7,3,FALSE),0)</f>
        <v>0</v>
      </c>
      <c r="BT94" s="2">
        <f>IFERROR(VLOOKUP(InputTable[[#This Row],[CORPHRFIN]],'System List'!$F$4:$H$7,3,FALSE),0)</f>
        <v>0</v>
      </c>
      <c r="BU94" s="2">
        <f>IFERROR(VLOOKUP(InputTable[[#This Row],[CUST]],'System List'!$F$4:$H$7,3,FALSE),0)</f>
        <v>0</v>
      </c>
      <c r="BV94" s="2">
        <f>IFERROR(VLOOKUP(InputTable[[#This Row],[CYBER]],'System List'!$F$4:$H$7,3,FALSE),0)</f>
        <v>0</v>
      </c>
      <c r="BW94" s="2">
        <f>IFERROR(VLOOKUP(InputTable[[#This Row],[DATA]],'System List'!$F$4:$H$7,3,FALSE),0)</f>
        <v>0</v>
      </c>
      <c r="BX94" s="2">
        <f>IFERROR(VLOOKUP(InputTable[[#This Row],[INFRA]],'System List'!$F$4:$H$7,3,FALSE),0)</f>
        <v>0</v>
      </c>
      <c r="BY94" s="2">
        <f>IFERROR(VLOOKUP(InputTable[[#This Row],[OPERATIONS]],'System List'!$F$4:$H$7,3,FALSE),0)</f>
        <v>0</v>
      </c>
      <c r="BZ94" s="2">
        <f>IFERROR(VLOOKUP(InputTable[[#This Row],[PMO]],'System List'!$F$4:$H$7,3,FALSE),0)</f>
        <v>0</v>
      </c>
      <c r="CA94" s="2">
        <f>IFERROR(VLOOKUP(InputTable[[#This Row],[SALES]],'System List'!$F$4:$H$7,3,FALSE),0)</f>
        <v>0</v>
      </c>
      <c r="CC94" s="2" cm="1">
        <f t="array" ref="CC9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4" s="2" cm="1">
        <f t="array" ref="CD9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4" s="2" cm="1">
        <f t="array" ref="CE9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4" s="2" cm="1">
        <f t="array" ref="CF9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4" s="2" cm="1">
        <f t="array" ref="CG9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4" s="2" cm="1">
        <f t="array" ref="CH9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4" s="2" cm="1">
        <f t="array" ref="CI9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4" s="2" cm="1">
        <f t="array" ref="CJ9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4" s="2" cm="1">
        <f t="array" ref="CK9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9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4" s="26">
        <f t="shared" si="224"/>
        <v>0</v>
      </c>
      <c r="CY94" s="26">
        <f t="shared" si="225"/>
        <v>0</v>
      </c>
      <c r="CZ94" s="26">
        <f t="shared" si="226"/>
        <v>0</v>
      </c>
      <c r="DA94" s="26">
        <f t="shared" si="227"/>
        <v>0</v>
      </c>
      <c r="DB94" s="26">
        <f t="shared" si="228"/>
        <v>0</v>
      </c>
      <c r="DC94" s="26">
        <f t="shared" si="229"/>
        <v>0</v>
      </c>
      <c r="DD94" s="26">
        <f t="shared" si="230"/>
        <v>0</v>
      </c>
      <c r="DE94" s="26">
        <f t="shared" si="231"/>
        <v>0</v>
      </c>
      <c r="DF94" s="26">
        <f t="shared" si="232"/>
        <v>0</v>
      </c>
      <c r="DH94" s="26">
        <f t="shared" si="233"/>
        <v>0</v>
      </c>
      <c r="DI94" s="26">
        <f t="shared" si="234"/>
        <v>0</v>
      </c>
      <c r="DJ94" s="26">
        <f t="shared" si="235"/>
        <v>0</v>
      </c>
      <c r="DK94" s="26">
        <f t="shared" si="236"/>
        <v>0</v>
      </c>
      <c r="DL94" s="26">
        <f t="shared" si="237"/>
        <v>0</v>
      </c>
      <c r="DM94" s="26">
        <f t="shared" si="238"/>
        <v>0</v>
      </c>
      <c r="DN94" s="26">
        <f t="shared" si="239"/>
        <v>0</v>
      </c>
      <c r="DO94" s="26">
        <f t="shared" si="240"/>
        <v>0</v>
      </c>
      <c r="DP94" s="26">
        <f t="shared" si="241"/>
        <v>0</v>
      </c>
      <c r="DR94" s="26">
        <f t="shared" si="242"/>
        <v>0</v>
      </c>
      <c r="DS94" s="26">
        <f t="shared" si="243"/>
        <v>0</v>
      </c>
      <c r="DT94" s="26">
        <f t="shared" si="244"/>
        <v>0</v>
      </c>
      <c r="DU94" s="26">
        <f t="shared" si="245"/>
        <v>0</v>
      </c>
      <c r="DV94" s="26">
        <f t="shared" si="246"/>
        <v>0</v>
      </c>
      <c r="DW94" s="26">
        <f t="shared" si="247"/>
        <v>0</v>
      </c>
      <c r="DX94" s="26">
        <f t="shared" si="248"/>
        <v>0</v>
      </c>
      <c r="DY94" s="26">
        <f t="shared" si="249"/>
        <v>0</v>
      </c>
      <c r="DZ94" s="26">
        <f t="shared" si="250"/>
        <v>0</v>
      </c>
      <c r="EB94" s="26">
        <f t="shared" si="251"/>
        <v>0</v>
      </c>
      <c r="EC94" s="26">
        <f t="shared" si="252"/>
        <v>0</v>
      </c>
      <c r="ED94" s="26">
        <f t="shared" si="253"/>
        <v>0</v>
      </c>
      <c r="EE94" s="26">
        <f t="shared" si="254"/>
        <v>0</v>
      </c>
      <c r="EF94" s="26">
        <f t="shared" si="255"/>
        <v>0</v>
      </c>
      <c r="EG94" s="26">
        <f t="shared" si="256"/>
        <v>0</v>
      </c>
      <c r="EH94" s="26">
        <f t="shared" si="257"/>
        <v>0</v>
      </c>
      <c r="EI94" s="26">
        <f t="shared" si="258"/>
        <v>0</v>
      </c>
      <c r="EJ94" s="26">
        <f t="shared" si="259"/>
        <v>0</v>
      </c>
      <c r="EL94" s="26">
        <f t="shared" si="260"/>
        <v>0</v>
      </c>
      <c r="EM94" s="26">
        <f t="shared" si="261"/>
        <v>0</v>
      </c>
      <c r="EN94" s="26">
        <f t="shared" si="262"/>
        <v>0</v>
      </c>
      <c r="EO94" s="26">
        <f t="shared" si="263"/>
        <v>0</v>
      </c>
      <c r="EP94" s="26">
        <f t="shared" si="264"/>
        <v>0</v>
      </c>
      <c r="EQ94" s="26">
        <f t="shared" si="265"/>
        <v>0</v>
      </c>
      <c r="ER94" s="26">
        <f t="shared" si="266"/>
        <v>0</v>
      </c>
      <c r="ES94" s="26">
        <f t="shared" si="267"/>
        <v>0</v>
      </c>
      <c r="ET94" s="26">
        <f t="shared" si="268"/>
        <v>0</v>
      </c>
      <c r="EV94" s="26">
        <f t="shared" si="269"/>
        <v>0</v>
      </c>
      <c r="EW94" s="26">
        <f t="shared" si="270"/>
        <v>0</v>
      </c>
      <c r="EX94" s="26">
        <f t="shared" si="271"/>
        <v>0</v>
      </c>
      <c r="EY94" s="26">
        <f t="shared" si="272"/>
        <v>0</v>
      </c>
      <c r="EZ94" s="26">
        <f t="shared" si="273"/>
        <v>0</v>
      </c>
      <c r="FA94" s="26">
        <f t="shared" si="274"/>
        <v>0</v>
      </c>
      <c r="FB94" s="26">
        <f t="shared" si="275"/>
        <v>0</v>
      </c>
      <c r="FC94" s="26">
        <f t="shared" si="276"/>
        <v>0</v>
      </c>
      <c r="FD94" s="26">
        <f t="shared" si="277"/>
        <v>0</v>
      </c>
      <c r="FF94" s="26">
        <f t="shared" si="278"/>
        <v>0</v>
      </c>
      <c r="FG94" s="26">
        <f t="shared" si="279"/>
        <v>0</v>
      </c>
      <c r="FH94" s="26">
        <f t="shared" si="280"/>
        <v>0</v>
      </c>
      <c r="FI94" s="26">
        <f t="shared" si="281"/>
        <v>0</v>
      </c>
      <c r="FJ94" s="26">
        <f t="shared" si="282"/>
        <v>0</v>
      </c>
      <c r="FK94" s="26">
        <f t="shared" si="283"/>
        <v>0</v>
      </c>
      <c r="FL94" s="26">
        <f t="shared" si="284"/>
        <v>0</v>
      </c>
      <c r="FM94" s="26">
        <f t="shared" si="285"/>
        <v>0</v>
      </c>
      <c r="FN94" s="26">
        <f t="shared" si="286"/>
        <v>0</v>
      </c>
      <c r="FP94" s="26" t="e">
        <f t="shared" si="287"/>
        <v>#REF!</v>
      </c>
      <c r="FQ94" s="26" t="e">
        <f t="shared" si="288"/>
        <v>#REF!</v>
      </c>
      <c r="FR94" s="26" t="e">
        <f t="shared" si="289"/>
        <v>#REF!</v>
      </c>
      <c r="FS94" s="26" t="e">
        <f t="shared" si="290"/>
        <v>#REF!</v>
      </c>
      <c r="FT94" s="26" t="e">
        <f t="shared" si="291"/>
        <v>#REF!</v>
      </c>
      <c r="FU94" s="26" t="e">
        <f t="shared" si="292"/>
        <v>#REF!</v>
      </c>
      <c r="FV94" s="26" t="e">
        <f t="shared" si="293"/>
        <v>#REF!</v>
      </c>
      <c r="FW94" s="26" t="e">
        <f t="shared" si="294"/>
        <v>#REF!</v>
      </c>
      <c r="FX94" s="26" t="e">
        <f t="shared" si="295"/>
        <v>#REF!</v>
      </c>
      <c r="GB94" s="26" t="e">
        <f>IF(GB$2=InputTable[[#This Row],[Delivery Date]],_xlfn.XLOOKUP(GB$1,$BH$2:$BR$2,$BH94:$BR94,0),0)</f>
        <v>#REF!</v>
      </c>
      <c r="GC94" s="26">
        <f>IF(GC$2=InputTable[[#This Row],[Delivery Date]],_xlfn.XLOOKUP(GC$1,$BH$2:$BR$2,$BH94:$BR94,0),0)</f>
        <v>0</v>
      </c>
      <c r="GD94" s="26">
        <f>IF(GD$2=InputTable[[#This Row],[Delivery Date]],_xlfn.XLOOKUP(GD$1,$BH$2:$BR$2,$BH94:$BR94,0),0)</f>
        <v>0</v>
      </c>
      <c r="GE94" s="26">
        <f>IF(GE$2=InputTable[[#This Row],[Delivery Date]],_xlfn.XLOOKUP(GE$1,$BH$2:$BR$2,$BH94:$BR94,0),0)</f>
        <v>0</v>
      </c>
      <c r="GF94" s="26">
        <f>IF(GF$2=InputTable[[#This Row],[Delivery Date]],_xlfn.XLOOKUP(GF$1,$BH$2:$BR$2,$BH94:$BR94,0),0)</f>
        <v>0</v>
      </c>
      <c r="GG94" s="26">
        <f>IF(GG$2=InputTable[[#This Row],[Delivery Date]],_xlfn.XLOOKUP(GG$1,$BH$2:$BR$2,$BH94:$BR94,0),0)</f>
        <v>0</v>
      </c>
      <c r="GH94" s="26">
        <f>IF(GH$2=InputTable[[#This Row],[Delivery Date]],_xlfn.XLOOKUP(GH$1,$BH$2:$BR$2,$BH94:$BR94,0),0)</f>
        <v>0</v>
      </c>
      <c r="GI94" s="26">
        <f>IF(GI$2=InputTable[[#This Row],[Delivery Date]],_xlfn.XLOOKUP(GI$1,$BH$2:$BR$2,$BH94:$BR94,0),0)</f>
        <v>0</v>
      </c>
      <c r="GJ94" s="26">
        <f>IF(GJ$2=InputTable[[#This Row],[Delivery Date]],_xlfn.XLOOKUP(GJ$1,$BH$2:$BR$2,$BH94:$BR94,0),0)</f>
        <v>0</v>
      </c>
      <c r="GL94" s="26" t="e">
        <f>IF(GL$2=InputTable[[#This Row],[Delivery Date]],_xlfn.XLOOKUP(GL$1,$BH$2:$BR$2,$BH94:$BR94,0),0)</f>
        <v>#REF!</v>
      </c>
      <c r="GM94" s="26">
        <f>IF(GM$2=InputTable[[#This Row],[Delivery Date]],_xlfn.XLOOKUP(GM$1,$BH$2:$BR$2,$BH94:$BR94,0),0)</f>
        <v>0</v>
      </c>
      <c r="GN94" s="26">
        <f>IF(GN$2=InputTable[[#This Row],[Delivery Date]],_xlfn.XLOOKUP(GN$1,$BH$2:$BR$2,$BH94:$BR94,0),0)</f>
        <v>0</v>
      </c>
      <c r="GO94" s="26">
        <f>IF(GO$2=InputTable[[#This Row],[Delivery Date]],_xlfn.XLOOKUP(GO$1,$BH$2:$BR$2,$BH94:$BR94,0),0)</f>
        <v>0</v>
      </c>
      <c r="GP94" s="26">
        <f>IF(GP$2=InputTable[[#This Row],[Delivery Date]],_xlfn.XLOOKUP(GP$1,$BH$2:$BR$2,$BH94:$BR94,0),0)</f>
        <v>0</v>
      </c>
      <c r="GQ94" s="26">
        <f>IF(GQ$2=InputTable[[#This Row],[Delivery Date]],_xlfn.XLOOKUP(GQ$1,$BH$2:$BR$2,$BH94:$BR94,0),0)</f>
        <v>0</v>
      </c>
      <c r="GR94" s="26">
        <f>IF(GR$2=InputTable[[#This Row],[Delivery Date]],_xlfn.XLOOKUP(GR$1,$BH$2:$BR$2,$BH94:$BR94,0),0)</f>
        <v>0</v>
      </c>
      <c r="GS94" s="26">
        <f>IF(GS$2=InputTable[[#This Row],[Delivery Date]],_xlfn.XLOOKUP(GS$1,$BH$2:$BR$2,$BH94:$BR94,0),0)</f>
        <v>0</v>
      </c>
      <c r="GT94" s="26">
        <f>IF(GT$2=InputTable[[#This Row],[Delivery Date]],_xlfn.XLOOKUP(GT$1,$BH$2:$BR$2,$BH94:$BR94,0),0)</f>
        <v>0</v>
      </c>
      <c r="GV94" s="26" t="e">
        <f>IF(GV$2=InputTable[[#This Row],[Delivery Date]],_xlfn.XLOOKUP(GV$1,$BH$2:$BR$2,$BH94:$BR94,0),0)</f>
        <v>#REF!</v>
      </c>
      <c r="GW94" s="26">
        <f>IF(GW$2=InputTable[[#This Row],[Delivery Date]],_xlfn.XLOOKUP(GW$1,$BH$2:$BR$2,$BH94:$BR94,0),0)</f>
        <v>0</v>
      </c>
      <c r="GX94" s="26">
        <f>IF(GX$2=InputTable[[#This Row],[Delivery Date]],_xlfn.XLOOKUP(GX$1,$BH$2:$BR$2,$BH94:$BR94,0),0)</f>
        <v>0</v>
      </c>
      <c r="GY94" s="26">
        <f>IF(GY$2=InputTable[[#This Row],[Delivery Date]],_xlfn.XLOOKUP(GY$1,$BH$2:$BR$2,$BH94:$BR94,0),0)</f>
        <v>0</v>
      </c>
      <c r="GZ94" s="26">
        <f>IF(GZ$2=InputTable[[#This Row],[Delivery Date]],_xlfn.XLOOKUP(GZ$1,$BH$2:$BR$2,$BH94:$BR94,0),0)</f>
        <v>0</v>
      </c>
      <c r="HA94" s="26">
        <f>IF(HA$2=InputTable[[#This Row],[Delivery Date]],_xlfn.XLOOKUP(HA$1,$BH$2:$BR$2,$BH94:$BR94,0),0)</f>
        <v>0</v>
      </c>
      <c r="HB94" s="26">
        <f>IF(HB$2=InputTable[[#This Row],[Delivery Date]],_xlfn.XLOOKUP(HB$1,$BH$2:$BR$2,$BH94:$BR94,0),0)</f>
        <v>0</v>
      </c>
      <c r="HC94" s="26">
        <f>IF(HC$2=InputTable[[#This Row],[Delivery Date]],_xlfn.XLOOKUP(HC$1,$BH$2:$BR$2,$BH94:$BR94,0),0)</f>
        <v>0</v>
      </c>
      <c r="HD94" s="26">
        <f>IF(HD$2=InputTable[[#This Row],[Delivery Date]],_xlfn.XLOOKUP(HD$1,$BH$2:$BR$2,$BH94:$BR94,0),0)</f>
        <v>0</v>
      </c>
      <c r="HF94" s="26" t="e">
        <f>IF(HF$2=InputTable[[#This Row],[Delivery Date]],_xlfn.XLOOKUP(HF$1,$BH$2:$BR$2,$BH94:$BR94,0),0)</f>
        <v>#REF!</v>
      </c>
      <c r="HG94" s="26">
        <f>IF(HG$2=InputTable[[#This Row],[Delivery Date]],_xlfn.XLOOKUP(HG$1,$BH$2:$BR$2,$BH94:$BR94,0),0)</f>
        <v>0</v>
      </c>
      <c r="HH94" s="26">
        <f>IF(HH$2=InputTable[[#This Row],[Delivery Date]],_xlfn.XLOOKUP(HH$1,$BH$2:$BR$2,$BH94:$BR94,0),0)</f>
        <v>0</v>
      </c>
      <c r="HI94" s="26">
        <f>IF(HI$2=InputTable[[#This Row],[Delivery Date]],_xlfn.XLOOKUP(HI$1,$BH$2:$BR$2,$BH94:$BR94,0),0)</f>
        <v>0</v>
      </c>
      <c r="HJ94" s="26">
        <f>IF(HJ$2=InputTable[[#This Row],[Delivery Date]],_xlfn.XLOOKUP(HJ$1,$BH$2:$BR$2,$BH94:$BR94,0),0)</f>
        <v>0</v>
      </c>
      <c r="HK94" s="26">
        <f>IF(HK$2=InputTable[[#This Row],[Delivery Date]],_xlfn.XLOOKUP(HK$1,$BH$2:$BR$2,$BH94:$BR94,0),0)</f>
        <v>0</v>
      </c>
      <c r="HL94" s="26">
        <f>IF(HL$2=InputTable[[#This Row],[Delivery Date]],_xlfn.XLOOKUP(HL$1,$BH$2:$BR$2,$BH94:$BR94,0),0)</f>
        <v>0</v>
      </c>
      <c r="HM94" s="26">
        <f>IF(HM$2=InputTable[[#This Row],[Delivery Date]],_xlfn.XLOOKUP(HM$1,$BH$2:$BR$2,$BH94:$BR94,0),0)</f>
        <v>0</v>
      </c>
      <c r="HN94" s="26">
        <f>IF(HN$2=InputTable[[#This Row],[Delivery Date]],_xlfn.XLOOKUP(HN$1,$BH$2:$BR$2,$BH94:$BR94,0),0)</f>
        <v>0</v>
      </c>
      <c r="HP94" s="26" t="e">
        <f>IF(HP$2=InputTable[[#This Row],[Delivery Date]],_xlfn.XLOOKUP(HP$1,$BH$2:$BR$2,$BH94:$BR94,0),0)</f>
        <v>#REF!</v>
      </c>
      <c r="HQ94" s="26">
        <f>IF(HQ$2=InputTable[[#This Row],[Delivery Date]],_xlfn.XLOOKUP(HQ$1,$BH$2:$BR$2,$BH94:$BR94,0),0)</f>
        <v>0</v>
      </c>
      <c r="HR94" s="26">
        <f>IF(HR$2=InputTable[[#This Row],[Delivery Date]],_xlfn.XLOOKUP(HR$1,$BH$2:$BR$2,$BH94:$BR94,0),0)</f>
        <v>0</v>
      </c>
      <c r="HS94" s="26">
        <f>IF(HS$2=InputTable[[#This Row],[Delivery Date]],_xlfn.XLOOKUP(HS$1,$BH$2:$BR$2,$BH94:$BR94,0),0)</f>
        <v>0</v>
      </c>
      <c r="HT94" s="26">
        <f>IF(HT$2=InputTable[[#This Row],[Delivery Date]],_xlfn.XLOOKUP(HT$1,$BH$2:$BR$2,$BH94:$BR94,0),0)</f>
        <v>0</v>
      </c>
      <c r="HU94" s="26">
        <f>IF(HU$2=InputTable[[#This Row],[Delivery Date]],_xlfn.XLOOKUP(HU$1,$BH$2:$BR$2,$BH94:$BR94,0),0)</f>
        <v>0</v>
      </c>
      <c r="HV94" s="26">
        <f>IF(HV$2=InputTable[[#This Row],[Delivery Date]],_xlfn.XLOOKUP(HV$1,$BH$2:$BR$2,$BH94:$BR94,0),0)</f>
        <v>0</v>
      </c>
      <c r="HW94" s="26">
        <f>IF(HW$2=InputTable[[#This Row],[Delivery Date]],_xlfn.XLOOKUP(HW$1,$BH$2:$BR$2,$BH94:$BR94,0),0)</f>
        <v>0</v>
      </c>
      <c r="HX94" s="26">
        <f>IF(HX$2=InputTable[[#This Row],[Delivery Date]],_xlfn.XLOOKUP(HX$1,$BH$2:$BR$2,$BH94:$BR94,0),0)</f>
        <v>0</v>
      </c>
      <c r="HZ94" s="26" t="e">
        <f>IF(HZ$2=InputTable[[#This Row],[Delivery Date]],_xlfn.XLOOKUP(HZ$1,$BH$2:$BR$2,$BH94:$BR94,0),0)</f>
        <v>#REF!</v>
      </c>
      <c r="IA94" s="26">
        <f>IF(IA$2=InputTable[[#This Row],[Delivery Date]],_xlfn.XLOOKUP(IA$1,$BH$2:$BR$2,$BH94:$BR94,0),0)</f>
        <v>0</v>
      </c>
      <c r="IB94" s="26">
        <f>IF(IB$2=InputTable[[#This Row],[Delivery Date]],_xlfn.XLOOKUP(IB$1,$BH$2:$BR$2,$BH94:$BR94,0),0)</f>
        <v>0</v>
      </c>
      <c r="IC94" s="26">
        <f>IF(IC$2=InputTable[[#This Row],[Delivery Date]],_xlfn.XLOOKUP(IC$1,$BH$2:$BR$2,$BH94:$BR94,0),0)</f>
        <v>0</v>
      </c>
      <c r="ID94" s="26">
        <f>IF(ID$2=InputTable[[#This Row],[Delivery Date]],_xlfn.XLOOKUP(ID$1,$BH$2:$BR$2,$BH94:$BR94,0),0)</f>
        <v>0</v>
      </c>
      <c r="IE94" s="26">
        <f>IF(IE$2=InputTable[[#This Row],[Delivery Date]],_xlfn.XLOOKUP(IE$1,$BH$2:$BR$2,$BH94:$BR94,0),0)</f>
        <v>0</v>
      </c>
      <c r="IF94" s="26">
        <f>IF(IF$2=InputTable[[#This Row],[Delivery Date]],_xlfn.XLOOKUP(IF$1,$BH$2:$BR$2,$BH94:$BR94,0),0)</f>
        <v>0</v>
      </c>
      <c r="IG94" s="26">
        <f>IF(IG$2=InputTable[[#This Row],[Delivery Date]],_xlfn.XLOOKUP(IG$1,$BH$2:$BR$2,$BH94:$BR94,0),0)</f>
        <v>0</v>
      </c>
      <c r="IH94" s="26">
        <f>IF(IH$2=InputTable[[#This Row],[Delivery Date]],_xlfn.XLOOKUP(IH$1,$BH$2:$BR$2,$BH94:$BR94,0),0)</f>
        <v>0</v>
      </c>
      <c r="IJ94" s="26" t="e">
        <f>IF(IJ$2=InputTable[[#This Row],[Delivery Date]],_xlfn.XLOOKUP(IJ$1,$BH$2:$BR$2,$BH94:$BR94,0),0)</f>
        <v>#REF!</v>
      </c>
      <c r="IK94" s="26">
        <f>IF(IK$2=InputTable[[#This Row],[Delivery Date]],_xlfn.XLOOKUP(IK$1,$BH$2:$BR$2,$BH94:$BR94,0),0)</f>
        <v>0</v>
      </c>
      <c r="IL94" s="26">
        <f>IF(IL$2=InputTable[[#This Row],[Delivery Date]],_xlfn.XLOOKUP(IL$1,$BH$2:$BR$2,$BH94:$BR94,0),0)</f>
        <v>0</v>
      </c>
      <c r="IM94" s="26">
        <f>IF(IM$2=InputTable[[#This Row],[Delivery Date]],_xlfn.XLOOKUP(IM$1,$BH$2:$BR$2,$BH94:$BR94,0),0)</f>
        <v>0</v>
      </c>
      <c r="IN94" s="26">
        <f>IF(IN$2=InputTable[[#This Row],[Delivery Date]],_xlfn.XLOOKUP(IN$1,$BH$2:$BR$2,$BH94:$BR94,0),0)</f>
        <v>0</v>
      </c>
      <c r="IO94" s="26">
        <f>IF(IO$2=InputTable[[#This Row],[Delivery Date]],_xlfn.XLOOKUP(IO$1,$BH$2:$BR$2,$BH94:$BR94,0),0)</f>
        <v>0</v>
      </c>
      <c r="IP94" s="26">
        <f>IF(IP$2=InputTable[[#This Row],[Delivery Date]],_xlfn.XLOOKUP(IP$1,$BH$2:$BR$2,$BH94:$BR94,0),0)</f>
        <v>0</v>
      </c>
      <c r="IQ94" s="26">
        <f>IF(IQ$2=InputTable[[#This Row],[Delivery Date]],_xlfn.XLOOKUP(IQ$1,$BH$2:$BR$2,$BH94:$BR94,0),0)</f>
        <v>0</v>
      </c>
      <c r="IR94" s="26">
        <f>IF(IR$2=InputTable[[#This Row],[Delivery Date]],_xlfn.XLOOKUP(IR$1,$BH$2:$BR$2,$BH94:$BR94,0),0)</f>
        <v>0</v>
      </c>
      <c r="IT94" s="26" t="e">
        <f>IF(IT$2=InputTable[[#This Row],[Delivery Date]],_xlfn.XLOOKUP(IT$1,$BH$2:$BR$2,$BH94:$BR94,0),0)</f>
        <v>#REF!</v>
      </c>
      <c r="IU94" s="26">
        <f>IF(IU$2=InputTable[[#This Row],[Delivery Date]],_xlfn.XLOOKUP(IU$1,$BH$2:$BR$2,$BH94:$BR94,0),0)</f>
        <v>0</v>
      </c>
      <c r="IV94" s="26">
        <f>IF(IV$2=InputTable[[#This Row],[Delivery Date]],_xlfn.XLOOKUP(IV$1,$BH$2:$BR$2,$BH94:$BR94,0),0)</f>
        <v>0</v>
      </c>
      <c r="IW94" s="26">
        <f>IF(IW$2=InputTable[[#This Row],[Delivery Date]],_xlfn.XLOOKUP(IW$1,$BH$2:$BR$2,$BH94:$BR94,0),0)</f>
        <v>0</v>
      </c>
      <c r="IX94" s="26">
        <f>IF(IX$2=InputTable[[#This Row],[Delivery Date]],_xlfn.XLOOKUP(IX$1,$BH$2:$BR$2,$BH94:$BR94,0),0)</f>
        <v>0</v>
      </c>
      <c r="IY94" s="26">
        <f>IF(IY$2=InputTable[[#This Row],[Delivery Date]],_xlfn.XLOOKUP(IY$1,$BH$2:$BR$2,$BH94:$BR94,0),0)</f>
        <v>0</v>
      </c>
      <c r="IZ94" s="26">
        <f>IF(IZ$2=InputTable[[#This Row],[Delivery Date]],_xlfn.XLOOKUP(IZ$1,$BH$2:$BR$2,$BH94:$BR94,0),0)</f>
        <v>0</v>
      </c>
      <c r="JA94" s="26">
        <f>IF(JA$2=InputTable[[#This Row],[Delivery Date]],_xlfn.XLOOKUP(JA$1,$BH$2:$BR$2,$BH94:$BR94,0),0)</f>
        <v>0</v>
      </c>
      <c r="JB94" s="26">
        <f>IF(JB$2=InputTable[[#This Row],[Delivery Date]],_xlfn.XLOOKUP(JB$1,$BH$2:$BR$2,$BH94:$BR94,0),0)</f>
        <v>0</v>
      </c>
      <c r="JD94" s="26" t="e">
        <f>IF(JD$2=InputTable[[#This Row],[Delivery Date]],_xlfn.XLOOKUP(JD$1,$BH$2:$BR$2,$BH94:$BR94,0),0)</f>
        <v>#REF!</v>
      </c>
      <c r="JE94" s="26">
        <f>IF(JE$2=InputTable[[#This Row],[Delivery Date]],_xlfn.XLOOKUP(JE$1,$BH$2:$BR$2,$BH94:$BR94,0),0)</f>
        <v>0</v>
      </c>
      <c r="JF94" s="26">
        <f>IF(JF$2=InputTable[[#This Row],[Delivery Date]],_xlfn.XLOOKUP(JF$1,$BH$2:$BR$2,$BH94:$BR94,0),0)</f>
        <v>0</v>
      </c>
      <c r="JG94" s="26">
        <f>IF(JG$2=InputTable[[#This Row],[Delivery Date]],_xlfn.XLOOKUP(JG$1,$BH$2:$BR$2,$BH94:$BR94,0),0)</f>
        <v>0</v>
      </c>
      <c r="JH94" s="26">
        <f>IF(JH$2=InputTable[[#This Row],[Delivery Date]],_xlfn.XLOOKUP(JH$1,$BH$2:$BR$2,$BH94:$BR94,0),0)</f>
        <v>0</v>
      </c>
      <c r="JI94" s="26">
        <f>IF(JI$2=InputTable[[#This Row],[Delivery Date]],_xlfn.XLOOKUP(JI$1,$BH$2:$BR$2,$BH94:$BR94,0),0)</f>
        <v>0</v>
      </c>
      <c r="JJ94" s="26">
        <f>IF(JJ$2=InputTable[[#This Row],[Delivery Date]],_xlfn.XLOOKUP(JJ$1,$BH$2:$BR$2,$BH94:$BR94,0),0)</f>
        <v>0</v>
      </c>
      <c r="JK94" s="26">
        <f>IF(JK$2=InputTable[[#This Row],[Delivery Date]],_xlfn.XLOOKUP(JK$1,$BH$2:$BR$2,$BH94:$BR94,0),0)</f>
        <v>0</v>
      </c>
      <c r="JL94" s="26">
        <f>IF(JL$2=InputTable[[#This Row],[Delivery Date]],_xlfn.XLOOKUP(JL$1,$BH$2:$BR$2,$BH94:$BR94,0),0)</f>
        <v>0</v>
      </c>
      <c r="JN94" s="26" t="e">
        <f>IF(JN$2=InputTable[[#This Row],[Delivery Date]],_xlfn.XLOOKUP(JN$1,$BH$2:$BR$2,$BH94:$BR94,0),0)</f>
        <v>#REF!</v>
      </c>
      <c r="JO94" s="26">
        <f>IF(JO$2=InputTable[[#This Row],[Delivery Date]],_xlfn.XLOOKUP(JO$1,$BH$2:$BR$2,$BH94:$BR94,0),0)</f>
        <v>0</v>
      </c>
      <c r="JP94" s="26">
        <f>IF(JP$2=InputTable[[#This Row],[Delivery Date]],_xlfn.XLOOKUP(JP$1,$BH$2:$BR$2,$BH94:$BR94,0),0)</f>
        <v>0</v>
      </c>
      <c r="JQ94" s="26">
        <f>IF(JQ$2=InputTable[[#This Row],[Delivery Date]],_xlfn.XLOOKUP(JQ$1,$BH$2:$BR$2,$BH94:$BR94,0),0)</f>
        <v>0</v>
      </c>
      <c r="JR94" s="26">
        <f>IF(JR$2=InputTable[[#This Row],[Delivery Date]],_xlfn.XLOOKUP(JR$1,$BH$2:$BR$2,$BH94:$BR94,0),0)</f>
        <v>0</v>
      </c>
      <c r="JS94" s="26">
        <f>IF(JS$2=InputTable[[#This Row],[Delivery Date]],_xlfn.XLOOKUP(JS$1,$BH$2:$BR$2,$BH94:$BR94,0),0)</f>
        <v>0</v>
      </c>
      <c r="JT94" s="26">
        <f>IF(JT$2=InputTable[[#This Row],[Delivery Date]],_xlfn.XLOOKUP(JT$1,$BH$2:$BR$2,$BH94:$BR94,0),0)</f>
        <v>0</v>
      </c>
      <c r="JU94" s="26">
        <f>IF(JU$2=InputTable[[#This Row],[Delivery Date]],_xlfn.XLOOKUP(JU$1,$BH$2:$BR$2,$BH94:$BR94,0),0)</f>
        <v>0</v>
      </c>
      <c r="JV94" s="26">
        <f>IF(JV$2=InputTable[[#This Row],[Delivery Date]],_xlfn.XLOOKUP(JV$1,$BH$2:$BR$2,$BH94:$BR94,0),0)</f>
        <v>0</v>
      </c>
      <c r="JX94" s="26" t="e">
        <f>IF(JX$2=InputTable[[#This Row],[Delivery Date]],_xlfn.XLOOKUP(JX$1,$BH$2:$BR$2,$BH94:$BR94,0),0)</f>
        <v>#REF!</v>
      </c>
      <c r="JY94" s="26">
        <f>IF(JY$2=InputTable[[#This Row],[Delivery Date]],_xlfn.XLOOKUP(JY$1,$BH$2:$BR$2,$BH94:$BR94,0),0)</f>
        <v>0</v>
      </c>
      <c r="JZ94" s="26">
        <f>IF(JZ$2=InputTable[[#This Row],[Delivery Date]],_xlfn.XLOOKUP(JZ$1,$BH$2:$BR$2,$BH94:$BR94,0),0)</f>
        <v>0</v>
      </c>
      <c r="KA94" s="26">
        <f>IF(KA$2=InputTable[[#This Row],[Delivery Date]],_xlfn.XLOOKUP(KA$1,$BH$2:$BR$2,$BH94:$BR94,0),0)</f>
        <v>0</v>
      </c>
      <c r="KB94" s="26">
        <f>IF(KB$2=InputTable[[#This Row],[Delivery Date]],_xlfn.XLOOKUP(KB$1,$BH$2:$BR$2,$BH94:$BR94,0),0)</f>
        <v>0</v>
      </c>
      <c r="KC94" s="26">
        <f>IF(KC$2=InputTable[[#This Row],[Delivery Date]],_xlfn.XLOOKUP(KC$1,$BH$2:$BR$2,$BH94:$BR94,0),0)</f>
        <v>0</v>
      </c>
      <c r="KD94" s="26">
        <f>IF(KD$2=InputTable[[#This Row],[Delivery Date]],_xlfn.XLOOKUP(KD$1,$BH$2:$BR$2,$BH94:$BR94,0),0)</f>
        <v>0</v>
      </c>
      <c r="KE94" s="26">
        <f>IF(KE$2=InputTable[[#This Row],[Delivery Date]],_xlfn.XLOOKUP(KE$1,$BH$2:$BR$2,$BH94:$BR94,0),0)</f>
        <v>0</v>
      </c>
      <c r="KF94" s="26">
        <f>IF(KF$2=InputTable[[#This Row],[Delivery Date]],_xlfn.XLOOKUP(KF$1,$BH$2:$BR$2,$BH94:$BR94,0),0)</f>
        <v>0</v>
      </c>
    </row>
    <row r="95" spans="1:292" ht="39.6" hidden="1" customHeight="1" x14ac:dyDescent="0.25">
      <c r="A95" s="141"/>
      <c r="B95" s="141" t="s">
        <v>156</v>
      </c>
      <c r="C95" s="92" t="s">
        <v>61</v>
      </c>
      <c r="D95" s="125" t="s">
        <v>393</v>
      </c>
      <c r="E95" s="193" t="s">
        <v>394</v>
      </c>
      <c r="F95" s="92" t="s">
        <v>61</v>
      </c>
      <c r="G95" s="92" t="s">
        <v>97</v>
      </c>
      <c r="H95" s="92"/>
      <c r="I95" s="92" t="s">
        <v>98</v>
      </c>
      <c r="J95" s="122"/>
      <c r="K95" s="95" t="e">
        <f>VLOOKUP((InputTable[[#This Row],[Starting Date]]&amp; " - " &amp;InputTable[[#This Row],[Delivery Date]]),'System List'!$F$40:$H$83,2,FALSE)</f>
        <v>#N/A</v>
      </c>
      <c r="L95" s="95" t="e">
        <f>VLOOKUP(InputTable[[#This Row],[Duration]],Duration,2,FALSE)</f>
        <v>#N/A</v>
      </c>
      <c r="M95" s="122" t="s">
        <v>110</v>
      </c>
      <c r="N95" s="92"/>
      <c r="O95" s="92"/>
      <c r="P95" s="92"/>
      <c r="Q95" s="92"/>
      <c r="R95" s="92" t="s">
        <v>111</v>
      </c>
      <c r="S95" s="92"/>
      <c r="T95" s="172" cm="1">
        <f t="array" ref="T9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95" s="138"/>
      <c r="V95" s="92"/>
      <c r="W95" s="92"/>
      <c r="X95" s="92"/>
      <c r="Y95" s="92"/>
      <c r="Z95" s="92"/>
      <c r="AA95" s="92"/>
      <c r="AB95" s="92"/>
      <c r="AC95" s="92"/>
      <c r="AD95" s="92">
        <f>COUNTA(InputTable[[#This Row],[CORPHRFIN]:[SALES]])</f>
        <v>0</v>
      </c>
      <c r="AE95" s="88" cm="1">
        <f t="array" ref="AE95">SUM(
_xlfn.XLOOKUP(InputTable[[#This Row],[CORPHRFIN]:[SALES]],'System List'!$F$4:$F$7,'System List'!$H$4:$H$7,0))</f>
        <v>0</v>
      </c>
      <c r="AF95" s="140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88" cm="1">
        <f t="array" ref="AR95">SUM(
_xlfn.XLOOKUP(InputTable[[#This Row],[Impact on - CIAL]:[Impact on - STRAT]],'System List'!$F$4:$F$7,'System List'!$H$4:$H$7,0))</f>
        <v>0</v>
      </c>
      <c r="AS95" s="88" t="e">
        <f>VLOOKUP(InputTable[[#This Row],[Duration]],Duration,2,FALSE)+InputTable[[#This Row],[Resource Score]]</f>
        <v>#N/A</v>
      </c>
      <c r="AT9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5" s="24" t="e">
        <f>InputTable[[#This Row],[Value Score]]/InputTable[[#This Row],[EFFORT SCORE]]*100</f>
        <v>#N/A</v>
      </c>
      <c r="AV95" s="25" t="str">
        <f>InputTable[[#This Row],[IS Portfolio Ref ID]]</f>
        <v>ISPRJ-95</v>
      </c>
      <c r="AW95" s="25" t="s">
        <v>194</v>
      </c>
      <c r="AX95" s="208"/>
      <c r="AY95" s="25"/>
      <c r="AZ95" s="209">
        <v>0</v>
      </c>
      <c r="BA95" s="209">
        <v>0</v>
      </c>
      <c r="BB95" s="209"/>
      <c r="BC95" s="189"/>
      <c r="BD95" s="188"/>
      <c r="BE95" s="188"/>
      <c r="BF95" s="70"/>
      <c r="BH95" s="2">
        <f>IFERROR(VLOOKUP(InputTable[[#This Row],[Impact on - CIAL]],'System List'!$F$4:$H$7,3,FALSE),0)</f>
        <v>0</v>
      </c>
      <c r="BI95" s="2">
        <f>IFERROR(VLOOKUP(InputTable[[#This Row],[Impact on - COM]],'System List'!$F$4:$H$7,3,FALSE),0)</f>
        <v>0</v>
      </c>
      <c r="BJ95" s="2">
        <f>IFERROR(VLOOKUP(InputTable[[#This Row],[Impact on - FIN]],'System List'!$F$4:$H$7,3,FALSE),0)</f>
        <v>0</v>
      </c>
      <c r="BK95" s="2">
        <f>IFERROR(VLOOKUP(InputTable[[#This Row],[Impact on - GEN SEC]],'System List'!$F$4:$H$7,3,FALSE),0)</f>
        <v>0</v>
      </c>
      <c r="BL95" s="2">
        <f>IFERROR(VLOOKUP(InputTable[[#This Row],[Impact on - HR]],'System List'!$F$4:$H$7,3,FALSE),0)</f>
        <v>0</v>
      </c>
      <c r="BM95" s="2">
        <f>IFERROR(VLOOKUP(InputTable[[#This Row],[Impact on - IS]],'System List'!$F$4:$H$7,3,FALSE),0)</f>
        <v>0</v>
      </c>
      <c r="BN95" s="2">
        <f>IFERROR(VLOOKUP(InputTable[[#This Row],[Impact on - OPS]],'System List'!$F$4:$H$7,3,FALSE),0)</f>
        <v>0</v>
      </c>
      <c r="BO95" s="2">
        <f>IFERROR(VLOOKUP(InputTable[[#This Row],[Impact on - ROLL STOCK]],'System List'!$F$4:$H$7,3,FALSE),0)</f>
        <v>0</v>
      </c>
      <c r="BP95" s="2">
        <f>IFERROR(VLOOKUP(InputTable[[#This Row],[Impact on - SAFETY]],'System List'!$F$4:$H$7,3,FALSE),0)</f>
        <v>0</v>
      </c>
      <c r="BQ95" s="2">
        <f>IFERROR(VLOOKUP(InputTable[[#This Row],[Impact on - STATION]],'System List'!$F$4:$H$7,3,FALSE),0)</f>
        <v>0</v>
      </c>
      <c r="BR95" s="2">
        <f>IFERROR(VLOOKUP(InputTable[[#This Row],[Impact on - STRAT]],'System List'!$F$4:$H$7,3,FALSE),0)</f>
        <v>0</v>
      </c>
      <c r="BT95" s="2">
        <f>IFERROR(VLOOKUP(InputTable[[#This Row],[CORPHRFIN]],'System List'!$F$4:$H$7,3,FALSE),0)</f>
        <v>0</v>
      </c>
      <c r="BU95" s="2">
        <f>IFERROR(VLOOKUP(InputTable[[#This Row],[CUST]],'System List'!$F$4:$H$7,3,FALSE),0)</f>
        <v>0</v>
      </c>
      <c r="BV95" s="2">
        <f>IFERROR(VLOOKUP(InputTable[[#This Row],[CYBER]],'System List'!$F$4:$H$7,3,FALSE),0)</f>
        <v>0</v>
      </c>
      <c r="BW95" s="2">
        <f>IFERROR(VLOOKUP(InputTable[[#This Row],[DATA]],'System List'!$F$4:$H$7,3,FALSE),0)</f>
        <v>0</v>
      </c>
      <c r="BX95" s="2">
        <f>IFERROR(VLOOKUP(InputTable[[#This Row],[INFRA]],'System List'!$F$4:$H$7,3,FALSE),0)</f>
        <v>0</v>
      </c>
      <c r="BY95" s="2">
        <f>IFERROR(VLOOKUP(InputTable[[#This Row],[OPERATIONS]],'System List'!$F$4:$H$7,3,FALSE),0)</f>
        <v>0</v>
      </c>
      <c r="BZ95" s="2">
        <f>IFERROR(VLOOKUP(InputTable[[#This Row],[PMO]],'System List'!$F$4:$H$7,3,FALSE),0)</f>
        <v>0</v>
      </c>
      <c r="CA95" s="2">
        <f>IFERROR(VLOOKUP(InputTable[[#This Row],[SALES]],'System List'!$F$4:$H$7,3,FALSE),0)</f>
        <v>0</v>
      </c>
      <c r="CC95" s="2" cm="1">
        <f t="array" ref="CC9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5" s="2" cm="1">
        <f t="array" ref="CD9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5" s="2" cm="1">
        <f t="array" ref="CE9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5" s="2" cm="1">
        <f t="array" ref="CF9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5" s="2" cm="1">
        <f t="array" ref="CG9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5" s="2" cm="1">
        <f t="array" ref="CH9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5" s="2" cm="1">
        <f t="array" ref="CI9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5" s="2" cm="1">
        <f t="array" ref="CJ9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5" s="2" cm="1">
        <f t="array" ref="CK9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5" s="26">
        <f t="shared" si="224"/>
        <v>0</v>
      </c>
      <c r="CY95" s="26">
        <f t="shared" si="225"/>
        <v>0</v>
      </c>
      <c r="CZ95" s="26">
        <f t="shared" si="226"/>
        <v>0</v>
      </c>
      <c r="DA95" s="26">
        <f t="shared" si="227"/>
        <v>0</v>
      </c>
      <c r="DB95" s="26">
        <f t="shared" si="228"/>
        <v>0</v>
      </c>
      <c r="DC95" s="26">
        <f t="shared" si="229"/>
        <v>0</v>
      </c>
      <c r="DD95" s="26">
        <f t="shared" si="230"/>
        <v>0</v>
      </c>
      <c r="DE95" s="26">
        <f t="shared" si="231"/>
        <v>0</v>
      </c>
      <c r="DF95" s="26">
        <f t="shared" si="232"/>
        <v>0</v>
      </c>
      <c r="DH95" s="26">
        <f t="shared" si="233"/>
        <v>0</v>
      </c>
      <c r="DI95" s="26">
        <f t="shared" si="234"/>
        <v>0</v>
      </c>
      <c r="DJ95" s="26">
        <f t="shared" si="235"/>
        <v>0</v>
      </c>
      <c r="DK95" s="26">
        <f t="shared" si="236"/>
        <v>0</v>
      </c>
      <c r="DL95" s="26">
        <f t="shared" si="237"/>
        <v>0</v>
      </c>
      <c r="DM95" s="26">
        <f t="shared" si="238"/>
        <v>0</v>
      </c>
      <c r="DN95" s="26">
        <f t="shared" si="239"/>
        <v>0</v>
      </c>
      <c r="DO95" s="26">
        <f t="shared" si="240"/>
        <v>0</v>
      </c>
      <c r="DP95" s="26">
        <f t="shared" si="241"/>
        <v>0</v>
      </c>
      <c r="DR95" s="26">
        <f t="shared" si="242"/>
        <v>0</v>
      </c>
      <c r="DS95" s="26">
        <f t="shared" si="243"/>
        <v>0</v>
      </c>
      <c r="DT95" s="26">
        <f t="shared" si="244"/>
        <v>0</v>
      </c>
      <c r="DU95" s="26">
        <f t="shared" si="245"/>
        <v>0</v>
      </c>
      <c r="DV95" s="26">
        <f t="shared" si="246"/>
        <v>0</v>
      </c>
      <c r="DW95" s="26">
        <f t="shared" si="247"/>
        <v>0</v>
      </c>
      <c r="DX95" s="26">
        <f t="shared" si="248"/>
        <v>0</v>
      </c>
      <c r="DY95" s="26">
        <f t="shared" si="249"/>
        <v>0</v>
      </c>
      <c r="DZ95" s="26">
        <f t="shared" si="250"/>
        <v>0</v>
      </c>
      <c r="EB95" s="26">
        <f t="shared" si="251"/>
        <v>0</v>
      </c>
      <c r="EC95" s="26">
        <f t="shared" si="252"/>
        <v>0</v>
      </c>
      <c r="ED95" s="26">
        <f t="shared" si="253"/>
        <v>0</v>
      </c>
      <c r="EE95" s="26">
        <f t="shared" si="254"/>
        <v>0</v>
      </c>
      <c r="EF95" s="26">
        <f t="shared" si="255"/>
        <v>0</v>
      </c>
      <c r="EG95" s="26">
        <f t="shared" si="256"/>
        <v>0</v>
      </c>
      <c r="EH95" s="26">
        <f t="shared" si="257"/>
        <v>0</v>
      </c>
      <c r="EI95" s="26">
        <f t="shared" si="258"/>
        <v>0</v>
      </c>
      <c r="EJ95" s="26">
        <f t="shared" si="259"/>
        <v>0</v>
      </c>
      <c r="EL95" s="26">
        <f t="shared" si="260"/>
        <v>0</v>
      </c>
      <c r="EM95" s="26">
        <f t="shared" si="261"/>
        <v>0</v>
      </c>
      <c r="EN95" s="26">
        <f t="shared" si="262"/>
        <v>0</v>
      </c>
      <c r="EO95" s="26">
        <f t="shared" si="263"/>
        <v>0</v>
      </c>
      <c r="EP95" s="26">
        <f t="shared" si="264"/>
        <v>0</v>
      </c>
      <c r="EQ95" s="26">
        <f t="shared" si="265"/>
        <v>0</v>
      </c>
      <c r="ER95" s="26">
        <f t="shared" si="266"/>
        <v>0</v>
      </c>
      <c r="ES95" s="26">
        <f t="shared" si="267"/>
        <v>0</v>
      </c>
      <c r="ET95" s="26">
        <f t="shared" si="268"/>
        <v>0</v>
      </c>
      <c r="EV95" s="26">
        <f t="shared" si="269"/>
        <v>0</v>
      </c>
      <c r="EW95" s="26">
        <f t="shared" si="270"/>
        <v>0</v>
      </c>
      <c r="EX95" s="26">
        <f t="shared" si="271"/>
        <v>0</v>
      </c>
      <c r="EY95" s="26">
        <f t="shared" si="272"/>
        <v>0</v>
      </c>
      <c r="EZ95" s="26">
        <f t="shared" si="273"/>
        <v>0</v>
      </c>
      <c r="FA95" s="26">
        <f t="shared" si="274"/>
        <v>0</v>
      </c>
      <c r="FB95" s="26">
        <f t="shared" si="275"/>
        <v>0</v>
      </c>
      <c r="FC95" s="26">
        <f t="shared" si="276"/>
        <v>0</v>
      </c>
      <c r="FD95" s="26">
        <f t="shared" si="277"/>
        <v>0</v>
      </c>
      <c r="FF95" s="26">
        <f t="shared" si="278"/>
        <v>0</v>
      </c>
      <c r="FG95" s="26">
        <f t="shared" si="279"/>
        <v>0</v>
      </c>
      <c r="FH95" s="26">
        <f t="shared" si="280"/>
        <v>0</v>
      </c>
      <c r="FI95" s="26">
        <f t="shared" si="281"/>
        <v>0</v>
      </c>
      <c r="FJ95" s="26">
        <f t="shared" si="282"/>
        <v>0</v>
      </c>
      <c r="FK95" s="26">
        <f t="shared" si="283"/>
        <v>0</v>
      </c>
      <c r="FL95" s="26">
        <f t="shared" si="284"/>
        <v>0</v>
      </c>
      <c r="FM95" s="26">
        <f t="shared" si="285"/>
        <v>0</v>
      </c>
      <c r="FN95" s="26">
        <f t="shared" si="286"/>
        <v>0</v>
      </c>
      <c r="FP95" s="26" t="e">
        <f t="shared" si="287"/>
        <v>#REF!</v>
      </c>
      <c r="FQ95" s="26" t="e">
        <f t="shared" si="288"/>
        <v>#REF!</v>
      </c>
      <c r="FR95" s="26" t="e">
        <f t="shared" si="289"/>
        <v>#REF!</v>
      </c>
      <c r="FS95" s="26" t="e">
        <f t="shared" si="290"/>
        <v>#REF!</v>
      </c>
      <c r="FT95" s="26" t="e">
        <f t="shared" si="291"/>
        <v>#REF!</v>
      </c>
      <c r="FU95" s="26" t="e">
        <f t="shared" si="292"/>
        <v>#REF!</v>
      </c>
      <c r="FV95" s="26" t="e">
        <f t="shared" si="293"/>
        <v>#REF!</v>
      </c>
      <c r="FW95" s="26" t="e">
        <f t="shared" si="294"/>
        <v>#REF!</v>
      </c>
      <c r="FX95" s="26" t="e">
        <f t="shared" si="295"/>
        <v>#REF!</v>
      </c>
      <c r="GB95" s="26" t="e">
        <f>IF(GB$2=InputTable[[#This Row],[Delivery Date]],_xlfn.XLOOKUP(GB$1,$BH$2:$BR$2,$BH95:$BR95,0),0)</f>
        <v>#REF!</v>
      </c>
      <c r="GC95" s="26">
        <f>IF(GC$2=InputTable[[#This Row],[Delivery Date]],_xlfn.XLOOKUP(GC$1,$BH$2:$BR$2,$BH95:$BR95,0),0)</f>
        <v>0</v>
      </c>
      <c r="GD95" s="26">
        <f>IF(GD$2=InputTable[[#This Row],[Delivery Date]],_xlfn.XLOOKUP(GD$1,$BH$2:$BR$2,$BH95:$BR95,0),0)</f>
        <v>0</v>
      </c>
      <c r="GE95" s="26">
        <f>IF(GE$2=InputTable[[#This Row],[Delivery Date]],_xlfn.XLOOKUP(GE$1,$BH$2:$BR$2,$BH95:$BR95,0),0)</f>
        <v>0</v>
      </c>
      <c r="GF95" s="26">
        <f>IF(GF$2=InputTable[[#This Row],[Delivery Date]],_xlfn.XLOOKUP(GF$1,$BH$2:$BR$2,$BH95:$BR95,0),0)</f>
        <v>0</v>
      </c>
      <c r="GG95" s="26">
        <f>IF(GG$2=InputTable[[#This Row],[Delivery Date]],_xlfn.XLOOKUP(GG$1,$BH$2:$BR$2,$BH95:$BR95,0),0)</f>
        <v>0</v>
      </c>
      <c r="GH95" s="26">
        <f>IF(GH$2=InputTable[[#This Row],[Delivery Date]],_xlfn.XLOOKUP(GH$1,$BH$2:$BR$2,$BH95:$BR95,0),0)</f>
        <v>0</v>
      </c>
      <c r="GI95" s="26">
        <f>IF(GI$2=InputTable[[#This Row],[Delivery Date]],_xlfn.XLOOKUP(GI$1,$BH$2:$BR$2,$BH95:$BR95,0),0)</f>
        <v>0</v>
      </c>
      <c r="GJ95" s="26">
        <f>IF(GJ$2=InputTable[[#This Row],[Delivery Date]],_xlfn.XLOOKUP(GJ$1,$BH$2:$BR$2,$BH95:$BR95,0),0)</f>
        <v>0</v>
      </c>
      <c r="GL95" s="26" t="e">
        <f>IF(GL$2=InputTable[[#This Row],[Delivery Date]],_xlfn.XLOOKUP(GL$1,$BH$2:$BR$2,$BH95:$BR95,0),0)</f>
        <v>#REF!</v>
      </c>
      <c r="GM95" s="26">
        <f>IF(GM$2=InputTable[[#This Row],[Delivery Date]],_xlfn.XLOOKUP(GM$1,$BH$2:$BR$2,$BH95:$BR95,0),0)</f>
        <v>0</v>
      </c>
      <c r="GN95" s="26">
        <f>IF(GN$2=InputTable[[#This Row],[Delivery Date]],_xlfn.XLOOKUP(GN$1,$BH$2:$BR$2,$BH95:$BR95,0),0)</f>
        <v>0</v>
      </c>
      <c r="GO95" s="26">
        <f>IF(GO$2=InputTable[[#This Row],[Delivery Date]],_xlfn.XLOOKUP(GO$1,$BH$2:$BR$2,$BH95:$BR95,0),0)</f>
        <v>0</v>
      </c>
      <c r="GP95" s="26">
        <f>IF(GP$2=InputTable[[#This Row],[Delivery Date]],_xlfn.XLOOKUP(GP$1,$BH$2:$BR$2,$BH95:$BR95,0),0)</f>
        <v>0</v>
      </c>
      <c r="GQ95" s="26">
        <f>IF(GQ$2=InputTable[[#This Row],[Delivery Date]],_xlfn.XLOOKUP(GQ$1,$BH$2:$BR$2,$BH95:$BR95,0),0)</f>
        <v>0</v>
      </c>
      <c r="GR95" s="26">
        <f>IF(GR$2=InputTable[[#This Row],[Delivery Date]],_xlfn.XLOOKUP(GR$1,$BH$2:$BR$2,$BH95:$BR95,0),0)</f>
        <v>0</v>
      </c>
      <c r="GS95" s="26">
        <f>IF(GS$2=InputTable[[#This Row],[Delivery Date]],_xlfn.XLOOKUP(GS$1,$BH$2:$BR$2,$BH95:$BR95,0),0)</f>
        <v>0</v>
      </c>
      <c r="GT95" s="26">
        <f>IF(GT$2=InputTable[[#This Row],[Delivery Date]],_xlfn.XLOOKUP(GT$1,$BH$2:$BR$2,$BH95:$BR95,0),0)</f>
        <v>0</v>
      </c>
      <c r="GV95" s="26" t="e">
        <f>IF(GV$2=InputTable[[#This Row],[Delivery Date]],_xlfn.XLOOKUP(GV$1,$BH$2:$BR$2,$BH95:$BR95,0),0)</f>
        <v>#REF!</v>
      </c>
      <c r="GW95" s="26">
        <f>IF(GW$2=InputTable[[#This Row],[Delivery Date]],_xlfn.XLOOKUP(GW$1,$BH$2:$BR$2,$BH95:$BR95,0),0)</f>
        <v>0</v>
      </c>
      <c r="GX95" s="26">
        <f>IF(GX$2=InputTable[[#This Row],[Delivery Date]],_xlfn.XLOOKUP(GX$1,$BH$2:$BR$2,$BH95:$BR95,0),0)</f>
        <v>0</v>
      </c>
      <c r="GY95" s="26">
        <f>IF(GY$2=InputTable[[#This Row],[Delivery Date]],_xlfn.XLOOKUP(GY$1,$BH$2:$BR$2,$BH95:$BR95,0),0)</f>
        <v>0</v>
      </c>
      <c r="GZ95" s="26">
        <f>IF(GZ$2=InputTable[[#This Row],[Delivery Date]],_xlfn.XLOOKUP(GZ$1,$BH$2:$BR$2,$BH95:$BR95,0),0)</f>
        <v>0</v>
      </c>
      <c r="HA95" s="26">
        <f>IF(HA$2=InputTable[[#This Row],[Delivery Date]],_xlfn.XLOOKUP(HA$1,$BH$2:$BR$2,$BH95:$BR95,0),0)</f>
        <v>0</v>
      </c>
      <c r="HB95" s="26">
        <f>IF(HB$2=InputTable[[#This Row],[Delivery Date]],_xlfn.XLOOKUP(HB$1,$BH$2:$BR$2,$BH95:$BR95,0),0)</f>
        <v>0</v>
      </c>
      <c r="HC95" s="26">
        <f>IF(HC$2=InputTable[[#This Row],[Delivery Date]],_xlfn.XLOOKUP(HC$1,$BH$2:$BR$2,$BH95:$BR95,0),0)</f>
        <v>0</v>
      </c>
      <c r="HD95" s="26">
        <f>IF(HD$2=InputTable[[#This Row],[Delivery Date]],_xlfn.XLOOKUP(HD$1,$BH$2:$BR$2,$BH95:$BR95,0),0)</f>
        <v>0</v>
      </c>
      <c r="HF95" s="26" t="e">
        <f>IF(HF$2=InputTable[[#This Row],[Delivery Date]],_xlfn.XLOOKUP(HF$1,$BH$2:$BR$2,$BH95:$BR95,0),0)</f>
        <v>#REF!</v>
      </c>
      <c r="HG95" s="26">
        <f>IF(HG$2=InputTable[[#This Row],[Delivery Date]],_xlfn.XLOOKUP(HG$1,$BH$2:$BR$2,$BH95:$BR95,0),0)</f>
        <v>0</v>
      </c>
      <c r="HH95" s="26">
        <f>IF(HH$2=InputTable[[#This Row],[Delivery Date]],_xlfn.XLOOKUP(HH$1,$BH$2:$BR$2,$BH95:$BR95,0),0)</f>
        <v>0</v>
      </c>
      <c r="HI95" s="26">
        <f>IF(HI$2=InputTable[[#This Row],[Delivery Date]],_xlfn.XLOOKUP(HI$1,$BH$2:$BR$2,$BH95:$BR95,0),0)</f>
        <v>0</v>
      </c>
      <c r="HJ95" s="26">
        <f>IF(HJ$2=InputTable[[#This Row],[Delivery Date]],_xlfn.XLOOKUP(HJ$1,$BH$2:$BR$2,$BH95:$BR95,0),0)</f>
        <v>0</v>
      </c>
      <c r="HK95" s="26">
        <f>IF(HK$2=InputTable[[#This Row],[Delivery Date]],_xlfn.XLOOKUP(HK$1,$BH$2:$BR$2,$BH95:$BR95,0),0)</f>
        <v>0</v>
      </c>
      <c r="HL95" s="26">
        <f>IF(HL$2=InputTable[[#This Row],[Delivery Date]],_xlfn.XLOOKUP(HL$1,$BH$2:$BR$2,$BH95:$BR95,0),0)</f>
        <v>0</v>
      </c>
      <c r="HM95" s="26">
        <f>IF(HM$2=InputTable[[#This Row],[Delivery Date]],_xlfn.XLOOKUP(HM$1,$BH$2:$BR$2,$BH95:$BR95,0),0)</f>
        <v>0</v>
      </c>
      <c r="HN95" s="26">
        <f>IF(HN$2=InputTable[[#This Row],[Delivery Date]],_xlfn.XLOOKUP(HN$1,$BH$2:$BR$2,$BH95:$BR95,0),0)</f>
        <v>0</v>
      </c>
      <c r="HP95" s="26" t="e">
        <f>IF(HP$2=InputTable[[#This Row],[Delivery Date]],_xlfn.XLOOKUP(HP$1,$BH$2:$BR$2,$BH95:$BR95,0),0)</f>
        <v>#REF!</v>
      </c>
      <c r="HQ95" s="26">
        <f>IF(HQ$2=InputTable[[#This Row],[Delivery Date]],_xlfn.XLOOKUP(HQ$1,$BH$2:$BR$2,$BH95:$BR95,0),0)</f>
        <v>0</v>
      </c>
      <c r="HR95" s="26">
        <f>IF(HR$2=InputTable[[#This Row],[Delivery Date]],_xlfn.XLOOKUP(HR$1,$BH$2:$BR$2,$BH95:$BR95,0),0)</f>
        <v>0</v>
      </c>
      <c r="HS95" s="26">
        <f>IF(HS$2=InputTable[[#This Row],[Delivery Date]],_xlfn.XLOOKUP(HS$1,$BH$2:$BR$2,$BH95:$BR95,0),0)</f>
        <v>0</v>
      </c>
      <c r="HT95" s="26">
        <f>IF(HT$2=InputTable[[#This Row],[Delivery Date]],_xlfn.XLOOKUP(HT$1,$BH$2:$BR$2,$BH95:$BR95,0),0)</f>
        <v>0</v>
      </c>
      <c r="HU95" s="26">
        <f>IF(HU$2=InputTable[[#This Row],[Delivery Date]],_xlfn.XLOOKUP(HU$1,$BH$2:$BR$2,$BH95:$BR95,0),0)</f>
        <v>0</v>
      </c>
      <c r="HV95" s="26">
        <f>IF(HV$2=InputTable[[#This Row],[Delivery Date]],_xlfn.XLOOKUP(HV$1,$BH$2:$BR$2,$BH95:$BR95,0),0)</f>
        <v>0</v>
      </c>
      <c r="HW95" s="26">
        <f>IF(HW$2=InputTable[[#This Row],[Delivery Date]],_xlfn.XLOOKUP(HW$1,$BH$2:$BR$2,$BH95:$BR95,0),0)</f>
        <v>0</v>
      </c>
      <c r="HX95" s="26">
        <f>IF(HX$2=InputTable[[#This Row],[Delivery Date]],_xlfn.XLOOKUP(HX$1,$BH$2:$BR$2,$BH95:$BR95,0),0)</f>
        <v>0</v>
      </c>
      <c r="HZ95" s="26" t="e">
        <f>IF(HZ$2=InputTable[[#This Row],[Delivery Date]],_xlfn.XLOOKUP(HZ$1,$BH$2:$BR$2,$BH95:$BR95,0),0)</f>
        <v>#REF!</v>
      </c>
      <c r="IA95" s="26">
        <f>IF(IA$2=InputTable[[#This Row],[Delivery Date]],_xlfn.XLOOKUP(IA$1,$BH$2:$BR$2,$BH95:$BR95,0),0)</f>
        <v>0</v>
      </c>
      <c r="IB95" s="26">
        <f>IF(IB$2=InputTable[[#This Row],[Delivery Date]],_xlfn.XLOOKUP(IB$1,$BH$2:$BR$2,$BH95:$BR95,0),0)</f>
        <v>0</v>
      </c>
      <c r="IC95" s="26">
        <f>IF(IC$2=InputTable[[#This Row],[Delivery Date]],_xlfn.XLOOKUP(IC$1,$BH$2:$BR$2,$BH95:$BR95,0),0)</f>
        <v>0</v>
      </c>
      <c r="ID95" s="26">
        <f>IF(ID$2=InputTable[[#This Row],[Delivery Date]],_xlfn.XLOOKUP(ID$1,$BH$2:$BR$2,$BH95:$BR95,0),0)</f>
        <v>0</v>
      </c>
      <c r="IE95" s="26">
        <f>IF(IE$2=InputTable[[#This Row],[Delivery Date]],_xlfn.XLOOKUP(IE$1,$BH$2:$BR$2,$BH95:$BR95,0),0)</f>
        <v>0</v>
      </c>
      <c r="IF95" s="26">
        <f>IF(IF$2=InputTable[[#This Row],[Delivery Date]],_xlfn.XLOOKUP(IF$1,$BH$2:$BR$2,$BH95:$BR95,0),0)</f>
        <v>0</v>
      </c>
      <c r="IG95" s="26">
        <f>IF(IG$2=InputTable[[#This Row],[Delivery Date]],_xlfn.XLOOKUP(IG$1,$BH$2:$BR$2,$BH95:$BR95,0),0)</f>
        <v>0</v>
      </c>
      <c r="IH95" s="26">
        <f>IF(IH$2=InputTable[[#This Row],[Delivery Date]],_xlfn.XLOOKUP(IH$1,$BH$2:$BR$2,$BH95:$BR95,0),0)</f>
        <v>0</v>
      </c>
      <c r="IJ95" s="26" t="e">
        <f>IF(IJ$2=InputTable[[#This Row],[Delivery Date]],_xlfn.XLOOKUP(IJ$1,$BH$2:$BR$2,$BH95:$BR95,0),0)</f>
        <v>#REF!</v>
      </c>
      <c r="IK95" s="26">
        <f>IF(IK$2=InputTable[[#This Row],[Delivery Date]],_xlfn.XLOOKUP(IK$1,$BH$2:$BR$2,$BH95:$BR95,0),0)</f>
        <v>0</v>
      </c>
      <c r="IL95" s="26">
        <f>IF(IL$2=InputTable[[#This Row],[Delivery Date]],_xlfn.XLOOKUP(IL$1,$BH$2:$BR$2,$BH95:$BR95,0),0)</f>
        <v>0</v>
      </c>
      <c r="IM95" s="26">
        <f>IF(IM$2=InputTable[[#This Row],[Delivery Date]],_xlfn.XLOOKUP(IM$1,$BH$2:$BR$2,$BH95:$BR95,0),0)</f>
        <v>0</v>
      </c>
      <c r="IN95" s="26">
        <f>IF(IN$2=InputTable[[#This Row],[Delivery Date]],_xlfn.XLOOKUP(IN$1,$BH$2:$BR$2,$BH95:$BR95,0),0)</f>
        <v>0</v>
      </c>
      <c r="IO95" s="26">
        <f>IF(IO$2=InputTable[[#This Row],[Delivery Date]],_xlfn.XLOOKUP(IO$1,$BH$2:$BR$2,$BH95:$BR95,0),0)</f>
        <v>0</v>
      </c>
      <c r="IP95" s="26">
        <f>IF(IP$2=InputTable[[#This Row],[Delivery Date]],_xlfn.XLOOKUP(IP$1,$BH$2:$BR$2,$BH95:$BR95,0),0)</f>
        <v>0</v>
      </c>
      <c r="IQ95" s="26">
        <f>IF(IQ$2=InputTable[[#This Row],[Delivery Date]],_xlfn.XLOOKUP(IQ$1,$BH$2:$BR$2,$BH95:$BR95,0),0)</f>
        <v>0</v>
      </c>
      <c r="IR95" s="26">
        <f>IF(IR$2=InputTable[[#This Row],[Delivery Date]],_xlfn.XLOOKUP(IR$1,$BH$2:$BR$2,$BH95:$BR95,0),0)</f>
        <v>0</v>
      </c>
      <c r="IT95" s="26" t="e">
        <f>IF(IT$2=InputTable[[#This Row],[Delivery Date]],_xlfn.XLOOKUP(IT$1,$BH$2:$BR$2,$BH95:$BR95,0),0)</f>
        <v>#REF!</v>
      </c>
      <c r="IU95" s="26">
        <f>IF(IU$2=InputTable[[#This Row],[Delivery Date]],_xlfn.XLOOKUP(IU$1,$BH$2:$BR$2,$BH95:$BR95,0),0)</f>
        <v>0</v>
      </c>
      <c r="IV95" s="26">
        <f>IF(IV$2=InputTable[[#This Row],[Delivery Date]],_xlfn.XLOOKUP(IV$1,$BH$2:$BR$2,$BH95:$BR95,0),0)</f>
        <v>0</v>
      </c>
      <c r="IW95" s="26">
        <f>IF(IW$2=InputTable[[#This Row],[Delivery Date]],_xlfn.XLOOKUP(IW$1,$BH$2:$BR$2,$BH95:$BR95,0),0)</f>
        <v>0</v>
      </c>
      <c r="IX95" s="26">
        <f>IF(IX$2=InputTable[[#This Row],[Delivery Date]],_xlfn.XLOOKUP(IX$1,$BH$2:$BR$2,$BH95:$BR95,0),0)</f>
        <v>0</v>
      </c>
      <c r="IY95" s="26">
        <f>IF(IY$2=InputTable[[#This Row],[Delivery Date]],_xlfn.XLOOKUP(IY$1,$BH$2:$BR$2,$BH95:$BR95,0),0)</f>
        <v>0</v>
      </c>
      <c r="IZ95" s="26">
        <f>IF(IZ$2=InputTable[[#This Row],[Delivery Date]],_xlfn.XLOOKUP(IZ$1,$BH$2:$BR$2,$BH95:$BR95,0),0)</f>
        <v>0</v>
      </c>
      <c r="JA95" s="26">
        <f>IF(JA$2=InputTable[[#This Row],[Delivery Date]],_xlfn.XLOOKUP(JA$1,$BH$2:$BR$2,$BH95:$BR95,0),0)</f>
        <v>0</v>
      </c>
      <c r="JB95" s="26">
        <f>IF(JB$2=InputTable[[#This Row],[Delivery Date]],_xlfn.XLOOKUP(JB$1,$BH$2:$BR$2,$BH95:$BR95,0),0)</f>
        <v>0</v>
      </c>
      <c r="JD95" s="26" t="e">
        <f>IF(JD$2=InputTable[[#This Row],[Delivery Date]],_xlfn.XLOOKUP(JD$1,$BH$2:$BR$2,$BH95:$BR95,0),0)</f>
        <v>#REF!</v>
      </c>
      <c r="JE95" s="26">
        <f>IF(JE$2=InputTable[[#This Row],[Delivery Date]],_xlfn.XLOOKUP(JE$1,$BH$2:$BR$2,$BH95:$BR95,0),0)</f>
        <v>0</v>
      </c>
      <c r="JF95" s="26">
        <f>IF(JF$2=InputTable[[#This Row],[Delivery Date]],_xlfn.XLOOKUP(JF$1,$BH$2:$BR$2,$BH95:$BR95,0),0)</f>
        <v>0</v>
      </c>
      <c r="JG95" s="26">
        <f>IF(JG$2=InputTable[[#This Row],[Delivery Date]],_xlfn.XLOOKUP(JG$1,$BH$2:$BR$2,$BH95:$BR95,0),0)</f>
        <v>0</v>
      </c>
      <c r="JH95" s="26">
        <f>IF(JH$2=InputTable[[#This Row],[Delivery Date]],_xlfn.XLOOKUP(JH$1,$BH$2:$BR$2,$BH95:$BR95,0),0)</f>
        <v>0</v>
      </c>
      <c r="JI95" s="26">
        <f>IF(JI$2=InputTable[[#This Row],[Delivery Date]],_xlfn.XLOOKUP(JI$1,$BH$2:$BR$2,$BH95:$BR95,0),0)</f>
        <v>0</v>
      </c>
      <c r="JJ95" s="26">
        <f>IF(JJ$2=InputTable[[#This Row],[Delivery Date]],_xlfn.XLOOKUP(JJ$1,$BH$2:$BR$2,$BH95:$BR95,0),0)</f>
        <v>0</v>
      </c>
      <c r="JK95" s="26">
        <f>IF(JK$2=InputTable[[#This Row],[Delivery Date]],_xlfn.XLOOKUP(JK$1,$BH$2:$BR$2,$BH95:$BR95,0),0)</f>
        <v>0</v>
      </c>
      <c r="JL95" s="26">
        <f>IF(JL$2=InputTable[[#This Row],[Delivery Date]],_xlfn.XLOOKUP(JL$1,$BH$2:$BR$2,$BH95:$BR95,0),0)</f>
        <v>0</v>
      </c>
      <c r="JN95" s="26" t="e">
        <f>IF(JN$2=InputTable[[#This Row],[Delivery Date]],_xlfn.XLOOKUP(JN$1,$BH$2:$BR$2,$BH95:$BR95,0),0)</f>
        <v>#REF!</v>
      </c>
      <c r="JO95" s="26">
        <f>IF(JO$2=InputTable[[#This Row],[Delivery Date]],_xlfn.XLOOKUP(JO$1,$BH$2:$BR$2,$BH95:$BR95,0),0)</f>
        <v>0</v>
      </c>
      <c r="JP95" s="26">
        <f>IF(JP$2=InputTable[[#This Row],[Delivery Date]],_xlfn.XLOOKUP(JP$1,$BH$2:$BR$2,$BH95:$BR95,0),0)</f>
        <v>0</v>
      </c>
      <c r="JQ95" s="26">
        <f>IF(JQ$2=InputTable[[#This Row],[Delivery Date]],_xlfn.XLOOKUP(JQ$1,$BH$2:$BR$2,$BH95:$BR95,0),0)</f>
        <v>0</v>
      </c>
      <c r="JR95" s="26">
        <f>IF(JR$2=InputTable[[#This Row],[Delivery Date]],_xlfn.XLOOKUP(JR$1,$BH$2:$BR$2,$BH95:$BR95,0),0)</f>
        <v>0</v>
      </c>
      <c r="JS95" s="26">
        <f>IF(JS$2=InputTable[[#This Row],[Delivery Date]],_xlfn.XLOOKUP(JS$1,$BH$2:$BR$2,$BH95:$BR95,0),0)</f>
        <v>0</v>
      </c>
      <c r="JT95" s="26">
        <f>IF(JT$2=InputTable[[#This Row],[Delivery Date]],_xlfn.XLOOKUP(JT$1,$BH$2:$BR$2,$BH95:$BR95,0),0)</f>
        <v>0</v>
      </c>
      <c r="JU95" s="26">
        <f>IF(JU$2=InputTable[[#This Row],[Delivery Date]],_xlfn.XLOOKUP(JU$1,$BH$2:$BR$2,$BH95:$BR95,0),0)</f>
        <v>0</v>
      </c>
      <c r="JV95" s="26">
        <f>IF(JV$2=InputTable[[#This Row],[Delivery Date]],_xlfn.XLOOKUP(JV$1,$BH$2:$BR$2,$BH95:$BR95,0),0)</f>
        <v>0</v>
      </c>
      <c r="JX95" s="26" t="e">
        <f>IF(JX$2=InputTable[[#This Row],[Delivery Date]],_xlfn.XLOOKUP(JX$1,$BH$2:$BR$2,$BH95:$BR95,0),0)</f>
        <v>#REF!</v>
      </c>
      <c r="JY95" s="26">
        <f>IF(JY$2=InputTable[[#This Row],[Delivery Date]],_xlfn.XLOOKUP(JY$1,$BH$2:$BR$2,$BH95:$BR95,0),0)</f>
        <v>0</v>
      </c>
      <c r="JZ95" s="26">
        <f>IF(JZ$2=InputTable[[#This Row],[Delivery Date]],_xlfn.XLOOKUP(JZ$1,$BH$2:$BR$2,$BH95:$BR95,0),0)</f>
        <v>0</v>
      </c>
      <c r="KA95" s="26">
        <f>IF(KA$2=InputTable[[#This Row],[Delivery Date]],_xlfn.XLOOKUP(KA$1,$BH$2:$BR$2,$BH95:$BR95,0),0)</f>
        <v>0</v>
      </c>
      <c r="KB95" s="26">
        <f>IF(KB$2=InputTable[[#This Row],[Delivery Date]],_xlfn.XLOOKUP(KB$1,$BH$2:$BR$2,$BH95:$BR95,0),0)</f>
        <v>0</v>
      </c>
      <c r="KC95" s="26">
        <f>IF(KC$2=InputTable[[#This Row],[Delivery Date]],_xlfn.XLOOKUP(KC$1,$BH$2:$BR$2,$BH95:$BR95,0),0)</f>
        <v>0</v>
      </c>
      <c r="KD95" s="26">
        <f>IF(KD$2=InputTable[[#This Row],[Delivery Date]],_xlfn.XLOOKUP(KD$1,$BH$2:$BR$2,$BH95:$BR95,0),0)</f>
        <v>0</v>
      </c>
      <c r="KE95" s="26">
        <f>IF(KE$2=InputTable[[#This Row],[Delivery Date]],_xlfn.XLOOKUP(KE$1,$BH$2:$BR$2,$BH95:$BR95,0),0)</f>
        <v>0</v>
      </c>
      <c r="KF95" s="26">
        <f>IF(KF$2=InputTable[[#This Row],[Delivery Date]],_xlfn.XLOOKUP(KF$1,$BH$2:$BR$2,$BH95:$BR95,0),0)</f>
        <v>0</v>
      </c>
    </row>
    <row r="96" spans="1:292" ht="39.6" hidden="1" customHeight="1" x14ac:dyDescent="0.25">
      <c r="A96" s="141"/>
      <c r="B96" s="141" t="s">
        <v>156</v>
      </c>
      <c r="C96" s="92" t="s">
        <v>61</v>
      </c>
      <c r="D96" s="125" t="s">
        <v>395</v>
      </c>
      <c r="E96" s="193" t="s">
        <v>396</v>
      </c>
      <c r="F96" s="92" t="s">
        <v>61</v>
      </c>
      <c r="G96" s="92" t="s">
        <v>97</v>
      </c>
      <c r="H96" s="92"/>
      <c r="I96" s="92" t="s">
        <v>160</v>
      </c>
      <c r="J96" s="122"/>
      <c r="K96" s="95" t="e">
        <f>VLOOKUP((InputTable[[#This Row],[Starting Date]]&amp; " - " &amp;InputTable[[#This Row],[Delivery Date]]),'System List'!$F$40:$H$83,2,FALSE)</f>
        <v>#N/A</v>
      </c>
      <c r="L96" s="95" t="e">
        <f>VLOOKUP(InputTable[[#This Row],[Duration]],Duration,2,FALSE)</f>
        <v>#N/A</v>
      </c>
      <c r="M96" s="122" t="s">
        <v>110</v>
      </c>
      <c r="N96" s="92"/>
      <c r="O96" s="92"/>
      <c r="P96" s="92"/>
      <c r="Q96" s="92"/>
      <c r="R96" s="92" t="s">
        <v>111</v>
      </c>
      <c r="S96" s="92"/>
      <c r="T96" s="172" cm="1">
        <f t="array" ref="T9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96" s="138"/>
      <c r="V96" s="92"/>
      <c r="W96" s="92"/>
      <c r="X96" s="92"/>
      <c r="Y96" s="92"/>
      <c r="Z96" s="92"/>
      <c r="AA96" s="92"/>
      <c r="AB96" s="92"/>
      <c r="AC96" s="92"/>
      <c r="AD96" s="92">
        <f>COUNTA(InputTable[[#This Row],[CORPHRFIN]:[SALES]])</f>
        <v>0</v>
      </c>
      <c r="AE96" s="88" cm="1">
        <f t="array" ref="AE96">SUM(
_xlfn.XLOOKUP(InputTable[[#This Row],[CORPHRFIN]:[SALES]],'System List'!$F$4:$F$7,'System List'!$H$4:$H$7,0))</f>
        <v>0</v>
      </c>
      <c r="AF96" s="140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88" cm="1">
        <f t="array" ref="AR96">SUM(
_xlfn.XLOOKUP(InputTable[[#This Row],[Impact on - CIAL]:[Impact on - STRAT]],'System List'!$F$4:$F$7,'System List'!$H$4:$H$7,0))</f>
        <v>0</v>
      </c>
      <c r="AS96" s="88" t="e">
        <f>VLOOKUP(InputTable[[#This Row],[Duration]],Duration,2,FALSE)+InputTable[[#This Row],[Resource Score]]</f>
        <v>#N/A</v>
      </c>
      <c r="AT9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6" s="24" t="e">
        <f>InputTable[[#This Row],[Value Score]]/InputTable[[#This Row],[EFFORT SCORE]]*100</f>
        <v>#N/A</v>
      </c>
      <c r="AV96" s="25" t="str">
        <f>InputTable[[#This Row],[IS Portfolio Ref ID]]</f>
        <v>ISPRJ-96</v>
      </c>
      <c r="AW96" s="25" t="s">
        <v>194</v>
      </c>
      <c r="AX96" s="208"/>
      <c r="AY96" s="25"/>
      <c r="AZ96" s="209">
        <v>0</v>
      </c>
      <c r="BA96" s="209">
        <v>0</v>
      </c>
      <c r="BB96" s="209"/>
      <c r="BC96" s="189"/>
      <c r="BD96" s="188"/>
      <c r="BE96" s="188"/>
      <c r="BF96" s="70"/>
      <c r="BH96" s="2">
        <f>IFERROR(VLOOKUP(InputTable[[#This Row],[Impact on - CIAL]],'System List'!$F$4:$H$7,3,FALSE),0)</f>
        <v>0</v>
      </c>
      <c r="BI96" s="2">
        <f>IFERROR(VLOOKUP(InputTable[[#This Row],[Impact on - COM]],'System List'!$F$4:$H$7,3,FALSE),0)</f>
        <v>0</v>
      </c>
      <c r="BJ96" s="2">
        <f>IFERROR(VLOOKUP(InputTable[[#This Row],[Impact on - FIN]],'System List'!$F$4:$H$7,3,FALSE),0)</f>
        <v>0</v>
      </c>
      <c r="BK96" s="2">
        <f>IFERROR(VLOOKUP(InputTable[[#This Row],[Impact on - GEN SEC]],'System List'!$F$4:$H$7,3,FALSE),0)</f>
        <v>0</v>
      </c>
      <c r="BL96" s="2">
        <f>IFERROR(VLOOKUP(InputTable[[#This Row],[Impact on - HR]],'System List'!$F$4:$H$7,3,FALSE),0)</f>
        <v>0</v>
      </c>
      <c r="BM96" s="2">
        <f>IFERROR(VLOOKUP(InputTable[[#This Row],[Impact on - IS]],'System List'!$F$4:$H$7,3,FALSE),0)</f>
        <v>0</v>
      </c>
      <c r="BN96" s="2">
        <f>IFERROR(VLOOKUP(InputTable[[#This Row],[Impact on - OPS]],'System List'!$F$4:$H$7,3,FALSE),0)</f>
        <v>0</v>
      </c>
      <c r="BO96" s="2">
        <f>IFERROR(VLOOKUP(InputTable[[#This Row],[Impact on - ROLL STOCK]],'System List'!$F$4:$H$7,3,FALSE),0)</f>
        <v>0</v>
      </c>
      <c r="BP96" s="2">
        <f>IFERROR(VLOOKUP(InputTable[[#This Row],[Impact on - SAFETY]],'System List'!$F$4:$H$7,3,FALSE),0)</f>
        <v>0</v>
      </c>
      <c r="BQ96" s="2">
        <f>IFERROR(VLOOKUP(InputTable[[#This Row],[Impact on - STATION]],'System List'!$F$4:$H$7,3,FALSE),0)</f>
        <v>0</v>
      </c>
      <c r="BR96" s="2">
        <f>IFERROR(VLOOKUP(InputTable[[#This Row],[Impact on - STRAT]],'System List'!$F$4:$H$7,3,FALSE),0)</f>
        <v>0</v>
      </c>
      <c r="BT96" s="2">
        <f>IFERROR(VLOOKUP(InputTable[[#This Row],[CORPHRFIN]],'System List'!$F$4:$H$7,3,FALSE),0)</f>
        <v>0</v>
      </c>
      <c r="BU96" s="2">
        <f>IFERROR(VLOOKUP(InputTable[[#This Row],[CUST]],'System List'!$F$4:$H$7,3,FALSE),0)</f>
        <v>0</v>
      </c>
      <c r="BV96" s="2">
        <f>IFERROR(VLOOKUP(InputTable[[#This Row],[CYBER]],'System List'!$F$4:$H$7,3,FALSE),0)</f>
        <v>0</v>
      </c>
      <c r="BW96" s="2">
        <f>IFERROR(VLOOKUP(InputTable[[#This Row],[DATA]],'System List'!$F$4:$H$7,3,FALSE),0)</f>
        <v>0</v>
      </c>
      <c r="BX96" s="2">
        <f>IFERROR(VLOOKUP(InputTable[[#This Row],[INFRA]],'System List'!$F$4:$H$7,3,FALSE),0)</f>
        <v>0</v>
      </c>
      <c r="BY96" s="2">
        <f>IFERROR(VLOOKUP(InputTable[[#This Row],[OPERATIONS]],'System List'!$F$4:$H$7,3,FALSE),0)</f>
        <v>0</v>
      </c>
      <c r="BZ96" s="2">
        <f>IFERROR(VLOOKUP(InputTable[[#This Row],[PMO]],'System List'!$F$4:$H$7,3,FALSE),0)</f>
        <v>0</v>
      </c>
      <c r="CA96" s="2">
        <f>IFERROR(VLOOKUP(InputTable[[#This Row],[SALES]],'System List'!$F$4:$H$7,3,FALSE),0)</f>
        <v>0</v>
      </c>
      <c r="CC96" s="2" cm="1">
        <f t="array" ref="CC9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6" s="2" cm="1">
        <f t="array" ref="CD9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6" s="2" cm="1">
        <f t="array" ref="CE9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6" s="2" cm="1">
        <f t="array" ref="CF9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6" s="2" cm="1">
        <f t="array" ref="CG9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6" s="2" cm="1">
        <f t="array" ref="CH9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6" s="2" cm="1">
        <f t="array" ref="CI9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6" s="2" cm="1">
        <f t="array" ref="CJ9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6" s="2" cm="1">
        <f t="array" ref="CK9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9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9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6" s="26">
        <f t="shared" si="224"/>
        <v>0</v>
      </c>
      <c r="CY96" s="26">
        <f t="shared" si="225"/>
        <v>0</v>
      </c>
      <c r="CZ96" s="26">
        <f t="shared" si="226"/>
        <v>0</v>
      </c>
      <c r="DA96" s="26">
        <f t="shared" si="227"/>
        <v>0</v>
      </c>
      <c r="DB96" s="26">
        <f t="shared" si="228"/>
        <v>0</v>
      </c>
      <c r="DC96" s="26">
        <f t="shared" si="229"/>
        <v>0</v>
      </c>
      <c r="DD96" s="26">
        <f t="shared" si="230"/>
        <v>0</v>
      </c>
      <c r="DE96" s="26">
        <f t="shared" si="231"/>
        <v>0</v>
      </c>
      <c r="DF96" s="26">
        <f t="shared" si="232"/>
        <v>0</v>
      </c>
      <c r="DH96" s="26">
        <f t="shared" si="233"/>
        <v>0</v>
      </c>
      <c r="DI96" s="26">
        <f t="shared" si="234"/>
        <v>0</v>
      </c>
      <c r="DJ96" s="26">
        <f t="shared" si="235"/>
        <v>0</v>
      </c>
      <c r="DK96" s="26">
        <f t="shared" si="236"/>
        <v>0</v>
      </c>
      <c r="DL96" s="26">
        <f t="shared" si="237"/>
        <v>0</v>
      </c>
      <c r="DM96" s="26">
        <f t="shared" si="238"/>
        <v>0</v>
      </c>
      <c r="DN96" s="26">
        <f t="shared" si="239"/>
        <v>0</v>
      </c>
      <c r="DO96" s="26">
        <f t="shared" si="240"/>
        <v>0</v>
      </c>
      <c r="DP96" s="26">
        <f t="shared" si="241"/>
        <v>0</v>
      </c>
      <c r="DR96" s="26">
        <f t="shared" si="242"/>
        <v>0</v>
      </c>
      <c r="DS96" s="26">
        <f t="shared" si="243"/>
        <v>0</v>
      </c>
      <c r="DT96" s="26">
        <f t="shared" si="244"/>
        <v>0</v>
      </c>
      <c r="DU96" s="26">
        <f t="shared" si="245"/>
        <v>0</v>
      </c>
      <c r="DV96" s="26">
        <f t="shared" si="246"/>
        <v>0</v>
      </c>
      <c r="DW96" s="26">
        <f t="shared" si="247"/>
        <v>0</v>
      </c>
      <c r="DX96" s="26">
        <f t="shared" si="248"/>
        <v>0</v>
      </c>
      <c r="DY96" s="26">
        <f t="shared" si="249"/>
        <v>0</v>
      </c>
      <c r="DZ96" s="26">
        <f t="shared" si="250"/>
        <v>0</v>
      </c>
      <c r="EB96" s="26">
        <f t="shared" si="251"/>
        <v>0</v>
      </c>
      <c r="EC96" s="26">
        <f t="shared" si="252"/>
        <v>0</v>
      </c>
      <c r="ED96" s="26">
        <f t="shared" si="253"/>
        <v>0</v>
      </c>
      <c r="EE96" s="26">
        <f t="shared" si="254"/>
        <v>0</v>
      </c>
      <c r="EF96" s="26">
        <f t="shared" si="255"/>
        <v>0</v>
      </c>
      <c r="EG96" s="26">
        <f t="shared" si="256"/>
        <v>0</v>
      </c>
      <c r="EH96" s="26">
        <f t="shared" si="257"/>
        <v>0</v>
      </c>
      <c r="EI96" s="26">
        <f t="shared" si="258"/>
        <v>0</v>
      </c>
      <c r="EJ96" s="26">
        <f t="shared" si="259"/>
        <v>0</v>
      </c>
      <c r="EL96" s="26">
        <f t="shared" si="260"/>
        <v>0</v>
      </c>
      <c r="EM96" s="26">
        <f t="shared" si="261"/>
        <v>0</v>
      </c>
      <c r="EN96" s="26">
        <f t="shared" si="262"/>
        <v>0</v>
      </c>
      <c r="EO96" s="26">
        <f t="shared" si="263"/>
        <v>0</v>
      </c>
      <c r="EP96" s="26">
        <f t="shared" si="264"/>
        <v>0</v>
      </c>
      <c r="EQ96" s="26">
        <f t="shared" si="265"/>
        <v>0</v>
      </c>
      <c r="ER96" s="26">
        <f t="shared" si="266"/>
        <v>0</v>
      </c>
      <c r="ES96" s="26">
        <f t="shared" si="267"/>
        <v>0</v>
      </c>
      <c r="ET96" s="26">
        <f t="shared" si="268"/>
        <v>0</v>
      </c>
      <c r="EV96" s="26">
        <f t="shared" si="269"/>
        <v>0</v>
      </c>
      <c r="EW96" s="26">
        <f t="shared" si="270"/>
        <v>0</v>
      </c>
      <c r="EX96" s="26">
        <f t="shared" si="271"/>
        <v>0</v>
      </c>
      <c r="EY96" s="26">
        <f t="shared" si="272"/>
        <v>0</v>
      </c>
      <c r="EZ96" s="26">
        <f t="shared" si="273"/>
        <v>0</v>
      </c>
      <c r="FA96" s="26">
        <f t="shared" si="274"/>
        <v>0</v>
      </c>
      <c r="FB96" s="26">
        <f t="shared" si="275"/>
        <v>0</v>
      </c>
      <c r="FC96" s="26">
        <f t="shared" si="276"/>
        <v>0</v>
      </c>
      <c r="FD96" s="26">
        <f t="shared" si="277"/>
        <v>0</v>
      </c>
      <c r="FF96" s="26">
        <f t="shared" si="278"/>
        <v>0</v>
      </c>
      <c r="FG96" s="26">
        <f t="shared" si="279"/>
        <v>0</v>
      </c>
      <c r="FH96" s="26">
        <f t="shared" si="280"/>
        <v>0</v>
      </c>
      <c r="FI96" s="26">
        <f t="shared" si="281"/>
        <v>0</v>
      </c>
      <c r="FJ96" s="26">
        <f t="shared" si="282"/>
        <v>0</v>
      </c>
      <c r="FK96" s="26">
        <f t="shared" si="283"/>
        <v>0</v>
      </c>
      <c r="FL96" s="26">
        <f t="shared" si="284"/>
        <v>0</v>
      </c>
      <c r="FM96" s="26">
        <f t="shared" si="285"/>
        <v>0</v>
      </c>
      <c r="FN96" s="26">
        <f t="shared" si="286"/>
        <v>0</v>
      </c>
      <c r="FP96" s="26" t="e">
        <f t="shared" si="287"/>
        <v>#REF!</v>
      </c>
      <c r="FQ96" s="26" t="e">
        <f t="shared" si="288"/>
        <v>#REF!</v>
      </c>
      <c r="FR96" s="26" t="e">
        <f t="shared" si="289"/>
        <v>#REF!</v>
      </c>
      <c r="FS96" s="26" t="e">
        <f t="shared" si="290"/>
        <v>#REF!</v>
      </c>
      <c r="FT96" s="26" t="e">
        <f t="shared" si="291"/>
        <v>#REF!</v>
      </c>
      <c r="FU96" s="26" t="e">
        <f t="shared" si="292"/>
        <v>#REF!</v>
      </c>
      <c r="FV96" s="26" t="e">
        <f t="shared" si="293"/>
        <v>#REF!</v>
      </c>
      <c r="FW96" s="26" t="e">
        <f t="shared" si="294"/>
        <v>#REF!</v>
      </c>
      <c r="FX96" s="26" t="e">
        <f t="shared" si="295"/>
        <v>#REF!</v>
      </c>
      <c r="GB96" s="26" t="e">
        <f>IF(GB$2=InputTable[[#This Row],[Delivery Date]],_xlfn.XLOOKUP(GB$1,$BH$2:$BR$2,$BH96:$BR96,0),0)</f>
        <v>#REF!</v>
      </c>
      <c r="GC96" s="26">
        <f>IF(GC$2=InputTable[[#This Row],[Delivery Date]],_xlfn.XLOOKUP(GC$1,$BH$2:$BR$2,$BH96:$BR96,0),0)</f>
        <v>0</v>
      </c>
      <c r="GD96" s="26">
        <f>IF(GD$2=InputTable[[#This Row],[Delivery Date]],_xlfn.XLOOKUP(GD$1,$BH$2:$BR$2,$BH96:$BR96,0),0)</f>
        <v>0</v>
      </c>
      <c r="GE96" s="26">
        <f>IF(GE$2=InputTable[[#This Row],[Delivery Date]],_xlfn.XLOOKUP(GE$1,$BH$2:$BR$2,$BH96:$BR96,0),0)</f>
        <v>0</v>
      </c>
      <c r="GF96" s="26">
        <f>IF(GF$2=InputTable[[#This Row],[Delivery Date]],_xlfn.XLOOKUP(GF$1,$BH$2:$BR$2,$BH96:$BR96,0),0)</f>
        <v>0</v>
      </c>
      <c r="GG96" s="26">
        <f>IF(GG$2=InputTable[[#This Row],[Delivery Date]],_xlfn.XLOOKUP(GG$1,$BH$2:$BR$2,$BH96:$BR96,0),0)</f>
        <v>0</v>
      </c>
      <c r="GH96" s="26">
        <f>IF(GH$2=InputTable[[#This Row],[Delivery Date]],_xlfn.XLOOKUP(GH$1,$BH$2:$BR$2,$BH96:$BR96,0),0)</f>
        <v>0</v>
      </c>
      <c r="GI96" s="26">
        <f>IF(GI$2=InputTable[[#This Row],[Delivery Date]],_xlfn.XLOOKUP(GI$1,$BH$2:$BR$2,$BH96:$BR96,0),0)</f>
        <v>0</v>
      </c>
      <c r="GJ96" s="26">
        <f>IF(GJ$2=InputTable[[#This Row],[Delivery Date]],_xlfn.XLOOKUP(GJ$1,$BH$2:$BR$2,$BH96:$BR96,0),0)</f>
        <v>0</v>
      </c>
      <c r="GL96" s="26" t="e">
        <f>IF(GL$2=InputTable[[#This Row],[Delivery Date]],_xlfn.XLOOKUP(GL$1,$BH$2:$BR$2,$BH96:$BR96,0),0)</f>
        <v>#REF!</v>
      </c>
      <c r="GM96" s="26">
        <f>IF(GM$2=InputTable[[#This Row],[Delivery Date]],_xlfn.XLOOKUP(GM$1,$BH$2:$BR$2,$BH96:$BR96,0),0)</f>
        <v>0</v>
      </c>
      <c r="GN96" s="26">
        <f>IF(GN$2=InputTable[[#This Row],[Delivery Date]],_xlfn.XLOOKUP(GN$1,$BH$2:$BR$2,$BH96:$BR96,0),0)</f>
        <v>0</v>
      </c>
      <c r="GO96" s="26">
        <f>IF(GO$2=InputTable[[#This Row],[Delivery Date]],_xlfn.XLOOKUP(GO$1,$BH$2:$BR$2,$BH96:$BR96,0),0)</f>
        <v>0</v>
      </c>
      <c r="GP96" s="26">
        <f>IF(GP$2=InputTable[[#This Row],[Delivery Date]],_xlfn.XLOOKUP(GP$1,$BH$2:$BR$2,$BH96:$BR96,0),0)</f>
        <v>0</v>
      </c>
      <c r="GQ96" s="26">
        <f>IF(GQ$2=InputTable[[#This Row],[Delivery Date]],_xlfn.XLOOKUP(GQ$1,$BH$2:$BR$2,$BH96:$BR96,0),0)</f>
        <v>0</v>
      </c>
      <c r="GR96" s="26">
        <f>IF(GR$2=InputTable[[#This Row],[Delivery Date]],_xlfn.XLOOKUP(GR$1,$BH$2:$BR$2,$BH96:$BR96,0),0)</f>
        <v>0</v>
      </c>
      <c r="GS96" s="26">
        <f>IF(GS$2=InputTable[[#This Row],[Delivery Date]],_xlfn.XLOOKUP(GS$1,$BH$2:$BR$2,$BH96:$BR96,0),0)</f>
        <v>0</v>
      </c>
      <c r="GT96" s="26">
        <f>IF(GT$2=InputTable[[#This Row],[Delivery Date]],_xlfn.XLOOKUP(GT$1,$BH$2:$BR$2,$BH96:$BR96,0),0)</f>
        <v>0</v>
      </c>
      <c r="GV96" s="26" t="e">
        <f>IF(GV$2=InputTable[[#This Row],[Delivery Date]],_xlfn.XLOOKUP(GV$1,$BH$2:$BR$2,$BH96:$BR96,0),0)</f>
        <v>#REF!</v>
      </c>
      <c r="GW96" s="26">
        <f>IF(GW$2=InputTable[[#This Row],[Delivery Date]],_xlfn.XLOOKUP(GW$1,$BH$2:$BR$2,$BH96:$BR96,0),0)</f>
        <v>0</v>
      </c>
      <c r="GX96" s="26">
        <f>IF(GX$2=InputTable[[#This Row],[Delivery Date]],_xlfn.XLOOKUP(GX$1,$BH$2:$BR$2,$BH96:$BR96,0),0)</f>
        <v>0</v>
      </c>
      <c r="GY96" s="26">
        <f>IF(GY$2=InputTable[[#This Row],[Delivery Date]],_xlfn.XLOOKUP(GY$1,$BH$2:$BR$2,$BH96:$BR96,0),0)</f>
        <v>0</v>
      </c>
      <c r="GZ96" s="26">
        <f>IF(GZ$2=InputTable[[#This Row],[Delivery Date]],_xlfn.XLOOKUP(GZ$1,$BH$2:$BR$2,$BH96:$BR96,0),0)</f>
        <v>0</v>
      </c>
      <c r="HA96" s="26">
        <f>IF(HA$2=InputTable[[#This Row],[Delivery Date]],_xlfn.XLOOKUP(HA$1,$BH$2:$BR$2,$BH96:$BR96,0),0)</f>
        <v>0</v>
      </c>
      <c r="HB96" s="26">
        <f>IF(HB$2=InputTable[[#This Row],[Delivery Date]],_xlfn.XLOOKUP(HB$1,$BH$2:$BR$2,$BH96:$BR96,0),0)</f>
        <v>0</v>
      </c>
      <c r="HC96" s="26">
        <f>IF(HC$2=InputTable[[#This Row],[Delivery Date]],_xlfn.XLOOKUP(HC$1,$BH$2:$BR$2,$BH96:$BR96,0),0)</f>
        <v>0</v>
      </c>
      <c r="HD96" s="26">
        <f>IF(HD$2=InputTable[[#This Row],[Delivery Date]],_xlfn.XLOOKUP(HD$1,$BH$2:$BR$2,$BH96:$BR96,0),0)</f>
        <v>0</v>
      </c>
      <c r="HF96" s="26" t="e">
        <f>IF(HF$2=InputTable[[#This Row],[Delivery Date]],_xlfn.XLOOKUP(HF$1,$BH$2:$BR$2,$BH96:$BR96,0),0)</f>
        <v>#REF!</v>
      </c>
      <c r="HG96" s="26">
        <f>IF(HG$2=InputTable[[#This Row],[Delivery Date]],_xlfn.XLOOKUP(HG$1,$BH$2:$BR$2,$BH96:$BR96,0),0)</f>
        <v>0</v>
      </c>
      <c r="HH96" s="26">
        <f>IF(HH$2=InputTable[[#This Row],[Delivery Date]],_xlfn.XLOOKUP(HH$1,$BH$2:$BR$2,$BH96:$BR96,0),0)</f>
        <v>0</v>
      </c>
      <c r="HI96" s="26">
        <f>IF(HI$2=InputTable[[#This Row],[Delivery Date]],_xlfn.XLOOKUP(HI$1,$BH$2:$BR$2,$BH96:$BR96,0),0)</f>
        <v>0</v>
      </c>
      <c r="HJ96" s="26">
        <f>IF(HJ$2=InputTable[[#This Row],[Delivery Date]],_xlfn.XLOOKUP(HJ$1,$BH$2:$BR$2,$BH96:$BR96,0),0)</f>
        <v>0</v>
      </c>
      <c r="HK96" s="26">
        <f>IF(HK$2=InputTable[[#This Row],[Delivery Date]],_xlfn.XLOOKUP(HK$1,$BH$2:$BR$2,$BH96:$BR96,0),0)</f>
        <v>0</v>
      </c>
      <c r="HL96" s="26">
        <f>IF(HL$2=InputTable[[#This Row],[Delivery Date]],_xlfn.XLOOKUP(HL$1,$BH$2:$BR$2,$BH96:$BR96,0),0)</f>
        <v>0</v>
      </c>
      <c r="HM96" s="26">
        <f>IF(HM$2=InputTable[[#This Row],[Delivery Date]],_xlfn.XLOOKUP(HM$1,$BH$2:$BR$2,$BH96:$BR96,0),0)</f>
        <v>0</v>
      </c>
      <c r="HN96" s="26">
        <f>IF(HN$2=InputTable[[#This Row],[Delivery Date]],_xlfn.XLOOKUP(HN$1,$BH$2:$BR$2,$BH96:$BR96,0),0)</f>
        <v>0</v>
      </c>
      <c r="HP96" s="26" t="e">
        <f>IF(HP$2=InputTable[[#This Row],[Delivery Date]],_xlfn.XLOOKUP(HP$1,$BH$2:$BR$2,$BH96:$BR96,0),0)</f>
        <v>#REF!</v>
      </c>
      <c r="HQ96" s="26">
        <f>IF(HQ$2=InputTable[[#This Row],[Delivery Date]],_xlfn.XLOOKUP(HQ$1,$BH$2:$BR$2,$BH96:$BR96,0),0)</f>
        <v>0</v>
      </c>
      <c r="HR96" s="26">
        <f>IF(HR$2=InputTable[[#This Row],[Delivery Date]],_xlfn.XLOOKUP(HR$1,$BH$2:$BR$2,$BH96:$BR96,0),0)</f>
        <v>0</v>
      </c>
      <c r="HS96" s="26">
        <f>IF(HS$2=InputTable[[#This Row],[Delivery Date]],_xlfn.XLOOKUP(HS$1,$BH$2:$BR$2,$BH96:$BR96,0),0)</f>
        <v>0</v>
      </c>
      <c r="HT96" s="26">
        <f>IF(HT$2=InputTable[[#This Row],[Delivery Date]],_xlfn.XLOOKUP(HT$1,$BH$2:$BR$2,$BH96:$BR96,0),0)</f>
        <v>0</v>
      </c>
      <c r="HU96" s="26">
        <f>IF(HU$2=InputTable[[#This Row],[Delivery Date]],_xlfn.XLOOKUP(HU$1,$BH$2:$BR$2,$BH96:$BR96,0),0)</f>
        <v>0</v>
      </c>
      <c r="HV96" s="26">
        <f>IF(HV$2=InputTable[[#This Row],[Delivery Date]],_xlfn.XLOOKUP(HV$1,$BH$2:$BR$2,$BH96:$BR96,0),0)</f>
        <v>0</v>
      </c>
      <c r="HW96" s="26">
        <f>IF(HW$2=InputTable[[#This Row],[Delivery Date]],_xlfn.XLOOKUP(HW$1,$BH$2:$BR$2,$BH96:$BR96,0),0)</f>
        <v>0</v>
      </c>
      <c r="HX96" s="26">
        <f>IF(HX$2=InputTable[[#This Row],[Delivery Date]],_xlfn.XLOOKUP(HX$1,$BH$2:$BR$2,$BH96:$BR96,0),0)</f>
        <v>0</v>
      </c>
      <c r="HZ96" s="26" t="e">
        <f>IF(HZ$2=InputTable[[#This Row],[Delivery Date]],_xlfn.XLOOKUP(HZ$1,$BH$2:$BR$2,$BH96:$BR96,0),0)</f>
        <v>#REF!</v>
      </c>
      <c r="IA96" s="26">
        <f>IF(IA$2=InputTable[[#This Row],[Delivery Date]],_xlfn.XLOOKUP(IA$1,$BH$2:$BR$2,$BH96:$BR96,0),0)</f>
        <v>0</v>
      </c>
      <c r="IB96" s="26">
        <f>IF(IB$2=InputTable[[#This Row],[Delivery Date]],_xlfn.XLOOKUP(IB$1,$BH$2:$BR$2,$BH96:$BR96,0),0)</f>
        <v>0</v>
      </c>
      <c r="IC96" s="26">
        <f>IF(IC$2=InputTable[[#This Row],[Delivery Date]],_xlfn.XLOOKUP(IC$1,$BH$2:$BR$2,$BH96:$BR96,0),0)</f>
        <v>0</v>
      </c>
      <c r="ID96" s="26">
        <f>IF(ID$2=InputTable[[#This Row],[Delivery Date]],_xlfn.XLOOKUP(ID$1,$BH$2:$BR$2,$BH96:$BR96,0),0)</f>
        <v>0</v>
      </c>
      <c r="IE96" s="26">
        <f>IF(IE$2=InputTable[[#This Row],[Delivery Date]],_xlfn.XLOOKUP(IE$1,$BH$2:$BR$2,$BH96:$BR96,0),0)</f>
        <v>0</v>
      </c>
      <c r="IF96" s="26">
        <f>IF(IF$2=InputTable[[#This Row],[Delivery Date]],_xlfn.XLOOKUP(IF$1,$BH$2:$BR$2,$BH96:$BR96,0),0)</f>
        <v>0</v>
      </c>
      <c r="IG96" s="26">
        <f>IF(IG$2=InputTable[[#This Row],[Delivery Date]],_xlfn.XLOOKUP(IG$1,$BH$2:$BR$2,$BH96:$BR96,0),0)</f>
        <v>0</v>
      </c>
      <c r="IH96" s="26">
        <f>IF(IH$2=InputTable[[#This Row],[Delivery Date]],_xlfn.XLOOKUP(IH$1,$BH$2:$BR$2,$BH96:$BR96,0),0)</f>
        <v>0</v>
      </c>
      <c r="IJ96" s="26" t="e">
        <f>IF(IJ$2=InputTable[[#This Row],[Delivery Date]],_xlfn.XLOOKUP(IJ$1,$BH$2:$BR$2,$BH96:$BR96,0),0)</f>
        <v>#REF!</v>
      </c>
      <c r="IK96" s="26">
        <f>IF(IK$2=InputTable[[#This Row],[Delivery Date]],_xlfn.XLOOKUP(IK$1,$BH$2:$BR$2,$BH96:$BR96,0),0)</f>
        <v>0</v>
      </c>
      <c r="IL96" s="26">
        <f>IF(IL$2=InputTable[[#This Row],[Delivery Date]],_xlfn.XLOOKUP(IL$1,$BH$2:$BR$2,$BH96:$BR96,0),0)</f>
        <v>0</v>
      </c>
      <c r="IM96" s="26">
        <f>IF(IM$2=InputTable[[#This Row],[Delivery Date]],_xlfn.XLOOKUP(IM$1,$BH$2:$BR$2,$BH96:$BR96,0),0)</f>
        <v>0</v>
      </c>
      <c r="IN96" s="26">
        <f>IF(IN$2=InputTable[[#This Row],[Delivery Date]],_xlfn.XLOOKUP(IN$1,$BH$2:$BR$2,$BH96:$BR96,0),0)</f>
        <v>0</v>
      </c>
      <c r="IO96" s="26">
        <f>IF(IO$2=InputTable[[#This Row],[Delivery Date]],_xlfn.XLOOKUP(IO$1,$BH$2:$BR$2,$BH96:$BR96,0),0)</f>
        <v>0</v>
      </c>
      <c r="IP96" s="26">
        <f>IF(IP$2=InputTable[[#This Row],[Delivery Date]],_xlfn.XLOOKUP(IP$1,$BH$2:$BR$2,$BH96:$BR96,0),0)</f>
        <v>0</v>
      </c>
      <c r="IQ96" s="26">
        <f>IF(IQ$2=InputTable[[#This Row],[Delivery Date]],_xlfn.XLOOKUP(IQ$1,$BH$2:$BR$2,$BH96:$BR96,0),0)</f>
        <v>0</v>
      </c>
      <c r="IR96" s="26">
        <f>IF(IR$2=InputTable[[#This Row],[Delivery Date]],_xlfn.XLOOKUP(IR$1,$BH$2:$BR$2,$BH96:$BR96,0),0)</f>
        <v>0</v>
      </c>
      <c r="IT96" s="26" t="e">
        <f>IF(IT$2=InputTable[[#This Row],[Delivery Date]],_xlfn.XLOOKUP(IT$1,$BH$2:$BR$2,$BH96:$BR96,0),0)</f>
        <v>#REF!</v>
      </c>
      <c r="IU96" s="26">
        <f>IF(IU$2=InputTable[[#This Row],[Delivery Date]],_xlfn.XLOOKUP(IU$1,$BH$2:$BR$2,$BH96:$BR96,0),0)</f>
        <v>0</v>
      </c>
      <c r="IV96" s="26">
        <f>IF(IV$2=InputTable[[#This Row],[Delivery Date]],_xlfn.XLOOKUP(IV$1,$BH$2:$BR$2,$BH96:$BR96,0),0)</f>
        <v>0</v>
      </c>
      <c r="IW96" s="26">
        <f>IF(IW$2=InputTable[[#This Row],[Delivery Date]],_xlfn.XLOOKUP(IW$1,$BH$2:$BR$2,$BH96:$BR96,0),0)</f>
        <v>0</v>
      </c>
      <c r="IX96" s="26">
        <f>IF(IX$2=InputTable[[#This Row],[Delivery Date]],_xlfn.XLOOKUP(IX$1,$BH$2:$BR$2,$BH96:$BR96,0),0)</f>
        <v>0</v>
      </c>
      <c r="IY96" s="26">
        <f>IF(IY$2=InputTable[[#This Row],[Delivery Date]],_xlfn.XLOOKUP(IY$1,$BH$2:$BR$2,$BH96:$BR96,0),0)</f>
        <v>0</v>
      </c>
      <c r="IZ96" s="26">
        <f>IF(IZ$2=InputTable[[#This Row],[Delivery Date]],_xlfn.XLOOKUP(IZ$1,$BH$2:$BR$2,$BH96:$BR96,0),0)</f>
        <v>0</v>
      </c>
      <c r="JA96" s="26">
        <f>IF(JA$2=InputTable[[#This Row],[Delivery Date]],_xlfn.XLOOKUP(JA$1,$BH$2:$BR$2,$BH96:$BR96,0),0)</f>
        <v>0</v>
      </c>
      <c r="JB96" s="26">
        <f>IF(JB$2=InputTable[[#This Row],[Delivery Date]],_xlfn.XLOOKUP(JB$1,$BH$2:$BR$2,$BH96:$BR96,0),0)</f>
        <v>0</v>
      </c>
      <c r="JD96" s="26" t="e">
        <f>IF(JD$2=InputTable[[#This Row],[Delivery Date]],_xlfn.XLOOKUP(JD$1,$BH$2:$BR$2,$BH96:$BR96,0),0)</f>
        <v>#REF!</v>
      </c>
      <c r="JE96" s="26">
        <f>IF(JE$2=InputTable[[#This Row],[Delivery Date]],_xlfn.XLOOKUP(JE$1,$BH$2:$BR$2,$BH96:$BR96,0),0)</f>
        <v>0</v>
      </c>
      <c r="JF96" s="26">
        <f>IF(JF$2=InputTable[[#This Row],[Delivery Date]],_xlfn.XLOOKUP(JF$1,$BH$2:$BR$2,$BH96:$BR96,0),0)</f>
        <v>0</v>
      </c>
      <c r="JG96" s="26">
        <f>IF(JG$2=InputTable[[#This Row],[Delivery Date]],_xlfn.XLOOKUP(JG$1,$BH$2:$BR$2,$BH96:$BR96,0),0)</f>
        <v>0</v>
      </c>
      <c r="JH96" s="26">
        <f>IF(JH$2=InputTable[[#This Row],[Delivery Date]],_xlfn.XLOOKUP(JH$1,$BH$2:$BR$2,$BH96:$BR96,0),0)</f>
        <v>0</v>
      </c>
      <c r="JI96" s="26">
        <f>IF(JI$2=InputTable[[#This Row],[Delivery Date]],_xlfn.XLOOKUP(JI$1,$BH$2:$BR$2,$BH96:$BR96,0),0)</f>
        <v>0</v>
      </c>
      <c r="JJ96" s="26">
        <f>IF(JJ$2=InputTable[[#This Row],[Delivery Date]],_xlfn.XLOOKUP(JJ$1,$BH$2:$BR$2,$BH96:$BR96,0),0)</f>
        <v>0</v>
      </c>
      <c r="JK96" s="26">
        <f>IF(JK$2=InputTable[[#This Row],[Delivery Date]],_xlfn.XLOOKUP(JK$1,$BH$2:$BR$2,$BH96:$BR96,0),0)</f>
        <v>0</v>
      </c>
      <c r="JL96" s="26">
        <f>IF(JL$2=InputTable[[#This Row],[Delivery Date]],_xlfn.XLOOKUP(JL$1,$BH$2:$BR$2,$BH96:$BR96,0),0)</f>
        <v>0</v>
      </c>
      <c r="JN96" s="26" t="e">
        <f>IF(JN$2=InputTable[[#This Row],[Delivery Date]],_xlfn.XLOOKUP(JN$1,$BH$2:$BR$2,$BH96:$BR96,0),0)</f>
        <v>#REF!</v>
      </c>
      <c r="JO96" s="26">
        <f>IF(JO$2=InputTable[[#This Row],[Delivery Date]],_xlfn.XLOOKUP(JO$1,$BH$2:$BR$2,$BH96:$BR96,0),0)</f>
        <v>0</v>
      </c>
      <c r="JP96" s="26">
        <f>IF(JP$2=InputTable[[#This Row],[Delivery Date]],_xlfn.XLOOKUP(JP$1,$BH$2:$BR$2,$BH96:$BR96,0),0)</f>
        <v>0</v>
      </c>
      <c r="JQ96" s="26">
        <f>IF(JQ$2=InputTable[[#This Row],[Delivery Date]],_xlfn.XLOOKUP(JQ$1,$BH$2:$BR$2,$BH96:$BR96,0),0)</f>
        <v>0</v>
      </c>
      <c r="JR96" s="26">
        <f>IF(JR$2=InputTable[[#This Row],[Delivery Date]],_xlfn.XLOOKUP(JR$1,$BH$2:$BR$2,$BH96:$BR96,0),0)</f>
        <v>0</v>
      </c>
      <c r="JS96" s="26">
        <f>IF(JS$2=InputTable[[#This Row],[Delivery Date]],_xlfn.XLOOKUP(JS$1,$BH$2:$BR$2,$BH96:$BR96,0),0)</f>
        <v>0</v>
      </c>
      <c r="JT96" s="26">
        <f>IF(JT$2=InputTable[[#This Row],[Delivery Date]],_xlfn.XLOOKUP(JT$1,$BH$2:$BR$2,$BH96:$BR96,0),0)</f>
        <v>0</v>
      </c>
      <c r="JU96" s="26">
        <f>IF(JU$2=InputTable[[#This Row],[Delivery Date]],_xlfn.XLOOKUP(JU$1,$BH$2:$BR$2,$BH96:$BR96,0),0)</f>
        <v>0</v>
      </c>
      <c r="JV96" s="26">
        <f>IF(JV$2=InputTable[[#This Row],[Delivery Date]],_xlfn.XLOOKUP(JV$1,$BH$2:$BR$2,$BH96:$BR96,0),0)</f>
        <v>0</v>
      </c>
      <c r="JX96" s="26" t="e">
        <f>IF(JX$2=InputTable[[#This Row],[Delivery Date]],_xlfn.XLOOKUP(JX$1,$BH$2:$BR$2,$BH96:$BR96,0),0)</f>
        <v>#REF!</v>
      </c>
      <c r="JY96" s="26">
        <f>IF(JY$2=InputTable[[#This Row],[Delivery Date]],_xlfn.XLOOKUP(JY$1,$BH$2:$BR$2,$BH96:$BR96,0),0)</f>
        <v>0</v>
      </c>
      <c r="JZ96" s="26">
        <f>IF(JZ$2=InputTable[[#This Row],[Delivery Date]],_xlfn.XLOOKUP(JZ$1,$BH$2:$BR$2,$BH96:$BR96,0),0)</f>
        <v>0</v>
      </c>
      <c r="KA96" s="26">
        <f>IF(KA$2=InputTable[[#This Row],[Delivery Date]],_xlfn.XLOOKUP(KA$1,$BH$2:$BR$2,$BH96:$BR96,0),0)</f>
        <v>0</v>
      </c>
      <c r="KB96" s="26">
        <f>IF(KB$2=InputTable[[#This Row],[Delivery Date]],_xlfn.XLOOKUP(KB$1,$BH$2:$BR$2,$BH96:$BR96,0),0)</f>
        <v>0</v>
      </c>
      <c r="KC96" s="26">
        <f>IF(KC$2=InputTable[[#This Row],[Delivery Date]],_xlfn.XLOOKUP(KC$1,$BH$2:$BR$2,$BH96:$BR96,0),0)</f>
        <v>0</v>
      </c>
      <c r="KD96" s="26">
        <f>IF(KD$2=InputTable[[#This Row],[Delivery Date]],_xlfn.XLOOKUP(KD$1,$BH$2:$BR$2,$BH96:$BR96,0),0)</f>
        <v>0</v>
      </c>
      <c r="KE96" s="26">
        <f>IF(KE$2=InputTable[[#This Row],[Delivery Date]],_xlfn.XLOOKUP(KE$1,$BH$2:$BR$2,$BH96:$BR96,0),0)</f>
        <v>0</v>
      </c>
      <c r="KF96" s="26">
        <f>IF(KF$2=InputTable[[#This Row],[Delivery Date]],_xlfn.XLOOKUP(KF$1,$BH$2:$BR$2,$BH96:$BR96,0),0)</f>
        <v>0</v>
      </c>
    </row>
    <row r="97" spans="1:292" ht="39.6" hidden="1" customHeight="1" x14ac:dyDescent="0.25">
      <c r="A97" s="141" t="s">
        <v>162</v>
      </c>
      <c r="B97" s="141" t="s">
        <v>156</v>
      </c>
      <c r="C97" s="92" t="s">
        <v>60</v>
      </c>
      <c r="D97" s="125" t="s">
        <v>397</v>
      </c>
      <c r="E97" s="193" t="s">
        <v>398</v>
      </c>
      <c r="F97" s="92" t="s">
        <v>24</v>
      </c>
      <c r="G97" s="92">
        <v>2024</v>
      </c>
      <c r="H97" s="92" t="s">
        <v>100</v>
      </c>
      <c r="I97" s="92" t="s">
        <v>137</v>
      </c>
      <c r="J97" s="125" t="s">
        <v>209</v>
      </c>
      <c r="K97" s="95" t="e">
        <f>VLOOKUP((InputTable[[#This Row],[Starting Date]]&amp; " - " &amp;InputTable[[#This Row],[Delivery Date]]),'System List'!$F$40:$H$83,2,FALSE)</f>
        <v>#N/A</v>
      </c>
      <c r="L97" s="95" t="e">
        <f>VLOOKUP(InputTable[[#This Row],[Duration]],Duration,2,FALSE)</f>
        <v>#N/A</v>
      </c>
      <c r="M97" s="125"/>
      <c r="N97" s="92" t="s">
        <v>111</v>
      </c>
      <c r="O97" s="92"/>
      <c r="P97" s="92"/>
      <c r="Q97" s="92"/>
      <c r="R97" s="92"/>
      <c r="S97" s="92" t="s">
        <v>209</v>
      </c>
      <c r="T97" s="95" cm="1">
        <f t="array" ref="T9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97" s="138"/>
      <c r="V97" s="92"/>
      <c r="W97" s="92"/>
      <c r="X97" s="92" t="s">
        <v>111</v>
      </c>
      <c r="Y97" s="92"/>
      <c r="Z97" s="98" t="s">
        <v>111</v>
      </c>
      <c r="AA97" s="92"/>
      <c r="AB97" s="92"/>
      <c r="AC97" s="92"/>
      <c r="AD97" s="92">
        <f>COUNTA(InputTable[[#This Row],[CORPHRFIN]:[SALES]])</f>
        <v>2</v>
      </c>
      <c r="AE97" s="88" cm="1">
        <f t="array" ref="AE97">SUM(
_xlfn.XLOOKUP(InputTable[[#This Row],[CORPHRFIN]:[SALES]],'System List'!$F$4:$F$7,'System List'!$H$4:$H$7,0))</f>
        <v>10</v>
      </c>
      <c r="AF97" s="140"/>
      <c r="AG97" s="96"/>
      <c r="AH97" s="96"/>
      <c r="AI97" s="96"/>
      <c r="AJ97" s="96" t="s">
        <v>139</v>
      </c>
      <c r="AK97" s="96"/>
      <c r="AL97" s="96"/>
      <c r="AM97" s="96"/>
      <c r="AN97" s="96"/>
      <c r="AO97" s="96"/>
      <c r="AP97" s="96"/>
      <c r="AQ97" s="96"/>
      <c r="AR97" s="88" cm="1">
        <f t="array" ref="AR97">SUM(
_xlfn.XLOOKUP(InputTable[[#This Row],[Impact on - CIAL]:[Impact on - STRAT]],'System List'!$F$4:$F$7,'System List'!$H$4:$H$7,0))</f>
        <v>8</v>
      </c>
      <c r="AS97" s="88" t="e">
        <f>VLOOKUP(InputTable[[#This Row],[Duration]],Duration,2,FALSE)+InputTable[[#This Row],[Resource Score]]</f>
        <v>#N/A</v>
      </c>
      <c r="AT9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7" s="24" t="e">
        <f>InputTable[[#This Row],[Value Score]]/InputTable[[#This Row],[EFFORT SCORE]]*100</f>
        <v>#N/A</v>
      </c>
      <c r="AV97" s="25" t="str">
        <f>InputTable[[#This Row],[IS Portfolio Ref ID]]</f>
        <v>ISPRJ-70</v>
      </c>
      <c r="AW97" s="25" t="s">
        <v>210</v>
      </c>
      <c r="AX97" s="208" t="s">
        <v>154</v>
      </c>
      <c r="AY97" s="25"/>
      <c r="AZ97" s="209">
        <v>5000</v>
      </c>
      <c r="BA97" s="209">
        <v>0</v>
      </c>
      <c r="BB97" s="209"/>
      <c r="BC97" s="189">
        <f>SUM(InputTable[[#This Row],[Opex IS Budget (full project)]]+InputTable[[#This Row],[Capex IS Budget (full project)]])</f>
        <v>5000</v>
      </c>
      <c r="BD97" s="188"/>
      <c r="BE97" s="188">
        <v>1</v>
      </c>
      <c r="BF97" s="70"/>
      <c r="BH97" s="2">
        <f>IFERROR(VLOOKUP(InputTable[[#This Row],[Impact on - CIAL]],'System List'!$F$4:$H$7,3,FALSE),0)</f>
        <v>0</v>
      </c>
      <c r="BI97" s="2">
        <f>IFERROR(VLOOKUP(InputTable[[#This Row],[Impact on - COM]],'System List'!$F$4:$H$7,3,FALSE),0)</f>
        <v>0</v>
      </c>
      <c r="BJ97" s="2">
        <f>IFERROR(VLOOKUP(InputTable[[#This Row],[Impact on - FIN]],'System List'!$F$4:$H$7,3,FALSE),0)</f>
        <v>0</v>
      </c>
      <c r="BK97" s="2">
        <f>IFERROR(VLOOKUP(InputTable[[#This Row],[Impact on - GEN SEC]],'System List'!$F$4:$H$7,3,FALSE),0)</f>
        <v>8</v>
      </c>
      <c r="BL97" s="2">
        <f>IFERROR(VLOOKUP(InputTable[[#This Row],[Impact on - HR]],'System List'!$F$4:$H$7,3,FALSE),0)</f>
        <v>0</v>
      </c>
      <c r="BM97" s="2">
        <f>IFERROR(VLOOKUP(InputTable[[#This Row],[Impact on - IS]],'System List'!$F$4:$H$7,3,FALSE),0)</f>
        <v>0</v>
      </c>
      <c r="BN97" s="2">
        <f>IFERROR(VLOOKUP(InputTable[[#This Row],[Impact on - OPS]],'System List'!$F$4:$H$7,3,FALSE),0)</f>
        <v>0</v>
      </c>
      <c r="BO97" s="2">
        <f>IFERROR(VLOOKUP(InputTable[[#This Row],[Impact on - ROLL STOCK]],'System List'!$F$4:$H$7,3,FALSE),0)</f>
        <v>0</v>
      </c>
      <c r="BP97" s="2">
        <f>IFERROR(VLOOKUP(InputTable[[#This Row],[Impact on - SAFETY]],'System List'!$F$4:$H$7,3,FALSE),0)</f>
        <v>0</v>
      </c>
      <c r="BQ97" s="2">
        <f>IFERROR(VLOOKUP(InputTable[[#This Row],[Impact on - STATION]],'System List'!$F$4:$H$7,3,FALSE),0)</f>
        <v>0</v>
      </c>
      <c r="BR97" s="2">
        <f>IFERROR(VLOOKUP(InputTable[[#This Row],[Impact on - STRAT]],'System List'!$F$4:$H$7,3,FALSE),0)</f>
        <v>0</v>
      </c>
      <c r="BT97" s="2">
        <f>IFERROR(VLOOKUP(InputTable[[#This Row],[CORPHRFIN]],'System List'!$F$4:$H$7,3,FALSE),0)</f>
        <v>0</v>
      </c>
      <c r="BU97" s="2">
        <f>IFERROR(VLOOKUP(InputTable[[#This Row],[CUST]],'System List'!$F$4:$H$7,3,FALSE),0)</f>
        <v>0</v>
      </c>
      <c r="BV97" s="2">
        <f>IFERROR(VLOOKUP(InputTable[[#This Row],[CYBER]],'System List'!$F$4:$H$7,3,FALSE),0)</f>
        <v>5</v>
      </c>
      <c r="BW97" s="2">
        <f>IFERROR(VLOOKUP(InputTable[[#This Row],[DATA]],'System List'!$F$4:$H$7,3,FALSE),0)</f>
        <v>0</v>
      </c>
      <c r="BX97" s="2">
        <f>IFERROR(VLOOKUP(InputTable[[#This Row],[INFRA]],'System List'!$F$4:$H$7,3,FALSE),0)</f>
        <v>5</v>
      </c>
      <c r="BY97" s="2">
        <f>IFERROR(VLOOKUP(InputTable[[#This Row],[OPERATIONS]],'System List'!$F$4:$H$7,3,FALSE),0)</f>
        <v>0</v>
      </c>
      <c r="BZ97" s="2">
        <f>IFERROR(VLOOKUP(InputTable[[#This Row],[PMO]],'System List'!$F$4:$H$7,3,FALSE),0)</f>
        <v>0</v>
      </c>
      <c r="CA97" s="2">
        <f>IFERROR(VLOOKUP(InputTable[[#This Row],[SALES]],'System List'!$F$4:$H$7,3,FALSE),0)</f>
        <v>0</v>
      </c>
      <c r="CC97" s="2" cm="1">
        <f t="array" ref="CC9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7" s="2" cm="1">
        <f t="array" ref="CD9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7" s="2" cm="1">
        <f t="array" ref="CE9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7" s="2" cm="1">
        <f t="array" ref="CF9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7" s="2" cm="1">
        <f t="array" ref="CG9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7" s="2" cm="1">
        <f t="array" ref="CH9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7" s="2" cm="1">
        <f t="array" ref="CI9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7" s="2" cm="1">
        <f t="array" ref="CJ9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7" s="2" cm="1">
        <f t="array" ref="CK9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9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9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7" s="26">
        <f t="shared" si="224"/>
        <v>0</v>
      </c>
      <c r="CY97" s="26">
        <f t="shared" si="225"/>
        <v>0</v>
      </c>
      <c r="CZ97" s="26">
        <f t="shared" si="226"/>
        <v>0</v>
      </c>
      <c r="DA97" s="26">
        <f t="shared" si="227"/>
        <v>0</v>
      </c>
      <c r="DB97" s="26">
        <f t="shared" si="228"/>
        <v>0</v>
      </c>
      <c r="DC97" s="26">
        <f t="shared" si="229"/>
        <v>0</v>
      </c>
      <c r="DD97" s="26">
        <f t="shared" si="230"/>
        <v>0</v>
      </c>
      <c r="DE97" s="26">
        <f t="shared" si="231"/>
        <v>0</v>
      </c>
      <c r="DF97" s="26">
        <f t="shared" si="232"/>
        <v>0</v>
      </c>
      <c r="DH97" s="26">
        <f t="shared" si="233"/>
        <v>0</v>
      </c>
      <c r="DI97" s="26">
        <f t="shared" si="234"/>
        <v>0</v>
      </c>
      <c r="DJ97" s="26">
        <f t="shared" si="235"/>
        <v>0</v>
      </c>
      <c r="DK97" s="26">
        <f t="shared" si="236"/>
        <v>0</v>
      </c>
      <c r="DL97" s="26">
        <f t="shared" si="237"/>
        <v>0</v>
      </c>
      <c r="DM97" s="26">
        <f t="shared" si="238"/>
        <v>0</v>
      </c>
      <c r="DN97" s="26">
        <f t="shared" si="239"/>
        <v>0</v>
      </c>
      <c r="DO97" s="26">
        <f t="shared" si="240"/>
        <v>0</v>
      </c>
      <c r="DP97" s="26">
        <f t="shared" si="241"/>
        <v>0</v>
      </c>
      <c r="DR97" s="26">
        <f t="shared" si="242"/>
        <v>0</v>
      </c>
      <c r="DS97" s="26">
        <f t="shared" si="243"/>
        <v>5</v>
      </c>
      <c r="DT97" s="26">
        <f t="shared" si="244"/>
        <v>5</v>
      </c>
      <c r="DU97" s="26">
        <f t="shared" si="245"/>
        <v>5</v>
      </c>
      <c r="DV97" s="26">
        <f t="shared" si="246"/>
        <v>5</v>
      </c>
      <c r="DW97" s="26">
        <f t="shared" si="247"/>
        <v>0</v>
      </c>
      <c r="DX97" s="26">
        <f t="shared" si="248"/>
        <v>0</v>
      </c>
      <c r="DY97" s="26">
        <f t="shared" si="249"/>
        <v>0</v>
      </c>
      <c r="DZ97" s="26">
        <f t="shared" si="250"/>
        <v>0</v>
      </c>
      <c r="EB97" s="26">
        <f t="shared" si="251"/>
        <v>0</v>
      </c>
      <c r="EC97" s="26">
        <f t="shared" si="252"/>
        <v>0</v>
      </c>
      <c r="ED97" s="26">
        <f t="shared" si="253"/>
        <v>0</v>
      </c>
      <c r="EE97" s="26">
        <f t="shared" si="254"/>
        <v>0</v>
      </c>
      <c r="EF97" s="26">
        <f t="shared" si="255"/>
        <v>0</v>
      </c>
      <c r="EG97" s="26">
        <f t="shared" si="256"/>
        <v>0</v>
      </c>
      <c r="EH97" s="26">
        <f t="shared" si="257"/>
        <v>0</v>
      </c>
      <c r="EI97" s="26">
        <f t="shared" si="258"/>
        <v>0</v>
      </c>
      <c r="EJ97" s="26">
        <f t="shared" si="259"/>
        <v>0</v>
      </c>
      <c r="EL97" s="26">
        <f t="shared" si="260"/>
        <v>0</v>
      </c>
      <c r="EM97" s="26">
        <f t="shared" si="261"/>
        <v>5</v>
      </c>
      <c r="EN97" s="26">
        <f t="shared" si="262"/>
        <v>5</v>
      </c>
      <c r="EO97" s="26">
        <f t="shared" si="263"/>
        <v>5</v>
      </c>
      <c r="EP97" s="26">
        <f t="shared" si="264"/>
        <v>5</v>
      </c>
      <c r="EQ97" s="26">
        <f t="shared" si="265"/>
        <v>0</v>
      </c>
      <c r="ER97" s="26">
        <f t="shared" si="266"/>
        <v>0</v>
      </c>
      <c r="ES97" s="26">
        <f t="shared" si="267"/>
        <v>0</v>
      </c>
      <c r="ET97" s="26">
        <f t="shared" si="268"/>
        <v>0</v>
      </c>
      <c r="EV97" s="26">
        <f t="shared" si="269"/>
        <v>0</v>
      </c>
      <c r="EW97" s="26">
        <f t="shared" si="270"/>
        <v>0</v>
      </c>
      <c r="EX97" s="26">
        <f t="shared" si="271"/>
        <v>0</v>
      </c>
      <c r="EY97" s="26">
        <f t="shared" si="272"/>
        <v>0</v>
      </c>
      <c r="EZ97" s="26">
        <f t="shared" si="273"/>
        <v>0</v>
      </c>
      <c r="FA97" s="26">
        <f t="shared" si="274"/>
        <v>0</v>
      </c>
      <c r="FB97" s="26">
        <f t="shared" si="275"/>
        <v>0</v>
      </c>
      <c r="FC97" s="26">
        <f t="shared" si="276"/>
        <v>0</v>
      </c>
      <c r="FD97" s="26">
        <f t="shared" si="277"/>
        <v>0</v>
      </c>
      <c r="FF97" s="26">
        <f t="shared" si="278"/>
        <v>0</v>
      </c>
      <c r="FG97" s="26">
        <f t="shared" si="279"/>
        <v>0</v>
      </c>
      <c r="FH97" s="26">
        <f t="shared" si="280"/>
        <v>0</v>
      </c>
      <c r="FI97" s="26">
        <f t="shared" si="281"/>
        <v>0</v>
      </c>
      <c r="FJ97" s="26">
        <f t="shared" si="282"/>
        <v>0</v>
      </c>
      <c r="FK97" s="26">
        <f t="shared" si="283"/>
        <v>0</v>
      </c>
      <c r="FL97" s="26">
        <f t="shared" si="284"/>
        <v>0</v>
      </c>
      <c r="FM97" s="26">
        <f t="shared" si="285"/>
        <v>0</v>
      </c>
      <c r="FN97" s="26">
        <f t="shared" si="286"/>
        <v>0</v>
      </c>
      <c r="FP97" s="26" t="e">
        <f t="shared" si="287"/>
        <v>#REF!</v>
      </c>
      <c r="FQ97" s="26" t="e">
        <f t="shared" si="288"/>
        <v>#REF!</v>
      </c>
      <c r="FR97" s="26" t="e">
        <f t="shared" si="289"/>
        <v>#REF!</v>
      </c>
      <c r="FS97" s="26" t="e">
        <f t="shared" si="290"/>
        <v>#REF!</v>
      </c>
      <c r="FT97" s="26" t="e">
        <f t="shared" si="291"/>
        <v>#REF!</v>
      </c>
      <c r="FU97" s="26" t="e">
        <f t="shared" si="292"/>
        <v>#REF!</v>
      </c>
      <c r="FV97" s="26" t="e">
        <f t="shared" si="293"/>
        <v>#REF!</v>
      </c>
      <c r="FW97" s="26" t="e">
        <f t="shared" si="294"/>
        <v>#REF!</v>
      </c>
      <c r="FX97" s="26" t="e">
        <f t="shared" si="295"/>
        <v>#REF!</v>
      </c>
      <c r="GB97" s="26" t="e">
        <f>IF(GB$2=InputTable[[#This Row],[Delivery Date]],_xlfn.XLOOKUP(GB$1,$BH$2:$BR$2,$BH97:$BR97,0),0)</f>
        <v>#REF!</v>
      </c>
      <c r="GC97" s="26">
        <f>IF(GC$2=InputTable[[#This Row],[Delivery Date]],_xlfn.XLOOKUP(GC$1,$BH$2:$BR$2,$BH97:$BR97,0),0)</f>
        <v>0</v>
      </c>
      <c r="GD97" s="26">
        <f>IF(GD$2=InputTable[[#This Row],[Delivery Date]],_xlfn.XLOOKUP(GD$1,$BH$2:$BR$2,$BH97:$BR97,0),0)</f>
        <v>0</v>
      </c>
      <c r="GE97" s="26">
        <f>IF(GE$2=InputTable[[#This Row],[Delivery Date]],_xlfn.XLOOKUP(GE$1,$BH$2:$BR$2,$BH97:$BR97,0),0)</f>
        <v>0</v>
      </c>
      <c r="GF97" s="26">
        <f>IF(GF$2=InputTable[[#This Row],[Delivery Date]],_xlfn.XLOOKUP(GF$1,$BH$2:$BR$2,$BH97:$BR97,0),0)</f>
        <v>0</v>
      </c>
      <c r="GG97" s="26">
        <f>IF(GG$2=InputTable[[#This Row],[Delivery Date]],_xlfn.XLOOKUP(GG$1,$BH$2:$BR$2,$BH97:$BR97,0),0)</f>
        <v>0</v>
      </c>
      <c r="GH97" s="26">
        <f>IF(GH$2=InputTable[[#This Row],[Delivery Date]],_xlfn.XLOOKUP(GH$1,$BH$2:$BR$2,$BH97:$BR97,0),0)</f>
        <v>0</v>
      </c>
      <c r="GI97" s="26">
        <f>IF(GI$2=InputTable[[#This Row],[Delivery Date]],_xlfn.XLOOKUP(GI$1,$BH$2:$BR$2,$BH97:$BR97,0),0)</f>
        <v>0</v>
      </c>
      <c r="GJ97" s="26">
        <f>IF(GJ$2=InputTable[[#This Row],[Delivery Date]],_xlfn.XLOOKUP(GJ$1,$BH$2:$BR$2,$BH97:$BR97,0),0)</f>
        <v>0</v>
      </c>
      <c r="GL97" s="26" t="e">
        <f>IF(GL$2=InputTable[[#This Row],[Delivery Date]],_xlfn.XLOOKUP(GL$1,$BH$2:$BR$2,$BH97:$BR97,0),0)</f>
        <v>#REF!</v>
      </c>
      <c r="GM97" s="26">
        <f>IF(GM$2=InputTable[[#This Row],[Delivery Date]],_xlfn.XLOOKUP(GM$1,$BH$2:$BR$2,$BH97:$BR97,0),0)</f>
        <v>0</v>
      </c>
      <c r="GN97" s="26">
        <f>IF(GN$2=InputTable[[#This Row],[Delivery Date]],_xlfn.XLOOKUP(GN$1,$BH$2:$BR$2,$BH97:$BR97,0),0)</f>
        <v>0</v>
      </c>
      <c r="GO97" s="26">
        <f>IF(GO$2=InputTable[[#This Row],[Delivery Date]],_xlfn.XLOOKUP(GO$1,$BH$2:$BR$2,$BH97:$BR97,0),0)</f>
        <v>0</v>
      </c>
      <c r="GP97" s="26">
        <f>IF(GP$2=InputTable[[#This Row],[Delivery Date]],_xlfn.XLOOKUP(GP$1,$BH$2:$BR$2,$BH97:$BR97,0),0)</f>
        <v>0</v>
      </c>
      <c r="GQ97" s="26">
        <f>IF(GQ$2=InputTable[[#This Row],[Delivery Date]],_xlfn.XLOOKUP(GQ$1,$BH$2:$BR$2,$BH97:$BR97,0),0)</f>
        <v>0</v>
      </c>
      <c r="GR97" s="26">
        <f>IF(GR$2=InputTable[[#This Row],[Delivery Date]],_xlfn.XLOOKUP(GR$1,$BH$2:$BR$2,$BH97:$BR97,0),0)</f>
        <v>0</v>
      </c>
      <c r="GS97" s="26">
        <f>IF(GS$2=InputTable[[#This Row],[Delivery Date]],_xlfn.XLOOKUP(GS$1,$BH$2:$BR$2,$BH97:$BR97,0),0)</f>
        <v>0</v>
      </c>
      <c r="GT97" s="26">
        <f>IF(GT$2=InputTable[[#This Row],[Delivery Date]],_xlfn.XLOOKUP(GT$1,$BH$2:$BR$2,$BH97:$BR97,0),0)</f>
        <v>0</v>
      </c>
      <c r="GV97" s="26" t="e">
        <f>IF(GV$2=InputTable[[#This Row],[Delivery Date]],_xlfn.XLOOKUP(GV$1,$BH$2:$BR$2,$BH97:$BR97,0),0)</f>
        <v>#REF!</v>
      </c>
      <c r="GW97" s="26">
        <f>IF(GW$2=InputTable[[#This Row],[Delivery Date]],_xlfn.XLOOKUP(GW$1,$BH$2:$BR$2,$BH97:$BR97,0),0)</f>
        <v>0</v>
      </c>
      <c r="GX97" s="26">
        <f>IF(GX$2=InputTable[[#This Row],[Delivery Date]],_xlfn.XLOOKUP(GX$1,$BH$2:$BR$2,$BH97:$BR97,0),0)</f>
        <v>0</v>
      </c>
      <c r="GY97" s="26">
        <f>IF(GY$2=InputTable[[#This Row],[Delivery Date]],_xlfn.XLOOKUP(GY$1,$BH$2:$BR$2,$BH97:$BR97,0),0)</f>
        <v>0</v>
      </c>
      <c r="GZ97" s="26">
        <f>IF(GZ$2=InputTable[[#This Row],[Delivery Date]],_xlfn.XLOOKUP(GZ$1,$BH$2:$BR$2,$BH97:$BR97,0),0)</f>
        <v>0</v>
      </c>
      <c r="HA97" s="26">
        <f>IF(HA$2=InputTable[[#This Row],[Delivery Date]],_xlfn.XLOOKUP(HA$1,$BH$2:$BR$2,$BH97:$BR97,0),0)</f>
        <v>0</v>
      </c>
      <c r="HB97" s="26">
        <f>IF(HB$2=InputTable[[#This Row],[Delivery Date]],_xlfn.XLOOKUP(HB$1,$BH$2:$BR$2,$BH97:$BR97,0),0)</f>
        <v>0</v>
      </c>
      <c r="HC97" s="26">
        <f>IF(HC$2=InputTable[[#This Row],[Delivery Date]],_xlfn.XLOOKUP(HC$1,$BH$2:$BR$2,$BH97:$BR97,0),0)</f>
        <v>0</v>
      </c>
      <c r="HD97" s="26">
        <f>IF(HD$2=InputTable[[#This Row],[Delivery Date]],_xlfn.XLOOKUP(HD$1,$BH$2:$BR$2,$BH97:$BR97,0),0)</f>
        <v>0</v>
      </c>
      <c r="HF97" s="26" t="e">
        <f>IF(HF$2=InputTable[[#This Row],[Delivery Date]],_xlfn.XLOOKUP(HF$1,$BH$2:$BR$2,$BH97:$BR97,0),0)</f>
        <v>#REF!</v>
      </c>
      <c r="HG97" s="26">
        <f>IF(HG$2=InputTable[[#This Row],[Delivery Date]],_xlfn.XLOOKUP(HG$1,$BH$2:$BR$2,$BH97:$BR97,0),0)</f>
        <v>0</v>
      </c>
      <c r="HH97" s="26">
        <f>IF(HH$2=InputTable[[#This Row],[Delivery Date]],_xlfn.XLOOKUP(HH$1,$BH$2:$BR$2,$BH97:$BR97,0),0)</f>
        <v>0</v>
      </c>
      <c r="HI97" s="26">
        <f>IF(HI$2=InputTable[[#This Row],[Delivery Date]],_xlfn.XLOOKUP(HI$1,$BH$2:$BR$2,$BH97:$BR97,0),0)</f>
        <v>0</v>
      </c>
      <c r="HJ97" s="26">
        <f>IF(HJ$2=InputTable[[#This Row],[Delivery Date]],_xlfn.XLOOKUP(HJ$1,$BH$2:$BR$2,$BH97:$BR97,0),0)</f>
        <v>8</v>
      </c>
      <c r="HK97" s="26">
        <f>IF(HK$2=InputTable[[#This Row],[Delivery Date]],_xlfn.XLOOKUP(HK$1,$BH$2:$BR$2,$BH97:$BR97,0),0)</f>
        <v>0</v>
      </c>
      <c r="HL97" s="26">
        <f>IF(HL$2=InputTable[[#This Row],[Delivery Date]],_xlfn.XLOOKUP(HL$1,$BH$2:$BR$2,$BH97:$BR97,0),0)</f>
        <v>0</v>
      </c>
      <c r="HM97" s="26">
        <f>IF(HM$2=InputTable[[#This Row],[Delivery Date]],_xlfn.XLOOKUP(HM$1,$BH$2:$BR$2,$BH97:$BR97,0),0)</f>
        <v>0</v>
      </c>
      <c r="HN97" s="26">
        <f>IF(HN$2=InputTable[[#This Row],[Delivery Date]],_xlfn.XLOOKUP(HN$1,$BH$2:$BR$2,$BH97:$BR97,0),0)</f>
        <v>0</v>
      </c>
      <c r="HP97" s="26" t="e">
        <f>IF(HP$2=InputTable[[#This Row],[Delivery Date]],_xlfn.XLOOKUP(HP$1,$BH$2:$BR$2,$BH97:$BR97,0),0)</f>
        <v>#REF!</v>
      </c>
      <c r="HQ97" s="26">
        <f>IF(HQ$2=InputTable[[#This Row],[Delivery Date]],_xlfn.XLOOKUP(HQ$1,$BH$2:$BR$2,$BH97:$BR97,0),0)</f>
        <v>0</v>
      </c>
      <c r="HR97" s="26">
        <f>IF(HR$2=InputTable[[#This Row],[Delivery Date]],_xlfn.XLOOKUP(HR$1,$BH$2:$BR$2,$BH97:$BR97,0),0)</f>
        <v>0</v>
      </c>
      <c r="HS97" s="26">
        <f>IF(HS$2=InputTable[[#This Row],[Delivery Date]],_xlfn.XLOOKUP(HS$1,$BH$2:$BR$2,$BH97:$BR97,0),0)</f>
        <v>0</v>
      </c>
      <c r="HT97" s="26">
        <f>IF(HT$2=InputTable[[#This Row],[Delivery Date]],_xlfn.XLOOKUP(HT$1,$BH$2:$BR$2,$BH97:$BR97,0),0)</f>
        <v>0</v>
      </c>
      <c r="HU97" s="26">
        <f>IF(HU$2=InputTable[[#This Row],[Delivery Date]],_xlfn.XLOOKUP(HU$1,$BH$2:$BR$2,$BH97:$BR97,0),0)</f>
        <v>0</v>
      </c>
      <c r="HV97" s="26">
        <f>IF(HV$2=InputTable[[#This Row],[Delivery Date]],_xlfn.XLOOKUP(HV$1,$BH$2:$BR$2,$BH97:$BR97,0),0)</f>
        <v>0</v>
      </c>
      <c r="HW97" s="26">
        <f>IF(HW$2=InputTable[[#This Row],[Delivery Date]],_xlfn.XLOOKUP(HW$1,$BH$2:$BR$2,$BH97:$BR97,0),0)</f>
        <v>0</v>
      </c>
      <c r="HX97" s="26">
        <f>IF(HX$2=InputTable[[#This Row],[Delivery Date]],_xlfn.XLOOKUP(HX$1,$BH$2:$BR$2,$BH97:$BR97,0),0)</f>
        <v>0</v>
      </c>
      <c r="HZ97" s="26" t="e">
        <f>IF(HZ$2=InputTable[[#This Row],[Delivery Date]],_xlfn.XLOOKUP(HZ$1,$BH$2:$BR$2,$BH97:$BR97,0),0)</f>
        <v>#REF!</v>
      </c>
      <c r="IA97" s="26">
        <f>IF(IA$2=InputTable[[#This Row],[Delivery Date]],_xlfn.XLOOKUP(IA$1,$BH$2:$BR$2,$BH97:$BR97,0),0)</f>
        <v>0</v>
      </c>
      <c r="IB97" s="26">
        <f>IF(IB$2=InputTable[[#This Row],[Delivery Date]],_xlfn.XLOOKUP(IB$1,$BH$2:$BR$2,$BH97:$BR97,0),0)</f>
        <v>0</v>
      </c>
      <c r="IC97" s="26">
        <f>IF(IC$2=InputTable[[#This Row],[Delivery Date]],_xlfn.XLOOKUP(IC$1,$BH$2:$BR$2,$BH97:$BR97,0),0)</f>
        <v>0</v>
      </c>
      <c r="ID97" s="26">
        <f>IF(ID$2=InputTable[[#This Row],[Delivery Date]],_xlfn.XLOOKUP(ID$1,$BH$2:$BR$2,$BH97:$BR97,0),0)</f>
        <v>0</v>
      </c>
      <c r="IE97" s="26">
        <f>IF(IE$2=InputTable[[#This Row],[Delivery Date]],_xlfn.XLOOKUP(IE$1,$BH$2:$BR$2,$BH97:$BR97,0),0)</f>
        <v>0</v>
      </c>
      <c r="IF97" s="26">
        <f>IF(IF$2=InputTable[[#This Row],[Delivery Date]],_xlfn.XLOOKUP(IF$1,$BH$2:$BR$2,$BH97:$BR97,0),0)</f>
        <v>0</v>
      </c>
      <c r="IG97" s="26">
        <f>IF(IG$2=InputTable[[#This Row],[Delivery Date]],_xlfn.XLOOKUP(IG$1,$BH$2:$BR$2,$BH97:$BR97,0),0)</f>
        <v>0</v>
      </c>
      <c r="IH97" s="26">
        <f>IF(IH$2=InputTable[[#This Row],[Delivery Date]],_xlfn.XLOOKUP(IH$1,$BH$2:$BR$2,$BH97:$BR97,0),0)</f>
        <v>0</v>
      </c>
      <c r="IJ97" s="26" t="e">
        <f>IF(IJ$2=InputTable[[#This Row],[Delivery Date]],_xlfn.XLOOKUP(IJ$1,$BH$2:$BR$2,$BH97:$BR97,0),0)</f>
        <v>#REF!</v>
      </c>
      <c r="IK97" s="26">
        <f>IF(IK$2=InputTable[[#This Row],[Delivery Date]],_xlfn.XLOOKUP(IK$1,$BH$2:$BR$2,$BH97:$BR97,0),0)</f>
        <v>0</v>
      </c>
      <c r="IL97" s="26">
        <f>IF(IL$2=InputTable[[#This Row],[Delivery Date]],_xlfn.XLOOKUP(IL$1,$BH$2:$BR$2,$BH97:$BR97,0),0)</f>
        <v>0</v>
      </c>
      <c r="IM97" s="26">
        <f>IF(IM$2=InputTable[[#This Row],[Delivery Date]],_xlfn.XLOOKUP(IM$1,$BH$2:$BR$2,$BH97:$BR97,0),0)</f>
        <v>0</v>
      </c>
      <c r="IN97" s="26">
        <f>IF(IN$2=InputTable[[#This Row],[Delivery Date]],_xlfn.XLOOKUP(IN$1,$BH$2:$BR$2,$BH97:$BR97,0),0)</f>
        <v>0</v>
      </c>
      <c r="IO97" s="26">
        <f>IF(IO$2=InputTable[[#This Row],[Delivery Date]],_xlfn.XLOOKUP(IO$1,$BH$2:$BR$2,$BH97:$BR97,0),0)</f>
        <v>0</v>
      </c>
      <c r="IP97" s="26">
        <f>IF(IP$2=InputTable[[#This Row],[Delivery Date]],_xlfn.XLOOKUP(IP$1,$BH$2:$BR$2,$BH97:$BR97,0),0)</f>
        <v>0</v>
      </c>
      <c r="IQ97" s="26">
        <f>IF(IQ$2=InputTable[[#This Row],[Delivery Date]],_xlfn.XLOOKUP(IQ$1,$BH$2:$BR$2,$BH97:$BR97,0),0)</f>
        <v>0</v>
      </c>
      <c r="IR97" s="26">
        <f>IF(IR$2=InputTable[[#This Row],[Delivery Date]],_xlfn.XLOOKUP(IR$1,$BH$2:$BR$2,$BH97:$BR97,0),0)</f>
        <v>0</v>
      </c>
      <c r="IT97" s="26" t="e">
        <f>IF(IT$2=InputTable[[#This Row],[Delivery Date]],_xlfn.XLOOKUP(IT$1,$BH$2:$BR$2,$BH97:$BR97,0),0)</f>
        <v>#REF!</v>
      </c>
      <c r="IU97" s="26">
        <f>IF(IU$2=InputTable[[#This Row],[Delivery Date]],_xlfn.XLOOKUP(IU$1,$BH$2:$BR$2,$BH97:$BR97,0),0)</f>
        <v>0</v>
      </c>
      <c r="IV97" s="26">
        <f>IF(IV$2=InputTable[[#This Row],[Delivery Date]],_xlfn.XLOOKUP(IV$1,$BH$2:$BR$2,$BH97:$BR97,0),0)</f>
        <v>0</v>
      </c>
      <c r="IW97" s="26">
        <f>IF(IW$2=InputTable[[#This Row],[Delivery Date]],_xlfn.XLOOKUP(IW$1,$BH$2:$BR$2,$BH97:$BR97,0),0)</f>
        <v>0</v>
      </c>
      <c r="IX97" s="26">
        <f>IF(IX$2=InputTable[[#This Row],[Delivery Date]],_xlfn.XLOOKUP(IX$1,$BH$2:$BR$2,$BH97:$BR97,0),0)</f>
        <v>0</v>
      </c>
      <c r="IY97" s="26">
        <f>IF(IY$2=InputTable[[#This Row],[Delivery Date]],_xlfn.XLOOKUP(IY$1,$BH$2:$BR$2,$BH97:$BR97,0),0)</f>
        <v>0</v>
      </c>
      <c r="IZ97" s="26">
        <f>IF(IZ$2=InputTable[[#This Row],[Delivery Date]],_xlfn.XLOOKUP(IZ$1,$BH$2:$BR$2,$BH97:$BR97,0),0)</f>
        <v>0</v>
      </c>
      <c r="JA97" s="26">
        <f>IF(JA$2=InputTable[[#This Row],[Delivery Date]],_xlfn.XLOOKUP(JA$1,$BH$2:$BR$2,$BH97:$BR97,0),0)</f>
        <v>0</v>
      </c>
      <c r="JB97" s="26">
        <f>IF(JB$2=InputTable[[#This Row],[Delivery Date]],_xlfn.XLOOKUP(JB$1,$BH$2:$BR$2,$BH97:$BR97,0),0)</f>
        <v>0</v>
      </c>
      <c r="JD97" s="26" t="e">
        <f>IF(JD$2=InputTable[[#This Row],[Delivery Date]],_xlfn.XLOOKUP(JD$1,$BH$2:$BR$2,$BH97:$BR97,0),0)</f>
        <v>#REF!</v>
      </c>
      <c r="JE97" s="26">
        <f>IF(JE$2=InputTable[[#This Row],[Delivery Date]],_xlfn.XLOOKUP(JE$1,$BH$2:$BR$2,$BH97:$BR97,0),0)</f>
        <v>0</v>
      </c>
      <c r="JF97" s="26">
        <f>IF(JF$2=InputTable[[#This Row],[Delivery Date]],_xlfn.XLOOKUP(JF$1,$BH$2:$BR$2,$BH97:$BR97,0),0)</f>
        <v>0</v>
      </c>
      <c r="JG97" s="26">
        <f>IF(JG$2=InputTable[[#This Row],[Delivery Date]],_xlfn.XLOOKUP(JG$1,$BH$2:$BR$2,$BH97:$BR97,0),0)</f>
        <v>0</v>
      </c>
      <c r="JH97" s="26">
        <f>IF(JH$2=InputTable[[#This Row],[Delivery Date]],_xlfn.XLOOKUP(JH$1,$BH$2:$BR$2,$BH97:$BR97,0),0)</f>
        <v>0</v>
      </c>
      <c r="JI97" s="26">
        <f>IF(JI$2=InputTable[[#This Row],[Delivery Date]],_xlfn.XLOOKUP(JI$1,$BH$2:$BR$2,$BH97:$BR97,0),0)</f>
        <v>0</v>
      </c>
      <c r="JJ97" s="26">
        <f>IF(JJ$2=InputTable[[#This Row],[Delivery Date]],_xlfn.XLOOKUP(JJ$1,$BH$2:$BR$2,$BH97:$BR97,0),0)</f>
        <v>0</v>
      </c>
      <c r="JK97" s="26">
        <f>IF(JK$2=InputTable[[#This Row],[Delivery Date]],_xlfn.XLOOKUP(JK$1,$BH$2:$BR$2,$BH97:$BR97,0),0)</f>
        <v>0</v>
      </c>
      <c r="JL97" s="26">
        <f>IF(JL$2=InputTable[[#This Row],[Delivery Date]],_xlfn.XLOOKUP(JL$1,$BH$2:$BR$2,$BH97:$BR97,0),0)</f>
        <v>0</v>
      </c>
      <c r="JN97" s="26" t="e">
        <f>IF(JN$2=InputTable[[#This Row],[Delivery Date]],_xlfn.XLOOKUP(JN$1,$BH$2:$BR$2,$BH97:$BR97,0),0)</f>
        <v>#REF!</v>
      </c>
      <c r="JO97" s="26">
        <f>IF(JO$2=InputTable[[#This Row],[Delivery Date]],_xlfn.XLOOKUP(JO$1,$BH$2:$BR$2,$BH97:$BR97,0),0)</f>
        <v>0</v>
      </c>
      <c r="JP97" s="26">
        <f>IF(JP$2=InputTable[[#This Row],[Delivery Date]],_xlfn.XLOOKUP(JP$1,$BH$2:$BR$2,$BH97:$BR97,0),0)</f>
        <v>0</v>
      </c>
      <c r="JQ97" s="26">
        <f>IF(JQ$2=InputTable[[#This Row],[Delivery Date]],_xlfn.XLOOKUP(JQ$1,$BH$2:$BR$2,$BH97:$BR97,0),0)</f>
        <v>0</v>
      </c>
      <c r="JR97" s="26">
        <f>IF(JR$2=InputTable[[#This Row],[Delivery Date]],_xlfn.XLOOKUP(JR$1,$BH$2:$BR$2,$BH97:$BR97,0),0)</f>
        <v>0</v>
      </c>
      <c r="JS97" s="26">
        <f>IF(JS$2=InputTable[[#This Row],[Delivery Date]],_xlfn.XLOOKUP(JS$1,$BH$2:$BR$2,$BH97:$BR97,0),0)</f>
        <v>0</v>
      </c>
      <c r="JT97" s="26">
        <f>IF(JT$2=InputTable[[#This Row],[Delivery Date]],_xlfn.XLOOKUP(JT$1,$BH$2:$BR$2,$BH97:$BR97,0),0)</f>
        <v>0</v>
      </c>
      <c r="JU97" s="26">
        <f>IF(JU$2=InputTable[[#This Row],[Delivery Date]],_xlfn.XLOOKUP(JU$1,$BH$2:$BR$2,$BH97:$BR97,0),0)</f>
        <v>0</v>
      </c>
      <c r="JV97" s="26">
        <f>IF(JV$2=InputTable[[#This Row],[Delivery Date]],_xlfn.XLOOKUP(JV$1,$BH$2:$BR$2,$BH97:$BR97,0),0)</f>
        <v>0</v>
      </c>
      <c r="JX97" s="26" t="e">
        <f>IF(JX$2=InputTable[[#This Row],[Delivery Date]],_xlfn.XLOOKUP(JX$1,$BH$2:$BR$2,$BH97:$BR97,0),0)</f>
        <v>#REF!</v>
      </c>
      <c r="JY97" s="26">
        <f>IF(JY$2=InputTable[[#This Row],[Delivery Date]],_xlfn.XLOOKUP(JY$1,$BH$2:$BR$2,$BH97:$BR97,0),0)</f>
        <v>0</v>
      </c>
      <c r="JZ97" s="26">
        <f>IF(JZ$2=InputTable[[#This Row],[Delivery Date]],_xlfn.XLOOKUP(JZ$1,$BH$2:$BR$2,$BH97:$BR97,0),0)</f>
        <v>0</v>
      </c>
      <c r="KA97" s="26">
        <f>IF(KA$2=InputTable[[#This Row],[Delivery Date]],_xlfn.XLOOKUP(KA$1,$BH$2:$BR$2,$BH97:$BR97,0),0)</f>
        <v>0</v>
      </c>
      <c r="KB97" s="26">
        <f>IF(KB$2=InputTable[[#This Row],[Delivery Date]],_xlfn.XLOOKUP(KB$1,$BH$2:$BR$2,$BH97:$BR97,0),0)</f>
        <v>0</v>
      </c>
      <c r="KC97" s="26">
        <f>IF(KC$2=InputTable[[#This Row],[Delivery Date]],_xlfn.XLOOKUP(KC$1,$BH$2:$BR$2,$BH97:$BR97,0),0)</f>
        <v>0</v>
      </c>
      <c r="KD97" s="26">
        <f>IF(KD$2=InputTable[[#This Row],[Delivery Date]],_xlfn.XLOOKUP(KD$1,$BH$2:$BR$2,$BH97:$BR97,0),0)</f>
        <v>0</v>
      </c>
      <c r="KE97" s="26">
        <f>IF(KE$2=InputTable[[#This Row],[Delivery Date]],_xlfn.XLOOKUP(KE$1,$BH$2:$BR$2,$BH97:$BR97,0),0)</f>
        <v>0</v>
      </c>
      <c r="KF97" s="26">
        <f>IF(KF$2=InputTable[[#This Row],[Delivery Date]],_xlfn.XLOOKUP(KF$1,$BH$2:$BR$2,$BH97:$BR97,0),0)</f>
        <v>0</v>
      </c>
    </row>
    <row r="98" spans="1:292" ht="39.6" hidden="1" customHeight="1" x14ac:dyDescent="0.25">
      <c r="A98" s="141"/>
      <c r="B98" s="141" t="s">
        <v>114</v>
      </c>
      <c r="C98" s="92" t="s">
        <v>60</v>
      </c>
      <c r="D98" s="125" t="s">
        <v>399</v>
      </c>
      <c r="E98" s="193" t="s">
        <v>400</v>
      </c>
      <c r="F98" s="92" t="s">
        <v>241</v>
      </c>
      <c r="G98" s="92">
        <v>2026</v>
      </c>
      <c r="H98" s="92"/>
      <c r="I98" s="92">
        <v>2026</v>
      </c>
      <c r="J98" s="125"/>
      <c r="K98" s="95" t="str">
        <f>VLOOKUP((InputTable[[#This Row],[Starting Date]]&amp; " - " &amp;InputTable[[#This Row],[Delivery Date]]),'System List'!$F$40:$H$83,2,FALSE)</f>
        <v>1 to 2 years</v>
      </c>
      <c r="L98" s="95">
        <f>VLOOKUP(InputTable[[#This Row],[Duration]],Duration,2,FALSE)</f>
        <v>8</v>
      </c>
      <c r="M98" s="142"/>
      <c r="N98" s="92"/>
      <c r="O98" s="92"/>
      <c r="P98" s="92"/>
      <c r="Q98" s="92" t="s">
        <v>111</v>
      </c>
      <c r="R98" s="92" t="s">
        <v>139</v>
      </c>
      <c r="S98" s="92"/>
      <c r="T98" s="95" cm="1">
        <f t="array" ref="T9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2.9</v>
      </c>
      <c r="U98" s="138"/>
      <c r="V98" s="92"/>
      <c r="W98" s="92"/>
      <c r="X98" s="92"/>
      <c r="Y98" s="92"/>
      <c r="Z98" s="92"/>
      <c r="AA98" s="92"/>
      <c r="AB98" s="92"/>
      <c r="AC98" s="92"/>
      <c r="AD98" s="92">
        <f>COUNTA(InputTable[[#This Row],[CORPHRFIN]:[SALES]])</f>
        <v>0</v>
      </c>
      <c r="AE98" s="88" cm="1">
        <f t="array" ref="AE98">SUM(
_xlfn.XLOOKUP(InputTable[[#This Row],[CORPHRFIN]:[SALES]],'System List'!$F$4:$F$7,'System List'!$H$4:$H$7,0))</f>
        <v>0</v>
      </c>
      <c r="AF98" s="140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88" cm="1">
        <f t="array" ref="AR98">SUM(
_xlfn.XLOOKUP(InputTable[[#This Row],[Impact on - CIAL]:[Impact on - STRAT]],'System List'!$F$4:$F$7,'System List'!$H$4:$H$7,0))</f>
        <v>0</v>
      </c>
      <c r="AS98" s="88">
        <f>VLOOKUP(InputTable[[#This Row],[Duration]],Duration,2,FALSE)+InputTable[[#This Row],[Resource Score]]</f>
        <v>8</v>
      </c>
      <c r="AT9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8" s="24">
        <f>InputTable[[#This Row],[Value Score]]/InputTable[[#This Row],[EFFORT SCORE]]*100</f>
        <v>36.25</v>
      </c>
      <c r="AV98" s="25"/>
      <c r="AW98" s="25" t="s">
        <v>234</v>
      </c>
      <c r="AX98" s="208"/>
      <c r="AY98" s="25"/>
      <c r="AZ98" s="209"/>
      <c r="BA98" s="209"/>
      <c r="BB98" s="209"/>
      <c r="BC98" s="189"/>
      <c r="BD98" s="188"/>
      <c r="BE98" s="188"/>
      <c r="BF98" s="70"/>
      <c r="BH98" s="2">
        <f>IFERROR(VLOOKUP(InputTable[[#This Row],[Impact on - CIAL]],'System List'!$F$4:$H$7,3,FALSE),0)</f>
        <v>0</v>
      </c>
      <c r="BI98" s="2">
        <f>IFERROR(VLOOKUP(InputTable[[#This Row],[Impact on - COM]],'System List'!$F$4:$H$7,3,FALSE),0)</f>
        <v>0</v>
      </c>
      <c r="BJ98" s="2">
        <f>IFERROR(VLOOKUP(InputTable[[#This Row],[Impact on - FIN]],'System List'!$F$4:$H$7,3,FALSE),0)</f>
        <v>0</v>
      </c>
      <c r="BK98" s="2">
        <f>IFERROR(VLOOKUP(InputTable[[#This Row],[Impact on - GEN SEC]],'System List'!$F$4:$H$7,3,FALSE),0)</f>
        <v>0</v>
      </c>
      <c r="BL98" s="2">
        <f>IFERROR(VLOOKUP(InputTable[[#This Row],[Impact on - HR]],'System List'!$F$4:$H$7,3,FALSE),0)</f>
        <v>0</v>
      </c>
      <c r="BM98" s="2">
        <f>IFERROR(VLOOKUP(InputTable[[#This Row],[Impact on - IS]],'System List'!$F$4:$H$7,3,FALSE),0)</f>
        <v>0</v>
      </c>
      <c r="BN98" s="2">
        <f>IFERROR(VLOOKUP(InputTable[[#This Row],[Impact on - OPS]],'System List'!$F$4:$H$7,3,FALSE),0)</f>
        <v>0</v>
      </c>
      <c r="BO98" s="2">
        <f>IFERROR(VLOOKUP(InputTable[[#This Row],[Impact on - ROLL STOCK]],'System List'!$F$4:$H$7,3,FALSE),0)</f>
        <v>0</v>
      </c>
      <c r="BP98" s="2">
        <f>IFERROR(VLOOKUP(InputTable[[#This Row],[Impact on - SAFETY]],'System List'!$F$4:$H$7,3,FALSE),0)</f>
        <v>0</v>
      </c>
      <c r="BQ98" s="2">
        <f>IFERROR(VLOOKUP(InputTable[[#This Row],[Impact on - STATION]],'System List'!$F$4:$H$7,3,FALSE),0)</f>
        <v>0</v>
      </c>
      <c r="BR98" s="2">
        <f>IFERROR(VLOOKUP(InputTable[[#This Row],[Impact on - STRAT]],'System List'!$F$4:$H$7,3,FALSE),0)</f>
        <v>0</v>
      </c>
      <c r="BT98" s="2">
        <f>IFERROR(VLOOKUP(InputTable[[#This Row],[CORPHRFIN]],'System List'!$F$4:$H$7,3,FALSE),0)</f>
        <v>0</v>
      </c>
      <c r="BU98" s="2">
        <f>IFERROR(VLOOKUP(InputTable[[#This Row],[CUST]],'System List'!$F$4:$H$7,3,FALSE),0)</f>
        <v>0</v>
      </c>
      <c r="BV98" s="2">
        <f>IFERROR(VLOOKUP(InputTable[[#This Row],[CYBER]],'System List'!$F$4:$H$7,3,FALSE),0)</f>
        <v>0</v>
      </c>
      <c r="BW98" s="2">
        <f>IFERROR(VLOOKUP(InputTable[[#This Row],[DATA]],'System List'!$F$4:$H$7,3,FALSE),0)</f>
        <v>0</v>
      </c>
      <c r="BX98" s="2">
        <f>IFERROR(VLOOKUP(InputTable[[#This Row],[INFRA]],'System List'!$F$4:$H$7,3,FALSE),0)</f>
        <v>0</v>
      </c>
      <c r="BY98" s="2">
        <f>IFERROR(VLOOKUP(InputTable[[#This Row],[OPERATIONS]],'System List'!$F$4:$H$7,3,FALSE),0)</f>
        <v>0</v>
      </c>
      <c r="BZ98" s="2">
        <f>IFERROR(VLOOKUP(InputTable[[#This Row],[PMO]],'System List'!$F$4:$H$7,3,FALSE),0)</f>
        <v>0</v>
      </c>
      <c r="CA98" s="2">
        <f>IFERROR(VLOOKUP(InputTable[[#This Row],[SALES]],'System List'!$F$4:$H$7,3,FALSE),0)</f>
        <v>0</v>
      </c>
      <c r="CC98" s="2" cm="1">
        <f t="array" ref="CC9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8" s="2" cm="1">
        <f t="array" ref="CD9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8" s="2" cm="1">
        <f t="array" ref="CE9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8" s="2" cm="1">
        <f t="array" ref="CF9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8" s="2" cm="1">
        <f t="array" ref="CG9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8" s="2" cm="1">
        <f t="array" ref="CH9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8" s="2" cm="1">
        <f t="array" ref="CI9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8" s="2" cm="1">
        <f t="array" ref="CJ9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8" s="2" cm="1">
        <f t="array" ref="CK9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9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9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9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9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8" s="26">
        <f t="shared" si="224"/>
        <v>0</v>
      </c>
      <c r="CY98" s="26">
        <f t="shared" si="225"/>
        <v>0</v>
      </c>
      <c r="CZ98" s="26">
        <f t="shared" si="226"/>
        <v>0</v>
      </c>
      <c r="DA98" s="26">
        <f t="shared" si="227"/>
        <v>0</v>
      </c>
      <c r="DB98" s="26">
        <f t="shared" si="228"/>
        <v>0</v>
      </c>
      <c r="DC98" s="26">
        <f t="shared" si="229"/>
        <v>0</v>
      </c>
      <c r="DD98" s="26">
        <f t="shared" si="230"/>
        <v>0</v>
      </c>
      <c r="DE98" s="26">
        <f t="shared" si="231"/>
        <v>0</v>
      </c>
      <c r="DF98" s="26">
        <f t="shared" si="232"/>
        <v>0</v>
      </c>
      <c r="DH98" s="26">
        <f t="shared" si="233"/>
        <v>0</v>
      </c>
      <c r="DI98" s="26">
        <f t="shared" si="234"/>
        <v>0</v>
      </c>
      <c r="DJ98" s="26">
        <f t="shared" si="235"/>
        <v>0</v>
      </c>
      <c r="DK98" s="26">
        <f t="shared" si="236"/>
        <v>0</v>
      </c>
      <c r="DL98" s="26">
        <f t="shared" si="237"/>
        <v>0</v>
      </c>
      <c r="DM98" s="26">
        <f t="shared" si="238"/>
        <v>0</v>
      </c>
      <c r="DN98" s="26">
        <f t="shared" si="239"/>
        <v>0</v>
      </c>
      <c r="DO98" s="26">
        <f t="shared" si="240"/>
        <v>0</v>
      </c>
      <c r="DP98" s="26">
        <f t="shared" si="241"/>
        <v>0</v>
      </c>
      <c r="DR98" s="26">
        <f t="shared" si="242"/>
        <v>0</v>
      </c>
      <c r="DS98" s="26">
        <f t="shared" si="243"/>
        <v>0</v>
      </c>
      <c r="DT98" s="26">
        <f t="shared" si="244"/>
        <v>0</v>
      </c>
      <c r="DU98" s="26">
        <f t="shared" si="245"/>
        <v>0</v>
      </c>
      <c r="DV98" s="26">
        <f t="shared" si="246"/>
        <v>0</v>
      </c>
      <c r="DW98" s="26">
        <f t="shared" si="247"/>
        <v>0</v>
      </c>
      <c r="DX98" s="26">
        <f t="shared" si="248"/>
        <v>0</v>
      </c>
      <c r="DY98" s="26">
        <f t="shared" si="249"/>
        <v>0</v>
      </c>
      <c r="DZ98" s="26">
        <f t="shared" si="250"/>
        <v>0</v>
      </c>
      <c r="EB98" s="26">
        <f t="shared" si="251"/>
        <v>0</v>
      </c>
      <c r="EC98" s="26">
        <f t="shared" si="252"/>
        <v>0</v>
      </c>
      <c r="ED98" s="26">
        <f t="shared" si="253"/>
        <v>0</v>
      </c>
      <c r="EE98" s="26">
        <f t="shared" si="254"/>
        <v>0</v>
      </c>
      <c r="EF98" s="26">
        <f t="shared" si="255"/>
        <v>0</v>
      </c>
      <c r="EG98" s="26">
        <f t="shared" si="256"/>
        <v>0</v>
      </c>
      <c r="EH98" s="26">
        <f t="shared" si="257"/>
        <v>0</v>
      </c>
      <c r="EI98" s="26">
        <f t="shared" si="258"/>
        <v>0</v>
      </c>
      <c r="EJ98" s="26">
        <f t="shared" si="259"/>
        <v>0</v>
      </c>
      <c r="EL98" s="26">
        <f t="shared" si="260"/>
        <v>0</v>
      </c>
      <c r="EM98" s="26">
        <f t="shared" si="261"/>
        <v>0</v>
      </c>
      <c r="EN98" s="26">
        <f t="shared" si="262"/>
        <v>0</v>
      </c>
      <c r="EO98" s="26">
        <f t="shared" si="263"/>
        <v>0</v>
      </c>
      <c r="EP98" s="26">
        <f t="shared" si="264"/>
        <v>0</v>
      </c>
      <c r="EQ98" s="26">
        <f t="shared" si="265"/>
        <v>0</v>
      </c>
      <c r="ER98" s="26">
        <f t="shared" si="266"/>
        <v>0</v>
      </c>
      <c r="ES98" s="26">
        <f t="shared" si="267"/>
        <v>0</v>
      </c>
      <c r="ET98" s="26">
        <f t="shared" si="268"/>
        <v>0</v>
      </c>
      <c r="EV98" s="26">
        <f t="shared" si="269"/>
        <v>0</v>
      </c>
      <c r="EW98" s="26">
        <f t="shared" si="270"/>
        <v>0</v>
      </c>
      <c r="EX98" s="26">
        <f t="shared" si="271"/>
        <v>0</v>
      </c>
      <c r="EY98" s="26">
        <f t="shared" si="272"/>
        <v>0</v>
      </c>
      <c r="EZ98" s="26">
        <f t="shared" si="273"/>
        <v>0</v>
      </c>
      <c r="FA98" s="26">
        <f t="shared" si="274"/>
        <v>0</v>
      </c>
      <c r="FB98" s="26">
        <f t="shared" si="275"/>
        <v>0</v>
      </c>
      <c r="FC98" s="26">
        <f t="shared" si="276"/>
        <v>0</v>
      </c>
      <c r="FD98" s="26">
        <f t="shared" si="277"/>
        <v>0</v>
      </c>
      <c r="FF98" s="26">
        <f t="shared" si="278"/>
        <v>0</v>
      </c>
      <c r="FG98" s="26">
        <f t="shared" si="279"/>
        <v>0</v>
      </c>
      <c r="FH98" s="26">
        <f t="shared" si="280"/>
        <v>0</v>
      </c>
      <c r="FI98" s="26">
        <f t="shared" si="281"/>
        <v>0</v>
      </c>
      <c r="FJ98" s="26">
        <f t="shared" si="282"/>
        <v>0</v>
      </c>
      <c r="FK98" s="26">
        <f t="shared" si="283"/>
        <v>0</v>
      </c>
      <c r="FL98" s="26">
        <f t="shared" si="284"/>
        <v>0</v>
      </c>
      <c r="FM98" s="26">
        <f t="shared" si="285"/>
        <v>0</v>
      </c>
      <c r="FN98" s="26">
        <f t="shared" si="286"/>
        <v>0</v>
      </c>
      <c r="FP98" s="26" t="e">
        <f t="shared" si="287"/>
        <v>#REF!</v>
      </c>
      <c r="FQ98" s="26" t="e">
        <f t="shared" si="288"/>
        <v>#REF!</v>
      </c>
      <c r="FR98" s="26" t="e">
        <f t="shared" si="289"/>
        <v>#REF!</v>
      </c>
      <c r="FS98" s="26" t="e">
        <f t="shared" si="290"/>
        <v>#REF!</v>
      </c>
      <c r="FT98" s="26" t="e">
        <f t="shared" si="291"/>
        <v>#REF!</v>
      </c>
      <c r="FU98" s="26" t="e">
        <f t="shared" si="292"/>
        <v>#REF!</v>
      </c>
      <c r="FV98" s="26" t="e">
        <f t="shared" si="293"/>
        <v>#REF!</v>
      </c>
      <c r="FW98" s="26" t="e">
        <f t="shared" si="294"/>
        <v>#REF!</v>
      </c>
      <c r="FX98" s="26" t="e">
        <f t="shared" si="295"/>
        <v>#REF!</v>
      </c>
      <c r="GB98" s="26" t="e">
        <f>IF(GB$2=InputTable[[#This Row],[Delivery Date]],_xlfn.XLOOKUP(GB$1,$BH$2:$BR$2,$BH98:$BR98,0),0)</f>
        <v>#REF!</v>
      </c>
      <c r="GC98" s="26">
        <f>IF(GC$2=InputTable[[#This Row],[Delivery Date]],_xlfn.XLOOKUP(GC$1,$BH$2:$BR$2,$BH98:$BR98,0),0)</f>
        <v>0</v>
      </c>
      <c r="GD98" s="26">
        <f>IF(GD$2=InputTable[[#This Row],[Delivery Date]],_xlfn.XLOOKUP(GD$1,$BH$2:$BR$2,$BH98:$BR98,0),0)</f>
        <v>0</v>
      </c>
      <c r="GE98" s="26">
        <f>IF(GE$2=InputTable[[#This Row],[Delivery Date]],_xlfn.XLOOKUP(GE$1,$BH$2:$BR$2,$BH98:$BR98,0),0)</f>
        <v>0</v>
      </c>
      <c r="GF98" s="26">
        <f>IF(GF$2=InputTable[[#This Row],[Delivery Date]],_xlfn.XLOOKUP(GF$1,$BH$2:$BR$2,$BH98:$BR98,0),0)</f>
        <v>0</v>
      </c>
      <c r="GG98" s="26">
        <f>IF(GG$2=InputTable[[#This Row],[Delivery Date]],_xlfn.XLOOKUP(GG$1,$BH$2:$BR$2,$BH98:$BR98,0),0)</f>
        <v>0</v>
      </c>
      <c r="GH98" s="26">
        <f>IF(GH$2=InputTable[[#This Row],[Delivery Date]],_xlfn.XLOOKUP(GH$1,$BH$2:$BR$2,$BH98:$BR98,0),0)</f>
        <v>0</v>
      </c>
      <c r="GI98" s="26">
        <f>IF(GI$2=InputTable[[#This Row],[Delivery Date]],_xlfn.XLOOKUP(GI$1,$BH$2:$BR$2,$BH98:$BR98,0),0)</f>
        <v>0</v>
      </c>
      <c r="GJ98" s="26">
        <f>IF(GJ$2=InputTable[[#This Row],[Delivery Date]],_xlfn.XLOOKUP(GJ$1,$BH$2:$BR$2,$BH98:$BR98,0),0)</f>
        <v>0</v>
      </c>
      <c r="GL98" s="26" t="e">
        <f>IF(GL$2=InputTable[[#This Row],[Delivery Date]],_xlfn.XLOOKUP(GL$1,$BH$2:$BR$2,$BH98:$BR98,0),0)</f>
        <v>#REF!</v>
      </c>
      <c r="GM98" s="26">
        <f>IF(GM$2=InputTable[[#This Row],[Delivery Date]],_xlfn.XLOOKUP(GM$1,$BH$2:$BR$2,$BH98:$BR98,0),0)</f>
        <v>0</v>
      </c>
      <c r="GN98" s="26">
        <f>IF(GN$2=InputTable[[#This Row],[Delivery Date]],_xlfn.XLOOKUP(GN$1,$BH$2:$BR$2,$BH98:$BR98,0),0)</f>
        <v>0</v>
      </c>
      <c r="GO98" s="26">
        <f>IF(GO$2=InputTable[[#This Row],[Delivery Date]],_xlfn.XLOOKUP(GO$1,$BH$2:$BR$2,$BH98:$BR98,0),0)</f>
        <v>0</v>
      </c>
      <c r="GP98" s="26">
        <f>IF(GP$2=InputTable[[#This Row],[Delivery Date]],_xlfn.XLOOKUP(GP$1,$BH$2:$BR$2,$BH98:$BR98,0),0)</f>
        <v>0</v>
      </c>
      <c r="GQ98" s="26">
        <f>IF(GQ$2=InputTable[[#This Row],[Delivery Date]],_xlfn.XLOOKUP(GQ$1,$BH$2:$BR$2,$BH98:$BR98,0),0)</f>
        <v>0</v>
      </c>
      <c r="GR98" s="26">
        <f>IF(GR$2=InputTable[[#This Row],[Delivery Date]],_xlfn.XLOOKUP(GR$1,$BH$2:$BR$2,$BH98:$BR98,0),0)</f>
        <v>0</v>
      </c>
      <c r="GS98" s="26">
        <f>IF(GS$2=InputTable[[#This Row],[Delivery Date]],_xlfn.XLOOKUP(GS$1,$BH$2:$BR$2,$BH98:$BR98,0),0)</f>
        <v>0</v>
      </c>
      <c r="GT98" s="26">
        <f>IF(GT$2=InputTable[[#This Row],[Delivery Date]],_xlfn.XLOOKUP(GT$1,$BH$2:$BR$2,$BH98:$BR98,0),0)</f>
        <v>0</v>
      </c>
      <c r="GV98" s="26" t="e">
        <f>IF(GV$2=InputTable[[#This Row],[Delivery Date]],_xlfn.XLOOKUP(GV$1,$BH$2:$BR$2,$BH98:$BR98,0),0)</f>
        <v>#REF!</v>
      </c>
      <c r="GW98" s="26">
        <f>IF(GW$2=InputTable[[#This Row],[Delivery Date]],_xlfn.XLOOKUP(GW$1,$BH$2:$BR$2,$BH98:$BR98,0),0)</f>
        <v>0</v>
      </c>
      <c r="GX98" s="26">
        <f>IF(GX$2=InputTable[[#This Row],[Delivery Date]],_xlfn.XLOOKUP(GX$1,$BH$2:$BR$2,$BH98:$BR98,0),0)</f>
        <v>0</v>
      </c>
      <c r="GY98" s="26">
        <f>IF(GY$2=InputTable[[#This Row],[Delivery Date]],_xlfn.XLOOKUP(GY$1,$BH$2:$BR$2,$BH98:$BR98,0),0)</f>
        <v>0</v>
      </c>
      <c r="GZ98" s="26">
        <f>IF(GZ$2=InputTable[[#This Row],[Delivery Date]],_xlfn.XLOOKUP(GZ$1,$BH$2:$BR$2,$BH98:$BR98,0),0)</f>
        <v>0</v>
      </c>
      <c r="HA98" s="26">
        <f>IF(HA$2=InputTable[[#This Row],[Delivery Date]],_xlfn.XLOOKUP(HA$1,$BH$2:$BR$2,$BH98:$BR98,0),0)</f>
        <v>0</v>
      </c>
      <c r="HB98" s="26">
        <f>IF(HB$2=InputTable[[#This Row],[Delivery Date]],_xlfn.XLOOKUP(HB$1,$BH$2:$BR$2,$BH98:$BR98,0),0)</f>
        <v>0</v>
      </c>
      <c r="HC98" s="26">
        <f>IF(HC$2=InputTable[[#This Row],[Delivery Date]],_xlfn.XLOOKUP(HC$1,$BH$2:$BR$2,$BH98:$BR98,0),0)</f>
        <v>0</v>
      </c>
      <c r="HD98" s="26">
        <f>IF(HD$2=InputTable[[#This Row],[Delivery Date]],_xlfn.XLOOKUP(HD$1,$BH$2:$BR$2,$BH98:$BR98,0),0)</f>
        <v>0</v>
      </c>
      <c r="HF98" s="26" t="e">
        <f>IF(HF$2=InputTable[[#This Row],[Delivery Date]],_xlfn.XLOOKUP(HF$1,$BH$2:$BR$2,$BH98:$BR98,0),0)</f>
        <v>#REF!</v>
      </c>
      <c r="HG98" s="26">
        <f>IF(HG$2=InputTable[[#This Row],[Delivery Date]],_xlfn.XLOOKUP(HG$1,$BH$2:$BR$2,$BH98:$BR98,0),0)</f>
        <v>0</v>
      </c>
      <c r="HH98" s="26">
        <f>IF(HH$2=InputTable[[#This Row],[Delivery Date]],_xlfn.XLOOKUP(HH$1,$BH$2:$BR$2,$BH98:$BR98,0),0)</f>
        <v>0</v>
      </c>
      <c r="HI98" s="26">
        <f>IF(HI$2=InputTable[[#This Row],[Delivery Date]],_xlfn.XLOOKUP(HI$1,$BH$2:$BR$2,$BH98:$BR98,0),0)</f>
        <v>0</v>
      </c>
      <c r="HJ98" s="26">
        <f>IF(HJ$2=InputTable[[#This Row],[Delivery Date]],_xlfn.XLOOKUP(HJ$1,$BH$2:$BR$2,$BH98:$BR98,0),0)</f>
        <v>0</v>
      </c>
      <c r="HK98" s="26">
        <f>IF(HK$2=InputTable[[#This Row],[Delivery Date]],_xlfn.XLOOKUP(HK$1,$BH$2:$BR$2,$BH98:$BR98,0),0)</f>
        <v>0</v>
      </c>
      <c r="HL98" s="26">
        <f>IF(HL$2=InputTable[[#This Row],[Delivery Date]],_xlfn.XLOOKUP(HL$1,$BH$2:$BR$2,$BH98:$BR98,0),0)</f>
        <v>0</v>
      </c>
      <c r="HM98" s="26">
        <f>IF(HM$2=InputTable[[#This Row],[Delivery Date]],_xlfn.XLOOKUP(HM$1,$BH$2:$BR$2,$BH98:$BR98,0),0)</f>
        <v>0</v>
      </c>
      <c r="HN98" s="26">
        <f>IF(HN$2=InputTable[[#This Row],[Delivery Date]],_xlfn.XLOOKUP(HN$1,$BH$2:$BR$2,$BH98:$BR98,0),0)</f>
        <v>0</v>
      </c>
      <c r="HP98" s="26" t="e">
        <f>IF(HP$2=InputTable[[#This Row],[Delivery Date]],_xlfn.XLOOKUP(HP$1,$BH$2:$BR$2,$BH98:$BR98,0),0)</f>
        <v>#REF!</v>
      </c>
      <c r="HQ98" s="26">
        <f>IF(HQ$2=InputTable[[#This Row],[Delivery Date]],_xlfn.XLOOKUP(HQ$1,$BH$2:$BR$2,$BH98:$BR98,0),0)</f>
        <v>0</v>
      </c>
      <c r="HR98" s="26">
        <f>IF(HR$2=InputTable[[#This Row],[Delivery Date]],_xlfn.XLOOKUP(HR$1,$BH$2:$BR$2,$BH98:$BR98,0),0)</f>
        <v>0</v>
      </c>
      <c r="HS98" s="26">
        <f>IF(HS$2=InputTable[[#This Row],[Delivery Date]],_xlfn.XLOOKUP(HS$1,$BH$2:$BR$2,$BH98:$BR98,0),0)</f>
        <v>0</v>
      </c>
      <c r="HT98" s="26">
        <f>IF(HT$2=InputTable[[#This Row],[Delivery Date]],_xlfn.XLOOKUP(HT$1,$BH$2:$BR$2,$BH98:$BR98,0),0)</f>
        <v>0</v>
      </c>
      <c r="HU98" s="26">
        <f>IF(HU$2=InputTable[[#This Row],[Delivery Date]],_xlfn.XLOOKUP(HU$1,$BH$2:$BR$2,$BH98:$BR98,0),0)</f>
        <v>0</v>
      </c>
      <c r="HV98" s="26">
        <f>IF(HV$2=InputTable[[#This Row],[Delivery Date]],_xlfn.XLOOKUP(HV$1,$BH$2:$BR$2,$BH98:$BR98,0),0)</f>
        <v>0</v>
      </c>
      <c r="HW98" s="26">
        <f>IF(HW$2=InputTable[[#This Row],[Delivery Date]],_xlfn.XLOOKUP(HW$1,$BH$2:$BR$2,$BH98:$BR98,0),0)</f>
        <v>0</v>
      </c>
      <c r="HX98" s="26">
        <f>IF(HX$2=InputTable[[#This Row],[Delivery Date]],_xlfn.XLOOKUP(HX$1,$BH$2:$BR$2,$BH98:$BR98,0),0)</f>
        <v>0</v>
      </c>
      <c r="HZ98" s="26" t="e">
        <f>IF(HZ$2=InputTable[[#This Row],[Delivery Date]],_xlfn.XLOOKUP(HZ$1,$BH$2:$BR$2,$BH98:$BR98,0),0)</f>
        <v>#REF!</v>
      </c>
      <c r="IA98" s="26">
        <f>IF(IA$2=InputTable[[#This Row],[Delivery Date]],_xlfn.XLOOKUP(IA$1,$BH$2:$BR$2,$BH98:$BR98,0),0)</f>
        <v>0</v>
      </c>
      <c r="IB98" s="26">
        <f>IF(IB$2=InputTable[[#This Row],[Delivery Date]],_xlfn.XLOOKUP(IB$1,$BH$2:$BR$2,$BH98:$BR98,0),0)</f>
        <v>0</v>
      </c>
      <c r="IC98" s="26">
        <f>IF(IC$2=InputTable[[#This Row],[Delivery Date]],_xlfn.XLOOKUP(IC$1,$BH$2:$BR$2,$BH98:$BR98,0),0)</f>
        <v>0</v>
      </c>
      <c r="ID98" s="26">
        <f>IF(ID$2=InputTable[[#This Row],[Delivery Date]],_xlfn.XLOOKUP(ID$1,$BH$2:$BR$2,$BH98:$BR98,0),0)</f>
        <v>0</v>
      </c>
      <c r="IE98" s="26">
        <f>IF(IE$2=InputTable[[#This Row],[Delivery Date]],_xlfn.XLOOKUP(IE$1,$BH$2:$BR$2,$BH98:$BR98,0),0)</f>
        <v>0</v>
      </c>
      <c r="IF98" s="26">
        <f>IF(IF$2=InputTable[[#This Row],[Delivery Date]],_xlfn.XLOOKUP(IF$1,$BH$2:$BR$2,$BH98:$BR98,0),0)</f>
        <v>0</v>
      </c>
      <c r="IG98" s="26">
        <f>IF(IG$2=InputTable[[#This Row],[Delivery Date]],_xlfn.XLOOKUP(IG$1,$BH$2:$BR$2,$BH98:$BR98,0),0)</f>
        <v>0</v>
      </c>
      <c r="IH98" s="26">
        <f>IF(IH$2=InputTable[[#This Row],[Delivery Date]],_xlfn.XLOOKUP(IH$1,$BH$2:$BR$2,$BH98:$BR98,0),0)</f>
        <v>0</v>
      </c>
      <c r="IJ98" s="26" t="e">
        <f>IF(IJ$2=InputTable[[#This Row],[Delivery Date]],_xlfn.XLOOKUP(IJ$1,$BH$2:$BR$2,$BH98:$BR98,0),0)</f>
        <v>#REF!</v>
      </c>
      <c r="IK98" s="26">
        <f>IF(IK$2=InputTable[[#This Row],[Delivery Date]],_xlfn.XLOOKUP(IK$1,$BH$2:$BR$2,$BH98:$BR98,0),0)</f>
        <v>0</v>
      </c>
      <c r="IL98" s="26">
        <f>IF(IL$2=InputTable[[#This Row],[Delivery Date]],_xlfn.XLOOKUP(IL$1,$BH$2:$BR$2,$BH98:$BR98,0),0)</f>
        <v>0</v>
      </c>
      <c r="IM98" s="26">
        <f>IF(IM$2=InputTable[[#This Row],[Delivery Date]],_xlfn.XLOOKUP(IM$1,$BH$2:$BR$2,$BH98:$BR98,0),0)</f>
        <v>0</v>
      </c>
      <c r="IN98" s="26">
        <f>IF(IN$2=InputTable[[#This Row],[Delivery Date]],_xlfn.XLOOKUP(IN$1,$BH$2:$BR$2,$BH98:$BR98,0),0)</f>
        <v>0</v>
      </c>
      <c r="IO98" s="26">
        <f>IF(IO$2=InputTable[[#This Row],[Delivery Date]],_xlfn.XLOOKUP(IO$1,$BH$2:$BR$2,$BH98:$BR98,0),0)</f>
        <v>0</v>
      </c>
      <c r="IP98" s="26">
        <f>IF(IP$2=InputTable[[#This Row],[Delivery Date]],_xlfn.XLOOKUP(IP$1,$BH$2:$BR$2,$BH98:$BR98,0),0)</f>
        <v>0</v>
      </c>
      <c r="IQ98" s="26">
        <f>IF(IQ$2=InputTable[[#This Row],[Delivery Date]],_xlfn.XLOOKUP(IQ$1,$BH$2:$BR$2,$BH98:$BR98,0),0)</f>
        <v>0</v>
      </c>
      <c r="IR98" s="26">
        <f>IF(IR$2=InputTable[[#This Row],[Delivery Date]],_xlfn.XLOOKUP(IR$1,$BH$2:$BR$2,$BH98:$BR98,0),0)</f>
        <v>0</v>
      </c>
      <c r="IT98" s="26" t="e">
        <f>IF(IT$2=InputTable[[#This Row],[Delivery Date]],_xlfn.XLOOKUP(IT$1,$BH$2:$BR$2,$BH98:$BR98,0),0)</f>
        <v>#REF!</v>
      </c>
      <c r="IU98" s="26">
        <f>IF(IU$2=InputTable[[#This Row],[Delivery Date]],_xlfn.XLOOKUP(IU$1,$BH$2:$BR$2,$BH98:$BR98,0),0)</f>
        <v>0</v>
      </c>
      <c r="IV98" s="26">
        <f>IF(IV$2=InputTable[[#This Row],[Delivery Date]],_xlfn.XLOOKUP(IV$1,$BH$2:$BR$2,$BH98:$BR98,0),0)</f>
        <v>0</v>
      </c>
      <c r="IW98" s="26">
        <f>IF(IW$2=InputTable[[#This Row],[Delivery Date]],_xlfn.XLOOKUP(IW$1,$BH$2:$BR$2,$BH98:$BR98,0),0)</f>
        <v>0</v>
      </c>
      <c r="IX98" s="26">
        <f>IF(IX$2=InputTable[[#This Row],[Delivery Date]],_xlfn.XLOOKUP(IX$1,$BH$2:$BR$2,$BH98:$BR98,0),0)</f>
        <v>0</v>
      </c>
      <c r="IY98" s="26">
        <f>IF(IY$2=InputTable[[#This Row],[Delivery Date]],_xlfn.XLOOKUP(IY$1,$BH$2:$BR$2,$BH98:$BR98,0),0)</f>
        <v>0</v>
      </c>
      <c r="IZ98" s="26">
        <f>IF(IZ$2=InputTable[[#This Row],[Delivery Date]],_xlfn.XLOOKUP(IZ$1,$BH$2:$BR$2,$BH98:$BR98,0),0)</f>
        <v>0</v>
      </c>
      <c r="JA98" s="26">
        <f>IF(JA$2=InputTable[[#This Row],[Delivery Date]],_xlfn.XLOOKUP(JA$1,$BH$2:$BR$2,$BH98:$BR98,0),0)</f>
        <v>0</v>
      </c>
      <c r="JB98" s="26">
        <f>IF(JB$2=InputTable[[#This Row],[Delivery Date]],_xlfn.XLOOKUP(JB$1,$BH$2:$BR$2,$BH98:$BR98,0),0)</f>
        <v>0</v>
      </c>
      <c r="JD98" s="26" t="e">
        <f>IF(JD$2=InputTable[[#This Row],[Delivery Date]],_xlfn.XLOOKUP(JD$1,$BH$2:$BR$2,$BH98:$BR98,0),0)</f>
        <v>#REF!</v>
      </c>
      <c r="JE98" s="26">
        <f>IF(JE$2=InputTable[[#This Row],[Delivery Date]],_xlfn.XLOOKUP(JE$1,$BH$2:$BR$2,$BH98:$BR98,0),0)</f>
        <v>0</v>
      </c>
      <c r="JF98" s="26">
        <f>IF(JF$2=InputTable[[#This Row],[Delivery Date]],_xlfn.XLOOKUP(JF$1,$BH$2:$BR$2,$BH98:$BR98,0),0)</f>
        <v>0</v>
      </c>
      <c r="JG98" s="26">
        <f>IF(JG$2=InputTable[[#This Row],[Delivery Date]],_xlfn.XLOOKUP(JG$1,$BH$2:$BR$2,$BH98:$BR98,0),0)</f>
        <v>0</v>
      </c>
      <c r="JH98" s="26">
        <f>IF(JH$2=InputTable[[#This Row],[Delivery Date]],_xlfn.XLOOKUP(JH$1,$BH$2:$BR$2,$BH98:$BR98,0),0)</f>
        <v>0</v>
      </c>
      <c r="JI98" s="26">
        <f>IF(JI$2=InputTable[[#This Row],[Delivery Date]],_xlfn.XLOOKUP(JI$1,$BH$2:$BR$2,$BH98:$BR98,0),0)</f>
        <v>0</v>
      </c>
      <c r="JJ98" s="26">
        <f>IF(JJ$2=InputTable[[#This Row],[Delivery Date]],_xlfn.XLOOKUP(JJ$1,$BH$2:$BR$2,$BH98:$BR98,0),0)</f>
        <v>0</v>
      </c>
      <c r="JK98" s="26">
        <f>IF(JK$2=InputTable[[#This Row],[Delivery Date]],_xlfn.XLOOKUP(JK$1,$BH$2:$BR$2,$BH98:$BR98,0),0)</f>
        <v>0</v>
      </c>
      <c r="JL98" s="26">
        <f>IF(JL$2=InputTable[[#This Row],[Delivery Date]],_xlfn.XLOOKUP(JL$1,$BH$2:$BR$2,$BH98:$BR98,0),0)</f>
        <v>0</v>
      </c>
      <c r="JN98" s="26" t="e">
        <f>IF(JN$2=InputTable[[#This Row],[Delivery Date]],_xlfn.XLOOKUP(JN$1,$BH$2:$BR$2,$BH98:$BR98,0),0)</f>
        <v>#REF!</v>
      </c>
      <c r="JO98" s="26">
        <f>IF(JO$2=InputTable[[#This Row],[Delivery Date]],_xlfn.XLOOKUP(JO$1,$BH$2:$BR$2,$BH98:$BR98,0),0)</f>
        <v>0</v>
      </c>
      <c r="JP98" s="26">
        <f>IF(JP$2=InputTable[[#This Row],[Delivery Date]],_xlfn.XLOOKUP(JP$1,$BH$2:$BR$2,$BH98:$BR98,0),0)</f>
        <v>0</v>
      </c>
      <c r="JQ98" s="26">
        <f>IF(JQ$2=InputTable[[#This Row],[Delivery Date]],_xlfn.XLOOKUP(JQ$1,$BH$2:$BR$2,$BH98:$BR98,0),0)</f>
        <v>0</v>
      </c>
      <c r="JR98" s="26">
        <f>IF(JR$2=InputTable[[#This Row],[Delivery Date]],_xlfn.XLOOKUP(JR$1,$BH$2:$BR$2,$BH98:$BR98,0),0)</f>
        <v>0</v>
      </c>
      <c r="JS98" s="26">
        <f>IF(JS$2=InputTable[[#This Row],[Delivery Date]],_xlfn.XLOOKUP(JS$1,$BH$2:$BR$2,$BH98:$BR98,0),0)</f>
        <v>0</v>
      </c>
      <c r="JT98" s="26">
        <f>IF(JT$2=InputTable[[#This Row],[Delivery Date]],_xlfn.XLOOKUP(JT$1,$BH$2:$BR$2,$BH98:$BR98,0),0)</f>
        <v>0</v>
      </c>
      <c r="JU98" s="26">
        <f>IF(JU$2=InputTable[[#This Row],[Delivery Date]],_xlfn.XLOOKUP(JU$1,$BH$2:$BR$2,$BH98:$BR98,0),0)</f>
        <v>0</v>
      </c>
      <c r="JV98" s="26">
        <f>IF(JV$2=InputTable[[#This Row],[Delivery Date]],_xlfn.XLOOKUP(JV$1,$BH$2:$BR$2,$BH98:$BR98,0),0)</f>
        <v>0</v>
      </c>
      <c r="JX98" s="26" t="e">
        <f>IF(JX$2=InputTable[[#This Row],[Delivery Date]],_xlfn.XLOOKUP(JX$1,$BH$2:$BR$2,$BH98:$BR98,0),0)</f>
        <v>#REF!</v>
      </c>
      <c r="JY98" s="26">
        <f>IF(JY$2=InputTable[[#This Row],[Delivery Date]],_xlfn.XLOOKUP(JY$1,$BH$2:$BR$2,$BH98:$BR98,0),0)</f>
        <v>0</v>
      </c>
      <c r="JZ98" s="26">
        <f>IF(JZ$2=InputTable[[#This Row],[Delivery Date]],_xlfn.XLOOKUP(JZ$1,$BH$2:$BR$2,$BH98:$BR98,0),0)</f>
        <v>0</v>
      </c>
      <c r="KA98" s="26">
        <f>IF(KA$2=InputTable[[#This Row],[Delivery Date]],_xlfn.XLOOKUP(KA$1,$BH$2:$BR$2,$BH98:$BR98,0),0)</f>
        <v>0</v>
      </c>
      <c r="KB98" s="26">
        <f>IF(KB$2=InputTable[[#This Row],[Delivery Date]],_xlfn.XLOOKUP(KB$1,$BH$2:$BR$2,$BH98:$BR98,0),0)</f>
        <v>0</v>
      </c>
      <c r="KC98" s="26">
        <f>IF(KC$2=InputTable[[#This Row],[Delivery Date]],_xlfn.XLOOKUP(KC$1,$BH$2:$BR$2,$BH98:$BR98,0),0)</f>
        <v>0</v>
      </c>
      <c r="KD98" s="26">
        <f>IF(KD$2=InputTable[[#This Row],[Delivery Date]],_xlfn.XLOOKUP(KD$1,$BH$2:$BR$2,$BH98:$BR98,0),0)</f>
        <v>0</v>
      </c>
      <c r="KE98" s="26">
        <f>IF(KE$2=InputTable[[#This Row],[Delivery Date]],_xlfn.XLOOKUP(KE$1,$BH$2:$BR$2,$BH98:$BR98,0),0)</f>
        <v>0</v>
      </c>
      <c r="KF98" s="26">
        <f>IF(KF$2=InputTable[[#This Row],[Delivery Date]],_xlfn.XLOOKUP(KF$1,$BH$2:$BR$2,$BH98:$BR98,0),0)</f>
        <v>0</v>
      </c>
    </row>
    <row r="99" spans="1:292" ht="39.6" hidden="1" customHeight="1" x14ac:dyDescent="0.25">
      <c r="A99" s="141"/>
      <c r="B99" s="141" t="s">
        <v>114</v>
      </c>
      <c r="C99" s="92" t="s">
        <v>93</v>
      </c>
      <c r="D99" s="125" t="s">
        <v>401</v>
      </c>
      <c r="E99" s="193" t="s">
        <v>402</v>
      </c>
      <c r="F99" s="92" t="s">
        <v>96</v>
      </c>
      <c r="G99" s="92" t="s">
        <v>97</v>
      </c>
      <c r="H99" s="92"/>
      <c r="I99" s="92" t="s">
        <v>98</v>
      </c>
      <c r="J99" s="122"/>
      <c r="K99" s="95" t="e">
        <f>VLOOKUP((InputTable[[#This Row],[Starting Date]]&amp; " - " &amp;InputTable[[#This Row],[Delivery Date]]),'System List'!$F$40:$H$83,2,FALSE)</f>
        <v>#N/A</v>
      </c>
      <c r="L99" s="95" t="e">
        <f>VLOOKUP(InputTable[[#This Row],[Duration]],Duration,2,FALSE)</f>
        <v>#N/A</v>
      </c>
      <c r="M99" s="122" t="s">
        <v>110</v>
      </c>
      <c r="N99" s="92"/>
      <c r="O99" s="92" t="s">
        <v>111</v>
      </c>
      <c r="P99" s="92"/>
      <c r="Q99" s="92"/>
      <c r="R99" s="92" t="s">
        <v>111</v>
      </c>
      <c r="S99" s="92"/>
      <c r="T99" s="95" cm="1">
        <f t="array" ref="T9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99" s="138"/>
      <c r="V99" s="92"/>
      <c r="W99" s="92"/>
      <c r="X99" s="92"/>
      <c r="Y99" s="92"/>
      <c r="Z99" s="92"/>
      <c r="AA99" s="92"/>
      <c r="AB99" s="92"/>
      <c r="AC99" s="92"/>
      <c r="AD99" s="92">
        <f>COUNTA(InputTable[[#This Row],[CORPHRFIN]:[SALES]])</f>
        <v>0</v>
      </c>
      <c r="AE99" s="88" cm="1">
        <f t="array" ref="AE99">SUM(
_xlfn.XLOOKUP(InputTable[[#This Row],[CORPHRFIN]:[SALES]],'System List'!$F$4:$F$7,'System List'!$H$4:$H$7,0))</f>
        <v>0</v>
      </c>
      <c r="AF99" s="140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88" cm="1">
        <f t="array" ref="AR99">SUM(
_xlfn.XLOOKUP(InputTable[[#This Row],[Impact on - CIAL]:[Impact on - STRAT]],'System List'!$F$4:$F$7,'System List'!$H$4:$H$7,0))</f>
        <v>0</v>
      </c>
      <c r="AS99" s="88" t="e">
        <f>VLOOKUP(InputTable[[#This Row],[Duration]],Duration,2,FALSE)+InputTable[[#This Row],[Resource Score]]</f>
        <v>#N/A</v>
      </c>
      <c r="AT9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99" s="24" t="e">
        <f>InputTable[[#This Row],[Value Score]]/InputTable[[#This Row],[EFFORT SCORE]]*100</f>
        <v>#N/A</v>
      </c>
      <c r="AV99" s="25"/>
      <c r="AW99" s="25" t="s">
        <v>101</v>
      </c>
      <c r="AX99" s="208"/>
      <c r="AY99" s="25"/>
      <c r="AZ99" s="209">
        <v>0</v>
      </c>
      <c r="BA99" s="209">
        <v>0</v>
      </c>
      <c r="BB99" s="209"/>
      <c r="BC99" s="189"/>
      <c r="BD99" s="188"/>
      <c r="BE99" s="188"/>
      <c r="BF99" s="70"/>
      <c r="BH99" s="2">
        <f>IFERROR(VLOOKUP(InputTable[[#This Row],[Impact on - CIAL]],'System List'!$F$4:$H$7,3,FALSE),0)</f>
        <v>0</v>
      </c>
      <c r="BI99" s="2">
        <f>IFERROR(VLOOKUP(InputTable[[#This Row],[Impact on - COM]],'System List'!$F$4:$H$7,3,FALSE),0)</f>
        <v>0</v>
      </c>
      <c r="BJ99" s="2">
        <f>IFERROR(VLOOKUP(InputTable[[#This Row],[Impact on - FIN]],'System List'!$F$4:$H$7,3,FALSE),0)</f>
        <v>0</v>
      </c>
      <c r="BK99" s="2">
        <f>IFERROR(VLOOKUP(InputTable[[#This Row],[Impact on - GEN SEC]],'System List'!$F$4:$H$7,3,FALSE),0)</f>
        <v>0</v>
      </c>
      <c r="BL99" s="2">
        <f>IFERROR(VLOOKUP(InputTable[[#This Row],[Impact on - HR]],'System List'!$F$4:$H$7,3,FALSE),0)</f>
        <v>0</v>
      </c>
      <c r="BM99" s="2">
        <f>IFERROR(VLOOKUP(InputTable[[#This Row],[Impact on - IS]],'System List'!$F$4:$H$7,3,FALSE),0)</f>
        <v>0</v>
      </c>
      <c r="BN99" s="2">
        <f>IFERROR(VLOOKUP(InputTable[[#This Row],[Impact on - OPS]],'System List'!$F$4:$H$7,3,FALSE),0)</f>
        <v>0</v>
      </c>
      <c r="BO99" s="2">
        <f>IFERROR(VLOOKUP(InputTable[[#This Row],[Impact on - ROLL STOCK]],'System List'!$F$4:$H$7,3,FALSE),0)</f>
        <v>0</v>
      </c>
      <c r="BP99" s="2">
        <f>IFERROR(VLOOKUP(InputTable[[#This Row],[Impact on - SAFETY]],'System List'!$F$4:$H$7,3,FALSE),0)</f>
        <v>0</v>
      </c>
      <c r="BQ99" s="2">
        <f>IFERROR(VLOOKUP(InputTable[[#This Row],[Impact on - STATION]],'System List'!$F$4:$H$7,3,FALSE),0)</f>
        <v>0</v>
      </c>
      <c r="BR99" s="2">
        <f>IFERROR(VLOOKUP(InputTable[[#This Row],[Impact on - STRAT]],'System List'!$F$4:$H$7,3,FALSE),0)</f>
        <v>0</v>
      </c>
      <c r="BT99" s="2">
        <f>IFERROR(VLOOKUP(InputTable[[#This Row],[CORPHRFIN]],'System List'!$F$4:$H$7,3,FALSE),0)</f>
        <v>0</v>
      </c>
      <c r="BU99" s="2">
        <f>IFERROR(VLOOKUP(InputTable[[#This Row],[CUST]],'System List'!$F$4:$H$7,3,FALSE),0)</f>
        <v>0</v>
      </c>
      <c r="BV99" s="2">
        <f>IFERROR(VLOOKUP(InputTable[[#This Row],[CYBER]],'System List'!$F$4:$H$7,3,FALSE),0)</f>
        <v>0</v>
      </c>
      <c r="BW99" s="2">
        <f>IFERROR(VLOOKUP(InputTable[[#This Row],[DATA]],'System List'!$F$4:$H$7,3,FALSE),0)</f>
        <v>0</v>
      </c>
      <c r="BX99" s="2">
        <f>IFERROR(VLOOKUP(InputTable[[#This Row],[INFRA]],'System List'!$F$4:$H$7,3,FALSE),0)</f>
        <v>0</v>
      </c>
      <c r="BY99" s="2">
        <f>IFERROR(VLOOKUP(InputTable[[#This Row],[OPERATIONS]],'System List'!$F$4:$H$7,3,FALSE),0)</f>
        <v>0</v>
      </c>
      <c r="BZ99" s="2">
        <f>IFERROR(VLOOKUP(InputTable[[#This Row],[PMO]],'System List'!$F$4:$H$7,3,FALSE),0)</f>
        <v>0</v>
      </c>
      <c r="CA99" s="2">
        <f>IFERROR(VLOOKUP(InputTable[[#This Row],[SALES]],'System List'!$F$4:$H$7,3,FALSE),0)</f>
        <v>0</v>
      </c>
      <c r="CC99" s="2" cm="1">
        <f t="array" ref="CC9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99" s="2" cm="1">
        <f t="array" ref="CD9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99" s="2" cm="1">
        <f t="array" ref="CE9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99" s="2" cm="1">
        <f t="array" ref="CF9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99" s="2" cm="1">
        <f t="array" ref="CG9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99" s="2" cm="1">
        <f t="array" ref="CH9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99" s="2" cm="1">
        <f t="array" ref="CI9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99" s="2" cm="1">
        <f t="array" ref="CJ9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99" s="2" cm="1">
        <f t="array" ref="CK9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9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9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9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9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9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9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9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9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9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99" s="26">
        <f t="shared" si="224"/>
        <v>0</v>
      </c>
      <c r="CY99" s="26">
        <f t="shared" si="225"/>
        <v>0</v>
      </c>
      <c r="CZ99" s="26">
        <f t="shared" si="226"/>
        <v>0</v>
      </c>
      <c r="DA99" s="26">
        <f t="shared" si="227"/>
        <v>0</v>
      </c>
      <c r="DB99" s="26">
        <f t="shared" si="228"/>
        <v>0</v>
      </c>
      <c r="DC99" s="26">
        <f t="shared" si="229"/>
        <v>0</v>
      </c>
      <c r="DD99" s="26">
        <f t="shared" si="230"/>
        <v>0</v>
      </c>
      <c r="DE99" s="26">
        <f t="shared" si="231"/>
        <v>0</v>
      </c>
      <c r="DF99" s="26">
        <f t="shared" si="232"/>
        <v>0</v>
      </c>
      <c r="DH99" s="26">
        <f t="shared" si="233"/>
        <v>0</v>
      </c>
      <c r="DI99" s="26">
        <f t="shared" si="234"/>
        <v>0</v>
      </c>
      <c r="DJ99" s="26">
        <f t="shared" si="235"/>
        <v>0</v>
      </c>
      <c r="DK99" s="26">
        <f t="shared" si="236"/>
        <v>0</v>
      </c>
      <c r="DL99" s="26">
        <f t="shared" si="237"/>
        <v>0</v>
      </c>
      <c r="DM99" s="26">
        <f t="shared" si="238"/>
        <v>0</v>
      </c>
      <c r="DN99" s="26">
        <f t="shared" si="239"/>
        <v>0</v>
      </c>
      <c r="DO99" s="26">
        <f t="shared" si="240"/>
        <v>0</v>
      </c>
      <c r="DP99" s="26">
        <f t="shared" si="241"/>
        <v>0</v>
      </c>
      <c r="DR99" s="26">
        <f t="shared" si="242"/>
        <v>0</v>
      </c>
      <c r="DS99" s="26">
        <f t="shared" si="243"/>
        <v>0</v>
      </c>
      <c r="DT99" s="26">
        <f t="shared" si="244"/>
        <v>0</v>
      </c>
      <c r="DU99" s="26">
        <f t="shared" si="245"/>
        <v>0</v>
      </c>
      <c r="DV99" s="26">
        <f t="shared" si="246"/>
        <v>0</v>
      </c>
      <c r="DW99" s="26">
        <f t="shared" si="247"/>
        <v>0</v>
      </c>
      <c r="DX99" s="26">
        <f t="shared" si="248"/>
        <v>0</v>
      </c>
      <c r="DY99" s="26">
        <f t="shared" si="249"/>
        <v>0</v>
      </c>
      <c r="DZ99" s="26">
        <f t="shared" si="250"/>
        <v>0</v>
      </c>
      <c r="EB99" s="26">
        <f t="shared" si="251"/>
        <v>0</v>
      </c>
      <c r="EC99" s="26">
        <f t="shared" si="252"/>
        <v>0</v>
      </c>
      <c r="ED99" s="26">
        <f t="shared" si="253"/>
        <v>0</v>
      </c>
      <c r="EE99" s="26">
        <f t="shared" si="254"/>
        <v>0</v>
      </c>
      <c r="EF99" s="26">
        <f t="shared" si="255"/>
        <v>0</v>
      </c>
      <c r="EG99" s="26">
        <f t="shared" si="256"/>
        <v>0</v>
      </c>
      <c r="EH99" s="26">
        <f t="shared" si="257"/>
        <v>0</v>
      </c>
      <c r="EI99" s="26">
        <f t="shared" si="258"/>
        <v>0</v>
      </c>
      <c r="EJ99" s="26">
        <f t="shared" si="259"/>
        <v>0</v>
      </c>
      <c r="EL99" s="26">
        <f t="shared" si="260"/>
        <v>0</v>
      </c>
      <c r="EM99" s="26">
        <f t="shared" si="261"/>
        <v>0</v>
      </c>
      <c r="EN99" s="26">
        <f t="shared" si="262"/>
        <v>0</v>
      </c>
      <c r="EO99" s="26">
        <f t="shared" si="263"/>
        <v>0</v>
      </c>
      <c r="EP99" s="26">
        <f t="shared" si="264"/>
        <v>0</v>
      </c>
      <c r="EQ99" s="26">
        <f t="shared" si="265"/>
        <v>0</v>
      </c>
      <c r="ER99" s="26">
        <f t="shared" si="266"/>
        <v>0</v>
      </c>
      <c r="ES99" s="26">
        <f t="shared" si="267"/>
        <v>0</v>
      </c>
      <c r="ET99" s="26">
        <f t="shared" si="268"/>
        <v>0</v>
      </c>
      <c r="EV99" s="26">
        <f t="shared" si="269"/>
        <v>0</v>
      </c>
      <c r="EW99" s="26">
        <f t="shared" si="270"/>
        <v>0</v>
      </c>
      <c r="EX99" s="26">
        <f t="shared" si="271"/>
        <v>0</v>
      </c>
      <c r="EY99" s="26">
        <f t="shared" si="272"/>
        <v>0</v>
      </c>
      <c r="EZ99" s="26">
        <f t="shared" si="273"/>
        <v>0</v>
      </c>
      <c r="FA99" s="26">
        <f t="shared" si="274"/>
        <v>0</v>
      </c>
      <c r="FB99" s="26">
        <f t="shared" si="275"/>
        <v>0</v>
      </c>
      <c r="FC99" s="26">
        <f t="shared" si="276"/>
        <v>0</v>
      </c>
      <c r="FD99" s="26">
        <f t="shared" si="277"/>
        <v>0</v>
      </c>
      <c r="FF99" s="26">
        <f t="shared" si="278"/>
        <v>0</v>
      </c>
      <c r="FG99" s="26">
        <f t="shared" si="279"/>
        <v>0</v>
      </c>
      <c r="FH99" s="26">
        <f t="shared" si="280"/>
        <v>0</v>
      </c>
      <c r="FI99" s="26">
        <f t="shared" si="281"/>
        <v>0</v>
      </c>
      <c r="FJ99" s="26">
        <f t="shared" si="282"/>
        <v>0</v>
      </c>
      <c r="FK99" s="26">
        <f t="shared" si="283"/>
        <v>0</v>
      </c>
      <c r="FL99" s="26">
        <f t="shared" si="284"/>
        <v>0</v>
      </c>
      <c r="FM99" s="26">
        <f t="shared" si="285"/>
        <v>0</v>
      </c>
      <c r="FN99" s="26">
        <f t="shared" si="286"/>
        <v>0</v>
      </c>
      <c r="FP99" s="26" t="e">
        <f t="shared" si="287"/>
        <v>#REF!</v>
      </c>
      <c r="FQ99" s="26" t="e">
        <f t="shared" si="288"/>
        <v>#REF!</v>
      </c>
      <c r="FR99" s="26" t="e">
        <f t="shared" si="289"/>
        <v>#REF!</v>
      </c>
      <c r="FS99" s="26" t="e">
        <f t="shared" si="290"/>
        <v>#REF!</v>
      </c>
      <c r="FT99" s="26" t="e">
        <f t="shared" si="291"/>
        <v>#REF!</v>
      </c>
      <c r="FU99" s="26" t="e">
        <f t="shared" si="292"/>
        <v>#REF!</v>
      </c>
      <c r="FV99" s="26" t="e">
        <f t="shared" si="293"/>
        <v>#REF!</v>
      </c>
      <c r="FW99" s="26" t="e">
        <f t="shared" si="294"/>
        <v>#REF!</v>
      </c>
      <c r="FX99" s="26" t="e">
        <f t="shared" si="295"/>
        <v>#REF!</v>
      </c>
      <c r="GB99" s="26" t="e">
        <f>IF(GB$2=InputTable[[#This Row],[Delivery Date]],_xlfn.XLOOKUP(GB$1,$BH$2:$BR$2,$BH99:$BR99,0),0)</f>
        <v>#REF!</v>
      </c>
      <c r="GC99" s="26">
        <f>IF(GC$2=InputTable[[#This Row],[Delivery Date]],_xlfn.XLOOKUP(GC$1,$BH$2:$BR$2,$BH99:$BR99,0),0)</f>
        <v>0</v>
      </c>
      <c r="GD99" s="26">
        <f>IF(GD$2=InputTable[[#This Row],[Delivery Date]],_xlfn.XLOOKUP(GD$1,$BH$2:$BR$2,$BH99:$BR99,0),0)</f>
        <v>0</v>
      </c>
      <c r="GE99" s="26">
        <f>IF(GE$2=InputTable[[#This Row],[Delivery Date]],_xlfn.XLOOKUP(GE$1,$BH$2:$BR$2,$BH99:$BR99,0),0)</f>
        <v>0</v>
      </c>
      <c r="GF99" s="26">
        <f>IF(GF$2=InputTable[[#This Row],[Delivery Date]],_xlfn.XLOOKUP(GF$1,$BH$2:$BR$2,$BH99:$BR99,0),0)</f>
        <v>0</v>
      </c>
      <c r="GG99" s="26">
        <f>IF(GG$2=InputTable[[#This Row],[Delivery Date]],_xlfn.XLOOKUP(GG$1,$BH$2:$BR$2,$BH99:$BR99,0),0)</f>
        <v>0</v>
      </c>
      <c r="GH99" s="26">
        <f>IF(GH$2=InputTable[[#This Row],[Delivery Date]],_xlfn.XLOOKUP(GH$1,$BH$2:$BR$2,$BH99:$BR99,0),0)</f>
        <v>0</v>
      </c>
      <c r="GI99" s="26">
        <f>IF(GI$2=InputTable[[#This Row],[Delivery Date]],_xlfn.XLOOKUP(GI$1,$BH$2:$BR$2,$BH99:$BR99,0),0)</f>
        <v>0</v>
      </c>
      <c r="GJ99" s="26">
        <f>IF(GJ$2=InputTable[[#This Row],[Delivery Date]],_xlfn.XLOOKUP(GJ$1,$BH$2:$BR$2,$BH99:$BR99,0),0)</f>
        <v>0</v>
      </c>
      <c r="GL99" s="26" t="e">
        <f>IF(GL$2=InputTable[[#This Row],[Delivery Date]],_xlfn.XLOOKUP(GL$1,$BH$2:$BR$2,$BH99:$BR99,0),0)</f>
        <v>#REF!</v>
      </c>
      <c r="GM99" s="26">
        <f>IF(GM$2=InputTable[[#This Row],[Delivery Date]],_xlfn.XLOOKUP(GM$1,$BH$2:$BR$2,$BH99:$BR99,0),0)</f>
        <v>0</v>
      </c>
      <c r="GN99" s="26">
        <f>IF(GN$2=InputTable[[#This Row],[Delivery Date]],_xlfn.XLOOKUP(GN$1,$BH$2:$BR$2,$BH99:$BR99,0),0)</f>
        <v>0</v>
      </c>
      <c r="GO99" s="26">
        <f>IF(GO$2=InputTable[[#This Row],[Delivery Date]],_xlfn.XLOOKUP(GO$1,$BH$2:$BR$2,$BH99:$BR99,0),0)</f>
        <v>0</v>
      </c>
      <c r="GP99" s="26">
        <f>IF(GP$2=InputTable[[#This Row],[Delivery Date]],_xlfn.XLOOKUP(GP$1,$BH$2:$BR$2,$BH99:$BR99,0),0)</f>
        <v>0</v>
      </c>
      <c r="GQ99" s="26">
        <f>IF(GQ$2=InputTable[[#This Row],[Delivery Date]],_xlfn.XLOOKUP(GQ$1,$BH$2:$BR$2,$BH99:$BR99,0),0)</f>
        <v>0</v>
      </c>
      <c r="GR99" s="26">
        <f>IF(GR$2=InputTable[[#This Row],[Delivery Date]],_xlfn.XLOOKUP(GR$1,$BH$2:$BR$2,$BH99:$BR99,0),0)</f>
        <v>0</v>
      </c>
      <c r="GS99" s="26">
        <f>IF(GS$2=InputTable[[#This Row],[Delivery Date]],_xlfn.XLOOKUP(GS$1,$BH$2:$BR$2,$BH99:$BR99,0),0)</f>
        <v>0</v>
      </c>
      <c r="GT99" s="26">
        <f>IF(GT$2=InputTable[[#This Row],[Delivery Date]],_xlfn.XLOOKUP(GT$1,$BH$2:$BR$2,$BH99:$BR99,0),0)</f>
        <v>0</v>
      </c>
      <c r="GV99" s="26" t="e">
        <f>IF(GV$2=InputTable[[#This Row],[Delivery Date]],_xlfn.XLOOKUP(GV$1,$BH$2:$BR$2,$BH99:$BR99,0),0)</f>
        <v>#REF!</v>
      </c>
      <c r="GW99" s="26">
        <f>IF(GW$2=InputTable[[#This Row],[Delivery Date]],_xlfn.XLOOKUP(GW$1,$BH$2:$BR$2,$BH99:$BR99,0),0)</f>
        <v>0</v>
      </c>
      <c r="GX99" s="26">
        <f>IF(GX$2=InputTable[[#This Row],[Delivery Date]],_xlfn.XLOOKUP(GX$1,$BH$2:$BR$2,$BH99:$BR99,0),0)</f>
        <v>0</v>
      </c>
      <c r="GY99" s="26">
        <f>IF(GY$2=InputTable[[#This Row],[Delivery Date]],_xlfn.XLOOKUP(GY$1,$BH$2:$BR$2,$BH99:$BR99,0),0)</f>
        <v>0</v>
      </c>
      <c r="GZ99" s="26">
        <f>IF(GZ$2=InputTable[[#This Row],[Delivery Date]],_xlfn.XLOOKUP(GZ$1,$BH$2:$BR$2,$BH99:$BR99,0),0)</f>
        <v>0</v>
      </c>
      <c r="HA99" s="26">
        <f>IF(HA$2=InputTable[[#This Row],[Delivery Date]],_xlfn.XLOOKUP(HA$1,$BH$2:$BR$2,$BH99:$BR99,0),0)</f>
        <v>0</v>
      </c>
      <c r="HB99" s="26">
        <f>IF(HB$2=InputTable[[#This Row],[Delivery Date]],_xlfn.XLOOKUP(HB$1,$BH$2:$BR$2,$BH99:$BR99,0),0)</f>
        <v>0</v>
      </c>
      <c r="HC99" s="26">
        <f>IF(HC$2=InputTable[[#This Row],[Delivery Date]],_xlfn.XLOOKUP(HC$1,$BH$2:$BR$2,$BH99:$BR99,0),0)</f>
        <v>0</v>
      </c>
      <c r="HD99" s="26">
        <f>IF(HD$2=InputTable[[#This Row],[Delivery Date]],_xlfn.XLOOKUP(HD$1,$BH$2:$BR$2,$BH99:$BR99,0),0)</f>
        <v>0</v>
      </c>
      <c r="HF99" s="26" t="e">
        <f>IF(HF$2=InputTable[[#This Row],[Delivery Date]],_xlfn.XLOOKUP(HF$1,$BH$2:$BR$2,$BH99:$BR99,0),0)</f>
        <v>#REF!</v>
      </c>
      <c r="HG99" s="26">
        <f>IF(HG$2=InputTable[[#This Row],[Delivery Date]],_xlfn.XLOOKUP(HG$1,$BH$2:$BR$2,$BH99:$BR99,0),0)</f>
        <v>0</v>
      </c>
      <c r="HH99" s="26">
        <f>IF(HH$2=InputTable[[#This Row],[Delivery Date]],_xlfn.XLOOKUP(HH$1,$BH$2:$BR$2,$BH99:$BR99,0),0)</f>
        <v>0</v>
      </c>
      <c r="HI99" s="26">
        <f>IF(HI$2=InputTable[[#This Row],[Delivery Date]],_xlfn.XLOOKUP(HI$1,$BH$2:$BR$2,$BH99:$BR99,0),0)</f>
        <v>0</v>
      </c>
      <c r="HJ99" s="26">
        <f>IF(HJ$2=InputTable[[#This Row],[Delivery Date]],_xlfn.XLOOKUP(HJ$1,$BH$2:$BR$2,$BH99:$BR99,0),0)</f>
        <v>0</v>
      </c>
      <c r="HK99" s="26">
        <f>IF(HK$2=InputTable[[#This Row],[Delivery Date]],_xlfn.XLOOKUP(HK$1,$BH$2:$BR$2,$BH99:$BR99,0),0)</f>
        <v>0</v>
      </c>
      <c r="HL99" s="26">
        <f>IF(HL$2=InputTable[[#This Row],[Delivery Date]],_xlfn.XLOOKUP(HL$1,$BH$2:$BR$2,$BH99:$BR99,0),0)</f>
        <v>0</v>
      </c>
      <c r="HM99" s="26">
        <f>IF(HM$2=InputTable[[#This Row],[Delivery Date]],_xlfn.XLOOKUP(HM$1,$BH$2:$BR$2,$BH99:$BR99,0),0)</f>
        <v>0</v>
      </c>
      <c r="HN99" s="26">
        <f>IF(HN$2=InputTable[[#This Row],[Delivery Date]],_xlfn.XLOOKUP(HN$1,$BH$2:$BR$2,$BH99:$BR99,0),0)</f>
        <v>0</v>
      </c>
      <c r="HP99" s="26" t="e">
        <f>IF(HP$2=InputTable[[#This Row],[Delivery Date]],_xlfn.XLOOKUP(HP$1,$BH$2:$BR$2,$BH99:$BR99,0),0)</f>
        <v>#REF!</v>
      </c>
      <c r="HQ99" s="26">
        <f>IF(HQ$2=InputTable[[#This Row],[Delivery Date]],_xlfn.XLOOKUP(HQ$1,$BH$2:$BR$2,$BH99:$BR99,0),0)</f>
        <v>0</v>
      </c>
      <c r="HR99" s="26">
        <f>IF(HR$2=InputTable[[#This Row],[Delivery Date]],_xlfn.XLOOKUP(HR$1,$BH$2:$BR$2,$BH99:$BR99,0),0)</f>
        <v>0</v>
      </c>
      <c r="HS99" s="26">
        <f>IF(HS$2=InputTable[[#This Row],[Delivery Date]],_xlfn.XLOOKUP(HS$1,$BH$2:$BR$2,$BH99:$BR99,0),0)</f>
        <v>0</v>
      </c>
      <c r="HT99" s="26">
        <f>IF(HT$2=InputTable[[#This Row],[Delivery Date]],_xlfn.XLOOKUP(HT$1,$BH$2:$BR$2,$BH99:$BR99,0),0)</f>
        <v>0</v>
      </c>
      <c r="HU99" s="26">
        <f>IF(HU$2=InputTable[[#This Row],[Delivery Date]],_xlfn.XLOOKUP(HU$1,$BH$2:$BR$2,$BH99:$BR99,0),0)</f>
        <v>0</v>
      </c>
      <c r="HV99" s="26">
        <f>IF(HV$2=InputTable[[#This Row],[Delivery Date]],_xlfn.XLOOKUP(HV$1,$BH$2:$BR$2,$BH99:$BR99,0),0)</f>
        <v>0</v>
      </c>
      <c r="HW99" s="26">
        <f>IF(HW$2=InputTable[[#This Row],[Delivery Date]],_xlfn.XLOOKUP(HW$1,$BH$2:$BR$2,$BH99:$BR99,0),0)</f>
        <v>0</v>
      </c>
      <c r="HX99" s="26">
        <f>IF(HX$2=InputTable[[#This Row],[Delivery Date]],_xlfn.XLOOKUP(HX$1,$BH$2:$BR$2,$BH99:$BR99,0),0)</f>
        <v>0</v>
      </c>
      <c r="HZ99" s="26" t="e">
        <f>IF(HZ$2=InputTable[[#This Row],[Delivery Date]],_xlfn.XLOOKUP(HZ$1,$BH$2:$BR$2,$BH99:$BR99,0),0)</f>
        <v>#REF!</v>
      </c>
      <c r="IA99" s="26">
        <f>IF(IA$2=InputTable[[#This Row],[Delivery Date]],_xlfn.XLOOKUP(IA$1,$BH$2:$BR$2,$BH99:$BR99,0),0)</f>
        <v>0</v>
      </c>
      <c r="IB99" s="26">
        <f>IF(IB$2=InputTable[[#This Row],[Delivery Date]],_xlfn.XLOOKUP(IB$1,$BH$2:$BR$2,$BH99:$BR99,0),0)</f>
        <v>0</v>
      </c>
      <c r="IC99" s="26">
        <f>IF(IC$2=InputTable[[#This Row],[Delivery Date]],_xlfn.XLOOKUP(IC$1,$BH$2:$BR$2,$BH99:$BR99,0),0)</f>
        <v>0</v>
      </c>
      <c r="ID99" s="26">
        <f>IF(ID$2=InputTable[[#This Row],[Delivery Date]],_xlfn.XLOOKUP(ID$1,$BH$2:$BR$2,$BH99:$BR99,0),0)</f>
        <v>0</v>
      </c>
      <c r="IE99" s="26">
        <f>IF(IE$2=InputTable[[#This Row],[Delivery Date]],_xlfn.XLOOKUP(IE$1,$BH$2:$BR$2,$BH99:$BR99,0),0)</f>
        <v>0</v>
      </c>
      <c r="IF99" s="26">
        <f>IF(IF$2=InputTable[[#This Row],[Delivery Date]],_xlfn.XLOOKUP(IF$1,$BH$2:$BR$2,$BH99:$BR99,0),0)</f>
        <v>0</v>
      </c>
      <c r="IG99" s="26">
        <f>IF(IG$2=InputTable[[#This Row],[Delivery Date]],_xlfn.XLOOKUP(IG$1,$BH$2:$BR$2,$BH99:$BR99,0),0)</f>
        <v>0</v>
      </c>
      <c r="IH99" s="26">
        <f>IF(IH$2=InputTable[[#This Row],[Delivery Date]],_xlfn.XLOOKUP(IH$1,$BH$2:$BR$2,$BH99:$BR99,0),0)</f>
        <v>0</v>
      </c>
      <c r="IJ99" s="26" t="e">
        <f>IF(IJ$2=InputTable[[#This Row],[Delivery Date]],_xlfn.XLOOKUP(IJ$1,$BH$2:$BR$2,$BH99:$BR99,0),0)</f>
        <v>#REF!</v>
      </c>
      <c r="IK99" s="26">
        <f>IF(IK$2=InputTable[[#This Row],[Delivery Date]],_xlfn.XLOOKUP(IK$1,$BH$2:$BR$2,$BH99:$BR99,0),0)</f>
        <v>0</v>
      </c>
      <c r="IL99" s="26">
        <f>IF(IL$2=InputTable[[#This Row],[Delivery Date]],_xlfn.XLOOKUP(IL$1,$BH$2:$BR$2,$BH99:$BR99,0),0)</f>
        <v>0</v>
      </c>
      <c r="IM99" s="26">
        <f>IF(IM$2=InputTable[[#This Row],[Delivery Date]],_xlfn.XLOOKUP(IM$1,$BH$2:$BR$2,$BH99:$BR99,0),0)</f>
        <v>0</v>
      </c>
      <c r="IN99" s="26">
        <f>IF(IN$2=InputTable[[#This Row],[Delivery Date]],_xlfn.XLOOKUP(IN$1,$BH$2:$BR$2,$BH99:$BR99,0),0)</f>
        <v>0</v>
      </c>
      <c r="IO99" s="26">
        <f>IF(IO$2=InputTable[[#This Row],[Delivery Date]],_xlfn.XLOOKUP(IO$1,$BH$2:$BR$2,$BH99:$BR99,0),0)</f>
        <v>0</v>
      </c>
      <c r="IP99" s="26">
        <f>IF(IP$2=InputTable[[#This Row],[Delivery Date]],_xlfn.XLOOKUP(IP$1,$BH$2:$BR$2,$BH99:$BR99,0),0)</f>
        <v>0</v>
      </c>
      <c r="IQ99" s="26">
        <f>IF(IQ$2=InputTable[[#This Row],[Delivery Date]],_xlfn.XLOOKUP(IQ$1,$BH$2:$BR$2,$BH99:$BR99,0),0)</f>
        <v>0</v>
      </c>
      <c r="IR99" s="26">
        <f>IF(IR$2=InputTable[[#This Row],[Delivery Date]],_xlfn.XLOOKUP(IR$1,$BH$2:$BR$2,$BH99:$BR99,0),0)</f>
        <v>0</v>
      </c>
      <c r="IT99" s="26" t="e">
        <f>IF(IT$2=InputTable[[#This Row],[Delivery Date]],_xlfn.XLOOKUP(IT$1,$BH$2:$BR$2,$BH99:$BR99,0),0)</f>
        <v>#REF!</v>
      </c>
      <c r="IU99" s="26">
        <f>IF(IU$2=InputTable[[#This Row],[Delivery Date]],_xlfn.XLOOKUP(IU$1,$BH$2:$BR$2,$BH99:$BR99,0),0)</f>
        <v>0</v>
      </c>
      <c r="IV99" s="26">
        <f>IF(IV$2=InputTable[[#This Row],[Delivery Date]],_xlfn.XLOOKUP(IV$1,$BH$2:$BR$2,$BH99:$BR99,0),0)</f>
        <v>0</v>
      </c>
      <c r="IW99" s="26">
        <f>IF(IW$2=InputTable[[#This Row],[Delivery Date]],_xlfn.XLOOKUP(IW$1,$BH$2:$BR$2,$BH99:$BR99,0),0)</f>
        <v>0</v>
      </c>
      <c r="IX99" s="26">
        <f>IF(IX$2=InputTable[[#This Row],[Delivery Date]],_xlfn.XLOOKUP(IX$1,$BH$2:$BR$2,$BH99:$BR99,0),0)</f>
        <v>0</v>
      </c>
      <c r="IY99" s="26">
        <f>IF(IY$2=InputTable[[#This Row],[Delivery Date]],_xlfn.XLOOKUP(IY$1,$BH$2:$BR$2,$BH99:$BR99,0),0)</f>
        <v>0</v>
      </c>
      <c r="IZ99" s="26">
        <f>IF(IZ$2=InputTable[[#This Row],[Delivery Date]],_xlfn.XLOOKUP(IZ$1,$BH$2:$BR$2,$BH99:$BR99,0),0)</f>
        <v>0</v>
      </c>
      <c r="JA99" s="26">
        <f>IF(JA$2=InputTable[[#This Row],[Delivery Date]],_xlfn.XLOOKUP(JA$1,$BH$2:$BR$2,$BH99:$BR99,0),0)</f>
        <v>0</v>
      </c>
      <c r="JB99" s="26">
        <f>IF(JB$2=InputTable[[#This Row],[Delivery Date]],_xlfn.XLOOKUP(JB$1,$BH$2:$BR$2,$BH99:$BR99,0),0)</f>
        <v>0</v>
      </c>
      <c r="JD99" s="26" t="e">
        <f>IF(JD$2=InputTable[[#This Row],[Delivery Date]],_xlfn.XLOOKUP(JD$1,$BH$2:$BR$2,$BH99:$BR99,0),0)</f>
        <v>#REF!</v>
      </c>
      <c r="JE99" s="26">
        <f>IF(JE$2=InputTable[[#This Row],[Delivery Date]],_xlfn.XLOOKUP(JE$1,$BH$2:$BR$2,$BH99:$BR99,0),0)</f>
        <v>0</v>
      </c>
      <c r="JF99" s="26">
        <f>IF(JF$2=InputTable[[#This Row],[Delivery Date]],_xlfn.XLOOKUP(JF$1,$BH$2:$BR$2,$BH99:$BR99,0),0)</f>
        <v>0</v>
      </c>
      <c r="JG99" s="26">
        <f>IF(JG$2=InputTable[[#This Row],[Delivery Date]],_xlfn.XLOOKUP(JG$1,$BH$2:$BR$2,$BH99:$BR99,0),0)</f>
        <v>0</v>
      </c>
      <c r="JH99" s="26">
        <f>IF(JH$2=InputTable[[#This Row],[Delivery Date]],_xlfn.XLOOKUP(JH$1,$BH$2:$BR$2,$BH99:$BR99,0),0)</f>
        <v>0</v>
      </c>
      <c r="JI99" s="26">
        <f>IF(JI$2=InputTable[[#This Row],[Delivery Date]],_xlfn.XLOOKUP(JI$1,$BH$2:$BR$2,$BH99:$BR99,0),0)</f>
        <v>0</v>
      </c>
      <c r="JJ99" s="26">
        <f>IF(JJ$2=InputTable[[#This Row],[Delivery Date]],_xlfn.XLOOKUP(JJ$1,$BH$2:$BR$2,$BH99:$BR99,0),0)</f>
        <v>0</v>
      </c>
      <c r="JK99" s="26">
        <f>IF(JK$2=InputTable[[#This Row],[Delivery Date]],_xlfn.XLOOKUP(JK$1,$BH$2:$BR$2,$BH99:$BR99,0),0)</f>
        <v>0</v>
      </c>
      <c r="JL99" s="26">
        <f>IF(JL$2=InputTable[[#This Row],[Delivery Date]],_xlfn.XLOOKUP(JL$1,$BH$2:$BR$2,$BH99:$BR99,0),0)</f>
        <v>0</v>
      </c>
      <c r="JN99" s="26" t="e">
        <f>IF(JN$2=InputTable[[#This Row],[Delivery Date]],_xlfn.XLOOKUP(JN$1,$BH$2:$BR$2,$BH99:$BR99,0),0)</f>
        <v>#REF!</v>
      </c>
      <c r="JO99" s="26">
        <f>IF(JO$2=InputTable[[#This Row],[Delivery Date]],_xlfn.XLOOKUP(JO$1,$BH$2:$BR$2,$BH99:$BR99,0),0)</f>
        <v>0</v>
      </c>
      <c r="JP99" s="26">
        <f>IF(JP$2=InputTable[[#This Row],[Delivery Date]],_xlfn.XLOOKUP(JP$1,$BH$2:$BR$2,$BH99:$BR99,0),0)</f>
        <v>0</v>
      </c>
      <c r="JQ99" s="26">
        <f>IF(JQ$2=InputTable[[#This Row],[Delivery Date]],_xlfn.XLOOKUP(JQ$1,$BH$2:$BR$2,$BH99:$BR99,0),0)</f>
        <v>0</v>
      </c>
      <c r="JR99" s="26">
        <f>IF(JR$2=InputTable[[#This Row],[Delivery Date]],_xlfn.XLOOKUP(JR$1,$BH$2:$BR$2,$BH99:$BR99,0),0)</f>
        <v>0</v>
      </c>
      <c r="JS99" s="26">
        <f>IF(JS$2=InputTable[[#This Row],[Delivery Date]],_xlfn.XLOOKUP(JS$1,$BH$2:$BR$2,$BH99:$BR99,0),0)</f>
        <v>0</v>
      </c>
      <c r="JT99" s="26">
        <f>IF(JT$2=InputTable[[#This Row],[Delivery Date]],_xlfn.XLOOKUP(JT$1,$BH$2:$BR$2,$BH99:$BR99,0),0)</f>
        <v>0</v>
      </c>
      <c r="JU99" s="26">
        <f>IF(JU$2=InputTable[[#This Row],[Delivery Date]],_xlfn.XLOOKUP(JU$1,$BH$2:$BR$2,$BH99:$BR99,0),0)</f>
        <v>0</v>
      </c>
      <c r="JV99" s="26">
        <f>IF(JV$2=InputTable[[#This Row],[Delivery Date]],_xlfn.XLOOKUP(JV$1,$BH$2:$BR$2,$BH99:$BR99,0),0)</f>
        <v>0</v>
      </c>
      <c r="JX99" s="26" t="e">
        <f>IF(JX$2=InputTable[[#This Row],[Delivery Date]],_xlfn.XLOOKUP(JX$1,$BH$2:$BR$2,$BH99:$BR99,0),0)</f>
        <v>#REF!</v>
      </c>
      <c r="JY99" s="26">
        <f>IF(JY$2=InputTable[[#This Row],[Delivery Date]],_xlfn.XLOOKUP(JY$1,$BH$2:$BR$2,$BH99:$BR99,0),0)</f>
        <v>0</v>
      </c>
      <c r="JZ99" s="26">
        <f>IF(JZ$2=InputTable[[#This Row],[Delivery Date]],_xlfn.XLOOKUP(JZ$1,$BH$2:$BR$2,$BH99:$BR99,0),0)</f>
        <v>0</v>
      </c>
      <c r="KA99" s="26">
        <f>IF(KA$2=InputTable[[#This Row],[Delivery Date]],_xlfn.XLOOKUP(KA$1,$BH$2:$BR$2,$BH99:$BR99,0),0)</f>
        <v>0</v>
      </c>
      <c r="KB99" s="26">
        <f>IF(KB$2=InputTable[[#This Row],[Delivery Date]],_xlfn.XLOOKUP(KB$1,$BH$2:$BR$2,$BH99:$BR99,0),0)</f>
        <v>0</v>
      </c>
      <c r="KC99" s="26">
        <f>IF(KC$2=InputTable[[#This Row],[Delivery Date]],_xlfn.XLOOKUP(KC$1,$BH$2:$BR$2,$BH99:$BR99,0),0)</f>
        <v>0</v>
      </c>
      <c r="KD99" s="26">
        <f>IF(KD$2=InputTable[[#This Row],[Delivery Date]],_xlfn.XLOOKUP(KD$1,$BH$2:$BR$2,$BH99:$BR99,0),0)</f>
        <v>0</v>
      </c>
      <c r="KE99" s="26">
        <f>IF(KE$2=InputTable[[#This Row],[Delivery Date]],_xlfn.XLOOKUP(KE$1,$BH$2:$BR$2,$BH99:$BR99,0),0)</f>
        <v>0</v>
      </c>
      <c r="KF99" s="26">
        <f>IF(KF$2=InputTable[[#This Row],[Delivery Date]],_xlfn.XLOOKUP(KF$1,$BH$2:$BR$2,$BH99:$BR99,0),0)</f>
        <v>0</v>
      </c>
    </row>
    <row r="100" spans="1:292" ht="39.6" hidden="1" customHeight="1" x14ac:dyDescent="0.25">
      <c r="A100" s="141" t="s">
        <v>181</v>
      </c>
      <c r="B100" s="141" t="s">
        <v>156</v>
      </c>
      <c r="C100" s="92" t="s">
        <v>57</v>
      </c>
      <c r="D100" s="125" t="s">
        <v>403</v>
      </c>
      <c r="E100" s="193" t="s">
        <v>404</v>
      </c>
      <c r="F100" s="92" t="s">
        <v>159</v>
      </c>
      <c r="G100" s="92">
        <v>2024</v>
      </c>
      <c r="H100" s="92"/>
      <c r="I100" s="92" t="s">
        <v>137</v>
      </c>
      <c r="J100" s="126" t="s">
        <v>152</v>
      </c>
      <c r="K100" s="95" t="e">
        <f>VLOOKUP((InputTable[[#This Row],[Starting Date]]&amp; " - " &amp;InputTable[[#This Row],[Delivery Date]]),'System List'!$F$40:$H$83,2,FALSE)</f>
        <v>#N/A</v>
      </c>
      <c r="L100" s="95" t="e">
        <f>VLOOKUP(InputTable[[#This Row],[Duration]],Duration,2,FALSE)</f>
        <v>#N/A</v>
      </c>
      <c r="M100" s="125"/>
      <c r="N100" s="92"/>
      <c r="O100" s="92"/>
      <c r="P100" s="92" t="s">
        <v>111</v>
      </c>
      <c r="Q100" s="92"/>
      <c r="R100" s="92"/>
      <c r="S100" s="92"/>
      <c r="T100" s="95" cm="1">
        <f t="array" ref="T10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100" s="138"/>
      <c r="V100" s="92"/>
      <c r="W100" s="92"/>
      <c r="X100" s="92" t="s">
        <v>111</v>
      </c>
      <c r="Y100" s="92"/>
      <c r="Z100" s="92"/>
      <c r="AA100" s="92" t="s">
        <v>111</v>
      </c>
      <c r="AB100" s="92"/>
      <c r="AC100" s="92"/>
      <c r="AD100" s="92">
        <f>COUNTA(InputTable[[#This Row],[CORPHRFIN]:[SALES]])</f>
        <v>2</v>
      </c>
      <c r="AE100" s="88" cm="1">
        <f t="array" ref="AE100">SUM(
_xlfn.XLOOKUP(InputTable[[#This Row],[CORPHRFIN]:[SALES]],'System List'!$F$4:$F$7,'System List'!$H$4:$H$7,0))</f>
        <v>10</v>
      </c>
      <c r="AF100" s="140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88" cm="1">
        <f t="array" ref="AR100">SUM(
_xlfn.XLOOKUP(InputTable[[#This Row],[Impact on - CIAL]:[Impact on - STRAT]],'System List'!$F$4:$F$7,'System List'!$H$4:$H$7,0))</f>
        <v>0</v>
      </c>
      <c r="AS100" s="88" t="e">
        <f>VLOOKUP(InputTable[[#This Row],[Duration]],Duration,2,FALSE)+InputTable[[#This Row],[Resource Score]]</f>
        <v>#N/A</v>
      </c>
      <c r="AT10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0" s="24" t="e">
        <f>InputTable[[#This Row],[Value Score]]/InputTable[[#This Row],[EFFORT SCORE]]*100</f>
        <v>#N/A</v>
      </c>
      <c r="AV100" s="25" t="str">
        <f>InputTable[[#This Row],[IS Portfolio Ref ID]]</f>
        <v>ISPRJ-80</v>
      </c>
      <c r="AW100" s="25" t="s">
        <v>131</v>
      </c>
      <c r="AX100" s="208" t="s">
        <v>154</v>
      </c>
      <c r="AY100" s="25">
        <v>1803</v>
      </c>
      <c r="AZ100" s="209">
        <v>0</v>
      </c>
      <c r="BA100" s="209">
        <v>110000</v>
      </c>
      <c r="BB100" s="209"/>
      <c r="BC100" s="189">
        <f>SUM(InputTable[[#This Row],[Opex IS Budget (full project)]]+InputTable[[#This Row],[Capex IS Budget (full project)]])</f>
        <v>110000</v>
      </c>
      <c r="BD100" s="188">
        <v>0</v>
      </c>
      <c r="BE100" s="188">
        <v>1</v>
      </c>
      <c r="BF100" s="70"/>
      <c r="BH100" s="2">
        <f>IFERROR(VLOOKUP(InputTable[[#This Row],[Impact on - CIAL]],'System List'!$F$4:$H$7,3,FALSE),0)</f>
        <v>0</v>
      </c>
      <c r="BI100" s="2">
        <f>IFERROR(VLOOKUP(InputTable[[#This Row],[Impact on - COM]],'System List'!$F$4:$H$7,3,FALSE),0)</f>
        <v>0</v>
      </c>
      <c r="BJ100" s="2">
        <f>IFERROR(VLOOKUP(InputTable[[#This Row],[Impact on - FIN]],'System List'!$F$4:$H$7,3,FALSE),0)</f>
        <v>0</v>
      </c>
      <c r="BK100" s="2">
        <f>IFERROR(VLOOKUP(InputTable[[#This Row],[Impact on - GEN SEC]],'System List'!$F$4:$H$7,3,FALSE),0)</f>
        <v>0</v>
      </c>
      <c r="BL100" s="2">
        <f>IFERROR(VLOOKUP(InputTable[[#This Row],[Impact on - HR]],'System List'!$F$4:$H$7,3,FALSE),0)</f>
        <v>0</v>
      </c>
      <c r="BM100" s="2">
        <f>IFERROR(VLOOKUP(InputTable[[#This Row],[Impact on - IS]],'System List'!$F$4:$H$7,3,FALSE),0)</f>
        <v>0</v>
      </c>
      <c r="BN100" s="2">
        <f>IFERROR(VLOOKUP(InputTable[[#This Row],[Impact on - OPS]],'System List'!$F$4:$H$7,3,FALSE),0)</f>
        <v>0</v>
      </c>
      <c r="BO100" s="2">
        <f>IFERROR(VLOOKUP(InputTable[[#This Row],[Impact on - ROLL STOCK]],'System List'!$F$4:$H$7,3,FALSE),0)</f>
        <v>0</v>
      </c>
      <c r="BP100" s="2">
        <f>IFERROR(VLOOKUP(InputTable[[#This Row],[Impact on - SAFETY]],'System List'!$F$4:$H$7,3,FALSE),0)</f>
        <v>0</v>
      </c>
      <c r="BQ100" s="2">
        <f>IFERROR(VLOOKUP(InputTable[[#This Row],[Impact on - STATION]],'System List'!$F$4:$H$7,3,FALSE),0)</f>
        <v>0</v>
      </c>
      <c r="BR100" s="2">
        <f>IFERROR(VLOOKUP(InputTable[[#This Row],[Impact on - STRAT]],'System List'!$F$4:$H$7,3,FALSE),0)</f>
        <v>0</v>
      </c>
      <c r="BT100" s="2">
        <f>IFERROR(VLOOKUP(InputTable[[#This Row],[CORPHRFIN]],'System List'!$F$4:$H$7,3,FALSE),0)</f>
        <v>0</v>
      </c>
      <c r="BU100" s="2">
        <f>IFERROR(VLOOKUP(InputTable[[#This Row],[CUST]],'System List'!$F$4:$H$7,3,FALSE),0)</f>
        <v>0</v>
      </c>
      <c r="BV100" s="2">
        <f>IFERROR(VLOOKUP(InputTable[[#This Row],[CYBER]],'System List'!$F$4:$H$7,3,FALSE),0)</f>
        <v>5</v>
      </c>
      <c r="BW100" s="2">
        <f>IFERROR(VLOOKUP(InputTable[[#This Row],[DATA]],'System List'!$F$4:$H$7,3,FALSE),0)</f>
        <v>0</v>
      </c>
      <c r="BX100" s="2">
        <f>IFERROR(VLOOKUP(InputTable[[#This Row],[INFRA]],'System List'!$F$4:$H$7,3,FALSE),0)</f>
        <v>0</v>
      </c>
      <c r="BY100" s="2">
        <f>IFERROR(VLOOKUP(InputTable[[#This Row],[OPERATIONS]],'System List'!$F$4:$H$7,3,FALSE),0)</f>
        <v>5</v>
      </c>
      <c r="BZ100" s="2">
        <f>IFERROR(VLOOKUP(InputTable[[#This Row],[PMO]],'System List'!$F$4:$H$7,3,FALSE),0)</f>
        <v>0</v>
      </c>
      <c r="CA100" s="2">
        <f>IFERROR(VLOOKUP(InputTable[[#This Row],[SALES]],'System List'!$F$4:$H$7,3,FALSE),0)</f>
        <v>0</v>
      </c>
      <c r="CC100" s="2" cm="1">
        <f t="array" ref="CC10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0" s="2" cm="1">
        <f t="array" ref="CD10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0" s="2" cm="1">
        <f t="array" ref="CE10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0" s="2" cm="1">
        <f t="array" ref="CF10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0" s="2" cm="1">
        <f t="array" ref="CG10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0" s="2" cm="1">
        <f t="array" ref="CH10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0" s="2" cm="1">
        <f t="array" ref="CI10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0" s="2" cm="1">
        <f t="array" ref="CJ10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0" s="2" cm="1">
        <f t="array" ref="CK10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0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0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0" s="26">
        <f t="shared" si="224"/>
        <v>0</v>
      </c>
      <c r="CY100" s="26">
        <f t="shared" si="225"/>
        <v>0</v>
      </c>
      <c r="CZ100" s="26">
        <f t="shared" si="226"/>
        <v>0</v>
      </c>
      <c r="DA100" s="26">
        <f t="shared" si="227"/>
        <v>0</v>
      </c>
      <c r="DB100" s="26">
        <f t="shared" si="228"/>
        <v>0</v>
      </c>
      <c r="DC100" s="26">
        <f t="shared" si="229"/>
        <v>0</v>
      </c>
      <c r="DD100" s="26">
        <f t="shared" si="230"/>
        <v>0</v>
      </c>
      <c r="DE100" s="26">
        <f t="shared" si="231"/>
        <v>0</v>
      </c>
      <c r="DF100" s="26">
        <f t="shared" si="232"/>
        <v>0</v>
      </c>
      <c r="DH100" s="26">
        <f t="shared" si="233"/>
        <v>0</v>
      </c>
      <c r="DI100" s="26">
        <f t="shared" si="234"/>
        <v>0</v>
      </c>
      <c r="DJ100" s="26">
        <f t="shared" si="235"/>
        <v>0</v>
      </c>
      <c r="DK100" s="26">
        <f t="shared" si="236"/>
        <v>0</v>
      </c>
      <c r="DL100" s="26">
        <f t="shared" si="237"/>
        <v>0</v>
      </c>
      <c r="DM100" s="26">
        <f t="shared" si="238"/>
        <v>0</v>
      </c>
      <c r="DN100" s="26">
        <f t="shared" si="239"/>
        <v>0</v>
      </c>
      <c r="DO100" s="26">
        <f t="shared" si="240"/>
        <v>0</v>
      </c>
      <c r="DP100" s="26">
        <f t="shared" si="241"/>
        <v>0</v>
      </c>
      <c r="DR100" s="26">
        <f t="shared" si="242"/>
        <v>0</v>
      </c>
      <c r="DS100" s="26">
        <f t="shared" si="243"/>
        <v>5</v>
      </c>
      <c r="DT100" s="26">
        <f t="shared" si="244"/>
        <v>5</v>
      </c>
      <c r="DU100" s="26">
        <f t="shared" si="245"/>
        <v>5</v>
      </c>
      <c r="DV100" s="26">
        <f t="shared" si="246"/>
        <v>5</v>
      </c>
      <c r="DW100" s="26">
        <f t="shared" si="247"/>
        <v>0</v>
      </c>
      <c r="DX100" s="26">
        <f t="shared" si="248"/>
        <v>0</v>
      </c>
      <c r="DY100" s="26">
        <f t="shared" si="249"/>
        <v>0</v>
      </c>
      <c r="DZ100" s="26">
        <f t="shared" si="250"/>
        <v>0</v>
      </c>
      <c r="EB100" s="26">
        <f t="shared" si="251"/>
        <v>0</v>
      </c>
      <c r="EC100" s="26">
        <f t="shared" si="252"/>
        <v>0</v>
      </c>
      <c r="ED100" s="26">
        <f t="shared" si="253"/>
        <v>0</v>
      </c>
      <c r="EE100" s="26">
        <f t="shared" si="254"/>
        <v>0</v>
      </c>
      <c r="EF100" s="26">
        <f t="shared" si="255"/>
        <v>0</v>
      </c>
      <c r="EG100" s="26">
        <f t="shared" si="256"/>
        <v>0</v>
      </c>
      <c r="EH100" s="26">
        <f t="shared" si="257"/>
        <v>0</v>
      </c>
      <c r="EI100" s="26">
        <f t="shared" si="258"/>
        <v>0</v>
      </c>
      <c r="EJ100" s="26">
        <f t="shared" si="259"/>
        <v>0</v>
      </c>
      <c r="EL100" s="26">
        <f t="shared" si="260"/>
        <v>0</v>
      </c>
      <c r="EM100" s="26">
        <f t="shared" si="261"/>
        <v>0</v>
      </c>
      <c r="EN100" s="26">
        <f t="shared" si="262"/>
        <v>0</v>
      </c>
      <c r="EO100" s="26">
        <f t="shared" si="263"/>
        <v>0</v>
      </c>
      <c r="EP100" s="26">
        <f t="shared" si="264"/>
        <v>0</v>
      </c>
      <c r="EQ100" s="26">
        <f t="shared" si="265"/>
        <v>0</v>
      </c>
      <c r="ER100" s="26">
        <f t="shared" si="266"/>
        <v>0</v>
      </c>
      <c r="ES100" s="26">
        <f t="shared" si="267"/>
        <v>0</v>
      </c>
      <c r="ET100" s="26">
        <f t="shared" si="268"/>
        <v>0</v>
      </c>
      <c r="EV100" s="26">
        <f t="shared" si="269"/>
        <v>0</v>
      </c>
      <c r="EW100" s="26">
        <f t="shared" si="270"/>
        <v>5</v>
      </c>
      <c r="EX100" s="26">
        <f t="shared" si="271"/>
        <v>5</v>
      </c>
      <c r="EY100" s="26">
        <f t="shared" si="272"/>
        <v>5</v>
      </c>
      <c r="EZ100" s="26">
        <f t="shared" si="273"/>
        <v>5</v>
      </c>
      <c r="FA100" s="26">
        <f t="shared" si="274"/>
        <v>0</v>
      </c>
      <c r="FB100" s="26">
        <f t="shared" si="275"/>
        <v>0</v>
      </c>
      <c r="FC100" s="26">
        <f t="shared" si="276"/>
        <v>0</v>
      </c>
      <c r="FD100" s="26">
        <f t="shared" si="277"/>
        <v>0</v>
      </c>
      <c r="FF100" s="26">
        <f t="shared" si="278"/>
        <v>0</v>
      </c>
      <c r="FG100" s="26">
        <f t="shared" si="279"/>
        <v>0</v>
      </c>
      <c r="FH100" s="26">
        <f t="shared" si="280"/>
        <v>0</v>
      </c>
      <c r="FI100" s="26">
        <f t="shared" si="281"/>
        <v>0</v>
      </c>
      <c r="FJ100" s="26">
        <f t="shared" si="282"/>
        <v>0</v>
      </c>
      <c r="FK100" s="26">
        <f t="shared" si="283"/>
        <v>0</v>
      </c>
      <c r="FL100" s="26">
        <f t="shared" si="284"/>
        <v>0</v>
      </c>
      <c r="FM100" s="26">
        <f t="shared" si="285"/>
        <v>0</v>
      </c>
      <c r="FN100" s="26">
        <f t="shared" si="286"/>
        <v>0</v>
      </c>
      <c r="FP100" s="26" t="e">
        <f t="shared" si="287"/>
        <v>#REF!</v>
      </c>
      <c r="FQ100" s="26" t="e">
        <f t="shared" si="288"/>
        <v>#REF!</v>
      </c>
      <c r="FR100" s="26" t="e">
        <f t="shared" si="289"/>
        <v>#REF!</v>
      </c>
      <c r="FS100" s="26" t="e">
        <f t="shared" si="290"/>
        <v>#REF!</v>
      </c>
      <c r="FT100" s="26" t="e">
        <f t="shared" si="291"/>
        <v>#REF!</v>
      </c>
      <c r="FU100" s="26" t="e">
        <f t="shared" si="292"/>
        <v>#REF!</v>
      </c>
      <c r="FV100" s="26" t="e">
        <f t="shared" si="293"/>
        <v>#REF!</v>
      </c>
      <c r="FW100" s="26" t="e">
        <f t="shared" si="294"/>
        <v>#REF!</v>
      </c>
      <c r="FX100" s="26" t="e">
        <f t="shared" si="295"/>
        <v>#REF!</v>
      </c>
      <c r="GB100" s="26" t="e">
        <f>IF(GB$2=InputTable[[#This Row],[Delivery Date]],_xlfn.XLOOKUP(GB$1,$BH$2:$BR$2,$BH100:$BR100,0),0)</f>
        <v>#REF!</v>
      </c>
      <c r="GC100" s="26">
        <f>IF(GC$2=InputTable[[#This Row],[Delivery Date]],_xlfn.XLOOKUP(GC$1,$BH$2:$BR$2,$BH100:$BR100,0),0)</f>
        <v>0</v>
      </c>
      <c r="GD100" s="26">
        <f>IF(GD$2=InputTable[[#This Row],[Delivery Date]],_xlfn.XLOOKUP(GD$1,$BH$2:$BR$2,$BH100:$BR100,0),0)</f>
        <v>0</v>
      </c>
      <c r="GE100" s="26">
        <f>IF(GE$2=InputTable[[#This Row],[Delivery Date]],_xlfn.XLOOKUP(GE$1,$BH$2:$BR$2,$BH100:$BR100,0),0)</f>
        <v>0</v>
      </c>
      <c r="GF100" s="26">
        <f>IF(GF$2=InputTable[[#This Row],[Delivery Date]],_xlfn.XLOOKUP(GF$1,$BH$2:$BR$2,$BH100:$BR100,0),0)</f>
        <v>0</v>
      </c>
      <c r="GG100" s="26">
        <f>IF(GG$2=InputTable[[#This Row],[Delivery Date]],_xlfn.XLOOKUP(GG$1,$BH$2:$BR$2,$BH100:$BR100,0),0)</f>
        <v>0</v>
      </c>
      <c r="GH100" s="26">
        <f>IF(GH$2=InputTable[[#This Row],[Delivery Date]],_xlfn.XLOOKUP(GH$1,$BH$2:$BR$2,$BH100:$BR100,0),0)</f>
        <v>0</v>
      </c>
      <c r="GI100" s="26">
        <f>IF(GI$2=InputTable[[#This Row],[Delivery Date]],_xlfn.XLOOKUP(GI$1,$BH$2:$BR$2,$BH100:$BR100,0),0)</f>
        <v>0</v>
      </c>
      <c r="GJ100" s="26">
        <f>IF(GJ$2=InputTable[[#This Row],[Delivery Date]],_xlfn.XLOOKUP(GJ$1,$BH$2:$BR$2,$BH100:$BR100,0),0)</f>
        <v>0</v>
      </c>
      <c r="GL100" s="26" t="e">
        <f>IF(GL$2=InputTable[[#This Row],[Delivery Date]],_xlfn.XLOOKUP(GL$1,$BH$2:$BR$2,$BH100:$BR100,0),0)</f>
        <v>#REF!</v>
      </c>
      <c r="GM100" s="26">
        <f>IF(GM$2=InputTable[[#This Row],[Delivery Date]],_xlfn.XLOOKUP(GM$1,$BH$2:$BR$2,$BH100:$BR100,0),0)</f>
        <v>0</v>
      </c>
      <c r="GN100" s="26">
        <f>IF(GN$2=InputTable[[#This Row],[Delivery Date]],_xlfn.XLOOKUP(GN$1,$BH$2:$BR$2,$BH100:$BR100,0),0)</f>
        <v>0</v>
      </c>
      <c r="GO100" s="26">
        <f>IF(GO$2=InputTable[[#This Row],[Delivery Date]],_xlfn.XLOOKUP(GO$1,$BH$2:$BR$2,$BH100:$BR100,0),0)</f>
        <v>0</v>
      </c>
      <c r="GP100" s="26">
        <f>IF(GP$2=InputTable[[#This Row],[Delivery Date]],_xlfn.XLOOKUP(GP$1,$BH$2:$BR$2,$BH100:$BR100,0),0)</f>
        <v>0</v>
      </c>
      <c r="GQ100" s="26">
        <f>IF(GQ$2=InputTable[[#This Row],[Delivery Date]],_xlfn.XLOOKUP(GQ$1,$BH$2:$BR$2,$BH100:$BR100,0),0)</f>
        <v>0</v>
      </c>
      <c r="GR100" s="26">
        <f>IF(GR$2=InputTable[[#This Row],[Delivery Date]],_xlfn.XLOOKUP(GR$1,$BH$2:$BR$2,$BH100:$BR100,0),0)</f>
        <v>0</v>
      </c>
      <c r="GS100" s="26">
        <f>IF(GS$2=InputTable[[#This Row],[Delivery Date]],_xlfn.XLOOKUP(GS$1,$BH$2:$BR$2,$BH100:$BR100,0),0)</f>
        <v>0</v>
      </c>
      <c r="GT100" s="26">
        <f>IF(GT$2=InputTable[[#This Row],[Delivery Date]],_xlfn.XLOOKUP(GT$1,$BH$2:$BR$2,$BH100:$BR100,0),0)</f>
        <v>0</v>
      </c>
      <c r="GV100" s="26" t="e">
        <f>IF(GV$2=InputTable[[#This Row],[Delivery Date]],_xlfn.XLOOKUP(GV$1,$BH$2:$BR$2,$BH100:$BR100,0),0)</f>
        <v>#REF!</v>
      </c>
      <c r="GW100" s="26">
        <f>IF(GW$2=InputTable[[#This Row],[Delivery Date]],_xlfn.XLOOKUP(GW$1,$BH$2:$BR$2,$BH100:$BR100,0),0)</f>
        <v>0</v>
      </c>
      <c r="GX100" s="26">
        <f>IF(GX$2=InputTable[[#This Row],[Delivery Date]],_xlfn.XLOOKUP(GX$1,$BH$2:$BR$2,$BH100:$BR100,0),0)</f>
        <v>0</v>
      </c>
      <c r="GY100" s="26">
        <f>IF(GY$2=InputTable[[#This Row],[Delivery Date]],_xlfn.XLOOKUP(GY$1,$BH$2:$BR$2,$BH100:$BR100,0),0)</f>
        <v>0</v>
      </c>
      <c r="GZ100" s="26">
        <f>IF(GZ$2=InputTable[[#This Row],[Delivery Date]],_xlfn.XLOOKUP(GZ$1,$BH$2:$BR$2,$BH100:$BR100,0),0)</f>
        <v>0</v>
      </c>
      <c r="HA100" s="26">
        <f>IF(HA$2=InputTable[[#This Row],[Delivery Date]],_xlfn.XLOOKUP(HA$1,$BH$2:$BR$2,$BH100:$BR100,0),0)</f>
        <v>0</v>
      </c>
      <c r="HB100" s="26">
        <f>IF(HB$2=InputTable[[#This Row],[Delivery Date]],_xlfn.XLOOKUP(HB$1,$BH$2:$BR$2,$BH100:$BR100,0),0)</f>
        <v>0</v>
      </c>
      <c r="HC100" s="26">
        <f>IF(HC$2=InputTable[[#This Row],[Delivery Date]],_xlfn.XLOOKUP(HC$1,$BH$2:$BR$2,$BH100:$BR100,0),0)</f>
        <v>0</v>
      </c>
      <c r="HD100" s="26">
        <f>IF(HD$2=InputTable[[#This Row],[Delivery Date]],_xlfn.XLOOKUP(HD$1,$BH$2:$BR$2,$BH100:$BR100,0),0)</f>
        <v>0</v>
      </c>
      <c r="HF100" s="26" t="e">
        <f>IF(HF$2=InputTable[[#This Row],[Delivery Date]],_xlfn.XLOOKUP(HF$1,$BH$2:$BR$2,$BH100:$BR100,0),0)</f>
        <v>#REF!</v>
      </c>
      <c r="HG100" s="26">
        <f>IF(HG$2=InputTable[[#This Row],[Delivery Date]],_xlfn.XLOOKUP(HG$1,$BH$2:$BR$2,$BH100:$BR100,0),0)</f>
        <v>0</v>
      </c>
      <c r="HH100" s="26">
        <f>IF(HH$2=InputTable[[#This Row],[Delivery Date]],_xlfn.XLOOKUP(HH$1,$BH$2:$BR$2,$BH100:$BR100,0),0)</f>
        <v>0</v>
      </c>
      <c r="HI100" s="26">
        <f>IF(HI$2=InputTable[[#This Row],[Delivery Date]],_xlfn.XLOOKUP(HI$1,$BH$2:$BR$2,$BH100:$BR100,0),0)</f>
        <v>0</v>
      </c>
      <c r="HJ100" s="26">
        <f>IF(HJ$2=InputTable[[#This Row],[Delivery Date]],_xlfn.XLOOKUP(HJ$1,$BH$2:$BR$2,$BH100:$BR100,0),0)</f>
        <v>0</v>
      </c>
      <c r="HK100" s="26">
        <f>IF(HK$2=InputTable[[#This Row],[Delivery Date]],_xlfn.XLOOKUP(HK$1,$BH$2:$BR$2,$BH100:$BR100,0),0)</f>
        <v>0</v>
      </c>
      <c r="HL100" s="26">
        <f>IF(HL$2=InputTable[[#This Row],[Delivery Date]],_xlfn.XLOOKUP(HL$1,$BH$2:$BR$2,$BH100:$BR100,0),0)</f>
        <v>0</v>
      </c>
      <c r="HM100" s="26">
        <f>IF(HM$2=InputTable[[#This Row],[Delivery Date]],_xlfn.XLOOKUP(HM$1,$BH$2:$BR$2,$BH100:$BR100,0),0)</f>
        <v>0</v>
      </c>
      <c r="HN100" s="26">
        <f>IF(HN$2=InputTable[[#This Row],[Delivery Date]],_xlfn.XLOOKUP(HN$1,$BH$2:$BR$2,$BH100:$BR100,0),0)</f>
        <v>0</v>
      </c>
      <c r="HP100" s="26" t="e">
        <f>IF(HP$2=InputTable[[#This Row],[Delivery Date]],_xlfn.XLOOKUP(HP$1,$BH$2:$BR$2,$BH100:$BR100,0),0)</f>
        <v>#REF!</v>
      </c>
      <c r="HQ100" s="26">
        <f>IF(HQ$2=InputTable[[#This Row],[Delivery Date]],_xlfn.XLOOKUP(HQ$1,$BH$2:$BR$2,$BH100:$BR100,0),0)</f>
        <v>0</v>
      </c>
      <c r="HR100" s="26">
        <f>IF(HR$2=InputTable[[#This Row],[Delivery Date]],_xlfn.XLOOKUP(HR$1,$BH$2:$BR$2,$BH100:$BR100,0),0)</f>
        <v>0</v>
      </c>
      <c r="HS100" s="26">
        <f>IF(HS$2=InputTable[[#This Row],[Delivery Date]],_xlfn.XLOOKUP(HS$1,$BH$2:$BR$2,$BH100:$BR100,0),0)</f>
        <v>0</v>
      </c>
      <c r="HT100" s="26">
        <f>IF(HT$2=InputTable[[#This Row],[Delivery Date]],_xlfn.XLOOKUP(HT$1,$BH$2:$BR$2,$BH100:$BR100,0),0)</f>
        <v>0</v>
      </c>
      <c r="HU100" s="26">
        <f>IF(HU$2=InputTable[[#This Row],[Delivery Date]],_xlfn.XLOOKUP(HU$1,$BH$2:$BR$2,$BH100:$BR100,0),0)</f>
        <v>0</v>
      </c>
      <c r="HV100" s="26">
        <f>IF(HV$2=InputTable[[#This Row],[Delivery Date]],_xlfn.XLOOKUP(HV$1,$BH$2:$BR$2,$BH100:$BR100,0),0)</f>
        <v>0</v>
      </c>
      <c r="HW100" s="26">
        <f>IF(HW$2=InputTable[[#This Row],[Delivery Date]],_xlfn.XLOOKUP(HW$1,$BH$2:$BR$2,$BH100:$BR100,0),0)</f>
        <v>0</v>
      </c>
      <c r="HX100" s="26">
        <f>IF(HX$2=InputTable[[#This Row],[Delivery Date]],_xlfn.XLOOKUP(HX$1,$BH$2:$BR$2,$BH100:$BR100,0),0)</f>
        <v>0</v>
      </c>
      <c r="HZ100" s="26" t="e">
        <f>IF(HZ$2=InputTable[[#This Row],[Delivery Date]],_xlfn.XLOOKUP(HZ$1,$BH$2:$BR$2,$BH100:$BR100,0),0)</f>
        <v>#REF!</v>
      </c>
      <c r="IA100" s="26">
        <f>IF(IA$2=InputTable[[#This Row],[Delivery Date]],_xlfn.XLOOKUP(IA$1,$BH$2:$BR$2,$BH100:$BR100,0),0)</f>
        <v>0</v>
      </c>
      <c r="IB100" s="26">
        <f>IF(IB$2=InputTable[[#This Row],[Delivery Date]],_xlfn.XLOOKUP(IB$1,$BH$2:$BR$2,$BH100:$BR100,0),0)</f>
        <v>0</v>
      </c>
      <c r="IC100" s="26">
        <f>IF(IC$2=InputTable[[#This Row],[Delivery Date]],_xlfn.XLOOKUP(IC$1,$BH$2:$BR$2,$BH100:$BR100,0),0)</f>
        <v>0</v>
      </c>
      <c r="ID100" s="26">
        <f>IF(ID$2=InputTable[[#This Row],[Delivery Date]],_xlfn.XLOOKUP(ID$1,$BH$2:$BR$2,$BH100:$BR100,0),0)</f>
        <v>0</v>
      </c>
      <c r="IE100" s="26">
        <f>IF(IE$2=InputTable[[#This Row],[Delivery Date]],_xlfn.XLOOKUP(IE$1,$BH$2:$BR$2,$BH100:$BR100,0),0)</f>
        <v>0</v>
      </c>
      <c r="IF100" s="26">
        <f>IF(IF$2=InputTable[[#This Row],[Delivery Date]],_xlfn.XLOOKUP(IF$1,$BH$2:$BR$2,$BH100:$BR100,0),0)</f>
        <v>0</v>
      </c>
      <c r="IG100" s="26">
        <f>IF(IG$2=InputTable[[#This Row],[Delivery Date]],_xlfn.XLOOKUP(IG$1,$BH$2:$BR$2,$BH100:$BR100,0),0)</f>
        <v>0</v>
      </c>
      <c r="IH100" s="26">
        <f>IF(IH$2=InputTable[[#This Row],[Delivery Date]],_xlfn.XLOOKUP(IH$1,$BH$2:$BR$2,$BH100:$BR100,0),0)</f>
        <v>0</v>
      </c>
      <c r="IJ100" s="26" t="e">
        <f>IF(IJ$2=InputTable[[#This Row],[Delivery Date]],_xlfn.XLOOKUP(IJ$1,$BH$2:$BR$2,$BH100:$BR100,0),0)</f>
        <v>#REF!</v>
      </c>
      <c r="IK100" s="26">
        <f>IF(IK$2=InputTable[[#This Row],[Delivery Date]],_xlfn.XLOOKUP(IK$1,$BH$2:$BR$2,$BH100:$BR100,0),0)</f>
        <v>0</v>
      </c>
      <c r="IL100" s="26">
        <f>IF(IL$2=InputTable[[#This Row],[Delivery Date]],_xlfn.XLOOKUP(IL$1,$BH$2:$BR$2,$BH100:$BR100,0),0)</f>
        <v>0</v>
      </c>
      <c r="IM100" s="26">
        <f>IF(IM$2=InputTable[[#This Row],[Delivery Date]],_xlfn.XLOOKUP(IM$1,$BH$2:$BR$2,$BH100:$BR100,0),0)</f>
        <v>0</v>
      </c>
      <c r="IN100" s="26">
        <f>IF(IN$2=InputTable[[#This Row],[Delivery Date]],_xlfn.XLOOKUP(IN$1,$BH$2:$BR$2,$BH100:$BR100,0),0)</f>
        <v>0</v>
      </c>
      <c r="IO100" s="26">
        <f>IF(IO$2=InputTable[[#This Row],[Delivery Date]],_xlfn.XLOOKUP(IO$1,$BH$2:$BR$2,$BH100:$BR100,0),0)</f>
        <v>0</v>
      </c>
      <c r="IP100" s="26">
        <f>IF(IP$2=InputTable[[#This Row],[Delivery Date]],_xlfn.XLOOKUP(IP$1,$BH$2:$BR$2,$BH100:$BR100,0),0)</f>
        <v>0</v>
      </c>
      <c r="IQ100" s="26">
        <f>IF(IQ$2=InputTable[[#This Row],[Delivery Date]],_xlfn.XLOOKUP(IQ$1,$BH$2:$BR$2,$BH100:$BR100,0),0)</f>
        <v>0</v>
      </c>
      <c r="IR100" s="26">
        <f>IF(IR$2=InputTable[[#This Row],[Delivery Date]],_xlfn.XLOOKUP(IR$1,$BH$2:$BR$2,$BH100:$BR100,0),0)</f>
        <v>0</v>
      </c>
      <c r="IT100" s="26" t="e">
        <f>IF(IT$2=InputTable[[#This Row],[Delivery Date]],_xlfn.XLOOKUP(IT$1,$BH$2:$BR$2,$BH100:$BR100,0),0)</f>
        <v>#REF!</v>
      </c>
      <c r="IU100" s="26">
        <f>IF(IU$2=InputTable[[#This Row],[Delivery Date]],_xlfn.XLOOKUP(IU$1,$BH$2:$BR$2,$BH100:$BR100,0),0)</f>
        <v>0</v>
      </c>
      <c r="IV100" s="26">
        <f>IF(IV$2=InputTable[[#This Row],[Delivery Date]],_xlfn.XLOOKUP(IV$1,$BH$2:$BR$2,$BH100:$BR100,0),0)</f>
        <v>0</v>
      </c>
      <c r="IW100" s="26">
        <f>IF(IW$2=InputTable[[#This Row],[Delivery Date]],_xlfn.XLOOKUP(IW$1,$BH$2:$BR$2,$BH100:$BR100,0),0)</f>
        <v>0</v>
      </c>
      <c r="IX100" s="26">
        <f>IF(IX$2=InputTable[[#This Row],[Delivery Date]],_xlfn.XLOOKUP(IX$1,$BH$2:$BR$2,$BH100:$BR100,0),0)</f>
        <v>0</v>
      </c>
      <c r="IY100" s="26">
        <f>IF(IY$2=InputTable[[#This Row],[Delivery Date]],_xlfn.XLOOKUP(IY$1,$BH$2:$BR$2,$BH100:$BR100,0),0)</f>
        <v>0</v>
      </c>
      <c r="IZ100" s="26">
        <f>IF(IZ$2=InputTable[[#This Row],[Delivery Date]],_xlfn.XLOOKUP(IZ$1,$BH$2:$BR$2,$BH100:$BR100,0),0)</f>
        <v>0</v>
      </c>
      <c r="JA100" s="26">
        <f>IF(JA$2=InputTable[[#This Row],[Delivery Date]],_xlfn.XLOOKUP(JA$1,$BH$2:$BR$2,$BH100:$BR100,0),0)</f>
        <v>0</v>
      </c>
      <c r="JB100" s="26">
        <f>IF(JB$2=InputTable[[#This Row],[Delivery Date]],_xlfn.XLOOKUP(JB$1,$BH$2:$BR$2,$BH100:$BR100,0),0)</f>
        <v>0</v>
      </c>
      <c r="JD100" s="26" t="e">
        <f>IF(JD$2=InputTable[[#This Row],[Delivery Date]],_xlfn.XLOOKUP(JD$1,$BH$2:$BR$2,$BH100:$BR100,0),0)</f>
        <v>#REF!</v>
      </c>
      <c r="JE100" s="26">
        <f>IF(JE$2=InputTable[[#This Row],[Delivery Date]],_xlfn.XLOOKUP(JE$1,$BH$2:$BR$2,$BH100:$BR100,0),0)</f>
        <v>0</v>
      </c>
      <c r="JF100" s="26">
        <f>IF(JF$2=InputTable[[#This Row],[Delivery Date]],_xlfn.XLOOKUP(JF$1,$BH$2:$BR$2,$BH100:$BR100,0),0)</f>
        <v>0</v>
      </c>
      <c r="JG100" s="26">
        <f>IF(JG$2=InputTable[[#This Row],[Delivery Date]],_xlfn.XLOOKUP(JG$1,$BH$2:$BR$2,$BH100:$BR100,0),0)</f>
        <v>0</v>
      </c>
      <c r="JH100" s="26">
        <f>IF(JH$2=InputTable[[#This Row],[Delivery Date]],_xlfn.XLOOKUP(JH$1,$BH$2:$BR$2,$BH100:$BR100,0),0)</f>
        <v>0</v>
      </c>
      <c r="JI100" s="26">
        <f>IF(JI$2=InputTable[[#This Row],[Delivery Date]],_xlfn.XLOOKUP(JI$1,$BH$2:$BR$2,$BH100:$BR100,0),0)</f>
        <v>0</v>
      </c>
      <c r="JJ100" s="26">
        <f>IF(JJ$2=InputTable[[#This Row],[Delivery Date]],_xlfn.XLOOKUP(JJ$1,$BH$2:$BR$2,$BH100:$BR100,0),0)</f>
        <v>0</v>
      </c>
      <c r="JK100" s="26">
        <f>IF(JK$2=InputTable[[#This Row],[Delivery Date]],_xlfn.XLOOKUP(JK$1,$BH$2:$BR$2,$BH100:$BR100,0),0)</f>
        <v>0</v>
      </c>
      <c r="JL100" s="26">
        <f>IF(JL$2=InputTable[[#This Row],[Delivery Date]],_xlfn.XLOOKUP(JL$1,$BH$2:$BR$2,$BH100:$BR100,0),0)</f>
        <v>0</v>
      </c>
      <c r="JN100" s="26" t="e">
        <f>IF(JN$2=InputTable[[#This Row],[Delivery Date]],_xlfn.XLOOKUP(JN$1,$BH$2:$BR$2,$BH100:$BR100,0),0)</f>
        <v>#REF!</v>
      </c>
      <c r="JO100" s="26">
        <f>IF(JO$2=InputTable[[#This Row],[Delivery Date]],_xlfn.XLOOKUP(JO$1,$BH$2:$BR$2,$BH100:$BR100,0),0)</f>
        <v>0</v>
      </c>
      <c r="JP100" s="26">
        <f>IF(JP$2=InputTable[[#This Row],[Delivery Date]],_xlfn.XLOOKUP(JP$1,$BH$2:$BR$2,$BH100:$BR100,0),0)</f>
        <v>0</v>
      </c>
      <c r="JQ100" s="26">
        <f>IF(JQ$2=InputTable[[#This Row],[Delivery Date]],_xlfn.XLOOKUP(JQ$1,$BH$2:$BR$2,$BH100:$BR100,0),0)</f>
        <v>0</v>
      </c>
      <c r="JR100" s="26">
        <f>IF(JR$2=InputTable[[#This Row],[Delivery Date]],_xlfn.XLOOKUP(JR$1,$BH$2:$BR$2,$BH100:$BR100,0),0)</f>
        <v>0</v>
      </c>
      <c r="JS100" s="26">
        <f>IF(JS$2=InputTable[[#This Row],[Delivery Date]],_xlfn.XLOOKUP(JS$1,$BH$2:$BR$2,$BH100:$BR100,0),0)</f>
        <v>0</v>
      </c>
      <c r="JT100" s="26">
        <f>IF(JT$2=InputTable[[#This Row],[Delivery Date]],_xlfn.XLOOKUP(JT$1,$BH$2:$BR$2,$BH100:$BR100,0),0)</f>
        <v>0</v>
      </c>
      <c r="JU100" s="26">
        <f>IF(JU$2=InputTable[[#This Row],[Delivery Date]],_xlfn.XLOOKUP(JU$1,$BH$2:$BR$2,$BH100:$BR100,0),0)</f>
        <v>0</v>
      </c>
      <c r="JV100" s="26">
        <f>IF(JV$2=InputTable[[#This Row],[Delivery Date]],_xlfn.XLOOKUP(JV$1,$BH$2:$BR$2,$BH100:$BR100,0),0)</f>
        <v>0</v>
      </c>
      <c r="JX100" s="26" t="e">
        <f>IF(JX$2=InputTable[[#This Row],[Delivery Date]],_xlfn.XLOOKUP(JX$1,$BH$2:$BR$2,$BH100:$BR100,0),0)</f>
        <v>#REF!</v>
      </c>
      <c r="JY100" s="26">
        <f>IF(JY$2=InputTable[[#This Row],[Delivery Date]],_xlfn.XLOOKUP(JY$1,$BH$2:$BR$2,$BH100:$BR100,0),0)</f>
        <v>0</v>
      </c>
      <c r="JZ100" s="26">
        <f>IF(JZ$2=InputTable[[#This Row],[Delivery Date]],_xlfn.XLOOKUP(JZ$1,$BH$2:$BR$2,$BH100:$BR100,0),0)</f>
        <v>0</v>
      </c>
      <c r="KA100" s="26">
        <f>IF(KA$2=InputTable[[#This Row],[Delivery Date]],_xlfn.XLOOKUP(KA$1,$BH$2:$BR$2,$BH100:$BR100,0),0)</f>
        <v>0</v>
      </c>
      <c r="KB100" s="26">
        <f>IF(KB$2=InputTable[[#This Row],[Delivery Date]],_xlfn.XLOOKUP(KB$1,$BH$2:$BR$2,$BH100:$BR100,0),0)</f>
        <v>0</v>
      </c>
      <c r="KC100" s="26">
        <f>IF(KC$2=InputTable[[#This Row],[Delivery Date]],_xlfn.XLOOKUP(KC$1,$BH$2:$BR$2,$BH100:$BR100,0),0)</f>
        <v>0</v>
      </c>
      <c r="KD100" s="26">
        <f>IF(KD$2=InputTable[[#This Row],[Delivery Date]],_xlfn.XLOOKUP(KD$1,$BH$2:$BR$2,$BH100:$BR100,0),0)</f>
        <v>0</v>
      </c>
      <c r="KE100" s="26">
        <f>IF(KE$2=InputTable[[#This Row],[Delivery Date]],_xlfn.XLOOKUP(KE$1,$BH$2:$BR$2,$BH100:$BR100,0),0)</f>
        <v>0</v>
      </c>
      <c r="KF100" s="26">
        <f>IF(KF$2=InputTable[[#This Row],[Delivery Date]],_xlfn.XLOOKUP(KF$1,$BH$2:$BR$2,$BH100:$BR100,0),0)</f>
        <v>0</v>
      </c>
    </row>
    <row r="101" spans="1:292" ht="39.6" hidden="1" customHeight="1" x14ac:dyDescent="0.25">
      <c r="A101" s="141"/>
      <c r="B101" s="141" t="s">
        <v>114</v>
      </c>
      <c r="C101" s="92" t="s">
        <v>93</v>
      </c>
      <c r="D101" s="125" t="s">
        <v>405</v>
      </c>
      <c r="E101" s="193" t="s">
        <v>406</v>
      </c>
      <c r="F101" s="92" t="s">
        <v>96</v>
      </c>
      <c r="G101" s="92" t="s">
        <v>97</v>
      </c>
      <c r="H101" s="92"/>
      <c r="I101" s="92" t="s">
        <v>98</v>
      </c>
      <c r="J101" s="122"/>
      <c r="K101" s="95" t="e">
        <f>VLOOKUP((InputTable[[#This Row],[Starting Date]]&amp; " - " &amp;InputTable[[#This Row],[Delivery Date]]),'System List'!$F$40:$H$83,2,FALSE)</f>
        <v>#N/A</v>
      </c>
      <c r="L101" s="95" t="e">
        <f>VLOOKUP(InputTable[[#This Row],[Duration]],Duration,2,FALSE)</f>
        <v>#N/A</v>
      </c>
      <c r="M101" s="122" t="s">
        <v>110</v>
      </c>
      <c r="N101" s="92"/>
      <c r="O101" s="92" t="s">
        <v>111</v>
      </c>
      <c r="P101" s="92"/>
      <c r="Q101" s="92"/>
      <c r="R101" s="92" t="s">
        <v>111</v>
      </c>
      <c r="S101" s="92"/>
      <c r="T101" s="95" cm="1">
        <f t="array" ref="T101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101" s="138"/>
      <c r="V101" s="92"/>
      <c r="W101" s="92"/>
      <c r="X101" s="92"/>
      <c r="Y101" s="92"/>
      <c r="Z101" s="92"/>
      <c r="AA101" s="92"/>
      <c r="AB101" s="92"/>
      <c r="AC101" s="92"/>
      <c r="AD101" s="92">
        <f>COUNTA(InputTable[[#This Row],[CORPHRFIN]:[SALES]])</f>
        <v>0</v>
      </c>
      <c r="AE101" s="88" cm="1">
        <f t="array" ref="AE101">SUM(
_xlfn.XLOOKUP(InputTable[[#This Row],[CORPHRFIN]:[SALES]],'System List'!$F$4:$F$7,'System List'!$H$4:$H$7,0))</f>
        <v>0</v>
      </c>
      <c r="AF101" s="140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88" cm="1">
        <f t="array" ref="AR101">SUM(
_xlfn.XLOOKUP(InputTable[[#This Row],[Impact on - CIAL]:[Impact on - STRAT]],'System List'!$F$4:$F$7,'System List'!$H$4:$H$7,0))</f>
        <v>0</v>
      </c>
      <c r="AS101" s="88" t="e">
        <f>VLOOKUP(InputTable[[#This Row],[Duration]],Duration,2,FALSE)+InputTable[[#This Row],[Resource Score]]</f>
        <v>#N/A</v>
      </c>
      <c r="AT10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1" s="24" t="e">
        <f>InputTable[[#This Row],[Value Score]]/InputTable[[#This Row],[EFFORT SCORE]]*100</f>
        <v>#N/A</v>
      </c>
      <c r="AV101" s="25"/>
      <c r="AW101" s="25" t="s">
        <v>101</v>
      </c>
      <c r="AX101" s="208"/>
      <c r="AY101" s="25"/>
      <c r="AZ101" s="209">
        <v>0</v>
      </c>
      <c r="BA101" s="209">
        <v>0</v>
      </c>
      <c r="BB101" s="209"/>
      <c r="BC101" s="189"/>
      <c r="BD101" s="188"/>
      <c r="BE101" s="188"/>
      <c r="BF101" s="70"/>
      <c r="BH101" s="2">
        <f>IFERROR(VLOOKUP(InputTable[[#This Row],[Impact on - CIAL]],'System List'!$F$4:$H$7,3,FALSE),0)</f>
        <v>0</v>
      </c>
      <c r="BI101" s="2">
        <f>IFERROR(VLOOKUP(InputTable[[#This Row],[Impact on - COM]],'System List'!$F$4:$H$7,3,FALSE),0)</f>
        <v>0</v>
      </c>
      <c r="BJ101" s="2">
        <f>IFERROR(VLOOKUP(InputTable[[#This Row],[Impact on - FIN]],'System List'!$F$4:$H$7,3,FALSE),0)</f>
        <v>0</v>
      </c>
      <c r="BK101" s="2">
        <f>IFERROR(VLOOKUP(InputTable[[#This Row],[Impact on - GEN SEC]],'System List'!$F$4:$H$7,3,FALSE),0)</f>
        <v>0</v>
      </c>
      <c r="BL101" s="2">
        <f>IFERROR(VLOOKUP(InputTable[[#This Row],[Impact on - HR]],'System List'!$F$4:$H$7,3,FALSE),0)</f>
        <v>0</v>
      </c>
      <c r="BM101" s="2">
        <f>IFERROR(VLOOKUP(InputTable[[#This Row],[Impact on - IS]],'System List'!$F$4:$H$7,3,FALSE),0)</f>
        <v>0</v>
      </c>
      <c r="BN101" s="2">
        <f>IFERROR(VLOOKUP(InputTable[[#This Row],[Impact on - OPS]],'System List'!$F$4:$H$7,3,FALSE),0)</f>
        <v>0</v>
      </c>
      <c r="BO101" s="2">
        <f>IFERROR(VLOOKUP(InputTable[[#This Row],[Impact on - ROLL STOCK]],'System List'!$F$4:$H$7,3,FALSE),0)</f>
        <v>0</v>
      </c>
      <c r="BP101" s="2">
        <f>IFERROR(VLOOKUP(InputTable[[#This Row],[Impact on - SAFETY]],'System List'!$F$4:$H$7,3,FALSE),0)</f>
        <v>0</v>
      </c>
      <c r="BQ101" s="2">
        <f>IFERROR(VLOOKUP(InputTable[[#This Row],[Impact on - STATION]],'System List'!$F$4:$H$7,3,FALSE),0)</f>
        <v>0</v>
      </c>
      <c r="BR101" s="2">
        <f>IFERROR(VLOOKUP(InputTable[[#This Row],[Impact on - STRAT]],'System List'!$F$4:$H$7,3,FALSE),0)</f>
        <v>0</v>
      </c>
      <c r="BT101" s="2">
        <f>IFERROR(VLOOKUP(InputTable[[#This Row],[CORPHRFIN]],'System List'!$F$4:$H$7,3,FALSE),0)</f>
        <v>0</v>
      </c>
      <c r="BU101" s="2">
        <f>IFERROR(VLOOKUP(InputTable[[#This Row],[CUST]],'System List'!$F$4:$H$7,3,FALSE),0)</f>
        <v>0</v>
      </c>
      <c r="BV101" s="2">
        <f>IFERROR(VLOOKUP(InputTable[[#This Row],[CYBER]],'System List'!$F$4:$H$7,3,FALSE),0)</f>
        <v>0</v>
      </c>
      <c r="BW101" s="2">
        <f>IFERROR(VLOOKUP(InputTable[[#This Row],[DATA]],'System List'!$F$4:$H$7,3,FALSE),0)</f>
        <v>0</v>
      </c>
      <c r="BX101" s="2">
        <f>IFERROR(VLOOKUP(InputTable[[#This Row],[INFRA]],'System List'!$F$4:$H$7,3,FALSE),0)</f>
        <v>0</v>
      </c>
      <c r="BY101" s="2">
        <f>IFERROR(VLOOKUP(InputTable[[#This Row],[OPERATIONS]],'System List'!$F$4:$H$7,3,FALSE),0)</f>
        <v>0</v>
      </c>
      <c r="BZ101" s="2">
        <f>IFERROR(VLOOKUP(InputTable[[#This Row],[PMO]],'System List'!$F$4:$H$7,3,FALSE),0)</f>
        <v>0</v>
      </c>
      <c r="CA101" s="2">
        <f>IFERROR(VLOOKUP(InputTable[[#This Row],[SALES]],'System List'!$F$4:$H$7,3,FALSE),0)</f>
        <v>0</v>
      </c>
      <c r="CC101" s="2" cm="1">
        <f t="array" ref="CC10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1" s="2" cm="1">
        <f t="array" ref="CD10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1" s="2" cm="1">
        <f t="array" ref="CE10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1" s="2" cm="1">
        <f t="array" ref="CF10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1" s="2" cm="1">
        <f t="array" ref="CG10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1" s="2" cm="1">
        <f t="array" ref="CH10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1" s="2" cm="1">
        <f t="array" ref="CI10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1" s="2" cm="1">
        <f t="array" ref="CJ10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1" s="2" cm="1">
        <f t="array" ref="CK10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1" s="26">
        <f t="shared" si="224"/>
        <v>0</v>
      </c>
      <c r="CY101" s="26">
        <f t="shared" si="225"/>
        <v>0</v>
      </c>
      <c r="CZ101" s="26">
        <f t="shared" si="226"/>
        <v>0</v>
      </c>
      <c r="DA101" s="26">
        <f t="shared" si="227"/>
        <v>0</v>
      </c>
      <c r="DB101" s="26">
        <f t="shared" si="228"/>
        <v>0</v>
      </c>
      <c r="DC101" s="26">
        <f t="shared" si="229"/>
        <v>0</v>
      </c>
      <c r="DD101" s="26">
        <f t="shared" si="230"/>
        <v>0</v>
      </c>
      <c r="DE101" s="26">
        <f t="shared" si="231"/>
        <v>0</v>
      </c>
      <c r="DF101" s="26">
        <f t="shared" si="232"/>
        <v>0</v>
      </c>
      <c r="DH101" s="26">
        <f t="shared" si="233"/>
        <v>0</v>
      </c>
      <c r="DI101" s="26">
        <f t="shared" si="234"/>
        <v>0</v>
      </c>
      <c r="DJ101" s="26">
        <f t="shared" si="235"/>
        <v>0</v>
      </c>
      <c r="DK101" s="26">
        <f t="shared" si="236"/>
        <v>0</v>
      </c>
      <c r="DL101" s="26">
        <f t="shared" si="237"/>
        <v>0</v>
      </c>
      <c r="DM101" s="26">
        <f t="shared" si="238"/>
        <v>0</v>
      </c>
      <c r="DN101" s="26">
        <f t="shared" si="239"/>
        <v>0</v>
      </c>
      <c r="DO101" s="26">
        <f t="shared" si="240"/>
        <v>0</v>
      </c>
      <c r="DP101" s="26">
        <f t="shared" si="241"/>
        <v>0</v>
      </c>
      <c r="DR101" s="26">
        <f t="shared" si="242"/>
        <v>0</v>
      </c>
      <c r="DS101" s="26">
        <f t="shared" si="243"/>
        <v>0</v>
      </c>
      <c r="DT101" s="26">
        <f t="shared" si="244"/>
        <v>0</v>
      </c>
      <c r="DU101" s="26">
        <f t="shared" si="245"/>
        <v>0</v>
      </c>
      <c r="DV101" s="26">
        <f t="shared" si="246"/>
        <v>0</v>
      </c>
      <c r="DW101" s="26">
        <f t="shared" si="247"/>
        <v>0</v>
      </c>
      <c r="DX101" s="26">
        <f t="shared" si="248"/>
        <v>0</v>
      </c>
      <c r="DY101" s="26">
        <f t="shared" si="249"/>
        <v>0</v>
      </c>
      <c r="DZ101" s="26">
        <f t="shared" si="250"/>
        <v>0</v>
      </c>
      <c r="EB101" s="26">
        <f t="shared" si="251"/>
        <v>0</v>
      </c>
      <c r="EC101" s="26">
        <f t="shared" si="252"/>
        <v>0</v>
      </c>
      <c r="ED101" s="26">
        <f t="shared" si="253"/>
        <v>0</v>
      </c>
      <c r="EE101" s="26">
        <f t="shared" si="254"/>
        <v>0</v>
      </c>
      <c r="EF101" s="26">
        <f t="shared" si="255"/>
        <v>0</v>
      </c>
      <c r="EG101" s="26">
        <f t="shared" si="256"/>
        <v>0</v>
      </c>
      <c r="EH101" s="26">
        <f t="shared" si="257"/>
        <v>0</v>
      </c>
      <c r="EI101" s="26">
        <f t="shared" si="258"/>
        <v>0</v>
      </c>
      <c r="EJ101" s="26">
        <f t="shared" si="259"/>
        <v>0</v>
      </c>
      <c r="EL101" s="26">
        <f t="shared" si="260"/>
        <v>0</v>
      </c>
      <c r="EM101" s="26">
        <f t="shared" si="261"/>
        <v>0</v>
      </c>
      <c r="EN101" s="26">
        <f t="shared" si="262"/>
        <v>0</v>
      </c>
      <c r="EO101" s="26">
        <f t="shared" si="263"/>
        <v>0</v>
      </c>
      <c r="EP101" s="26">
        <f t="shared" si="264"/>
        <v>0</v>
      </c>
      <c r="EQ101" s="26">
        <f t="shared" si="265"/>
        <v>0</v>
      </c>
      <c r="ER101" s="26">
        <f t="shared" si="266"/>
        <v>0</v>
      </c>
      <c r="ES101" s="26">
        <f t="shared" si="267"/>
        <v>0</v>
      </c>
      <c r="ET101" s="26">
        <f t="shared" si="268"/>
        <v>0</v>
      </c>
      <c r="EV101" s="26">
        <f t="shared" si="269"/>
        <v>0</v>
      </c>
      <c r="EW101" s="26">
        <f t="shared" si="270"/>
        <v>0</v>
      </c>
      <c r="EX101" s="26">
        <f t="shared" si="271"/>
        <v>0</v>
      </c>
      <c r="EY101" s="26">
        <f t="shared" si="272"/>
        <v>0</v>
      </c>
      <c r="EZ101" s="26">
        <f t="shared" si="273"/>
        <v>0</v>
      </c>
      <c r="FA101" s="26">
        <f t="shared" si="274"/>
        <v>0</v>
      </c>
      <c r="FB101" s="26">
        <f t="shared" si="275"/>
        <v>0</v>
      </c>
      <c r="FC101" s="26">
        <f t="shared" si="276"/>
        <v>0</v>
      </c>
      <c r="FD101" s="26">
        <f t="shared" si="277"/>
        <v>0</v>
      </c>
      <c r="FF101" s="26">
        <f t="shared" si="278"/>
        <v>0</v>
      </c>
      <c r="FG101" s="26">
        <f t="shared" si="279"/>
        <v>0</v>
      </c>
      <c r="FH101" s="26">
        <f t="shared" si="280"/>
        <v>0</v>
      </c>
      <c r="FI101" s="26">
        <f t="shared" si="281"/>
        <v>0</v>
      </c>
      <c r="FJ101" s="26">
        <f t="shared" si="282"/>
        <v>0</v>
      </c>
      <c r="FK101" s="26">
        <f t="shared" si="283"/>
        <v>0</v>
      </c>
      <c r="FL101" s="26">
        <f t="shared" si="284"/>
        <v>0</v>
      </c>
      <c r="FM101" s="26">
        <f t="shared" si="285"/>
        <v>0</v>
      </c>
      <c r="FN101" s="26">
        <f t="shared" si="286"/>
        <v>0</v>
      </c>
      <c r="FP101" s="26" t="e">
        <f t="shared" si="287"/>
        <v>#REF!</v>
      </c>
      <c r="FQ101" s="26" t="e">
        <f t="shared" si="288"/>
        <v>#REF!</v>
      </c>
      <c r="FR101" s="26" t="e">
        <f t="shared" si="289"/>
        <v>#REF!</v>
      </c>
      <c r="FS101" s="26" t="e">
        <f t="shared" si="290"/>
        <v>#REF!</v>
      </c>
      <c r="FT101" s="26" t="e">
        <f t="shared" si="291"/>
        <v>#REF!</v>
      </c>
      <c r="FU101" s="26" t="e">
        <f t="shared" si="292"/>
        <v>#REF!</v>
      </c>
      <c r="FV101" s="26" t="e">
        <f t="shared" si="293"/>
        <v>#REF!</v>
      </c>
      <c r="FW101" s="26" t="e">
        <f t="shared" si="294"/>
        <v>#REF!</v>
      </c>
      <c r="FX101" s="26" t="e">
        <f t="shared" si="295"/>
        <v>#REF!</v>
      </c>
      <c r="GB101" s="26" t="e">
        <f>IF(GB$2=InputTable[[#This Row],[Delivery Date]],_xlfn.XLOOKUP(GB$1,$BH$2:$BR$2,$BH101:$BR101,0),0)</f>
        <v>#REF!</v>
      </c>
      <c r="GC101" s="26">
        <f>IF(GC$2=InputTable[[#This Row],[Delivery Date]],_xlfn.XLOOKUP(GC$1,$BH$2:$BR$2,$BH101:$BR101,0),0)</f>
        <v>0</v>
      </c>
      <c r="GD101" s="26">
        <f>IF(GD$2=InputTable[[#This Row],[Delivery Date]],_xlfn.XLOOKUP(GD$1,$BH$2:$BR$2,$BH101:$BR101,0),0)</f>
        <v>0</v>
      </c>
      <c r="GE101" s="26">
        <f>IF(GE$2=InputTable[[#This Row],[Delivery Date]],_xlfn.XLOOKUP(GE$1,$BH$2:$BR$2,$BH101:$BR101,0),0)</f>
        <v>0</v>
      </c>
      <c r="GF101" s="26">
        <f>IF(GF$2=InputTable[[#This Row],[Delivery Date]],_xlfn.XLOOKUP(GF$1,$BH$2:$BR$2,$BH101:$BR101,0),0)</f>
        <v>0</v>
      </c>
      <c r="GG101" s="26">
        <f>IF(GG$2=InputTable[[#This Row],[Delivery Date]],_xlfn.XLOOKUP(GG$1,$BH$2:$BR$2,$BH101:$BR101,0),0)</f>
        <v>0</v>
      </c>
      <c r="GH101" s="26">
        <f>IF(GH$2=InputTable[[#This Row],[Delivery Date]],_xlfn.XLOOKUP(GH$1,$BH$2:$BR$2,$BH101:$BR101,0),0)</f>
        <v>0</v>
      </c>
      <c r="GI101" s="26">
        <f>IF(GI$2=InputTable[[#This Row],[Delivery Date]],_xlfn.XLOOKUP(GI$1,$BH$2:$BR$2,$BH101:$BR101,0),0)</f>
        <v>0</v>
      </c>
      <c r="GJ101" s="26">
        <f>IF(GJ$2=InputTable[[#This Row],[Delivery Date]],_xlfn.XLOOKUP(GJ$1,$BH$2:$BR$2,$BH101:$BR101,0),0)</f>
        <v>0</v>
      </c>
      <c r="GL101" s="26" t="e">
        <f>IF(GL$2=InputTable[[#This Row],[Delivery Date]],_xlfn.XLOOKUP(GL$1,$BH$2:$BR$2,$BH101:$BR101,0),0)</f>
        <v>#REF!</v>
      </c>
      <c r="GM101" s="26">
        <f>IF(GM$2=InputTable[[#This Row],[Delivery Date]],_xlfn.XLOOKUP(GM$1,$BH$2:$BR$2,$BH101:$BR101,0),0)</f>
        <v>0</v>
      </c>
      <c r="GN101" s="26">
        <f>IF(GN$2=InputTable[[#This Row],[Delivery Date]],_xlfn.XLOOKUP(GN$1,$BH$2:$BR$2,$BH101:$BR101,0),0)</f>
        <v>0</v>
      </c>
      <c r="GO101" s="26">
        <f>IF(GO$2=InputTable[[#This Row],[Delivery Date]],_xlfn.XLOOKUP(GO$1,$BH$2:$BR$2,$BH101:$BR101,0),0)</f>
        <v>0</v>
      </c>
      <c r="GP101" s="26">
        <f>IF(GP$2=InputTable[[#This Row],[Delivery Date]],_xlfn.XLOOKUP(GP$1,$BH$2:$BR$2,$BH101:$BR101,0),0)</f>
        <v>0</v>
      </c>
      <c r="GQ101" s="26">
        <f>IF(GQ$2=InputTable[[#This Row],[Delivery Date]],_xlfn.XLOOKUP(GQ$1,$BH$2:$BR$2,$BH101:$BR101,0),0)</f>
        <v>0</v>
      </c>
      <c r="GR101" s="26">
        <f>IF(GR$2=InputTable[[#This Row],[Delivery Date]],_xlfn.XLOOKUP(GR$1,$BH$2:$BR$2,$BH101:$BR101,0),0)</f>
        <v>0</v>
      </c>
      <c r="GS101" s="26">
        <f>IF(GS$2=InputTable[[#This Row],[Delivery Date]],_xlfn.XLOOKUP(GS$1,$BH$2:$BR$2,$BH101:$BR101,0),0)</f>
        <v>0</v>
      </c>
      <c r="GT101" s="26">
        <f>IF(GT$2=InputTable[[#This Row],[Delivery Date]],_xlfn.XLOOKUP(GT$1,$BH$2:$BR$2,$BH101:$BR101,0),0)</f>
        <v>0</v>
      </c>
      <c r="GV101" s="26" t="e">
        <f>IF(GV$2=InputTable[[#This Row],[Delivery Date]],_xlfn.XLOOKUP(GV$1,$BH$2:$BR$2,$BH101:$BR101,0),0)</f>
        <v>#REF!</v>
      </c>
      <c r="GW101" s="26">
        <f>IF(GW$2=InputTable[[#This Row],[Delivery Date]],_xlfn.XLOOKUP(GW$1,$BH$2:$BR$2,$BH101:$BR101,0),0)</f>
        <v>0</v>
      </c>
      <c r="GX101" s="26">
        <f>IF(GX$2=InputTable[[#This Row],[Delivery Date]],_xlfn.XLOOKUP(GX$1,$BH$2:$BR$2,$BH101:$BR101,0),0)</f>
        <v>0</v>
      </c>
      <c r="GY101" s="26">
        <f>IF(GY$2=InputTable[[#This Row],[Delivery Date]],_xlfn.XLOOKUP(GY$1,$BH$2:$BR$2,$BH101:$BR101,0),0)</f>
        <v>0</v>
      </c>
      <c r="GZ101" s="26">
        <f>IF(GZ$2=InputTable[[#This Row],[Delivery Date]],_xlfn.XLOOKUP(GZ$1,$BH$2:$BR$2,$BH101:$BR101,0),0)</f>
        <v>0</v>
      </c>
      <c r="HA101" s="26">
        <f>IF(HA$2=InputTable[[#This Row],[Delivery Date]],_xlfn.XLOOKUP(HA$1,$BH$2:$BR$2,$BH101:$BR101,0),0)</f>
        <v>0</v>
      </c>
      <c r="HB101" s="26">
        <f>IF(HB$2=InputTable[[#This Row],[Delivery Date]],_xlfn.XLOOKUP(HB$1,$BH$2:$BR$2,$BH101:$BR101,0),0)</f>
        <v>0</v>
      </c>
      <c r="HC101" s="26">
        <f>IF(HC$2=InputTable[[#This Row],[Delivery Date]],_xlfn.XLOOKUP(HC$1,$BH$2:$BR$2,$BH101:$BR101,0),0)</f>
        <v>0</v>
      </c>
      <c r="HD101" s="26">
        <f>IF(HD$2=InputTable[[#This Row],[Delivery Date]],_xlfn.XLOOKUP(HD$1,$BH$2:$BR$2,$BH101:$BR101,0),0)</f>
        <v>0</v>
      </c>
      <c r="HF101" s="26" t="e">
        <f>IF(HF$2=InputTable[[#This Row],[Delivery Date]],_xlfn.XLOOKUP(HF$1,$BH$2:$BR$2,$BH101:$BR101,0),0)</f>
        <v>#REF!</v>
      </c>
      <c r="HG101" s="26">
        <f>IF(HG$2=InputTable[[#This Row],[Delivery Date]],_xlfn.XLOOKUP(HG$1,$BH$2:$BR$2,$BH101:$BR101,0),0)</f>
        <v>0</v>
      </c>
      <c r="HH101" s="26">
        <f>IF(HH$2=InputTable[[#This Row],[Delivery Date]],_xlfn.XLOOKUP(HH$1,$BH$2:$BR$2,$BH101:$BR101,0),0)</f>
        <v>0</v>
      </c>
      <c r="HI101" s="26">
        <f>IF(HI$2=InputTable[[#This Row],[Delivery Date]],_xlfn.XLOOKUP(HI$1,$BH$2:$BR$2,$BH101:$BR101,0),0)</f>
        <v>0</v>
      </c>
      <c r="HJ101" s="26">
        <f>IF(HJ$2=InputTable[[#This Row],[Delivery Date]],_xlfn.XLOOKUP(HJ$1,$BH$2:$BR$2,$BH101:$BR101,0),0)</f>
        <v>0</v>
      </c>
      <c r="HK101" s="26">
        <f>IF(HK$2=InputTable[[#This Row],[Delivery Date]],_xlfn.XLOOKUP(HK$1,$BH$2:$BR$2,$BH101:$BR101,0),0)</f>
        <v>0</v>
      </c>
      <c r="HL101" s="26">
        <f>IF(HL$2=InputTable[[#This Row],[Delivery Date]],_xlfn.XLOOKUP(HL$1,$BH$2:$BR$2,$BH101:$BR101,0),0)</f>
        <v>0</v>
      </c>
      <c r="HM101" s="26">
        <f>IF(HM$2=InputTable[[#This Row],[Delivery Date]],_xlfn.XLOOKUP(HM$1,$BH$2:$BR$2,$BH101:$BR101,0),0)</f>
        <v>0</v>
      </c>
      <c r="HN101" s="26">
        <f>IF(HN$2=InputTable[[#This Row],[Delivery Date]],_xlfn.XLOOKUP(HN$1,$BH$2:$BR$2,$BH101:$BR101,0),0)</f>
        <v>0</v>
      </c>
      <c r="HP101" s="26" t="e">
        <f>IF(HP$2=InputTable[[#This Row],[Delivery Date]],_xlfn.XLOOKUP(HP$1,$BH$2:$BR$2,$BH101:$BR101,0),0)</f>
        <v>#REF!</v>
      </c>
      <c r="HQ101" s="26">
        <f>IF(HQ$2=InputTable[[#This Row],[Delivery Date]],_xlfn.XLOOKUP(HQ$1,$BH$2:$BR$2,$BH101:$BR101,0),0)</f>
        <v>0</v>
      </c>
      <c r="HR101" s="26">
        <f>IF(HR$2=InputTable[[#This Row],[Delivery Date]],_xlfn.XLOOKUP(HR$1,$BH$2:$BR$2,$BH101:$BR101,0),0)</f>
        <v>0</v>
      </c>
      <c r="HS101" s="26">
        <f>IF(HS$2=InputTable[[#This Row],[Delivery Date]],_xlfn.XLOOKUP(HS$1,$BH$2:$BR$2,$BH101:$BR101,0),0)</f>
        <v>0</v>
      </c>
      <c r="HT101" s="26">
        <f>IF(HT$2=InputTable[[#This Row],[Delivery Date]],_xlfn.XLOOKUP(HT$1,$BH$2:$BR$2,$BH101:$BR101,0),0)</f>
        <v>0</v>
      </c>
      <c r="HU101" s="26">
        <f>IF(HU$2=InputTable[[#This Row],[Delivery Date]],_xlfn.XLOOKUP(HU$1,$BH$2:$BR$2,$BH101:$BR101,0),0)</f>
        <v>0</v>
      </c>
      <c r="HV101" s="26">
        <f>IF(HV$2=InputTable[[#This Row],[Delivery Date]],_xlfn.XLOOKUP(HV$1,$BH$2:$BR$2,$BH101:$BR101,0),0)</f>
        <v>0</v>
      </c>
      <c r="HW101" s="26">
        <f>IF(HW$2=InputTable[[#This Row],[Delivery Date]],_xlfn.XLOOKUP(HW$1,$BH$2:$BR$2,$BH101:$BR101,0),0)</f>
        <v>0</v>
      </c>
      <c r="HX101" s="26">
        <f>IF(HX$2=InputTable[[#This Row],[Delivery Date]],_xlfn.XLOOKUP(HX$1,$BH$2:$BR$2,$BH101:$BR101,0),0)</f>
        <v>0</v>
      </c>
      <c r="HZ101" s="26" t="e">
        <f>IF(HZ$2=InputTable[[#This Row],[Delivery Date]],_xlfn.XLOOKUP(HZ$1,$BH$2:$BR$2,$BH101:$BR101,0),0)</f>
        <v>#REF!</v>
      </c>
      <c r="IA101" s="26">
        <f>IF(IA$2=InputTable[[#This Row],[Delivery Date]],_xlfn.XLOOKUP(IA$1,$BH$2:$BR$2,$BH101:$BR101,0),0)</f>
        <v>0</v>
      </c>
      <c r="IB101" s="26">
        <f>IF(IB$2=InputTable[[#This Row],[Delivery Date]],_xlfn.XLOOKUP(IB$1,$BH$2:$BR$2,$BH101:$BR101,0),0)</f>
        <v>0</v>
      </c>
      <c r="IC101" s="26">
        <f>IF(IC$2=InputTable[[#This Row],[Delivery Date]],_xlfn.XLOOKUP(IC$1,$BH$2:$BR$2,$BH101:$BR101,0),0)</f>
        <v>0</v>
      </c>
      <c r="ID101" s="26">
        <f>IF(ID$2=InputTable[[#This Row],[Delivery Date]],_xlfn.XLOOKUP(ID$1,$BH$2:$BR$2,$BH101:$BR101,0),0)</f>
        <v>0</v>
      </c>
      <c r="IE101" s="26">
        <f>IF(IE$2=InputTable[[#This Row],[Delivery Date]],_xlfn.XLOOKUP(IE$1,$BH$2:$BR$2,$BH101:$BR101,0),0)</f>
        <v>0</v>
      </c>
      <c r="IF101" s="26">
        <f>IF(IF$2=InputTable[[#This Row],[Delivery Date]],_xlfn.XLOOKUP(IF$1,$BH$2:$BR$2,$BH101:$BR101,0),0)</f>
        <v>0</v>
      </c>
      <c r="IG101" s="26">
        <f>IF(IG$2=InputTable[[#This Row],[Delivery Date]],_xlfn.XLOOKUP(IG$1,$BH$2:$BR$2,$BH101:$BR101,0),0)</f>
        <v>0</v>
      </c>
      <c r="IH101" s="26">
        <f>IF(IH$2=InputTable[[#This Row],[Delivery Date]],_xlfn.XLOOKUP(IH$1,$BH$2:$BR$2,$BH101:$BR101,0),0)</f>
        <v>0</v>
      </c>
      <c r="IJ101" s="26" t="e">
        <f>IF(IJ$2=InputTable[[#This Row],[Delivery Date]],_xlfn.XLOOKUP(IJ$1,$BH$2:$BR$2,$BH101:$BR101,0),0)</f>
        <v>#REF!</v>
      </c>
      <c r="IK101" s="26">
        <f>IF(IK$2=InputTable[[#This Row],[Delivery Date]],_xlfn.XLOOKUP(IK$1,$BH$2:$BR$2,$BH101:$BR101,0),0)</f>
        <v>0</v>
      </c>
      <c r="IL101" s="26">
        <f>IF(IL$2=InputTable[[#This Row],[Delivery Date]],_xlfn.XLOOKUP(IL$1,$BH$2:$BR$2,$BH101:$BR101,0),0)</f>
        <v>0</v>
      </c>
      <c r="IM101" s="26">
        <f>IF(IM$2=InputTable[[#This Row],[Delivery Date]],_xlfn.XLOOKUP(IM$1,$BH$2:$BR$2,$BH101:$BR101,0),0)</f>
        <v>0</v>
      </c>
      <c r="IN101" s="26">
        <f>IF(IN$2=InputTable[[#This Row],[Delivery Date]],_xlfn.XLOOKUP(IN$1,$BH$2:$BR$2,$BH101:$BR101,0),0)</f>
        <v>0</v>
      </c>
      <c r="IO101" s="26">
        <f>IF(IO$2=InputTable[[#This Row],[Delivery Date]],_xlfn.XLOOKUP(IO$1,$BH$2:$BR$2,$BH101:$BR101,0),0)</f>
        <v>0</v>
      </c>
      <c r="IP101" s="26">
        <f>IF(IP$2=InputTable[[#This Row],[Delivery Date]],_xlfn.XLOOKUP(IP$1,$BH$2:$BR$2,$BH101:$BR101,0),0)</f>
        <v>0</v>
      </c>
      <c r="IQ101" s="26">
        <f>IF(IQ$2=InputTable[[#This Row],[Delivery Date]],_xlfn.XLOOKUP(IQ$1,$BH$2:$BR$2,$BH101:$BR101,0),0)</f>
        <v>0</v>
      </c>
      <c r="IR101" s="26">
        <f>IF(IR$2=InputTable[[#This Row],[Delivery Date]],_xlfn.XLOOKUP(IR$1,$BH$2:$BR$2,$BH101:$BR101,0),0)</f>
        <v>0</v>
      </c>
      <c r="IT101" s="26" t="e">
        <f>IF(IT$2=InputTable[[#This Row],[Delivery Date]],_xlfn.XLOOKUP(IT$1,$BH$2:$BR$2,$BH101:$BR101,0),0)</f>
        <v>#REF!</v>
      </c>
      <c r="IU101" s="26">
        <f>IF(IU$2=InputTable[[#This Row],[Delivery Date]],_xlfn.XLOOKUP(IU$1,$BH$2:$BR$2,$BH101:$BR101,0),0)</f>
        <v>0</v>
      </c>
      <c r="IV101" s="26">
        <f>IF(IV$2=InputTable[[#This Row],[Delivery Date]],_xlfn.XLOOKUP(IV$1,$BH$2:$BR$2,$BH101:$BR101,0),0)</f>
        <v>0</v>
      </c>
      <c r="IW101" s="26">
        <f>IF(IW$2=InputTable[[#This Row],[Delivery Date]],_xlfn.XLOOKUP(IW$1,$BH$2:$BR$2,$BH101:$BR101,0),0)</f>
        <v>0</v>
      </c>
      <c r="IX101" s="26">
        <f>IF(IX$2=InputTable[[#This Row],[Delivery Date]],_xlfn.XLOOKUP(IX$1,$BH$2:$BR$2,$BH101:$BR101,0),0)</f>
        <v>0</v>
      </c>
      <c r="IY101" s="26">
        <f>IF(IY$2=InputTable[[#This Row],[Delivery Date]],_xlfn.XLOOKUP(IY$1,$BH$2:$BR$2,$BH101:$BR101,0),0)</f>
        <v>0</v>
      </c>
      <c r="IZ101" s="26">
        <f>IF(IZ$2=InputTable[[#This Row],[Delivery Date]],_xlfn.XLOOKUP(IZ$1,$BH$2:$BR$2,$BH101:$BR101,0),0)</f>
        <v>0</v>
      </c>
      <c r="JA101" s="26">
        <f>IF(JA$2=InputTable[[#This Row],[Delivery Date]],_xlfn.XLOOKUP(JA$1,$BH$2:$BR$2,$BH101:$BR101,0),0)</f>
        <v>0</v>
      </c>
      <c r="JB101" s="26">
        <f>IF(JB$2=InputTable[[#This Row],[Delivery Date]],_xlfn.XLOOKUP(JB$1,$BH$2:$BR$2,$BH101:$BR101,0),0)</f>
        <v>0</v>
      </c>
      <c r="JD101" s="26" t="e">
        <f>IF(JD$2=InputTable[[#This Row],[Delivery Date]],_xlfn.XLOOKUP(JD$1,$BH$2:$BR$2,$BH101:$BR101,0),0)</f>
        <v>#REF!</v>
      </c>
      <c r="JE101" s="26">
        <f>IF(JE$2=InputTable[[#This Row],[Delivery Date]],_xlfn.XLOOKUP(JE$1,$BH$2:$BR$2,$BH101:$BR101,0),0)</f>
        <v>0</v>
      </c>
      <c r="JF101" s="26">
        <f>IF(JF$2=InputTable[[#This Row],[Delivery Date]],_xlfn.XLOOKUP(JF$1,$BH$2:$BR$2,$BH101:$BR101,0),0)</f>
        <v>0</v>
      </c>
      <c r="JG101" s="26">
        <f>IF(JG$2=InputTable[[#This Row],[Delivery Date]],_xlfn.XLOOKUP(JG$1,$BH$2:$BR$2,$BH101:$BR101,0),0)</f>
        <v>0</v>
      </c>
      <c r="JH101" s="26">
        <f>IF(JH$2=InputTable[[#This Row],[Delivery Date]],_xlfn.XLOOKUP(JH$1,$BH$2:$BR$2,$BH101:$BR101,0),0)</f>
        <v>0</v>
      </c>
      <c r="JI101" s="26">
        <f>IF(JI$2=InputTable[[#This Row],[Delivery Date]],_xlfn.XLOOKUP(JI$1,$BH$2:$BR$2,$BH101:$BR101,0),0)</f>
        <v>0</v>
      </c>
      <c r="JJ101" s="26">
        <f>IF(JJ$2=InputTable[[#This Row],[Delivery Date]],_xlfn.XLOOKUP(JJ$1,$BH$2:$BR$2,$BH101:$BR101,0),0)</f>
        <v>0</v>
      </c>
      <c r="JK101" s="26">
        <f>IF(JK$2=InputTable[[#This Row],[Delivery Date]],_xlfn.XLOOKUP(JK$1,$BH$2:$BR$2,$BH101:$BR101,0),0)</f>
        <v>0</v>
      </c>
      <c r="JL101" s="26">
        <f>IF(JL$2=InputTable[[#This Row],[Delivery Date]],_xlfn.XLOOKUP(JL$1,$BH$2:$BR$2,$BH101:$BR101,0),0)</f>
        <v>0</v>
      </c>
      <c r="JN101" s="26" t="e">
        <f>IF(JN$2=InputTable[[#This Row],[Delivery Date]],_xlfn.XLOOKUP(JN$1,$BH$2:$BR$2,$BH101:$BR101,0),0)</f>
        <v>#REF!</v>
      </c>
      <c r="JO101" s="26">
        <f>IF(JO$2=InputTable[[#This Row],[Delivery Date]],_xlfn.XLOOKUP(JO$1,$BH$2:$BR$2,$BH101:$BR101,0),0)</f>
        <v>0</v>
      </c>
      <c r="JP101" s="26">
        <f>IF(JP$2=InputTable[[#This Row],[Delivery Date]],_xlfn.XLOOKUP(JP$1,$BH$2:$BR$2,$BH101:$BR101,0),0)</f>
        <v>0</v>
      </c>
      <c r="JQ101" s="26">
        <f>IF(JQ$2=InputTable[[#This Row],[Delivery Date]],_xlfn.XLOOKUP(JQ$1,$BH$2:$BR$2,$BH101:$BR101,0),0)</f>
        <v>0</v>
      </c>
      <c r="JR101" s="26">
        <f>IF(JR$2=InputTable[[#This Row],[Delivery Date]],_xlfn.XLOOKUP(JR$1,$BH$2:$BR$2,$BH101:$BR101,0),0)</f>
        <v>0</v>
      </c>
      <c r="JS101" s="26">
        <f>IF(JS$2=InputTable[[#This Row],[Delivery Date]],_xlfn.XLOOKUP(JS$1,$BH$2:$BR$2,$BH101:$BR101,0),0)</f>
        <v>0</v>
      </c>
      <c r="JT101" s="26">
        <f>IF(JT$2=InputTable[[#This Row],[Delivery Date]],_xlfn.XLOOKUP(JT$1,$BH$2:$BR$2,$BH101:$BR101,0),0)</f>
        <v>0</v>
      </c>
      <c r="JU101" s="26">
        <f>IF(JU$2=InputTable[[#This Row],[Delivery Date]],_xlfn.XLOOKUP(JU$1,$BH$2:$BR$2,$BH101:$BR101,0),0)</f>
        <v>0</v>
      </c>
      <c r="JV101" s="26">
        <f>IF(JV$2=InputTable[[#This Row],[Delivery Date]],_xlfn.XLOOKUP(JV$1,$BH$2:$BR$2,$BH101:$BR101,0),0)</f>
        <v>0</v>
      </c>
      <c r="JX101" s="26" t="e">
        <f>IF(JX$2=InputTable[[#This Row],[Delivery Date]],_xlfn.XLOOKUP(JX$1,$BH$2:$BR$2,$BH101:$BR101,0),0)</f>
        <v>#REF!</v>
      </c>
      <c r="JY101" s="26">
        <f>IF(JY$2=InputTable[[#This Row],[Delivery Date]],_xlfn.XLOOKUP(JY$1,$BH$2:$BR$2,$BH101:$BR101,0),0)</f>
        <v>0</v>
      </c>
      <c r="JZ101" s="26">
        <f>IF(JZ$2=InputTable[[#This Row],[Delivery Date]],_xlfn.XLOOKUP(JZ$1,$BH$2:$BR$2,$BH101:$BR101,0),0)</f>
        <v>0</v>
      </c>
      <c r="KA101" s="26">
        <f>IF(KA$2=InputTable[[#This Row],[Delivery Date]],_xlfn.XLOOKUP(KA$1,$BH$2:$BR$2,$BH101:$BR101,0),0)</f>
        <v>0</v>
      </c>
      <c r="KB101" s="26">
        <f>IF(KB$2=InputTable[[#This Row],[Delivery Date]],_xlfn.XLOOKUP(KB$1,$BH$2:$BR$2,$BH101:$BR101,0),0)</f>
        <v>0</v>
      </c>
      <c r="KC101" s="26">
        <f>IF(KC$2=InputTable[[#This Row],[Delivery Date]],_xlfn.XLOOKUP(KC$1,$BH$2:$BR$2,$BH101:$BR101,0),0)</f>
        <v>0</v>
      </c>
      <c r="KD101" s="26">
        <f>IF(KD$2=InputTable[[#This Row],[Delivery Date]],_xlfn.XLOOKUP(KD$1,$BH$2:$BR$2,$BH101:$BR101,0),0)</f>
        <v>0</v>
      </c>
      <c r="KE101" s="26">
        <f>IF(KE$2=InputTable[[#This Row],[Delivery Date]],_xlfn.XLOOKUP(KE$1,$BH$2:$BR$2,$BH101:$BR101,0),0)</f>
        <v>0</v>
      </c>
      <c r="KF101" s="26">
        <f>IF(KF$2=InputTable[[#This Row],[Delivery Date]],_xlfn.XLOOKUP(KF$1,$BH$2:$BR$2,$BH101:$BR101,0),0)</f>
        <v>0</v>
      </c>
    </row>
    <row r="102" spans="1:292" ht="39.6" customHeight="1" x14ac:dyDescent="0.25">
      <c r="A102" s="141" t="s">
        <v>142</v>
      </c>
      <c r="B102" s="141" t="s">
        <v>104</v>
      </c>
      <c r="C102" s="92" t="s">
        <v>60</v>
      </c>
      <c r="D102" s="125" t="s">
        <v>407</v>
      </c>
      <c r="E102" s="193" t="s">
        <v>408</v>
      </c>
      <c r="F102" s="92" t="s">
        <v>159</v>
      </c>
      <c r="G102" s="92" t="s">
        <v>98</v>
      </c>
      <c r="H102" s="92" t="s">
        <v>111</v>
      </c>
      <c r="I102" s="92">
        <v>2026</v>
      </c>
      <c r="J102" s="126" t="s">
        <v>152</v>
      </c>
      <c r="K102" s="95" t="e">
        <f>VLOOKUP((InputTable[[#This Row],[Starting Date]]&amp; " - " &amp;InputTable[[#This Row],[Delivery Date]]),'System List'!$F$40:$H$83,2,FALSE)</f>
        <v>#N/A</v>
      </c>
      <c r="L102" s="95" t="e">
        <f>VLOOKUP(InputTable[[#This Row],[Duration]],Duration,2,FALSE)</f>
        <v>#N/A</v>
      </c>
      <c r="M102" s="122"/>
      <c r="N102" s="92"/>
      <c r="O102" s="92" t="s">
        <v>111</v>
      </c>
      <c r="P102" s="92"/>
      <c r="Q102" s="92"/>
      <c r="R102" s="92"/>
      <c r="S102" s="92"/>
      <c r="T102" s="95" cm="1">
        <f t="array" ref="T102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</v>
      </c>
      <c r="U102" s="138"/>
      <c r="V102" s="92"/>
      <c r="W102" s="92"/>
      <c r="X102" s="92"/>
      <c r="Y102" s="92"/>
      <c r="Z102" s="92"/>
      <c r="AA102" s="92"/>
      <c r="AB102" s="92"/>
      <c r="AC102" s="92"/>
      <c r="AD102" s="92">
        <f>COUNTA(InputTable[[#This Row],[CORPHRFIN]:[SALES]])</f>
        <v>0</v>
      </c>
      <c r="AE102" s="88" cm="1">
        <f t="array" ref="AE102">SUM(
_xlfn.XLOOKUP(InputTable[[#This Row],[CORPHRFIN]:[SALES]],'System List'!$F$4:$F$7,'System List'!$H$4:$H$7,0))</f>
        <v>0</v>
      </c>
      <c r="AF102" s="140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88" cm="1">
        <f t="array" ref="AR102">SUM(
_xlfn.XLOOKUP(InputTable[[#This Row],[Impact on - CIAL]:[Impact on - STRAT]],'System List'!$F$4:$F$7,'System List'!$H$4:$H$7,0))</f>
        <v>0</v>
      </c>
      <c r="AS102" s="88" t="e">
        <f>VLOOKUP(InputTable[[#This Row],[Duration]],Duration,2,FALSE)+InputTable[[#This Row],[Resource Score]]</f>
        <v>#N/A</v>
      </c>
      <c r="AT10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2" s="24" t="e">
        <f>InputTable[[#This Row],[Value Score]]/InputTable[[#This Row],[EFFORT SCORE]]*100</f>
        <v>#N/A</v>
      </c>
      <c r="AV102" s="25" t="str">
        <f>InputTable[[#This Row],[IS Portfolio Ref ID]]</f>
        <v>ISPRJ-69</v>
      </c>
      <c r="AW102" s="25" t="s">
        <v>409</v>
      </c>
      <c r="AX102" s="208"/>
      <c r="AY102" s="210" t="s">
        <v>410</v>
      </c>
      <c r="AZ102" s="209">
        <v>0</v>
      </c>
      <c r="BA102" s="209">
        <v>0</v>
      </c>
      <c r="BB102" s="209"/>
      <c r="BC102" s="189">
        <f>SUM(InputTable[[#This Row],[Opex IS Budget (full project)]]+InputTable[[#This Row],[Capex IS Budget (full project)]])</f>
        <v>0</v>
      </c>
      <c r="BD102" s="188"/>
      <c r="BE102" s="188"/>
      <c r="BF102" s="70"/>
      <c r="BH102" s="2">
        <f>IFERROR(VLOOKUP(InputTable[[#This Row],[Impact on - CIAL]],'System List'!$F$4:$H$7,3,FALSE),0)</f>
        <v>0</v>
      </c>
      <c r="BI102" s="2">
        <f>IFERROR(VLOOKUP(InputTable[[#This Row],[Impact on - COM]],'System List'!$F$4:$H$7,3,FALSE),0)</f>
        <v>0</v>
      </c>
      <c r="BJ102" s="2">
        <f>IFERROR(VLOOKUP(InputTable[[#This Row],[Impact on - FIN]],'System List'!$F$4:$H$7,3,FALSE),0)</f>
        <v>0</v>
      </c>
      <c r="BK102" s="2">
        <f>IFERROR(VLOOKUP(InputTable[[#This Row],[Impact on - GEN SEC]],'System List'!$F$4:$H$7,3,FALSE),0)</f>
        <v>0</v>
      </c>
      <c r="BL102" s="2">
        <f>IFERROR(VLOOKUP(InputTable[[#This Row],[Impact on - HR]],'System List'!$F$4:$H$7,3,FALSE),0)</f>
        <v>0</v>
      </c>
      <c r="BM102" s="2">
        <f>IFERROR(VLOOKUP(InputTable[[#This Row],[Impact on - IS]],'System List'!$F$4:$H$7,3,FALSE),0)</f>
        <v>0</v>
      </c>
      <c r="BN102" s="2">
        <f>IFERROR(VLOOKUP(InputTable[[#This Row],[Impact on - OPS]],'System List'!$F$4:$H$7,3,FALSE),0)</f>
        <v>0</v>
      </c>
      <c r="BO102" s="2">
        <f>IFERROR(VLOOKUP(InputTable[[#This Row],[Impact on - ROLL STOCK]],'System List'!$F$4:$H$7,3,FALSE),0)</f>
        <v>0</v>
      </c>
      <c r="BP102" s="2">
        <f>IFERROR(VLOOKUP(InputTable[[#This Row],[Impact on - SAFETY]],'System List'!$F$4:$H$7,3,FALSE),0)</f>
        <v>0</v>
      </c>
      <c r="BQ102" s="2">
        <f>IFERROR(VLOOKUP(InputTable[[#This Row],[Impact on - STATION]],'System List'!$F$4:$H$7,3,FALSE),0)</f>
        <v>0</v>
      </c>
      <c r="BR102" s="2">
        <f>IFERROR(VLOOKUP(InputTable[[#This Row],[Impact on - STRAT]],'System List'!$F$4:$H$7,3,FALSE),0)</f>
        <v>0</v>
      </c>
      <c r="BT102" s="2">
        <f>IFERROR(VLOOKUP(InputTable[[#This Row],[CORPHRFIN]],'System List'!$F$4:$H$7,3,FALSE),0)</f>
        <v>0</v>
      </c>
      <c r="BU102" s="2">
        <f>IFERROR(VLOOKUP(InputTable[[#This Row],[CUST]],'System List'!$F$4:$H$7,3,FALSE),0)</f>
        <v>0</v>
      </c>
      <c r="BV102" s="2">
        <f>IFERROR(VLOOKUP(InputTable[[#This Row],[CYBER]],'System List'!$F$4:$H$7,3,FALSE),0)</f>
        <v>0</v>
      </c>
      <c r="BW102" s="2">
        <f>IFERROR(VLOOKUP(InputTable[[#This Row],[DATA]],'System List'!$F$4:$H$7,3,FALSE),0)</f>
        <v>0</v>
      </c>
      <c r="BX102" s="2">
        <f>IFERROR(VLOOKUP(InputTable[[#This Row],[INFRA]],'System List'!$F$4:$H$7,3,FALSE),0)</f>
        <v>0</v>
      </c>
      <c r="BY102" s="2">
        <f>IFERROR(VLOOKUP(InputTable[[#This Row],[OPERATIONS]],'System List'!$F$4:$H$7,3,FALSE),0)</f>
        <v>0</v>
      </c>
      <c r="BZ102" s="2">
        <f>IFERROR(VLOOKUP(InputTable[[#This Row],[PMO]],'System List'!$F$4:$H$7,3,FALSE),0)</f>
        <v>0</v>
      </c>
      <c r="CA102" s="2">
        <f>IFERROR(VLOOKUP(InputTable[[#This Row],[SALES]],'System List'!$F$4:$H$7,3,FALSE),0)</f>
        <v>0</v>
      </c>
      <c r="CC102" s="2" cm="1">
        <f t="array" ref="CC10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2" s="2" cm="1">
        <f t="array" ref="CD10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2" s="2" cm="1">
        <f t="array" ref="CE10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2" s="2" cm="1">
        <f t="array" ref="CF10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2" s="2" cm="1">
        <f t="array" ref="CG10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2" s="2" cm="1">
        <f t="array" ref="CH10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2" s="2" cm="1">
        <f t="array" ref="CI10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2" s="2" cm="1">
        <f t="array" ref="CJ10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2" s="2" cm="1">
        <f t="array" ref="CK10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0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0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0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2" s="26">
        <f t="shared" si="224"/>
        <v>0</v>
      </c>
      <c r="CY102" s="26">
        <f t="shared" si="225"/>
        <v>0</v>
      </c>
      <c r="CZ102" s="26">
        <f t="shared" si="226"/>
        <v>0</v>
      </c>
      <c r="DA102" s="26">
        <f t="shared" si="227"/>
        <v>0</v>
      </c>
      <c r="DB102" s="26">
        <f t="shared" si="228"/>
        <v>0</v>
      </c>
      <c r="DC102" s="26">
        <f t="shared" si="229"/>
        <v>0</v>
      </c>
      <c r="DD102" s="26">
        <f t="shared" si="230"/>
        <v>0</v>
      </c>
      <c r="DE102" s="26">
        <f t="shared" si="231"/>
        <v>0</v>
      </c>
      <c r="DF102" s="26">
        <f t="shared" si="232"/>
        <v>0</v>
      </c>
      <c r="DH102" s="26">
        <f t="shared" si="233"/>
        <v>0</v>
      </c>
      <c r="DI102" s="26">
        <f t="shared" si="234"/>
        <v>0</v>
      </c>
      <c r="DJ102" s="26">
        <f t="shared" si="235"/>
        <v>0</v>
      </c>
      <c r="DK102" s="26">
        <f t="shared" si="236"/>
        <v>0</v>
      </c>
      <c r="DL102" s="26">
        <f t="shared" si="237"/>
        <v>0</v>
      </c>
      <c r="DM102" s="26">
        <f t="shared" si="238"/>
        <v>0</v>
      </c>
      <c r="DN102" s="26">
        <f t="shared" si="239"/>
        <v>0</v>
      </c>
      <c r="DO102" s="26">
        <f t="shared" si="240"/>
        <v>0</v>
      </c>
      <c r="DP102" s="26">
        <f t="shared" si="241"/>
        <v>0</v>
      </c>
      <c r="DR102" s="26">
        <f t="shared" si="242"/>
        <v>0</v>
      </c>
      <c r="DS102" s="26">
        <f t="shared" si="243"/>
        <v>0</v>
      </c>
      <c r="DT102" s="26">
        <f t="shared" si="244"/>
        <v>0</v>
      </c>
      <c r="DU102" s="26">
        <f t="shared" si="245"/>
        <v>0</v>
      </c>
      <c r="DV102" s="26">
        <f t="shared" si="246"/>
        <v>0</v>
      </c>
      <c r="DW102" s="26">
        <f t="shared" si="247"/>
        <v>0</v>
      </c>
      <c r="DX102" s="26">
        <f t="shared" si="248"/>
        <v>0</v>
      </c>
      <c r="DY102" s="26">
        <f t="shared" si="249"/>
        <v>0</v>
      </c>
      <c r="DZ102" s="26">
        <f t="shared" si="250"/>
        <v>0</v>
      </c>
      <c r="EB102" s="26">
        <f t="shared" si="251"/>
        <v>0</v>
      </c>
      <c r="EC102" s="26">
        <f t="shared" si="252"/>
        <v>0</v>
      </c>
      <c r="ED102" s="26">
        <f t="shared" si="253"/>
        <v>0</v>
      </c>
      <c r="EE102" s="26">
        <f t="shared" si="254"/>
        <v>0</v>
      </c>
      <c r="EF102" s="26">
        <f t="shared" si="255"/>
        <v>0</v>
      </c>
      <c r="EG102" s="26">
        <f t="shared" si="256"/>
        <v>0</v>
      </c>
      <c r="EH102" s="26">
        <f t="shared" si="257"/>
        <v>0</v>
      </c>
      <c r="EI102" s="26">
        <f t="shared" si="258"/>
        <v>0</v>
      </c>
      <c r="EJ102" s="26">
        <f t="shared" si="259"/>
        <v>0</v>
      </c>
      <c r="EL102" s="26">
        <f t="shared" si="260"/>
        <v>0</v>
      </c>
      <c r="EM102" s="26">
        <f t="shared" si="261"/>
        <v>0</v>
      </c>
      <c r="EN102" s="26">
        <f t="shared" si="262"/>
        <v>0</v>
      </c>
      <c r="EO102" s="26">
        <f t="shared" si="263"/>
        <v>0</v>
      </c>
      <c r="EP102" s="26">
        <f t="shared" si="264"/>
        <v>0</v>
      </c>
      <c r="EQ102" s="26">
        <f t="shared" si="265"/>
        <v>0</v>
      </c>
      <c r="ER102" s="26">
        <f t="shared" si="266"/>
        <v>0</v>
      </c>
      <c r="ES102" s="26">
        <f t="shared" si="267"/>
        <v>0</v>
      </c>
      <c r="ET102" s="26">
        <f t="shared" si="268"/>
        <v>0</v>
      </c>
      <c r="EV102" s="26">
        <f t="shared" si="269"/>
        <v>0</v>
      </c>
      <c r="EW102" s="26">
        <f t="shared" si="270"/>
        <v>0</v>
      </c>
      <c r="EX102" s="26">
        <f t="shared" si="271"/>
        <v>0</v>
      </c>
      <c r="EY102" s="26">
        <f t="shared" si="272"/>
        <v>0</v>
      </c>
      <c r="EZ102" s="26">
        <f t="shared" si="273"/>
        <v>0</v>
      </c>
      <c r="FA102" s="26">
        <f t="shared" si="274"/>
        <v>0</v>
      </c>
      <c r="FB102" s="26">
        <f t="shared" si="275"/>
        <v>0</v>
      </c>
      <c r="FC102" s="26">
        <f t="shared" si="276"/>
        <v>0</v>
      </c>
      <c r="FD102" s="26">
        <f t="shared" si="277"/>
        <v>0</v>
      </c>
      <c r="FF102" s="26">
        <f t="shared" si="278"/>
        <v>0</v>
      </c>
      <c r="FG102" s="26">
        <f t="shared" si="279"/>
        <v>0</v>
      </c>
      <c r="FH102" s="26">
        <f t="shared" si="280"/>
        <v>0</v>
      </c>
      <c r="FI102" s="26">
        <f t="shared" si="281"/>
        <v>0</v>
      </c>
      <c r="FJ102" s="26">
        <f t="shared" si="282"/>
        <v>0</v>
      </c>
      <c r="FK102" s="26">
        <f t="shared" si="283"/>
        <v>0</v>
      </c>
      <c r="FL102" s="26">
        <f t="shared" si="284"/>
        <v>0</v>
      </c>
      <c r="FM102" s="26">
        <f t="shared" si="285"/>
        <v>0</v>
      </c>
      <c r="FN102" s="26">
        <f t="shared" si="286"/>
        <v>0</v>
      </c>
      <c r="FP102" s="26" t="e">
        <f t="shared" si="287"/>
        <v>#REF!</v>
      </c>
      <c r="FQ102" s="26" t="e">
        <f t="shared" si="288"/>
        <v>#REF!</v>
      </c>
      <c r="FR102" s="26" t="e">
        <f t="shared" si="289"/>
        <v>#REF!</v>
      </c>
      <c r="FS102" s="26" t="e">
        <f t="shared" si="290"/>
        <v>#REF!</v>
      </c>
      <c r="FT102" s="26" t="e">
        <f t="shared" si="291"/>
        <v>#REF!</v>
      </c>
      <c r="FU102" s="26" t="e">
        <f t="shared" si="292"/>
        <v>#REF!</v>
      </c>
      <c r="FV102" s="26" t="e">
        <f t="shared" si="293"/>
        <v>#REF!</v>
      </c>
      <c r="FW102" s="26" t="e">
        <f t="shared" si="294"/>
        <v>#REF!</v>
      </c>
      <c r="FX102" s="26" t="e">
        <f t="shared" si="295"/>
        <v>#REF!</v>
      </c>
      <c r="GB102" s="26" t="e">
        <f>IF(GB$2=InputTable[[#This Row],[Delivery Date]],_xlfn.XLOOKUP(GB$1,$BH$2:$BR$2,$BH102:$BR102,0),0)</f>
        <v>#REF!</v>
      </c>
      <c r="GC102" s="26">
        <f>IF(GC$2=InputTable[[#This Row],[Delivery Date]],_xlfn.XLOOKUP(GC$1,$BH$2:$BR$2,$BH102:$BR102,0),0)</f>
        <v>0</v>
      </c>
      <c r="GD102" s="26">
        <f>IF(GD$2=InputTable[[#This Row],[Delivery Date]],_xlfn.XLOOKUP(GD$1,$BH$2:$BR$2,$BH102:$BR102,0),0)</f>
        <v>0</v>
      </c>
      <c r="GE102" s="26">
        <f>IF(GE$2=InputTable[[#This Row],[Delivery Date]],_xlfn.XLOOKUP(GE$1,$BH$2:$BR$2,$BH102:$BR102,0),0)</f>
        <v>0</v>
      </c>
      <c r="GF102" s="26">
        <f>IF(GF$2=InputTable[[#This Row],[Delivery Date]],_xlfn.XLOOKUP(GF$1,$BH$2:$BR$2,$BH102:$BR102,0),0)</f>
        <v>0</v>
      </c>
      <c r="GG102" s="26">
        <f>IF(GG$2=InputTable[[#This Row],[Delivery Date]],_xlfn.XLOOKUP(GG$1,$BH$2:$BR$2,$BH102:$BR102,0),0)</f>
        <v>0</v>
      </c>
      <c r="GH102" s="26">
        <f>IF(GH$2=InputTable[[#This Row],[Delivery Date]],_xlfn.XLOOKUP(GH$1,$BH$2:$BR$2,$BH102:$BR102,0),0)</f>
        <v>0</v>
      </c>
      <c r="GI102" s="26">
        <f>IF(GI$2=InputTable[[#This Row],[Delivery Date]],_xlfn.XLOOKUP(GI$1,$BH$2:$BR$2,$BH102:$BR102,0),0)</f>
        <v>0</v>
      </c>
      <c r="GJ102" s="26">
        <f>IF(GJ$2=InputTable[[#This Row],[Delivery Date]],_xlfn.XLOOKUP(GJ$1,$BH$2:$BR$2,$BH102:$BR102,0),0)</f>
        <v>0</v>
      </c>
      <c r="GL102" s="26" t="e">
        <f>IF(GL$2=InputTable[[#This Row],[Delivery Date]],_xlfn.XLOOKUP(GL$1,$BH$2:$BR$2,$BH102:$BR102,0),0)</f>
        <v>#REF!</v>
      </c>
      <c r="GM102" s="26">
        <f>IF(GM$2=InputTable[[#This Row],[Delivery Date]],_xlfn.XLOOKUP(GM$1,$BH$2:$BR$2,$BH102:$BR102,0),0)</f>
        <v>0</v>
      </c>
      <c r="GN102" s="26">
        <f>IF(GN$2=InputTable[[#This Row],[Delivery Date]],_xlfn.XLOOKUP(GN$1,$BH$2:$BR$2,$BH102:$BR102,0),0)</f>
        <v>0</v>
      </c>
      <c r="GO102" s="26">
        <f>IF(GO$2=InputTable[[#This Row],[Delivery Date]],_xlfn.XLOOKUP(GO$1,$BH$2:$BR$2,$BH102:$BR102,0),0)</f>
        <v>0</v>
      </c>
      <c r="GP102" s="26">
        <f>IF(GP$2=InputTable[[#This Row],[Delivery Date]],_xlfn.XLOOKUP(GP$1,$BH$2:$BR$2,$BH102:$BR102,0),0)</f>
        <v>0</v>
      </c>
      <c r="GQ102" s="26">
        <f>IF(GQ$2=InputTable[[#This Row],[Delivery Date]],_xlfn.XLOOKUP(GQ$1,$BH$2:$BR$2,$BH102:$BR102,0),0)</f>
        <v>0</v>
      </c>
      <c r="GR102" s="26">
        <f>IF(GR$2=InputTable[[#This Row],[Delivery Date]],_xlfn.XLOOKUP(GR$1,$BH$2:$BR$2,$BH102:$BR102,0),0)</f>
        <v>0</v>
      </c>
      <c r="GS102" s="26">
        <f>IF(GS$2=InputTable[[#This Row],[Delivery Date]],_xlfn.XLOOKUP(GS$1,$BH$2:$BR$2,$BH102:$BR102,0),0)</f>
        <v>0</v>
      </c>
      <c r="GT102" s="26">
        <f>IF(GT$2=InputTable[[#This Row],[Delivery Date]],_xlfn.XLOOKUP(GT$1,$BH$2:$BR$2,$BH102:$BR102,0),0)</f>
        <v>0</v>
      </c>
      <c r="GV102" s="26" t="e">
        <f>IF(GV$2=InputTable[[#This Row],[Delivery Date]],_xlfn.XLOOKUP(GV$1,$BH$2:$BR$2,$BH102:$BR102,0),0)</f>
        <v>#REF!</v>
      </c>
      <c r="GW102" s="26">
        <f>IF(GW$2=InputTable[[#This Row],[Delivery Date]],_xlfn.XLOOKUP(GW$1,$BH$2:$BR$2,$BH102:$BR102,0),0)</f>
        <v>0</v>
      </c>
      <c r="GX102" s="26">
        <f>IF(GX$2=InputTable[[#This Row],[Delivery Date]],_xlfn.XLOOKUP(GX$1,$BH$2:$BR$2,$BH102:$BR102,0),0)</f>
        <v>0</v>
      </c>
      <c r="GY102" s="26">
        <f>IF(GY$2=InputTable[[#This Row],[Delivery Date]],_xlfn.XLOOKUP(GY$1,$BH$2:$BR$2,$BH102:$BR102,0),0)</f>
        <v>0</v>
      </c>
      <c r="GZ102" s="26">
        <f>IF(GZ$2=InputTable[[#This Row],[Delivery Date]],_xlfn.XLOOKUP(GZ$1,$BH$2:$BR$2,$BH102:$BR102,0),0)</f>
        <v>0</v>
      </c>
      <c r="HA102" s="26">
        <f>IF(HA$2=InputTable[[#This Row],[Delivery Date]],_xlfn.XLOOKUP(HA$1,$BH$2:$BR$2,$BH102:$BR102,0),0)</f>
        <v>0</v>
      </c>
      <c r="HB102" s="26">
        <f>IF(HB$2=InputTable[[#This Row],[Delivery Date]],_xlfn.XLOOKUP(HB$1,$BH$2:$BR$2,$BH102:$BR102,0),0)</f>
        <v>0</v>
      </c>
      <c r="HC102" s="26">
        <f>IF(HC$2=InputTable[[#This Row],[Delivery Date]],_xlfn.XLOOKUP(HC$1,$BH$2:$BR$2,$BH102:$BR102,0),0)</f>
        <v>0</v>
      </c>
      <c r="HD102" s="26">
        <f>IF(HD$2=InputTable[[#This Row],[Delivery Date]],_xlfn.XLOOKUP(HD$1,$BH$2:$BR$2,$BH102:$BR102,0),0)</f>
        <v>0</v>
      </c>
      <c r="HF102" s="26" t="e">
        <f>IF(HF$2=InputTable[[#This Row],[Delivery Date]],_xlfn.XLOOKUP(HF$1,$BH$2:$BR$2,$BH102:$BR102,0),0)</f>
        <v>#REF!</v>
      </c>
      <c r="HG102" s="26">
        <f>IF(HG$2=InputTable[[#This Row],[Delivery Date]],_xlfn.XLOOKUP(HG$1,$BH$2:$BR$2,$BH102:$BR102,0),0)</f>
        <v>0</v>
      </c>
      <c r="HH102" s="26">
        <f>IF(HH$2=InputTable[[#This Row],[Delivery Date]],_xlfn.XLOOKUP(HH$1,$BH$2:$BR$2,$BH102:$BR102,0),0)</f>
        <v>0</v>
      </c>
      <c r="HI102" s="26">
        <f>IF(HI$2=InputTable[[#This Row],[Delivery Date]],_xlfn.XLOOKUP(HI$1,$BH$2:$BR$2,$BH102:$BR102,0),0)</f>
        <v>0</v>
      </c>
      <c r="HJ102" s="26">
        <f>IF(HJ$2=InputTable[[#This Row],[Delivery Date]],_xlfn.XLOOKUP(HJ$1,$BH$2:$BR$2,$BH102:$BR102,0),0)</f>
        <v>0</v>
      </c>
      <c r="HK102" s="26">
        <f>IF(HK$2=InputTable[[#This Row],[Delivery Date]],_xlfn.XLOOKUP(HK$1,$BH$2:$BR$2,$BH102:$BR102,0),0)</f>
        <v>0</v>
      </c>
      <c r="HL102" s="26">
        <f>IF(HL$2=InputTable[[#This Row],[Delivery Date]],_xlfn.XLOOKUP(HL$1,$BH$2:$BR$2,$BH102:$BR102,0),0)</f>
        <v>0</v>
      </c>
      <c r="HM102" s="26">
        <f>IF(HM$2=InputTable[[#This Row],[Delivery Date]],_xlfn.XLOOKUP(HM$1,$BH$2:$BR$2,$BH102:$BR102,0),0)</f>
        <v>0</v>
      </c>
      <c r="HN102" s="26">
        <f>IF(HN$2=InputTable[[#This Row],[Delivery Date]],_xlfn.XLOOKUP(HN$1,$BH$2:$BR$2,$BH102:$BR102,0),0)</f>
        <v>0</v>
      </c>
      <c r="HP102" s="26" t="e">
        <f>IF(HP$2=InputTable[[#This Row],[Delivery Date]],_xlfn.XLOOKUP(HP$1,$BH$2:$BR$2,$BH102:$BR102,0),0)</f>
        <v>#REF!</v>
      </c>
      <c r="HQ102" s="26">
        <f>IF(HQ$2=InputTable[[#This Row],[Delivery Date]],_xlfn.XLOOKUP(HQ$1,$BH$2:$BR$2,$BH102:$BR102,0),0)</f>
        <v>0</v>
      </c>
      <c r="HR102" s="26">
        <f>IF(HR$2=InputTable[[#This Row],[Delivery Date]],_xlfn.XLOOKUP(HR$1,$BH$2:$BR$2,$BH102:$BR102,0),0)</f>
        <v>0</v>
      </c>
      <c r="HS102" s="26">
        <f>IF(HS$2=InputTable[[#This Row],[Delivery Date]],_xlfn.XLOOKUP(HS$1,$BH$2:$BR$2,$BH102:$BR102,0),0)</f>
        <v>0</v>
      </c>
      <c r="HT102" s="26">
        <f>IF(HT$2=InputTable[[#This Row],[Delivery Date]],_xlfn.XLOOKUP(HT$1,$BH$2:$BR$2,$BH102:$BR102,0),0)</f>
        <v>0</v>
      </c>
      <c r="HU102" s="26">
        <f>IF(HU$2=InputTable[[#This Row],[Delivery Date]],_xlfn.XLOOKUP(HU$1,$BH$2:$BR$2,$BH102:$BR102,0),0)</f>
        <v>0</v>
      </c>
      <c r="HV102" s="26">
        <f>IF(HV$2=InputTable[[#This Row],[Delivery Date]],_xlfn.XLOOKUP(HV$1,$BH$2:$BR$2,$BH102:$BR102,0),0)</f>
        <v>0</v>
      </c>
      <c r="HW102" s="26">
        <f>IF(HW$2=InputTable[[#This Row],[Delivery Date]],_xlfn.XLOOKUP(HW$1,$BH$2:$BR$2,$BH102:$BR102,0),0)</f>
        <v>0</v>
      </c>
      <c r="HX102" s="26">
        <f>IF(HX$2=InputTable[[#This Row],[Delivery Date]],_xlfn.XLOOKUP(HX$1,$BH$2:$BR$2,$BH102:$BR102,0),0)</f>
        <v>0</v>
      </c>
      <c r="HZ102" s="26" t="e">
        <f>IF(HZ$2=InputTable[[#This Row],[Delivery Date]],_xlfn.XLOOKUP(HZ$1,$BH$2:$BR$2,$BH102:$BR102,0),0)</f>
        <v>#REF!</v>
      </c>
      <c r="IA102" s="26">
        <f>IF(IA$2=InputTable[[#This Row],[Delivery Date]],_xlfn.XLOOKUP(IA$1,$BH$2:$BR$2,$BH102:$BR102,0),0)</f>
        <v>0</v>
      </c>
      <c r="IB102" s="26">
        <f>IF(IB$2=InputTable[[#This Row],[Delivery Date]],_xlfn.XLOOKUP(IB$1,$BH$2:$BR$2,$BH102:$BR102,0),0)</f>
        <v>0</v>
      </c>
      <c r="IC102" s="26">
        <f>IF(IC$2=InputTable[[#This Row],[Delivery Date]],_xlfn.XLOOKUP(IC$1,$BH$2:$BR$2,$BH102:$BR102,0),0)</f>
        <v>0</v>
      </c>
      <c r="ID102" s="26">
        <f>IF(ID$2=InputTable[[#This Row],[Delivery Date]],_xlfn.XLOOKUP(ID$1,$BH$2:$BR$2,$BH102:$BR102,0),0)</f>
        <v>0</v>
      </c>
      <c r="IE102" s="26">
        <f>IF(IE$2=InputTable[[#This Row],[Delivery Date]],_xlfn.XLOOKUP(IE$1,$BH$2:$BR$2,$BH102:$BR102,0),0)</f>
        <v>0</v>
      </c>
      <c r="IF102" s="26">
        <f>IF(IF$2=InputTable[[#This Row],[Delivery Date]],_xlfn.XLOOKUP(IF$1,$BH$2:$BR$2,$BH102:$BR102,0),0)</f>
        <v>0</v>
      </c>
      <c r="IG102" s="26">
        <f>IF(IG$2=InputTable[[#This Row],[Delivery Date]],_xlfn.XLOOKUP(IG$1,$BH$2:$BR$2,$BH102:$BR102,0),0)</f>
        <v>0</v>
      </c>
      <c r="IH102" s="26">
        <f>IF(IH$2=InputTable[[#This Row],[Delivery Date]],_xlfn.XLOOKUP(IH$1,$BH$2:$BR$2,$BH102:$BR102,0),0)</f>
        <v>0</v>
      </c>
      <c r="IJ102" s="26" t="e">
        <f>IF(IJ$2=InputTable[[#This Row],[Delivery Date]],_xlfn.XLOOKUP(IJ$1,$BH$2:$BR$2,$BH102:$BR102,0),0)</f>
        <v>#REF!</v>
      </c>
      <c r="IK102" s="26">
        <f>IF(IK$2=InputTable[[#This Row],[Delivery Date]],_xlfn.XLOOKUP(IK$1,$BH$2:$BR$2,$BH102:$BR102,0),0)</f>
        <v>0</v>
      </c>
      <c r="IL102" s="26">
        <f>IF(IL$2=InputTable[[#This Row],[Delivery Date]],_xlfn.XLOOKUP(IL$1,$BH$2:$BR$2,$BH102:$BR102,0),0)</f>
        <v>0</v>
      </c>
      <c r="IM102" s="26">
        <f>IF(IM$2=InputTable[[#This Row],[Delivery Date]],_xlfn.XLOOKUP(IM$1,$BH$2:$BR$2,$BH102:$BR102,0),0)</f>
        <v>0</v>
      </c>
      <c r="IN102" s="26">
        <f>IF(IN$2=InputTable[[#This Row],[Delivery Date]],_xlfn.XLOOKUP(IN$1,$BH$2:$BR$2,$BH102:$BR102,0),0)</f>
        <v>0</v>
      </c>
      <c r="IO102" s="26">
        <f>IF(IO$2=InputTable[[#This Row],[Delivery Date]],_xlfn.XLOOKUP(IO$1,$BH$2:$BR$2,$BH102:$BR102,0),0)</f>
        <v>0</v>
      </c>
      <c r="IP102" s="26">
        <f>IF(IP$2=InputTable[[#This Row],[Delivery Date]],_xlfn.XLOOKUP(IP$1,$BH$2:$BR$2,$BH102:$BR102,0),0)</f>
        <v>0</v>
      </c>
      <c r="IQ102" s="26">
        <f>IF(IQ$2=InputTable[[#This Row],[Delivery Date]],_xlfn.XLOOKUP(IQ$1,$BH$2:$BR$2,$BH102:$BR102,0),0)</f>
        <v>0</v>
      </c>
      <c r="IR102" s="26">
        <f>IF(IR$2=InputTable[[#This Row],[Delivery Date]],_xlfn.XLOOKUP(IR$1,$BH$2:$BR$2,$BH102:$BR102,0),0)</f>
        <v>0</v>
      </c>
      <c r="IT102" s="26" t="e">
        <f>IF(IT$2=InputTable[[#This Row],[Delivery Date]],_xlfn.XLOOKUP(IT$1,$BH$2:$BR$2,$BH102:$BR102,0),0)</f>
        <v>#REF!</v>
      </c>
      <c r="IU102" s="26">
        <f>IF(IU$2=InputTable[[#This Row],[Delivery Date]],_xlfn.XLOOKUP(IU$1,$BH$2:$BR$2,$BH102:$BR102,0),0)</f>
        <v>0</v>
      </c>
      <c r="IV102" s="26">
        <f>IF(IV$2=InputTable[[#This Row],[Delivery Date]],_xlfn.XLOOKUP(IV$1,$BH$2:$BR$2,$BH102:$BR102,0),0)</f>
        <v>0</v>
      </c>
      <c r="IW102" s="26">
        <f>IF(IW$2=InputTable[[#This Row],[Delivery Date]],_xlfn.XLOOKUP(IW$1,$BH$2:$BR$2,$BH102:$BR102,0),0)</f>
        <v>0</v>
      </c>
      <c r="IX102" s="26">
        <f>IF(IX$2=InputTable[[#This Row],[Delivery Date]],_xlfn.XLOOKUP(IX$1,$BH$2:$BR$2,$BH102:$BR102,0),0)</f>
        <v>0</v>
      </c>
      <c r="IY102" s="26">
        <f>IF(IY$2=InputTable[[#This Row],[Delivery Date]],_xlfn.XLOOKUP(IY$1,$BH$2:$BR$2,$BH102:$BR102,0),0)</f>
        <v>0</v>
      </c>
      <c r="IZ102" s="26">
        <f>IF(IZ$2=InputTable[[#This Row],[Delivery Date]],_xlfn.XLOOKUP(IZ$1,$BH$2:$BR$2,$BH102:$BR102,0),0)</f>
        <v>0</v>
      </c>
      <c r="JA102" s="26">
        <f>IF(JA$2=InputTable[[#This Row],[Delivery Date]],_xlfn.XLOOKUP(JA$1,$BH$2:$BR$2,$BH102:$BR102,0),0)</f>
        <v>0</v>
      </c>
      <c r="JB102" s="26">
        <f>IF(JB$2=InputTable[[#This Row],[Delivery Date]],_xlfn.XLOOKUP(JB$1,$BH$2:$BR$2,$BH102:$BR102,0),0)</f>
        <v>0</v>
      </c>
      <c r="JD102" s="26" t="e">
        <f>IF(JD$2=InputTable[[#This Row],[Delivery Date]],_xlfn.XLOOKUP(JD$1,$BH$2:$BR$2,$BH102:$BR102,0),0)</f>
        <v>#REF!</v>
      </c>
      <c r="JE102" s="26">
        <f>IF(JE$2=InputTable[[#This Row],[Delivery Date]],_xlfn.XLOOKUP(JE$1,$BH$2:$BR$2,$BH102:$BR102,0),0)</f>
        <v>0</v>
      </c>
      <c r="JF102" s="26">
        <f>IF(JF$2=InputTable[[#This Row],[Delivery Date]],_xlfn.XLOOKUP(JF$1,$BH$2:$BR$2,$BH102:$BR102,0),0)</f>
        <v>0</v>
      </c>
      <c r="JG102" s="26">
        <f>IF(JG$2=InputTable[[#This Row],[Delivery Date]],_xlfn.XLOOKUP(JG$1,$BH$2:$BR$2,$BH102:$BR102,0),0)</f>
        <v>0</v>
      </c>
      <c r="JH102" s="26">
        <f>IF(JH$2=InputTable[[#This Row],[Delivery Date]],_xlfn.XLOOKUP(JH$1,$BH$2:$BR$2,$BH102:$BR102,0),0)</f>
        <v>0</v>
      </c>
      <c r="JI102" s="26">
        <f>IF(JI$2=InputTable[[#This Row],[Delivery Date]],_xlfn.XLOOKUP(JI$1,$BH$2:$BR$2,$BH102:$BR102,0),0)</f>
        <v>0</v>
      </c>
      <c r="JJ102" s="26">
        <f>IF(JJ$2=InputTable[[#This Row],[Delivery Date]],_xlfn.XLOOKUP(JJ$1,$BH$2:$BR$2,$BH102:$BR102,0),0)</f>
        <v>0</v>
      </c>
      <c r="JK102" s="26">
        <f>IF(JK$2=InputTable[[#This Row],[Delivery Date]],_xlfn.XLOOKUP(JK$1,$BH$2:$BR$2,$BH102:$BR102,0),0)</f>
        <v>0</v>
      </c>
      <c r="JL102" s="26">
        <f>IF(JL$2=InputTable[[#This Row],[Delivery Date]],_xlfn.XLOOKUP(JL$1,$BH$2:$BR$2,$BH102:$BR102,0),0)</f>
        <v>0</v>
      </c>
      <c r="JN102" s="26" t="e">
        <f>IF(JN$2=InputTable[[#This Row],[Delivery Date]],_xlfn.XLOOKUP(JN$1,$BH$2:$BR$2,$BH102:$BR102,0),0)</f>
        <v>#REF!</v>
      </c>
      <c r="JO102" s="26">
        <f>IF(JO$2=InputTable[[#This Row],[Delivery Date]],_xlfn.XLOOKUP(JO$1,$BH$2:$BR$2,$BH102:$BR102,0),0)</f>
        <v>0</v>
      </c>
      <c r="JP102" s="26">
        <f>IF(JP$2=InputTable[[#This Row],[Delivery Date]],_xlfn.XLOOKUP(JP$1,$BH$2:$BR$2,$BH102:$BR102,0),0)</f>
        <v>0</v>
      </c>
      <c r="JQ102" s="26">
        <f>IF(JQ$2=InputTable[[#This Row],[Delivery Date]],_xlfn.XLOOKUP(JQ$1,$BH$2:$BR$2,$BH102:$BR102,0),0)</f>
        <v>0</v>
      </c>
      <c r="JR102" s="26">
        <f>IF(JR$2=InputTable[[#This Row],[Delivery Date]],_xlfn.XLOOKUP(JR$1,$BH$2:$BR$2,$BH102:$BR102,0),0)</f>
        <v>0</v>
      </c>
      <c r="JS102" s="26">
        <f>IF(JS$2=InputTable[[#This Row],[Delivery Date]],_xlfn.XLOOKUP(JS$1,$BH$2:$BR$2,$BH102:$BR102,0),0)</f>
        <v>0</v>
      </c>
      <c r="JT102" s="26">
        <f>IF(JT$2=InputTable[[#This Row],[Delivery Date]],_xlfn.XLOOKUP(JT$1,$BH$2:$BR$2,$BH102:$BR102,0),0)</f>
        <v>0</v>
      </c>
      <c r="JU102" s="26">
        <f>IF(JU$2=InputTable[[#This Row],[Delivery Date]],_xlfn.XLOOKUP(JU$1,$BH$2:$BR$2,$BH102:$BR102,0),0)</f>
        <v>0</v>
      </c>
      <c r="JV102" s="26">
        <f>IF(JV$2=InputTable[[#This Row],[Delivery Date]],_xlfn.XLOOKUP(JV$1,$BH$2:$BR$2,$BH102:$BR102,0),0)</f>
        <v>0</v>
      </c>
      <c r="JX102" s="26" t="e">
        <f>IF(JX$2=InputTable[[#This Row],[Delivery Date]],_xlfn.XLOOKUP(JX$1,$BH$2:$BR$2,$BH102:$BR102,0),0)</f>
        <v>#REF!</v>
      </c>
      <c r="JY102" s="26">
        <f>IF(JY$2=InputTable[[#This Row],[Delivery Date]],_xlfn.XLOOKUP(JY$1,$BH$2:$BR$2,$BH102:$BR102,0),0)</f>
        <v>0</v>
      </c>
      <c r="JZ102" s="26">
        <f>IF(JZ$2=InputTable[[#This Row],[Delivery Date]],_xlfn.XLOOKUP(JZ$1,$BH$2:$BR$2,$BH102:$BR102,0),0)</f>
        <v>0</v>
      </c>
      <c r="KA102" s="26">
        <f>IF(KA$2=InputTable[[#This Row],[Delivery Date]],_xlfn.XLOOKUP(KA$1,$BH$2:$BR$2,$BH102:$BR102,0),0)</f>
        <v>0</v>
      </c>
      <c r="KB102" s="26">
        <f>IF(KB$2=InputTable[[#This Row],[Delivery Date]],_xlfn.XLOOKUP(KB$1,$BH$2:$BR$2,$BH102:$BR102,0),0)</f>
        <v>0</v>
      </c>
      <c r="KC102" s="26">
        <f>IF(KC$2=InputTable[[#This Row],[Delivery Date]],_xlfn.XLOOKUP(KC$1,$BH$2:$BR$2,$BH102:$BR102,0),0)</f>
        <v>0</v>
      </c>
      <c r="KD102" s="26">
        <f>IF(KD$2=InputTable[[#This Row],[Delivery Date]],_xlfn.XLOOKUP(KD$1,$BH$2:$BR$2,$BH102:$BR102,0),0)</f>
        <v>0</v>
      </c>
      <c r="KE102" s="26">
        <f>IF(KE$2=InputTable[[#This Row],[Delivery Date]],_xlfn.XLOOKUP(KE$1,$BH$2:$BR$2,$BH102:$BR102,0),0)</f>
        <v>0</v>
      </c>
      <c r="KF102" s="26">
        <f>IF(KF$2=InputTable[[#This Row],[Delivery Date]],_xlfn.XLOOKUP(KF$1,$BH$2:$BR$2,$BH102:$BR102,0),0)</f>
        <v>0</v>
      </c>
    </row>
    <row r="103" spans="1:292" ht="39.6" hidden="1" customHeight="1" x14ac:dyDescent="0.25">
      <c r="A103" s="141" t="s">
        <v>142</v>
      </c>
      <c r="B103" s="141" t="s">
        <v>156</v>
      </c>
      <c r="C103" s="92" t="s">
        <v>57</v>
      </c>
      <c r="D103" s="125" t="s">
        <v>411</v>
      </c>
      <c r="E103" s="193" t="s">
        <v>412</v>
      </c>
      <c r="F103" s="92" t="s">
        <v>96</v>
      </c>
      <c r="G103" s="92" t="s">
        <v>97</v>
      </c>
      <c r="H103" s="92"/>
      <c r="I103" s="92" t="s">
        <v>160</v>
      </c>
      <c r="J103" s="125" t="s">
        <v>413</v>
      </c>
      <c r="K103" s="95" t="e">
        <f>VLOOKUP((InputTable[[#This Row],[Starting Date]]&amp; " - " &amp;InputTable[[#This Row],[Delivery Date]]),'System List'!$F$40:$H$83,2,FALSE)</f>
        <v>#N/A</v>
      </c>
      <c r="L103" s="95" t="e">
        <f>VLOOKUP(InputTable[[#This Row],[Duration]],Duration,2,FALSE)</f>
        <v>#N/A</v>
      </c>
      <c r="M103" s="122"/>
      <c r="N103" s="92"/>
      <c r="O103" s="92"/>
      <c r="P103" s="92"/>
      <c r="Q103" s="92" t="s">
        <v>111</v>
      </c>
      <c r="R103" s="92"/>
      <c r="S103" s="92"/>
      <c r="T103" s="95" cm="1">
        <f t="array" ref="T103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03" s="138"/>
      <c r="V103" s="92"/>
      <c r="W103" s="92"/>
      <c r="X103" s="92"/>
      <c r="Y103" s="92"/>
      <c r="Z103" s="92"/>
      <c r="AA103" s="92"/>
      <c r="AB103" s="92"/>
      <c r="AC103" s="92"/>
      <c r="AD103" s="92">
        <f>COUNTA(InputTable[[#This Row],[CORPHRFIN]:[SALES]])</f>
        <v>0</v>
      </c>
      <c r="AE103" s="88" cm="1">
        <f t="array" ref="AE103">SUM(
_xlfn.XLOOKUP(InputTable[[#This Row],[CORPHRFIN]:[SALES]],'System List'!$F$4:$F$7,'System List'!$H$4:$H$7,0))</f>
        <v>0</v>
      </c>
      <c r="AF103" s="140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88" cm="1">
        <f t="array" ref="AR103">SUM(
_xlfn.XLOOKUP(InputTable[[#This Row],[Impact on - CIAL]:[Impact on - STRAT]],'System List'!$F$4:$F$7,'System List'!$H$4:$H$7,0))</f>
        <v>0</v>
      </c>
      <c r="AS103" s="88" t="e">
        <f>VLOOKUP(InputTable[[#This Row],[Duration]],Duration,2,FALSE)+InputTable[[#This Row],[Resource Score]]</f>
        <v>#N/A</v>
      </c>
      <c r="AT10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3" s="24" t="e">
        <f>InputTable[[#This Row],[Value Score]]/InputTable[[#This Row],[EFFORT SCORE]]*100</f>
        <v>#N/A</v>
      </c>
      <c r="AV103" s="25" t="str">
        <f>InputTable[[#This Row],[IS Portfolio Ref ID]]</f>
        <v>ISPRJ-72</v>
      </c>
      <c r="AW103" s="25" t="s">
        <v>262</v>
      </c>
      <c r="AX103" s="208"/>
      <c r="AY103" s="25" t="s">
        <v>376</v>
      </c>
      <c r="AZ103" s="209">
        <v>0</v>
      </c>
      <c r="BA103" s="209">
        <v>0</v>
      </c>
      <c r="BB103" s="209"/>
      <c r="BC103" s="189">
        <f>SUM(InputTable[[#This Row],[Opex IS Budget (full project)]]+InputTable[[#This Row],[Capex IS Budget (full project)]])</f>
        <v>0</v>
      </c>
      <c r="BD103" s="188">
        <v>1</v>
      </c>
      <c r="BE103" s="188">
        <v>1</v>
      </c>
      <c r="BF103" s="70"/>
      <c r="BH103" s="2">
        <f>IFERROR(VLOOKUP(InputTable[[#This Row],[Impact on - CIAL]],'System List'!$F$4:$H$7,3,FALSE),0)</f>
        <v>0</v>
      </c>
      <c r="BI103" s="2">
        <f>IFERROR(VLOOKUP(InputTable[[#This Row],[Impact on - COM]],'System List'!$F$4:$H$7,3,FALSE),0)</f>
        <v>0</v>
      </c>
      <c r="BJ103" s="2">
        <f>IFERROR(VLOOKUP(InputTable[[#This Row],[Impact on - FIN]],'System List'!$F$4:$H$7,3,FALSE),0)</f>
        <v>0</v>
      </c>
      <c r="BK103" s="2">
        <f>IFERROR(VLOOKUP(InputTable[[#This Row],[Impact on - GEN SEC]],'System List'!$F$4:$H$7,3,FALSE),0)</f>
        <v>0</v>
      </c>
      <c r="BL103" s="2">
        <f>IFERROR(VLOOKUP(InputTable[[#This Row],[Impact on - HR]],'System List'!$F$4:$H$7,3,FALSE),0)</f>
        <v>0</v>
      </c>
      <c r="BM103" s="2">
        <f>IFERROR(VLOOKUP(InputTable[[#This Row],[Impact on - IS]],'System List'!$F$4:$H$7,3,FALSE),0)</f>
        <v>0</v>
      </c>
      <c r="BN103" s="2">
        <f>IFERROR(VLOOKUP(InputTable[[#This Row],[Impact on - OPS]],'System List'!$F$4:$H$7,3,FALSE),0)</f>
        <v>0</v>
      </c>
      <c r="BO103" s="2">
        <f>IFERROR(VLOOKUP(InputTable[[#This Row],[Impact on - ROLL STOCK]],'System List'!$F$4:$H$7,3,FALSE),0)</f>
        <v>0</v>
      </c>
      <c r="BP103" s="2">
        <f>IFERROR(VLOOKUP(InputTable[[#This Row],[Impact on - SAFETY]],'System List'!$F$4:$H$7,3,FALSE),0)</f>
        <v>0</v>
      </c>
      <c r="BQ103" s="2">
        <f>IFERROR(VLOOKUP(InputTable[[#This Row],[Impact on - STATION]],'System List'!$F$4:$H$7,3,FALSE),0)</f>
        <v>0</v>
      </c>
      <c r="BR103" s="2">
        <f>IFERROR(VLOOKUP(InputTable[[#This Row],[Impact on - STRAT]],'System List'!$F$4:$H$7,3,FALSE),0)</f>
        <v>0</v>
      </c>
      <c r="BT103" s="2">
        <f>IFERROR(VLOOKUP(InputTable[[#This Row],[CORPHRFIN]],'System List'!$F$4:$H$7,3,FALSE),0)</f>
        <v>0</v>
      </c>
      <c r="BU103" s="2">
        <f>IFERROR(VLOOKUP(InputTable[[#This Row],[CUST]],'System List'!$F$4:$H$7,3,FALSE),0)</f>
        <v>0</v>
      </c>
      <c r="BV103" s="2">
        <f>IFERROR(VLOOKUP(InputTable[[#This Row],[CYBER]],'System List'!$F$4:$H$7,3,FALSE),0)</f>
        <v>0</v>
      </c>
      <c r="BW103" s="2">
        <f>IFERROR(VLOOKUP(InputTable[[#This Row],[DATA]],'System List'!$F$4:$H$7,3,FALSE),0)</f>
        <v>0</v>
      </c>
      <c r="BX103" s="2">
        <f>IFERROR(VLOOKUP(InputTable[[#This Row],[INFRA]],'System List'!$F$4:$H$7,3,FALSE),0)</f>
        <v>0</v>
      </c>
      <c r="BY103" s="2">
        <f>IFERROR(VLOOKUP(InputTable[[#This Row],[OPERATIONS]],'System List'!$F$4:$H$7,3,FALSE),0)</f>
        <v>0</v>
      </c>
      <c r="BZ103" s="2">
        <f>IFERROR(VLOOKUP(InputTable[[#This Row],[PMO]],'System List'!$F$4:$H$7,3,FALSE),0)</f>
        <v>0</v>
      </c>
      <c r="CA103" s="2">
        <f>IFERROR(VLOOKUP(InputTable[[#This Row],[SALES]],'System List'!$F$4:$H$7,3,FALSE),0)</f>
        <v>0</v>
      </c>
      <c r="CC103" s="2" cm="1">
        <f t="array" ref="CC10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3" s="2" cm="1">
        <f t="array" ref="CD10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3" s="2" cm="1">
        <f t="array" ref="CE10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3" s="2" cm="1">
        <f t="array" ref="CF10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3" s="2" cm="1">
        <f t="array" ref="CG10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3" s="2" cm="1">
        <f t="array" ref="CH10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3" s="2" cm="1">
        <f t="array" ref="CI10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3" s="2" cm="1">
        <f t="array" ref="CJ10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3" s="2" cm="1">
        <f t="array" ref="CK10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0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0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3" s="26">
        <f t="shared" si="224"/>
        <v>0</v>
      </c>
      <c r="CY103" s="26">
        <f t="shared" si="225"/>
        <v>0</v>
      </c>
      <c r="CZ103" s="26">
        <f t="shared" si="226"/>
        <v>0</v>
      </c>
      <c r="DA103" s="26">
        <f t="shared" si="227"/>
        <v>0</v>
      </c>
      <c r="DB103" s="26">
        <f t="shared" si="228"/>
        <v>0</v>
      </c>
      <c r="DC103" s="26">
        <f t="shared" si="229"/>
        <v>0</v>
      </c>
      <c r="DD103" s="26">
        <f t="shared" si="230"/>
        <v>0</v>
      </c>
      <c r="DE103" s="26">
        <f t="shared" si="231"/>
        <v>0</v>
      </c>
      <c r="DF103" s="26">
        <f t="shared" si="232"/>
        <v>0</v>
      </c>
      <c r="DH103" s="26">
        <f t="shared" si="233"/>
        <v>0</v>
      </c>
      <c r="DI103" s="26">
        <f t="shared" si="234"/>
        <v>0</v>
      </c>
      <c r="DJ103" s="26">
        <f t="shared" si="235"/>
        <v>0</v>
      </c>
      <c r="DK103" s="26">
        <f t="shared" si="236"/>
        <v>0</v>
      </c>
      <c r="DL103" s="26">
        <f t="shared" si="237"/>
        <v>0</v>
      </c>
      <c r="DM103" s="26">
        <f t="shared" si="238"/>
        <v>0</v>
      </c>
      <c r="DN103" s="26">
        <f t="shared" si="239"/>
        <v>0</v>
      </c>
      <c r="DO103" s="26">
        <f t="shared" si="240"/>
        <v>0</v>
      </c>
      <c r="DP103" s="26">
        <f t="shared" si="241"/>
        <v>0</v>
      </c>
      <c r="DR103" s="26">
        <f t="shared" si="242"/>
        <v>0</v>
      </c>
      <c r="DS103" s="26">
        <f t="shared" si="243"/>
        <v>0</v>
      </c>
      <c r="DT103" s="26">
        <f t="shared" si="244"/>
        <v>0</v>
      </c>
      <c r="DU103" s="26">
        <f t="shared" si="245"/>
        <v>0</v>
      </c>
      <c r="DV103" s="26">
        <f t="shared" si="246"/>
        <v>0</v>
      </c>
      <c r="DW103" s="26">
        <f t="shared" si="247"/>
        <v>0</v>
      </c>
      <c r="DX103" s="26">
        <f t="shared" si="248"/>
        <v>0</v>
      </c>
      <c r="DY103" s="26">
        <f t="shared" si="249"/>
        <v>0</v>
      </c>
      <c r="DZ103" s="26">
        <f t="shared" si="250"/>
        <v>0</v>
      </c>
      <c r="EB103" s="26">
        <f t="shared" si="251"/>
        <v>0</v>
      </c>
      <c r="EC103" s="26">
        <f t="shared" si="252"/>
        <v>0</v>
      </c>
      <c r="ED103" s="26">
        <f t="shared" si="253"/>
        <v>0</v>
      </c>
      <c r="EE103" s="26">
        <f t="shared" si="254"/>
        <v>0</v>
      </c>
      <c r="EF103" s="26">
        <f t="shared" si="255"/>
        <v>0</v>
      </c>
      <c r="EG103" s="26">
        <f t="shared" si="256"/>
        <v>0</v>
      </c>
      <c r="EH103" s="26">
        <f t="shared" si="257"/>
        <v>0</v>
      </c>
      <c r="EI103" s="26">
        <f t="shared" si="258"/>
        <v>0</v>
      </c>
      <c r="EJ103" s="26">
        <f t="shared" si="259"/>
        <v>0</v>
      </c>
      <c r="EL103" s="26">
        <f t="shared" si="260"/>
        <v>0</v>
      </c>
      <c r="EM103" s="26">
        <f t="shared" si="261"/>
        <v>0</v>
      </c>
      <c r="EN103" s="26">
        <f t="shared" si="262"/>
        <v>0</v>
      </c>
      <c r="EO103" s="26">
        <f t="shared" si="263"/>
        <v>0</v>
      </c>
      <c r="EP103" s="26">
        <f t="shared" si="264"/>
        <v>0</v>
      </c>
      <c r="EQ103" s="26">
        <f t="shared" si="265"/>
        <v>0</v>
      </c>
      <c r="ER103" s="26">
        <f t="shared" si="266"/>
        <v>0</v>
      </c>
      <c r="ES103" s="26">
        <f t="shared" si="267"/>
        <v>0</v>
      </c>
      <c r="ET103" s="26">
        <f t="shared" si="268"/>
        <v>0</v>
      </c>
      <c r="EV103" s="26">
        <f t="shared" si="269"/>
        <v>0</v>
      </c>
      <c r="EW103" s="26">
        <f t="shared" si="270"/>
        <v>0</v>
      </c>
      <c r="EX103" s="26">
        <f t="shared" si="271"/>
        <v>0</v>
      </c>
      <c r="EY103" s="26">
        <f t="shared" si="272"/>
        <v>0</v>
      </c>
      <c r="EZ103" s="26">
        <f t="shared" si="273"/>
        <v>0</v>
      </c>
      <c r="FA103" s="26">
        <f t="shared" si="274"/>
        <v>0</v>
      </c>
      <c r="FB103" s="26">
        <f t="shared" si="275"/>
        <v>0</v>
      </c>
      <c r="FC103" s="26">
        <f t="shared" si="276"/>
        <v>0</v>
      </c>
      <c r="FD103" s="26">
        <f t="shared" si="277"/>
        <v>0</v>
      </c>
      <c r="FF103" s="26">
        <f t="shared" si="278"/>
        <v>0</v>
      </c>
      <c r="FG103" s="26">
        <f t="shared" si="279"/>
        <v>0</v>
      </c>
      <c r="FH103" s="26">
        <f t="shared" si="280"/>
        <v>0</v>
      </c>
      <c r="FI103" s="26">
        <f t="shared" si="281"/>
        <v>0</v>
      </c>
      <c r="FJ103" s="26">
        <f t="shared" si="282"/>
        <v>0</v>
      </c>
      <c r="FK103" s="26">
        <f t="shared" si="283"/>
        <v>0</v>
      </c>
      <c r="FL103" s="26">
        <f t="shared" si="284"/>
        <v>0</v>
      </c>
      <c r="FM103" s="26">
        <f t="shared" si="285"/>
        <v>0</v>
      </c>
      <c r="FN103" s="26">
        <f t="shared" si="286"/>
        <v>0</v>
      </c>
      <c r="FP103" s="26" t="e">
        <f t="shared" si="287"/>
        <v>#REF!</v>
      </c>
      <c r="FQ103" s="26" t="e">
        <f t="shared" si="288"/>
        <v>#REF!</v>
      </c>
      <c r="FR103" s="26" t="e">
        <f t="shared" si="289"/>
        <v>#REF!</v>
      </c>
      <c r="FS103" s="26" t="e">
        <f t="shared" si="290"/>
        <v>#REF!</v>
      </c>
      <c r="FT103" s="26" t="e">
        <f t="shared" si="291"/>
        <v>#REF!</v>
      </c>
      <c r="FU103" s="26" t="e">
        <f t="shared" si="292"/>
        <v>#REF!</v>
      </c>
      <c r="FV103" s="26" t="e">
        <f t="shared" si="293"/>
        <v>#REF!</v>
      </c>
      <c r="FW103" s="26" t="e">
        <f t="shared" si="294"/>
        <v>#REF!</v>
      </c>
      <c r="FX103" s="26" t="e">
        <f t="shared" si="295"/>
        <v>#REF!</v>
      </c>
      <c r="GB103" s="26" t="e">
        <f>IF(GB$2=InputTable[[#This Row],[Delivery Date]],_xlfn.XLOOKUP(GB$1,$BH$2:$BR$2,$BH103:$BR103,0),0)</f>
        <v>#REF!</v>
      </c>
      <c r="GC103" s="26">
        <f>IF(GC$2=InputTable[[#This Row],[Delivery Date]],_xlfn.XLOOKUP(GC$1,$BH$2:$BR$2,$BH103:$BR103,0),0)</f>
        <v>0</v>
      </c>
      <c r="GD103" s="26">
        <f>IF(GD$2=InputTable[[#This Row],[Delivery Date]],_xlfn.XLOOKUP(GD$1,$BH$2:$BR$2,$BH103:$BR103,0),0)</f>
        <v>0</v>
      </c>
      <c r="GE103" s="26">
        <f>IF(GE$2=InputTable[[#This Row],[Delivery Date]],_xlfn.XLOOKUP(GE$1,$BH$2:$BR$2,$BH103:$BR103,0),0)</f>
        <v>0</v>
      </c>
      <c r="GF103" s="26">
        <f>IF(GF$2=InputTable[[#This Row],[Delivery Date]],_xlfn.XLOOKUP(GF$1,$BH$2:$BR$2,$BH103:$BR103,0),0)</f>
        <v>0</v>
      </c>
      <c r="GG103" s="26">
        <f>IF(GG$2=InputTable[[#This Row],[Delivery Date]],_xlfn.XLOOKUP(GG$1,$BH$2:$BR$2,$BH103:$BR103,0),0)</f>
        <v>0</v>
      </c>
      <c r="GH103" s="26">
        <f>IF(GH$2=InputTable[[#This Row],[Delivery Date]],_xlfn.XLOOKUP(GH$1,$BH$2:$BR$2,$BH103:$BR103,0),0)</f>
        <v>0</v>
      </c>
      <c r="GI103" s="26">
        <f>IF(GI$2=InputTable[[#This Row],[Delivery Date]],_xlfn.XLOOKUP(GI$1,$BH$2:$BR$2,$BH103:$BR103,0),0)</f>
        <v>0</v>
      </c>
      <c r="GJ103" s="26">
        <f>IF(GJ$2=InputTable[[#This Row],[Delivery Date]],_xlfn.XLOOKUP(GJ$1,$BH$2:$BR$2,$BH103:$BR103,0),0)</f>
        <v>0</v>
      </c>
      <c r="GL103" s="26" t="e">
        <f>IF(GL$2=InputTable[[#This Row],[Delivery Date]],_xlfn.XLOOKUP(GL$1,$BH$2:$BR$2,$BH103:$BR103,0),0)</f>
        <v>#REF!</v>
      </c>
      <c r="GM103" s="26">
        <f>IF(GM$2=InputTable[[#This Row],[Delivery Date]],_xlfn.XLOOKUP(GM$1,$BH$2:$BR$2,$BH103:$BR103,0),0)</f>
        <v>0</v>
      </c>
      <c r="GN103" s="26">
        <f>IF(GN$2=InputTable[[#This Row],[Delivery Date]],_xlfn.XLOOKUP(GN$1,$BH$2:$BR$2,$BH103:$BR103,0),0)</f>
        <v>0</v>
      </c>
      <c r="GO103" s="26">
        <f>IF(GO$2=InputTable[[#This Row],[Delivery Date]],_xlfn.XLOOKUP(GO$1,$BH$2:$BR$2,$BH103:$BR103,0),0)</f>
        <v>0</v>
      </c>
      <c r="GP103" s="26">
        <f>IF(GP$2=InputTable[[#This Row],[Delivery Date]],_xlfn.XLOOKUP(GP$1,$BH$2:$BR$2,$BH103:$BR103,0),0)</f>
        <v>0</v>
      </c>
      <c r="GQ103" s="26">
        <f>IF(GQ$2=InputTable[[#This Row],[Delivery Date]],_xlfn.XLOOKUP(GQ$1,$BH$2:$BR$2,$BH103:$BR103,0),0)</f>
        <v>0</v>
      </c>
      <c r="GR103" s="26">
        <f>IF(GR$2=InputTable[[#This Row],[Delivery Date]],_xlfn.XLOOKUP(GR$1,$BH$2:$BR$2,$BH103:$BR103,0),0)</f>
        <v>0</v>
      </c>
      <c r="GS103" s="26">
        <f>IF(GS$2=InputTable[[#This Row],[Delivery Date]],_xlfn.XLOOKUP(GS$1,$BH$2:$BR$2,$BH103:$BR103,0),0)</f>
        <v>0</v>
      </c>
      <c r="GT103" s="26">
        <f>IF(GT$2=InputTable[[#This Row],[Delivery Date]],_xlfn.XLOOKUP(GT$1,$BH$2:$BR$2,$BH103:$BR103,0),0)</f>
        <v>0</v>
      </c>
      <c r="GV103" s="26" t="e">
        <f>IF(GV$2=InputTable[[#This Row],[Delivery Date]],_xlfn.XLOOKUP(GV$1,$BH$2:$BR$2,$BH103:$BR103,0),0)</f>
        <v>#REF!</v>
      </c>
      <c r="GW103" s="26">
        <f>IF(GW$2=InputTable[[#This Row],[Delivery Date]],_xlfn.XLOOKUP(GW$1,$BH$2:$BR$2,$BH103:$BR103,0),0)</f>
        <v>0</v>
      </c>
      <c r="GX103" s="26">
        <f>IF(GX$2=InputTable[[#This Row],[Delivery Date]],_xlfn.XLOOKUP(GX$1,$BH$2:$BR$2,$BH103:$BR103,0),0)</f>
        <v>0</v>
      </c>
      <c r="GY103" s="26">
        <f>IF(GY$2=InputTable[[#This Row],[Delivery Date]],_xlfn.XLOOKUP(GY$1,$BH$2:$BR$2,$BH103:$BR103,0),0)</f>
        <v>0</v>
      </c>
      <c r="GZ103" s="26">
        <f>IF(GZ$2=InputTable[[#This Row],[Delivery Date]],_xlfn.XLOOKUP(GZ$1,$BH$2:$BR$2,$BH103:$BR103,0),0)</f>
        <v>0</v>
      </c>
      <c r="HA103" s="26">
        <f>IF(HA$2=InputTable[[#This Row],[Delivery Date]],_xlfn.XLOOKUP(HA$1,$BH$2:$BR$2,$BH103:$BR103,0),0)</f>
        <v>0</v>
      </c>
      <c r="HB103" s="26">
        <f>IF(HB$2=InputTable[[#This Row],[Delivery Date]],_xlfn.XLOOKUP(HB$1,$BH$2:$BR$2,$BH103:$BR103,0),0)</f>
        <v>0</v>
      </c>
      <c r="HC103" s="26">
        <f>IF(HC$2=InputTable[[#This Row],[Delivery Date]],_xlfn.XLOOKUP(HC$1,$BH$2:$BR$2,$BH103:$BR103,0),0)</f>
        <v>0</v>
      </c>
      <c r="HD103" s="26">
        <f>IF(HD$2=InputTable[[#This Row],[Delivery Date]],_xlfn.XLOOKUP(HD$1,$BH$2:$BR$2,$BH103:$BR103,0),0)</f>
        <v>0</v>
      </c>
      <c r="HF103" s="26" t="e">
        <f>IF(HF$2=InputTable[[#This Row],[Delivery Date]],_xlfn.XLOOKUP(HF$1,$BH$2:$BR$2,$BH103:$BR103,0),0)</f>
        <v>#REF!</v>
      </c>
      <c r="HG103" s="26">
        <f>IF(HG$2=InputTable[[#This Row],[Delivery Date]],_xlfn.XLOOKUP(HG$1,$BH$2:$BR$2,$BH103:$BR103,0),0)</f>
        <v>0</v>
      </c>
      <c r="HH103" s="26">
        <f>IF(HH$2=InputTable[[#This Row],[Delivery Date]],_xlfn.XLOOKUP(HH$1,$BH$2:$BR$2,$BH103:$BR103,0),0)</f>
        <v>0</v>
      </c>
      <c r="HI103" s="26">
        <f>IF(HI$2=InputTable[[#This Row],[Delivery Date]],_xlfn.XLOOKUP(HI$1,$BH$2:$BR$2,$BH103:$BR103,0),0)</f>
        <v>0</v>
      </c>
      <c r="HJ103" s="26">
        <f>IF(HJ$2=InputTable[[#This Row],[Delivery Date]],_xlfn.XLOOKUP(HJ$1,$BH$2:$BR$2,$BH103:$BR103,0),0)</f>
        <v>0</v>
      </c>
      <c r="HK103" s="26">
        <f>IF(HK$2=InputTable[[#This Row],[Delivery Date]],_xlfn.XLOOKUP(HK$1,$BH$2:$BR$2,$BH103:$BR103,0),0)</f>
        <v>0</v>
      </c>
      <c r="HL103" s="26">
        <f>IF(HL$2=InputTable[[#This Row],[Delivery Date]],_xlfn.XLOOKUP(HL$1,$BH$2:$BR$2,$BH103:$BR103,0),0)</f>
        <v>0</v>
      </c>
      <c r="HM103" s="26">
        <f>IF(HM$2=InputTable[[#This Row],[Delivery Date]],_xlfn.XLOOKUP(HM$1,$BH$2:$BR$2,$BH103:$BR103,0),0)</f>
        <v>0</v>
      </c>
      <c r="HN103" s="26">
        <f>IF(HN$2=InputTable[[#This Row],[Delivery Date]],_xlfn.XLOOKUP(HN$1,$BH$2:$BR$2,$BH103:$BR103,0),0)</f>
        <v>0</v>
      </c>
      <c r="HP103" s="26" t="e">
        <f>IF(HP$2=InputTable[[#This Row],[Delivery Date]],_xlfn.XLOOKUP(HP$1,$BH$2:$BR$2,$BH103:$BR103,0),0)</f>
        <v>#REF!</v>
      </c>
      <c r="HQ103" s="26">
        <f>IF(HQ$2=InputTable[[#This Row],[Delivery Date]],_xlfn.XLOOKUP(HQ$1,$BH$2:$BR$2,$BH103:$BR103,0),0)</f>
        <v>0</v>
      </c>
      <c r="HR103" s="26">
        <f>IF(HR$2=InputTable[[#This Row],[Delivery Date]],_xlfn.XLOOKUP(HR$1,$BH$2:$BR$2,$BH103:$BR103,0),0)</f>
        <v>0</v>
      </c>
      <c r="HS103" s="26">
        <f>IF(HS$2=InputTable[[#This Row],[Delivery Date]],_xlfn.XLOOKUP(HS$1,$BH$2:$BR$2,$BH103:$BR103,0),0)</f>
        <v>0</v>
      </c>
      <c r="HT103" s="26">
        <f>IF(HT$2=InputTable[[#This Row],[Delivery Date]],_xlfn.XLOOKUP(HT$1,$BH$2:$BR$2,$BH103:$BR103,0),0)</f>
        <v>0</v>
      </c>
      <c r="HU103" s="26">
        <f>IF(HU$2=InputTable[[#This Row],[Delivery Date]],_xlfn.XLOOKUP(HU$1,$BH$2:$BR$2,$BH103:$BR103,0),0)</f>
        <v>0</v>
      </c>
      <c r="HV103" s="26">
        <f>IF(HV$2=InputTable[[#This Row],[Delivery Date]],_xlfn.XLOOKUP(HV$1,$BH$2:$BR$2,$BH103:$BR103,0),0)</f>
        <v>0</v>
      </c>
      <c r="HW103" s="26">
        <f>IF(HW$2=InputTable[[#This Row],[Delivery Date]],_xlfn.XLOOKUP(HW$1,$BH$2:$BR$2,$BH103:$BR103,0),0)</f>
        <v>0</v>
      </c>
      <c r="HX103" s="26">
        <f>IF(HX$2=InputTable[[#This Row],[Delivery Date]],_xlfn.XLOOKUP(HX$1,$BH$2:$BR$2,$BH103:$BR103,0),0)</f>
        <v>0</v>
      </c>
      <c r="HZ103" s="26" t="e">
        <f>IF(HZ$2=InputTable[[#This Row],[Delivery Date]],_xlfn.XLOOKUP(HZ$1,$BH$2:$BR$2,$BH103:$BR103,0),0)</f>
        <v>#REF!</v>
      </c>
      <c r="IA103" s="26">
        <f>IF(IA$2=InputTable[[#This Row],[Delivery Date]],_xlfn.XLOOKUP(IA$1,$BH$2:$BR$2,$BH103:$BR103,0),0)</f>
        <v>0</v>
      </c>
      <c r="IB103" s="26">
        <f>IF(IB$2=InputTable[[#This Row],[Delivery Date]],_xlfn.XLOOKUP(IB$1,$BH$2:$BR$2,$BH103:$BR103,0),0)</f>
        <v>0</v>
      </c>
      <c r="IC103" s="26">
        <f>IF(IC$2=InputTable[[#This Row],[Delivery Date]],_xlfn.XLOOKUP(IC$1,$BH$2:$BR$2,$BH103:$BR103,0),0)</f>
        <v>0</v>
      </c>
      <c r="ID103" s="26">
        <f>IF(ID$2=InputTable[[#This Row],[Delivery Date]],_xlfn.XLOOKUP(ID$1,$BH$2:$BR$2,$BH103:$BR103,0),0)</f>
        <v>0</v>
      </c>
      <c r="IE103" s="26">
        <f>IF(IE$2=InputTable[[#This Row],[Delivery Date]],_xlfn.XLOOKUP(IE$1,$BH$2:$BR$2,$BH103:$BR103,0),0)</f>
        <v>0</v>
      </c>
      <c r="IF103" s="26">
        <f>IF(IF$2=InputTable[[#This Row],[Delivery Date]],_xlfn.XLOOKUP(IF$1,$BH$2:$BR$2,$BH103:$BR103,0),0)</f>
        <v>0</v>
      </c>
      <c r="IG103" s="26">
        <f>IF(IG$2=InputTable[[#This Row],[Delivery Date]],_xlfn.XLOOKUP(IG$1,$BH$2:$BR$2,$BH103:$BR103,0),0)</f>
        <v>0</v>
      </c>
      <c r="IH103" s="26">
        <f>IF(IH$2=InputTable[[#This Row],[Delivery Date]],_xlfn.XLOOKUP(IH$1,$BH$2:$BR$2,$BH103:$BR103,0),0)</f>
        <v>0</v>
      </c>
      <c r="IJ103" s="26" t="e">
        <f>IF(IJ$2=InputTable[[#This Row],[Delivery Date]],_xlfn.XLOOKUP(IJ$1,$BH$2:$BR$2,$BH103:$BR103,0),0)</f>
        <v>#REF!</v>
      </c>
      <c r="IK103" s="26">
        <f>IF(IK$2=InputTable[[#This Row],[Delivery Date]],_xlfn.XLOOKUP(IK$1,$BH$2:$BR$2,$BH103:$BR103,0),0)</f>
        <v>0</v>
      </c>
      <c r="IL103" s="26">
        <f>IF(IL$2=InputTable[[#This Row],[Delivery Date]],_xlfn.XLOOKUP(IL$1,$BH$2:$BR$2,$BH103:$BR103,0),0)</f>
        <v>0</v>
      </c>
      <c r="IM103" s="26">
        <f>IF(IM$2=InputTable[[#This Row],[Delivery Date]],_xlfn.XLOOKUP(IM$1,$BH$2:$BR$2,$BH103:$BR103,0),0)</f>
        <v>0</v>
      </c>
      <c r="IN103" s="26">
        <f>IF(IN$2=InputTable[[#This Row],[Delivery Date]],_xlfn.XLOOKUP(IN$1,$BH$2:$BR$2,$BH103:$BR103,0),0)</f>
        <v>0</v>
      </c>
      <c r="IO103" s="26">
        <f>IF(IO$2=InputTable[[#This Row],[Delivery Date]],_xlfn.XLOOKUP(IO$1,$BH$2:$BR$2,$BH103:$BR103,0),0)</f>
        <v>0</v>
      </c>
      <c r="IP103" s="26">
        <f>IF(IP$2=InputTable[[#This Row],[Delivery Date]],_xlfn.XLOOKUP(IP$1,$BH$2:$BR$2,$BH103:$BR103,0),0)</f>
        <v>0</v>
      </c>
      <c r="IQ103" s="26">
        <f>IF(IQ$2=InputTable[[#This Row],[Delivery Date]],_xlfn.XLOOKUP(IQ$1,$BH$2:$BR$2,$BH103:$BR103,0),0)</f>
        <v>0</v>
      </c>
      <c r="IR103" s="26">
        <f>IF(IR$2=InputTable[[#This Row],[Delivery Date]],_xlfn.XLOOKUP(IR$1,$BH$2:$BR$2,$BH103:$BR103,0),0)</f>
        <v>0</v>
      </c>
      <c r="IT103" s="26" t="e">
        <f>IF(IT$2=InputTable[[#This Row],[Delivery Date]],_xlfn.XLOOKUP(IT$1,$BH$2:$BR$2,$BH103:$BR103,0),0)</f>
        <v>#REF!</v>
      </c>
      <c r="IU103" s="26">
        <f>IF(IU$2=InputTable[[#This Row],[Delivery Date]],_xlfn.XLOOKUP(IU$1,$BH$2:$BR$2,$BH103:$BR103,0),0)</f>
        <v>0</v>
      </c>
      <c r="IV103" s="26">
        <f>IF(IV$2=InputTable[[#This Row],[Delivery Date]],_xlfn.XLOOKUP(IV$1,$BH$2:$BR$2,$BH103:$BR103,0),0)</f>
        <v>0</v>
      </c>
      <c r="IW103" s="26">
        <f>IF(IW$2=InputTable[[#This Row],[Delivery Date]],_xlfn.XLOOKUP(IW$1,$BH$2:$BR$2,$BH103:$BR103,0),0)</f>
        <v>0</v>
      </c>
      <c r="IX103" s="26">
        <f>IF(IX$2=InputTable[[#This Row],[Delivery Date]],_xlfn.XLOOKUP(IX$1,$BH$2:$BR$2,$BH103:$BR103,0),0)</f>
        <v>0</v>
      </c>
      <c r="IY103" s="26">
        <f>IF(IY$2=InputTable[[#This Row],[Delivery Date]],_xlfn.XLOOKUP(IY$1,$BH$2:$BR$2,$BH103:$BR103,0),0)</f>
        <v>0</v>
      </c>
      <c r="IZ103" s="26">
        <f>IF(IZ$2=InputTable[[#This Row],[Delivery Date]],_xlfn.XLOOKUP(IZ$1,$BH$2:$BR$2,$BH103:$BR103,0),0)</f>
        <v>0</v>
      </c>
      <c r="JA103" s="26">
        <f>IF(JA$2=InputTable[[#This Row],[Delivery Date]],_xlfn.XLOOKUP(JA$1,$BH$2:$BR$2,$BH103:$BR103,0),0)</f>
        <v>0</v>
      </c>
      <c r="JB103" s="26">
        <f>IF(JB$2=InputTable[[#This Row],[Delivery Date]],_xlfn.XLOOKUP(JB$1,$BH$2:$BR$2,$BH103:$BR103,0),0)</f>
        <v>0</v>
      </c>
      <c r="JD103" s="26" t="e">
        <f>IF(JD$2=InputTable[[#This Row],[Delivery Date]],_xlfn.XLOOKUP(JD$1,$BH$2:$BR$2,$BH103:$BR103,0),0)</f>
        <v>#REF!</v>
      </c>
      <c r="JE103" s="26">
        <f>IF(JE$2=InputTable[[#This Row],[Delivery Date]],_xlfn.XLOOKUP(JE$1,$BH$2:$BR$2,$BH103:$BR103,0),0)</f>
        <v>0</v>
      </c>
      <c r="JF103" s="26">
        <f>IF(JF$2=InputTable[[#This Row],[Delivery Date]],_xlfn.XLOOKUP(JF$1,$BH$2:$BR$2,$BH103:$BR103,0),0)</f>
        <v>0</v>
      </c>
      <c r="JG103" s="26">
        <f>IF(JG$2=InputTable[[#This Row],[Delivery Date]],_xlfn.XLOOKUP(JG$1,$BH$2:$BR$2,$BH103:$BR103,0),0)</f>
        <v>0</v>
      </c>
      <c r="JH103" s="26">
        <f>IF(JH$2=InputTable[[#This Row],[Delivery Date]],_xlfn.XLOOKUP(JH$1,$BH$2:$BR$2,$BH103:$BR103,0),0)</f>
        <v>0</v>
      </c>
      <c r="JI103" s="26">
        <f>IF(JI$2=InputTable[[#This Row],[Delivery Date]],_xlfn.XLOOKUP(JI$1,$BH$2:$BR$2,$BH103:$BR103,0),0)</f>
        <v>0</v>
      </c>
      <c r="JJ103" s="26">
        <f>IF(JJ$2=InputTable[[#This Row],[Delivery Date]],_xlfn.XLOOKUP(JJ$1,$BH$2:$BR$2,$BH103:$BR103,0),0)</f>
        <v>0</v>
      </c>
      <c r="JK103" s="26">
        <f>IF(JK$2=InputTable[[#This Row],[Delivery Date]],_xlfn.XLOOKUP(JK$1,$BH$2:$BR$2,$BH103:$BR103,0),0)</f>
        <v>0</v>
      </c>
      <c r="JL103" s="26">
        <f>IF(JL$2=InputTable[[#This Row],[Delivery Date]],_xlfn.XLOOKUP(JL$1,$BH$2:$BR$2,$BH103:$BR103,0),0)</f>
        <v>0</v>
      </c>
      <c r="JN103" s="26" t="e">
        <f>IF(JN$2=InputTable[[#This Row],[Delivery Date]],_xlfn.XLOOKUP(JN$1,$BH$2:$BR$2,$BH103:$BR103,0),0)</f>
        <v>#REF!</v>
      </c>
      <c r="JO103" s="26">
        <f>IF(JO$2=InputTable[[#This Row],[Delivery Date]],_xlfn.XLOOKUP(JO$1,$BH$2:$BR$2,$BH103:$BR103,0),0)</f>
        <v>0</v>
      </c>
      <c r="JP103" s="26">
        <f>IF(JP$2=InputTable[[#This Row],[Delivery Date]],_xlfn.XLOOKUP(JP$1,$BH$2:$BR$2,$BH103:$BR103,0),0)</f>
        <v>0</v>
      </c>
      <c r="JQ103" s="26">
        <f>IF(JQ$2=InputTable[[#This Row],[Delivery Date]],_xlfn.XLOOKUP(JQ$1,$BH$2:$BR$2,$BH103:$BR103,0),0)</f>
        <v>0</v>
      </c>
      <c r="JR103" s="26">
        <f>IF(JR$2=InputTable[[#This Row],[Delivery Date]],_xlfn.XLOOKUP(JR$1,$BH$2:$BR$2,$BH103:$BR103,0),0)</f>
        <v>0</v>
      </c>
      <c r="JS103" s="26">
        <f>IF(JS$2=InputTable[[#This Row],[Delivery Date]],_xlfn.XLOOKUP(JS$1,$BH$2:$BR$2,$BH103:$BR103,0),0)</f>
        <v>0</v>
      </c>
      <c r="JT103" s="26">
        <f>IF(JT$2=InputTable[[#This Row],[Delivery Date]],_xlfn.XLOOKUP(JT$1,$BH$2:$BR$2,$BH103:$BR103,0),0)</f>
        <v>0</v>
      </c>
      <c r="JU103" s="26">
        <f>IF(JU$2=InputTable[[#This Row],[Delivery Date]],_xlfn.XLOOKUP(JU$1,$BH$2:$BR$2,$BH103:$BR103,0),0)</f>
        <v>0</v>
      </c>
      <c r="JV103" s="26">
        <f>IF(JV$2=InputTable[[#This Row],[Delivery Date]],_xlfn.XLOOKUP(JV$1,$BH$2:$BR$2,$BH103:$BR103,0),0)</f>
        <v>0</v>
      </c>
      <c r="JX103" s="26" t="e">
        <f>IF(JX$2=InputTable[[#This Row],[Delivery Date]],_xlfn.XLOOKUP(JX$1,$BH$2:$BR$2,$BH103:$BR103,0),0)</f>
        <v>#REF!</v>
      </c>
      <c r="JY103" s="26">
        <f>IF(JY$2=InputTable[[#This Row],[Delivery Date]],_xlfn.XLOOKUP(JY$1,$BH$2:$BR$2,$BH103:$BR103,0),0)</f>
        <v>0</v>
      </c>
      <c r="JZ103" s="26">
        <f>IF(JZ$2=InputTable[[#This Row],[Delivery Date]],_xlfn.XLOOKUP(JZ$1,$BH$2:$BR$2,$BH103:$BR103,0),0)</f>
        <v>0</v>
      </c>
      <c r="KA103" s="26">
        <f>IF(KA$2=InputTable[[#This Row],[Delivery Date]],_xlfn.XLOOKUP(KA$1,$BH$2:$BR$2,$BH103:$BR103,0),0)</f>
        <v>0</v>
      </c>
      <c r="KB103" s="26">
        <f>IF(KB$2=InputTable[[#This Row],[Delivery Date]],_xlfn.XLOOKUP(KB$1,$BH$2:$BR$2,$BH103:$BR103,0),0)</f>
        <v>0</v>
      </c>
      <c r="KC103" s="26">
        <f>IF(KC$2=InputTable[[#This Row],[Delivery Date]],_xlfn.XLOOKUP(KC$1,$BH$2:$BR$2,$BH103:$BR103,0),0)</f>
        <v>0</v>
      </c>
      <c r="KD103" s="26">
        <f>IF(KD$2=InputTable[[#This Row],[Delivery Date]],_xlfn.XLOOKUP(KD$1,$BH$2:$BR$2,$BH103:$BR103,0),0)</f>
        <v>0</v>
      </c>
      <c r="KE103" s="26">
        <f>IF(KE$2=InputTable[[#This Row],[Delivery Date]],_xlfn.XLOOKUP(KE$1,$BH$2:$BR$2,$BH103:$BR103,0),0)</f>
        <v>0</v>
      </c>
      <c r="KF103" s="26">
        <f>IF(KF$2=InputTable[[#This Row],[Delivery Date]],_xlfn.XLOOKUP(KF$1,$BH$2:$BR$2,$BH103:$BR103,0),0)</f>
        <v>0</v>
      </c>
    </row>
    <row r="104" spans="1:292" ht="39.6" hidden="1" customHeight="1" x14ac:dyDescent="0.25">
      <c r="A104" s="141" t="s">
        <v>155</v>
      </c>
      <c r="B104" s="141" t="s">
        <v>156</v>
      </c>
      <c r="C104" s="92" t="s">
        <v>60</v>
      </c>
      <c r="D104" s="125" t="s">
        <v>414</v>
      </c>
      <c r="E104" s="193" t="s">
        <v>415</v>
      </c>
      <c r="F104" s="92" t="s">
        <v>159</v>
      </c>
      <c r="G104" s="92">
        <v>2024</v>
      </c>
      <c r="H104" s="92" t="s">
        <v>100</v>
      </c>
      <c r="I104" s="92" t="s">
        <v>160</v>
      </c>
      <c r="J104" s="125" t="s">
        <v>413</v>
      </c>
      <c r="K104" s="95" t="e">
        <f>VLOOKUP((InputTable[[#This Row],[Starting Date]]&amp; " - " &amp;InputTable[[#This Row],[Delivery Date]]),'System List'!$F$40:$H$83,2,FALSE)</f>
        <v>#N/A</v>
      </c>
      <c r="L104" s="95" t="e">
        <f>VLOOKUP(InputTable[[#This Row],[Duration]],Duration,2,FALSE)</f>
        <v>#N/A</v>
      </c>
      <c r="M104" s="122"/>
      <c r="N104" s="92"/>
      <c r="O104" s="92"/>
      <c r="P104" s="92"/>
      <c r="Q104" s="92" t="s">
        <v>111</v>
      </c>
      <c r="R104" s="92"/>
      <c r="S104" s="92"/>
      <c r="T104" s="95" cm="1">
        <f t="array" ref="T104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04" s="138"/>
      <c r="V104" s="92"/>
      <c r="W104" s="92"/>
      <c r="X104" s="92"/>
      <c r="Y104" s="92"/>
      <c r="Z104" s="92"/>
      <c r="AA104" s="92"/>
      <c r="AB104" s="92"/>
      <c r="AC104" s="92"/>
      <c r="AD104" s="92">
        <f>COUNTA(InputTable[[#This Row],[CORPHRFIN]:[SALES]])</f>
        <v>0</v>
      </c>
      <c r="AE104" s="88" cm="1">
        <f t="array" ref="AE104">SUM(
_xlfn.XLOOKUP(InputTable[[#This Row],[CORPHRFIN]:[SALES]],'System List'!$F$4:$F$7,'System List'!$H$4:$H$7,0))</f>
        <v>0</v>
      </c>
      <c r="AF104" s="140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 t="s">
        <v>139</v>
      </c>
      <c r="AQ104" s="96"/>
      <c r="AR104" s="88" cm="1">
        <f t="array" ref="AR104">SUM(
_xlfn.XLOOKUP(InputTable[[#This Row],[Impact on - CIAL]:[Impact on - STRAT]],'System List'!$F$4:$F$7,'System List'!$H$4:$H$7,0))</f>
        <v>8</v>
      </c>
      <c r="AS104" s="88" t="e">
        <f>VLOOKUP(InputTable[[#This Row],[Duration]],Duration,2,FALSE)+InputTable[[#This Row],[Resource Score]]</f>
        <v>#N/A</v>
      </c>
      <c r="AT10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4" s="24" t="e">
        <f>InputTable[[#This Row],[Value Score]]/InputTable[[#This Row],[EFFORT SCORE]]*100</f>
        <v>#N/A</v>
      </c>
      <c r="AV104" s="25" t="str">
        <f>InputTable[[#This Row],[IS Portfolio Ref ID]]</f>
        <v>ISPRJ-74</v>
      </c>
      <c r="AW104" s="25" t="s">
        <v>210</v>
      </c>
      <c r="AX104" s="208" t="s">
        <v>416</v>
      </c>
      <c r="AY104" s="25">
        <v>1829</v>
      </c>
      <c r="AZ104" s="209">
        <v>0</v>
      </c>
      <c r="BA104" s="209">
        <v>0</v>
      </c>
      <c r="BB104" s="209"/>
      <c r="BC104" s="189">
        <v>352780</v>
      </c>
      <c r="BD104" s="188"/>
      <c r="BE104" s="188"/>
      <c r="BF104" s="70"/>
      <c r="BH104" s="2">
        <f>IFERROR(VLOOKUP(InputTable[[#This Row],[Impact on - CIAL]],'System List'!$F$4:$H$7,3,FALSE),0)</f>
        <v>0</v>
      </c>
      <c r="BI104" s="2">
        <f>IFERROR(VLOOKUP(InputTable[[#This Row],[Impact on - COM]],'System List'!$F$4:$H$7,3,FALSE),0)</f>
        <v>0</v>
      </c>
      <c r="BJ104" s="2">
        <f>IFERROR(VLOOKUP(InputTable[[#This Row],[Impact on - FIN]],'System List'!$F$4:$H$7,3,FALSE),0)</f>
        <v>0</v>
      </c>
      <c r="BK104" s="2">
        <f>IFERROR(VLOOKUP(InputTable[[#This Row],[Impact on - GEN SEC]],'System List'!$F$4:$H$7,3,FALSE),0)</f>
        <v>0</v>
      </c>
      <c r="BL104" s="2">
        <f>IFERROR(VLOOKUP(InputTable[[#This Row],[Impact on - HR]],'System List'!$F$4:$H$7,3,FALSE),0)</f>
        <v>0</v>
      </c>
      <c r="BM104" s="2">
        <f>IFERROR(VLOOKUP(InputTable[[#This Row],[Impact on - IS]],'System List'!$F$4:$H$7,3,FALSE),0)</f>
        <v>0</v>
      </c>
      <c r="BN104" s="2">
        <f>IFERROR(VLOOKUP(InputTable[[#This Row],[Impact on - OPS]],'System List'!$F$4:$H$7,3,FALSE),0)</f>
        <v>0</v>
      </c>
      <c r="BO104" s="2">
        <f>IFERROR(VLOOKUP(InputTable[[#This Row],[Impact on - ROLL STOCK]],'System List'!$F$4:$H$7,3,FALSE),0)</f>
        <v>0</v>
      </c>
      <c r="BP104" s="2">
        <f>IFERROR(VLOOKUP(InputTable[[#This Row],[Impact on - SAFETY]],'System List'!$F$4:$H$7,3,FALSE),0)</f>
        <v>0</v>
      </c>
      <c r="BQ104" s="2">
        <f>IFERROR(VLOOKUP(InputTable[[#This Row],[Impact on - STATION]],'System List'!$F$4:$H$7,3,FALSE),0)</f>
        <v>8</v>
      </c>
      <c r="BR104" s="2">
        <f>IFERROR(VLOOKUP(InputTable[[#This Row],[Impact on - STRAT]],'System List'!$F$4:$H$7,3,FALSE),0)</f>
        <v>0</v>
      </c>
      <c r="BT104" s="2">
        <f>IFERROR(VLOOKUP(InputTable[[#This Row],[CORPHRFIN]],'System List'!$F$4:$H$7,3,FALSE),0)</f>
        <v>0</v>
      </c>
      <c r="BU104" s="2">
        <f>IFERROR(VLOOKUP(InputTable[[#This Row],[CUST]],'System List'!$F$4:$H$7,3,FALSE),0)</f>
        <v>0</v>
      </c>
      <c r="BV104" s="2">
        <f>IFERROR(VLOOKUP(InputTable[[#This Row],[CYBER]],'System List'!$F$4:$H$7,3,FALSE),0)</f>
        <v>0</v>
      </c>
      <c r="BW104" s="2">
        <f>IFERROR(VLOOKUP(InputTable[[#This Row],[DATA]],'System List'!$F$4:$H$7,3,FALSE),0)</f>
        <v>0</v>
      </c>
      <c r="BX104" s="2">
        <f>IFERROR(VLOOKUP(InputTable[[#This Row],[INFRA]],'System List'!$F$4:$H$7,3,FALSE),0)</f>
        <v>0</v>
      </c>
      <c r="BY104" s="2">
        <f>IFERROR(VLOOKUP(InputTable[[#This Row],[OPERATIONS]],'System List'!$F$4:$H$7,3,FALSE),0)</f>
        <v>0</v>
      </c>
      <c r="BZ104" s="2">
        <f>IFERROR(VLOOKUP(InputTable[[#This Row],[PMO]],'System List'!$F$4:$H$7,3,FALSE),0)</f>
        <v>0</v>
      </c>
      <c r="CA104" s="2">
        <f>IFERROR(VLOOKUP(InputTable[[#This Row],[SALES]],'System List'!$F$4:$H$7,3,FALSE),0)</f>
        <v>0</v>
      </c>
      <c r="CC104" s="2" cm="1">
        <f t="array" ref="CC10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4" s="2" cm="1">
        <f t="array" ref="CD10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4" s="2" cm="1">
        <f t="array" ref="CE10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4" s="2" cm="1">
        <f t="array" ref="CF10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4" s="2" cm="1">
        <f t="array" ref="CG10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4" s="2" cm="1">
        <f t="array" ref="CH10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4" s="2" cm="1">
        <f t="array" ref="CI10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4" s="2" cm="1">
        <f t="array" ref="CJ10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4" s="2" cm="1">
        <f t="array" ref="CK10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0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0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0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4" s="26">
        <f t="shared" si="224"/>
        <v>0</v>
      </c>
      <c r="CY104" s="26">
        <f t="shared" si="225"/>
        <v>0</v>
      </c>
      <c r="CZ104" s="26">
        <f t="shared" si="226"/>
        <v>0</v>
      </c>
      <c r="DA104" s="26">
        <f t="shared" si="227"/>
        <v>0</v>
      </c>
      <c r="DB104" s="26">
        <f t="shared" si="228"/>
        <v>0</v>
      </c>
      <c r="DC104" s="26">
        <f t="shared" si="229"/>
        <v>0</v>
      </c>
      <c r="DD104" s="26">
        <f t="shared" si="230"/>
        <v>0</v>
      </c>
      <c r="DE104" s="26">
        <f t="shared" si="231"/>
        <v>0</v>
      </c>
      <c r="DF104" s="26">
        <f t="shared" si="232"/>
        <v>0</v>
      </c>
      <c r="DH104" s="26">
        <f t="shared" si="233"/>
        <v>0</v>
      </c>
      <c r="DI104" s="26">
        <f t="shared" si="234"/>
        <v>0</v>
      </c>
      <c r="DJ104" s="26">
        <f t="shared" si="235"/>
        <v>0</v>
      </c>
      <c r="DK104" s="26">
        <f t="shared" si="236"/>
        <v>0</v>
      </c>
      <c r="DL104" s="26">
        <f t="shared" si="237"/>
        <v>0</v>
      </c>
      <c r="DM104" s="26">
        <f t="shared" si="238"/>
        <v>0</v>
      </c>
      <c r="DN104" s="26">
        <f t="shared" si="239"/>
        <v>0</v>
      </c>
      <c r="DO104" s="26">
        <f t="shared" si="240"/>
        <v>0</v>
      </c>
      <c r="DP104" s="26">
        <f t="shared" si="241"/>
        <v>0</v>
      </c>
      <c r="DR104" s="26">
        <f t="shared" si="242"/>
        <v>0</v>
      </c>
      <c r="DS104" s="26">
        <f t="shared" si="243"/>
        <v>0</v>
      </c>
      <c r="DT104" s="26">
        <f t="shared" si="244"/>
        <v>0</v>
      </c>
      <c r="DU104" s="26">
        <f t="shared" si="245"/>
        <v>0</v>
      </c>
      <c r="DV104" s="26">
        <f t="shared" si="246"/>
        <v>0</v>
      </c>
      <c r="DW104" s="26">
        <f t="shared" si="247"/>
        <v>0</v>
      </c>
      <c r="DX104" s="26">
        <f t="shared" si="248"/>
        <v>0</v>
      </c>
      <c r="DY104" s="26">
        <f t="shared" si="249"/>
        <v>0</v>
      </c>
      <c r="DZ104" s="26">
        <f t="shared" si="250"/>
        <v>0</v>
      </c>
      <c r="EB104" s="26">
        <f t="shared" si="251"/>
        <v>0</v>
      </c>
      <c r="EC104" s="26">
        <f t="shared" si="252"/>
        <v>0</v>
      </c>
      <c r="ED104" s="26">
        <f t="shared" si="253"/>
        <v>0</v>
      </c>
      <c r="EE104" s="26">
        <f t="shared" si="254"/>
        <v>0</v>
      </c>
      <c r="EF104" s="26">
        <f t="shared" si="255"/>
        <v>0</v>
      </c>
      <c r="EG104" s="26">
        <f t="shared" si="256"/>
        <v>0</v>
      </c>
      <c r="EH104" s="26">
        <f t="shared" si="257"/>
        <v>0</v>
      </c>
      <c r="EI104" s="26">
        <f t="shared" si="258"/>
        <v>0</v>
      </c>
      <c r="EJ104" s="26">
        <f t="shared" si="259"/>
        <v>0</v>
      </c>
      <c r="EL104" s="26">
        <f t="shared" si="260"/>
        <v>0</v>
      </c>
      <c r="EM104" s="26">
        <f t="shared" si="261"/>
        <v>0</v>
      </c>
      <c r="EN104" s="26">
        <f t="shared" si="262"/>
        <v>0</v>
      </c>
      <c r="EO104" s="26">
        <f t="shared" si="263"/>
        <v>0</v>
      </c>
      <c r="EP104" s="26">
        <f t="shared" si="264"/>
        <v>0</v>
      </c>
      <c r="EQ104" s="26">
        <f t="shared" si="265"/>
        <v>0</v>
      </c>
      <c r="ER104" s="26">
        <f t="shared" si="266"/>
        <v>0</v>
      </c>
      <c r="ES104" s="26">
        <f t="shared" si="267"/>
        <v>0</v>
      </c>
      <c r="ET104" s="26">
        <f t="shared" si="268"/>
        <v>0</v>
      </c>
      <c r="EV104" s="26">
        <f t="shared" si="269"/>
        <v>0</v>
      </c>
      <c r="EW104" s="26">
        <f t="shared" si="270"/>
        <v>0</v>
      </c>
      <c r="EX104" s="26">
        <f t="shared" si="271"/>
        <v>0</v>
      </c>
      <c r="EY104" s="26">
        <f t="shared" si="272"/>
        <v>0</v>
      </c>
      <c r="EZ104" s="26">
        <f t="shared" si="273"/>
        <v>0</v>
      </c>
      <c r="FA104" s="26">
        <f t="shared" si="274"/>
        <v>0</v>
      </c>
      <c r="FB104" s="26">
        <f t="shared" si="275"/>
        <v>0</v>
      </c>
      <c r="FC104" s="26">
        <f t="shared" si="276"/>
        <v>0</v>
      </c>
      <c r="FD104" s="26">
        <f t="shared" si="277"/>
        <v>0</v>
      </c>
      <c r="FF104" s="26">
        <f t="shared" si="278"/>
        <v>0</v>
      </c>
      <c r="FG104" s="26">
        <f t="shared" si="279"/>
        <v>0</v>
      </c>
      <c r="FH104" s="26">
        <f t="shared" si="280"/>
        <v>0</v>
      </c>
      <c r="FI104" s="26">
        <f t="shared" si="281"/>
        <v>0</v>
      </c>
      <c r="FJ104" s="26">
        <f t="shared" si="282"/>
        <v>0</v>
      </c>
      <c r="FK104" s="26">
        <f t="shared" si="283"/>
        <v>0</v>
      </c>
      <c r="FL104" s="26">
        <f t="shared" si="284"/>
        <v>0</v>
      </c>
      <c r="FM104" s="26">
        <f t="shared" si="285"/>
        <v>0</v>
      </c>
      <c r="FN104" s="26">
        <f t="shared" si="286"/>
        <v>0</v>
      </c>
      <c r="FP104" s="26" t="e">
        <f t="shared" si="287"/>
        <v>#REF!</v>
      </c>
      <c r="FQ104" s="26" t="e">
        <f t="shared" si="288"/>
        <v>#REF!</v>
      </c>
      <c r="FR104" s="26" t="e">
        <f t="shared" si="289"/>
        <v>#REF!</v>
      </c>
      <c r="FS104" s="26" t="e">
        <f t="shared" si="290"/>
        <v>#REF!</v>
      </c>
      <c r="FT104" s="26" t="e">
        <f t="shared" si="291"/>
        <v>#REF!</v>
      </c>
      <c r="FU104" s="26" t="e">
        <f t="shared" si="292"/>
        <v>#REF!</v>
      </c>
      <c r="FV104" s="26" t="e">
        <f t="shared" si="293"/>
        <v>#REF!</v>
      </c>
      <c r="FW104" s="26" t="e">
        <f t="shared" si="294"/>
        <v>#REF!</v>
      </c>
      <c r="FX104" s="26" t="e">
        <f t="shared" si="295"/>
        <v>#REF!</v>
      </c>
      <c r="GB104" s="26" t="e">
        <f>IF(GB$2=InputTable[[#This Row],[Delivery Date]],_xlfn.XLOOKUP(GB$1,$BH$2:$BR$2,$BH104:$BR104,0),0)</f>
        <v>#REF!</v>
      </c>
      <c r="GC104" s="26">
        <f>IF(GC$2=InputTable[[#This Row],[Delivery Date]],_xlfn.XLOOKUP(GC$1,$BH$2:$BR$2,$BH104:$BR104,0),0)</f>
        <v>0</v>
      </c>
      <c r="GD104" s="26">
        <f>IF(GD$2=InputTable[[#This Row],[Delivery Date]],_xlfn.XLOOKUP(GD$1,$BH$2:$BR$2,$BH104:$BR104,0),0)</f>
        <v>0</v>
      </c>
      <c r="GE104" s="26">
        <f>IF(GE$2=InputTable[[#This Row],[Delivery Date]],_xlfn.XLOOKUP(GE$1,$BH$2:$BR$2,$BH104:$BR104,0),0)</f>
        <v>0</v>
      </c>
      <c r="GF104" s="26">
        <f>IF(GF$2=InputTable[[#This Row],[Delivery Date]],_xlfn.XLOOKUP(GF$1,$BH$2:$BR$2,$BH104:$BR104,0),0)</f>
        <v>0</v>
      </c>
      <c r="GG104" s="26">
        <f>IF(GG$2=InputTable[[#This Row],[Delivery Date]],_xlfn.XLOOKUP(GG$1,$BH$2:$BR$2,$BH104:$BR104,0),0)</f>
        <v>0</v>
      </c>
      <c r="GH104" s="26">
        <f>IF(GH$2=InputTable[[#This Row],[Delivery Date]],_xlfn.XLOOKUP(GH$1,$BH$2:$BR$2,$BH104:$BR104,0),0)</f>
        <v>0</v>
      </c>
      <c r="GI104" s="26">
        <f>IF(GI$2=InputTable[[#This Row],[Delivery Date]],_xlfn.XLOOKUP(GI$1,$BH$2:$BR$2,$BH104:$BR104,0),0)</f>
        <v>0</v>
      </c>
      <c r="GJ104" s="26">
        <f>IF(GJ$2=InputTable[[#This Row],[Delivery Date]],_xlfn.XLOOKUP(GJ$1,$BH$2:$BR$2,$BH104:$BR104,0),0)</f>
        <v>0</v>
      </c>
      <c r="GL104" s="26" t="e">
        <f>IF(GL$2=InputTable[[#This Row],[Delivery Date]],_xlfn.XLOOKUP(GL$1,$BH$2:$BR$2,$BH104:$BR104,0),0)</f>
        <v>#REF!</v>
      </c>
      <c r="GM104" s="26">
        <f>IF(GM$2=InputTable[[#This Row],[Delivery Date]],_xlfn.XLOOKUP(GM$1,$BH$2:$BR$2,$BH104:$BR104,0),0)</f>
        <v>0</v>
      </c>
      <c r="GN104" s="26">
        <f>IF(GN$2=InputTable[[#This Row],[Delivery Date]],_xlfn.XLOOKUP(GN$1,$BH$2:$BR$2,$BH104:$BR104,0),0)</f>
        <v>0</v>
      </c>
      <c r="GO104" s="26">
        <f>IF(GO$2=InputTable[[#This Row],[Delivery Date]],_xlfn.XLOOKUP(GO$1,$BH$2:$BR$2,$BH104:$BR104,0),0)</f>
        <v>0</v>
      </c>
      <c r="GP104" s="26">
        <f>IF(GP$2=InputTable[[#This Row],[Delivery Date]],_xlfn.XLOOKUP(GP$1,$BH$2:$BR$2,$BH104:$BR104,0),0)</f>
        <v>0</v>
      </c>
      <c r="GQ104" s="26">
        <f>IF(GQ$2=InputTable[[#This Row],[Delivery Date]],_xlfn.XLOOKUP(GQ$1,$BH$2:$BR$2,$BH104:$BR104,0),0)</f>
        <v>0</v>
      </c>
      <c r="GR104" s="26">
        <f>IF(GR$2=InputTable[[#This Row],[Delivery Date]],_xlfn.XLOOKUP(GR$1,$BH$2:$BR$2,$BH104:$BR104,0),0)</f>
        <v>0</v>
      </c>
      <c r="GS104" s="26">
        <f>IF(GS$2=InputTable[[#This Row],[Delivery Date]],_xlfn.XLOOKUP(GS$1,$BH$2:$BR$2,$BH104:$BR104,0),0)</f>
        <v>0</v>
      </c>
      <c r="GT104" s="26">
        <f>IF(GT$2=InputTable[[#This Row],[Delivery Date]],_xlfn.XLOOKUP(GT$1,$BH$2:$BR$2,$BH104:$BR104,0),0)</f>
        <v>0</v>
      </c>
      <c r="GV104" s="26" t="e">
        <f>IF(GV$2=InputTable[[#This Row],[Delivery Date]],_xlfn.XLOOKUP(GV$1,$BH$2:$BR$2,$BH104:$BR104,0),0)</f>
        <v>#REF!</v>
      </c>
      <c r="GW104" s="26">
        <f>IF(GW$2=InputTable[[#This Row],[Delivery Date]],_xlfn.XLOOKUP(GW$1,$BH$2:$BR$2,$BH104:$BR104,0),0)</f>
        <v>0</v>
      </c>
      <c r="GX104" s="26">
        <f>IF(GX$2=InputTable[[#This Row],[Delivery Date]],_xlfn.XLOOKUP(GX$1,$BH$2:$BR$2,$BH104:$BR104,0),0)</f>
        <v>0</v>
      </c>
      <c r="GY104" s="26">
        <f>IF(GY$2=InputTable[[#This Row],[Delivery Date]],_xlfn.XLOOKUP(GY$1,$BH$2:$BR$2,$BH104:$BR104,0),0)</f>
        <v>0</v>
      </c>
      <c r="GZ104" s="26">
        <f>IF(GZ$2=InputTable[[#This Row],[Delivery Date]],_xlfn.XLOOKUP(GZ$1,$BH$2:$BR$2,$BH104:$BR104,0),0)</f>
        <v>0</v>
      </c>
      <c r="HA104" s="26">
        <f>IF(HA$2=InputTable[[#This Row],[Delivery Date]],_xlfn.XLOOKUP(HA$1,$BH$2:$BR$2,$BH104:$BR104,0),0)</f>
        <v>0</v>
      </c>
      <c r="HB104" s="26">
        <f>IF(HB$2=InputTable[[#This Row],[Delivery Date]],_xlfn.XLOOKUP(HB$1,$BH$2:$BR$2,$BH104:$BR104,0),0)</f>
        <v>0</v>
      </c>
      <c r="HC104" s="26">
        <f>IF(HC$2=InputTable[[#This Row],[Delivery Date]],_xlfn.XLOOKUP(HC$1,$BH$2:$BR$2,$BH104:$BR104,0),0)</f>
        <v>0</v>
      </c>
      <c r="HD104" s="26">
        <f>IF(HD$2=InputTable[[#This Row],[Delivery Date]],_xlfn.XLOOKUP(HD$1,$BH$2:$BR$2,$BH104:$BR104,0),0)</f>
        <v>0</v>
      </c>
      <c r="HF104" s="26" t="e">
        <f>IF(HF$2=InputTable[[#This Row],[Delivery Date]],_xlfn.XLOOKUP(HF$1,$BH$2:$BR$2,$BH104:$BR104,0),0)</f>
        <v>#REF!</v>
      </c>
      <c r="HG104" s="26">
        <f>IF(HG$2=InputTable[[#This Row],[Delivery Date]],_xlfn.XLOOKUP(HG$1,$BH$2:$BR$2,$BH104:$BR104,0),0)</f>
        <v>0</v>
      </c>
      <c r="HH104" s="26">
        <f>IF(HH$2=InputTable[[#This Row],[Delivery Date]],_xlfn.XLOOKUP(HH$1,$BH$2:$BR$2,$BH104:$BR104,0),0)</f>
        <v>0</v>
      </c>
      <c r="HI104" s="26">
        <f>IF(HI$2=InputTable[[#This Row],[Delivery Date]],_xlfn.XLOOKUP(HI$1,$BH$2:$BR$2,$BH104:$BR104,0),0)</f>
        <v>0</v>
      </c>
      <c r="HJ104" s="26">
        <f>IF(HJ$2=InputTable[[#This Row],[Delivery Date]],_xlfn.XLOOKUP(HJ$1,$BH$2:$BR$2,$BH104:$BR104,0),0)</f>
        <v>0</v>
      </c>
      <c r="HK104" s="26">
        <f>IF(HK$2=InputTable[[#This Row],[Delivery Date]],_xlfn.XLOOKUP(HK$1,$BH$2:$BR$2,$BH104:$BR104,0),0)</f>
        <v>0</v>
      </c>
      <c r="HL104" s="26">
        <f>IF(HL$2=InputTable[[#This Row],[Delivery Date]],_xlfn.XLOOKUP(HL$1,$BH$2:$BR$2,$BH104:$BR104,0),0)</f>
        <v>0</v>
      </c>
      <c r="HM104" s="26">
        <f>IF(HM$2=InputTable[[#This Row],[Delivery Date]],_xlfn.XLOOKUP(HM$1,$BH$2:$BR$2,$BH104:$BR104,0),0)</f>
        <v>0</v>
      </c>
      <c r="HN104" s="26">
        <f>IF(HN$2=InputTable[[#This Row],[Delivery Date]],_xlfn.XLOOKUP(HN$1,$BH$2:$BR$2,$BH104:$BR104,0),0)</f>
        <v>0</v>
      </c>
      <c r="HP104" s="26" t="e">
        <f>IF(HP$2=InputTable[[#This Row],[Delivery Date]],_xlfn.XLOOKUP(HP$1,$BH$2:$BR$2,$BH104:$BR104,0),0)</f>
        <v>#REF!</v>
      </c>
      <c r="HQ104" s="26">
        <f>IF(HQ$2=InputTable[[#This Row],[Delivery Date]],_xlfn.XLOOKUP(HQ$1,$BH$2:$BR$2,$BH104:$BR104,0),0)</f>
        <v>0</v>
      </c>
      <c r="HR104" s="26">
        <f>IF(HR$2=InputTable[[#This Row],[Delivery Date]],_xlfn.XLOOKUP(HR$1,$BH$2:$BR$2,$BH104:$BR104,0),0)</f>
        <v>0</v>
      </c>
      <c r="HS104" s="26">
        <f>IF(HS$2=InputTable[[#This Row],[Delivery Date]],_xlfn.XLOOKUP(HS$1,$BH$2:$BR$2,$BH104:$BR104,0),0)</f>
        <v>0</v>
      </c>
      <c r="HT104" s="26">
        <f>IF(HT$2=InputTable[[#This Row],[Delivery Date]],_xlfn.XLOOKUP(HT$1,$BH$2:$BR$2,$BH104:$BR104,0),0)</f>
        <v>0</v>
      </c>
      <c r="HU104" s="26">
        <f>IF(HU$2=InputTable[[#This Row],[Delivery Date]],_xlfn.XLOOKUP(HU$1,$BH$2:$BR$2,$BH104:$BR104,0),0)</f>
        <v>0</v>
      </c>
      <c r="HV104" s="26">
        <f>IF(HV$2=InputTable[[#This Row],[Delivery Date]],_xlfn.XLOOKUP(HV$1,$BH$2:$BR$2,$BH104:$BR104,0),0)</f>
        <v>0</v>
      </c>
      <c r="HW104" s="26">
        <f>IF(HW$2=InputTable[[#This Row],[Delivery Date]],_xlfn.XLOOKUP(HW$1,$BH$2:$BR$2,$BH104:$BR104,0),0)</f>
        <v>0</v>
      </c>
      <c r="HX104" s="26">
        <f>IF(HX$2=InputTable[[#This Row],[Delivery Date]],_xlfn.XLOOKUP(HX$1,$BH$2:$BR$2,$BH104:$BR104,0),0)</f>
        <v>0</v>
      </c>
      <c r="HZ104" s="26" t="e">
        <f>IF(HZ$2=InputTable[[#This Row],[Delivery Date]],_xlfn.XLOOKUP(HZ$1,$BH$2:$BR$2,$BH104:$BR104,0),0)</f>
        <v>#REF!</v>
      </c>
      <c r="IA104" s="26">
        <f>IF(IA$2=InputTable[[#This Row],[Delivery Date]],_xlfn.XLOOKUP(IA$1,$BH$2:$BR$2,$BH104:$BR104,0),0)</f>
        <v>0</v>
      </c>
      <c r="IB104" s="26">
        <f>IF(IB$2=InputTable[[#This Row],[Delivery Date]],_xlfn.XLOOKUP(IB$1,$BH$2:$BR$2,$BH104:$BR104,0),0)</f>
        <v>0</v>
      </c>
      <c r="IC104" s="26">
        <f>IF(IC$2=InputTable[[#This Row],[Delivery Date]],_xlfn.XLOOKUP(IC$1,$BH$2:$BR$2,$BH104:$BR104,0),0)</f>
        <v>0</v>
      </c>
      <c r="ID104" s="26">
        <f>IF(ID$2=InputTable[[#This Row],[Delivery Date]],_xlfn.XLOOKUP(ID$1,$BH$2:$BR$2,$BH104:$BR104,0),0)</f>
        <v>0</v>
      </c>
      <c r="IE104" s="26">
        <f>IF(IE$2=InputTable[[#This Row],[Delivery Date]],_xlfn.XLOOKUP(IE$1,$BH$2:$BR$2,$BH104:$BR104,0),0)</f>
        <v>0</v>
      </c>
      <c r="IF104" s="26">
        <f>IF(IF$2=InputTable[[#This Row],[Delivery Date]],_xlfn.XLOOKUP(IF$1,$BH$2:$BR$2,$BH104:$BR104,0),0)</f>
        <v>0</v>
      </c>
      <c r="IG104" s="26">
        <f>IF(IG$2=InputTable[[#This Row],[Delivery Date]],_xlfn.XLOOKUP(IG$1,$BH$2:$BR$2,$BH104:$BR104,0),0)</f>
        <v>0</v>
      </c>
      <c r="IH104" s="26">
        <f>IF(IH$2=InputTable[[#This Row],[Delivery Date]],_xlfn.XLOOKUP(IH$1,$BH$2:$BR$2,$BH104:$BR104,0),0)</f>
        <v>0</v>
      </c>
      <c r="IJ104" s="26" t="e">
        <f>IF(IJ$2=InputTable[[#This Row],[Delivery Date]],_xlfn.XLOOKUP(IJ$1,$BH$2:$BR$2,$BH104:$BR104,0),0)</f>
        <v>#REF!</v>
      </c>
      <c r="IK104" s="26">
        <f>IF(IK$2=InputTable[[#This Row],[Delivery Date]],_xlfn.XLOOKUP(IK$1,$BH$2:$BR$2,$BH104:$BR104,0),0)</f>
        <v>0</v>
      </c>
      <c r="IL104" s="26">
        <f>IF(IL$2=InputTable[[#This Row],[Delivery Date]],_xlfn.XLOOKUP(IL$1,$BH$2:$BR$2,$BH104:$BR104,0),0)</f>
        <v>0</v>
      </c>
      <c r="IM104" s="26">
        <f>IF(IM$2=InputTable[[#This Row],[Delivery Date]],_xlfn.XLOOKUP(IM$1,$BH$2:$BR$2,$BH104:$BR104,0),0)</f>
        <v>0</v>
      </c>
      <c r="IN104" s="26">
        <f>IF(IN$2=InputTable[[#This Row],[Delivery Date]],_xlfn.XLOOKUP(IN$1,$BH$2:$BR$2,$BH104:$BR104,0),0)</f>
        <v>0</v>
      </c>
      <c r="IO104" s="26">
        <f>IF(IO$2=InputTable[[#This Row],[Delivery Date]],_xlfn.XLOOKUP(IO$1,$BH$2:$BR$2,$BH104:$BR104,0),0)</f>
        <v>0</v>
      </c>
      <c r="IP104" s="26">
        <f>IF(IP$2=InputTable[[#This Row],[Delivery Date]],_xlfn.XLOOKUP(IP$1,$BH$2:$BR$2,$BH104:$BR104,0),0)</f>
        <v>0</v>
      </c>
      <c r="IQ104" s="26">
        <f>IF(IQ$2=InputTable[[#This Row],[Delivery Date]],_xlfn.XLOOKUP(IQ$1,$BH$2:$BR$2,$BH104:$BR104,0),0)</f>
        <v>0</v>
      </c>
      <c r="IR104" s="26">
        <f>IF(IR$2=InputTable[[#This Row],[Delivery Date]],_xlfn.XLOOKUP(IR$1,$BH$2:$BR$2,$BH104:$BR104,0),0)</f>
        <v>0</v>
      </c>
      <c r="IT104" s="26" t="e">
        <f>IF(IT$2=InputTable[[#This Row],[Delivery Date]],_xlfn.XLOOKUP(IT$1,$BH$2:$BR$2,$BH104:$BR104,0),0)</f>
        <v>#REF!</v>
      </c>
      <c r="IU104" s="26">
        <f>IF(IU$2=InputTable[[#This Row],[Delivery Date]],_xlfn.XLOOKUP(IU$1,$BH$2:$BR$2,$BH104:$BR104,0),0)</f>
        <v>0</v>
      </c>
      <c r="IV104" s="26">
        <f>IF(IV$2=InputTable[[#This Row],[Delivery Date]],_xlfn.XLOOKUP(IV$1,$BH$2:$BR$2,$BH104:$BR104,0),0)</f>
        <v>0</v>
      </c>
      <c r="IW104" s="26">
        <f>IF(IW$2=InputTable[[#This Row],[Delivery Date]],_xlfn.XLOOKUP(IW$1,$BH$2:$BR$2,$BH104:$BR104,0),0)</f>
        <v>0</v>
      </c>
      <c r="IX104" s="26">
        <f>IF(IX$2=InputTable[[#This Row],[Delivery Date]],_xlfn.XLOOKUP(IX$1,$BH$2:$BR$2,$BH104:$BR104,0),0)</f>
        <v>0</v>
      </c>
      <c r="IY104" s="26">
        <f>IF(IY$2=InputTable[[#This Row],[Delivery Date]],_xlfn.XLOOKUP(IY$1,$BH$2:$BR$2,$BH104:$BR104,0),0)</f>
        <v>0</v>
      </c>
      <c r="IZ104" s="26">
        <f>IF(IZ$2=InputTable[[#This Row],[Delivery Date]],_xlfn.XLOOKUP(IZ$1,$BH$2:$BR$2,$BH104:$BR104,0),0)</f>
        <v>0</v>
      </c>
      <c r="JA104" s="26">
        <f>IF(JA$2=InputTable[[#This Row],[Delivery Date]],_xlfn.XLOOKUP(JA$1,$BH$2:$BR$2,$BH104:$BR104,0),0)</f>
        <v>0</v>
      </c>
      <c r="JB104" s="26">
        <f>IF(JB$2=InputTable[[#This Row],[Delivery Date]],_xlfn.XLOOKUP(JB$1,$BH$2:$BR$2,$BH104:$BR104,0),0)</f>
        <v>0</v>
      </c>
      <c r="JD104" s="26" t="e">
        <f>IF(JD$2=InputTable[[#This Row],[Delivery Date]],_xlfn.XLOOKUP(JD$1,$BH$2:$BR$2,$BH104:$BR104,0),0)</f>
        <v>#REF!</v>
      </c>
      <c r="JE104" s="26">
        <f>IF(JE$2=InputTable[[#This Row],[Delivery Date]],_xlfn.XLOOKUP(JE$1,$BH$2:$BR$2,$BH104:$BR104,0),0)</f>
        <v>0</v>
      </c>
      <c r="JF104" s="26">
        <f>IF(JF$2=InputTable[[#This Row],[Delivery Date]],_xlfn.XLOOKUP(JF$1,$BH$2:$BR$2,$BH104:$BR104,0),0)</f>
        <v>0</v>
      </c>
      <c r="JG104" s="26">
        <f>IF(JG$2=InputTable[[#This Row],[Delivery Date]],_xlfn.XLOOKUP(JG$1,$BH$2:$BR$2,$BH104:$BR104,0),0)</f>
        <v>0</v>
      </c>
      <c r="JH104" s="26">
        <f>IF(JH$2=InputTable[[#This Row],[Delivery Date]],_xlfn.XLOOKUP(JH$1,$BH$2:$BR$2,$BH104:$BR104,0),0)</f>
        <v>0</v>
      </c>
      <c r="JI104" s="26">
        <f>IF(JI$2=InputTable[[#This Row],[Delivery Date]],_xlfn.XLOOKUP(JI$1,$BH$2:$BR$2,$BH104:$BR104,0),0)</f>
        <v>0</v>
      </c>
      <c r="JJ104" s="26">
        <f>IF(JJ$2=InputTable[[#This Row],[Delivery Date]],_xlfn.XLOOKUP(JJ$1,$BH$2:$BR$2,$BH104:$BR104,0),0)</f>
        <v>0</v>
      </c>
      <c r="JK104" s="26">
        <f>IF(JK$2=InputTable[[#This Row],[Delivery Date]],_xlfn.XLOOKUP(JK$1,$BH$2:$BR$2,$BH104:$BR104,0),0)</f>
        <v>0</v>
      </c>
      <c r="JL104" s="26">
        <f>IF(JL$2=InputTable[[#This Row],[Delivery Date]],_xlfn.XLOOKUP(JL$1,$BH$2:$BR$2,$BH104:$BR104,0),0)</f>
        <v>0</v>
      </c>
      <c r="JN104" s="26" t="e">
        <f>IF(JN$2=InputTable[[#This Row],[Delivery Date]],_xlfn.XLOOKUP(JN$1,$BH$2:$BR$2,$BH104:$BR104,0),0)</f>
        <v>#REF!</v>
      </c>
      <c r="JO104" s="26">
        <f>IF(JO$2=InputTable[[#This Row],[Delivery Date]],_xlfn.XLOOKUP(JO$1,$BH$2:$BR$2,$BH104:$BR104,0),0)</f>
        <v>0</v>
      </c>
      <c r="JP104" s="26">
        <f>IF(JP$2=InputTable[[#This Row],[Delivery Date]],_xlfn.XLOOKUP(JP$1,$BH$2:$BR$2,$BH104:$BR104,0),0)</f>
        <v>0</v>
      </c>
      <c r="JQ104" s="26">
        <f>IF(JQ$2=InputTable[[#This Row],[Delivery Date]],_xlfn.XLOOKUP(JQ$1,$BH$2:$BR$2,$BH104:$BR104,0),0)</f>
        <v>8</v>
      </c>
      <c r="JR104" s="26">
        <f>IF(JR$2=InputTable[[#This Row],[Delivery Date]],_xlfn.XLOOKUP(JR$1,$BH$2:$BR$2,$BH104:$BR104,0),0)</f>
        <v>0</v>
      </c>
      <c r="JS104" s="26">
        <f>IF(JS$2=InputTable[[#This Row],[Delivery Date]],_xlfn.XLOOKUP(JS$1,$BH$2:$BR$2,$BH104:$BR104,0),0)</f>
        <v>0</v>
      </c>
      <c r="JT104" s="26">
        <f>IF(JT$2=InputTable[[#This Row],[Delivery Date]],_xlfn.XLOOKUP(JT$1,$BH$2:$BR$2,$BH104:$BR104,0),0)</f>
        <v>0</v>
      </c>
      <c r="JU104" s="26">
        <f>IF(JU$2=InputTable[[#This Row],[Delivery Date]],_xlfn.XLOOKUP(JU$1,$BH$2:$BR$2,$BH104:$BR104,0),0)</f>
        <v>0</v>
      </c>
      <c r="JV104" s="26">
        <f>IF(JV$2=InputTable[[#This Row],[Delivery Date]],_xlfn.XLOOKUP(JV$1,$BH$2:$BR$2,$BH104:$BR104,0),0)</f>
        <v>0</v>
      </c>
      <c r="JX104" s="26" t="e">
        <f>IF(JX$2=InputTable[[#This Row],[Delivery Date]],_xlfn.XLOOKUP(JX$1,$BH$2:$BR$2,$BH104:$BR104,0),0)</f>
        <v>#REF!</v>
      </c>
      <c r="JY104" s="26">
        <f>IF(JY$2=InputTable[[#This Row],[Delivery Date]],_xlfn.XLOOKUP(JY$1,$BH$2:$BR$2,$BH104:$BR104,0),0)</f>
        <v>0</v>
      </c>
      <c r="JZ104" s="26">
        <f>IF(JZ$2=InputTable[[#This Row],[Delivery Date]],_xlfn.XLOOKUP(JZ$1,$BH$2:$BR$2,$BH104:$BR104,0),0)</f>
        <v>0</v>
      </c>
      <c r="KA104" s="26">
        <f>IF(KA$2=InputTable[[#This Row],[Delivery Date]],_xlfn.XLOOKUP(KA$1,$BH$2:$BR$2,$BH104:$BR104,0),0)</f>
        <v>0</v>
      </c>
      <c r="KB104" s="26">
        <f>IF(KB$2=InputTable[[#This Row],[Delivery Date]],_xlfn.XLOOKUP(KB$1,$BH$2:$BR$2,$BH104:$BR104,0),0)</f>
        <v>0</v>
      </c>
      <c r="KC104" s="26">
        <f>IF(KC$2=InputTable[[#This Row],[Delivery Date]],_xlfn.XLOOKUP(KC$1,$BH$2:$BR$2,$BH104:$BR104,0),0)</f>
        <v>0</v>
      </c>
      <c r="KD104" s="26">
        <f>IF(KD$2=InputTable[[#This Row],[Delivery Date]],_xlfn.XLOOKUP(KD$1,$BH$2:$BR$2,$BH104:$BR104,0),0)</f>
        <v>0</v>
      </c>
      <c r="KE104" s="26">
        <f>IF(KE$2=InputTable[[#This Row],[Delivery Date]],_xlfn.XLOOKUP(KE$1,$BH$2:$BR$2,$BH104:$BR104,0),0)</f>
        <v>0</v>
      </c>
      <c r="KF104" s="26">
        <f>IF(KF$2=InputTable[[#This Row],[Delivery Date]],_xlfn.XLOOKUP(KF$1,$BH$2:$BR$2,$BH104:$BR104,0),0)</f>
        <v>0</v>
      </c>
    </row>
    <row r="105" spans="1:292" ht="39.6" customHeight="1" x14ac:dyDescent="0.25">
      <c r="A105" s="141" t="s">
        <v>134</v>
      </c>
      <c r="B105" s="141" t="s">
        <v>156</v>
      </c>
      <c r="C105" s="92" t="s">
        <v>62</v>
      </c>
      <c r="D105" s="125" t="s">
        <v>417</v>
      </c>
      <c r="E105" s="193" t="s">
        <v>418</v>
      </c>
      <c r="F105" s="92" t="s">
        <v>24</v>
      </c>
      <c r="G105" s="92" t="s">
        <v>97</v>
      </c>
      <c r="H105" s="92" t="s">
        <v>100</v>
      </c>
      <c r="I105" s="92" t="s">
        <v>98</v>
      </c>
      <c r="J105" s="126" t="s">
        <v>152</v>
      </c>
      <c r="K105" s="95" t="e">
        <f>VLOOKUP((InputTable[[#This Row],[Starting Date]]&amp; " - " &amp;InputTable[[#This Row],[Delivery Date]]),'System List'!$F$40:$H$83,2,FALSE)</f>
        <v>#N/A</v>
      </c>
      <c r="L105" s="95" t="e">
        <f>VLOOKUP(InputTable[[#This Row],[Duration]],Duration,2,FALSE)</f>
        <v>#N/A</v>
      </c>
      <c r="M105" s="122" t="s">
        <v>110</v>
      </c>
      <c r="N105" s="92"/>
      <c r="O105" s="92"/>
      <c r="P105" s="92"/>
      <c r="Q105" s="92" t="s">
        <v>111</v>
      </c>
      <c r="R105" s="92"/>
      <c r="S105" s="92"/>
      <c r="T105" s="95" cm="1">
        <f t="array" ref="T105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05" s="138"/>
      <c r="V105" s="92"/>
      <c r="W105" s="92"/>
      <c r="X105" s="92"/>
      <c r="Y105" s="92"/>
      <c r="Z105" s="92"/>
      <c r="AA105" s="92"/>
      <c r="AB105" s="92" t="s">
        <v>100</v>
      </c>
      <c r="AC105" s="92"/>
      <c r="AD105" s="92">
        <f>COUNTA(InputTable[[#This Row],[CORPHRFIN]:[SALES]])</f>
        <v>1</v>
      </c>
      <c r="AE105" s="88" cm="1">
        <f t="array" ref="AE105">SUM(
_xlfn.XLOOKUP(InputTable[[#This Row],[CORPHRFIN]:[SALES]],'System List'!$F$4:$F$7,'System List'!$H$4:$H$7,0))</f>
        <v>13</v>
      </c>
      <c r="AF105" s="140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88" cm="1">
        <f t="array" ref="AR105">SUM(
_xlfn.XLOOKUP(InputTable[[#This Row],[Impact on - CIAL]:[Impact on - STRAT]],'System List'!$F$4:$F$7,'System List'!$H$4:$H$7,0))</f>
        <v>0</v>
      </c>
      <c r="AS105" s="88" t="e">
        <f>VLOOKUP(InputTable[[#This Row],[Duration]],Duration,2,FALSE)+InputTable[[#This Row],[Resource Score]]</f>
        <v>#N/A</v>
      </c>
      <c r="AT10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5" s="24" t="e">
        <f>InputTable[[#This Row],[Value Score]]/InputTable[[#This Row],[EFFORT SCORE]]*100</f>
        <v>#N/A</v>
      </c>
      <c r="AV105" s="25" t="str">
        <f>InputTable[[#This Row],[IS Portfolio Ref ID]]</f>
        <v>ISPRJ-71</v>
      </c>
      <c r="AW105" s="25" t="s">
        <v>419</v>
      </c>
      <c r="AX105" s="208" t="s">
        <v>154</v>
      </c>
      <c r="AY105" s="25" t="s">
        <v>247</v>
      </c>
      <c r="AZ105" s="209" t="s">
        <v>420</v>
      </c>
      <c r="BA105" s="209" t="s">
        <v>420</v>
      </c>
      <c r="BB105" s="209"/>
      <c r="BC105" s="189">
        <v>-1</v>
      </c>
      <c r="BD105" s="188">
        <v>2</v>
      </c>
      <c r="BE105" s="188"/>
      <c r="BF105" s="70"/>
      <c r="BH105" s="2">
        <f>IFERROR(VLOOKUP(InputTable[[#This Row],[Impact on - CIAL]],'System List'!$F$4:$H$7,3,FALSE),0)</f>
        <v>0</v>
      </c>
      <c r="BI105" s="2">
        <f>IFERROR(VLOOKUP(InputTable[[#This Row],[Impact on - COM]],'System List'!$F$4:$H$7,3,FALSE),0)</f>
        <v>0</v>
      </c>
      <c r="BJ105" s="2">
        <f>IFERROR(VLOOKUP(InputTable[[#This Row],[Impact on - FIN]],'System List'!$F$4:$H$7,3,FALSE),0)</f>
        <v>0</v>
      </c>
      <c r="BK105" s="2">
        <f>IFERROR(VLOOKUP(InputTable[[#This Row],[Impact on - GEN SEC]],'System List'!$F$4:$H$7,3,FALSE),0)</f>
        <v>0</v>
      </c>
      <c r="BL105" s="2">
        <f>IFERROR(VLOOKUP(InputTable[[#This Row],[Impact on - HR]],'System List'!$F$4:$H$7,3,FALSE),0)</f>
        <v>0</v>
      </c>
      <c r="BM105" s="2">
        <f>IFERROR(VLOOKUP(InputTable[[#This Row],[Impact on - IS]],'System List'!$F$4:$H$7,3,FALSE),0)</f>
        <v>0</v>
      </c>
      <c r="BN105" s="2">
        <f>IFERROR(VLOOKUP(InputTable[[#This Row],[Impact on - OPS]],'System List'!$F$4:$H$7,3,FALSE),0)</f>
        <v>0</v>
      </c>
      <c r="BO105" s="2">
        <f>IFERROR(VLOOKUP(InputTable[[#This Row],[Impact on - ROLL STOCK]],'System List'!$F$4:$H$7,3,FALSE),0)</f>
        <v>0</v>
      </c>
      <c r="BP105" s="2">
        <f>IFERROR(VLOOKUP(InputTable[[#This Row],[Impact on - SAFETY]],'System List'!$F$4:$H$7,3,FALSE),0)</f>
        <v>0</v>
      </c>
      <c r="BQ105" s="2">
        <f>IFERROR(VLOOKUP(InputTable[[#This Row],[Impact on - STATION]],'System List'!$F$4:$H$7,3,FALSE),0)</f>
        <v>0</v>
      </c>
      <c r="BR105" s="2">
        <f>IFERROR(VLOOKUP(InputTable[[#This Row],[Impact on - STRAT]],'System List'!$F$4:$H$7,3,FALSE),0)</f>
        <v>0</v>
      </c>
      <c r="BT105" s="2">
        <f>IFERROR(VLOOKUP(InputTable[[#This Row],[CORPHRFIN]],'System List'!$F$4:$H$7,3,FALSE),0)</f>
        <v>0</v>
      </c>
      <c r="BU105" s="2">
        <f>IFERROR(VLOOKUP(InputTable[[#This Row],[CUST]],'System List'!$F$4:$H$7,3,FALSE),0)</f>
        <v>0</v>
      </c>
      <c r="BV105" s="2">
        <f>IFERROR(VLOOKUP(InputTable[[#This Row],[CYBER]],'System List'!$F$4:$H$7,3,FALSE),0)</f>
        <v>0</v>
      </c>
      <c r="BW105" s="2">
        <f>IFERROR(VLOOKUP(InputTable[[#This Row],[DATA]],'System List'!$F$4:$H$7,3,FALSE),0)</f>
        <v>0</v>
      </c>
      <c r="BX105" s="2">
        <f>IFERROR(VLOOKUP(InputTable[[#This Row],[INFRA]],'System List'!$F$4:$H$7,3,FALSE),0)</f>
        <v>0</v>
      </c>
      <c r="BY105" s="2">
        <f>IFERROR(VLOOKUP(InputTable[[#This Row],[OPERATIONS]],'System List'!$F$4:$H$7,3,FALSE),0)</f>
        <v>0</v>
      </c>
      <c r="BZ105" s="2">
        <f>IFERROR(VLOOKUP(InputTable[[#This Row],[PMO]],'System List'!$F$4:$H$7,3,FALSE),0)</f>
        <v>13</v>
      </c>
      <c r="CA105" s="2">
        <f>IFERROR(VLOOKUP(InputTable[[#This Row],[SALES]],'System List'!$F$4:$H$7,3,FALSE),0)</f>
        <v>0</v>
      </c>
      <c r="CC105" s="2" cm="1">
        <f t="array" ref="CC10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5" s="2" cm="1">
        <f t="array" ref="CD10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5" s="2" cm="1">
        <f t="array" ref="CE10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5" s="2" cm="1">
        <f t="array" ref="CF10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5" s="2" cm="1">
        <f t="array" ref="CG10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5" s="2" cm="1">
        <f t="array" ref="CH10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5" s="2" cm="1">
        <f t="array" ref="CI10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5" s="2" cm="1">
        <f t="array" ref="CJ10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5" s="2" cm="1">
        <f t="array" ref="CK10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5" s="26">
        <f t="shared" ref="CX105:CX136" si="307">CN105*_xlfn.XLOOKUP(CX$1,$BT$2:$CA$2,$BT105:$CA105,0)</f>
        <v>0</v>
      </c>
      <c r="CY105" s="26">
        <f t="shared" ref="CY105:CY136" si="308">CO105*_xlfn.XLOOKUP(CY$1,$BT$2:$CA$2,$BT105:$CA105,0)</f>
        <v>0</v>
      </c>
      <c r="CZ105" s="26">
        <f t="shared" ref="CZ105:CZ136" si="309">CP105*_xlfn.XLOOKUP(CZ$1,$BT$2:$CA$2,$BT105:$CA105,0)</f>
        <v>0</v>
      </c>
      <c r="DA105" s="26">
        <f t="shared" ref="DA105:DA136" si="310">CQ105*_xlfn.XLOOKUP(DA$1,$BT$2:$CA$2,$BT105:$CA105,0)</f>
        <v>0</v>
      </c>
      <c r="DB105" s="26">
        <f t="shared" ref="DB105:DB136" si="311">CR105*_xlfn.XLOOKUP(DB$1,$BT$2:$CA$2,$BT105:$CA105,0)</f>
        <v>0</v>
      </c>
      <c r="DC105" s="26">
        <f t="shared" ref="DC105:DC136" si="312">CS105*_xlfn.XLOOKUP(DC$1,$BT$2:$CA$2,$BT105:$CA105,0)</f>
        <v>0</v>
      </c>
      <c r="DD105" s="26">
        <f t="shared" ref="DD105:DD136" si="313">CT105*_xlfn.XLOOKUP(DD$1,$BT$2:$CA$2,$BT105:$CA105,0)</f>
        <v>0</v>
      </c>
      <c r="DE105" s="26">
        <f t="shared" ref="DE105:DE136" si="314">CU105*_xlfn.XLOOKUP(DE$1,$BT$2:$CA$2,$BT105:$CA105,0)</f>
        <v>0</v>
      </c>
      <c r="DF105" s="26">
        <f t="shared" ref="DF105:DF136" si="315">CV105*_xlfn.XLOOKUP(DF$1,$BT$2:$CA$2,$BT105:$CA105,0)</f>
        <v>0</v>
      </c>
      <c r="DH105" s="26">
        <f t="shared" ref="DH105:DH136" si="316">$CN105*_xlfn.XLOOKUP(DH$1,$BT$2:$CA$2,$BT105:$CA105,0)</f>
        <v>0</v>
      </c>
      <c r="DI105" s="26">
        <f t="shared" ref="DI105:DI136" si="317">$CO105*_xlfn.XLOOKUP(DI$1,$BT$2:$CA$2,$BT105:$CA105,0)</f>
        <v>0</v>
      </c>
      <c r="DJ105" s="26">
        <f t="shared" ref="DJ105:DJ136" si="318">$CP105*_xlfn.XLOOKUP(DJ$1,$BT$2:$CA$2,$BT105:$CA105,0)</f>
        <v>0</v>
      </c>
      <c r="DK105" s="26">
        <f t="shared" ref="DK105:DK136" si="319">$CQ105*_xlfn.XLOOKUP(DK$1,$BT$2:$CA$2,$BT105:$CA105,0)</f>
        <v>0</v>
      </c>
      <c r="DL105" s="26">
        <f t="shared" ref="DL105:DL136" si="320">$CR105*_xlfn.XLOOKUP(DL$1,$BT$2:$CA$2,$BT105:$CA105,0)</f>
        <v>0</v>
      </c>
      <c r="DM105" s="26">
        <f t="shared" ref="DM105:DM136" si="321">$CS105*_xlfn.XLOOKUP(DM$1,$BT$2:$CA$2,$BT105:$CA105,0)</f>
        <v>0</v>
      </c>
      <c r="DN105" s="26">
        <f t="shared" ref="DN105:DN136" si="322">$CT105*_xlfn.XLOOKUP(DN$1,$BT$2:$CA$2,$BT105:$CA105,0)</f>
        <v>0</v>
      </c>
      <c r="DO105" s="26">
        <f t="shared" ref="DO105:DO136" si="323">$CU105*_xlfn.XLOOKUP(DO$1,$BT$2:$CA$2,$BT105:$CA105,0)</f>
        <v>0</v>
      </c>
      <c r="DP105" s="26">
        <f t="shared" ref="DP105:DP136" si="324">$CV105*_xlfn.XLOOKUP(DP$1,$BT$2:$CA$2,$BT105:$CA105,0)</f>
        <v>0</v>
      </c>
      <c r="DR105" s="26">
        <f t="shared" ref="DR105:DR136" si="325">$CN105*_xlfn.XLOOKUP(DR$1,$BT$2:$CA$2,$BT105:$CA105,0)</f>
        <v>0</v>
      </c>
      <c r="DS105" s="26">
        <f t="shared" ref="DS105:DS136" si="326">$CO105*_xlfn.XLOOKUP(DS$1,$BT$2:$CA$2,$BT105:$CA105,0)</f>
        <v>0</v>
      </c>
      <c r="DT105" s="26">
        <f t="shared" ref="DT105:DT136" si="327">$CP105*_xlfn.XLOOKUP(DT$1,$BT$2:$CA$2,$BT105:$CA105,0)</f>
        <v>0</v>
      </c>
      <c r="DU105" s="26">
        <f t="shared" ref="DU105:DU136" si="328">$CQ105*_xlfn.XLOOKUP(DU$1,$BT$2:$CA$2,$BT105:$CA105,0)</f>
        <v>0</v>
      </c>
      <c r="DV105" s="26">
        <f t="shared" ref="DV105:DV136" si="329">$CR105*_xlfn.XLOOKUP(DV$1,$BT$2:$CA$2,$BT105:$CA105,0)</f>
        <v>0</v>
      </c>
      <c r="DW105" s="26">
        <f t="shared" ref="DW105:DW136" si="330">$CS105*_xlfn.XLOOKUP(DW$1,$BT$2:$CA$2,$BT105:$CA105,0)</f>
        <v>0</v>
      </c>
      <c r="DX105" s="26">
        <f t="shared" ref="DX105:DX136" si="331">$CT105*_xlfn.XLOOKUP(DX$1,$BT$2:$CA$2,$BT105:$CA105,0)</f>
        <v>0</v>
      </c>
      <c r="DY105" s="26">
        <f t="shared" ref="DY105:DY136" si="332">$CU105*_xlfn.XLOOKUP(DY$1,$BT$2:$CA$2,$BT105:$CA105,0)</f>
        <v>0</v>
      </c>
      <c r="DZ105" s="26">
        <f t="shared" ref="DZ105:DZ136" si="333">$CV105*_xlfn.XLOOKUP(DZ$1,$BT$2:$CA$2,$BT105:$CA105,0)</f>
        <v>0</v>
      </c>
      <c r="EB105" s="26">
        <f t="shared" ref="EB105:EB136" si="334">$CN105*_xlfn.XLOOKUP(EB$1,$BT$2:$CA$2,$BT105:$CA105,0)</f>
        <v>0</v>
      </c>
      <c r="EC105" s="26">
        <f t="shared" ref="EC105:EC136" si="335">$CO105*_xlfn.XLOOKUP(EC$1,$BT$2:$CA$2,$BT105:$CA105,0)</f>
        <v>0</v>
      </c>
      <c r="ED105" s="26">
        <f t="shared" ref="ED105:ED136" si="336">$CP105*_xlfn.XLOOKUP(ED$1,$BT$2:$CA$2,$BT105:$CA105,0)</f>
        <v>0</v>
      </c>
      <c r="EE105" s="26">
        <f t="shared" ref="EE105:EE136" si="337">$CQ105*_xlfn.XLOOKUP(EE$1,$BT$2:$CA$2,$BT105:$CA105,0)</f>
        <v>0</v>
      </c>
      <c r="EF105" s="26">
        <f t="shared" ref="EF105:EF136" si="338">$CR105*_xlfn.XLOOKUP(EF$1,$BT$2:$CA$2,$BT105:$CA105,0)</f>
        <v>0</v>
      </c>
      <c r="EG105" s="26">
        <f t="shared" ref="EG105:EG136" si="339">$CS105*_xlfn.XLOOKUP(EG$1,$BT$2:$CA$2,$BT105:$CA105,0)</f>
        <v>0</v>
      </c>
      <c r="EH105" s="26">
        <f t="shared" ref="EH105:EH136" si="340">$CT105*_xlfn.XLOOKUP(EH$1,$BT$2:$CA$2,$BT105:$CA105,0)</f>
        <v>0</v>
      </c>
      <c r="EI105" s="26">
        <f t="shared" ref="EI105:EI136" si="341">$CU105*_xlfn.XLOOKUP(EI$1,$BT$2:$CA$2,$BT105:$CA105,0)</f>
        <v>0</v>
      </c>
      <c r="EJ105" s="26">
        <f t="shared" ref="EJ105:EJ136" si="342">$CV105*_xlfn.XLOOKUP(EJ$1,$BT$2:$CA$2,$BT105:$CA105,0)</f>
        <v>0</v>
      </c>
      <c r="EL105" s="26">
        <f t="shared" ref="EL105:EL136" si="343">$CN105*_xlfn.XLOOKUP(EL$1,$BT$2:$CA$2,$BT105:$CA105,0)</f>
        <v>0</v>
      </c>
      <c r="EM105" s="26">
        <f t="shared" ref="EM105:EM136" si="344">$CO105*_xlfn.XLOOKUP(EM$1,$BT$2:$CA$2,$BT105:$CA105,0)</f>
        <v>0</v>
      </c>
      <c r="EN105" s="26">
        <f t="shared" ref="EN105:EN136" si="345">$CP105*_xlfn.XLOOKUP(EN$1,$BT$2:$CA$2,$BT105:$CA105,0)</f>
        <v>0</v>
      </c>
      <c r="EO105" s="26">
        <f t="shared" ref="EO105:EO136" si="346">$CQ105*_xlfn.XLOOKUP(EO$1,$BT$2:$CA$2,$BT105:$CA105,0)</f>
        <v>0</v>
      </c>
      <c r="EP105" s="26">
        <f t="shared" ref="EP105:EP136" si="347">$CR105*_xlfn.XLOOKUP(EP$1,$BT$2:$CA$2,$BT105:$CA105,0)</f>
        <v>0</v>
      </c>
      <c r="EQ105" s="26">
        <f t="shared" ref="EQ105:EQ136" si="348">$CS105*_xlfn.XLOOKUP(EQ$1,$BT$2:$CA$2,$BT105:$CA105,0)</f>
        <v>0</v>
      </c>
      <c r="ER105" s="26">
        <f t="shared" ref="ER105:ER136" si="349">$CT105*_xlfn.XLOOKUP(ER$1,$BT$2:$CA$2,$BT105:$CA105,0)</f>
        <v>0</v>
      </c>
      <c r="ES105" s="26">
        <f t="shared" ref="ES105:ES136" si="350">$CU105*_xlfn.XLOOKUP(ES$1,$BT$2:$CA$2,$BT105:$CA105,0)</f>
        <v>0</v>
      </c>
      <c r="ET105" s="26">
        <f t="shared" ref="ET105:ET136" si="351">$CV105*_xlfn.XLOOKUP(ET$1,$BT$2:$CA$2,$BT105:$CA105,0)</f>
        <v>0</v>
      </c>
      <c r="EV105" s="26">
        <f t="shared" ref="EV105:EV136" si="352">$CN105*_xlfn.XLOOKUP(EV$1,$BT$2:$CA$2,$BT105:$CA105,0)</f>
        <v>0</v>
      </c>
      <c r="EW105" s="26">
        <f t="shared" ref="EW105:EW136" si="353">$CO105*_xlfn.XLOOKUP(EW$1,$BT$2:$CA$2,$BT105:$CA105,0)</f>
        <v>0</v>
      </c>
      <c r="EX105" s="26">
        <f t="shared" ref="EX105:EX136" si="354">$CP105*_xlfn.XLOOKUP(EX$1,$BT$2:$CA$2,$BT105:$CA105,0)</f>
        <v>0</v>
      </c>
      <c r="EY105" s="26">
        <f t="shared" ref="EY105:EY136" si="355">$CQ105*_xlfn.XLOOKUP(EY$1,$BT$2:$CA$2,$BT105:$CA105,0)</f>
        <v>0</v>
      </c>
      <c r="EZ105" s="26">
        <f t="shared" ref="EZ105:EZ136" si="356">$CR105*_xlfn.XLOOKUP(EZ$1,$BT$2:$CA$2,$BT105:$CA105,0)</f>
        <v>0</v>
      </c>
      <c r="FA105" s="26">
        <f t="shared" ref="FA105:FA136" si="357">$CS105*_xlfn.XLOOKUP(FA$1,$BT$2:$CA$2,$BT105:$CA105,0)</f>
        <v>0</v>
      </c>
      <c r="FB105" s="26">
        <f t="shared" ref="FB105:FB136" si="358">$CT105*_xlfn.XLOOKUP(FB$1,$BT$2:$CA$2,$BT105:$CA105,0)</f>
        <v>0</v>
      </c>
      <c r="FC105" s="26">
        <f t="shared" ref="FC105:FC136" si="359">$CU105*_xlfn.XLOOKUP(FC$1,$BT$2:$CA$2,$BT105:$CA105,0)</f>
        <v>0</v>
      </c>
      <c r="FD105" s="26">
        <f t="shared" ref="FD105:FD136" si="360">$CV105*_xlfn.XLOOKUP(FD$1,$BT$2:$CA$2,$BT105:$CA105,0)</f>
        <v>0</v>
      </c>
      <c r="FF105" s="26">
        <f t="shared" ref="FF105:FF136" si="361">$CN105*_xlfn.XLOOKUP(FF$1,$BT$2:$CA$2,$BT105:$CA105,0)</f>
        <v>0</v>
      </c>
      <c r="FG105" s="26">
        <f t="shared" ref="FG105:FG136" si="362">$CO105*_xlfn.XLOOKUP(FG$1,$BT$2:$CA$2,$BT105:$CA105,0)</f>
        <v>0</v>
      </c>
      <c r="FH105" s="26">
        <f t="shared" ref="FH105:FH136" si="363">$CP105*_xlfn.XLOOKUP(FH$1,$BT$2:$CA$2,$BT105:$CA105,0)</f>
        <v>13</v>
      </c>
      <c r="FI105" s="26">
        <f t="shared" ref="FI105:FI136" si="364">$CQ105*_xlfn.XLOOKUP(FI$1,$BT$2:$CA$2,$BT105:$CA105,0)</f>
        <v>13</v>
      </c>
      <c r="FJ105" s="26">
        <f t="shared" ref="FJ105:FJ136" si="365">$CR105*_xlfn.XLOOKUP(FJ$1,$BT$2:$CA$2,$BT105:$CA105,0)</f>
        <v>13</v>
      </c>
      <c r="FK105" s="26">
        <f t="shared" ref="FK105:FK136" si="366">$CS105*_xlfn.XLOOKUP(FK$1,$BT$2:$CA$2,$BT105:$CA105,0)</f>
        <v>13</v>
      </c>
      <c r="FL105" s="26">
        <f t="shared" ref="FL105:FL136" si="367">$CT105*_xlfn.XLOOKUP(FL$1,$BT$2:$CA$2,$BT105:$CA105,0)</f>
        <v>0</v>
      </c>
      <c r="FM105" s="26">
        <f t="shared" ref="FM105:FM136" si="368">$CU105*_xlfn.XLOOKUP(FM$1,$BT$2:$CA$2,$BT105:$CA105,0)</f>
        <v>0</v>
      </c>
      <c r="FN105" s="26">
        <f t="shared" ref="FN105:FN136" si="369">$CV105*_xlfn.XLOOKUP(FN$1,$BT$2:$CA$2,$BT105:$CA105,0)</f>
        <v>0</v>
      </c>
      <c r="FP105" s="26" t="e">
        <f t="shared" ref="FP105:FP136" si="370">$CN105*_xlfn.XLOOKUP(FP$1,$BT$2:$CA$2,$BT105:$CA105,0)</f>
        <v>#REF!</v>
      </c>
      <c r="FQ105" s="26" t="e">
        <f t="shared" ref="FQ105:FQ136" si="371">$CO105*_xlfn.XLOOKUP(FQ$1,$BT$2:$CA$2,$BT105:$CA105,0)</f>
        <v>#REF!</v>
      </c>
      <c r="FR105" s="26" t="e">
        <f t="shared" ref="FR105:FR136" si="372">$CP105*_xlfn.XLOOKUP(FR$1,$BT$2:$CA$2,$BT105:$CA105,0)</f>
        <v>#REF!</v>
      </c>
      <c r="FS105" s="26" t="e">
        <f t="shared" ref="FS105:FS136" si="373">$CQ105*_xlfn.XLOOKUP(FS$1,$BT$2:$CA$2,$BT105:$CA105,0)</f>
        <v>#REF!</v>
      </c>
      <c r="FT105" s="26" t="e">
        <f t="shared" ref="FT105:FT136" si="374">$CR105*_xlfn.XLOOKUP(FT$1,$BT$2:$CA$2,$BT105:$CA105,0)</f>
        <v>#REF!</v>
      </c>
      <c r="FU105" s="26" t="e">
        <f t="shared" ref="FU105:FU136" si="375">$CS105*_xlfn.XLOOKUP(FU$1,$BT$2:$CA$2,$BT105:$CA105,0)</f>
        <v>#REF!</v>
      </c>
      <c r="FV105" s="26" t="e">
        <f t="shared" ref="FV105:FV136" si="376">$CT105*_xlfn.XLOOKUP(FV$1,$BT$2:$CA$2,$BT105:$CA105,0)</f>
        <v>#REF!</v>
      </c>
      <c r="FW105" s="26" t="e">
        <f t="shared" ref="FW105:FW136" si="377">$CU105*_xlfn.XLOOKUP(FW$1,$BT$2:$CA$2,$BT105:$CA105,0)</f>
        <v>#REF!</v>
      </c>
      <c r="FX105" s="26" t="e">
        <f t="shared" ref="FX105:FX136" si="378">$CV105*_xlfn.XLOOKUP(FX$1,$BT$2:$CA$2,$BT105:$CA105,0)</f>
        <v>#REF!</v>
      </c>
      <c r="GB105" s="26" t="e">
        <f>IF(GB$2=InputTable[[#This Row],[Delivery Date]],_xlfn.XLOOKUP(GB$1,$BH$2:$BR$2,$BH105:$BR105,0),0)</f>
        <v>#REF!</v>
      </c>
      <c r="GC105" s="26">
        <f>IF(GC$2=InputTable[[#This Row],[Delivery Date]],_xlfn.XLOOKUP(GC$1,$BH$2:$BR$2,$BH105:$BR105,0),0)</f>
        <v>0</v>
      </c>
      <c r="GD105" s="26">
        <f>IF(GD$2=InputTable[[#This Row],[Delivery Date]],_xlfn.XLOOKUP(GD$1,$BH$2:$BR$2,$BH105:$BR105,0),0)</f>
        <v>0</v>
      </c>
      <c r="GE105" s="26">
        <f>IF(GE$2=InputTable[[#This Row],[Delivery Date]],_xlfn.XLOOKUP(GE$1,$BH$2:$BR$2,$BH105:$BR105,0),0)</f>
        <v>0</v>
      </c>
      <c r="GF105" s="26">
        <f>IF(GF$2=InputTable[[#This Row],[Delivery Date]],_xlfn.XLOOKUP(GF$1,$BH$2:$BR$2,$BH105:$BR105,0),0)</f>
        <v>0</v>
      </c>
      <c r="GG105" s="26">
        <f>IF(GG$2=InputTable[[#This Row],[Delivery Date]],_xlfn.XLOOKUP(GG$1,$BH$2:$BR$2,$BH105:$BR105,0),0)</f>
        <v>0</v>
      </c>
      <c r="GH105" s="26">
        <f>IF(GH$2=InputTable[[#This Row],[Delivery Date]],_xlfn.XLOOKUP(GH$1,$BH$2:$BR$2,$BH105:$BR105,0),0)</f>
        <v>0</v>
      </c>
      <c r="GI105" s="26">
        <f>IF(GI$2=InputTable[[#This Row],[Delivery Date]],_xlfn.XLOOKUP(GI$1,$BH$2:$BR$2,$BH105:$BR105,0),0)</f>
        <v>0</v>
      </c>
      <c r="GJ105" s="26">
        <f>IF(GJ$2=InputTable[[#This Row],[Delivery Date]],_xlfn.XLOOKUP(GJ$1,$BH$2:$BR$2,$BH105:$BR105,0),0)</f>
        <v>0</v>
      </c>
      <c r="GL105" s="26" t="e">
        <f>IF(GL$2=InputTable[[#This Row],[Delivery Date]],_xlfn.XLOOKUP(GL$1,$BH$2:$BR$2,$BH105:$BR105,0),0)</f>
        <v>#REF!</v>
      </c>
      <c r="GM105" s="26">
        <f>IF(GM$2=InputTable[[#This Row],[Delivery Date]],_xlfn.XLOOKUP(GM$1,$BH$2:$BR$2,$BH105:$BR105,0),0)</f>
        <v>0</v>
      </c>
      <c r="GN105" s="26">
        <f>IF(GN$2=InputTable[[#This Row],[Delivery Date]],_xlfn.XLOOKUP(GN$1,$BH$2:$BR$2,$BH105:$BR105,0),0)</f>
        <v>0</v>
      </c>
      <c r="GO105" s="26">
        <f>IF(GO$2=InputTable[[#This Row],[Delivery Date]],_xlfn.XLOOKUP(GO$1,$BH$2:$BR$2,$BH105:$BR105,0),0)</f>
        <v>0</v>
      </c>
      <c r="GP105" s="26">
        <f>IF(GP$2=InputTable[[#This Row],[Delivery Date]],_xlfn.XLOOKUP(GP$1,$BH$2:$BR$2,$BH105:$BR105,0),0)</f>
        <v>0</v>
      </c>
      <c r="GQ105" s="26">
        <f>IF(GQ$2=InputTable[[#This Row],[Delivery Date]],_xlfn.XLOOKUP(GQ$1,$BH$2:$BR$2,$BH105:$BR105,0),0)</f>
        <v>0</v>
      </c>
      <c r="GR105" s="26">
        <f>IF(GR$2=InputTable[[#This Row],[Delivery Date]],_xlfn.XLOOKUP(GR$1,$BH$2:$BR$2,$BH105:$BR105,0),0)</f>
        <v>0</v>
      </c>
      <c r="GS105" s="26">
        <f>IF(GS$2=InputTable[[#This Row],[Delivery Date]],_xlfn.XLOOKUP(GS$1,$BH$2:$BR$2,$BH105:$BR105,0),0)</f>
        <v>0</v>
      </c>
      <c r="GT105" s="26">
        <f>IF(GT$2=InputTable[[#This Row],[Delivery Date]],_xlfn.XLOOKUP(GT$1,$BH$2:$BR$2,$BH105:$BR105,0),0)</f>
        <v>0</v>
      </c>
      <c r="GV105" s="26" t="e">
        <f>IF(GV$2=InputTable[[#This Row],[Delivery Date]],_xlfn.XLOOKUP(GV$1,$BH$2:$BR$2,$BH105:$BR105,0),0)</f>
        <v>#REF!</v>
      </c>
      <c r="GW105" s="26">
        <f>IF(GW$2=InputTable[[#This Row],[Delivery Date]],_xlfn.XLOOKUP(GW$1,$BH$2:$BR$2,$BH105:$BR105,0),0)</f>
        <v>0</v>
      </c>
      <c r="GX105" s="26">
        <f>IF(GX$2=InputTable[[#This Row],[Delivery Date]],_xlfn.XLOOKUP(GX$1,$BH$2:$BR$2,$BH105:$BR105,0),0)</f>
        <v>0</v>
      </c>
      <c r="GY105" s="26">
        <f>IF(GY$2=InputTable[[#This Row],[Delivery Date]],_xlfn.XLOOKUP(GY$1,$BH$2:$BR$2,$BH105:$BR105,0),0)</f>
        <v>0</v>
      </c>
      <c r="GZ105" s="26">
        <f>IF(GZ$2=InputTable[[#This Row],[Delivery Date]],_xlfn.XLOOKUP(GZ$1,$BH$2:$BR$2,$BH105:$BR105,0),0)</f>
        <v>0</v>
      </c>
      <c r="HA105" s="26">
        <f>IF(HA$2=InputTable[[#This Row],[Delivery Date]],_xlfn.XLOOKUP(HA$1,$BH$2:$BR$2,$BH105:$BR105,0),0)</f>
        <v>0</v>
      </c>
      <c r="HB105" s="26">
        <f>IF(HB$2=InputTable[[#This Row],[Delivery Date]],_xlfn.XLOOKUP(HB$1,$BH$2:$BR$2,$BH105:$BR105,0),0)</f>
        <v>0</v>
      </c>
      <c r="HC105" s="26">
        <f>IF(HC$2=InputTable[[#This Row],[Delivery Date]],_xlfn.XLOOKUP(HC$1,$BH$2:$BR$2,$BH105:$BR105,0),0)</f>
        <v>0</v>
      </c>
      <c r="HD105" s="26">
        <f>IF(HD$2=InputTable[[#This Row],[Delivery Date]],_xlfn.XLOOKUP(HD$1,$BH$2:$BR$2,$BH105:$BR105,0),0)</f>
        <v>0</v>
      </c>
      <c r="HF105" s="26" t="e">
        <f>IF(HF$2=InputTable[[#This Row],[Delivery Date]],_xlfn.XLOOKUP(HF$1,$BH$2:$BR$2,$BH105:$BR105,0),0)</f>
        <v>#REF!</v>
      </c>
      <c r="HG105" s="26">
        <f>IF(HG$2=InputTable[[#This Row],[Delivery Date]],_xlfn.XLOOKUP(HG$1,$BH$2:$BR$2,$BH105:$BR105,0),0)</f>
        <v>0</v>
      </c>
      <c r="HH105" s="26">
        <f>IF(HH$2=InputTable[[#This Row],[Delivery Date]],_xlfn.XLOOKUP(HH$1,$BH$2:$BR$2,$BH105:$BR105,0),0)</f>
        <v>0</v>
      </c>
      <c r="HI105" s="26">
        <f>IF(HI$2=InputTable[[#This Row],[Delivery Date]],_xlfn.XLOOKUP(HI$1,$BH$2:$BR$2,$BH105:$BR105,0),0)</f>
        <v>0</v>
      </c>
      <c r="HJ105" s="26">
        <f>IF(HJ$2=InputTable[[#This Row],[Delivery Date]],_xlfn.XLOOKUP(HJ$1,$BH$2:$BR$2,$BH105:$BR105,0),0)</f>
        <v>0</v>
      </c>
      <c r="HK105" s="26">
        <f>IF(HK$2=InputTable[[#This Row],[Delivery Date]],_xlfn.XLOOKUP(HK$1,$BH$2:$BR$2,$BH105:$BR105,0),0)</f>
        <v>0</v>
      </c>
      <c r="HL105" s="26">
        <f>IF(HL$2=InputTable[[#This Row],[Delivery Date]],_xlfn.XLOOKUP(HL$1,$BH$2:$BR$2,$BH105:$BR105,0),0)</f>
        <v>0</v>
      </c>
      <c r="HM105" s="26">
        <f>IF(HM$2=InputTable[[#This Row],[Delivery Date]],_xlfn.XLOOKUP(HM$1,$BH$2:$BR$2,$BH105:$BR105,0),0)</f>
        <v>0</v>
      </c>
      <c r="HN105" s="26">
        <f>IF(HN$2=InputTable[[#This Row],[Delivery Date]],_xlfn.XLOOKUP(HN$1,$BH$2:$BR$2,$BH105:$BR105,0),0)</f>
        <v>0</v>
      </c>
      <c r="HP105" s="26" t="e">
        <f>IF(HP$2=InputTable[[#This Row],[Delivery Date]],_xlfn.XLOOKUP(HP$1,$BH$2:$BR$2,$BH105:$BR105,0),0)</f>
        <v>#REF!</v>
      </c>
      <c r="HQ105" s="26">
        <f>IF(HQ$2=InputTable[[#This Row],[Delivery Date]],_xlfn.XLOOKUP(HQ$1,$BH$2:$BR$2,$BH105:$BR105,0),0)</f>
        <v>0</v>
      </c>
      <c r="HR105" s="26">
        <f>IF(HR$2=InputTable[[#This Row],[Delivery Date]],_xlfn.XLOOKUP(HR$1,$BH$2:$BR$2,$BH105:$BR105,0),0)</f>
        <v>0</v>
      </c>
      <c r="HS105" s="26">
        <f>IF(HS$2=InputTable[[#This Row],[Delivery Date]],_xlfn.XLOOKUP(HS$1,$BH$2:$BR$2,$BH105:$BR105,0),0)</f>
        <v>0</v>
      </c>
      <c r="HT105" s="26">
        <f>IF(HT$2=InputTable[[#This Row],[Delivery Date]],_xlfn.XLOOKUP(HT$1,$BH$2:$BR$2,$BH105:$BR105,0),0)</f>
        <v>0</v>
      </c>
      <c r="HU105" s="26">
        <f>IF(HU$2=InputTable[[#This Row],[Delivery Date]],_xlfn.XLOOKUP(HU$1,$BH$2:$BR$2,$BH105:$BR105,0),0)</f>
        <v>0</v>
      </c>
      <c r="HV105" s="26">
        <f>IF(HV$2=InputTable[[#This Row],[Delivery Date]],_xlfn.XLOOKUP(HV$1,$BH$2:$BR$2,$BH105:$BR105,0),0)</f>
        <v>0</v>
      </c>
      <c r="HW105" s="26">
        <f>IF(HW$2=InputTable[[#This Row],[Delivery Date]],_xlfn.XLOOKUP(HW$1,$BH$2:$BR$2,$BH105:$BR105,0),0)</f>
        <v>0</v>
      </c>
      <c r="HX105" s="26">
        <f>IF(HX$2=InputTable[[#This Row],[Delivery Date]],_xlfn.XLOOKUP(HX$1,$BH$2:$BR$2,$BH105:$BR105,0),0)</f>
        <v>0</v>
      </c>
      <c r="HZ105" s="26" t="e">
        <f>IF(HZ$2=InputTable[[#This Row],[Delivery Date]],_xlfn.XLOOKUP(HZ$1,$BH$2:$BR$2,$BH105:$BR105,0),0)</f>
        <v>#REF!</v>
      </c>
      <c r="IA105" s="26">
        <f>IF(IA$2=InputTable[[#This Row],[Delivery Date]],_xlfn.XLOOKUP(IA$1,$BH$2:$BR$2,$BH105:$BR105,0),0)</f>
        <v>0</v>
      </c>
      <c r="IB105" s="26">
        <f>IF(IB$2=InputTable[[#This Row],[Delivery Date]],_xlfn.XLOOKUP(IB$1,$BH$2:$BR$2,$BH105:$BR105,0),0)</f>
        <v>0</v>
      </c>
      <c r="IC105" s="26">
        <f>IF(IC$2=InputTable[[#This Row],[Delivery Date]],_xlfn.XLOOKUP(IC$1,$BH$2:$BR$2,$BH105:$BR105,0),0)</f>
        <v>0</v>
      </c>
      <c r="ID105" s="26">
        <f>IF(ID$2=InputTable[[#This Row],[Delivery Date]],_xlfn.XLOOKUP(ID$1,$BH$2:$BR$2,$BH105:$BR105,0),0)</f>
        <v>0</v>
      </c>
      <c r="IE105" s="26">
        <f>IF(IE$2=InputTable[[#This Row],[Delivery Date]],_xlfn.XLOOKUP(IE$1,$BH$2:$BR$2,$BH105:$BR105,0),0)</f>
        <v>0</v>
      </c>
      <c r="IF105" s="26">
        <f>IF(IF$2=InputTable[[#This Row],[Delivery Date]],_xlfn.XLOOKUP(IF$1,$BH$2:$BR$2,$BH105:$BR105,0),0)</f>
        <v>0</v>
      </c>
      <c r="IG105" s="26">
        <f>IF(IG$2=InputTable[[#This Row],[Delivery Date]],_xlfn.XLOOKUP(IG$1,$BH$2:$BR$2,$BH105:$BR105,0),0)</f>
        <v>0</v>
      </c>
      <c r="IH105" s="26">
        <f>IF(IH$2=InputTable[[#This Row],[Delivery Date]],_xlfn.XLOOKUP(IH$1,$BH$2:$BR$2,$BH105:$BR105,0),0)</f>
        <v>0</v>
      </c>
      <c r="IJ105" s="26" t="e">
        <f>IF(IJ$2=InputTable[[#This Row],[Delivery Date]],_xlfn.XLOOKUP(IJ$1,$BH$2:$BR$2,$BH105:$BR105,0),0)</f>
        <v>#REF!</v>
      </c>
      <c r="IK105" s="26">
        <f>IF(IK$2=InputTable[[#This Row],[Delivery Date]],_xlfn.XLOOKUP(IK$1,$BH$2:$BR$2,$BH105:$BR105,0),0)</f>
        <v>0</v>
      </c>
      <c r="IL105" s="26">
        <f>IF(IL$2=InputTable[[#This Row],[Delivery Date]],_xlfn.XLOOKUP(IL$1,$BH$2:$BR$2,$BH105:$BR105,0),0)</f>
        <v>0</v>
      </c>
      <c r="IM105" s="26">
        <f>IF(IM$2=InputTable[[#This Row],[Delivery Date]],_xlfn.XLOOKUP(IM$1,$BH$2:$BR$2,$BH105:$BR105,0),0)</f>
        <v>0</v>
      </c>
      <c r="IN105" s="26">
        <f>IF(IN$2=InputTable[[#This Row],[Delivery Date]],_xlfn.XLOOKUP(IN$1,$BH$2:$BR$2,$BH105:$BR105,0),0)</f>
        <v>0</v>
      </c>
      <c r="IO105" s="26">
        <f>IF(IO$2=InputTable[[#This Row],[Delivery Date]],_xlfn.XLOOKUP(IO$1,$BH$2:$BR$2,$BH105:$BR105,0),0)</f>
        <v>0</v>
      </c>
      <c r="IP105" s="26">
        <f>IF(IP$2=InputTable[[#This Row],[Delivery Date]],_xlfn.XLOOKUP(IP$1,$BH$2:$BR$2,$BH105:$BR105,0),0)</f>
        <v>0</v>
      </c>
      <c r="IQ105" s="26">
        <f>IF(IQ$2=InputTable[[#This Row],[Delivery Date]],_xlfn.XLOOKUP(IQ$1,$BH$2:$BR$2,$BH105:$BR105,0),0)</f>
        <v>0</v>
      </c>
      <c r="IR105" s="26">
        <f>IF(IR$2=InputTable[[#This Row],[Delivery Date]],_xlfn.XLOOKUP(IR$1,$BH$2:$BR$2,$BH105:$BR105,0),0)</f>
        <v>0</v>
      </c>
      <c r="IT105" s="26" t="e">
        <f>IF(IT$2=InputTable[[#This Row],[Delivery Date]],_xlfn.XLOOKUP(IT$1,$BH$2:$BR$2,$BH105:$BR105,0),0)</f>
        <v>#REF!</v>
      </c>
      <c r="IU105" s="26">
        <f>IF(IU$2=InputTable[[#This Row],[Delivery Date]],_xlfn.XLOOKUP(IU$1,$BH$2:$BR$2,$BH105:$BR105,0),0)</f>
        <v>0</v>
      </c>
      <c r="IV105" s="26">
        <f>IF(IV$2=InputTable[[#This Row],[Delivery Date]],_xlfn.XLOOKUP(IV$1,$BH$2:$BR$2,$BH105:$BR105,0),0)</f>
        <v>0</v>
      </c>
      <c r="IW105" s="26">
        <f>IF(IW$2=InputTable[[#This Row],[Delivery Date]],_xlfn.XLOOKUP(IW$1,$BH$2:$BR$2,$BH105:$BR105,0),0)</f>
        <v>0</v>
      </c>
      <c r="IX105" s="26">
        <f>IF(IX$2=InputTable[[#This Row],[Delivery Date]],_xlfn.XLOOKUP(IX$1,$BH$2:$BR$2,$BH105:$BR105,0),0)</f>
        <v>0</v>
      </c>
      <c r="IY105" s="26">
        <f>IF(IY$2=InputTable[[#This Row],[Delivery Date]],_xlfn.XLOOKUP(IY$1,$BH$2:$BR$2,$BH105:$BR105,0),0)</f>
        <v>0</v>
      </c>
      <c r="IZ105" s="26">
        <f>IF(IZ$2=InputTable[[#This Row],[Delivery Date]],_xlfn.XLOOKUP(IZ$1,$BH$2:$BR$2,$BH105:$BR105,0),0)</f>
        <v>0</v>
      </c>
      <c r="JA105" s="26">
        <f>IF(JA$2=InputTable[[#This Row],[Delivery Date]],_xlfn.XLOOKUP(JA$1,$BH$2:$BR$2,$BH105:$BR105,0),0)</f>
        <v>0</v>
      </c>
      <c r="JB105" s="26">
        <f>IF(JB$2=InputTable[[#This Row],[Delivery Date]],_xlfn.XLOOKUP(JB$1,$BH$2:$BR$2,$BH105:$BR105,0),0)</f>
        <v>0</v>
      </c>
      <c r="JD105" s="26" t="e">
        <f>IF(JD$2=InputTable[[#This Row],[Delivery Date]],_xlfn.XLOOKUP(JD$1,$BH$2:$BR$2,$BH105:$BR105,0),0)</f>
        <v>#REF!</v>
      </c>
      <c r="JE105" s="26">
        <f>IF(JE$2=InputTable[[#This Row],[Delivery Date]],_xlfn.XLOOKUP(JE$1,$BH$2:$BR$2,$BH105:$BR105,0),0)</f>
        <v>0</v>
      </c>
      <c r="JF105" s="26">
        <f>IF(JF$2=InputTable[[#This Row],[Delivery Date]],_xlfn.XLOOKUP(JF$1,$BH$2:$BR$2,$BH105:$BR105,0),0)</f>
        <v>0</v>
      </c>
      <c r="JG105" s="26">
        <f>IF(JG$2=InputTable[[#This Row],[Delivery Date]],_xlfn.XLOOKUP(JG$1,$BH$2:$BR$2,$BH105:$BR105,0),0)</f>
        <v>0</v>
      </c>
      <c r="JH105" s="26">
        <f>IF(JH$2=InputTable[[#This Row],[Delivery Date]],_xlfn.XLOOKUP(JH$1,$BH$2:$BR$2,$BH105:$BR105,0),0)</f>
        <v>0</v>
      </c>
      <c r="JI105" s="26">
        <f>IF(JI$2=InputTable[[#This Row],[Delivery Date]],_xlfn.XLOOKUP(JI$1,$BH$2:$BR$2,$BH105:$BR105,0),0)</f>
        <v>0</v>
      </c>
      <c r="JJ105" s="26">
        <f>IF(JJ$2=InputTable[[#This Row],[Delivery Date]],_xlfn.XLOOKUP(JJ$1,$BH$2:$BR$2,$BH105:$BR105,0),0)</f>
        <v>0</v>
      </c>
      <c r="JK105" s="26">
        <f>IF(JK$2=InputTable[[#This Row],[Delivery Date]],_xlfn.XLOOKUP(JK$1,$BH$2:$BR$2,$BH105:$BR105,0),0)</f>
        <v>0</v>
      </c>
      <c r="JL105" s="26">
        <f>IF(JL$2=InputTable[[#This Row],[Delivery Date]],_xlfn.XLOOKUP(JL$1,$BH$2:$BR$2,$BH105:$BR105,0),0)</f>
        <v>0</v>
      </c>
      <c r="JN105" s="26" t="e">
        <f>IF(JN$2=InputTable[[#This Row],[Delivery Date]],_xlfn.XLOOKUP(JN$1,$BH$2:$BR$2,$BH105:$BR105,0),0)</f>
        <v>#REF!</v>
      </c>
      <c r="JO105" s="26">
        <f>IF(JO$2=InputTable[[#This Row],[Delivery Date]],_xlfn.XLOOKUP(JO$1,$BH$2:$BR$2,$BH105:$BR105,0),0)</f>
        <v>0</v>
      </c>
      <c r="JP105" s="26">
        <f>IF(JP$2=InputTable[[#This Row],[Delivery Date]],_xlfn.XLOOKUP(JP$1,$BH$2:$BR$2,$BH105:$BR105,0),0)</f>
        <v>0</v>
      </c>
      <c r="JQ105" s="26">
        <f>IF(JQ$2=InputTable[[#This Row],[Delivery Date]],_xlfn.XLOOKUP(JQ$1,$BH$2:$BR$2,$BH105:$BR105,0),0)</f>
        <v>0</v>
      </c>
      <c r="JR105" s="26">
        <f>IF(JR$2=InputTable[[#This Row],[Delivery Date]],_xlfn.XLOOKUP(JR$1,$BH$2:$BR$2,$BH105:$BR105,0),0)</f>
        <v>0</v>
      </c>
      <c r="JS105" s="26">
        <f>IF(JS$2=InputTable[[#This Row],[Delivery Date]],_xlfn.XLOOKUP(JS$1,$BH$2:$BR$2,$BH105:$BR105,0),0)</f>
        <v>0</v>
      </c>
      <c r="JT105" s="26">
        <f>IF(JT$2=InputTable[[#This Row],[Delivery Date]],_xlfn.XLOOKUP(JT$1,$BH$2:$BR$2,$BH105:$BR105,0),0)</f>
        <v>0</v>
      </c>
      <c r="JU105" s="26">
        <f>IF(JU$2=InputTable[[#This Row],[Delivery Date]],_xlfn.XLOOKUP(JU$1,$BH$2:$BR$2,$BH105:$BR105,0),0)</f>
        <v>0</v>
      </c>
      <c r="JV105" s="26">
        <f>IF(JV$2=InputTable[[#This Row],[Delivery Date]],_xlfn.XLOOKUP(JV$1,$BH$2:$BR$2,$BH105:$BR105,0),0)</f>
        <v>0</v>
      </c>
      <c r="JX105" s="26" t="e">
        <f>IF(JX$2=InputTable[[#This Row],[Delivery Date]],_xlfn.XLOOKUP(JX$1,$BH$2:$BR$2,$BH105:$BR105,0),0)</f>
        <v>#REF!</v>
      </c>
      <c r="JY105" s="26">
        <f>IF(JY$2=InputTable[[#This Row],[Delivery Date]],_xlfn.XLOOKUP(JY$1,$BH$2:$BR$2,$BH105:$BR105,0),0)</f>
        <v>0</v>
      </c>
      <c r="JZ105" s="26">
        <f>IF(JZ$2=InputTable[[#This Row],[Delivery Date]],_xlfn.XLOOKUP(JZ$1,$BH$2:$BR$2,$BH105:$BR105,0),0)</f>
        <v>0</v>
      </c>
      <c r="KA105" s="26">
        <f>IF(KA$2=InputTable[[#This Row],[Delivery Date]],_xlfn.XLOOKUP(KA$1,$BH$2:$BR$2,$BH105:$BR105,0),0)</f>
        <v>0</v>
      </c>
      <c r="KB105" s="26">
        <f>IF(KB$2=InputTable[[#This Row],[Delivery Date]],_xlfn.XLOOKUP(KB$1,$BH$2:$BR$2,$BH105:$BR105,0),0)</f>
        <v>0</v>
      </c>
      <c r="KC105" s="26">
        <f>IF(KC$2=InputTable[[#This Row],[Delivery Date]],_xlfn.XLOOKUP(KC$1,$BH$2:$BR$2,$BH105:$BR105,0),0)</f>
        <v>0</v>
      </c>
      <c r="KD105" s="26">
        <f>IF(KD$2=InputTable[[#This Row],[Delivery Date]],_xlfn.XLOOKUP(KD$1,$BH$2:$BR$2,$BH105:$BR105,0),0)</f>
        <v>0</v>
      </c>
      <c r="KE105" s="26">
        <f>IF(KE$2=InputTable[[#This Row],[Delivery Date]],_xlfn.XLOOKUP(KE$1,$BH$2:$BR$2,$BH105:$BR105,0),0)</f>
        <v>0</v>
      </c>
      <c r="KF105" s="26">
        <f>IF(KF$2=InputTable[[#This Row],[Delivery Date]],_xlfn.XLOOKUP(KF$1,$BH$2:$BR$2,$BH105:$BR105,0),0)</f>
        <v>0</v>
      </c>
    </row>
    <row r="106" spans="1:292" ht="39.6" customHeight="1" x14ac:dyDescent="0.25">
      <c r="A106" s="141" t="s">
        <v>134</v>
      </c>
      <c r="B106" s="141" t="s">
        <v>92</v>
      </c>
      <c r="C106" s="92" t="s">
        <v>60</v>
      </c>
      <c r="D106" s="125" t="s">
        <v>421</v>
      </c>
      <c r="E106" s="193" t="s">
        <v>422</v>
      </c>
      <c r="F106" s="92" t="s">
        <v>24</v>
      </c>
      <c r="G106" s="92" t="s">
        <v>97</v>
      </c>
      <c r="H106" s="92"/>
      <c r="I106" s="92">
        <v>2026</v>
      </c>
      <c r="J106" s="126" t="s">
        <v>152</v>
      </c>
      <c r="K106" s="95" t="e">
        <f>VLOOKUP((InputTable[[#This Row],[Starting Date]]&amp; " - " &amp;InputTable[[#This Row],[Delivery Date]]),'System List'!$F$40:$H$83,2,FALSE)</f>
        <v>#N/A</v>
      </c>
      <c r="L106" s="95" t="e">
        <f>VLOOKUP(InputTable[[#This Row],[Duration]],Duration,2,FALSE)</f>
        <v>#N/A</v>
      </c>
      <c r="M106" s="125"/>
      <c r="N106" s="92"/>
      <c r="O106" s="92"/>
      <c r="P106" s="92"/>
      <c r="Q106" s="92" t="s">
        <v>111</v>
      </c>
      <c r="R106" s="92"/>
      <c r="S106" s="92"/>
      <c r="T106" s="95" cm="1">
        <f t="array" ref="T106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0.5</v>
      </c>
      <c r="U106" s="138"/>
      <c r="V106" s="92"/>
      <c r="W106" s="92"/>
      <c r="X106" s="92"/>
      <c r="Y106" s="92"/>
      <c r="Z106" s="92" t="s">
        <v>111</v>
      </c>
      <c r="AA106" s="92"/>
      <c r="AB106" s="92"/>
      <c r="AC106" s="92"/>
      <c r="AD106" s="92">
        <f>COUNTA(InputTable[[#This Row],[CORPHRFIN]:[SALES]])</f>
        <v>1</v>
      </c>
      <c r="AE106" s="88" cm="1">
        <f t="array" ref="AE106">SUM(
_xlfn.XLOOKUP(InputTable[[#This Row],[CORPHRFIN]:[SALES]],'System List'!$F$4:$F$7,'System List'!$H$4:$H$7,0))</f>
        <v>5</v>
      </c>
      <c r="AF106" s="140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88" cm="1">
        <f t="array" ref="AR106">SUM(
_xlfn.XLOOKUP(InputTable[[#This Row],[Impact on - CIAL]:[Impact on - STRAT]],'System List'!$F$4:$F$7,'System List'!$H$4:$H$7,0))</f>
        <v>0</v>
      </c>
      <c r="AS106" s="88" t="e">
        <f>VLOOKUP(InputTable[[#This Row],[Duration]],Duration,2,FALSE)+InputTable[[#This Row],[Resource Score]]</f>
        <v>#N/A</v>
      </c>
      <c r="AT10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6" s="24" t="e">
        <f>InputTable[[#This Row],[Value Score]]/InputTable[[#This Row],[EFFORT SCORE]]*100</f>
        <v>#N/A</v>
      </c>
      <c r="AV106" s="25" t="str">
        <f>InputTable[[#This Row],[IS Portfolio Ref ID]]</f>
        <v>ISPRJ-73</v>
      </c>
      <c r="AW106" s="25" t="s">
        <v>255</v>
      </c>
      <c r="AX106" s="208" t="s">
        <v>423</v>
      </c>
      <c r="AY106" s="25" t="s">
        <v>263</v>
      </c>
      <c r="AZ106" s="209">
        <v>0</v>
      </c>
      <c r="BA106" s="209">
        <v>0</v>
      </c>
      <c r="BB106" s="209"/>
      <c r="BC106" s="189">
        <v>-1</v>
      </c>
      <c r="BD106" s="188">
        <v>1</v>
      </c>
      <c r="BE106" s="188"/>
      <c r="BF106" s="70"/>
      <c r="BH106" s="2">
        <f>IFERROR(VLOOKUP(InputTable[[#This Row],[Impact on - CIAL]],'System List'!$F$4:$H$7,3,FALSE),0)</f>
        <v>0</v>
      </c>
      <c r="BI106" s="2">
        <f>IFERROR(VLOOKUP(InputTable[[#This Row],[Impact on - COM]],'System List'!$F$4:$H$7,3,FALSE),0)</f>
        <v>0</v>
      </c>
      <c r="BJ106" s="2">
        <f>IFERROR(VLOOKUP(InputTable[[#This Row],[Impact on - FIN]],'System List'!$F$4:$H$7,3,FALSE),0)</f>
        <v>0</v>
      </c>
      <c r="BK106" s="2">
        <f>IFERROR(VLOOKUP(InputTable[[#This Row],[Impact on - GEN SEC]],'System List'!$F$4:$H$7,3,FALSE),0)</f>
        <v>0</v>
      </c>
      <c r="BL106" s="2">
        <f>IFERROR(VLOOKUP(InputTable[[#This Row],[Impact on - HR]],'System List'!$F$4:$H$7,3,FALSE),0)</f>
        <v>0</v>
      </c>
      <c r="BM106" s="2">
        <f>IFERROR(VLOOKUP(InputTable[[#This Row],[Impact on - IS]],'System List'!$F$4:$H$7,3,FALSE),0)</f>
        <v>0</v>
      </c>
      <c r="BN106" s="2">
        <f>IFERROR(VLOOKUP(InputTable[[#This Row],[Impact on - OPS]],'System List'!$F$4:$H$7,3,FALSE),0)</f>
        <v>0</v>
      </c>
      <c r="BO106" s="2">
        <f>IFERROR(VLOOKUP(InputTable[[#This Row],[Impact on - ROLL STOCK]],'System List'!$F$4:$H$7,3,FALSE),0)</f>
        <v>0</v>
      </c>
      <c r="BP106" s="2">
        <f>IFERROR(VLOOKUP(InputTable[[#This Row],[Impact on - SAFETY]],'System List'!$F$4:$H$7,3,FALSE),0)</f>
        <v>0</v>
      </c>
      <c r="BQ106" s="2">
        <f>IFERROR(VLOOKUP(InputTable[[#This Row],[Impact on - STATION]],'System List'!$F$4:$H$7,3,FALSE),0)</f>
        <v>0</v>
      </c>
      <c r="BR106" s="2">
        <f>IFERROR(VLOOKUP(InputTable[[#This Row],[Impact on - STRAT]],'System List'!$F$4:$H$7,3,FALSE),0)</f>
        <v>0</v>
      </c>
      <c r="BT106" s="2">
        <f>IFERROR(VLOOKUP(InputTable[[#This Row],[CORPHRFIN]],'System List'!$F$4:$H$7,3,FALSE),0)</f>
        <v>0</v>
      </c>
      <c r="BU106" s="2">
        <f>IFERROR(VLOOKUP(InputTable[[#This Row],[CUST]],'System List'!$F$4:$H$7,3,FALSE),0)</f>
        <v>0</v>
      </c>
      <c r="BV106" s="2">
        <f>IFERROR(VLOOKUP(InputTable[[#This Row],[CYBER]],'System List'!$F$4:$H$7,3,FALSE),0)</f>
        <v>0</v>
      </c>
      <c r="BW106" s="2">
        <f>IFERROR(VLOOKUP(InputTable[[#This Row],[DATA]],'System List'!$F$4:$H$7,3,FALSE),0)</f>
        <v>0</v>
      </c>
      <c r="BX106" s="2">
        <f>IFERROR(VLOOKUP(InputTable[[#This Row],[INFRA]],'System List'!$F$4:$H$7,3,FALSE),0)</f>
        <v>5</v>
      </c>
      <c r="BY106" s="2">
        <f>IFERROR(VLOOKUP(InputTable[[#This Row],[OPERATIONS]],'System List'!$F$4:$H$7,3,FALSE),0)</f>
        <v>0</v>
      </c>
      <c r="BZ106" s="2">
        <f>IFERROR(VLOOKUP(InputTable[[#This Row],[PMO]],'System List'!$F$4:$H$7,3,FALSE),0)</f>
        <v>0</v>
      </c>
      <c r="CA106" s="2">
        <f>IFERROR(VLOOKUP(InputTable[[#This Row],[SALES]],'System List'!$F$4:$H$7,3,FALSE),0)</f>
        <v>0</v>
      </c>
      <c r="CC106" s="2" cm="1">
        <f t="array" ref="CC10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6" s="2" cm="1">
        <f t="array" ref="CD10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6" s="2" cm="1">
        <f t="array" ref="CE10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6" s="2" cm="1">
        <f t="array" ref="CF10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6" s="2" cm="1">
        <f t="array" ref="CG10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6" s="2" cm="1">
        <f t="array" ref="CH10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6" s="2" cm="1">
        <f t="array" ref="CI10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6" s="2" cm="1">
        <f t="array" ref="CJ10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6" s="2" cm="1">
        <f t="array" ref="CK10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6" s="26">
        <f t="shared" si="307"/>
        <v>0</v>
      </c>
      <c r="CY106" s="26">
        <f t="shared" si="308"/>
        <v>0</v>
      </c>
      <c r="CZ106" s="26">
        <f t="shared" si="309"/>
        <v>0</v>
      </c>
      <c r="DA106" s="26">
        <f t="shared" si="310"/>
        <v>0</v>
      </c>
      <c r="DB106" s="26">
        <f t="shared" si="311"/>
        <v>0</v>
      </c>
      <c r="DC106" s="26">
        <f t="shared" si="312"/>
        <v>0</v>
      </c>
      <c r="DD106" s="26">
        <f t="shared" si="313"/>
        <v>0</v>
      </c>
      <c r="DE106" s="26">
        <f t="shared" si="314"/>
        <v>0</v>
      </c>
      <c r="DF106" s="26">
        <f t="shared" si="315"/>
        <v>0</v>
      </c>
      <c r="DH106" s="26">
        <f t="shared" si="316"/>
        <v>0</v>
      </c>
      <c r="DI106" s="26">
        <f t="shared" si="317"/>
        <v>0</v>
      </c>
      <c r="DJ106" s="26">
        <f t="shared" si="318"/>
        <v>0</v>
      </c>
      <c r="DK106" s="26">
        <f t="shared" si="319"/>
        <v>0</v>
      </c>
      <c r="DL106" s="26">
        <f t="shared" si="320"/>
        <v>0</v>
      </c>
      <c r="DM106" s="26">
        <f t="shared" si="321"/>
        <v>0</v>
      </c>
      <c r="DN106" s="26">
        <f t="shared" si="322"/>
        <v>0</v>
      </c>
      <c r="DO106" s="26">
        <f t="shared" si="323"/>
        <v>0</v>
      </c>
      <c r="DP106" s="26">
        <f t="shared" si="324"/>
        <v>0</v>
      </c>
      <c r="DR106" s="26">
        <f t="shared" si="325"/>
        <v>0</v>
      </c>
      <c r="DS106" s="26">
        <f t="shared" si="326"/>
        <v>0</v>
      </c>
      <c r="DT106" s="26">
        <f t="shared" si="327"/>
        <v>0</v>
      </c>
      <c r="DU106" s="26">
        <f t="shared" si="328"/>
        <v>0</v>
      </c>
      <c r="DV106" s="26">
        <f t="shared" si="329"/>
        <v>0</v>
      </c>
      <c r="DW106" s="26">
        <f t="shared" si="330"/>
        <v>0</v>
      </c>
      <c r="DX106" s="26">
        <f t="shared" si="331"/>
        <v>0</v>
      </c>
      <c r="DY106" s="26">
        <f t="shared" si="332"/>
        <v>0</v>
      </c>
      <c r="DZ106" s="26">
        <f t="shared" si="333"/>
        <v>0</v>
      </c>
      <c r="EB106" s="26">
        <f t="shared" si="334"/>
        <v>0</v>
      </c>
      <c r="EC106" s="26">
        <f t="shared" si="335"/>
        <v>0</v>
      </c>
      <c r="ED106" s="26">
        <f t="shared" si="336"/>
        <v>0</v>
      </c>
      <c r="EE106" s="26">
        <f t="shared" si="337"/>
        <v>0</v>
      </c>
      <c r="EF106" s="26">
        <f t="shared" si="338"/>
        <v>0</v>
      </c>
      <c r="EG106" s="26">
        <f t="shared" si="339"/>
        <v>0</v>
      </c>
      <c r="EH106" s="26">
        <f t="shared" si="340"/>
        <v>0</v>
      </c>
      <c r="EI106" s="26">
        <f t="shared" si="341"/>
        <v>0</v>
      </c>
      <c r="EJ106" s="26">
        <f t="shared" si="342"/>
        <v>0</v>
      </c>
      <c r="EL106" s="26">
        <f t="shared" si="343"/>
        <v>0</v>
      </c>
      <c r="EM106" s="26">
        <f t="shared" si="344"/>
        <v>0</v>
      </c>
      <c r="EN106" s="26">
        <f t="shared" si="345"/>
        <v>5</v>
      </c>
      <c r="EO106" s="26">
        <f t="shared" si="346"/>
        <v>5</v>
      </c>
      <c r="EP106" s="26">
        <f t="shared" si="347"/>
        <v>5</v>
      </c>
      <c r="EQ106" s="26">
        <f t="shared" si="348"/>
        <v>5</v>
      </c>
      <c r="ER106" s="26">
        <f t="shared" si="349"/>
        <v>0</v>
      </c>
      <c r="ES106" s="26">
        <f t="shared" si="350"/>
        <v>0</v>
      </c>
      <c r="ET106" s="26">
        <f t="shared" si="351"/>
        <v>0</v>
      </c>
      <c r="EV106" s="26">
        <f t="shared" si="352"/>
        <v>0</v>
      </c>
      <c r="EW106" s="26">
        <f t="shared" si="353"/>
        <v>0</v>
      </c>
      <c r="EX106" s="26">
        <f t="shared" si="354"/>
        <v>0</v>
      </c>
      <c r="EY106" s="26">
        <f t="shared" si="355"/>
        <v>0</v>
      </c>
      <c r="EZ106" s="26">
        <f t="shared" si="356"/>
        <v>0</v>
      </c>
      <c r="FA106" s="26">
        <f t="shared" si="357"/>
        <v>0</v>
      </c>
      <c r="FB106" s="26">
        <f t="shared" si="358"/>
        <v>0</v>
      </c>
      <c r="FC106" s="26">
        <f t="shared" si="359"/>
        <v>0</v>
      </c>
      <c r="FD106" s="26">
        <f t="shared" si="360"/>
        <v>0</v>
      </c>
      <c r="FF106" s="26">
        <f t="shared" si="361"/>
        <v>0</v>
      </c>
      <c r="FG106" s="26">
        <f t="shared" si="362"/>
        <v>0</v>
      </c>
      <c r="FH106" s="26">
        <f t="shared" si="363"/>
        <v>0</v>
      </c>
      <c r="FI106" s="26">
        <f t="shared" si="364"/>
        <v>0</v>
      </c>
      <c r="FJ106" s="26">
        <f t="shared" si="365"/>
        <v>0</v>
      </c>
      <c r="FK106" s="26">
        <f t="shared" si="366"/>
        <v>0</v>
      </c>
      <c r="FL106" s="26">
        <f t="shared" si="367"/>
        <v>0</v>
      </c>
      <c r="FM106" s="26">
        <f t="shared" si="368"/>
        <v>0</v>
      </c>
      <c r="FN106" s="26">
        <f t="shared" si="369"/>
        <v>0</v>
      </c>
      <c r="FP106" s="26" t="e">
        <f t="shared" si="370"/>
        <v>#REF!</v>
      </c>
      <c r="FQ106" s="26" t="e">
        <f t="shared" si="371"/>
        <v>#REF!</v>
      </c>
      <c r="FR106" s="26" t="e">
        <f t="shared" si="372"/>
        <v>#REF!</v>
      </c>
      <c r="FS106" s="26" t="e">
        <f t="shared" si="373"/>
        <v>#REF!</v>
      </c>
      <c r="FT106" s="26" t="e">
        <f t="shared" si="374"/>
        <v>#REF!</v>
      </c>
      <c r="FU106" s="26" t="e">
        <f t="shared" si="375"/>
        <v>#REF!</v>
      </c>
      <c r="FV106" s="26" t="e">
        <f t="shared" si="376"/>
        <v>#REF!</v>
      </c>
      <c r="FW106" s="26" t="e">
        <f t="shared" si="377"/>
        <v>#REF!</v>
      </c>
      <c r="FX106" s="26" t="e">
        <f t="shared" si="378"/>
        <v>#REF!</v>
      </c>
      <c r="GB106" s="26" t="e">
        <f>IF(GB$2=InputTable[[#This Row],[Delivery Date]],_xlfn.XLOOKUP(GB$1,$BH$2:$BR$2,$BH106:$BR106,0),0)</f>
        <v>#REF!</v>
      </c>
      <c r="GC106" s="26">
        <f>IF(GC$2=InputTable[[#This Row],[Delivery Date]],_xlfn.XLOOKUP(GC$1,$BH$2:$BR$2,$BH106:$BR106,0),0)</f>
        <v>0</v>
      </c>
      <c r="GD106" s="26">
        <f>IF(GD$2=InputTable[[#This Row],[Delivery Date]],_xlfn.XLOOKUP(GD$1,$BH$2:$BR$2,$BH106:$BR106,0),0)</f>
        <v>0</v>
      </c>
      <c r="GE106" s="26">
        <f>IF(GE$2=InputTable[[#This Row],[Delivery Date]],_xlfn.XLOOKUP(GE$1,$BH$2:$BR$2,$BH106:$BR106,0),0)</f>
        <v>0</v>
      </c>
      <c r="GF106" s="26">
        <f>IF(GF$2=InputTable[[#This Row],[Delivery Date]],_xlfn.XLOOKUP(GF$1,$BH$2:$BR$2,$BH106:$BR106,0),0)</f>
        <v>0</v>
      </c>
      <c r="GG106" s="26">
        <f>IF(GG$2=InputTable[[#This Row],[Delivery Date]],_xlfn.XLOOKUP(GG$1,$BH$2:$BR$2,$BH106:$BR106,0),0)</f>
        <v>0</v>
      </c>
      <c r="GH106" s="26">
        <f>IF(GH$2=InputTable[[#This Row],[Delivery Date]],_xlfn.XLOOKUP(GH$1,$BH$2:$BR$2,$BH106:$BR106,0),0)</f>
        <v>0</v>
      </c>
      <c r="GI106" s="26">
        <f>IF(GI$2=InputTable[[#This Row],[Delivery Date]],_xlfn.XLOOKUP(GI$1,$BH$2:$BR$2,$BH106:$BR106,0),0)</f>
        <v>0</v>
      </c>
      <c r="GJ106" s="26">
        <f>IF(GJ$2=InputTable[[#This Row],[Delivery Date]],_xlfn.XLOOKUP(GJ$1,$BH$2:$BR$2,$BH106:$BR106,0),0)</f>
        <v>0</v>
      </c>
      <c r="GL106" s="26" t="e">
        <f>IF(GL$2=InputTable[[#This Row],[Delivery Date]],_xlfn.XLOOKUP(GL$1,$BH$2:$BR$2,$BH106:$BR106,0),0)</f>
        <v>#REF!</v>
      </c>
      <c r="GM106" s="26">
        <f>IF(GM$2=InputTable[[#This Row],[Delivery Date]],_xlfn.XLOOKUP(GM$1,$BH$2:$BR$2,$BH106:$BR106,0),0)</f>
        <v>0</v>
      </c>
      <c r="GN106" s="26">
        <f>IF(GN$2=InputTable[[#This Row],[Delivery Date]],_xlfn.XLOOKUP(GN$1,$BH$2:$BR$2,$BH106:$BR106,0),0)</f>
        <v>0</v>
      </c>
      <c r="GO106" s="26">
        <f>IF(GO$2=InputTable[[#This Row],[Delivery Date]],_xlfn.XLOOKUP(GO$1,$BH$2:$BR$2,$BH106:$BR106,0),0)</f>
        <v>0</v>
      </c>
      <c r="GP106" s="26">
        <f>IF(GP$2=InputTable[[#This Row],[Delivery Date]],_xlfn.XLOOKUP(GP$1,$BH$2:$BR$2,$BH106:$BR106,0),0)</f>
        <v>0</v>
      </c>
      <c r="GQ106" s="26">
        <f>IF(GQ$2=InputTable[[#This Row],[Delivery Date]],_xlfn.XLOOKUP(GQ$1,$BH$2:$BR$2,$BH106:$BR106,0),0)</f>
        <v>0</v>
      </c>
      <c r="GR106" s="26">
        <f>IF(GR$2=InputTable[[#This Row],[Delivery Date]],_xlfn.XLOOKUP(GR$1,$BH$2:$BR$2,$BH106:$BR106,0),0)</f>
        <v>0</v>
      </c>
      <c r="GS106" s="26">
        <f>IF(GS$2=InputTable[[#This Row],[Delivery Date]],_xlfn.XLOOKUP(GS$1,$BH$2:$BR$2,$BH106:$BR106,0),0)</f>
        <v>0</v>
      </c>
      <c r="GT106" s="26">
        <f>IF(GT$2=InputTable[[#This Row],[Delivery Date]],_xlfn.XLOOKUP(GT$1,$BH$2:$BR$2,$BH106:$BR106,0),0)</f>
        <v>0</v>
      </c>
      <c r="GV106" s="26" t="e">
        <f>IF(GV$2=InputTable[[#This Row],[Delivery Date]],_xlfn.XLOOKUP(GV$1,$BH$2:$BR$2,$BH106:$BR106,0),0)</f>
        <v>#REF!</v>
      </c>
      <c r="GW106" s="26">
        <f>IF(GW$2=InputTable[[#This Row],[Delivery Date]],_xlfn.XLOOKUP(GW$1,$BH$2:$BR$2,$BH106:$BR106,0),0)</f>
        <v>0</v>
      </c>
      <c r="GX106" s="26">
        <f>IF(GX$2=InputTable[[#This Row],[Delivery Date]],_xlfn.XLOOKUP(GX$1,$BH$2:$BR$2,$BH106:$BR106,0),0)</f>
        <v>0</v>
      </c>
      <c r="GY106" s="26">
        <f>IF(GY$2=InputTable[[#This Row],[Delivery Date]],_xlfn.XLOOKUP(GY$1,$BH$2:$BR$2,$BH106:$BR106,0),0)</f>
        <v>0</v>
      </c>
      <c r="GZ106" s="26">
        <f>IF(GZ$2=InputTable[[#This Row],[Delivery Date]],_xlfn.XLOOKUP(GZ$1,$BH$2:$BR$2,$BH106:$BR106,0),0)</f>
        <v>0</v>
      </c>
      <c r="HA106" s="26">
        <f>IF(HA$2=InputTable[[#This Row],[Delivery Date]],_xlfn.XLOOKUP(HA$1,$BH$2:$BR$2,$BH106:$BR106,0),0)</f>
        <v>0</v>
      </c>
      <c r="HB106" s="26">
        <f>IF(HB$2=InputTable[[#This Row],[Delivery Date]],_xlfn.XLOOKUP(HB$1,$BH$2:$BR$2,$BH106:$BR106,0),0)</f>
        <v>0</v>
      </c>
      <c r="HC106" s="26">
        <f>IF(HC$2=InputTable[[#This Row],[Delivery Date]],_xlfn.XLOOKUP(HC$1,$BH$2:$BR$2,$BH106:$BR106,0),0)</f>
        <v>0</v>
      </c>
      <c r="HD106" s="26">
        <f>IF(HD$2=InputTable[[#This Row],[Delivery Date]],_xlfn.XLOOKUP(HD$1,$BH$2:$BR$2,$BH106:$BR106,0),0)</f>
        <v>0</v>
      </c>
      <c r="HF106" s="26" t="e">
        <f>IF(HF$2=InputTable[[#This Row],[Delivery Date]],_xlfn.XLOOKUP(HF$1,$BH$2:$BR$2,$BH106:$BR106,0),0)</f>
        <v>#REF!</v>
      </c>
      <c r="HG106" s="26">
        <f>IF(HG$2=InputTable[[#This Row],[Delivery Date]],_xlfn.XLOOKUP(HG$1,$BH$2:$BR$2,$BH106:$BR106,0),0)</f>
        <v>0</v>
      </c>
      <c r="HH106" s="26">
        <f>IF(HH$2=InputTable[[#This Row],[Delivery Date]],_xlfn.XLOOKUP(HH$1,$BH$2:$BR$2,$BH106:$BR106,0),0)</f>
        <v>0</v>
      </c>
      <c r="HI106" s="26">
        <f>IF(HI$2=InputTable[[#This Row],[Delivery Date]],_xlfn.XLOOKUP(HI$1,$BH$2:$BR$2,$BH106:$BR106,0),0)</f>
        <v>0</v>
      </c>
      <c r="HJ106" s="26">
        <f>IF(HJ$2=InputTable[[#This Row],[Delivery Date]],_xlfn.XLOOKUP(HJ$1,$BH$2:$BR$2,$BH106:$BR106,0),0)</f>
        <v>0</v>
      </c>
      <c r="HK106" s="26">
        <f>IF(HK$2=InputTable[[#This Row],[Delivery Date]],_xlfn.XLOOKUP(HK$1,$BH$2:$BR$2,$BH106:$BR106,0),0)</f>
        <v>0</v>
      </c>
      <c r="HL106" s="26">
        <f>IF(HL$2=InputTable[[#This Row],[Delivery Date]],_xlfn.XLOOKUP(HL$1,$BH$2:$BR$2,$BH106:$BR106,0),0)</f>
        <v>0</v>
      </c>
      <c r="HM106" s="26">
        <f>IF(HM$2=InputTable[[#This Row],[Delivery Date]],_xlfn.XLOOKUP(HM$1,$BH$2:$BR$2,$BH106:$BR106,0),0)</f>
        <v>0</v>
      </c>
      <c r="HN106" s="26">
        <f>IF(HN$2=InputTable[[#This Row],[Delivery Date]],_xlfn.XLOOKUP(HN$1,$BH$2:$BR$2,$BH106:$BR106,0),0)</f>
        <v>0</v>
      </c>
      <c r="HP106" s="26" t="e">
        <f>IF(HP$2=InputTable[[#This Row],[Delivery Date]],_xlfn.XLOOKUP(HP$1,$BH$2:$BR$2,$BH106:$BR106,0),0)</f>
        <v>#REF!</v>
      </c>
      <c r="HQ106" s="26">
        <f>IF(HQ$2=InputTable[[#This Row],[Delivery Date]],_xlfn.XLOOKUP(HQ$1,$BH$2:$BR$2,$BH106:$BR106,0),0)</f>
        <v>0</v>
      </c>
      <c r="HR106" s="26">
        <f>IF(HR$2=InputTable[[#This Row],[Delivery Date]],_xlfn.XLOOKUP(HR$1,$BH$2:$BR$2,$BH106:$BR106,0),0)</f>
        <v>0</v>
      </c>
      <c r="HS106" s="26">
        <f>IF(HS$2=InputTable[[#This Row],[Delivery Date]],_xlfn.XLOOKUP(HS$1,$BH$2:$BR$2,$BH106:$BR106,0),0)</f>
        <v>0</v>
      </c>
      <c r="HT106" s="26">
        <f>IF(HT$2=InputTable[[#This Row],[Delivery Date]],_xlfn.XLOOKUP(HT$1,$BH$2:$BR$2,$BH106:$BR106,0),0)</f>
        <v>0</v>
      </c>
      <c r="HU106" s="26">
        <f>IF(HU$2=InputTable[[#This Row],[Delivery Date]],_xlfn.XLOOKUP(HU$1,$BH$2:$BR$2,$BH106:$BR106,0),0)</f>
        <v>0</v>
      </c>
      <c r="HV106" s="26">
        <f>IF(HV$2=InputTable[[#This Row],[Delivery Date]],_xlfn.XLOOKUP(HV$1,$BH$2:$BR$2,$BH106:$BR106,0),0)</f>
        <v>0</v>
      </c>
      <c r="HW106" s="26">
        <f>IF(HW$2=InputTable[[#This Row],[Delivery Date]],_xlfn.XLOOKUP(HW$1,$BH$2:$BR$2,$BH106:$BR106,0),0)</f>
        <v>0</v>
      </c>
      <c r="HX106" s="26">
        <f>IF(HX$2=InputTable[[#This Row],[Delivery Date]],_xlfn.XLOOKUP(HX$1,$BH$2:$BR$2,$BH106:$BR106,0),0)</f>
        <v>0</v>
      </c>
      <c r="HZ106" s="26" t="e">
        <f>IF(HZ$2=InputTable[[#This Row],[Delivery Date]],_xlfn.XLOOKUP(HZ$1,$BH$2:$BR$2,$BH106:$BR106,0),0)</f>
        <v>#REF!</v>
      </c>
      <c r="IA106" s="26">
        <f>IF(IA$2=InputTable[[#This Row],[Delivery Date]],_xlfn.XLOOKUP(IA$1,$BH$2:$BR$2,$BH106:$BR106,0),0)</f>
        <v>0</v>
      </c>
      <c r="IB106" s="26">
        <f>IF(IB$2=InputTable[[#This Row],[Delivery Date]],_xlfn.XLOOKUP(IB$1,$BH$2:$BR$2,$BH106:$BR106,0),0)</f>
        <v>0</v>
      </c>
      <c r="IC106" s="26">
        <f>IF(IC$2=InputTable[[#This Row],[Delivery Date]],_xlfn.XLOOKUP(IC$1,$BH$2:$BR$2,$BH106:$BR106,0),0)</f>
        <v>0</v>
      </c>
      <c r="ID106" s="26">
        <f>IF(ID$2=InputTable[[#This Row],[Delivery Date]],_xlfn.XLOOKUP(ID$1,$BH$2:$BR$2,$BH106:$BR106,0),0)</f>
        <v>0</v>
      </c>
      <c r="IE106" s="26">
        <f>IF(IE$2=InputTable[[#This Row],[Delivery Date]],_xlfn.XLOOKUP(IE$1,$BH$2:$BR$2,$BH106:$BR106,0),0)</f>
        <v>0</v>
      </c>
      <c r="IF106" s="26">
        <f>IF(IF$2=InputTable[[#This Row],[Delivery Date]],_xlfn.XLOOKUP(IF$1,$BH$2:$BR$2,$BH106:$BR106,0),0)</f>
        <v>0</v>
      </c>
      <c r="IG106" s="26">
        <f>IF(IG$2=InputTable[[#This Row],[Delivery Date]],_xlfn.XLOOKUP(IG$1,$BH$2:$BR$2,$BH106:$BR106,0),0)</f>
        <v>0</v>
      </c>
      <c r="IH106" s="26">
        <f>IF(IH$2=InputTable[[#This Row],[Delivery Date]],_xlfn.XLOOKUP(IH$1,$BH$2:$BR$2,$BH106:$BR106,0),0)</f>
        <v>0</v>
      </c>
      <c r="IJ106" s="26" t="e">
        <f>IF(IJ$2=InputTable[[#This Row],[Delivery Date]],_xlfn.XLOOKUP(IJ$1,$BH$2:$BR$2,$BH106:$BR106,0),0)</f>
        <v>#REF!</v>
      </c>
      <c r="IK106" s="26">
        <f>IF(IK$2=InputTable[[#This Row],[Delivery Date]],_xlfn.XLOOKUP(IK$1,$BH$2:$BR$2,$BH106:$BR106,0),0)</f>
        <v>0</v>
      </c>
      <c r="IL106" s="26">
        <f>IF(IL$2=InputTable[[#This Row],[Delivery Date]],_xlfn.XLOOKUP(IL$1,$BH$2:$BR$2,$BH106:$BR106,0),0)</f>
        <v>0</v>
      </c>
      <c r="IM106" s="26">
        <f>IF(IM$2=InputTable[[#This Row],[Delivery Date]],_xlfn.XLOOKUP(IM$1,$BH$2:$BR$2,$BH106:$BR106,0),0)</f>
        <v>0</v>
      </c>
      <c r="IN106" s="26">
        <f>IF(IN$2=InputTable[[#This Row],[Delivery Date]],_xlfn.XLOOKUP(IN$1,$BH$2:$BR$2,$BH106:$BR106,0),0)</f>
        <v>0</v>
      </c>
      <c r="IO106" s="26">
        <f>IF(IO$2=InputTable[[#This Row],[Delivery Date]],_xlfn.XLOOKUP(IO$1,$BH$2:$BR$2,$BH106:$BR106,0),0)</f>
        <v>0</v>
      </c>
      <c r="IP106" s="26">
        <f>IF(IP$2=InputTable[[#This Row],[Delivery Date]],_xlfn.XLOOKUP(IP$1,$BH$2:$BR$2,$BH106:$BR106,0),0)</f>
        <v>0</v>
      </c>
      <c r="IQ106" s="26">
        <f>IF(IQ$2=InputTable[[#This Row],[Delivery Date]],_xlfn.XLOOKUP(IQ$1,$BH$2:$BR$2,$BH106:$BR106,0),0)</f>
        <v>0</v>
      </c>
      <c r="IR106" s="26">
        <f>IF(IR$2=InputTable[[#This Row],[Delivery Date]],_xlfn.XLOOKUP(IR$1,$BH$2:$BR$2,$BH106:$BR106,0),0)</f>
        <v>0</v>
      </c>
      <c r="IT106" s="26" t="e">
        <f>IF(IT$2=InputTable[[#This Row],[Delivery Date]],_xlfn.XLOOKUP(IT$1,$BH$2:$BR$2,$BH106:$BR106,0),0)</f>
        <v>#REF!</v>
      </c>
      <c r="IU106" s="26">
        <f>IF(IU$2=InputTable[[#This Row],[Delivery Date]],_xlfn.XLOOKUP(IU$1,$BH$2:$BR$2,$BH106:$BR106,0),0)</f>
        <v>0</v>
      </c>
      <c r="IV106" s="26">
        <f>IF(IV$2=InputTable[[#This Row],[Delivery Date]],_xlfn.XLOOKUP(IV$1,$BH$2:$BR$2,$BH106:$BR106,0),0)</f>
        <v>0</v>
      </c>
      <c r="IW106" s="26">
        <f>IF(IW$2=InputTable[[#This Row],[Delivery Date]],_xlfn.XLOOKUP(IW$1,$BH$2:$BR$2,$BH106:$BR106,0),0)</f>
        <v>0</v>
      </c>
      <c r="IX106" s="26">
        <f>IF(IX$2=InputTable[[#This Row],[Delivery Date]],_xlfn.XLOOKUP(IX$1,$BH$2:$BR$2,$BH106:$BR106,0),0)</f>
        <v>0</v>
      </c>
      <c r="IY106" s="26">
        <f>IF(IY$2=InputTable[[#This Row],[Delivery Date]],_xlfn.XLOOKUP(IY$1,$BH$2:$BR$2,$BH106:$BR106,0),0)</f>
        <v>0</v>
      </c>
      <c r="IZ106" s="26">
        <f>IF(IZ$2=InputTable[[#This Row],[Delivery Date]],_xlfn.XLOOKUP(IZ$1,$BH$2:$BR$2,$BH106:$BR106,0),0)</f>
        <v>0</v>
      </c>
      <c r="JA106" s="26">
        <f>IF(JA$2=InputTable[[#This Row],[Delivery Date]],_xlfn.XLOOKUP(JA$1,$BH$2:$BR$2,$BH106:$BR106,0),0)</f>
        <v>0</v>
      </c>
      <c r="JB106" s="26">
        <f>IF(JB$2=InputTable[[#This Row],[Delivery Date]],_xlfn.XLOOKUP(JB$1,$BH$2:$BR$2,$BH106:$BR106,0),0)</f>
        <v>0</v>
      </c>
      <c r="JD106" s="26" t="e">
        <f>IF(JD$2=InputTable[[#This Row],[Delivery Date]],_xlfn.XLOOKUP(JD$1,$BH$2:$BR$2,$BH106:$BR106,0),0)</f>
        <v>#REF!</v>
      </c>
      <c r="JE106" s="26">
        <f>IF(JE$2=InputTable[[#This Row],[Delivery Date]],_xlfn.XLOOKUP(JE$1,$BH$2:$BR$2,$BH106:$BR106,0),0)</f>
        <v>0</v>
      </c>
      <c r="JF106" s="26">
        <f>IF(JF$2=InputTable[[#This Row],[Delivery Date]],_xlfn.XLOOKUP(JF$1,$BH$2:$BR$2,$BH106:$BR106,0),0)</f>
        <v>0</v>
      </c>
      <c r="JG106" s="26">
        <f>IF(JG$2=InputTable[[#This Row],[Delivery Date]],_xlfn.XLOOKUP(JG$1,$BH$2:$BR$2,$BH106:$BR106,0),0)</f>
        <v>0</v>
      </c>
      <c r="JH106" s="26">
        <f>IF(JH$2=InputTable[[#This Row],[Delivery Date]],_xlfn.XLOOKUP(JH$1,$BH$2:$BR$2,$BH106:$BR106,0),0)</f>
        <v>0</v>
      </c>
      <c r="JI106" s="26">
        <f>IF(JI$2=InputTable[[#This Row],[Delivery Date]],_xlfn.XLOOKUP(JI$1,$BH$2:$BR$2,$BH106:$BR106,0),0)</f>
        <v>0</v>
      </c>
      <c r="JJ106" s="26">
        <f>IF(JJ$2=InputTable[[#This Row],[Delivery Date]],_xlfn.XLOOKUP(JJ$1,$BH$2:$BR$2,$BH106:$BR106,0),0)</f>
        <v>0</v>
      </c>
      <c r="JK106" s="26">
        <f>IF(JK$2=InputTable[[#This Row],[Delivery Date]],_xlfn.XLOOKUP(JK$1,$BH$2:$BR$2,$BH106:$BR106,0),0)</f>
        <v>0</v>
      </c>
      <c r="JL106" s="26">
        <f>IF(JL$2=InputTable[[#This Row],[Delivery Date]],_xlfn.XLOOKUP(JL$1,$BH$2:$BR$2,$BH106:$BR106,0),0)</f>
        <v>0</v>
      </c>
      <c r="JN106" s="26" t="e">
        <f>IF(JN$2=InputTable[[#This Row],[Delivery Date]],_xlfn.XLOOKUP(JN$1,$BH$2:$BR$2,$BH106:$BR106,0),0)</f>
        <v>#REF!</v>
      </c>
      <c r="JO106" s="26">
        <f>IF(JO$2=InputTable[[#This Row],[Delivery Date]],_xlfn.XLOOKUP(JO$1,$BH$2:$BR$2,$BH106:$BR106,0),0)</f>
        <v>0</v>
      </c>
      <c r="JP106" s="26">
        <f>IF(JP$2=InputTable[[#This Row],[Delivery Date]],_xlfn.XLOOKUP(JP$1,$BH$2:$BR$2,$BH106:$BR106,0),0)</f>
        <v>0</v>
      </c>
      <c r="JQ106" s="26">
        <f>IF(JQ$2=InputTable[[#This Row],[Delivery Date]],_xlfn.XLOOKUP(JQ$1,$BH$2:$BR$2,$BH106:$BR106,0),0)</f>
        <v>0</v>
      </c>
      <c r="JR106" s="26">
        <f>IF(JR$2=InputTable[[#This Row],[Delivery Date]],_xlfn.XLOOKUP(JR$1,$BH$2:$BR$2,$BH106:$BR106,0),0)</f>
        <v>0</v>
      </c>
      <c r="JS106" s="26">
        <f>IF(JS$2=InputTable[[#This Row],[Delivery Date]],_xlfn.XLOOKUP(JS$1,$BH$2:$BR$2,$BH106:$BR106,0),0)</f>
        <v>0</v>
      </c>
      <c r="JT106" s="26">
        <f>IF(JT$2=InputTable[[#This Row],[Delivery Date]],_xlfn.XLOOKUP(JT$1,$BH$2:$BR$2,$BH106:$BR106,0),0)</f>
        <v>0</v>
      </c>
      <c r="JU106" s="26">
        <f>IF(JU$2=InputTable[[#This Row],[Delivery Date]],_xlfn.XLOOKUP(JU$1,$BH$2:$BR$2,$BH106:$BR106,0),0)</f>
        <v>0</v>
      </c>
      <c r="JV106" s="26">
        <f>IF(JV$2=InputTable[[#This Row],[Delivery Date]],_xlfn.XLOOKUP(JV$1,$BH$2:$BR$2,$BH106:$BR106,0),0)</f>
        <v>0</v>
      </c>
      <c r="JX106" s="26" t="e">
        <f>IF(JX$2=InputTable[[#This Row],[Delivery Date]],_xlfn.XLOOKUP(JX$1,$BH$2:$BR$2,$BH106:$BR106,0),0)</f>
        <v>#REF!</v>
      </c>
      <c r="JY106" s="26">
        <f>IF(JY$2=InputTable[[#This Row],[Delivery Date]],_xlfn.XLOOKUP(JY$1,$BH$2:$BR$2,$BH106:$BR106,0),0)</f>
        <v>0</v>
      </c>
      <c r="JZ106" s="26">
        <f>IF(JZ$2=InputTable[[#This Row],[Delivery Date]],_xlfn.XLOOKUP(JZ$1,$BH$2:$BR$2,$BH106:$BR106,0),0)</f>
        <v>0</v>
      </c>
      <c r="KA106" s="26">
        <f>IF(KA$2=InputTable[[#This Row],[Delivery Date]],_xlfn.XLOOKUP(KA$1,$BH$2:$BR$2,$BH106:$BR106,0),0)</f>
        <v>0</v>
      </c>
      <c r="KB106" s="26">
        <f>IF(KB$2=InputTable[[#This Row],[Delivery Date]],_xlfn.XLOOKUP(KB$1,$BH$2:$BR$2,$BH106:$BR106,0),0)</f>
        <v>0</v>
      </c>
      <c r="KC106" s="26">
        <f>IF(KC$2=InputTable[[#This Row],[Delivery Date]],_xlfn.XLOOKUP(KC$1,$BH$2:$BR$2,$BH106:$BR106,0),0)</f>
        <v>0</v>
      </c>
      <c r="KD106" s="26">
        <f>IF(KD$2=InputTable[[#This Row],[Delivery Date]],_xlfn.XLOOKUP(KD$1,$BH$2:$BR$2,$BH106:$BR106,0),0)</f>
        <v>0</v>
      </c>
      <c r="KE106" s="26">
        <f>IF(KE$2=InputTable[[#This Row],[Delivery Date]],_xlfn.XLOOKUP(KE$1,$BH$2:$BR$2,$BH106:$BR106,0),0)</f>
        <v>0</v>
      </c>
      <c r="KF106" s="26">
        <f>IF(KF$2=InputTable[[#This Row],[Delivery Date]],_xlfn.XLOOKUP(KF$1,$BH$2:$BR$2,$BH106:$BR106,0),0)</f>
        <v>0</v>
      </c>
    </row>
    <row r="107" spans="1:292" ht="39.6" customHeight="1" x14ac:dyDescent="0.25">
      <c r="A107" s="141"/>
      <c r="B107" s="141" t="s">
        <v>156</v>
      </c>
      <c r="C107" s="92" t="s">
        <v>59</v>
      </c>
      <c r="D107" s="125" t="s">
        <v>424</v>
      </c>
      <c r="E107" s="193" t="s">
        <v>631</v>
      </c>
      <c r="F107" s="92" t="s">
        <v>197</v>
      </c>
      <c r="G107" s="114" t="s">
        <v>137</v>
      </c>
      <c r="H107" s="99"/>
      <c r="I107" s="98" t="s">
        <v>98</v>
      </c>
      <c r="J107" s="125"/>
      <c r="K107" s="95" t="e">
        <f>VLOOKUP((InputTable[[#This Row],[Starting Date]]&amp; " - " &amp;InputTable[[#This Row],[Delivery Date]]),'System List'!$F$40:$H$83,2,FALSE)</f>
        <v>#N/A</v>
      </c>
      <c r="L107" s="95" t="e">
        <f>VLOOKUP(InputTable[[#This Row],[Duration]],Duration,2,FALSE)</f>
        <v>#N/A</v>
      </c>
      <c r="M107" s="126"/>
      <c r="N107" s="98" t="s">
        <v>100</v>
      </c>
      <c r="O107" s="98"/>
      <c r="P107" s="98" t="s">
        <v>111</v>
      </c>
      <c r="Q107" s="98"/>
      <c r="R107" s="98"/>
      <c r="S107" s="92"/>
      <c r="T107" s="95" cm="1">
        <f t="array" ref="T107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3.6</v>
      </c>
      <c r="U107" s="138"/>
      <c r="V107" s="98"/>
      <c r="W107" s="98"/>
      <c r="X107" s="98"/>
      <c r="Y107" s="98"/>
      <c r="Z107" s="98"/>
      <c r="AA107" s="98"/>
      <c r="AB107" s="98"/>
      <c r="AC107" s="98"/>
      <c r="AD107" s="92">
        <f>COUNTA(InputTable[[#This Row],[CORPHRFIN]:[SALES]])</f>
        <v>0</v>
      </c>
      <c r="AE107" s="88" cm="1">
        <f t="array" ref="AE107">SUM(
_xlfn.XLOOKUP(InputTable[[#This Row],[CORPHRFIN]:[SALES]],'System List'!$F$4:$F$7,'System List'!$H$4:$H$7,0))</f>
        <v>0</v>
      </c>
      <c r="AF107" s="140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88" cm="1">
        <f t="array" ref="AR107">SUM(
_xlfn.XLOOKUP(InputTable[[#This Row],[Impact on - CIAL]:[Impact on - STRAT]],'System List'!$F$4:$F$7,'System List'!$H$4:$H$7,0))</f>
        <v>0</v>
      </c>
      <c r="AS107" s="88" t="e">
        <f>VLOOKUP(InputTable[[#This Row],[Duration]],Duration,2,FALSE)+InputTable[[#This Row],[Resource Score]]</f>
        <v>#N/A</v>
      </c>
      <c r="AT10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7" s="24" t="e">
        <f>InputTable[[#This Row],[Value Score]]/InputTable[[#This Row],[EFFORT SCORE]]*100</f>
        <v>#N/A</v>
      </c>
      <c r="AV107" s="25"/>
      <c r="AW107" s="25" t="s">
        <v>128</v>
      </c>
      <c r="AX107" s="208"/>
      <c r="AY107" s="25"/>
      <c r="AZ107" s="209"/>
      <c r="BA107" s="209"/>
      <c r="BB107" s="209"/>
      <c r="BC107" s="189"/>
      <c r="BD107" s="188">
        <v>1</v>
      </c>
      <c r="BE107" s="188"/>
      <c r="BF107" s="70"/>
      <c r="BH107" s="2">
        <f>IFERROR(VLOOKUP(InputTable[[#This Row],[Impact on - CIAL]],'System List'!$F$4:$H$7,3,FALSE),0)</f>
        <v>0</v>
      </c>
      <c r="BI107" s="2">
        <f>IFERROR(VLOOKUP(InputTable[[#This Row],[Impact on - COM]],'System List'!$F$4:$H$7,3,FALSE),0)</f>
        <v>0</v>
      </c>
      <c r="BJ107" s="2">
        <f>IFERROR(VLOOKUP(InputTable[[#This Row],[Impact on - FIN]],'System List'!$F$4:$H$7,3,FALSE),0)</f>
        <v>0</v>
      </c>
      <c r="BK107" s="2">
        <f>IFERROR(VLOOKUP(InputTable[[#This Row],[Impact on - GEN SEC]],'System List'!$F$4:$H$7,3,FALSE),0)</f>
        <v>0</v>
      </c>
      <c r="BL107" s="2">
        <f>IFERROR(VLOOKUP(InputTable[[#This Row],[Impact on - HR]],'System List'!$F$4:$H$7,3,FALSE),0)</f>
        <v>0</v>
      </c>
      <c r="BM107" s="2">
        <f>IFERROR(VLOOKUP(InputTable[[#This Row],[Impact on - IS]],'System List'!$F$4:$H$7,3,FALSE),0)</f>
        <v>0</v>
      </c>
      <c r="BN107" s="2">
        <f>IFERROR(VLOOKUP(InputTable[[#This Row],[Impact on - OPS]],'System List'!$F$4:$H$7,3,FALSE),0)</f>
        <v>0</v>
      </c>
      <c r="BO107" s="2">
        <f>IFERROR(VLOOKUP(InputTable[[#This Row],[Impact on - ROLL STOCK]],'System List'!$F$4:$H$7,3,FALSE),0)</f>
        <v>0</v>
      </c>
      <c r="BP107" s="2">
        <f>IFERROR(VLOOKUP(InputTable[[#This Row],[Impact on - SAFETY]],'System List'!$F$4:$H$7,3,FALSE),0)</f>
        <v>0</v>
      </c>
      <c r="BQ107" s="2">
        <f>IFERROR(VLOOKUP(InputTable[[#This Row],[Impact on - STATION]],'System List'!$F$4:$H$7,3,FALSE),0)</f>
        <v>0</v>
      </c>
      <c r="BR107" s="2">
        <f>IFERROR(VLOOKUP(InputTable[[#This Row],[Impact on - STRAT]],'System List'!$F$4:$H$7,3,FALSE),0)</f>
        <v>0</v>
      </c>
      <c r="BT107" s="2">
        <f>IFERROR(VLOOKUP(InputTable[[#This Row],[CORPHRFIN]],'System List'!$F$4:$H$7,3,FALSE),0)</f>
        <v>0</v>
      </c>
      <c r="BU107" s="2">
        <f>IFERROR(VLOOKUP(InputTable[[#This Row],[CUST]],'System List'!$F$4:$H$7,3,FALSE),0)</f>
        <v>0</v>
      </c>
      <c r="BV107" s="2">
        <f>IFERROR(VLOOKUP(InputTable[[#This Row],[CYBER]],'System List'!$F$4:$H$7,3,FALSE),0)</f>
        <v>0</v>
      </c>
      <c r="BW107" s="2">
        <f>IFERROR(VLOOKUP(InputTable[[#This Row],[DATA]],'System List'!$F$4:$H$7,3,FALSE),0)</f>
        <v>0</v>
      </c>
      <c r="BX107" s="2">
        <f>IFERROR(VLOOKUP(InputTable[[#This Row],[INFRA]],'System List'!$F$4:$H$7,3,FALSE),0)</f>
        <v>0</v>
      </c>
      <c r="BY107" s="2">
        <f>IFERROR(VLOOKUP(InputTable[[#This Row],[OPERATIONS]],'System List'!$F$4:$H$7,3,FALSE),0)</f>
        <v>0</v>
      </c>
      <c r="BZ107" s="2">
        <f>IFERROR(VLOOKUP(InputTable[[#This Row],[PMO]],'System List'!$F$4:$H$7,3,FALSE),0)</f>
        <v>0</v>
      </c>
      <c r="CA107" s="2">
        <f>IFERROR(VLOOKUP(InputTable[[#This Row],[SALES]],'System List'!$F$4:$H$7,3,FALSE),0)</f>
        <v>0</v>
      </c>
      <c r="CC107" s="2" cm="1">
        <f t="array" ref="CC10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7" s="2" cm="1">
        <f t="array" ref="CD10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7" s="2" cm="1">
        <f t="array" ref="CE10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7" s="2" cm="1">
        <f t="array" ref="CF10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7" s="2" cm="1">
        <f t="array" ref="CG10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7" s="2" cm="1">
        <f t="array" ref="CH10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7" s="2" cm="1">
        <f t="array" ref="CI10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7" s="2" cm="1">
        <f t="array" ref="CJ10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7" s="2" cm="1">
        <f t="array" ref="CK10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0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0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7" s="26">
        <f t="shared" si="307"/>
        <v>0</v>
      </c>
      <c r="CY107" s="26">
        <f t="shared" si="308"/>
        <v>0</v>
      </c>
      <c r="CZ107" s="26">
        <f t="shared" si="309"/>
        <v>0</v>
      </c>
      <c r="DA107" s="26">
        <f t="shared" si="310"/>
        <v>0</v>
      </c>
      <c r="DB107" s="26">
        <f t="shared" si="311"/>
        <v>0</v>
      </c>
      <c r="DC107" s="26">
        <f t="shared" si="312"/>
        <v>0</v>
      </c>
      <c r="DD107" s="26">
        <f t="shared" si="313"/>
        <v>0</v>
      </c>
      <c r="DE107" s="26">
        <f t="shared" si="314"/>
        <v>0</v>
      </c>
      <c r="DF107" s="26">
        <f t="shared" si="315"/>
        <v>0</v>
      </c>
      <c r="DH107" s="26">
        <f t="shared" si="316"/>
        <v>0</v>
      </c>
      <c r="DI107" s="26">
        <f t="shared" si="317"/>
        <v>0</v>
      </c>
      <c r="DJ107" s="26">
        <f t="shared" si="318"/>
        <v>0</v>
      </c>
      <c r="DK107" s="26">
        <f t="shared" si="319"/>
        <v>0</v>
      </c>
      <c r="DL107" s="26">
        <f t="shared" si="320"/>
        <v>0</v>
      </c>
      <c r="DM107" s="26">
        <f t="shared" si="321"/>
        <v>0</v>
      </c>
      <c r="DN107" s="26">
        <f t="shared" si="322"/>
        <v>0</v>
      </c>
      <c r="DO107" s="26">
        <f t="shared" si="323"/>
        <v>0</v>
      </c>
      <c r="DP107" s="26">
        <f t="shared" si="324"/>
        <v>0</v>
      </c>
      <c r="DR107" s="26">
        <f t="shared" si="325"/>
        <v>0</v>
      </c>
      <c r="DS107" s="26">
        <f t="shared" si="326"/>
        <v>0</v>
      </c>
      <c r="DT107" s="26">
        <f t="shared" si="327"/>
        <v>0</v>
      </c>
      <c r="DU107" s="26">
        <f t="shared" si="328"/>
        <v>0</v>
      </c>
      <c r="DV107" s="26">
        <f t="shared" si="329"/>
        <v>0</v>
      </c>
      <c r="DW107" s="26">
        <f t="shared" si="330"/>
        <v>0</v>
      </c>
      <c r="DX107" s="26">
        <f t="shared" si="331"/>
        <v>0</v>
      </c>
      <c r="DY107" s="26">
        <f t="shared" si="332"/>
        <v>0</v>
      </c>
      <c r="DZ107" s="26">
        <f t="shared" si="333"/>
        <v>0</v>
      </c>
      <c r="EB107" s="26">
        <f t="shared" si="334"/>
        <v>0</v>
      </c>
      <c r="EC107" s="26">
        <f t="shared" si="335"/>
        <v>0</v>
      </c>
      <c r="ED107" s="26">
        <f t="shared" si="336"/>
        <v>0</v>
      </c>
      <c r="EE107" s="26">
        <f t="shared" si="337"/>
        <v>0</v>
      </c>
      <c r="EF107" s="26">
        <f t="shared" si="338"/>
        <v>0</v>
      </c>
      <c r="EG107" s="26">
        <f t="shared" si="339"/>
        <v>0</v>
      </c>
      <c r="EH107" s="26">
        <f t="shared" si="340"/>
        <v>0</v>
      </c>
      <c r="EI107" s="26">
        <f t="shared" si="341"/>
        <v>0</v>
      </c>
      <c r="EJ107" s="26">
        <f t="shared" si="342"/>
        <v>0</v>
      </c>
      <c r="EL107" s="26">
        <f t="shared" si="343"/>
        <v>0</v>
      </c>
      <c r="EM107" s="26">
        <f t="shared" si="344"/>
        <v>0</v>
      </c>
      <c r="EN107" s="26">
        <f t="shared" si="345"/>
        <v>0</v>
      </c>
      <c r="EO107" s="26">
        <f t="shared" si="346"/>
        <v>0</v>
      </c>
      <c r="EP107" s="26">
        <f t="shared" si="347"/>
        <v>0</v>
      </c>
      <c r="EQ107" s="26">
        <f t="shared" si="348"/>
        <v>0</v>
      </c>
      <c r="ER107" s="26">
        <f t="shared" si="349"/>
        <v>0</v>
      </c>
      <c r="ES107" s="26">
        <f t="shared" si="350"/>
        <v>0</v>
      </c>
      <c r="ET107" s="26">
        <f t="shared" si="351"/>
        <v>0</v>
      </c>
      <c r="EV107" s="26">
        <f t="shared" si="352"/>
        <v>0</v>
      </c>
      <c r="EW107" s="26">
        <f t="shared" si="353"/>
        <v>0</v>
      </c>
      <c r="EX107" s="26">
        <f t="shared" si="354"/>
        <v>0</v>
      </c>
      <c r="EY107" s="26">
        <f t="shared" si="355"/>
        <v>0</v>
      </c>
      <c r="EZ107" s="26">
        <f t="shared" si="356"/>
        <v>0</v>
      </c>
      <c r="FA107" s="26">
        <f t="shared" si="357"/>
        <v>0</v>
      </c>
      <c r="FB107" s="26">
        <f t="shared" si="358"/>
        <v>0</v>
      </c>
      <c r="FC107" s="26">
        <f t="shared" si="359"/>
        <v>0</v>
      </c>
      <c r="FD107" s="26">
        <f t="shared" si="360"/>
        <v>0</v>
      </c>
      <c r="FF107" s="26">
        <f t="shared" si="361"/>
        <v>0</v>
      </c>
      <c r="FG107" s="26">
        <f t="shared" si="362"/>
        <v>0</v>
      </c>
      <c r="FH107" s="26">
        <f t="shared" si="363"/>
        <v>0</v>
      </c>
      <c r="FI107" s="26">
        <f t="shared" si="364"/>
        <v>0</v>
      </c>
      <c r="FJ107" s="26">
        <f t="shared" si="365"/>
        <v>0</v>
      </c>
      <c r="FK107" s="26">
        <f t="shared" si="366"/>
        <v>0</v>
      </c>
      <c r="FL107" s="26">
        <f t="shared" si="367"/>
        <v>0</v>
      </c>
      <c r="FM107" s="26">
        <f t="shared" si="368"/>
        <v>0</v>
      </c>
      <c r="FN107" s="26">
        <f t="shared" si="369"/>
        <v>0</v>
      </c>
      <c r="FP107" s="26" t="e">
        <f t="shared" si="370"/>
        <v>#REF!</v>
      </c>
      <c r="FQ107" s="26" t="e">
        <f t="shared" si="371"/>
        <v>#REF!</v>
      </c>
      <c r="FR107" s="26" t="e">
        <f t="shared" si="372"/>
        <v>#REF!</v>
      </c>
      <c r="FS107" s="26" t="e">
        <f t="shared" si="373"/>
        <v>#REF!</v>
      </c>
      <c r="FT107" s="26" t="e">
        <f t="shared" si="374"/>
        <v>#REF!</v>
      </c>
      <c r="FU107" s="26" t="e">
        <f t="shared" si="375"/>
        <v>#REF!</v>
      </c>
      <c r="FV107" s="26" t="e">
        <f t="shared" si="376"/>
        <v>#REF!</v>
      </c>
      <c r="FW107" s="26" t="e">
        <f t="shared" si="377"/>
        <v>#REF!</v>
      </c>
      <c r="FX107" s="26" t="e">
        <f t="shared" si="378"/>
        <v>#REF!</v>
      </c>
      <c r="GB107" s="26" t="e">
        <f>IF(GB$2=InputTable[[#This Row],[Delivery Date]],_xlfn.XLOOKUP(GB$1,$BH$2:$BR$2,$BH107:$BR107,0),0)</f>
        <v>#REF!</v>
      </c>
      <c r="GC107" s="26">
        <f>IF(GC$2=InputTable[[#This Row],[Delivery Date]],_xlfn.XLOOKUP(GC$1,$BH$2:$BR$2,$BH107:$BR107,0),0)</f>
        <v>0</v>
      </c>
      <c r="GD107" s="26">
        <f>IF(GD$2=InputTable[[#This Row],[Delivery Date]],_xlfn.XLOOKUP(GD$1,$BH$2:$BR$2,$BH107:$BR107,0),0)</f>
        <v>0</v>
      </c>
      <c r="GE107" s="26">
        <f>IF(GE$2=InputTable[[#This Row],[Delivery Date]],_xlfn.XLOOKUP(GE$1,$BH$2:$BR$2,$BH107:$BR107,0),0)</f>
        <v>0</v>
      </c>
      <c r="GF107" s="26">
        <f>IF(GF$2=InputTable[[#This Row],[Delivery Date]],_xlfn.XLOOKUP(GF$1,$BH$2:$BR$2,$BH107:$BR107,0),0)</f>
        <v>0</v>
      </c>
      <c r="GG107" s="26">
        <f>IF(GG$2=InputTable[[#This Row],[Delivery Date]],_xlfn.XLOOKUP(GG$1,$BH$2:$BR$2,$BH107:$BR107,0),0)</f>
        <v>0</v>
      </c>
      <c r="GH107" s="26">
        <f>IF(GH$2=InputTable[[#This Row],[Delivery Date]],_xlfn.XLOOKUP(GH$1,$BH$2:$BR$2,$BH107:$BR107,0),0)</f>
        <v>0</v>
      </c>
      <c r="GI107" s="26">
        <f>IF(GI$2=InputTable[[#This Row],[Delivery Date]],_xlfn.XLOOKUP(GI$1,$BH$2:$BR$2,$BH107:$BR107,0),0)</f>
        <v>0</v>
      </c>
      <c r="GJ107" s="26">
        <f>IF(GJ$2=InputTable[[#This Row],[Delivery Date]],_xlfn.XLOOKUP(GJ$1,$BH$2:$BR$2,$BH107:$BR107,0),0)</f>
        <v>0</v>
      </c>
      <c r="GL107" s="26" t="e">
        <f>IF(GL$2=InputTable[[#This Row],[Delivery Date]],_xlfn.XLOOKUP(GL$1,$BH$2:$BR$2,$BH107:$BR107,0),0)</f>
        <v>#REF!</v>
      </c>
      <c r="GM107" s="26">
        <f>IF(GM$2=InputTable[[#This Row],[Delivery Date]],_xlfn.XLOOKUP(GM$1,$BH$2:$BR$2,$BH107:$BR107,0),0)</f>
        <v>0</v>
      </c>
      <c r="GN107" s="26">
        <f>IF(GN$2=InputTable[[#This Row],[Delivery Date]],_xlfn.XLOOKUP(GN$1,$BH$2:$BR$2,$BH107:$BR107,0),0)</f>
        <v>0</v>
      </c>
      <c r="GO107" s="26">
        <f>IF(GO$2=InputTable[[#This Row],[Delivery Date]],_xlfn.XLOOKUP(GO$1,$BH$2:$BR$2,$BH107:$BR107,0),0)</f>
        <v>0</v>
      </c>
      <c r="GP107" s="26">
        <f>IF(GP$2=InputTable[[#This Row],[Delivery Date]],_xlfn.XLOOKUP(GP$1,$BH$2:$BR$2,$BH107:$BR107,0),0)</f>
        <v>0</v>
      </c>
      <c r="GQ107" s="26">
        <f>IF(GQ$2=InputTable[[#This Row],[Delivery Date]],_xlfn.XLOOKUP(GQ$1,$BH$2:$BR$2,$BH107:$BR107,0),0)</f>
        <v>0</v>
      </c>
      <c r="GR107" s="26">
        <f>IF(GR$2=InputTable[[#This Row],[Delivery Date]],_xlfn.XLOOKUP(GR$1,$BH$2:$BR$2,$BH107:$BR107,0),0)</f>
        <v>0</v>
      </c>
      <c r="GS107" s="26">
        <f>IF(GS$2=InputTable[[#This Row],[Delivery Date]],_xlfn.XLOOKUP(GS$1,$BH$2:$BR$2,$BH107:$BR107,0),0)</f>
        <v>0</v>
      </c>
      <c r="GT107" s="26">
        <f>IF(GT$2=InputTable[[#This Row],[Delivery Date]],_xlfn.XLOOKUP(GT$1,$BH$2:$BR$2,$BH107:$BR107,0),0)</f>
        <v>0</v>
      </c>
      <c r="GV107" s="26" t="e">
        <f>IF(GV$2=InputTable[[#This Row],[Delivery Date]],_xlfn.XLOOKUP(GV$1,$BH$2:$BR$2,$BH107:$BR107,0),0)</f>
        <v>#REF!</v>
      </c>
      <c r="GW107" s="26">
        <f>IF(GW$2=InputTable[[#This Row],[Delivery Date]],_xlfn.XLOOKUP(GW$1,$BH$2:$BR$2,$BH107:$BR107,0),0)</f>
        <v>0</v>
      </c>
      <c r="GX107" s="26">
        <f>IF(GX$2=InputTable[[#This Row],[Delivery Date]],_xlfn.XLOOKUP(GX$1,$BH$2:$BR$2,$BH107:$BR107,0),0)</f>
        <v>0</v>
      </c>
      <c r="GY107" s="26">
        <f>IF(GY$2=InputTable[[#This Row],[Delivery Date]],_xlfn.XLOOKUP(GY$1,$BH$2:$BR$2,$BH107:$BR107,0),0)</f>
        <v>0</v>
      </c>
      <c r="GZ107" s="26">
        <f>IF(GZ$2=InputTable[[#This Row],[Delivery Date]],_xlfn.XLOOKUP(GZ$1,$BH$2:$BR$2,$BH107:$BR107,0),0)</f>
        <v>0</v>
      </c>
      <c r="HA107" s="26">
        <f>IF(HA$2=InputTable[[#This Row],[Delivery Date]],_xlfn.XLOOKUP(HA$1,$BH$2:$BR$2,$BH107:$BR107,0),0)</f>
        <v>0</v>
      </c>
      <c r="HB107" s="26">
        <f>IF(HB$2=InputTable[[#This Row],[Delivery Date]],_xlfn.XLOOKUP(HB$1,$BH$2:$BR$2,$BH107:$BR107,0),0)</f>
        <v>0</v>
      </c>
      <c r="HC107" s="26">
        <f>IF(HC$2=InputTable[[#This Row],[Delivery Date]],_xlfn.XLOOKUP(HC$1,$BH$2:$BR$2,$BH107:$BR107,0),0)</f>
        <v>0</v>
      </c>
      <c r="HD107" s="26">
        <f>IF(HD$2=InputTable[[#This Row],[Delivery Date]],_xlfn.XLOOKUP(HD$1,$BH$2:$BR$2,$BH107:$BR107,0),0)</f>
        <v>0</v>
      </c>
      <c r="HF107" s="26" t="e">
        <f>IF(HF$2=InputTable[[#This Row],[Delivery Date]],_xlfn.XLOOKUP(HF$1,$BH$2:$BR$2,$BH107:$BR107,0),0)</f>
        <v>#REF!</v>
      </c>
      <c r="HG107" s="26">
        <f>IF(HG$2=InputTable[[#This Row],[Delivery Date]],_xlfn.XLOOKUP(HG$1,$BH$2:$BR$2,$BH107:$BR107,0),0)</f>
        <v>0</v>
      </c>
      <c r="HH107" s="26">
        <f>IF(HH$2=InputTable[[#This Row],[Delivery Date]],_xlfn.XLOOKUP(HH$1,$BH$2:$BR$2,$BH107:$BR107,0),0)</f>
        <v>0</v>
      </c>
      <c r="HI107" s="26">
        <f>IF(HI$2=InputTable[[#This Row],[Delivery Date]],_xlfn.XLOOKUP(HI$1,$BH$2:$BR$2,$BH107:$BR107,0),0)</f>
        <v>0</v>
      </c>
      <c r="HJ107" s="26">
        <f>IF(HJ$2=InputTable[[#This Row],[Delivery Date]],_xlfn.XLOOKUP(HJ$1,$BH$2:$BR$2,$BH107:$BR107,0),0)</f>
        <v>0</v>
      </c>
      <c r="HK107" s="26">
        <f>IF(HK$2=InputTable[[#This Row],[Delivery Date]],_xlfn.XLOOKUP(HK$1,$BH$2:$BR$2,$BH107:$BR107,0),0)</f>
        <v>0</v>
      </c>
      <c r="HL107" s="26">
        <f>IF(HL$2=InputTable[[#This Row],[Delivery Date]],_xlfn.XLOOKUP(HL$1,$BH$2:$BR$2,$BH107:$BR107,0),0)</f>
        <v>0</v>
      </c>
      <c r="HM107" s="26">
        <f>IF(HM$2=InputTable[[#This Row],[Delivery Date]],_xlfn.XLOOKUP(HM$1,$BH$2:$BR$2,$BH107:$BR107,0),0)</f>
        <v>0</v>
      </c>
      <c r="HN107" s="26">
        <f>IF(HN$2=InputTable[[#This Row],[Delivery Date]],_xlfn.XLOOKUP(HN$1,$BH$2:$BR$2,$BH107:$BR107,0),0)</f>
        <v>0</v>
      </c>
      <c r="HP107" s="26" t="e">
        <f>IF(HP$2=InputTable[[#This Row],[Delivery Date]],_xlfn.XLOOKUP(HP$1,$BH$2:$BR$2,$BH107:$BR107,0),0)</f>
        <v>#REF!</v>
      </c>
      <c r="HQ107" s="26">
        <f>IF(HQ$2=InputTable[[#This Row],[Delivery Date]],_xlfn.XLOOKUP(HQ$1,$BH$2:$BR$2,$BH107:$BR107,0),0)</f>
        <v>0</v>
      </c>
      <c r="HR107" s="26">
        <f>IF(HR$2=InputTable[[#This Row],[Delivery Date]],_xlfn.XLOOKUP(HR$1,$BH$2:$BR$2,$BH107:$BR107,0),0)</f>
        <v>0</v>
      </c>
      <c r="HS107" s="26">
        <f>IF(HS$2=InputTable[[#This Row],[Delivery Date]],_xlfn.XLOOKUP(HS$1,$BH$2:$BR$2,$BH107:$BR107,0),0)</f>
        <v>0</v>
      </c>
      <c r="HT107" s="26">
        <f>IF(HT$2=InputTable[[#This Row],[Delivery Date]],_xlfn.XLOOKUP(HT$1,$BH$2:$BR$2,$BH107:$BR107,0),0)</f>
        <v>0</v>
      </c>
      <c r="HU107" s="26">
        <f>IF(HU$2=InputTable[[#This Row],[Delivery Date]],_xlfn.XLOOKUP(HU$1,$BH$2:$BR$2,$BH107:$BR107,0),0)</f>
        <v>0</v>
      </c>
      <c r="HV107" s="26">
        <f>IF(HV$2=InputTable[[#This Row],[Delivery Date]],_xlfn.XLOOKUP(HV$1,$BH$2:$BR$2,$BH107:$BR107,0),0)</f>
        <v>0</v>
      </c>
      <c r="HW107" s="26">
        <f>IF(HW$2=InputTable[[#This Row],[Delivery Date]],_xlfn.XLOOKUP(HW$1,$BH$2:$BR$2,$BH107:$BR107,0),0)</f>
        <v>0</v>
      </c>
      <c r="HX107" s="26">
        <f>IF(HX$2=InputTable[[#This Row],[Delivery Date]],_xlfn.XLOOKUP(HX$1,$BH$2:$BR$2,$BH107:$BR107,0),0)</f>
        <v>0</v>
      </c>
      <c r="HZ107" s="26" t="e">
        <f>IF(HZ$2=InputTable[[#This Row],[Delivery Date]],_xlfn.XLOOKUP(HZ$1,$BH$2:$BR$2,$BH107:$BR107,0),0)</f>
        <v>#REF!</v>
      </c>
      <c r="IA107" s="26">
        <f>IF(IA$2=InputTable[[#This Row],[Delivery Date]],_xlfn.XLOOKUP(IA$1,$BH$2:$BR$2,$BH107:$BR107,0),0)</f>
        <v>0</v>
      </c>
      <c r="IB107" s="26">
        <f>IF(IB$2=InputTable[[#This Row],[Delivery Date]],_xlfn.XLOOKUP(IB$1,$BH$2:$BR$2,$BH107:$BR107,0),0)</f>
        <v>0</v>
      </c>
      <c r="IC107" s="26">
        <f>IF(IC$2=InputTable[[#This Row],[Delivery Date]],_xlfn.XLOOKUP(IC$1,$BH$2:$BR$2,$BH107:$BR107,0),0)</f>
        <v>0</v>
      </c>
      <c r="ID107" s="26">
        <f>IF(ID$2=InputTable[[#This Row],[Delivery Date]],_xlfn.XLOOKUP(ID$1,$BH$2:$BR$2,$BH107:$BR107,0),0)</f>
        <v>0</v>
      </c>
      <c r="IE107" s="26">
        <f>IF(IE$2=InputTable[[#This Row],[Delivery Date]],_xlfn.XLOOKUP(IE$1,$BH$2:$BR$2,$BH107:$BR107,0),0)</f>
        <v>0</v>
      </c>
      <c r="IF107" s="26">
        <f>IF(IF$2=InputTable[[#This Row],[Delivery Date]],_xlfn.XLOOKUP(IF$1,$BH$2:$BR$2,$BH107:$BR107,0),0)</f>
        <v>0</v>
      </c>
      <c r="IG107" s="26">
        <f>IF(IG$2=InputTable[[#This Row],[Delivery Date]],_xlfn.XLOOKUP(IG$1,$BH$2:$BR$2,$BH107:$BR107,0),0)</f>
        <v>0</v>
      </c>
      <c r="IH107" s="26">
        <f>IF(IH$2=InputTable[[#This Row],[Delivery Date]],_xlfn.XLOOKUP(IH$1,$BH$2:$BR$2,$BH107:$BR107,0),0)</f>
        <v>0</v>
      </c>
      <c r="IJ107" s="26" t="e">
        <f>IF(IJ$2=InputTable[[#This Row],[Delivery Date]],_xlfn.XLOOKUP(IJ$1,$BH$2:$BR$2,$BH107:$BR107,0),0)</f>
        <v>#REF!</v>
      </c>
      <c r="IK107" s="26">
        <f>IF(IK$2=InputTable[[#This Row],[Delivery Date]],_xlfn.XLOOKUP(IK$1,$BH$2:$BR$2,$BH107:$BR107,0),0)</f>
        <v>0</v>
      </c>
      <c r="IL107" s="26">
        <f>IF(IL$2=InputTable[[#This Row],[Delivery Date]],_xlfn.XLOOKUP(IL$1,$BH$2:$BR$2,$BH107:$BR107,0),0)</f>
        <v>0</v>
      </c>
      <c r="IM107" s="26">
        <f>IF(IM$2=InputTable[[#This Row],[Delivery Date]],_xlfn.XLOOKUP(IM$1,$BH$2:$BR$2,$BH107:$BR107,0),0)</f>
        <v>0</v>
      </c>
      <c r="IN107" s="26">
        <f>IF(IN$2=InputTable[[#This Row],[Delivery Date]],_xlfn.XLOOKUP(IN$1,$BH$2:$BR$2,$BH107:$BR107,0),0)</f>
        <v>0</v>
      </c>
      <c r="IO107" s="26">
        <f>IF(IO$2=InputTable[[#This Row],[Delivery Date]],_xlfn.XLOOKUP(IO$1,$BH$2:$BR$2,$BH107:$BR107,0),0)</f>
        <v>0</v>
      </c>
      <c r="IP107" s="26">
        <f>IF(IP$2=InputTable[[#This Row],[Delivery Date]],_xlfn.XLOOKUP(IP$1,$BH$2:$BR$2,$BH107:$BR107,0),0)</f>
        <v>0</v>
      </c>
      <c r="IQ107" s="26">
        <f>IF(IQ$2=InputTable[[#This Row],[Delivery Date]],_xlfn.XLOOKUP(IQ$1,$BH$2:$BR$2,$BH107:$BR107,0),0)</f>
        <v>0</v>
      </c>
      <c r="IR107" s="26">
        <f>IF(IR$2=InputTable[[#This Row],[Delivery Date]],_xlfn.XLOOKUP(IR$1,$BH$2:$BR$2,$BH107:$BR107,0),0)</f>
        <v>0</v>
      </c>
      <c r="IT107" s="26" t="e">
        <f>IF(IT$2=InputTable[[#This Row],[Delivery Date]],_xlfn.XLOOKUP(IT$1,$BH$2:$BR$2,$BH107:$BR107,0),0)</f>
        <v>#REF!</v>
      </c>
      <c r="IU107" s="26">
        <f>IF(IU$2=InputTable[[#This Row],[Delivery Date]],_xlfn.XLOOKUP(IU$1,$BH$2:$BR$2,$BH107:$BR107,0),0)</f>
        <v>0</v>
      </c>
      <c r="IV107" s="26">
        <f>IF(IV$2=InputTable[[#This Row],[Delivery Date]],_xlfn.XLOOKUP(IV$1,$BH$2:$BR$2,$BH107:$BR107,0),0)</f>
        <v>0</v>
      </c>
      <c r="IW107" s="26">
        <f>IF(IW$2=InputTable[[#This Row],[Delivery Date]],_xlfn.XLOOKUP(IW$1,$BH$2:$BR$2,$BH107:$BR107,0),0)</f>
        <v>0</v>
      </c>
      <c r="IX107" s="26">
        <f>IF(IX$2=InputTable[[#This Row],[Delivery Date]],_xlfn.XLOOKUP(IX$1,$BH$2:$BR$2,$BH107:$BR107,0),0)</f>
        <v>0</v>
      </c>
      <c r="IY107" s="26">
        <f>IF(IY$2=InputTable[[#This Row],[Delivery Date]],_xlfn.XLOOKUP(IY$1,$BH$2:$BR$2,$BH107:$BR107,0),0)</f>
        <v>0</v>
      </c>
      <c r="IZ107" s="26">
        <f>IF(IZ$2=InputTable[[#This Row],[Delivery Date]],_xlfn.XLOOKUP(IZ$1,$BH$2:$BR$2,$BH107:$BR107,0),0)</f>
        <v>0</v>
      </c>
      <c r="JA107" s="26">
        <f>IF(JA$2=InputTable[[#This Row],[Delivery Date]],_xlfn.XLOOKUP(JA$1,$BH$2:$BR$2,$BH107:$BR107,0),0)</f>
        <v>0</v>
      </c>
      <c r="JB107" s="26">
        <f>IF(JB$2=InputTable[[#This Row],[Delivery Date]],_xlfn.XLOOKUP(JB$1,$BH$2:$BR$2,$BH107:$BR107,0),0)</f>
        <v>0</v>
      </c>
      <c r="JD107" s="26" t="e">
        <f>IF(JD$2=InputTable[[#This Row],[Delivery Date]],_xlfn.XLOOKUP(JD$1,$BH$2:$BR$2,$BH107:$BR107,0),0)</f>
        <v>#REF!</v>
      </c>
      <c r="JE107" s="26">
        <f>IF(JE$2=InputTable[[#This Row],[Delivery Date]],_xlfn.XLOOKUP(JE$1,$BH$2:$BR$2,$BH107:$BR107,0),0)</f>
        <v>0</v>
      </c>
      <c r="JF107" s="26">
        <f>IF(JF$2=InputTable[[#This Row],[Delivery Date]],_xlfn.XLOOKUP(JF$1,$BH$2:$BR$2,$BH107:$BR107,0),0)</f>
        <v>0</v>
      </c>
      <c r="JG107" s="26">
        <f>IF(JG$2=InputTable[[#This Row],[Delivery Date]],_xlfn.XLOOKUP(JG$1,$BH$2:$BR$2,$BH107:$BR107,0),0)</f>
        <v>0</v>
      </c>
      <c r="JH107" s="26">
        <f>IF(JH$2=InputTable[[#This Row],[Delivery Date]],_xlfn.XLOOKUP(JH$1,$BH$2:$BR$2,$BH107:$BR107,0),0)</f>
        <v>0</v>
      </c>
      <c r="JI107" s="26">
        <f>IF(JI$2=InputTable[[#This Row],[Delivery Date]],_xlfn.XLOOKUP(JI$1,$BH$2:$BR$2,$BH107:$BR107,0),0)</f>
        <v>0</v>
      </c>
      <c r="JJ107" s="26">
        <f>IF(JJ$2=InputTable[[#This Row],[Delivery Date]],_xlfn.XLOOKUP(JJ$1,$BH$2:$BR$2,$BH107:$BR107,0),0)</f>
        <v>0</v>
      </c>
      <c r="JK107" s="26">
        <f>IF(JK$2=InputTable[[#This Row],[Delivery Date]],_xlfn.XLOOKUP(JK$1,$BH$2:$BR$2,$BH107:$BR107,0),0)</f>
        <v>0</v>
      </c>
      <c r="JL107" s="26">
        <f>IF(JL$2=InputTable[[#This Row],[Delivery Date]],_xlfn.XLOOKUP(JL$1,$BH$2:$BR$2,$BH107:$BR107,0),0)</f>
        <v>0</v>
      </c>
      <c r="JN107" s="26" t="e">
        <f>IF(JN$2=InputTable[[#This Row],[Delivery Date]],_xlfn.XLOOKUP(JN$1,$BH$2:$BR$2,$BH107:$BR107,0),0)</f>
        <v>#REF!</v>
      </c>
      <c r="JO107" s="26">
        <f>IF(JO$2=InputTable[[#This Row],[Delivery Date]],_xlfn.XLOOKUP(JO$1,$BH$2:$BR$2,$BH107:$BR107,0),0)</f>
        <v>0</v>
      </c>
      <c r="JP107" s="26">
        <f>IF(JP$2=InputTable[[#This Row],[Delivery Date]],_xlfn.XLOOKUP(JP$1,$BH$2:$BR$2,$BH107:$BR107,0),0)</f>
        <v>0</v>
      </c>
      <c r="JQ107" s="26">
        <f>IF(JQ$2=InputTable[[#This Row],[Delivery Date]],_xlfn.XLOOKUP(JQ$1,$BH$2:$BR$2,$BH107:$BR107,0),0)</f>
        <v>0</v>
      </c>
      <c r="JR107" s="26">
        <f>IF(JR$2=InputTable[[#This Row],[Delivery Date]],_xlfn.XLOOKUP(JR$1,$BH$2:$BR$2,$BH107:$BR107,0),0)</f>
        <v>0</v>
      </c>
      <c r="JS107" s="26">
        <f>IF(JS$2=InputTable[[#This Row],[Delivery Date]],_xlfn.XLOOKUP(JS$1,$BH$2:$BR$2,$BH107:$BR107,0),0)</f>
        <v>0</v>
      </c>
      <c r="JT107" s="26">
        <f>IF(JT$2=InputTable[[#This Row],[Delivery Date]],_xlfn.XLOOKUP(JT$1,$BH$2:$BR$2,$BH107:$BR107,0),0)</f>
        <v>0</v>
      </c>
      <c r="JU107" s="26">
        <f>IF(JU$2=InputTable[[#This Row],[Delivery Date]],_xlfn.XLOOKUP(JU$1,$BH$2:$BR$2,$BH107:$BR107,0),0)</f>
        <v>0</v>
      </c>
      <c r="JV107" s="26">
        <f>IF(JV$2=InputTable[[#This Row],[Delivery Date]],_xlfn.XLOOKUP(JV$1,$BH$2:$BR$2,$BH107:$BR107,0),0)</f>
        <v>0</v>
      </c>
      <c r="JX107" s="26" t="e">
        <f>IF(JX$2=InputTable[[#This Row],[Delivery Date]],_xlfn.XLOOKUP(JX$1,$BH$2:$BR$2,$BH107:$BR107,0),0)</f>
        <v>#REF!</v>
      </c>
      <c r="JY107" s="26">
        <f>IF(JY$2=InputTable[[#This Row],[Delivery Date]],_xlfn.XLOOKUP(JY$1,$BH$2:$BR$2,$BH107:$BR107,0),0)</f>
        <v>0</v>
      </c>
      <c r="JZ107" s="26">
        <f>IF(JZ$2=InputTable[[#This Row],[Delivery Date]],_xlfn.XLOOKUP(JZ$1,$BH$2:$BR$2,$BH107:$BR107,0),0)</f>
        <v>0</v>
      </c>
      <c r="KA107" s="26">
        <f>IF(KA$2=InputTable[[#This Row],[Delivery Date]],_xlfn.XLOOKUP(KA$1,$BH$2:$BR$2,$BH107:$BR107,0),0)</f>
        <v>0</v>
      </c>
      <c r="KB107" s="26">
        <f>IF(KB$2=InputTable[[#This Row],[Delivery Date]],_xlfn.XLOOKUP(KB$1,$BH$2:$BR$2,$BH107:$BR107,0),0)</f>
        <v>0</v>
      </c>
      <c r="KC107" s="26">
        <f>IF(KC$2=InputTable[[#This Row],[Delivery Date]],_xlfn.XLOOKUP(KC$1,$BH$2:$BR$2,$BH107:$BR107,0),0)</f>
        <v>0</v>
      </c>
      <c r="KD107" s="26">
        <f>IF(KD$2=InputTable[[#This Row],[Delivery Date]],_xlfn.XLOOKUP(KD$1,$BH$2:$BR$2,$BH107:$BR107,0),0)</f>
        <v>0</v>
      </c>
      <c r="KE107" s="26">
        <f>IF(KE$2=InputTable[[#This Row],[Delivery Date]],_xlfn.XLOOKUP(KE$1,$BH$2:$BR$2,$BH107:$BR107,0),0)</f>
        <v>0</v>
      </c>
      <c r="KF107" s="26">
        <f>IF(KF$2=InputTable[[#This Row],[Delivery Date]],_xlfn.XLOOKUP(KF$1,$BH$2:$BR$2,$BH107:$BR107,0),0)</f>
        <v>0</v>
      </c>
    </row>
    <row r="108" spans="1:292" ht="39.6" hidden="1" customHeight="1" x14ac:dyDescent="0.25">
      <c r="A108" s="141" t="s">
        <v>134</v>
      </c>
      <c r="B108" s="141" t="s">
        <v>156</v>
      </c>
      <c r="C108" s="92" t="s">
        <v>93</v>
      </c>
      <c r="D108" s="125" t="s">
        <v>425</v>
      </c>
      <c r="E108" s="193" t="s">
        <v>426</v>
      </c>
      <c r="F108" s="92" t="s">
        <v>184</v>
      </c>
      <c r="G108" s="92">
        <v>2024</v>
      </c>
      <c r="H108" s="92" t="s">
        <v>100</v>
      </c>
      <c r="I108" s="92" t="s">
        <v>160</v>
      </c>
      <c r="J108" s="125" t="s">
        <v>215</v>
      </c>
      <c r="K108" s="95" t="e">
        <f>VLOOKUP((InputTable[[#This Row],[Starting Date]]&amp; " - " &amp;InputTable[[#This Row],[Delivery Date]]),'System List'!$F$40:$H$83,2,FALSE)</f>
        <v>#N/A</v>
      </c>
      <c r="L108" s="95" t="e">
        <f>VLOOKUP(InputTable[[#This Row],[Duration]],Duration,2,FALSE)</f>
        <v>#N/A</v>
      </c>
      <c r="M108" s="125"/>
      <c r="N108" s="92"/>
      <c r="O108" s="92"/>
      <c r="P108" s="92"/>
      <c r="Q108" s="92"/>
      <c r="R108" s="92"/>
      <c r="S108" s="153" t="s">
        <v>216</v>
      </c>
      <c r="T108" s="95" cm="1">
        <f t="array" ref="T108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0</v>
      </c>
      <c r="U108" s="138"/>
      <c r="V108" s="92"/>
      <c r="W108" s="92"/>
      <c r="X108" s="92" t="s">
        <v>111</v>
      </c>
      <c r="Y108" s="92"/>
      <c r="Z108" s="92"/>
      <c r="AA108" s="92"/>
      <c r="AB108" s="92"/>
      <c r="AC108" s="92" t="s">
        <v>139</v>
      </c>
      <c r="AD108" s="92">
        <f>COUNTA(InputTable[[#This Row],[CORPHRFIN]:[SALES]])</f>
        <v>2</v>
      </c>
      <c r="AE108" s="88" cm="1">
        <f t="array" ref="AE108">SUM(
_xlfn.XLOOKUP(InputTable[[#This Row],[CORPHRFIN]:[SALES]],'System List'!$F$4:$F$7,'System List'!$H$4:$H$7,0))</f>
        <v>13</v>
      </c>
      <c r="AF108" s="140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88" cm="1">
        <f t="array" ref="AR108">SUM(
_xlfn.XLOOKUP(InputTable[[#This Row],[Impact on - CIAL]:[Impact on - STRAT]],'System List'!$F$4:$F$7,'System List'!$H$4:$H$7,0))</f>
        <v>0</v>
      </c>
      <c r="AS108" s="88" t="e">
        <f>VLOOKUP(InputTable[[#This Row],[Duration]],Duration,2,FALSE)+InputTable[[#This Row],[Resource Score]]</f>
        <v>#N/A</v>
      </c>
      <c r="AT10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8" s="24" t="e">
        <f>InputTable[[#This Row],[Value Score]]/InputTable[[#This Row],[EFFORT SCORE]]*100</f>
        <v>#N/A</v>
      </c>
      <c r="AV108" s="25" t="str">
        <f>InputTable[[#This Row],[IS Portfolio Ref ID]]</f>
        <v>ISPRJ-76</v>
      </c>
      <c r="AW108" s="25" t="s">
        <v>131</v>
      </c>
      <c r="AX108" s="208" t="s">
        <v>427</v>
      </c>
      <c r="AY108" s="207">
        <v>1741</v>
      </c>
      <c r="AZ108" s="209">
        <v>0</v>
      </c>
      <c r="BA108" s="209">
        <v>0</v>
      </c>
      <c r="BB108" s="209"/>
      <c r="BC108" s="189">
        <v>284000</v>
      </c>
      <c r="BD108" s="188"/>
      <c r="BE108" s="188"/>
      <c r="BF108" s="70"/>
      <c r="BH108" s="2">
        <f>IFERROR(VLOOKUP(InputTable[[#This Row],[Impact on - CIAL]],'System List'!$F$4:$H$7,3,FALSE),0)</f>
        <v>0</v>
      </c>
      <c r="BI108" s="2">
        <f>IFERROR(VLOOKUP(InputTable[[#This Row],[Impact on - COM]],'System List'!$F$4:$H$7,3,FALSE),0)</f>
        <v>0</v>
      </c>
      <c r="BJ108" s="2">
        <f>IFERROR(VLOOKUP(InputTable[[#This Row],[Impact on - FIN]],'System List'!$F$4:$H$7,3,FALSE),0)</f>
        <v>0</v>
      </c>
      <c r="BK108" s="2">
        <f>IFERROR(VLOOKUP(InputTable[[#This Row],[Impact on - GEN SEC]],'System List'!$F$4:$H$7,3,FALSE),0)</f>
        <v>0</v>
      </c>
      <c r="BL108" s="2">
        <f>IFERROR(VLOOKUP(InputTable[[#This Row],[Impact on - HR]],'System List'!$F$4:$H$7,3,FALSE),0)</f>
        <v>0</v>
      </c>
      <c r="BM108" s="2">
        <f>IFERROR(VLOOKUP(InputTable[[#This Row],[Impact on - IS]],'System List'!$F$4:$H$7,3,FALSE),0)</f>
        <v>0</v>
      </c>
      <c r="BN108" s="2">
        <f>IFERROR(VLOOKUP(InputTable[[#This Row],[Impact on - OPS]],'System List'!$F$4:$H$7,3,FALSE),0)</f>
        <v>0</v>
      </c>
      <c r="BO108" s="2">
        <f>IFERROR(VLOOKUP(InputTable[[#This Row],[Impact on - ROLL STOCK]],'System List'!$F$4:$H$7,3,FALSE),0)</f>
        <v>0</v>
      </c>
      <c r="BP108" s="2">
        <f>IFERROR(VLOOKUP(InputTable[[#This Row],[Impact on - SAFETY]],'System List'!$F$4:$H$7,3,FALSE),0)</f>
        <v>0</v>
      </c>
      <c r="BQ108" s="2">
        <f>IFERROR(VLOOKUP(InputTable[[#This Row],[Impact on - STATION]],'System List'!$F$4:$H$7,3,FALSE),0)</f>
        <v>0</v>
      </c>
      <c r="BR108" s="2">
        <f>IFERROR(VLOOKUP(InputTable[[#This Row],[Impact on - STRAT]],'System List'!$F$4:$H$7,3,FALSE),0)</f>
        <v>0</v>
      </c>
      <c r="BT108" s="2">
        <f>IFERROR(VLOOKUP(InputTable[[#This Row],[CORPHRFIN]],'System List'!$F$4:$H$7,3,FALSE),0)</f>
        <v>0</v>
      </c>
      <c r="BU108" s="2">
        <f>IFERROR(VLOOKUP(InputTable[[#This Row],[CUST]],'System List'!$F$4:$H$7,3,FALSE),0)</f>
        <v>0</v>
      </c>
      <c r="BV108" s="2">
        <f>IFERROR(VLOOKUP(InputTable[[#This Row],[CYBER]],'System List'!$F$4:$H$7,3,FALSE),0)</f>
        <v>5</v>
      </c>
      <c r="BW108" s="2">
        <f>IFERROR(VLOOKUP(InputTable[[#This Row],[DATA]],'System List'!$F$4:$H$7,3,FALSE),0)</f>
        <v>0</v>
      </c>
      <c r="BX108" s="2">
        <f>IFERROR(VLOOKUP(InputTable[[#This Row],[INFRA]],'System List'!$F$4:$H$7,3,FALSE),0)</f>
        <v>0</v>
      </c>
      <c r="BY108" s="2">
        <f>IFERROR(VLOOKUP(InputTable[[#This Row],[OPERATIONS]],'System List'!$F$4:$H$7,3,FALSE),0)</f>
        <v>0</v>
      </c>
      <c r="BZ108" s="2">
        <f>IFERROR(VLOOKUP(InputTable[[#This Row],[PMO]],'System List'!$F$4:$H$7,3,FALSE),0)</f>
        <v>0</v>
      </c>
      <c r="CA108" s="2">
        <f>IFERROR(VLOOKUP(InputTable[[#This Row],[SALES]],'System List'!$F$4:$H$7,3,FALSE),0)</f>
        <v>8</v>
      </c>
      <c r="CC108" s="2" cm="1">
        <f t="array" ref="CC10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8" s="2" cm="1">
        <f t="array" ref="CD10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8" s="2" cm="1">
        <f t="array" ref="CE10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8" s="2" cm="1">
        <f t="array" ref="CF10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8" s="2" cm="1">
        <f t="array" ref="CG10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8" s="2" cm="1">
        <f t="array" ref="CH10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8" s="2" cm="1">
        <f t="array" ref="CI10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8" s="2" cm="1">
        <f t="array" ref="CJ10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8" s="2" cm="1">
        <f t="array" ref="CK10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1</v>
      </c>
      <c r="CP10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0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0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0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0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8" s="26">
        <f t="shared" si="307"/>
        <v>0</v>
      </c>
      <c r="CY108" s="26">
        <f t="shared" si="308"/>
        <v>0</v>
      </c>
      <c r="CZ108" s="26">
        <f t="shared" si="309"/>
        <v>0</v>
      </c>
      <c r="DA108" s="26">
        <f t="shared" si="310"/>
        <v>0</v>
      </c>
      <c r="DB108" s="26">
        <f t="shared" si="311"/>
        <v>0</v>
      </c>
      <c r="DC108" s="26">
        <f t="shared" si="312"/>
        <v>0</v>
      </c>
      <c r="DD108" s="26">
        <f t="shared" si="313"/>
        <v>0</v>
      </c>
      <c r="DE108" s="26">
        <f t="shared" si="314"/>
        <v>0</v>
      </c>
      <c r="DF108" s="26">
        <f t="shared" si="315"/>
        <v>0</v>
      </c>
      <c r="DH108" s="26">
        <f t="shared" si="316"/>
        <v>0</v>
      </c>
      <c r="DI108" s="26">
        <f t="shared" si="317"/>
        <v>0</v>
      </c>
      <c r="DJ108" s="26">
        <f t="shared" si="318"/>
        <v>0</v>
      </c>
      <c r="DK108" s="26">
        <f t="shared" si="319"/>
        <v>0</v>
      </c>
      <c r="DL108" s="26">
        <f t="shared" si="320"/>
        <v>0</v>
      </c>
      <c r="DM108" s="26">
        <f t="shared" si="321"/>
        <v>0</v>
      </c>
      <c r="DN108" s="26">
        <f t="shared" si="322"/>
        <v>0</v>
      </c>
      <c r="DO108" s="26">
        <f t="shared" si="323"/>
        <v>0</v>
      </c>
      <c r="DP108" s="26">
        <f t="shared" si="324"/>
        <v>0</v>
      </c>
      <c r="DR108" s="26">
        <f t="shared" si="325"/>
        <v>0</v>
      </c>
      <c r="DS108" s="26">
        <f t="shared" si="326"/>
        <v>5</v>
      </c>
      <c r="DT108" s="26">
        <f t="shared" si="327"/>
        <v>5</v>
      </c>
      <c r="DU108" s="26">
        <f t="shared" si="328"/>
        <v>5</v>
      </c>
      <c r="DV108" s="26">
        <f t="shared" si="329"/>
        <v>0</v>
      </c>
      <c r="DW108" s="26">
        <f t="shared" si="330"/>
        <v>0</v>
      </c>
      <c r="DX108" s="26">
        <f t="shared" si="331"/>
        <v>0</v>
      </c>
      <c r="DY108" s="26">
        <f t="shared" si="332"/>
        <v>0</v>
      </c>
      <c r="DZ108" s="26">
        <f t="shared" si="333"/>
        <v>0</v>
      </c>
      <c r="EB108" s="26">
        <f t="shared" si="334"/>
        <v>0</v>
      </c>
      <c r="EC108" s="26">
        <f t="shared" si="335"/>
        <v>0</v>
      </c>
      <c r="ED108" s="26">
        <f t="shared" si="336"/>
        <v>0</v>
      </c>
      <c r="EE108" s="26">
        <f t="shared" si="337"/>
        <v>0</v>
      </c>
      <c r="EF108" s="26">
        <f t="shared" si="338"/>
        <v>0</v>
      </c>
      <c r="EG108" s="26">
        <f t="shared" si="339"/>
        <v>0</v>
      </c>
      <c r="EH108" s="26">
        <f t="shared" si="340"/>
        <v>0</v>
      </c>
      <c r="EI108" s="26">
        <f t="shared" si="341"/>
        <v>0</v>
      </c>
      <c r="EJ108" s="26">
        <f t="shared" si="342"/>
        <v>0</v>
      </c>
      <c r="EL108" s="26">
        <f t="shared" si="343"/>
        <v>0</v>
      </c>
      <c r="EM108" s="26">
        <f t="shared" si="344"/>
        <v>0</v>
      </c>
      <c r="EN108" s="26">
        <f t="shared" si="345"/>
        <v>0</v>
      </c>
      <c r="EO108" s="26">
        <f t="shared" si="346"/>
        <v>0</v>
      </c>
      <c r="EP108" s="26">
        <f t="shared" si="347"/>
        <v>0</v>
      </c>
      <c r="EQ108" s="26">
        <f t="shared" si="348"/>
        <v>0</v>
      </c>
      <c r="ER108" s="26">
        <f t="shared" si="349"/>
        <v>0</v>
      </c>
      <c r="ES108" s="26">
        <f t="shared" si="350"/>
        <v>0</v>
      </c>
      <c r="ET108" s="26">
        <f t="shared" si="351"/>
        <v>0</v>
      </c>
      <c r="EV108" s="26">
        <f t="shared" si="352"/>
        <v>0</v>
      </c>
      <c r="EW108" s="26">
        <f t="shared" si="353"/>
        <v>0</v>
      </c>
      <c r="EX108" s="26">
        <f t="shared" si="354"/>
        <v>0</v>
      </c>
      <c r="EY108" s="26">
        <f t="shared" si="355"/>
        <v>0</v>
      </c>
      <c r="EZ108" s="26">
        <f t="shared" si="356"/>
        <v>0</v>
      </c>
      <c r="FA108" s="26">
        <f t="shared" si="357"/>
        <v>0</v>
      </c>
      <c r="FB108" s="26">
        <f t="shared" si="358"/>
        <v>0</v>
      </c>
      <c r="FC108" s="26">
        <f t="shared" si="359"/>
        <v>0</v>
      </c>
      <c r="FD108" s="26">
        <f t="shared" si="360"/>
        <v>0</v>
      </c>
      <c r="FF108" s="26">
        <f t="shared" si="361"/>
        <v>0</v>
      </c>
      <c r="FG108" s="26">
        <f t="shared" si="362"/>
        <v>0</v>
      </c>
      <c r="FH108" s="26">
        <f t="shared" si="363"/>
        <v>0</v>
      </c>
      <c r="FI108" s="26">
        <f t="shared" si="364"/>
        <v>0</v>
      </c>
      <c r="FJ108" s="26">
        <f t="shared" si="365"/>
        <v>0</v>
      </c>
      <c r="FK108" s="26">
        <f t="shared" si="366"/>
        <v>0</v>
      </c>
      <c r="FL108" s="26">
        <f t="shared" si="367"/>
        <v>0</v>
      </c>
      <c r="FM108" s="26">
        <f t="shared" si="368"/>
        <v>0</v>
      </c>
      <c r="FN108" s="26">
        <f t="shared" si="369"/>
        <v>0</v>
      </c>
      <c r="FP108" s="26" t="e">
        <f t="shared" si="370"/>
        <v>#REF!</v>
      </c>
      <c r="FQ108" s="26" t="e">
        <f t="shared" si="371"/>
        <v>#REF!</v>
      </c>
      <c r="FR108" s="26" t="e">
        <f t="shared" si="372"/>
        <v>#REF!</v>
      </c>
      <c r="FS108" s="26" t="e">
        <f t="shared" si="373"/>
        <v>#REF!</v>
      </c>
      <c r="FT108" s="26" t="e">
        <f t="shared" si="374"/>
        <v>#REF!</v>
      </c>
      <c r="FU108" s="26" t="e">
        <f t="shared" si="375"/>
        <v>#REF!</v>
      </c>
      <c r="FV108" s="26" t="e">
        <f t="shared" si="376"/>
        <v>#REF!</v>
      </c>
      <c r="FW108" s="26" t="e">
        <f t="shared" si="377"/>
        <v>#REF!</v>
      </c>
      <c r="FX108" s="26" t="e">
        <f t="shared" si="378"/>
        <v>#REF!</v>
      </c>
      <c r="GB108" s="26" t="e">
        <f>IF(GB$2=InputTable[[#This Row],[Delivery Date]],_xlfn.XLOOKUP(GB$1,$BH$2:$BR$2,$BH108:$BR108,0),0)</f>
        <v>#REF!</v>
      </c>
      <c r="GC108" s="26">
        <f>IF(GC$2=InputTable[[#This Row],[Delivery Date]],_xlfn.XLOOKUP(GC$1,$BH$2:$BR$2,$BH108:$BR108,0),0)</f>
        <v>0</v>
      </c>
      <c r="GD108" s="26">
        <f>IF(GD$2=InputTable[[#This Row],[Delivery Date]],_xlfn.XLOOKUP(GD$1,$BH$2:$BR$2,$BH108:$BR108,0),0)</f>
        <v>0</v>
      </c>
      <c r="GE108" s="26">
        <f>IF(GE$2=InputTable[[#This Row],[Delivery Date]],_xlfn.XLOOKUP(GE$1,$BH$2:$BR$2,$BH108:$BR108,0),0)</f>
        <v>0</v>
      </c>
      <c r="GF108" s="26">
        <f>IF(GF$2=InputTable[[#This Row],[Delivery Date]],_xlfn.XLOOKUP(GF$1,$BH$2:$BR$2,$BH108:$BR108,0),0)</f>
        <v>0</v>
      </c>
      <c r="GG108" s="26">
        <f>IF(GG$2=InputTable[[#This Row],[Delivery Date]],_xlfn.XLOOKUP(GG$1,$BH$2:$BR$2,$BH108:$BR108,0),0)</f>
        <v>0</v>
      </c>
      <c r="GH108" s="26">
        <f>IF(GH$2=InputTable[[#This Row],[Delivery Date]],_xlfn.XLOOKUP(GH$1,$BH$2:$BR$2,$BH108:$BR108,0),0)</f>
        <v>0</v>
      </c>
      <c r="GI108" s="26">
        <f>IF(GI$2=InputTable[[#This Row],[Delivery Date]],_xlfn.XLOOKUP(GI$1,$BH$2:$BR$2,$BH108:$BR108,0),0)</f>
        <v>0</v>
      </c>
      <c r="GJ108" s="26">
        <f>IF(GJ$2=InputTable[[#This Row],[Delivery Date]],_xlfn.XLOOKUP(GJ$1,$BH$2:$BR$2,$BH108:$BR108,0),0)</f>
        <v>0</v>
      </c>
      <c r="GL108" s="26" t="e">
        <f>IF(GL$2=InputTable[[#This Row],[Delivery Date]],_xlfn.XLOOKUP(GL$1,$BH$2:$BR$2,$BH108:$BR108,0),0)</f>
        <v>#REF!</v>
      </c>
      <c r="GM108" s="26">
        <f>IF(GM$2=InputTable[[#This Row],[Delivery Date]],_xlfn.XLOOKUP(GM$1,$BH$2:$BR$2,$BH108:$BR108,0),0)</f>
        <v>0</v>
      </c>
      <c r="GN108" s="26">
        <f>IF(GN$2=InputTable[[#This Row],[Delivery Date]],_xlfn.XLOOKUP(GN$1,$BH$2:$BR$2,$BH108:$BR108,0),0)</f>
        <v>0</v>
      </c>
      <c r="GO108" s="26">
        <f>IF(GO$2=InputTable[[#This Row],[Delivery Date]],_xlfn.XLOOKUP(GO$1,$BH$2:$BR$2,$BH108:$BR108,0),0)</f>
        <v>0</v>
      </c>
      <c r="GP108" s="26">
        <f>IF(GP$2=InputTable[[#This Row],[Delivery Date]],_xlfn.XLOOKUP(GP$1,$BH$2:$BR$2,$BH108:$BR108,0),0)</f>
        <v>0</v>
      </c>
      <c r="GQ108" s="26">
        <f>IF(GQ$2=InputTable[[#This Row],[Delivery Date]],_xlfn.XLOOKUP(GQ$1,$BH$2:$BR$2,$BH108:$BR108,0),0)</f>
        <v>0</v>
      </c>
      <c r="GR108" s="26">
        <f>IF(GR$2=InputTable[[#This Row],[Delivery Date]],_xlfn.XLOOKUP(GR$1,$BH$2:$BR$2,$BH108:$BR108,0),0)</f>
        <v>0</v>
      </c>
      <c r="GS108" s="26">
        <f>IF(GS$2=InputTable[[#This Row],[Delivery Date]],_xlfn.XLOOKUP(GS$1,$BH$2:$BR$2,$BH108:$BR108,0),0)</f>
        <v>0</v>
      </c>
      <c r="GT108" s="26">
        <f>IF(GT$2=InputTable[[#This Row],[Delivery Date]],_xlfn.XLOOKUP(GT$1,$BH$2:$BR$2,$BH108:$BR108,0),0)</f>
        <v>0</v>
      </c>
      <c r="GV108" s="26" t="e">
        <f>IF(GV$2=InputTable[[#This Row],[Delivery Date]],_xlfn.XLOOKUP(GV$1,$BH$2:$BR$2,$BH108:$BR108,0),0)</f>
        <v>#REF!</v>
      </c>
      <c r="GW108" s="26">
        <f>IF(GW$2=InputTable[[#This Row],[Delivery Date]],_xlfn.XLOOKUP(GW$1,$BH$2:$BR$2,$BH108:$BR108,0),0)</f>
        <v>0</v>
      </c>
      <c r="GX108" s="26">
        <f>IF(GX$2=InputTable[[#This Row],[Delivery Date]],_xlfn.XLOOKUP(GX$1,$BH$2:$BR$2,$BH108:$BR108,0),0)</f>
        <v>0</v>
      </c>
      <c r="GY108" s="26">
        <f>IF(GY$2=InputTable[[#This Row],[Delivery Date]],_xlfn.XLOOKUP(GY$1,$BH$2:$BR$2,$BH108:$BR108,0),0)</f>
        <v>0</v>
      </c>
      <c r="GZ108" s="26">
        <f>IF(GZ$2=InputTable[[#This Row],[Delivery Date]],_xlfn.XLOOKUP(GZ$1,$BH$2:$BR$2,$BH108:$BR108,0),0)</f>
        <v>0</v>
      </c>
      <c r="HA108" s="26">
        <f>IF(HA$2=InputTable[[#This Row],[Delivery Date]],_xlfn.XLOOKUP(HA$1,$BH$2:$BR$2,$BH108:$BR108,0),0)</f>
        <v>0</v>
      </c>
      <c r="HB108" s="26">
        <f>IF(HB$2=InputTable[[#This Row],[Delivery Date]],_xlfn.XLOOKUP(HB$1,$BH$2:$BR$2,$BH108:$BR108,0),0)</f>
        <v>0</v>
      </c>
      <c r="HC108" s="26">
        <f>IF(HC$2=InputTable[[#This Row],[Delivery Date]],_xlfn.XLOOKUP(HC$1,$BH$2:$BR$2,$BH108:$BR108,0),0)</f>
        <v>0</v>
      </c>
      <c r="HD108" s="26">
        <f>IF(HD$2=InputTable[[#This Row],[Delivery Date]],_xlfn.XLOOKUP(HD$1,$BH$2:$BR$2,$BH108:$BR108,0),0)</f>
        <v>0</v>
      </c>
      <c r="HF108" s="26" t="e">
        <f>IF(HF$2=InputTable[[#This Row],[Delivery Date]],_xlfn.XLOOKUP(HF$1,$BH$2:$BR$2,$BH108:$BR108,0),0)</f>
        <v>#REF!</v>
      </c>
      <c r="HG108" s="26">
        <f>IF(HG$2=InputTable[[#This Row],[Delivery Date]],_xlfn.XLOOKUP(HG$1,$BH$2:$BR$2,$BH108:$BR108,0),0)</f>
        <v>0</v>
      </c>
      <c r="HH108" s="26">
        <f>IF(HH$2=InputTable[[#This Row],[Delivery Date]],_xlfn.XLOOKUP(HH$1,$BH$2:$BR$2,$BH108:$BR108,0),0)</f>
        <v>0</v>
      </c>
      <c r="HI108" s="26">
        <f>IF(HI$2=InputTable[[#This Row],[Delivery Date]],_xlfn.XLOOKUP(HI$1,$BH$2:$BR$2,$BH108:$BR108,0),0)</f>
        <v>0</v>
      </c>
      <c r="HJ108" s="26">
        <f>IF(HJ$2=InputTable[[#This Row],[Delivery Date]],_xlfn.XLOOKUP(HJ$1,$BH$2:$BR$2,$BH108:$BR108,0),0)</f>
        <v>0</v>
      </c>
      <c r="HK108" s="26">
        <f>IF(HK$2=InputTable[[#This Row],[Delivery Date]],_xlfn.XLOOKUP(HK$1,$BH$2:$BR$2,$BH108:$BR108,0),0)</f>
        <v>0</v>
      </c>
      <c r="HL108" s="26">
        <f>IF(HL$2=InputTable[[#This Row],[Delivery Date]],_xlfn.XLOOKUP(HL$1,$BH$2:$BR$2,$BH108:$BR108,0),0)</f>
        <v>0</v>
      </c>
      <c r="HM108" s="26">
        <f>IF(HM$2=InputTable[[#This Row],[Delivery Date]],_xlfn.XLOOKUP(HM$1,$BH$2:$BR$2,$BH108:$BR108,0),0)</f>
        <v>0</v>
      </c>
      <c r="HN108" s="26">
        <f>IF(HN$2=InputTable[[#This Row],[Delivery Date]],_xlfn.XLOOKUP(HN$1,$BH$2:$BR$2,$BH108:$BR108,0),0)</f>
        <v>0</v>
      </c>
      <c r="HP108" s="26" t="e">
        <f>IF(HP$2=InputTable[[#This Row],[Delivery Date]],_xlfn.XLOOKUP(HP$1,$BH$2:$BR$2,$BH108:$BR108,0),0)</f>
        <v>#REF!</v>
      </c>
      <c r="HQ108" s="26">
        <f>IF(HQ$2=InputTable[[#This Row],[Delivery Date]],_xlfn.XLOOKUP(HQ$1,$BH$2:$BR$2,$BH108:$BR108,0),0)</f>
        <v>0</v>
      </c>
      <c r="HR108" s="26">
        <f>IF(HR$2=InputTable[[#This Row],[Delivery Date]],_xlfn.XLOOKUP(HR$1,$BH$2:$BR$2,$BH108:$BR108,0),0)</f>
        <v>0</v>
      </c>
      <c r="HS108" s="26">
        <f>IF(HS$2=InputTable[[#This Row],[Delivery Date]],_xlfn.XLOOKUP(HS$1,$BH$2:$BR$2,$BH108:$BR108,0),0)</f>
        <v>0</v>
      </c>
      <c r="HT108" s="26">
        <f>IF(HT$2=InputTable[[#This Row],[Delivery Date]],_xlfn.XLOOKUP(HT$1,$BH$2:$BR$2,$BH108:$BR108,0),0)</f>
        <v>0</v>
      </c>
      <c r="HU108" s="26">
        <f>IF(HU$2=InputTable[[#This Row],[Delivery Date]],_xlfn.XLOOKUP(HU$1,$BH$2:$BR$2,$BH108:$BR108,0),0)</f>
        <v>0</v>
      </c>
      <c r="HV108" s="26">
        <f>IF(HV$2=InputTable[[#This Row],[Delivery Date]],_xlfn.XLOOKUP(HV$1,$BH$2:$BR$2,$BH108:$BR108,0),0)</f>
        <v>0</v>
      </c>
      <c r="HW108" s="26">
        <f>IF(HW$2=InputTable[[#This Row],[Delivery Date]],_xlfn.XLOOKUP(HW$1,$BH$2:$BR$2,$BH108:$BR108,0),0)</f>
        <v>0</v>
      </c>
      <c r="HX108" s="26">
        <f>IF(HX$2=InputTable[[#This Row],[Delivery Date]],_xlfn.XLOOKUP(HX$1,$BH$2:$BR$2,$BH108:$BR108,0),0)</f>
        <v>0</v>
      </c>
      <c r="HZ108" s="26" t="e">
        <f>IF(HZ$2=InputTable[[#This Row],[Delivery Date]],_xlfn.XLOOKUP(HZ$1,$BH$2:$BR$2,$BH108:$BR108,0),0)</f>
        <v>#REF!</v>
      </c>
      <c r="IA108" s="26">
        <f>IF(IA$2=InputTable[[#This Row],[Delivery Date]],_xlfn.XLOOKUP(IA$1,$BH$2:$BR$2,$BH108:$BR108,0),0)</f>
        <v>0</v>
      </c>
      <c r="IB108" s="26">
        <f>IF(IB$2=InputTable[[#This Row],[Delivery Date]],_xlfn.XLOOKUP(IB$1,$BH$2:$BR$2,$BH108:$BR108,0),0)</f>
        <v>0</v>
      </c>
      <c r="IC108" s="26">
        <f>IF(IC$2=InputTable[[#This Row],[Delivery Date]],_xlfn.XLOOKUP(IC$1,$BH$2:$BR$2,$BH108:$BR108,0),0)</f>
        <v>0</v>
      </c>
      <c r="ID108" s="26">
        <f>IF(ID$2=InputTable[[#This Row],[Delivery Date]],_xlfn.XLOOKUP(ID$1,$BH$2:$BR$2,$BH108:$BR108,0),0)</f>
        <v>0</v>
      </c>
      <c r="IE108" s="26">
        <f>IF(IE$2=InputTable[[#This Row],[Delivery Date]],_xlfn.XLOOKUP(IE$1,$BH$2:$BR$2,$BH108:$BR108,0),0)</f>
        <v>0</v>
      </c>
      <c r="IF108" s="26">
        <f>IF(IF$2=InputTable[[#This Row],[Delivery Date]],_xlfn.XLOOKUP(IF$1,$BH$2:$BR$2,$BH108:$BR108,0),0)</f>
        <v>0</v>
      </c>
      <c r="IG108" s="26">
        <f>IF(IG$2=InputTable[[#This Row],[Delivery Date]],_xlfn.XLOOKUP(IG$1,$BH$2:$BR$2,$BH108:$BR108,0),0)</f>
        <v>0</v>
      </c>
      <c r="IH108" s="26">
        <f>IF(IH$2=InputTable[[#This Row],[Delivery Date]],_xlfn.XLOOKUP(IH$1,$BH$2:$BR$2,$BH108:$BR108,0),0)</f>
        <v>0</v>
      </c>
      <c r="IJ108" s="26" t="e">
        <f>IF(IJ$2=InputTable[[#This Row],[Delivery Date]],_xlfn.XLOOKUP(IJ$1,$BH$2:$BR$2,$BH108:$BR108,0),0)</f>
        <v>#REF!</v>
      </c>
      <c r="IK108" s="26">
        <f>IF(IK$2=InputTable[[#This Row],[Delivery Date]],_xlfn.XLOOKUP(IK$1,$BH$2:$BR$2,$BH108:$BR108,0),0)</f>
        <v>0</v>
      </c>
      <c r="IL108" s="26">
        <f>IF(IL$2=InputTable[[#This Row],[Delivery Date]],_xlfn.XLOOKUP(IL$1,$BH$2:$BR$2,$BH108:$BR108,0),0)</f>
        <v>0</v>
      </c>
      <c r="IM108" s="26">
        <f>IF(IM$2=InputTable[[#This Row],[Delivery Date]],_xlfn.XLOOKUP(IM$1,$BH$2:$BR$2,$BH108:$BR108,0),0)</f>
        <v>0</v>
      </c>
      <c r="IN108" s="26">
        <f>IF(IN$2=InputTable[[#This Row],[Delivery Date]],_xlfn.XLOOKUP(IN$1,$BH$2:$BR$2,$BH108:$BR108,0),0)</f>
        <v>0</v>
      </c>
      <c r="IO108" s="26">
        <f>IF(IO$2=InputTable[[#This Row],[Delivery Date]],_xlfn.XLOOKUP(IO$1,$BH$2:$BR$2,$BH108:$BR108,0),0)</f>
        <v>0</v>
      </c>
      <c r="IP108" s="26">
        <f>IF(IP$2=InputTable[[#This Row],[Delivery Date]],_xlfn.XLOOKUP(IP$1,$BH$2:$BR$2,$BH108:$BR108,0),0)</f>
        <v>0</v>
      </c>
      <c r="IQ108" s="26">
        <f>IF(IQ$2=InputTable[[#This Row],[Delivery Date]],_xlfn.XLOOKUP(IQ$1,$BH$2:$BR$2,$BH108:$BR108,0),0)</f>
        <v>0</v>
      </c>
      <c r="IR108" s="26">
        <f>IF(IR$2=InputTable[[#This Row],[Delivery Date]],_xlfn.XLOOKUP(IR$1,$BH$2:$BR$2,$BH108:$BR108,0),0)</f>
        <v>0</v>
      </c>
      <c r="IT108" s="26" t="e">
        <f>IF(IT$2=InputTable[[#This Row],[Delivery Date]],_xlfn.XLOOKUP(IT$1,$BH$2:$BR$2,$BH108:$BR108,0),0)</f>
        <v>#REF!</v>
      </c>
      <c r="IU108" s="26">
        <f>IF(IU$2=InputTable[[#This Row],[Delivery Date]],_xlfn.XLOOKUP(IU$1,$BH$2:$BR$2,$BH108:$BR108,0),0)</f>
        <v>0</v>
      </c>
      <c r="IV108" s="26">
        <f>IF(IV$2=InputTable[[#This Row],[Delivery Date]],_xlfn.XLOOKUP(IV$1,$BH$2:$BR$2,$BH108:$BR108,0),0)</f>
        <v>0</v>
      </c>
      <c r="IW108" s="26">
        <f>IF(IW$2=InputTable[[#This Row],[Delivery Date]],_xlfn.XLOOKUP(IW$1,$BH$2:$BR$2,$BH108:$BR108,0),0)</f>
        <v>0</v>
      </c>
      <c r="IX108" s="26">
        <f>IF(IX$2=InputTable[[#This Row],[Delivery Date]],_xlfn.XLOOKUP(IX$1,$BH$2:$BR$2,$BH108:$BR108,0),0)</f>
        <v>0</v>
      </c>
      <c r="IY108" s="26">
        <f>IF(IY$2=InputTable[[#This Row],[Delivery Date]],_xlfn.XLOOKUP(IY$1,$BH$2:$BR$2,$BH108:$BR108,0),0)</f>
        <v>0</v>
      </c>
      <c r="IZ108" s="26">
        <f>IF(IZ$2=InputTable[[#This Row],[Delivery Date]],_xlfn.XLOOKUP(IZ$1,$BH$2:$BR$2,$BH108:$BR108,0),0)</f>
        <v>0</v>
      </c>
      <c r="JA108" s="26">
        <f>IF(JA$2=InputTable[[#This Row],[Delivery Date]],_xlfn.XLOOKUP(JA$1,$BH$2:$BR$2,$BH108:$BR108,0),0)</f>
        <v>0</v>
      </c>
      <c r="JB108" s="26">
        <f>IF(JB$2=InputTable[[#This Row],[Delivery Date]],_xlfn.XLOOKUP(JB$1,$BH$2:$BR$2,$BH108:$BR108,0),0)</f>
        <v>0</v>
      </c>
      <c r="JD108" s="26" t="e">
        <f>IF(JD$2=InputTable[[#This Row],[Delivery Date]],_xlfn.XLOOKUP(JD$1,$BH$2:$BR$2,$BH108:$BR108,0),0)</f>
        <v>#REF!</v>
      </c>
      <c r="JE108" s="26">
        <f>IF(JE$2=InputTable[[#This Row],[Delivery Date]],_xlfn.XLOOKUP(JE$1,$BH$2:$BR$2,$BH108:$BR108,0),0)</f>
        <v>0</v>
      </c>
      <c r="JF108" s="26">
        <f>IF(JF$2=InputTable[[#This Row],[Delivery Date]],_xlfn.XLOOKUP(JF$1,$BH$2:$BR$2,$BH108:$BR108,0),0)</f>
        <v>0</v>
      </c>
      <c r="JG108" s="26">
        <f>IF(JG$2=InputTable[[#This Row],[Delivery Date]],_xlfn.XLOOKUP(JG$1,$BH$2:$BR$2,$BH108:$BR108,0),0)</f>
        <v>0</v>
      </c>
      <c r="JH108" s="26">
        <f>IF(JH$2=InputTable[[#This Row],[Delivery Date]],_xlfn.XLOOKUP(JH$1,$BH$2:$BR$2,$BH108:$BR108,0),0)</f>
        <v>0</v>
      </c>
      <c r="JI108" s="26">
        <f>IF(JI$2=InputTable[[#This Row],[Delivery Date]],_xlfn.XLOOKUP(JI$1,$BH$2:$BR$2,$BH108:$BR108,0),0)</f>
        <v>0</v>
      </c>
      <c r="JJ108" s="26">
        <f>IF(JJ$2=InputTable[[#This Row],[Delivery Date]],_xlfn.XLOOKUP(JJ$1,$BH$2:$BR$2,$BH108:$BR108,0),0)</f>
        <v>0</v>
      </c>
      <c r="JK108" s="26">
        <f>IF(JK$2=InputTable[[#This Row],[Delivery Date]],_xlfn.XLOOKUP(JK$1,$BH$2:$BR$2,$BH108:$BR108,0),0)</f>
        <v>0</v>
      </c>
      <c r="JL108" s="26">
        <f>IF(JL$2=InputTable[[#This Row],[Delivery Date]],_xlfn.XLOOKUP(JL$1,$BH$2:$BR$2,$BH108:$BR108,0),0)</f>
        <v>0</v>
      </c>
      <c r="JN108" s="26" t="e">
        <f>IF(JN$2=InputTable[[#This Row],[Delivery Date]],_xlfn.XLOOKUP(JN$1,$BH$2:$BR$2,$BH108:$BR108,0),0)</f>
        <v>#REF!</v>
      </c>
      <c r="JO108" s="26">
        <f>IF(JO$2=InputTable[[#This Row],[Delivery Date]],_xlfn.XLOOKUP(JO$1,$BH$2:$BR$2,$BH108:$BR108,0),0)</f>
        <v>0</v>
      </c>
      <c r="JP108" s="26">
        <f>IF(JP$2=InputTable[[#This Row],[Delivery Date]],_xlfn.XLOOKUP(JP$1,$BH$2:$BR$2,$BH108:$BR108,0),0)</f>
        <v>0</v>
      </c>
      <c r="JQ108" s="26">
        <f>IF(JQ$2=InputTable[[#This Row],[Delivery Date]],_xlfn.XLOOKUP(JQ$1,$BH$2:$BR$2,$BH108:$BR108,0),0)</f>
        <v>0</v>
      </c>
      <c r="JR108" s="26">
        <f>IF(JR$2=InputTable[[#This Row],[Delivery Date]],_xlfn.XLOOKUP(JR$1,$BH$2:$BR$2,$BH108:$BR108,0),0)</f>
        <v>0</v>
      </c>
      <c r="JS108" s="26">
        <f>IF(JS$2=InputTable[[#This Row],[Delivery Date]],_xlfn.XLOOKUP(JS$1,$BH$2:$BR$2,$BH108:$BR108,0),0)</f>
        <v>0</v>
      </c>
      <c r="JT108" s="26">
        <f>IF(JT$2=InputTable[[#This Row],[Delivery Date]],_xlfn.XLOOKUP(JT$1,$BH$2:$BR$2,$BH108:$BR108,0),0)</f>
        <v>0</v>
      </c>
      <c r="JU108" s="26">
        <f>IF(JU$2=InputTable[[#This Row],[Delivery Date]],_xlfn.XLOOKUP(JU$1,$BH$2:$BR$2,$BH108:$BR108,0),0)</f>
        <v>0</v>
      </c>
      <c r="JV108" s="26">
        <f>IF(JV$2=InputTable[[#This Row],[Delivery Date]],_xlfn.XLOOKUP(JV$1,$BH$2:$BR$2,$BH108:$BR108,0),0)</f>
        <v>0</v>
      </c>
      <c r="JX108" s="26" t="e">
        <f>IF(JX$2=InputTable[[#This Row],[Delivery Date]],_xlfn.XLOOKUP(JX$1,$BH$2:$BR$2,$BH108:$BR108,0),0)</f>
        <v>#REF!</v>
      </c>
      <c r="JY108" s="26">
        <f>IF(JY$2=InputTable[[#This Row],[Delivery Date]],_xlfn.XLOOKUP(JY$1,$BH$2:$BR$2,$BH108:$BR108,0),0)</f>
        <v>0</v>
      </c>
      <c r="JZ108" s="26">
        <f>IF(JZ$2=InputTable[[#This Row],[Delivery Date]],_xlfn.XLOOKUP(JZ$1,$BH$2:$BR$2,$BH108:$BR108,0),0)</f>
        <v>0</v>
      </c>
      <c r="KA108" s="26">
        <f>IF(KA$2=InputTable[[#This Row],[Delivery Date]],_xlfn.XLOOKUP(KA$1,$BH$2:$BR$2,$BH108:$BR108,0),0)</f>
        <v>0</v>
      </c>
      <c r="KB108" s="26">
        <f>IF(KB$2=InputTable[[#This Row],[Delivery Date]],_xlfn.XLOOKUP(KB$1,$BH$2:$BR$2,$BH108:$BR108,0),0)</f>
        <v>0</v>
      </c>
      <c r="KC108" s="26">
        <f>IF(KC$2=InputTable[[#This Row],[Delivery Date]],_xlfn.XLOOKUP(KC$1,$BH$2:$BR$2,$BH108:$BR108,0),0)</f>
        <v>0</v>
      </c>
      <c r="KD108" s="26">
        <f>IF(KD$2=InputTable[[#This Row],[Delivery Date]],_xlfn.XLOOKUP(KD$1,$BH$2:$BR$2,$BH108:$BR108,0),0)</f>
        <v>0</v>
      </c>
      <c r="KE108" s="26">
        <f>IF(KE$2=InputTable[[#This Row],[Delivery Date]],_xlfn.XLOOKUP(KE$1,$BH$2:$BR$2,$BH108:$BR108,0),0)</f>
        <v>0</v>
      </c>
      <c r="KF108" s="26">
        <f>IF(KF$2=InputTable[[#This Row],[Delivery Date]],_xlfn.XLOOKUP(KF$1,$BH$2:$BR$2,$BH108:$BR108,0),0)</f>
        <v>0</v>
      </c>
    </row>
    <row r="109" spans="1:292" ht="39.6" customHeight="1" x14ac:dyDescent="0.25">
      <c r="A109" s="141"/>
      <c r="B109" s="141" t="s">
        <v>92</v>
      </c>
      <c r="C109" s="92" t="s">
        <v>61</v>
      </c>
      <c r="D109" s="125" t="s">
        <v>428</v>
      </c>
      <c r="E109" s="193" t="s">
        <v>429</v>
      </c>
      <c r="F109" s="92" t="s">
        <v>61</v>
      </c>
      <c r="G109" s="92" t="s">
        <v>137</v>
      </c>
      <c r="H109" s="92"/>
      <c r="I109" s="92">
        <v>2026</v>
      </c>
      <c r="J109" s="122"/>
      <c r="K109" s="95" t="e">
        <f>VLOOKUP((InputTable[[#This Row],[Starting Date]]&amp; " - " &amp;InputTable[[#This Row],[Delivery Date]]),'System List'!$F$40:$H$83,2,FALSE)</f>
        <v>#N/A</v>
      </c>
      <c r="L109" s="95" t="e">
        <f>VLOOKUP(InputTable[[#This Row],[Duration]],Duration,2,FALSE)</f>
        <v>#N/A</v>
      </c>
      <c r="M109" s="122" t="s">
        <v>110</v>
      </c>
      <c r="N109" s="92" t="s">
        <v>111</v>
      </c>
      <c r="O109" s="92"/>
      <c r="P109" s="92"/>
      <c r="Q109" s="92"/>
      <c r="R109" s="92" t="s">
        <v>111</v>
      </c>
      <c r="S109" s="92"/>
      <c r="T109" s="172" cm="1">
        <f t="array" ref="T109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2.5</v>
      </c>
      <c r="U109" s="138"/>
      <c r="V109" s="92"/>
      <c r="W109" s="92"/>
      <c r="X109" s="92"/>
      <c r="Y109" s="92"/>
      <c r="Z109" s="92"/>
      <c r="AA109" s="92"/>
      <c r="AB109" s="92"/>
      <c r="AC109" s="92"/>
      <c r="AD109" s="92">
        <f>COUNTA(InputTable[[#This Row],[CORPHRFIN]:[SALES]])</f>
        <v>0</v>
      </c>
      <c r="AE109" s="88" cm="1">
        <f t="array" ref="AE109">SUM(
_xlfn.XLOOKUP(InputTable[[#This Row],[CORPHRFIN]:[SALES]],'System List'!$F$4:$F$7,'System List'!$H$4:$H$7,0))</f>
        <v>0</v>
      </c>
      <c r="AF109" s="140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88" cm="1">
        <f t="array" ref="AR109">SUM(
_xlfn.XLOOKUP(InputTable[[#This Row],[Impact on - CIAL]:[Impact on - STRAT]],'System List'!$F$4:$F$7,'System List'!$H$4:$H$7,0))</f>
        <v>0</v>
      </c>
      <c r="AS109" s="88" t="e">
        <f>VLOOKUP(InputTable[[#This Row],[Duration]],Duration,2,FALSE)+InputTable[[#This Row],[Resource Score]]</f>
        <v>#N/A</v>
      </c>
      <c r="AT10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09" s="24" t="e">
        <f>InputTable[[#This Row],[Value Score]]/InputTable[[#This Row],[EFFORT SCORE]]*100</f>
        <v>#N/A</v>
      </c>
      <c r="AV109" s="25"/>
      <c r="AW109" s="25" t="s">
        <v>194</v>
      </c>
      <c r="AX109" s="208" t="s">
        <v>154</v>
      </c>
      <c r="AY109" s="25"/>
      <c r="AZ109" s="209">
        <v>0</v>
      </c>
      <c r="BA109" s="209">
        <v>0</v>
      </c>
      <c r="BB109" s="209"/>
      <c r="BC109" s="189">
        <v>120000</v>
      </c>
      <c r="BD109" s="188"/>
      <c r="BE109" s="188">
        <v>1</v>
      </c>
      <c r="BF109" s="70"/>
      <c r="BH109" s="2">
        <f>IFERROR(VLOOKUP(InputTable[[#This Row],[Impact on - CIAL]],'System List'!$F$4:$H$7,3,FALSE),0)</f>
        <v>0</v>
      </c>
      <c r="BI109" s="2">
        <f>IFERROR(VLOOKUP(InputTable[[#This Row],[Impact on - COM]],'System List'!$F$4:$H$7,3,FALSE),0)</f>
        <v>0</v>
      </c>
      <c r="BJ109" s="2">
        <f>IFERROR(VLOOKUP(InputTable[[#This Row],[Impact on - FIN]],'System List'!$F$4:$H$7,3,FALSE),0)</f>
        <v>0</v>
      </c>
      <c r="BK109" s="2">
        <f>IFERROR(VLOOKUP(InputTable[[#This Row],[Impact on - GEN SEC]],'System List'!$F$4:$H$7,3,FALSE),0)</f>
        <v>0</v>
      </c>
      <c r="BL109" s="2">
        <f>IFERROR(VLOOKUP(InputTable[[#This Row],[Impact on - HR]],'System List'!$F$4:$H$7,3,FALSE),0)</f>
        <v>0</v>
      </c>
      <c r="BM109" s="2">
        <f>IFERROR(VLOOKUP(InputTable[[#This Row],[Impact on - IS]],'System List'!$F$4:$H$7,3,FALSE),0)</f>
        <v>0</v>
      </c>
      <c r="BN109" s="2">
        <f>IFERROR(VLOOKUP(InputTable[[#This Row],[Impact on - OPS]],'System List'!$F$4:$H$7,3,FALSE),0)</f>
        <v>0</v>
      </c>
      <c r="BO109" s="2">
        <f>IFERROR(VLOOKUP(InputTable[[#This Row],[Impact on - ROLL STOCK]],'System List'!$F$4:$H$7,3,FALSE),0)</f>
        <v>0</v>
      </c>
      <c r="BP109" s="2">
        <f>IFERROR(VLOOKUP(InputTable[[#This Row],[Impact on - SAFETY]],'System List'!$F$4:$H$7,3,FALSE),0)</f>
        <v>0</v>
      </c>
      <c r="BQ109" s="2">
        <f>IFERROR(VLOOKUP(InputTable[[#This Row],[Impact on - STATION]],'System List'!$F$4:$H$7,3,FALSE),0)</f>
        <v>0</v>
      </c>
      <c r="BR109" s="2">
        <f>IFERROR(VLOOKUP(InputTable[[#This Row],[Impact on - STRAT]],'System List'!$F$4:$H$7,3,FALSE),0)</f>
        <v>0</v>
      </c>
      <c r="BT109" s="2">
        <f>IFERROR(VLOOKUP(InputTable[[#This Row],[CORPHRFIN]],'System List'!$F$4:$H$7,3,FALSE),0)</f>
        <v>0</v>
      </c>
      <c r="BU109" s="2">
        <f>IFERROR(VLOOKUP(InputTable[[#This Row],[CUST]],'System List'!$F$4:$H$7,3,FALSE),0)</f>
        <v>0</v>
      </c>
      <c r="BV109" s="2">
        <f>IFERROR(VLOOKUP(InputTable[[#This Row],[CYBER]],'System List'!$F$4:$H$7,3,FALSE),0)</f>
        <v>0</v>
      </c>
      <c r="BW109" s="2">
        <f>IFERROR(VLOOKUP(InputTable[[#This Row],[DATA]],'System List'!$F$4:$H$7,3,FALSE),0)</f>
        <v>0</v>
      </c>
      <c r="BX109" s="2">
        <f>IFERROR(VLOOKUP(InputTable[[#This Row],[INFRA]],'System List'!$F$4:$H$7,3,FALSE),0)</f>
        <v>0</v>
      </c>
      <c r="BY109" s="2">
        <f>IFERROR(VLOOKUP(InputTable[[#This Row],[OPERATIONS]],'System List'!$F$4:$H$7,3,FALSE),0)</f>
        <v>0</v>
      </c>
      <c r="BZ109" s="2">
        <f>IFERROR(VLOOKUP(InputTable[[#This Row],[PMO]],'System List'!$F$4:$H$7,3,FALSE),0)</f>
        <v>0</v>
      </c>
      <c r="CA109" s="2">
        <f>IFERROR(VLOOKUP(InputTable[[#This Row],[SALES]],'System List'!$F$4:$H$7,3,FALSE),0)</f>
        <v>0</v>
      </c>
      <c r="CC109" s="2" cm="1">
        <f t="array" ref="CC10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09" s="2" cm="1">
        <f t="array" ref="CD10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09" s="2" cm="1">
        <f t="array" ref="CE10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09" s="2" cm="1">
        <f t="array" ref="CF10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09" s="2" cm="1">
        <f t="array" ref="CG10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09" s="2" cm="1">
        <f t="array" ref="CH10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09" s="2" cm="1">
        <f t="array" ref="CI10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09" s="2" cm="1">
        <f t="array" ref="CJ10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09" s="2" cm="1">
        <f t="array" ref="CK10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0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0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0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0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0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0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0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0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0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09" s="26">
        <f t="shared" si="307"/>
        <v>0</v>
      </c>
      <c r="CY109" s="26">
        <f t="shared" si="308"/>
        <v>0</v>
      </c>
      <c r="CZ109" s="26">
        <f t="shared" si="309"/>
        <v>0</v>
      </c>
      <c r="DA109" s="26">
        <f t="shared" si="310"/>
        <v>0</v>
      </c>
      <c r="DB109" s="26">
        <f t="shared" si="311"/>
        <v>0</v>
      </c>
      <c r="DC109" s="26">
        <f t="shared" si="312"/>
        <v>0</v>
      </c>
      <c r="DD109" s="26">
        <f t="shared" si="313"/>
        <v>0</v>
      </c>
      <c r="DE109" s="26">
        <f t="shared" si="314"/>
        <v>0</v>
      </c>
      <c r="DF109" s="26">
        <f t="shared" si="315"/>
        <v>0</v>
      </c>
      <c r="DH109" s="26">
        <f t="shared" si="316"/>
        <v>0</v>
      </c>
      <c r="DI109" s="26">
        <f t="shared" si="317"/>
        <v>0</v>
      </c>
      <c r="DJ109" s="26">
        <f t="shared" si="318"/>
        <v>0</v>
      </c>
      <c r="DK109" s="26">
        <f t="shared" si="319"/>
        <v>0</v>
      </c>
      <c r="DL109" s="26">
        <f t="shared" si="320"/>
        <v>0</v>
      </c>
      <c r="DM109" s="26">
        <f t="shared" si="321"/>
        <v>0</v>
      </c>
      <c r="DN109" s="26">
        <f t="shared" si="322"/>
        <v>0</v>
      </c>
      <c r="DO109" s="26">
        <f t="shared" si="323"/>
        <v>0</v>
      </c>
      <c r="DP109" s="26">
        <f t="shared" si="324"/>
        <v>0</v>
      </c>
      <c r="DR109" s="26">
        <f t="shared" si="325"/>
        <v>0</v>
      </c>
      <c r="DS109" s="26">
        <f t="shared" si="326"/>
        <v>0</v>
      </c>
      <c r="DT109" s="26">
        <f t="shared" si="327"/>
        <v>0</v>
      </c>
      <c r="DU109" s="26">
        <f t="shared" si="328"/>
        <v>0</v>
      </c>
      <c r="DV109" s="26">
        <f t="shared" si="329"/>
        <v>0</v>
      </c>
      <c r="DW109" s="26">
        <f t="shared" si="330"/>
        <v>0</v>
      </c>
      <c r="DX109" s="26">
        <f t="shared" si="331"/>
        <v>0</v>
      </c>
      <c r="DY109" s="26">
        <f t="shared" si="332"/>
        <v>0</v>
      </c>
      <c r="DZ109" s="26">
        <f t="shared" si="333"/>
        <v>0</v>
      </c>
      <c r="EB109" s="26">
        <f t="shared" si="334"/>
        <v>0</v>
      </c>
      <c r="EC109" s="26">
        <f t="shared" si="335"/>
        <v>0</v>
      </c>
      <c r="ED109" s="26">
        <f t="shared" si="336"/>
        <v>0</v>
      </c>
      <c r="EE109" s="26">
        <f t="shared" si="337"/>
        <v>0</v>
      </c>
      <c r="EF109" s="26">
        <f t="shared" si="338"/>
        <v>0</v>
      </c>
      <c r="EG109" s="26">
        <f t="shared" si="339"/>
        <v>0</v>
      </c>
      <c r="EH109" s="26">
        <f t="shared" si="340"/>
        <v>0</v>
      </c>
      <c r="EI109" s="26">
        <f t="shared" si="341"/>
        <v>0</v>
      </c>
      <c r="EJ109" s="26">
        <f t="shared" si="342"/>
        <v>0</v>
      </c>
      <c r="EL109" s="26">
        <f t="shared" si="343"/>
        <v>0</v>
      </c>
      <c r="EM109" s="26">
        <f t="shared" si="344"/>
        <v>0</v>
      </c>
      <c r="EN109" s="26">
        <f t="shared" si="345"/>
        <v>0</v>
      </c>
      <c r="EO109" s="26">
        <f t="shared" si="346"/>
        <v>0</v>
      </c>
      <c r="EP109" s="26">
        <f t="shared" si="347"/>
        <v>0</v>
      </c>
      <c r="EQ109" s="26">
        <f t="shared" si="348"/>
        <v>0</v>
      </c>
      <c r="ER109" s="26">
        <f t="shared" si="349"/>
        <v>0</v>
      </c>
      <c r="ES109" s="26">
        <f t="shared" si="350"/>
        <v>0</v>
      </c>
      <c r="ET109" s="26">
        <f t="shared" si="351"/>
        <v>0</v>
      </c>
      <c r="EV109" s="26">
        <f t="shared" si="352"/>
        <v>0</v>
      </c>
      <c r="EW109" s="26">
        <f t="shared" si="353"/>
        <v>0</v>
      </c>
      <c r="EX109" s="26">
        <f t="shared" si="354"/>
        <v>0</v>
      </c>
      <c r="EY109" s="26">
        <f t="shared" si="355"/>
        <v>0</v>
      </c>
      <c r="EZ109" s="26">
        <f t="shared" si="356"/>
        <v>0</v>
      </c>
      <c r="FA109" s="26">
        <f t="shared" si="357"/>
        <v>0</v>
      </c>
      <c r="FB109" s="26">
        <f t="shared" si="358"/>
        <v>0</v>
      </c>
      <c r="FC109" s="26">
        <f t="shared" si="359"/>
        <v>0</v>
      </c>
      <c r="FD109" s="26">
        <f t="shared" si="360"/>
        <v>0</v>
      </c>
      <c r="FF109" s="26">
        <f t="shared" si="361"/>
        <v>0</v>
      </c>
      <c r="FG109" s="26">
        <f t="shared" si="362"/>
        <v>0</v>
      </c>
      <c r="FH109" s="26">
        <f t="shared" si="363"/>
        <v>0</v>
      </c>
      <c r="FI109" s="26">
        <f t="shared" si="364"/>
        <v>0</v>
      </c>
      <c r="FJ109" s="26">
        <f t="shared" si="365"/>
        <v>0</v>
      </c>
      <c r="FK109" s="26">
        <f t="shared" si="366"/>
        <v>0</v>
      </c>
      <c r="FL109" s="26">
        <f t="shared" si="367"/>
        <v>0</v>
      </c>
      <c r="FM109" s="26">
        <f t="shared" si="368"/>
        <v>0</v>
      </c>
      <c r="FN109" s="26">
        <f t="shared" si="369"/>
        <v>0</v>
      </c>
      <c r="FP109" s="26" t="e">
        <f t="shared" si="370"/>
        <v>#REF!</v>
      </c>
      <c r="FQ109" s="26" t="e">
        <f t="shared" si="371"/>
        <v>#REF!</v>
      </c>
      <c r="FR109" s="26" t="e">
        <f t="shared" si="372"/>
        <v>#REF!</v>
      </c>
      <c r="FS109" s="26" t="e">
        <f t="shared" si="373"/>
        <v>#REF!</v>
      </c>
      <c r="FT109" s="26" t="e">
        <f t="shared" si="374"/>
        <v>#REF!</v>
      </c>
      <c r="FU109" s="26" t="e">
        <f t="shared" si="375"/>
        <v>#REF!</v>
      </c>
      <c r="FV109" s="26" t="e">
        <f t="shared" si="376"/>
        <v>#REF!</v>
      </c>
      <c r="FW109" s="26" t="e">
        <f t="shared" si="377"/>
        <v>#REF!</v>
      </c>
      <c r="FX109" s="26" t="e">
        <f t="shared" si="378"/>
        <v>#REF!</v>
      </c>
      <c r="GB109" s="26" t="e">
        <f>IF(GB$2=InputTable[[#This Row],[Delivery Date]],_xlfn.XLOOKUP(GB$1,$BH$2:$BR$2,$BH109:$BR109,0),0)</f>
        <v>#REF!</v>
      </c>
      <c r="GC109" s="26">
        <f>IF(GC$2=InputTable[[#This Row],[Delivery Date]],_xlfn.XLOOKUP(GC$1,$BH$2:$BR$2,$BH109:$BR109,0),0)</f>
        <v>0</v>
      </c>
      <c r="GD109" s="26">
        <f>IF(GD$2=InputTable[[#This Row],[Delivery Date]],_xlfn.XLOOKUP(GD$1,$BH$2:$BR$2,$BH109:$BR109,0),0)</f>
        <v>0</v>
      </c>
      <c r="GE109" s="26">
        <f>IF(GE$2=InputTable[[#This Row],[Delivery Date]],_xlfn.XLOOKUP(GE$1,$BH$2:$BR$2,$BH109:$BR109,0),0)</f>
        <v>0</v>
      </c>
      <c r="GF109" s="26">
        <f>IF(GF$2=InputTable[[#This Row],[Delivery Date]],_xlfn.XLOOKUP(GF$1,$BH$2:$BR$2,$BH109:$BR109,0),0)</f>
        <v>0</v>
      </c>
      <c r="GG109" s="26">
        <f>IF(GG$2=InputTable[[#This Row],[Delivery Date]],_xlfn.XLOOKUP(GG$1,$BH$2:$BR$2,$BH109:$BR109,0),0)</f>
        <v>0</v>
      </c>
      <c r="GH109" s="26">
        <f>IF(GH$2=InputTable[[#This Row],[Delivery Date]],_xlfn.XLOOKUP(GH$1,$BH$2:$BR$2,$BH109:$BR109,0),0)</f>
        <v>0</v>
      </c>
      <c r="GI109" s="26">
        <f>IF(GI$2=InputTable[[#This Row],[Delivery Date]],_xlfn.XLOOKUP(GI$1,$BH$2:$BR$2,$BH109:$BR109,0),0)</f>
        <v>0</v>
      </c>
      <c r="GJ109" s="26">
        <f>IF(GJ$2=InputTable[[#This Row],[Delivery Date]],_xlfn.XLOOKUP(GJ$1,$BH$2:$BR$2,$BH109:$BR109,0),0)</f>
        <v>0</v>
      </c>
      <c r="GL109" s="26" t="e">
        <f>IF(GL$2=InputTable[[#This Row],[Delivery Date]],_xlfn.XLOOKUP(GL$1,$BH$2:$BR$2,$BH109:$BR109,0),0)</f>
        <v>#REF!</v>
      </c>
      <c r="GM109" s="26">
        <f>IF(GM$2=InputTable[[#This Row],[Delivery Date]],_xlfn.XLOOKUP(GM$1,$BH$2:$BR$2,$BH109:$BR109,0),0)</f>
        <v>0</v>
      </c>
      <c r="GN109" s="26">
        <f>IF(GN$2=InputTable[[#This Row],[Delivery Date]],_xlfn.XLOOKUP(GN$1,$BH$2:$BR$2,$BH109:$BR109,0),0)</f>
        <v>0</v>
      </c>
      <c r="GO109" s="26">
        <f>IF(GO$2=InputTable[[#This Row],[Delivery Date]],_xlfn.XLOOKUP(GO$1,$BH$2:$BR$2,$BH109:$BR109,0),0)</f>
        <v>0</v>
      </c>
      <c r="GP109" s="26">
        <f>IF(GP$2=InputTable[[#This Row],[Delivery Date]],_xlfn.XLOOKUP(GP$1,$BH$2:$BR$2,$BH109:$BR109,0),0)</f>
        <v>0</v>
      </c>
      <c r="GQ109" s="26">
        <f>IF(GQ$2=InputTable[[#This Row],[Delivery Date]],_xlfn.XLOOKUP(GQ$1,$BH$2:$BR$2,$BH109:$BR109,0),0)</f>
        <v>0</v>
      </c>
      <c r="GR109" s="26">
        <f>IF(GR$2=InputTable[[#This Row],[Delivery Date]],_xlfn.XLOOKUP(GR$1,$BH$2:$BR$2,$BH109:$BR109,0),0)</f>
        <v>0</v>
      </c>
      <c r="GS109" s="26">
        <f>IF(GS$2=InputTable[[#This Row],[Delivery Date]],_xlfn.XLOOKUP(GS$1,$BH$2:$BR$2,$BH109:$BR109,0),0)</f>
        <v>0</v>
      </c>
      <c r="GT109" s="26">
        <f>IF(GT$2=InputTable[[#This Row],[Delivery Date]],_xlfn.XLOOKUP(GT$1,$BH$2:$BR$2,$BH109:$BR109,0),0)</f>
        <v>0</v>
      </c>
      <c r="GV109" s="26" t="e">
        <f>IF(GV$2=InputTable[[#This Row],[Delivery Date]],_xlfn.XLOOKUP(GV$1,$BH$2:$BR$2,$BH109:$BR109,0),0)</f>
        <v>#REF!</v>
      </c>
      <c r="GW109" s="26">
        <f>IF(GW$2=InputTable[[#This Row],[Delivery Date]],_xlfn.XLOOKUP(GW$1,$BH$2:$BR$2,$BH109:$BR109,0),0)</f>
        <v>0</v>
      </c>
      <c r="GX109" s="26">
        <f>IF(GX$2=InputTable[[#This Row],[Delivery Date]],_xlfn.XLOOKUP(GX$1,$BH$2:$BR$2,$BH109:$BR109,0),0)</f>
        <v>0</v>
      </c>
      <c r="GY109" s="26">
        <f>IF(GY$2=InputTable[[#This Row],[Delivery Date]],_xlfn.XLOOKUP(GY$1,$BH$2:$BR$2,$BH109:$BR109,0),0)</f>
        <v>0</v>
      </c>
      <c r="GZ109" s="26">
        <f>IF(GZ$2=InputTable[[#This Row],[Delivery Date]],_xlfn.XLOOKUP(GZ$1,$BH$2:$BR$2,$BH109:$BR109,0),0)</f>
        <v>0</v>
      </c>
      <c r="HA109" s="26">
        <f>IF(HA$2=InputTable[[#This Row],[Delivery Date]],_xlfn.XLOOKUP(HA$1,$BH$2:$BR$2,$BH109:$BR109,0),0)</f>
        <v>0</v>
      </c>
      <c r="HB109" s="26">
        <f>IF(HB$2=InputTable[[#This Row],[Delivery Date]],_xlfn.XLOOKUP(HB$1,$BH$2:$BR$2,$BH109:$BR109,0),0)</f>
        <v>0</v>
      </c>
      <c r="HC109" s="26">
        <f>IF(HC$2=InputTable[[#This Row],[Delivery Date]],_xlfn.XLOOKUP(HC$1,$BH$2:$BR$2,$BH109:$BR109,0),0)</f>
        <v>0</v>
      </c>
      <c r="HD109" s="26">
        <f>IF(HD$2=InputTable[[#This Row],[Delivery Date]],_xlfn.XLOOKUP(HD$1,$BH$2:$BR$2,$BH109:$BR109,0),0)</f>
        <v>0</v>
      </c>
      <c r="HF109" s="26" t="e">
        <f>IF(HF$2=InputTable[[#This Row],[Delivery Date]],_xlfn.XLOOKUP(HF$1,$BH$2:$BR$2,$BH109:$BR109,0),0)</f>
        <v>#REF!</v>
      </c>
      <c r="HG109" s="26">
        <f>IF(HG$2=InputTable[[#This Row],[Delivery Date]],_xlfn.XLOOKUP(HG$1,$BH$2:$BR$2,$BH109:$BR109,0),0)</f>
        <v>0</v>
      </c>
      <c r="HH109" s="26">
        <f>IF(HH$2=InputTable[[#This Row],[Delivery Date]],_xlfn.XLOOKUP(HH$1,$BH$2:$BR$2,$BH109:$BR109,0),0)</f>
        <v>0</v>
      </c>
      <c r="HI109" s="26">
        <f>IF(HI$2=InputTable[[#This Row],[Delivery Date]],_xlfn.XLOOKUP(HI$1,$BH$2:$BR$2,$BH109:$BR109,0),0)</f>
        <v>0</v>
      </c>
      <c r="HJ109" s="26">
        <f>IF(HJ$2=InputTable[[#This Row],[Delivery Date]],_xlfn.XLOOKUP(HJ$1,$BH$2:$BR$2,$BH109:$BR109,0),0)</f>
        <v>0</v>
      </c>
      <c r="HK109" s="26">
        <f>IF(HK$2=InputTable[[#This Row],[Delivery Date]],_xlfn.XLOOKUP(HK$1,$BH$2:$BR$2,$BH109:$BR109,0),0)</f>
        <v>0</v>
      </c>
      <c r="HL109" s="26">
        <f>IF(HL$2=InputTable[[#This Row],[Delivery Date]],_xlfn.XLOOKUP(HL$1,$BH$2:$BR$2,$BH109:$BR109,0),0)</f>
        <v>0</v>
      </c>
      <c r="HM109" s="26">
        <f>IF(HM$2=InputTable[[#This Row],[Delivery Date]],_xlfn.XLOOKUP(HM$1,$BH$2:$BR$2,$BH109:$BR109,0),0)</f>
        <v>0</v>
      </c>
      <c r="HN109" s="26">
        <f>IF(HN$2=InputTable[[#This Row],[Delivery Date]],_xlfn.XLOOKUP(HN$1,$BH$2:$BR$2,$BH109:$BR109,0),0)</f>
        <v>0</v>
      </c>
      <c r="HP109" s="26" t="e">
        <f>IF(HP$2=InputTable[[#This Row],[Delivery Date]],_xlfn.XLOOKUP(HP$1,$BH$2:$BR$2,$BH109:$BR109,0),0)</f>
        <v>#REF!</v>
      </c>
      <c r="HQ109" s="26">
        <f>IF(HQ$2=InputTable[[#This Row],[Delivery Date]],_xlfn.XLOOKUP(HQ$1,$BH$2:$BR$2,$BH109:$BR109,0),0)</f>
        <v>0</v>
      </c>
      <c r="HR109" s="26">
        <f>IF(HR$2=InputTable[[#This Row],[Delivery Date]],_xlfn.XLOOKUP(HR$1,$BH$2:$BR$2,$BH109:$BR109,0),0)</f>
        <v>0</v>
      </c>
      <c r="HS109" s="26">
        <f>IF(HS$2=InputTable[[#This Row],[Delivery Date]],_xlfn.XLOOKUP(HS$1,$BH$2:$BR$2,$BH109:$BR109,0),0)</f>
        <v>0</v>
      </c>
      <c r="HT109" s="26">
        <f>IF(HT$2=InputTable[[#This Row],[Delivery Date]],_xlfn.XLOOKUP(HT$1,$BH$2:$BR$2,$BH109:$BR109,0),0)</f>
        <v>0</v>
      </c>
      <c r="HU109" s="26">
        <f>IF(HU$2=InputTable[[#This Row],[Delivery Date]],_xlfn.XLOOKUP(HU$1,$BH$2:$BR$2,$BH109:$BR109,0),0)</f>
        <v>0</v>
      </c>
      <c r="HV109" s="26">
        <f>IF(HV$2=InputTable[[#This Row],[Delivery Date]],_xlfn.XLOOKUP(HV$1,$BH$2:$BR$2,$BH109:$BR109,0),0)</f>
        <v>0</v>
      </c>
      <c r="HW109" s="26">
        <f>IF(HW$2=InputTable[[#This Row],[Delivery Date]],_xlfn.XLOOKUP(HW$1,$BH$2:$BR$2,$BH109:$BR109,0),0)</f>
        <v>0</v>
      </c>
      <c r="HX109" s="26">
        <f>IF(HX$2=InputTable[[#This Row],[Delivery Date]],_xlfn.XLOOKUP(HX$1,$BH$2:$BR$2,$BH109:$BR109,0),0)</f>
        <v>0</v>
      </c>
      <c r="HZ109" s="26" t="e">
        <f>IF(HZ$2=InputTable[[#This Row],[Delivery Date]],_xlfn.XLOOKUP(HZ$1,$BH$2:$BR$2,$BH109:$BR109,0),0)</f>
        <v>#REF!</v>
      </c>
      <c r="IA109" s="26">
        <f>IF(IA$2=InputTable[[#This Row],[Delivery Date]],_xlfn.XLOOKUP(IA$1,$BH$2:$BR$2,$BH109:$BR109,0),0)</f>
        <v>0</v>
      </c>
      <c r="IB109" s="26">
        <f>IF(IB$2=InputTable[[#This Row],[Delivery Date]],_xlfn.XLOOKUP(IB$1,$BH$2:$BR$2,$BH109:$BR109,0),0)</f>
        <v>0</v>
      </c>
      <c r="IC109" s="26">
        <f>IF(IC$2=InputTable[[#This Row],[Delivery Date]],_xlfn.XLOOKUP(IC$1,$BH$2:$BR$2,$BH109:$BR109,0),0)</f>
        <v>0</v>
      </c>
      <c r="ID109" s="26">
        <f>IF(ID$2=InputTable[[#This Row],[Delivery Date]],_xlfn.XLOOKUP(ID$1,$BH$2:$BR$2,$BH109:$BR109,0),0)</f>
        <v>0</v>
      </c>
      <c r="IE109" s="26">
        <f>IF(IE$2=InputTable[[#This Row],[Delivery Date]],_xlfn.XLOOKUP(IE$1,$BH$2:$BR$2,$BH109:$BR109,0),0)</f>
        <v>0</v>
      </c>
      <c r="IF109" s="26">
        <f>IF(IF$2=InputTable[[#This Row],[Delivery Date]],_xlfn.XLOOKUP(IF$1,$BH$2:$BR$2,$BH109:$BR109,0),0)</f>
        <v>0</v>
      </c>
      <c r="IG109" s="26">
        <f>IF(IG$2=InputTable[[#This Row],[Delivery Date]],_xlfn.XLOOKUP(IG$1,$BH$2:$BR$2,$BH109:$BR109,0),0)</f>
        <v>0</v>
      </c>
      <c r="IH109" s="26">
        <f>IF(IH$2=InputTable[[#This Row],[Delivery Date]],_xlfn.XLOOKUP(IH$1,$BH$2:$BR$2,$BH109:$BR109,0),0)</f>
        <v>0</v>
      </c>
      <c r="IJ109" s="26" t="e">
        <f>IF(IJ$2=InputTable[[#This Row],[Delivery Date]],_xlfn.XLOOKUP(IJ$1,$BH$2:$BR$2,$BH109:$BR109,0),0)</f>
        <v>#REF!</v>
      </c>
      <c r="IK109" s="26">
        <f>IF(IK$2=InputTable[[#This Row],[Delivery Date]],_xlfn.XLOOKUP(IK$1,$BH$2:$BR$2,$BH109:$BR109,0),0)</f>
        <v>0</v>
      </c>
      <c r="IL109" s="26">
        <f>IF(IL$2=InputTable[[#This Row],[Delivery Date]],_xlfn.XLOOKUP(IL$1,$BH$2:$BR$2,$BH109:$BR109,0),0)</f>
        <v>0</v>
      </c>
      <c r="IM109" s="26">
        <f>IF(IM$2=InputTable[[#This Row],[Delivery Date]],_xlfn.XLOOKUP(IM$1,$BH$2:$BR$2,$BH109:$BR109,0),0)</f>
        <v>0</v>
      </c>
      <c r="IN109" s="26">
        <f>IF(IN$2=InputTable[[#This Row],[Delivery Date]],_xlfn.XLOOKUP(IN$1,$BH$2:$BR$2,$BH109:$BR109,0),0)</f>
        <v>0</v>
      </c>
      <c r="IO109" s="26">
        <f>IF(IO$2=InputTable[[#This Row],[Delivery Date]],_xlfn.XLOOKUP(IO$1,$BH$2:$BR$2,$BH109:$BR109,0),0)</f>
        <v>0</v>
      </c>
      <c r="IP109" s="26">
        <f>IF(IP$2=InputTable[[#This Row],[Delivery Date]],_xlfn.XLOOKUP(IP$1,$BH$2:$BR$2,$BH109:$BR109,0),0)</f>
        <v>0</v>
      </c>
      <c r="IQ109" s="26">
        <f>IF(IQ$2=InputTable[[#This Row],[Delivery Date]],_xlfn.XLOOKUP(IQ$1,$BH$2:$BR$2,$BH109:$BR109,0),0)</f>
        <v>0</v>
      </c>
      <c r="IR109" s="26">
        <f>IF(IR$2=InputTable[[#This Row],[Delivery Date]],_xlfn.XLOOKUP(IR$1,$BH$2:$BR$2,$BH109:$BR109,0),0)</f>
        <v>0</v>
      </c>
      <c r="IT109" s="26" t="e">
        <f>IF(IT$2=InputTable[[#This Row],[Delivery Date]],_xlfn.XLOOKUP(IT$1,$BH$2:$BR$2,$BH109:$BR109,0),0)</f>
        <v>#REF!</v>
      </c>
      <c r="IU109" s="26">
        <f>IF(IU$2=InputTable[[#This Row],[Delivery Date]],_xlfn.XLOOKUP(IU$1,$BH$2:$BR$2,$BH109:$BR109,0),0)</f>
        <v>0</v>
      </c>
      <c r="IV109" s="26">
        <f>IF(IV$2=InputTable[[#This Row],[Delivery Date]],_xlfn.XLOOKUP(IV$1,$BH$2:$BR$2,$BH109:$BR109,0),0)</f>
        <v>0</v>
      </c>
      <c r="IW109" s="26">
        <f>IF(IW$2=InputTable[[#This Row],[Delivery Date]],_xlfn.XLOOKUP(IW$1,$BH$2:$BR$2,$BH109:$BR109,0),0)</f>
        <v>0</v>
      </c>
      <c r="IX109" s="26">
        <f>IF(IX$2=InputTable[[#This Row],[Delivery Date]],_xlfn.XLOOKUP(IX$1,$BH$2:$BR$2,$BH109:$BR109,0),0)</f>
        <v>0</v>
      </c>
      <c r="IY109" s="26">
        <f>IF(IY$2=InputTable[[#This Row],[Delivery Date]],_xlfn.XLOOKUP(IY$1,$BH$2:$BR$2,$BH109:$BR109,0),0)</f>
        <v>0</v>
      </c>
      <c r="IZ109" s="26">
        <f>IF(IZ$2=InputTable[[#This Row],[Delivery Date]],_xlfn.XLOOKUP(IZ$1,$BH$2:$BR$2,$BH109:$BR109,0),0)</f>
        <v>0</v>
      </c>
      <c r="JA109" s="26">
        <f>IF(JA$2=InputTable[[#This Row],[Delivery Date]],_xlfn.XLOOKUP(JA$1,$BH$2:$BR$2,$BH109:$BR109,0),0)</f>
        <v>0</v>
      </c>
      <c r="JB109" s="26">
        <f>IF(JB$2=InputTable[[#This Row],[Delivery Date]],_xlfn.XLOOKUP(JB$1,$BH$2:$BR$2,$BH109:$BR109,0),0)</f>
        <v>0</v>
      </c>
      <c r="JD109" s="26" t="e">
        <f>IF(JD$2=InputTable[[#This Row],[Delivery Date]],_xlfn.XLOOKUP(JD$1,$BH$2:$BR$2,$BH109:$BR109,0),0)</f>
        <v>#REF!</v>
      </c>
      <c r="JE109" s="26">
        <f>IF(JE$2=InputTable[[#This Row],[Delivery Date]],_xlfn.XLOOKUP(JE$1,$BH$2:$BR$2,$BH109:$BR109,0),0)</f>
        <v>0</v>
      </c>
      <c r="JF109" s="26">
        <f>IF(JF$2=InputTable[[#This Row],[Delivery Date]],_xlfn.XLOOKUP(JF$1,$BH$2:$BR$2,$BH109:$BR109,0),0)</f>
        <v>0</v>
      </c>
      <c r="JG109" s="26">
        <f>IF(JG$2=InputTable[[#This Row],[Delivery Date]],_xlfn.XLOOKUP(JG$1,$BH$2:$BR$2,$BH109:$BR109,0),0)</f>
        <v>0</v>
      </c>
      <c r="JH109" s="26">
        <f>IF(JH$2=InputTable[[#This Row],[Delivery Date]],_xlfn.XLOOKUP(JH$1,$BH$2:$BR$2,$BH109:$BR109,0),0)</f>
        <v>0</v>
      </c>
      <c r="JI109" s="26">
        <f>IF(JI$2=InputTable[[#This Row],[Delivery Date]],_xlfn.XLOOKUP(JI$1,$BH$2:$BR$2,$BH109:$BR109,0),0)</f>
        <v>0</v>
      </c>
      <c r="JJ109" s="26">
        <f>IF(JJ$2=InputTable[[#This Row],[Delivery Date]],_xlfn.XLOOKUP(JJ$1,$BH$2:$BR$2,$BH109:$BR109,0),0)</f>
        <v>0</v>
      </c>
      <c r="JK109" s="26">
        <f>IF(JK$2=InputTable[[#This Row],[Delivery Date]],_xlfn.XLOOKUP(JK$1,$BH$2:$BR$2,$BH109:$BR109,0),0)</f>
        <v>0</v>
      </c>
      <c r="JL109" s="26">
        <f>IF(JL$2=InputTable[[#This Row],[Delivery Date]],_xlfn.XLOOKUP(JL$1,$BH$2:$BR$2,$BH109:$BR109,0),0)</f>
        <v>0</v>
      </c>
      <c r="JN109" s="26" t="e">
        <f>IF(JN$2=InputTable[[#This Row],[Delivery Date]],_xlfn.XLOOKUP(JN$1,$BH$2:$BR$2,$BH109:$BR109,0),0)</f>
        <v>#REF!</v>
      </c>
      <c r="JO109" s="26">
        <f>IF(JO$2=InputTable[[#This Row],[Delivery Date]],_xlfn.XLOOKUP(JO$1,$BH$2:$BR$2,$BH109:$BR109,0),0)</f>
        <v>0</v>
      </c>
      <c r="JP109" s="26">
        <f>IF(JP$2=InputTable[[#This Row],[Delivery Date]],_xlfn.XLOOKUP(JP$1,$BH$2:$BR$2,$BH109:$BR109,0),0)</f>
        <v>0</v>
      </c>
      <c r="JQ109" s="26">
        <f>IF(JQ$2=InputTable[[#This Row],[Delivery Date]],_xlfn.XLOOKUP(JQ$1,$BH$2:$BR$2,$BH109:$BR109,0),0)</f>
        <v>0</v>
      </c>
      <c r="JR109" s="26">
        <f>IF(JR$2=InputTable[[#This Row],[Delivery Date]],_xlfn.XLOOKUP(JR$1,$BH$2:$BR$2,$BH109:$BR109,0),0)</f>
        <v>0</v>
      </c>
      <c r="JS109" s="26">
        <f>IF(JS$2=InputTable[[#This Row],[Delivery Date]],_xlfn.XLOOKUP(JS$1,$BH$2:$BR$2,$BH109:$BR109,0),0)</f>
        <v>0</v>
      </c>
      <c r="JT109" s="26">
        <f>IF(JT$2=InputTable[[#This Row],[Delivery Date]],_xlfn.XLOOKUP(JT$1,$BH$2:$BR$2,$BH109:$BR109,0),0)</f>
        <v>0</v>
      </c>
      <c r="JU109" s="26">
        <f>IF(JU$2=InputTable[[#This Row],[Delivery Date]],_xlfn.XLOOKUP(JU$1,$BH$2:$BR$2,$BH109:$BR109,0),0)</f>
        <v>0</v>
      </c>
      <c r="JV109" s="26">
        <f>IF(JV$2=InputTable[[#This Row],[Delivery Date]],_xlfn.XLOOKUP(JV$1,$BH$2:$BR$2,$BH109:$BR109,0),0)</f>
        <v>0</v>
      </c>
      <c r="JX109" s="26" t="e">
        <f>IF(JX$2=InputTable[[#This Row],[Delivery Date]],_xlfn.XLOOKUP(JX$1,$BH$2:$BR$2,$BH109:$BR109,0),0)</f>
        <v>#REF!</v>
      </c>
      <c r="JY109" s="26">
        <f>IF(JY$2=InputTable[[#This Row],[Delivery Date]],_xlfn.XLOOKUP(JY$1,$BH$2:$BR$2,$BH109:$BR109,0),0)</f>
        <v>0</v>
      </c>
      <c r="JZ109" s="26">
        <f>IF(JZ$2=InputTable[[#This Row],[Delivery Date]],_xlfn.XLOOKUP(JZ$1,$BH$2:$BR$2,$BH109:$BR109,0),0)</f>
        <v>0</v>
      </c>
      <c r="KA109" s="26">
        <f>IF(KA$2=InputTable[[#This Row],[Delivery Date]],_xlfn.XLOOKUP(KA$1,$BH$2:$BR$2,$BH109:$BR109,0),0)</f>
        <v>0</v>
      </c>
      <c r="KB109" s="26">
        <f>IF(KB$2=InputTable[[#This Row],[Delivery Date]],_xlfn.XLOOKUP(KB$1,$BH$2:$BR$2,$BH109:$BR109,0),0)</f>
        <v>0</v>
      </c>
      <c r="KC109" s="26">
        <f>IF(KC$2=InputTable[[#This Row],[Delivery Date]],_xlfn.XLOOKUP(KC$1,$BH$2:$BR$2,$BH109:$BR109,0),0)</f>
        <v>0</v>
      </c>
      <c r="KD109" s="26">
        <f>IF(KD$2=InputTable[[#This Row],[Delivery Date]],_xlfn.XLOOKUP(KD$1,$BH$2:$BR$2,$BH109:$BR109,0),0)</f>
        <v>0</v>
      </c>
      <c r="KE109" s="26">
        <f>IF(KE$2=InputTable[[#This Row],[Delivery Date]],_xlfn.XLOOKUP(KE$1,$BH$2:$BR$2,$BH109:$BR109,0),0)</f>
        <v>0</v>
      </c>
      <c r="KF109" s="26">
        <f>IF(KF$2=InputTable[[#This Row],[Delivery Date]],_xlfn.XLOOKUP(KF$1,$BH$2:$BR$2,$BH109:$BR109,0),0)</f>
        <v>0</v>
      </c>
    </row>
    <row r="110" spans="1:292" ht="39.6" hidden="1" customHeight="1" x14ac:dyDescent="0.25">
      <c r="A110" s="141"/>
      <c r="B110" s="141" t="s">
        <v>114</v>
      </c>
      <c r="C110" s="92" t="s">
        <v>93</v>
      </c>
      <c r="D110" s="125" t="s">
        <v>430</v>
      </c>
      <c r="E110" s="193" t="s">
        <v>431</v>
      </c>
      <c r="F110" s="92" t="s">
        <v>96</v>
      </c>
      <c r="G110" s="92" t="s">
        <v>97</v>
      </c>
      <c r="H110" s="92"/>
      <c r="I110" s="92" t="s">
        <v>98</v>
      </c>
      <c r="J110" s="122"/>
      <c r="K110" s="95" t="e">
        <f>VLOOKUP((InputTable[[#This Row],[Starting Date]]&amp; " - " &amp;InputTable[[#This Row],[Delivery Date]]),'System List'!$F$40:$H$83,2,FALSE)</f>
        <v>#N/A</v>
      </c>
      <c r="L110" s="95" t="e">
        <f>VLOOKUP(InputTable[[#This Row],[Duration]],Duration,2,FALSE)</f>
        <v>#N/A</v>
      </c>
      <c r="M110" s="122" t="s">
        <v>110</v>
      </c>
      <c r="N110" s="92"/>
      <c r="O110" s="92"/>
      <c r="P110" s="92"/>
      <c r="Q110" s="92"/>
      <c r="R110" s="92" t="s">
        <v>111</v>
      </c>
      <c r="S110" s="92"/>
      <c r="T110" s="95" cm="1">
        <f t="array" ref="T110" xml:space="preserve"> SUM(
  _xlfn.XLOOKUP(InputTable[[#This Row],[Safety]:[Regulatory]], 'System List'!$F$4:$F$7, 'System List'!$G$4:$G$7, 0) *
  _xlfn.XLOOKUP(InputTable[[#Headers],[Safety]:[Regulatory]], 'System List'!$Y$4:$Y$10, 'System List'!$Z$4:$Z$10, 0)
)</f>
        <v>1.5</v>
      </c>
      <c r="U110" s="138"/>
      <c r="V110" s="92"/>
      <c r="W110" s="92"/>
      <c r="X110" s="92"/>
      <c r="Y110" s="92"/>
      <c r="Z110" s="92"/>
      <c r="AA110" s="92"/>
      <c r="AB110" s="92"/>
      <c r="AC110" s="92"/>
      <c r="AD110" s="92">
        <f>COUNTA(InputTable[[#This Row],[CORPHRFIN]:[SALES]])</f>
        <v>0</v>
      </c>
      <c r="AE110" s="88" cm="1">
        <f t="array" ref="AE110">SUM(
_xlfn.XLOOKUP(InputTable[[#This Row],[CORPHRFIN]:[SALES]],'System List'!$F$4:$F$7,'System List'!$H$4:$H$7,0))</f>
        <v>0</v>
      </c>
      <c r="AF110" s="140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88" cm="1">
        <f t="array" ref="AR110">SUM(
_xlfn.XLOOKUP(InputTable[[#This Row],[Impact on - CIAL]:[Impact on - STRAT]],'System List'!$F$4:$F$7,'System List'!$H$4:$H$7,0))</f>
        <v>0</v>
      </c>
      <c r="AS110" s="88" t="e">
        <f>VLOOKUP(InputTable[[#This Row],[Duration]],Duration,2,FALSE)+InputTable[[#This Row],[Resource Score]]</f>
        <v>#N/A</v>
      </c>
      <c r="AT11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0" s="24" t="e">
        <f>InputTable[[#This Row],[Value Score]]/InputTable[[#This Row],[EFFORT SCORE]]*100</f>
        <v>#N/A</v>
      </c>
      <c r="AV110" s="25"/>
      <c r="AW110" s="25" t="s">
        <v>101</v>
      </c>
      <c r="AX110" s="208"/>
      <c r="AY110" s="25"/>
      <c r="AZ110" s="209">
        <v>0</v>
      </c>
      <c r="BA110" s="209">
        <v>0</v>
      </c>
      <c r="BB110" s="209"/>
      <c r="BC110" s="189"/>
      <c r="BD110" s="188"/>
      <c r="BE110" s="188"/>
      <c r="BF110" s="70"/>
      <c r="BH110" s="2">
        <f>IFERROR(VLOOKUP(InputTable[[#This Row],[Impact on - CIAL]],'System List'!$F$4:$H$7,3,FALSE),0)</f>
        <v>0</v>
      </c>
      <c r="BI110" s="2">
        <f>IFERROR(VLOOKUP(InputTable[[#This Row],[Impact on - COM]],'System List'!$F$4:$H$7,3,FALSE),0)</f>
        <v>0</v>
      </c>
      <c r="BJ110" s="2">
        <f>IFERROR(VLOOKUP(InputTable[[#This Row],[Impact on - FIN]],'System List'!$F$4:$H$7,3,FALSE),0)</f>
        <v>0</v>
      </c>
      <c r="BK110" s="2">
        <f>IFERROR(VLOOKUP(InputTable[[#This Row],[Impact on - GEN SEC]],'System List'!$F$4:$H$7,3,FALSE),0)</f>
        <v>0</v>
      </c>
      <c r="BL110" s="2">
        <f>IFERROR(VLOOKUP(InputTable[[#This Row],[Impact on - HR]],'System List'!$F$4:$H$7,3,FALSE),0)</f>
        <v>0</v>
      </c>
      <c r="BM110" s="2">
        <f>IFERROR(VLOOKUP(InputTable[[#This Row],[Impact on - IS]],'System List'!$F$4:$H$7,3,FALSE),0)</f>
        <v>0</v>
      </c>
      <c r="BN110" s="2">
        <f>IFERROR(VLOOKUP(InputTable[[#This Row],[Impact on - OPS]],'System List'!$F$4:$H$7,3,FALSE),0)</f>
        <v>0</v>
      </c>
      <c r="BO110" s="2">
        <f>IFERROR(VLOOKUP(InputTable[[#This Row],[Impact on - ROLL STOCK]],'System List'!$F$4:$H$7,3,FALSE),0)</f>
        <v>0</v>
      </c>
      <c r="BP110" s="2">
        <f>IFERROR(VLOOKUP(InputTable[[#This Row],[Impact on - SAFETY]],'System List'!$F$4:$H$7,3,FALSE),0)</f>
        <v>0</v>
      </c>
      <c r="BQ110" s="2">
        <f>IFERROR(VLOOKUP(InputTable[[#This Row],[Impact on - STATION]],'System List'!$F$4:$H$7,3,FALSE),0)</f>
        <v>0</v>
      </c>
      <c r="BR110" s="2">
        <f>IFERROR(VLOOKUP(InputTable[[#This Row],[Impact on - STRAT]],'System List'!$F$4:$H$7,3,FALSE),0)</f>
        <v>0</v>
      </c>
      <c r="BT110" s="2">
        <f>IFERROR(VLOOKUP(InputTable[[#This Row],[CORPHRFIN]],'System List'!$F$4:$H$7,3,FALSE),0)</f>
        <v>0</v>
      </c>
      <c r="BU110" s="2">
        <f>IFERROR(VLOOKUP(InputTable[[#This Row],[CUST]],'System List'!$F$4:$H$7,3,FALSE),0)</f>
        <v>0</v>
      </c>
      <c r="BV110" s="2">
        <f>IFERROR(VLOOKUP(InputTable[[#This Row],[CYBER]],'System List'!$F$4:$H$7,3,FALSE),0)</f>
        <v>0</v>
      </c>
      <c r="BW110" s="2">
        <f>IFERROR(VLOOKUP(InputTable[[#This Row],[DATA]],'System List'!$F$4:$H$7,3,FALSE),0)</f>
        <v>0</v>
      </c>
      <c r="BX110" s="2">
        <f>IFERROR(VLOOKUP(InputTable[[#This Row],[INFRA]],'System List'!$F$4:$H$7,3,FALSE),0)</f>
        <v>0</v>
      </c>
      <c r="BY110" s="2">
        <f>IFERROR(VLOOKUP(InputTable[[#This Row],[OPERATIONS]],'System List'!$F$4:$H$7,3,FALSE),0)</f>
        <v>0</v>
      </c>
      <c r="BZ110" s="2">
        <f>IFERROR(VLOOKUP(InputTable[[#This Row],[PMO]],'System List'!$F$4:$H$7,3,FALSE),0)</f>
        <v>0</v>
      </c>
      <c r="CA110" s="2">
        <f>IFERROR(VLOOKUP(InputTable[[#This Row],[SALES]],'System List'!$F$4:$H$7,3,FALSE),0)</f>
        <v>0</v>
      </c>
      <c r="CC110" s="2" cm="1">
        <f t="array" ref="CC11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0" s="2" cm="1">
        <f t="array" ref="CD11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0" s="2" cm="1">
        <f t="array" ref="CE11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0" s="2" cm="1">
        <f t="array" ref="CF11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0" s="2" cm="1">
        <f t="array" ref="CG11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0" s="2" cm="1">
        <f t="array" ref="CH11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0" s="2" cm="1">
        <f t="array" ref="CI11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0" s="2" cm="1">
        <f t="array" ref="CJ11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0" s="2" cm="1">
        <f t="array" ref="CK11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1</v>
      </c>
      <c r="CQ11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1</v>
      </c>
      <c r="CR11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1</v>
      </c>
      <c r="CS11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1</v>
      </c>
      <c r="CT11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0" s="26">
        <f t="shared" si="307"/>
        <v>0</v>
      </c>
      <c r="CY110" s="26">
        <f t="shared" si="308"/>
        <v>0</v>
      </c>
      <c r="CZ110" s="26">
        <f t="shared" si="309"/>
        <v>0</v>
      </c>
      <c r="DA110" s="26">
        <f t="shared" si="310"/>
        <v>0</v>
      </c>
      <c r="DB110" s="26">
        <f t="shared" si="311"/>
        <v>0</v>
      </c>
      <c r="DC110" s="26">
        <f t="shared" si="312"/>
        <v>0</v>
      </c>
      <c r="DD110" s="26">
        <f t="shared" si="313"/>
        <v>0</v>
      </c>
      <c r="DE110" s="26">
        <f t="shared" si="314"/>
        <v>0</v>
      </c>
      <c r="DF110" s="26">
        <f t="shared" si="315"/>
        <v>0</v>
      </c>
      <c r="DH110" s="26">
        <f t="shared" si="316"/>
        <v>0</v>
      </c>
      <c r="DI110" s="26">
        <f t="shared" si="317"/>
        <v>0</v>
      </c>
      <c r="DJ110" s="26">
        <f t="shared" si="318"/>
        <v>0</v>
      </c>
      <c r="DK110" s="26">
        <f t="shared" si="319"/>
        <v>0</v>
      </c>
      <c r="DL110" s="26">
        <f t="shared" si="320"/>
        <v>0</v>
      </c>
      <c r="DM110" s="26">
        <f t="shared" si="321"/>
        <v>0</v>
      </c>
      <c r="DN110" s="26">
        <f t="shared" si="322"/>
        <v>0</v>
      </c>
      <c r="DO110" s="26">
        <f t="shared" si="323"/>
        <v>0</v>
      </c>
      <c r="DP110" s="26">
        <f t="shared" si="324"/>
        <v>0</v>
      </c>
      <c r="DR110" s="26">
        <f t="shared" si="325"/>
        <v>0</v>
      </c>
      <c r="DS110" s="26">
        <f t="shared" si="326"/>
        <v>0</v>
      </c>
      <c r="DT110" s="26">
        <f t="shared" si="327"/>
        <v>0</v>
      </c>
      <c r="DU110" s="26">
        <f t="shared" si="328"/>
        <v>0</v>
      </c>
      <c r="DV110" s="26">
        <f t="shared" si="329"/>
        <v>0</v>
      </c>
      <c r="DW110" s="26">
        <f t="shared" si="330"/>
        <v>0</v>
      </c>
      <c r="DX110" s="26">
        <f t="shared" si="331"/>
        <v>0</v>
      </c>
      <c r="DY110" s="26">
        <f t="shared" si="332"/>
        <v>0</v>
      </c>
      <c r="DZ110" s="26">
        <f t="shared" si="333"/>
        <v>0</v>
      </c>
      <c r="EB110" s="26">
        <f t="shared" si="334"/>
        <v>0</v>
      </c>
      <c r="EC110" s="26">
        <f t="shared" si="335"/>
        <v>0</v>
      </c>
      <c r="ED110" s="26">
        <f t="shared" si="336"/>
        <v>0</v>
      </c>
      <c r="EE110" s="26">
        <f t="shared" si="337"/>
        <v>0</v>
      </c>
      <c r="EF110" s="26">
        <f t="shared" si="338"/>
        <v>0</v>
      </c>
      <c r="EG110" s="26">
        <f t="shared" si="339"/>
        <v>0</v>
      </c>
      <c r="EH110" s="26">
        <f t="shared" si="340"/>
        <v>0</v>
      </c>
      <c r="EI110" s="26">
        <f t="shared" si="341"/>
        <v>0</v>
      </c>
      <c r="EJ110" s="26">
        <f t="shared" si="342"/>
        <v>0</v>
      </c>
      <c r="EL110" s="26">
        <f t="shared" si="343"/>
        <v>0</v>
      </c>
      <c r="EM110" s="26">
        <f t="shared" si="344"/>
        <v>0</v>
      </c>
      <c r="EN110" s="26">
        <f t="shared" si="345"/>
        <v>0</v>
      </c>
      <c r="EO110" s="26">
        <f t="shared" si="346"/>
        <v>0</v>
      </c>
      <c r="EP110" s="26">
        <f t="shared" si="347"/>
        <v>0</v>
      </c>
      <c r="EQ110" s="26">
        <f t="shared" si="348"/>
        <v>0</v>
      </c>
      <c r="ER110" s="26">
        <f t="shared" si="349"/>
        <v>0</v>
      </c>
      <c r="ES110" s="26">
        <f t="shared" si="350"/>
        <v>0</v>
      </c>
      <c r="ET110" s="26">
        <f t="shared" si="351"/>
        <v>0</v>
      </c>
      <c r="EV110" s="26">
        <f t="shared" si="352"/>
        <v>0</v>
      </c>
      <c r="EW110" s="26">
        <f t="shared" si="353"/>
        <v>0</v>
      </c>
      <c r="EX110" s="26">
        <f t="shared" si="354"/>
        <v>0</v>
      </c>
      <c r="EY110" s="26">
        <f t="shared" si="355"/>
        <v>0</v>
      </c>
      <c r="EZ110" s="26">
        <f t="shared" si="356"/>
        <v>0</v>
      </c>
      <c r="FA110" s="26">
        <f t="shared" si="357"/>
        <v>0</v>
      </c>
      <c r="FB110" s="26">
        <f t="shared" si="358"/>
        <v>0</v>
      </c>
      <c r="FC110" s="26">
        <f t="shared" si="359"/>
        <v>0</v>
      </c>
      <c r="FD110" s="26">
        <f t="shared" si="360"/>
        <v>0</v>
      </c>
      <c r="FF110" s="26">
        <f t="shared" si="361"/>
        <v>0</v>
      </c>
      <c r="FG110" s="26">
        <f t="shared" si="362"/>
        <v>0</v>
      </c>
      <c r="FH110" s="26">
        <f t="shared" si="363"/>
        <v>0</v>
      </c>
      <c r="FI110" s="26">
        <f t="shared" si="364"/>
        <v>0</v>
      </c>
      <c r="FJ110" s="26">
        <f t="shared" si="365"/>
        <v>0</v>
      </c>
      <c r="FK110" s="26">
        <f t="shared" si="366"/>
        <v>0</v>
      </c>
      <c r="FL110" s="26">
        <f t="shared" si="367"/>
        <v>0</v>
      </c>
      <c r="FM110" s="26">
        <f t="shared" si="368"/>
        <v>0</v>
      </c>
      <c r="FN110" s="26">
        <f t="shared" si="369"/>
        <v>0</v>
      </c>
      <c r="FP110" s="26" t="e">
        <f t="shared" si="370"/>
        <v>#REF!</v>
      </c>
      <c r="FQ110" s="26" t="e">
        <f t="shared" si="371"/>
        <v>#REF!</v>
      </c>
      <c r="FR110" s="26" t="e">
        <f t="shared" si="372"/>
        <v>#REF!</v>
      </c>
      <c r="FS110" s="26" t="e">
        <f t="shared" si="373"/>
        <v>#REF!</v>
      </c>
      <c r="FT110" s="26" t="e">
        <f t="shared" si="374"/>
        <v>#REF!</v>
      </c>
      <c r="FU110" s="26" t="e">
        <f t="shared" si="375"/>
        <v>#REF!</v>
      </c>
      <c r="FV110" s="26" t="e">
        <f t="shared" si="376"/>
        <v>#REF!</v>
      </c>
      <c r="FW110" s="26" t="e">
        <f t="shared" si="377"/>
        <v>#REF!</v>
      </c>
      <c r="FX110" s="26" t="e">
        <f t="shared" si="378"/>
        <v>#REF!</v>
      </c>
      <c r="GB110" s="26" t="e">
        <f>IF(GB$2=InputTable[[#This Row],[Delivery Date]],_xlfn.XLOOKUP(GB$1,$BH$2:$BR$2,$BH110:$BR110,0),0)</f>
        <v>#REF!</v>
      </c>
      <c r="GC110" s="26">
        <f>IF(GC$2=InputTable[[#This Row],[Delivery Date]],_xlfn.XLOOKUP(GC$1,$BH$2:$BR$2,$BH110:$BR110,0),0)</f>
        <v>0</v>
      </c>
      <c r="GD110" s="26">
        <f>IF(GD$2=InputTable[[#This Row],[Delivery Date]],_xlfn.XLOOKUP(GD$1,$BH$2:$BR$2,$BH110:$BR110,0),0)</f>
        <v>0</v>
      </c>
      <c r="GE110" s="26">
        <f>IF(GE$2=InputTable[[#This Row],[Delivery Date]],_xlfn.XLOOKUP(GE$1,$BH$2:$BR$2,$BH110:$BR110,0),0)</f>
        <v>0</v>
      </c>
      <c r="GF110" s="26">
        <f>IF(GF$2=InputTable[[#This Row],[Delivery Date]],_xlfn.XLOOKUP(GF$1,$BH$2:$BR$2,$BH110:$BR110,0),0)</f>
        <v>0</v>
      </c>
      <c r="GG110" s="26">
        <f>IF(GG$2=InputTable[[#This Row],[Delivery Date]],_xlfn.XLOOKUP(GG$1,$BH$2:$BR$2,$BH110:$BR110,0),0)</f>
        <v>0</v>
      </c>
      <c r="GH110" s="26">
        <f>IF(GH$2=InputTable[[#This Row],[Delivery Date]],_xlfn.XLOOKUP(GH$1,$BH$2:$BR$2,$BH110:$BR110,0),0)</f>
        <v>0</v>
      </c>
      <c r="GI110" s="26">
        <f>IF(GI$2=InputTable[[#This Row],[Delivery Date]],_xlfn.XLOOKUP(GI$1,$BH$2:$BR$2,$BH110:$BR110,0),0)</f>
        <v>0</v>
      </c>
      <c r="GJ110" s="26">
        <f>IF(GJ$2=InputTable[[#This Row],[Delivery Date]],_xlfn.XLOOKUP(GJ$1,$BH$2:$BR$2,$BH110:$BR110,0),0)</f>
        <v>0</v>
      </c>
      <c r="GL110" s="26" t="e">
        <f>IF(GL$2=InputTable[[#This Row],[Delivery Date]],_xlfn.XLOOKUP(GL$1,$BH$2:$BR$2,$BH110:$BR110,0),0)</f>
        <v>#REF!</v>
      </c>
      <c r="GM110" s="26">
        <f>IF(GM$2=InputTable[[#This Row],[Delivery Date]],_xlfn.XLOOKUP(GM$1,$BH$2:$BR$2,$BH110:$BR110,0),0)</f>
        <v>0</v>
      </c>
      <c r="GN110" s="26">
        <f>IF(GN$2=InputTable[[#This Row],[Delivery Date]],_xlfn.XLOOKUP(GN$1,$BH$2:$BR$2,$BH110:$BR110,0),0)</f>
        <v>0</v>
      </c>
      <c r="GO110" s="26">
        <f>IF(GO$2=InputTable[[#This Row],[Delivery Date]],_xlfn.XLOOKUP(GO$1,$BH$2:$BR$2,$BH110:$BR110,0),0)</f>
        <v>0</v>
      </c>
      <c r="GP110" s="26">
        <f>IF(GP$2=InputTable[[#This Row],[Delivery Date]],_xlfn.XLOOKUP(GP$1,$BH$2:$BR$2,$BH110:$BR110,0),0)</f>
        <v>0</v>
      </c>
      <c r="GQ110" s="26">
        <f>IF(GQ$2=InputTable[[#This Row],[Delivery Date]],_xlfn.XLOOKUP(GQ$1,$BH$2:$BR$2,$BH110:$BR110,0),0)</f>
        <v>0</v>
      </c>
      <c r="GR110" s="26">
        <f>IF(GR$2=InputTable[[#This Row],[Delivery Date]],_xlfn.XLOOKUP(GR$1,$BH$2:$BR$2,$BH110:$BR110,0),0)</f>
        <v>0</v>
      </c>
      <c r="GS110" s="26">
        <f>IF(GS$2=InputTable[[#This Row],[Delivery Date]],_xlfn.XLOOKUP(GS$1,$BH$2:$BR$2,$BH110:$BR110,0),0)</f>
        <v>0</v>
      </c>
      <c r="GT110" s="26">
        <f>IF(GT$2=InputTable[[#This Row],[Delivery Date]],_xlfn.XLOOKUP(GT$1,$BH$2:$BR$2,$BH110:$BR110,0),0)</f>
        <v>0</v>
      </c>
      <c r="GV110" s="26" t="e">
        <f>IF(GV$2=InputTable[[#This Row],[Delivery Date]],_xlfn.XLOOKUP(GV$1,$BH$2:$BR$2,$BH110:$BR110,0),0)</f>
        <v>#REF!</v>
      </c>
      <c r="GW110" s="26">
        <f>IF(GW$2=InputTable[[#This Row],[Delivery Date]],_xlfn.XLOOKUP(GW$1,$BH$2:$BR$2,$BH110:$BR110,0),0)</f>
        <v>0</v>
      </c>
      <c r="GX110" s="26">
        <f>IF(GX$2=InputTable[[#This Row],[Delivery Date]],_xlfn.XLOOKUP(GX$1,$BH$2:$BR$2,$BH110:$BR110,0),0)</f>
        <v>0</v>
      </c>
      <c r="GY110" s="26">
        <f>IF(GY$2=InputTable[[#This Row],[Delivery Date]],_xlfn.XLOOKUP(GY$1,$BH$2:$BR$2,$BH110:$BR110,0),0)</f>
        <v>0</v>
      </c>
      <c r="GZ110" s="26">
        <f>IF(GZ$2=InputTable[[#This Row],[Delivery Date]],_xlfn.XLOOKUP(GZ$1,$BH$2:$BR$2,$BH110:$BR110,0),0)</f>
        <v>0</v>
      </c>
      <c r="HA110" s="26">
        <f>IF(HA$2=InputTable[[#This Row],[Delivery Date]],_xlfn.XLOOKUP(HA$1,$BH$2:$BR$2,$BH110:$BR110,0),0)</f>
        <v>0</v>
      </c>
      <c r="HB110" s="26">
        <f>IF(HB$2=InputTable[[#This Row],[Delivery Date]],_xlfn.XLOOKUP(HB$1,$BH$2:$BR$2,$BH110:$BR110,0),0)</f>
        <v>0</v>
      </c>
      <c r="HC110" s="26">
        <f>IF(HC$2=InputTable[[#This Row],[Delivery Date]],_xlfn.XLOOKUP(HC$1,$BH$2:$BR$2,$BH110:$BR110,0),0)</f>
        <v>0</v>
      </c>
      <c r="HD110" s="26">
        <f>IF(HD$2=InputTable[[#This Row],[Delivery Date]],_xlfn.XLOOKUP(HD$1,$BH$2:$BR$2,$BH110:$BR110,0),0)</f>
        <v>0</v>
      </c>
      <c r="HF110" s="26" t="e">
        <f>IF(HF$2=InputTable[[#This Row],[Delivery Date]],_xlfn.XLOOKUP(HF$1,$BH$2:$BR$2,$BH110:$BR110,0),0)</f>
        <v>#REF!</v>
      </c>
      <c r="HG110" s="26">
        <f>IF(HG$2=InputTable[[#This Row],[Delivery Date]],_xlfn.XLOOKUP(HG$1,$BH$2:$BR$2,$BH110:$BR110,0),0)</f>
        <v>0</v>
      </c>
      <c r="HH110" s="26">
        <f>IF(HH$2=InputTable[[#This Row],[Delivery Date]],_xlfn.XLOOKUP(HH$1,$BH$2:$BR$2,$BH110:$BR110,0),0)</f>
        <v>0</v>
      </c>
      <c r="HI110" s="26">
        <f>IF(HI$2=InputTable[[#This Row],[Delivery Date]],_xlfn.XLOOKUP(HI$1,$BH$2:$BR$2,$BH110:$BR110,0),0)</f>
        <v>0</v>
      </c>
      <c r="HJ110" s="26">
        <f>IF(HJ$2=InputTable[[#This Row],[Delivery Date]],_xlfn.XLOOKUP(HJ$1,$BH$2:$BR$2,$BH110:$BR110,0),0)</f>
        <v>0</v>
      </c>
      <c r="HK110" s="26">
        <f>IF(HK$2=InputTable[[#This Row],[Delivery Date]],_xlfn.XLOOKUP(HK$1,$BH$2:$BR$2,$BH110:$BR110,0),0)</f>
        <v>0</v>
      </c>
      <c r="HL110" s="26">
        <f>IF(HL$2=InputTable[[#This Row],[Delivery Date]],_xlfn.XLOOKUP(HL$1,$BH$2:$BR$2,$BH110:$BR110,0),0)</f>
        <v>0</v>
      </c>
      <c r="HM110" s="26">
        <f>IF(HM$2=InputTable[[#This Row],[Delivery Date]],_xlfn.XLOOKUP(HM$1,$BH$2:$BR$2,$BH110:$BR110,0),0)</f>
        <v>0</v>
      </c>
      <c r="HN110" s="26">
        <f>IF(HN$2=InputTable[[#This Row],[Delivery Date]],_xlfn.XLOOKUP(HN$1,$BH$2:$BR$2,$BH110:$BR110,0),0)</f>
        <v>0</v>
      </c>
      <c r="HP110" s="26" t="e">
        <f>IF(HP$2=InputTable[[#This Row],[Delivery Date]],_xlfn.XLOOKUP(HP$1,$BH$2:$BR$2,$BH110:$BR110,0),0)</f>
        <v>#REF!</v>
      </c>
      <c r="HQ110" s="26">
        <f>IF(HQ$2=InputTable[[#This Row],[Delivery Date]],_xlfn.XLOOKUP(HQ$1,$BH$2:$BR$2,$BH110:$BR110,0),0)</f>
        <v>0</v>
      </c>
      <c r="HR110" s="26">
        <f>IF(HR$2=InputTable[[#This Row],[Delivery Date]],_xlfn.XLOOKUP(HR$1,$BH$2:$BR$2,$BH110:$BR110,0),0)</f>
        <v>0</v>
      </c>
      <c r="HS110" s="26">
        <f>IF(HS$2=InputTable[[#This Row],[Delivery Date]],_xlfn.XLOOKUP(HS$1,$BH$2:$BR$2,$BH110:$BR110,0),0)</f>
        <v>0</v>
      </c>
      <c r="HT110" s="26">
        <f>IF(HT$2=InputTable[[#This Row],[Delivery Date]],_xlfn.XLOOKUP(HT$1,$BH$2:$BR$2,$BH110:$BR110,0),0)</f>
        <v>0</v>
      </c>
      <c r="HU110" s="26">
        <f>IF(HU$2=InputTable[[#This Row],[Delivery Date]],_xlfn.XLOOKUP(HU$1,$BH$2:$BR$2,$BH110:$BR110,0),0)</f>
        <v>0</v>
      </c>
      <c r="HV110" s="26">
        <f>IF(HV$2=InputTable[[#This Row],[Delivery Date]],_xlfn.XLOOKUP(HV$1,$BH$2:$BR$2,$BH110:$BR110,0),0)</f>
        <v>0</v>
      </c>
      <c r="HW110" s="26">
        <f>IF(HW$2=InputTable[[#This Row],[Delivery Date]],_xlfn.XLOOKUP(HW$1,$BH$2:$BR$2,$BH110:$BR110,0),0)</f>
        <v>0</v>
      </c>
      <c r="HX110" s="26">
        <f>IF(HX$2=InputTable[[#This Row],[Delivery Date]],_xlfn.XLOOKUP(HX$1,$BH$2:$BR$2,$BH110:$BR110,0),0)</f>
        <v>0</v>
      </c>
      <c r="HZ110" s="26" t="e">
        <f>IF(HZ$2=InputTable[[#This Row],[Delivery Date]],_xlfn.XLOOKUP(HZ$1,$BH$2:$BR$2,$BH110:$BR110,0),0)</f>
        <v>#REF!</v>
      </c>
      <c r="IA110" s="26">
        <f>IF(IA$2=InputTable[[#This Row],[Delivery Date]],_xlfn.XLOOKUP(IA$1,$BH$2:$BR$2,$BH110:$BR110,0),0)</f>
        <v>0</v>
      </c>
      <c r="IB110" s="26">
        <f>IF(IB$2=InputTable[[#This Row],[Delivery Date]],_xlfn.XLOOKUP(IB$1,$BH$2:$BR$2,$BH110:$BR110,0),0)</f>
        <v>0</v>
      </c>
      <c r="IC110" s="26">
        <f>IF(IC$2=InputTable[[#This Row],[Delivery Date]],_xlfn.XLOOKUP(IC$1,$BH$2:$BR$2,$BH110:$BR110,0),0)</f>
        <v>0</v>
      </c>
      <c r="ID110" s="26">
        <f>IF(ID$2=InputTable[[#This Row],[Delivery Date]],_xlfn.XLOOKUP(ID$1,$BH$2:$BR$2,$BH110:$BR110,0),0)</f>
        <v>0</v>
      </c>
      <c r="IE110" s="26">
        <f>IF(IE$2=InputTable[[#This Row],[Delivery Date]],_xlfn.XLOOKUP(IE$1,$BH$2:$BR$2,$BH110:$BR110,0),0)</f>
        <v>0</v>
      </c>
      <c r="IF110" s="26">
        <f>IF(IF$2=InputTable[[#This Row],[Delivery Date]],_xlfn.XLOOKUP(IF$1,$BH$2:$BR$2,$BH110:$BR110,0),0)</f>
        <v>0</v>
      </c>
      <c r="IG110" s="26">
        <f>IF(IG$2=InputTable[[#This Row],[Delivery Date]],_xlfn.XLOOKUP(IG$1,$BH$2:$BR$2,$BH110:$BR110,0),0)</f>
        <v>0</v>
      </c>
      <c r="IH110" s="26">
        <f>IF(IH$2=InputTable[[#This Row],[Delivery Date]],_xlfn.XLOOKUP(IH$1,$BH$2:$BR$2,$BH110:$BR110,0),0)</f>
        <v>0</v>
      </c>
      <c r="IJ110" s="26" t="e">
        <f>IF(IJ$2=InputTable[[#This Row],[Delivery Date]],_xlfn.XLOOKUP(IJ$1,$BH$2:$BR$2,$BH110:$BR110,0),0)</f>
        <v>#REF!</v>
      </c>
      <c r="IK110" s="26">
        <f>IF(IK$2=InputTable[[#This Row],[Delivery Date]],_xlfn.XLOOKUP(IK$1,$BH$2:$BR$2,$BH110:$BR110,0),0)</f>
        <v>0</v>
      </c>
      <c r="IL110" s="26">
        <f>IF(IL$2=InputTable[[#This Row],[Delivery Date]],_xlfn.XLOOKUP(IL$1,$BH$2:$BR$2,$BH110:$BR110,0),0)</f>
        <v>0</v>
      </c>
      <c r="IM110" s="26">
        <f>IF(IM$2=InputTable[[#This Row],[Delivery Date]],_xlfn.XLOOKUP(IM$1,$BH$2:$BR$2,$BH110:$BR110,0),0)</f>
        <v>0</v>
      </c>
      <c r="IN110" s="26">
        <f>IF(IN$2=InputTable[[#This Row],[Delivery Date]],_xlfn.XLOOKUP(IN$1,$BH$2:$BR$2,$BH110:$BR110,0),0)</f>
        <v>0</v>
      </c>
      <c r="IO110" s="26">
        <f>IF(IO$2=InputTable[[#This Row],[Delivery Date]],_xlfn.XLOOKUP(IO$1,$BH$2:$BR$2,$BH110:$BR110,0),0)</f>
        <v>0</v>
      </c>
      <c r="IP110" s="26">
        <f>IF(IP$2=InputTable[[#This Row],[Delivery Date]],_xlfn.XLOOKUP(IP$1,$BH$2:$BR$2,$BH110:$BR110,0),0)</f>
        <v>0</v>
      </c>
      <c r="IQ110" s="26">
        <f>IF(IQ$2=InputTable[[#This Row],[Delivery Date]],_xlfn.XLOOKUP(IQ$1,$BH$2:$BR$2,$BH110:$BR110,0),0)</f>
        <v>0</v>
      </c>
      <c r="IR110" s="26">
        <f>IF(IR$2=InputTable[[#This Row],[Delivery Date]],_xlfn.XLOOKUP(IR$1,$BH$2:$BR$2,$BH110:$BR110,0),0)</f>
        <v>0</v>
      </c>
      <c r="IT110" s="26" t="e">
        <f>IF(IT$2=InputTable[[#This Row],[Delivery Date]],_xlfn.XLOOKUP(IT$1,$BH$2:$BR$2,$BH110:$BR110,0),0)</f>
        <v>#REF!</v>
      </c>
      <c r="IU110" s="26">
        <f>IF(IU$2=InputTable[[#This Row],[Delivery Date]],_xlfn.XLOOKUP(IU$1,$BH$2:$BR$2,$BH110:$BR110,0),0)</f>
        <v>0</v>
      </c>
      <c r="IV110" s="26">
        <f>IF(IV$2=InputTable[[#This Row],[Delivery Date]],_xlfn.XLOOKUP(IV$1,$BH$2:$BR$2,$BH110:$BR110,0),0)</f>
        <v>0</v>
      </c>
      <c r="IW110" s="26">
        <f>IF(IW$2=InputTable[[#This Row],[Delivery Date]],_xlfn.XLOOKUP(IW$1,$BH$2:$BR$2,$BH110:$BR110,0),0)</f>
        <v>0</v>
      </c>
      <c r="IX110" s="26">
        <f>IF(IX$2=InputTable[[#This Row],[Delivery Date]],_xlfn.XLOOKUP(IX$1,$BH$2:$BR$2,$BH110:$BR110,0),0)</f>
        <v>0</v>
      </c>
      <c r="IY110" s="26">
        <f>IF(IY$2=InputTable[[#This Row],[Delivery Date]],_xlfn.XLOOKUP(IY$1,$BH$2:$BR$2,$BH110:$BR110,0),0)</f>
        <v>0</v>
      </c>
      <c r="IZ110" s="26">
        <f>IF(IZ$2=InputTable[[#This Row],[Delivery Date]],_xlfn.XLOOKUP(IZ$1,$BH$2:$BR$2,$BH110:$BR110,0),0)</f>
        <v>0</v>
      </c>
      <c r="JA110" s="26">
        <f>IF(JA$2=InputTable[[#This Row],[Delivery Date]],_xlfn.XLOOKUP(JA$1,$BH$2:$BR$2,$BH110:$BR110,0),0)</f>
        <v>0</v>
      </c>
      <c r="JB110" s="26">
        <f>IF(JB$2=InputTable[[#This Row],[Delivery Date]],_xlfn.XLOOKUP(JB$1,$BH$2:$BR$2,$BH110:$BR110,0),0)</f>
        <v>0</v>
      </c>
      <c r="JD110" s="26" t="e">
        <f>IF(JD$2=InputTable[[#This Row],[Delivery Date]],_xlfn.XLOOKUP(JD$1,$BH$2:$BR$2,$BH110:$BR110,0),0)</f>
        <v>#REF!</v>
      </c>
      <c r="JE110" s="26">
        <f>IF(JE$2=InputTable[[#This Row],[Delivery Date]],_xlfn.XLOOKUP(JE$1,$BH$2:$BR$2,$BH110:$BR110,0),0)</f>
        <v>0</v>
      </c>
      <c r="JF110" s="26">
        <f>IF(JF$2=InputTable[[#This Row],[Delivery Date]],_xlfn.XLOOKUP(JF$1,$BH$2:$BR$2,$BH110:$BR110,0),0)</f>
        <v>0</v>
      </c>
      <c r="JG110" s="26">
        <f>IF(JG$2=InputTable[[#This Row],[Delivery Date]],_xlfn.XLOOKUP(JG$1,$BH$2:$BR$2,$BH110:$BR110,0),0)</f>
        <v>0</v>
      </c>
      <c r="JH110" s="26">
        <f>IF(JH$2=InputTable[[#This Row],[Delivery Date]],_xlfn.XLOOKUP(JH$1,$BH$2:$BR$2,$BH110:$BR110,0),0)</f>
        <v>0</v>
      </c>
      <c r="JI110" s="26">
        <f>IF(JI$2=InputTable[[#This Row],[Delivery Date]],_xlfn.XLOOKUP(JI$1,$BH$2:$BR$2,$BH110:$BR110,0),0)</f>
        <v>0</v>
      </c>
      <c r="JJ110" s="26">
        <f>IF(JJ$2=InputTable[[#This Row],[Delivery Date]],_xlfn.XLOOKUP(JJ$1,$BH$2:$BR$2,$BH110:$BR110,0),0)</f>
        <v>0</v>
      </c>
      <c r="JK110" s="26">
        <f>IF(JK$2=InputTable[[#This Row],[Delivery Date]],_xlfn.XLOOKUP(JK$1,$BH$2:$BR$2,$BH110:$BR110,0),0)</f>
        <v>0</v>
      </c>
      <c r="JL110" s="26">
        <f>IF(JL$2=InputTable[[#This Row],[Delivery Date]],_xlfn.XLOOKUP(JL$1,$BH$2:$BR$2,$BH110:$BR110,0),0)</f>
        <v>0</v>
      </c>
      <c r="JN110" s="26" t="e">
        <f>IF(JN$2=InputTable[[#This Row],[Delivery Date]],_xlfn.XLOOKUP(JN$1,$BH$2:$BR$2,$BH110:$BR110,0),0)</f>
        <v>#REF!</v>
      </c>
      <c r="JO110" s="26">
        <f>IF(JO$2=InputTable[[#This Row],[Delivery Date]],_xlfn.XLOOKUP(JO$1,$BH$2:$BR$2,$BH110:$BR110,0),0)</f>
        <v>0</v>
      </c>
      <c r="JP110" s="26">
        <f>IF(JP$2=InputTable[[#This Row],[Delivery Date]],_xlfn.XLOOKUP(JP$1,$BH$2:$BR$2,$BH110:$BR110,0),0)</f>
        <v>0</v>
      </c>
      <c r="JQ110" s="26">
        <f>IF(JQ$2=InputTable[[#This Row],[Delivery Date]],_xlfn.XLOOKUP(JQ$1,$BH$2:$BR$2,$BH110:$BR110,0),0)</f>
        <v>0</v>
      </c>
      <c r="JR110" s="26">
        <f>IF(JR$2=InputTable[[#This Row],[Delivery Date]],_xlfn.XLOOKUP(JR$1,$BH$2:$BR$2,$BH110:$BR110,0),0)</f>
        <v>0</v>
      </c>
      <c r="JS110" s="26">
        <f>IF(JS$2=InputTable[[#This Row],[Delivery Date]],_xlfn.XLOOKUP(JS$1,$BH$2:$BR$2,$BH110:$BR110,0),0)</f>
        <v>0</v>
      </c>
      <c r="JT110" s="26">
        <f>IF(JT$2=InputTable[[#This Row],[Delivery Date]],_xlfn.XLOOKUP(JT$1,$BH$2:$BR$2,$BH110:$BR110,0),0)</f>
        <v>0</v>
      </c>
      <c r="JU110" s="26">
        <f>IF(JU$2=InputTable[[#This Row],[Delivery Date]],_xlfn.XLOOKUP(JU$1,$BH$2:$BR$2,$BH110:$BR110,0),0)</f>
        <v>0</v>
      </c>
      <c r="JV110" s="26">
        <f>IF(JV$2=InputTable[[#This Row],[Delivery Date]],_xlfn.XLOOKUP(JV$1,$BH$2:$BR$2,$BH110:$BR110,0),0)</f>
        <v>0</v>
      </c>
      <c r="JX110" s="26" t="e">
        <f>IF(JX$2=InputTable[[#This Row],[Delivery Date]],_xlfn.XLOOKUP(JX$1,$BH$2:$BR$2,$BH110:$BR110,0),0)</f>
        <v>#REF!</v>
      </c>
      <c r="JY110" s="26">
        <f>IF(JY$2=InputTable[[#This Row],[Delivery Date]],_xlfn.XLOOKUP(JY$1,$BH$2:$BR$2,$BH110:$BR110,0),0)</f>
        <v>0</v>
      </c>
      <c r="JZ110" s="26">
        <f>IF(JZ$2=InputTable[[#This Row],[Delivery Date]],_xlfn.XLOOKUP(JZ$1,$BH$2:$BR$2,$BH110:$BR110,0),0)</f>
        <v>0</v>
      </c>
      <c r="KA110" s="26">
        <f>IF(KA$2=InputTable[[#This Row],[Delivery Date]],_xlfn.XLOOKUP(KA$1,$BH$2:$BR$2,$BH110:$BR110,0),0)</f>
        <v>0</v>
      </c>
      <c r="KB110" s="26">
        <f>IF(KB$2=InputTable[[#This Row],[Delivery Date]],_xlfn.XLOOKUP(KB$1,$BH$2:$BR$2,$BH110:$BR110,0),0)</f>
        <v>0</v>
      </c>
      <c r="KC110" s="26">
        <f>IF(KC$2=InputTable[[#This Row],[Delivery Date]],_xlfn.XLOOKUP(KC$1,$BH$2:$BR$2,$BH110:$BR110,0),0)</f>
        <v>0</v>
      </c>
      <c r="KD110" s="26">
        <f>IF(KD$2=InputTable[[#This Row],[Delivery Date]],_xlfn.XLOOKUP(KD$1,$BH$2:$BR$2,$BH110:$BR110,0),0)</f>
        <v>0</v>
      </c>
      <c r="KE110" s="26">
        <f>IF(KE$2=InputTable[[#This Row],[Delivery Date]],_xlfn.XLOOKUP(KE$1,$BH$2:$BR$2,$BH110:$BR110,0),0)</f>
        <v>0</v>
      </c>
      <c r="KF110" s="26">
        <f>IF(KF$2=InputTable[[#This Row],[Delivery Date]],_xlfn.XLOOKUP(KF$1,$BH$2:$BR$2,$BH110:$BR110,0),0)</f>
        <v>0</v>
      </c>
    </row>
    <row r="111" spans="1:292" ht="39.6" customHeight="1" x14ac:dyDescent="0.25">
      <c r="A111" s="141"/>
      <c r="B111" s="92"/>
      <c r="C111" s="92"/>
      <c r="D111" s="92"/>
      <c r="E111" s="193"/>
      <c r="F111" s="92"/>
      <c r="G111" s="92"/>
      <c r="H111" s="92"/>
      <c r="I111" s="92"/>
      <c r="J111" s="122"/>
      <c r="K111" s="95" t="e">
        <f>VLOOKUP((InputTable[[#This Row],[Starting Date]]&amp; " - " &amp;InputTable[[#This Row],[Delivery Date]]),'System List'!$F$40:$H$83,2,FALSE)</f>
        <v>#N/A</v>
      </c>
      <c r="L111" s="95" t="e">
        <f>VLOOKUP(InputTable[[#This Row],[Duration]],Duration,2,FALSE)</f>
        <v>#N/A</v>
      </c>
      <c r="M111" s="122"/>
      <c r="N111" s="92"/>
      <c r="O111" s="92"/>
      <c r="P111" s="92"/>
      <c r="Q111" s="92"/>
      <c r="R111" s="92"/>
      <c r="S111" s="92"/>
      <c r="T111" s="95"/>
      <c r="U111" s="138"/>
      <c r="V111" s="92"/>
      <c r="W111" s="92"/>
      <c r="X111" s="92"/>
      <c r="Y111" s="92"/>
      <c r="Z111" s="92"/>
      <c r="AA111" s="92"/>
      <c r="AB111" s="92"/>
      <c r="AC111" s="92"/>
      <c r="AD111" s="92">
        <f>COUNTA(InputTable[[#This Row],[CORPHRFIN]:[SALES]])</f>
        <v>0</v>
      </c>
      <c r="AE111" s="88" cm="1">
        <f t="array" ref="AE111">SUM(
_xlfn.XLOOKUP(InputTable[[#This Row],[CORPHRFIN]:[SALES]],'System List'!$F$4:$F$7,'System List'!$H$4:$H$7,0))</f>
        <v>0</v>
      </c>
      <c r="AF111" s="140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88" cm="1">
        <f t="array" ref="AR111">SUM(
_xlfn.XLOOKUP(InputTable[[#This Row],[Impact on - CIAL]:[Impact on - STRAT]],'System List'!$F$4:$F$7,'System List'!$H$4:$H$7,0))</f>
        <v>0</v>
      </c>
      <c r="AS111" s="88" t="e">
        <f>VLOOKUP(InputTable[[#This Row],[Duration]],Duration,2,FALSE)+InputTable[[#This Row],[Resource Score]]</f>
        <v>#N/A</v>
      </c>
      <c r="AT11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1" s="24" t="e">
        <f>InputTable[[#This Row],[Value Score]]/InputTable[[#This Row],[EFFORT SCORE]]*100</f>
        <v>#N/A</v>
      </c>
      <c r="AV111" s="25"/>
      <c r="AW111" s="25"/>
      <c r="AX111" s="208"/>
      <c r="AY111" s="25"/>
      <c r="AZ111" s="209">
        <v>0</v>
      </c>
      <c r="BA111" s="209">
        <v>0</v>
      </c>
      <c r="BB111" s="209"/>
      <c r="BC111" s="189"/>
      <c r="BD111" s="188"/>
      <c r="BE111" s="188"/>
      <c r="BF111" s="70"/>
      <c r="BH111" s="2">
        <f>IFERROR(VLOOKUP(InputTable[[#This Row],[Impact on - CIAL]],'System List'!$F$4:$H$7,3,FALSE),0)</f>
        <v>0</v>
      </c>
      <c r="BI111" s="2">
        <f>IFERROR(VLOOKUP(InputTable[[#This Row],[Impact on - COM]],'System List'!$F$4:$H$7,3,FALSE),0)</f>
        <v>0</v>
      </c>
      <c r="BJ111" s="2">
        <f>IFERROR(VLOOKUP(InputTable[[#This Row],[Impact on - FIN]],'System List'!$F$4:$H$7,3,FALSE),0)</f>
        <v>0</v>
      </c>
      <c r="BK111" s="2">
        <f>IFERROR(VLOOKUP(InputTable[[#This Row],[Impact on - GEN SEC]],'System List'!$F$4:$H$7,3,FALSE),0)</f>
        <v>0</v>
      </c>
      <c r="BL111" s="2">
        <f>IFERROR(VLOOKUP(InputTable[[#This Row],[Impact on - HR]],'System List'!$F$4:$H$7,3,FALSE),0)</f>
        <v>0</v>
      </c>
      <c r="BM111" s="2">
        <f>IFERROR(VLOOKUP(InputTable[[#This Row],[Impact on - IS]],'System List'!$F$4:$H$7,3,FALSE),0)</f>
        <v>0</v>
      </c>
      <c r="BN111" s="2">
        <f>IFERROR(VLOOKUP(InputTable[[#This Row],[Impact on - OPS]],'System List'!$F$4:$H$7,3,FALSE),0)</f>
        <v>0</v>
      </c>
      <c r="BO111" s="2">
        <f>IFERROR(VLOOKUP(InputTable[[#This Row],[Impact on - ROLL STOCK]],'System List'!$F$4:$H$7,3,FALSE),0)</f>
        <v>0</v>
      </c>
      <c r="BP111" s="2">
        <f>IFERROR(VLOOKUP(InputTable[[#This Row],[Impact on - SAFETY]],'System List'!$F$4:$H$7,3,FALSE),0)</f>
        <v>0</v>
      </c>
      <c r="BQ111" s="2">
        <f>IFERROR(VLOOKUP(InputTable[[#This Row],[Impact on - STATION]],'System List'!$F$4:$H$7,3,FALSE),0)</f>
        <v>0</v>
      </c>
      <c r="BR111" s="2">
        <f>IFERROR(VLOOKUP(InputTable[[#This Row],[Impact on - STRAT]],'System List'!$F$4:$H$7,3,FALSE),0)</f>
        <v>0</v>
      </c>
      <c r="BT111" s="2">
        <f>IFERROR(VLOOKUP(InputTable[[#This Row],[CORPHRFIN]],'System List'!$F$4:$H$7,3,FALSE),0)</f>
        <v>0</v>
      </c>
      <c r="BU111" s="2">
        <f>IFERROR(VLOOKUP(InputTable[[#This Row],[CUST]],'System List'!$F$4:$H$7,3,FALSE),0)</f>
        <v>0</v>
      </c>
      <c r="BV111" s="2">
        <f>IFERROR(VLOOKUP(InputTable[[#This Row],[CYBER]],'System List'!$F$4:$H$7,3,FALSE),0)</f>
        <v>0</v>
      </c>
      <c r="BW111" s="2">
        <f>IFERROR(VLOOKUP(InputTable[[#This Row],[DATA]],'System List'!$F$4:$H$7,3,FALSE),0)</f>
        <v>0</v>
      </c>
      <c r="BX111" s="2">
        <f>IFERROR(VLOOKUP(InputTable[[#This Row],[INFRA]],'System List'!$F$4:$H$7,3,FALSE),0)</f>
        <v>0</v>
      </c>
      <c r="BY111" s="2">
        <f>IFERROR(VLOOKUP(InputTable[[#This Row],[OPERATIONS]],'System List'!$F$4:$H$7,3,FALSE),0)</f>
        <v>0</v>
      </c>
      <c r="BZ111" s="2">
        <f>IFERROR(VLOOKUP(InputTable[[#This Row],[PMO]],'System List'!$F$4:$H$7,3,FALSE),0)</f>
        <v>0</v>
      </c>
      <c r="CA111" s="2">
        <f>IFERROR(VLOOKUP(InputTable[[#This Row],[SALES]],'System List'!$F$4:$H$7,3,FALSE),0)</f>
        <v>0</v>
      </c>
      <c r="CC111" s="2" cm="1">
        <f t="array" ref="CC11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1" s="2" cm="1">
        <f t="array" ref="CD11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1" s="2" cm="1">
        <f t="array" ref="CE11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1" s="2" cm="1">
        <f t="array" ref="CF11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1" s="2" cm="1">
        <f t="array" ref="CG11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1" s="2" cm="1">
        <f t="array" ref="CH11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1" s="2" cm="1">
        <f t="array" ref="CI11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1" s="2" cm="1">
        <f t="array" ref="CJ11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1" s="2" cm="1">
        <f t="array" ref="CK11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1" s="26">
        <f t="shared" si="307"/>
        <v>0</v>
      </c>
      <c r="CY111" s="26">
        <f t="shared" si="308"/>
        <v>0</v>
      </c>
      <c r="CZ111" s="26">
        <f t="shared" si="309"/>
        <v>0</v>
      </c>
      <c r="DA111" s="26">
        <f t="shared" si="310"/>
        <v>0</v>
      </c>
      <c r="DB111" s="26">
        <f t="shared" si="311"/>
        <v>0</v>
      </c>
      <c r="DC111" s="26">
        <f t="shared" si="312"/>
        <v>0</v>
      </c>
      <c r="DD111" s="26">
        <f t="shared" si="313"/>
        <v>0</v>
      </c>
      <c r="DE111" s="26">
        <f t="shared" si="314"/>
        <v>0</v>
      </c>
      <c r="DF111" s="26">
        <f t="shared" si="315"/>
        <v>0</v>
      </c>
      <c r="DH111" s="26">
        <f t="shared" si="316"/>
        <v>0</v>
      </c>
      <c r="DI111" s="26">
        <f t="shared" si="317"/>
        <v>0</v>
      </c>
      <c r="DJ111" s="26">
        <f t="shared" si="318"/>
        <v>0</v>
      </c>
      <c r="DK111" s="26">
        <f t="shared" si="319"/>
        <v>0</v>
      </c>
      <c r="DL111" s="26">
        <f t="shared" si="320"/>
        <v>0</v>
      </c>
      <c r="DM111" s="26">
        <f t="shared" si="321"/>
        <v>0</v>
      </c>
      <c r="DN111" s="26">
        <f t="shared" si="322"/>
        <v>0</v>
      </c>
      <c r="DO111" s="26">
        <f t="shared" si="323"/>
        <v>0</v>
      </c>
      <c r="DP111" s="26">
        <f t="shared" si="324"/>
        <v>0</v>
      </c>
      <c r="DR111" s="26">
        <f t="shared" si="325"/>
        <v>0</v>
      </c>
      <c r="DS111" s="26">
        <f t="shared" si="326"/>
        <v>0</v>
      </c>
      <c r="DT111" s="26">
        <f t="shared" si="327"/>
        <v>0</v>
      </c>
      <c r="DU111" s="26">
        <f t="shared" si="328"/>
        <v>0</v>
      </c>
      <c r="DV111" s="26">
        <f t="shared" si="329"/>
        <v>0</v>
      </c>
      <c r="DW111" s="26">
        <f t="shared" si="330"/>
        <v>0</v>
      </c>
      <c r="DX111" s="26">
        <f t="shared" si="331"/>
        <v>0</v>
      </c>
      <c r="DY111" s="26">
        <f t="shared" si="332"/>
        <v>0</v>
      </c>
      <c r="DZ111" s="26">
        <f t="shared" si="333"/>
        <v>0</v>
      </c>
      <c r="EB111" s="26">
        <f t="shared" si="334"/>
        <v>0</v>
      </c>
      <c r="EC111" s="26">
        <f t="shared" si="335"/>
        <v>0</v>
      </c>
      <c r="ED111" s="26">
        <f t="shared" si="336"/>
        <v>0</v>
      </c>
      <c r="EE111" s="26">
        <f t="shared" si="337"/>
        <v>0</v>
      </c>
      <c r="EF111" s="26">
        <f t="shared" si="338"/>
        <v>0</v>
      </c>
      <c r="EG111" s="26">
        <f t="shared" si="339"/>
        <v>0</v>
      </c>
      <c r="EH111" s="26">
        <f t="shared" si="340"/>
        <v>0</v>
      </c>
      <c r="EI111" s="26">
        <f t="shared" si="341"/>
        <v>0</v>
      </c>
      <c r="EJ111" s="26">
        <f t="shared" si="342"/>
        <v>0</v>
      </c>
      <c r="EL111" s="26">
        <f t="shared" si="343"/>
        <v>0</v>
      </c>
      <c r="EM111" s="26">
        <f t="shared" si="344"/>
        <v>0</v>
      </c>
      <c r="EN111" s="26">
        <f t="shared" si="345"/>
        <v>0</v>
      </c>
      <c r="EO111" s="26">
        <f t="shared" si="346"/>
        <v>0</v>
      </c>
      <c r="EP111" s="26">
        <f t="shared" si="347"/>
        <v>0</v>
      </c>
      <c r="EQ111" s="26">
        <f t="shared" si="348"/>
        <v>0</v>
      </c>
      <c r="ER111" s="26">
        <f t="shared" si="349"/>
        <v>0</v>
      </c>
      <c r="ES111" s="26">
        <f t="shared" si="350"/>
        <v>0</v>
      </c>
      <c r="ET111" s="26">
        <f t="shared" si="351"/>
        <v>0</v>
      </c>
      <c r="EV111" s="26">
        <f t="shared" si="352"/>
        <v>0</v>
      </c>
      <c r="EW111" s="26">
        <f t="shared" si="353"/>
        <v>0</v>
      </c>
      <c r="EX111" s="26">
        <f t="shared" si="354"/>
        <v>0</v>
      </c>
      <c r="EY111" s="26">
        <f t="shared" si="355"/>
        <v>0</v>
      </c>
      <c r="EZ111" s="26">
        <f t="shared" si="356"/>
        <v>0</v>
      </c>
      <c r="FA111" s="26">
        <f t="shared" si="357"/>
        <v>0</v>
      </c>
      <c r="FB111" s="26">
        <f t="shared" si="358"/>
        <v>0</v>
      </c>
      <c r="FC111" s="26">
        <f t="shared" si="359"/>
        <v>0</v>
      </c>
      <c r="FD111" s="26">
        <f t="shared" si="360"/>
        <v>0</v>
      </c>
      <c r="FF111" s="26">
        <f t="shared" si="361"/>
        <v>0</v>
      </c>
      <c r="FG111" s="26">
        <f t="shared" si="362"/>
        <v>0</v>
      </c>
      <c r="FH111" s="26">
        <f t="shared" si="363"/>
        <v>0</v>
      </c>
      <c r="FI111" s="26">
        <f t="shared" si="364"/>
        <v>0</v>
      </c>
      <c r="FJ111" s="26">
        <f t="shared" si="365"/>
        <v>0</v>
      </c>
      <c r="FK111" s="26">
        <f t="shared" si="366"/>
        <v>0</v>
      </c>
      <c r="FL111" s="26">
        <f t="shared" si="367"/>
        <v>0</v>
      </c>
      <c r="FM111" s="26">
        <f t="shared" si="368"/>
        <v>0</v>
      </c>
      <c r="FN111" s="26">
        <f t="shared" si="369"/>
        <v>0</v>
      </c>
      <c r="FP111" s="26" t="e">
        <f t="shared" si="370"/>
        <v>#REF!</v>
      </c>
      <c r="FQ111" s="26" t="e">
        <f t="shared" si="371"/>
        <v>#REF!</v>
      </c>
      <c r="FR111" s="26" t="e">
        <f t="shared" si="372"/>
        <v>#REF!</v>
      </c>
      <c r="FS111" s="26" t="e">
        <f t="shared" si="373"/>
        <v>#REF!</v>
      </c>
      <c r="FT111" s="26" t="e">
        <f t="shared" si="374"/>
        <v>#REF!</v>
      </c>
      <c r="FU111" s="26" t="e">
        <f t="shared" si="375"/>
        <v>#REF!</v>
      </c>
      <c r="FV111" s="26" t="e">
        <f t="shared" si="376"/>
        <v>#REF!</v>
      </c>
      <c r="FW111" s="26" t="e">
        <f t="shared" si="377"/>
        <v>#REF!</v>
      </c>
      <c r="FX111" s="26" t="e">
        <f t="shared" si="378"/>
        <v>#REF!</v>
      </c>
      <c r="GB111" s="26" t="e">
        <f>IF(GB$2=InputTable[[#This Row],[Delivery Date]],_xlfn.XLOOKUP(GB$1,$BH$2:$BR$2,$BH111:$BR111,0),0)</f>
        <v>#REF!</v>
      </c>
      <c r="GC111" s="26">
        <f>IF(GC$2=InputTable[[#This Row],[Delivery Date]],_xlfn.XLOOKUP(GC$1,$BH$2:$BR$2,$BH111:$BR111,0),0)</f>
        <v>0</v>
      </c>
      <c r="GD111" s="26">
        <f>IF(GD$2=InputTable[[#This Row],[Delivery Date]],_xlfn.XLOOKUP(GD$1,$BH$2:$BR$2,$BH111:$BR111,0),0)</f>
        <v>0</v>
      </c>
      <c r="GE111" s="26">
        <f>IF(GE$2=InputTable[[#This Row],[Delivery Date]],_xlfn.XLOOKUP(GE$1,$BH$2:$BR$2,$BH111:$BR111,0),0)</f>
        <v>0</v>
      </c>
      <c r="GF111" s="26">
        <f>IF(GF$2=InputTable[[#This Row],[Delivery Date]],_xlfn.XLOOKUP(GF$1,$BH$2:$BR$2,$BH111:$BR111,0),0)</f>
        <v>0</v>
      </c>
      <c r="GG111" s="26">
        <f>IF(GG$2=InputTable[[#This Row],[Delivery Date]],_xlfn.XLOOKUP(GG$1,$BH$2:$BR$2,$BH111:$BR111,0),0)</f>
        <v>0</v>
      </c>
      <c r="GH111" s="26">
        <f>IF(GH$2=InputTable[[#This Row],[Delivery Date]],_xlfn.XLOOKUP(GH$1,$BH$2:$BR$2,$BH111:$BR111,0),0)</f>
        <v>0</v>
      </c>
      <c r="GI111" s="26">
        <f>IF(GI$2=InputTable[[#This Row],[Delivery Date]],_xlfn.XLOOKUP(GI$1,$BH$2:$BR$2,$BH111:$BR111,0),0)</f>
        <v>0</v>
      </c>
      <c r="GJ111" s="26">
        <f>IF(GJ$2=InputTable[[#This Row],[Delivery Date]],_xlfn.XLOOKUP(GJ$1,$BH$2:$BR$2,$BH111:$BR111,0),0)</f>
        <v>0</v>
      </c>
      <c r="GL111" s="26" t="e">
        <f>IF(GL$2=InputTable[[#This Row],[Delivery Date]],_xlfn.XLOOKUP(GL$1,$BH$2:$BR$2,$BH111:$BR111,0),0)</f>
        <v>#REF!</v>
      </c>
      <c r="GM111" s="26">
        <f>IF(GM$2=InputTable[[#This Row],[Delivery Date]],_xlfn.XLOOKUP(GM$1,$BH$2:$BR$2,$BH111:$BR111,0),0)</f>
        <v>0</v>
      </c>
      <c r="GN111" s="26">
        <f>IF(GN$2=InputTable[[#This Row],[Delivery Date]],_xlfn.XLOOKUP(GN$1,$BH$2:$BR$2,$BH111:$BR111,0),0)</f>
        <v>0</v>
      </c>
      <c r="GO111" s="26">
        <f>IF(GO$2=InputTable[[#This Row],[Delivery Date]],_xlfn.XLOOKUP(GO$1,$BH$2:$BR$2,$BH111:$BR111,0),0)</f>
        <v>0</v>
      </c>
      <c r="GP111" s="26">
        <f>IF(GP$2=InputTable[[#This Row],[Delivery Date]],_xlfn.XLOOKUP(GP$1,$BH$2:$BR$2,$BH111:$BR111,0),0)</f>
        <v>0</v>
      </c>
      <c r="GQ111" s="26">
        <f>IF(GQ$2=InputTable[[#This Row],[Delivery Date]],_xlfn.XLOOKUP(GQ$1,$BH$2:$BR$2,$BH111:$BR111,0),0)</f>
        <v>0</v>
      </c>
      <c r="GR111" s="26">
        <f>IF(GR$2=InputTable[[#This Row],[Delivery Date]],_xlfn.XLOOKUP(GR$1,$BH$2:$BR$2,$BH111:$BR111,0),0)</f>
        <v>0</v>
      </c>
      <c r="GS111" s="26">
        <f>IF(GS$2=InputTable[[#This Row],[Delivery Date]],_xlfn.XLOOKUP(GS$1,$BH$2:$BR$2,$BH111:$BR111,0),0)</f>
        <v>0</v>
      </c>
      <c r="GT111" s="26">
        <f>IF(GT$2=InputTable[[#This Row],[Delivery Date]],_xlfn.XLOOKUP(GT$1,$BH$2:$BR$2,$BH111:$BR111,0),0)</f>
        <v>0</v>
      </c>
      <c r="GV111" s="26" t="e">
        <f>IF(GV$2=InputTable[[#This Row],[Delivery Date]],_xlfn.XLOOKUP(GV$1,$BH$2:$BR$2,$BH111:$BR111,0),0)</f>
        <v>#REF!</v>
      </c>
      <c r="GW111" s="26">
        <f>IF(GW$2=InputTable[[#This Row],[Delivery Date]],_xlfn.XLOOKUP(GW$1,$BH$2:$BR$2,$BH111:$BR111,0),0)</f>
        <v>0</v>
      </c>
      <c r="GX111" s="26">
        <f>IF(GX$2=InputTable[[#This Row],[Delivery Date]],_xlfn.XLOOKUP(GX$1,$BH$2:$BR$2,$BH111:$BR111,0),0)</f>
        <v>0</v>
      </c>
      <c r="GY111" s="26">
        <f>IF(GY$2=InputTable[[#This Row],[Delivery Date]],_xlfn.XLOOKUP(GY$1,$BH$2:$BR$2,$BH111:$BR111,0),0)</f>
        <v>0</v>
      </c>
      <c r="GZ111" s="26">
        <f>IF(GZ$2=InputTable[[#This Row],[Delivery Date]],_xlfn.XLOOKUP(GZ$1,$BH$2:$BR$2,$BH111:$BR111,0),0)</f>
        <v>0</v>
      </c>
      <c r="HA111" s="26">
        <f>IF(HA$2=InputTable[[#This Row],[Delivery Date]],_xlfn.XLOOKUP(HA$1,$BH$2:$BR$2,$BH111:$BR111,0),0)</f>
        <v>0</v>
      </c>
      <c r="HB111" s="26">
        <f>IF(HB$2=InputTable[[#This Row],[Delivery Date]],_xlfn.XLOOKUP(HB$1,$BH$2:$BR$2,$BH111:$BR111,0),0)</f>
        <v>0</v>
      </c>
      <c r="HC111" s="26">
        <f>IF(HC$2=InputTable[[#This Row],[Delivery Date]],_xlfn.XLOOKUP(HC$1,$BH$2:$BR$2,$BH111:$BR111,0),0)</f>
        <v>0</v>
      </c>
      <c r="HD111" s="26">
        <f>IF(HD$2=InputTable[[#This Row],[Delivery Date]],_xlfn.XLOOKUP(HD$1,$BH$2:$BR$2,$BH111:$BR111,0),0)</f>
        <v>0</v>
      </c>
      <c r="HF111" s="26" t="e">
        <f>IF(HF$2=InputTable[[#This Row],[Delivery Date]],_xlfn.XLOOKUP(HF$1,$BH$2:$BR$2,$BH111:$BR111,0),0)</f>
        <v>#REF!</v>
      </c>
      <c r="HG111" s="26">
        <f>IF(HG$2=InputTable[[#This Row],[Delivery Date]],_xlfn.XLOOKUP(HG$1,$BH$2:$BR$2,$BH111:$BR111,0),0)</f>
        <v>0</v>
      </c>
      <c r="HH111" s="26">
        <f>IF(HH$2=InputTable[[#This Row],[Delivery Date]],_xlfn.XLOOKUP(HH$1,$BH$2:$BR$2,$BH111:$BR111,0),0)</f>
        <v>0</v>
      </c>
      <c r="HI111" s="26">
        <f>IF(HI$2=InputTable[[#This Row],[Delivery Date]],_xlfn.XLOOKUP(HI$1,$BH$2:$BR$2,$BH111:$BR111,0),0)</f>
        <v>0</v>
      </c>
      <c r="HJ111" s="26">
        <f>IF(HJ$2=InputTable[[#This Row],[Delivery Date]],_xlfn.XLOOKUP(HJ$1,$BH$2:$BR$2,$BH111:$BR111,0),0)</f>
        <v>0</v>
      </c>
      <c r="HK111" s="26">
        <f>IF(HK$2=InputTable[[#This Row],[Delivery Date]],_xlfn.XLOOKUP(HK$1,$BH$2:$BR$2,$BH111:$BR111,0),0)</f>
        <v>0</v>
      </c>
      <c r="HL111" s="26">
        <f>IF(HL$2=InputTable[[#This Row],[Delivery Date]],_xlfn.XLOOKUP(HL$1,$BH$2:$BR$2,$BH111:$BR111,0),0)</f>
        <v>0</v>
      </c>
      <c r="HM111" s="26">
        <f>IF(HM$2=InputTable[[#This Row],[Delivery Date]],_xlfn.XLOOKUP(HM$1,$BH$2:$BR$2,$BH111:$BR111,0),0)</f>
        <v>0</v>
      </c>
      <c r="HN111" s="26">
        <f>IF(HN$2=InputTable[[#This Row],[Delivery Date]],_xlfn.XLOOKUP(HN$1,$BH$2:$BR$2,$BH111:$BR111,0),0)</f>
        <v>0</v>
      </c>
      <c r="HP111" s="26" t="e">
        <f>IF(HP$2=InputTable[[#This Row],[Delivery Date]],_xlfn.XLOOKUP(HP$1,$BH$2:$BR$2,$BH111:$BR111,0),0)</f>
        <v>#REF!</v>
      </c>
      <c r="HQ111" s="26">
        <f>IF(HQ$2=InputTable[[#This Row],[Delivery Date]],_xlfn.XLOOKUP(HQ$1,$BH$2:$BR$2,$BH111:$BR111,0),0)</f>
        <v>0</v>
      </c>
      <c r="HR111" s="26">
        <f>IF(HR$2=InputTable[[#This Row],[Delivery Date]],_xlfn.XLOOKUP(HR$1,$BH$2:$BR$2,$BH111:$BR111,0),0)</f>
        <v>0</v>
      </c>
      <c r="HS111" s="26">
        <f>IF(HS$2=InputTable[[#This Row],[Delivery Date]],_xlfn.XLOOKUP(HS$1,$BH$2:$BR$2,$BH111:$BR111,0),0)</f>
        <v>0</v>
      </c>
      <c r="HT111" s="26">
        <f>IF(HT$2=InputTable[[#This Row],[Delivery Date]],_xlfn.XLOOKUP(HT$1,$BH$2:$BR$2,$BH111:$BR111,0),0)</f>
        <v>0</v>
      </c>
      <c r="HU111" s="26">
        <f>IF(HU$2=InputTable[[#This Row],[Delivery Date]],_xlfn.XLOOKUP(HU$1,$BH$2:$BR$2,$BH111:$BR111,0),0)</f>
        <v>0</v>
      </c>
      <c r="HV111" s="26">
        <f>IF(HV$2=InputTable[[#This Row],[Delivery Date]],_xlfn.XLOOKUP(HV$1,$BH$2:$BR$2,$BH111:$BR111,0),0)</f>
        <v>0</v>
      </c>
      <c r="HW111" s="26">
        <f>IF(HW$2=InputTable[[#This Row],[Delivery Date]],_xlfn.XLOOKUP(HW$1,$BH$2:$BR$2,$BH111:$BR111,0),0)</f>
        <v>0</v>
      </c>
      <c r="HX111" s="26">
        <f>IF(HX$2=InputTable[[#This Row],[Delivery Date]],_xlfn.XLOOKUP(HX$1,$BH$2:$BR$2,$BH111:$BR111,0),0)</f>
        <v>0</v>
      </c>
      <c r="HZ111" s="26" t="e">
        <f>IF(HZ$2=InputTable[[#This Row],[Delivery Date]],_xlfn.XLOOKUP(HZ$1,$BH$2:$BR$2,$BH111:$BR111,0),0)</f>
        <v>#REF!</v>
      </c>
      <c r="IA111" s="26">
        <f>IF(IA$2=InputTable[[#This Row],[Delivery Date]],_xlfn.XLOOKUP(IA$1,$BH$2:$BR$2,$BH111:$BR111,0),0)</f>
        <v>0</v>
      </c>
      <c r="IB111" s="26">
        <f>IF(IB$2=InputTable[[#This Row],[Delivery Date]],_xlfn.XLOOKUP(IB$1,$BH$2:$BR$2,$BH111:$BR111,0),0)</f>
        <v>0</v>
      </c>
      <c r="IC111" s="26">
        <f>IF(IC$2=InputTable[[#This Row],[Delivery Date]],_xlfn.XLOOKUP(IC$1,$BH$2:$BR$2,$BH111:$BR111,0),0)</f>
        <v>0</v>
      </c>
      <c r="ID111" s="26">
        <f>IF(ID$2=InputTable[[#This Row],[Delivery Date]],_xlfn.XLOOKUP(ID$1,$BH$2:$BR$2,$BH111:$BR111,0),0)</f>
        <v>0</v>
      </c>
      <c r="IE111" s="26">
        <f>IF(IE$2=InputTable[[#This Row],[Delivery Date]],_xlfn.XLOOKUP(IE$1,$BH$2:$BR$2,$BH111:$BR111,0),0)</f>
        <v>0</v>
      </c>
      <c r="IF111" s="26">
        <f>IF(IF$2=InputTable[[#This Row],[Delivery Date]],_xlfn.XLOOKUP(IF$1,$BH$2:$BR$2,$BH111:$BR111,0),0)</f>
        <v>0</v>
      </c>
      <c r="IG111" s="26">
        <f>IF(IG$2=InputTable[[#This Row],[Delivery Date]],_xlfn.XLOOKUP(IG$1,$BH$2:$BR$2,$BH111:$BR111,0),0)</f>
        <v>0</v>
      </c>
      <c r="IH111" s="26">
        <f>IF(IH$2=InputTable[[#This Row],[Delivery Date]],_xlfn.XLOOKUP(IH$1,$BH$2:$BR$2,$BH111:$BR111,0),0)</f>
        <v>0</v>
      </c>
      <c r="IJ111" s="26" t="e">
        <f>IF(IJ$2=InputTable[[#This Row],[Delivery Date]],_xlfn.XLOOKUP(IJ$1,$BH$2:$BR$2,$BH111:$BR111,0),0)</f>
        <v>#REF!</v>
      </c>
      <c r="IK111" s="26">
        <f>IF(IK$2=InputTable[[#This Row],[Delivery Date]],_xlfn.XLOOKUP(IK$1,$BH$2:$BR$2,$BH111:$BR111,0),0)</f>
        <v>0</v>
      </c>
      <c r="IL111" s="26">
        <f>IF(IL$2=InputTable[[#This Row],[Delivery Date]],_xlfn.XLOOKUP(IL$1,$BH$2:$BR$2,$BH111:$BR111,0),0)</f>
        <v>0</v>
      </c>
      <c r="IM111" s="26">
        <f>IF(IM$2=InputTable[[#This Row],[Delivery Date]],_xlfn.XLOOKUP(IM$1,$BH$2:$BR$2,$BH111:$BR111,0),0)</f>
        <v>0</v>
      </c>
      <c r="IN111" s="26">
        <f>IF(IN$2=InputTable[[#This Row],[Delivery Date]],_xlfn.XLOOKUP(IN$1,$BH$2:$BR$2,$BH111:$BR111,0),0)</f>
        <v>0</v>
      </c>
      <c r="IO111" s="26">
        <f>IF(IO$2=InputTable[[#This Row],[Delivery Date]],_xlfn.XLOOKUP(IO$1,$BH$2:$BR$2,$BH111:$BR111,0),0)</f>
        <v>0</v>
      </c>
      <c r="IP111" s="26">
        <f>IF(IP$2=InputTable[[#This Row],[Delivery Date]],_xlfn.XLOOKUP(IP$1,$BH$2:$BR$2,$BH111:$BR111,0),0)</f>
        <v>0</v>
      </c>
      <c r="IQ111" s="26">
        <f>IF(IQ$2=InputTable[[#This Row],[Delivery Date]],_xlfn.XLOOKUP(IQ$1,$BH$2:$BR$2,$BH111:$BR111,0),0)</f>
        <v>0</v>
      </c>
      <c r="IR111" s="26">
        <f>IF(IR$2=InputTable[[#This Row],[Delivery Date]],_xlfn.XLOOKUP(IR$1,$BH$2:$BR$2,$BH111:$BR111,0),0)</f>
        <v>0</v>
      </c>
      <c r="IT111" s="26" t="e">
        <f>IF(IT$2=InputTable[[#This Row],[Delivery Date]],_xlfn.XLOOKUP(IT$1,$BH$2:$BR$2,$BH111:$BR111,0),0)</f>
        <v>#REF!</v>
      </c>
      <c r="IU111" s="26">
        <f>IF(IU$2=InputTable[[#This Row],[Delivery Date]],_xlfn.XLOOKUP(IU$1,$BH$2:$BR$2,$BH111:$BR111,0),0)</f>
        <v>0</v>
      </c>
      <c r="IV111" s="26">
        <f>IF(IV$2=InputTable[[#This Row],[Delivery Date]],_xlfn.XLOOKUP(IV$1,$BH$2:$BR$2,$BH111:$BR111,0),0)</f>
        <v>0</v>
      </c>
      <c r="IW111" s="26">
        <f>IF(IW$2=InputTable[[#This Row],[Delivery Date]],_xlfn.XLOOKUP(IW$1,$BH$2:$BR$2,$BH111:$BR111,0),0)</f>
        <v>0</v>
      </c>
      <c r="IX111" s="26">
        <f>IF(IX$2=InputTable[[#This Row],[Delivery Date]],_xlfn.XLOOKUP(IX$1,$BH$2:$BR$2,$BH111:$BR111,0),0)</f>
        <v>0</v>
      </c>
      <c r="IY111" s="26">
        <f>IF(IY$2=InputTable[[#This Row],[Delivery Date]],_xlfn.XLOOKUP(IY$1,$BH$2:$BR$2,$BH111:$BR111,0),0)</f>
        <v>0</v>
      </c>
      <c r="IZ111" s="26">
        <f>IF(IZ$2=InputTable[[#This Row],[Delivery Date]],_xlfn.XLOOKUP(IZ$1,$BH$2:$BR$2,$BH111:$BR111,0),0)</f>
        <v>0</v>
      </c>
      <c r="JA111" s="26">
        <f>IF(JA$2=InputTable[[#This Row],[Delivery Date]],_xlfn.XLOOKUP(JA$1,$BH$2:$BR$2,$BH111:$BR111,0),0)</f>
        <v>0</v>
      </c>
      <c r="JB111" s="26">
        <f>IF(JB$2=InputTable[[#This Row],[Delivery Date]],_xlfn.XLOOKUP(JB$1,$BH$2:$BR$2,$BH111:$BR111,0),0)</f>
        <v>0</v>
      </c>
      <c r="JD111" s="26" t="e">
        <f>IF(JD$2=InputTable[[#This Row],[Delivery Date]],_xlfn.XLOOKUP(JD$1,$BH$2:$BR$2,$BH111:$BR111,0),0)</f>
        <v>#REF!</v>
      </c>
      <c r="JE111" s="26">
        <f>IF(JE$2=InputTable[[#This Row],[Delivery Date]],_xlfn.XLOOKUP(JE$1,$BH$2:$BR$2,$BH111:$BR111,0),0)</f>
        <v>0</v>
      </c>
      <c r="JF111" s="26">
        <f>IF(JF$2=InputTable[[#This Row],[Delivery Date]],_xlfn.XLOOKUP(JF$1,$BH$2:$BR$2,$BH111:$BR111,0),0)</f>
        <v>0</v>
      </c>
      <c r="JG111" s="26">
        <f>IF(JG$2=InputTable[[#This Row],[Delivery Date]],_xlfn.XLOOKUP(JG$1,$BH$2:$BR$2,$BH111:$BR111,0),0)</f>
        <v>0</v>
      </c>
      <c r="JH111" s="26">
        <f>IF(JH$2=InputTable[[#This Row],[Delivery Date]],_xlfn.XLOOKUP(JH$1,$BH$2:$BR$2,$BH111:$BR111,0),0)</f>
        <v>0</v>
      </c>
      <c r="JI111" s="26">
        <f>IF(JI$2=InputTable[[#This Row],[Delivery Date]],_xlfn.XLOOKUP(JI$1,$BH$2:$BR$2,$BH111:$BR111,0),0)</f>
        <v>0</v>
      </c>
      <c r="JJ111" s="26">
        <f>IF(JJ$2=InputTable[[#This Row],[Delivery Date]],_xlfn.XLOOKUP(JJ$1,$BH$2:$BR$2,$BH111:$BR111,0),0)</f>
        <v>0</v>
      </c>
      <c r="JK111" s="26">
        <f>IF(JK$2=InputTable[[#This Row],[Delivery Date]],_xlfn.XLOOKUP(JK$1,$BH$2:$BR$2,$BH111:$BR111,0),0)</f>
        <v>0</v>
      </c>
      <c r="JL111" s="26">
        <f>IF(JL$2=InputTable[[#This Row],[Delivery Date]],_xlfn.XLOOKUP(JL$1,$BH$2:$BR$2,$BH111:$BR111,0),0)</f>
        <v>0</v>
      </c>
      <c r="JN111" s="26" t="e">
        <f>IF(JN$2=InputTable[[#This Row],[Delivery Date]],_xlfn.XLOOKUP(JN$1,$BH$2:$BR$2,$BH111:$BR111,0),0)</f>
        <v>#REF!</v>
      </c>
      <c r="JO111" s="26">
        <f>IF(JO$2=InputTable[[#This Row],[Delivery Date]],_xlfn.XLOOKUP(JO$1,$BH$2:$BR$2,$BH111:$BR111,0),0)</f>
        <v>0</v>
      </c>
      <c r="JP111" s="26">
        <f>IF(JP$2=InputTable[[#This Row],[Delivery Date]],_xlfn.XLOOKUP(JP$1,$BH$2:$BR$2,$BH111:$BR111,0),0)</f>
        <v>0</v>
      </c>
      <c r="JQ111" s="26">
        <f>IF(JQ$2=InputTable[[#This Row],[Delivery Date]],_xlfn.XLOOKUP(JQ$1,$BH$2:$BR$2,$BH111:$BR111,0),0)</f>
        <v>0</v>
      </c>
      <c r="JR111" s="26">
        <f>IF(JR$2=InputTable[[#This Row],[Delivery Date]],_xlfn.XLOOKUP(JR$1,$BH$2:$BR$2,$BH111:$BR111,0),0)</f>
        <v>0</v>
      </c>
      <c r="JS111" s="26">
        <f>IF(JS$2=InputTable[[#This Row],[Delivery Date]],_xlfn.XLOOKUP(JS$1,$BH$2:$BR$2,$BH111:$BR111,0),0)</f>
        <v>0</v>
      </c>
      <c r="JT111" s="26">
        <f>IF(JT$2=InputTable[[#This Row],[Delivery Date]],_xlfn.XLOOKUP(JT$1,$BH$2:$BR$2,$BH111:$BR111,0),0)</f>
        <v>0</v>
      </c>
      <c r="JU111" s="26">
        <f>IF(JU$2=InputTable[[#This Row],[Delivery Date]],_xlfn.XLOOKUP(JU$1,$BH$2:$BR$2,$BH111:$BR111,0),0)</f>
        <v>0</v>
      </c>
      <c r="JV111" s="26">
        <f>IF(JV$2=InputTable[[#This Row],[Delivery Date]],_xlfn.XLOOKUP(JV$1,$BH$2:$BR$2,$BH111:$BR111,0),0)</f>
        <v>0</v>
      </c>
      <c r="JX111" s="26" t="e">
        <f>IF(JX$2=InputTable[[#This Row],[Delivery Date]],_xlfn.XLOOKUP(JX$1,$BH$2:$BR$2,$BH111:$BR111,0),0)</f>
        <v>#REF!</v>
      </c>
      <c r="JY111" s="26">
        <f>IF(JY$2=InputTable[[#This Row],[Delivery Date]],_xlfn.XLOOKUP(JY$1,$BH$2:$BR$2,$BH111:$BR111,0),0)</f>
        <v>0</v>
      </c>
      <c r="JZ111" s="26">
        <f>IF(JZ$2=InputTable[[#This Row],[Delivery Date]],_xlfn.XLOOKUP(JZ$1,$BH$2:$BR$2,$BH111:$BR111,0),0)</f>
        <v>0</v>
      </c>
      <c r="KA111" s="26">
        <f>IF(KA$2=InputTable[[#This Row],[Delivery Date]],_xlfn.XLOOKUP(KA$1,$BH$2:$BR$2,$BH111:$BR111,0),0)</f>
        <v>0</v>
      </c>
      <c r="KB111" s="26">
        <f>IF(KB$2=InputTable[[#This Row],[Delivery Date]],_xlfn.XLOOKUP(KB$1,$BH$2:$BR$2,$BH111:$BR111,0),0)</f>
        <v>0</v>
      </c>
      <c r="KC111" s="26">
        <f>IF(KC$2=InputTable[[#This Row],[Delivery Date]],_xlfn.XLOOKUP(KC$1,$BH$2:$BR$2,$BH111:$BR111,0),0)</f>
        <v>0</v>
      </c>
      <c r="KD111" s="26">
        <f>IF(KD$2=InputTable[[#This Row],[Delivery Date]],_xlfn.XLOOKUP(KD$1,$BH$2:$BR$2,$BH111:$BR111,0),0)</f>
        <v>0</v>
      </c>
      <c r="KE111" s="26">
        <f>IF(KE$2=InputTable[[#This Row],[Delivery Date]],_xlfn.XLOOKUP(KE$1,$BH$2:$BR$2,$BH111:$BR111,0),0)</f>
        <v>0</v>
      </c>
      <c r="KF111" s="26">
        <f>IF(KF$2=InputTable[[#This Row],[Delivery Date]],_xlfn.XLOOKUP(KF$1,$BH$2:$BR$2,$BH111:$BR111,0),0)</f>
        <v>0</v>
      </c>
    </row>
    <row r="112" spans="1:292" ht="39.6" customHeight="1" x14ac:dyDescent="0.25">
      <c r="A112" s="141"/>
      <c r="B112" s="141"/>
      <c r="C112" s="92"/>
      <c r="D112" s="92"/>
      <c r="E112" s="193"/>
      <c r="F112" s="92"/>
      <c r="G112" s="92"/>
      <c r="H112" s="92"/>
      <c r="I112" s="92"/>
      <c r="J112" s="122"/>
      <c r="K112" s="95" t="e">
        <f>VLOOKUP((InputTable[[#This Row],[Starting Date]]&amp; " - " &amp;InputTable[[#This Row],[Delivery Date]]),'System List'!$F$40:$H$83,2,FALSE)</f>
        <v>#N/A</v>
      </c>
      <c r="L112" s="95" t="e">
        <f>VLOOKUP(InputTable[[#This Row],[Duration]],Duration,2,FALSE)</f>
        <v>#N/A</v>
      </c>
      <c r="M112" s="122"/>
      <c r="N112" s="92"/>
      <c r="O112" s="92"/>
      <c r="P112" s="92"/>
      <c r="Q112" s="92"/>
      <c r="R112" s="92"/>
      <c r="S112" s="92"/>
      <c r="T112" s="95"/>
      <c r="U112" s="138"/>
      <c r="V112" s="92"/>
      <c r="W112" s="92"/>
      <c r="X112" s="92"/>
      <c r="Y112" s="92"/>
      <c r="Z112" s="92"/>
      <c r="AA112" s="92"/>
      <c r="AB112" s="92"/>
      <c r="AC112" s="92"/>
      <c r="AD112" s="92">
        <f>COUNTA(InputTable[[#This Row],[CORPHRFIN]:[SALES]])</f>
        <v>0</v>
      </c>
      <c r="AE112" s="88" cm="1">
        <f t="array" ref="AE112">SUM(
_xlfn.XLOOKUP(InputTable[[#This Row],[CORPHRFIN]:[SALES]],'System List'!$F$4:$F$7,'System List'!$H$4:$H$7,0))</f>
        <v>0</v>
      </c>
      <c r="AF112" s="140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88" cm="1">
        <f t="array" ref="AR112">SUM(
_xlfn.XLOOKUP(InputTable[[#This Row],[Impact on - CIAL]:[Impact on - STRAT]],'System List'!$F$4:$F$7,'System List'!$H$4:$H$7,0))</f>
        <v>0</v>
      </c>
      <c r="AS112" s="88" t="e">
        <f>VLOOKUP(InputTable[[#This Row],[Duration]],Duration,2,FALSE)+InputTable[[#This Row],[Resource Score]]</f>
        <v>#N/A</v>
      </c>
      <c r="AT11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2" s="24" t="e">
        <f>InputTable[[#This Row],[Value Score]]/InputTable[[#This Row],[EFFORT SCORE]]*100</f>
        <v>#N/A</v>
      </c>
      <c r="AV112" s="25"/>
      <c r="AW112" s="25"/>
      <c r="AX112" s="208"/>
      <c r="AY112" s="25"/>
      <c r="AZ112" s="209">
        <v>0</v>
      </c>
      <c r="BA112" s="209">
        <v>0</v>
      </c>
      <c r="BB112" s="209"/>
      <c r="BC112" s="189"/>
      <c r="BD112" s="188"/>
      <c r="BE112" s="188"/>
      <c r="BF112" s="70"/>
      <c r="BH112" s="2">
        <f>IFERROR(VLOOKUP(InputTable[[#This Row],[Impact on - CIAL]],'System List'!$F$4:$H$7,3,FALSE),0)</f>
        <v>0</v>
      </c>
      <c r="BI112" s="2">
        <f>IFERROR(VLOOKUP(InputTable[[#This Row],[Impact on - COM]],'System List'!$F$4:$H$7,3,FALSE),0)</f>
        <v>0</v>
      </c>
      <c r="BJ112" s="2">
        <f>IFERROR(VLOOKUP(InputTable[[#This Row],[Impact on - FIN]],'System List'!$F$4:$H$7,3,FALSE),0)</f>
        <v>0</v>
      </c>
      <c r="BK112" s="2">
        <f>IFERROR(VLOOKUP(InputTable[[#This Row],[Impact on - GEN SEC]],'System List'!$F$4:$H$7,3,FALSE),0)</f>
        <v>0</v>
      </c>
      <c r="BL112" s="2">
        <f>IFERROR(VLOOKUP(InputTable[[#This Row],[Impact on - HR]],'System List'!$F$4:$H$7,3,FALSE),0)</f>
        <v>0</v>
      </c>
      <c r="BM112" s="2">
        <f>IFERROR(VLOOKUP(InputTable[[#This Row],[Impact on - IS]],'System List'!$F$4:$H$7,3,FALSE),0)</f>
        <v>0</v>
      </c>
      <c r="BN112" s="2">
        <f>IFERROR(VLOOKUP(InputTable[[#This Row],[Impact on - OPS]],'System List'!$F$4:$H$7,3,FALSE),0)</f>
        <v>0</v>
      </c>
      <c r="BO112" s="2">
        <f>IFERROR(VLOOKUP(InputTable[[#This Row],[Impact on - ROLL STOCK]],'System List'!$F$4:$H$7,3,FALSE),0)</f>
        <v>0</v>
      </c>
      <c r="BP112" s="2">
        <f>IFERROR(VLOOKUP(InputTable[[#This Row],[Impact on - SAFETY]],'System List'!$F$4:$H$7,3,FALSE),0)</f>
        <v>0</v>
      </c>
      <c r="BQ112" s="2">
        <f>IFERROR(VLOOKUP(InputTable[[#This Row],[Impact on - STATION]],'System List'!$F$4:$H$7,3,FALSE),0)</f>
        <v>0</v>
      </c>
      <c r="BR112" s="2">
        <f>IFERROR(VLOOKUP(InputTable[[#This Row],[Impact on - STRAT]],'System List'!$F$4:$H$7,3,FALSE),0)</f>
        <v>0</v>
      </c>
      <c r="BT112" s="2">
        <f>IFERROR(VLOOKUP(InputTable[[#This Row],[CORPHRFIN]],'System List'!$F$4:$H$7,3,FALSE),0)</f>
        <v>0</v>
      </c>
      <c r="BU112" s="2">
        <f>IFERROR(VLOOKUP(InputTable[[#This Row],[CUST]],'System List'!$F$4:$H$7,3,FALSE),0)</f>
        <v>0</v>
      </c>
      <c r="BV112" s="2">
        <f>IFERROR(VLOOKUP(InputTable[[#This Row],[CYBER]],'System List'!$F$4:$H$7,3,FALSE),0)</f>
        <v>0</v>
      </c>
      <c r="BW112" s="2">
        <f>IFERROR(VLOOKUP(InputTable[[#This Row],[DATA]],'System List'!$F$4:$H$7,3,FALSE),0)</f>
        <v>0</v>
      </c>
      <c r="BX112" s="2">
        <f>IFERROR(VLOOKUP(InputTable[[#This Row],[INFRA]],'System List'!$F$4:$H$7,3,FALSE),0)</f>
        <v>0</v>
      </c>
      <c r="BY112" s="2">
        <f>IFERROR(VLOOKUP(InputTable[[#This Row],[OPERATIONS]],'System List'!$F$4:$H$7,3,FALSE),0)</f>
        <v>0</v>
      </c>
      <c r="BZ112" s="2">
        <f>IFERROR(VLOOKUP(InputTable[[#This Row],[PMO]],'System List'!$F$4:$H$7,3,FALSE),0)</f>
        <v>0</v>
      </c>
      <c r="CA112" s="2">
        <f>IFERROR(VLOOKUP(InputTable[[#This Row],[SALES]],'System List'!$F$4:$H$7,3,FALSE),0)</f>
        <v>0</v>
      </c>
      <c r="CC112" s="2" cm="1">
        <f t="array" ref="CC11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2" s="2" cm="1">
        <f t="array" ref="CD11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2" s="2" cm="1">
        <f t="array" ref="CE11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2" s="2" cm="1">
        <f t="array" ref="CF11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2" s="2" cm="1">
        <f t="array" ref="CG11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2" s="2" cm="1">
        <f t="array" ref="CH11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2" s="2" cm="1">
        <f t="array" ref="CI11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2" s="2" cm="1">
        <f t="array" ref="CJ11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2" s="2" cm="1">
        <f t="array" ref="CK11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2" s="26">
        <f t="shared" si="307"/>
        <v>0</v>
      </c>
      <c r="CY112" s="26">
        <f t="shared" si="308"/>
        <v>0</v>
      </c>
      <c r="CZ112" s="26">
        <f t="shared" si="309"/>
        <v>0</v>
      </c>
      <c r="DA112" s="26">
        <f t="shared" si="310"/>
        <v>0</v>
      </c>
      <c r="DB112" s="26">
        <f t="shared" si="311"/>
        <v>0</v>
      </c>
      <c r="DC112" s="26">
        <f t="shared" si="312"/>
        <v>0</v>
      </c>
      <c r="DD112" s="26">
        <f t="shared" si="313"/>
        <v>0</v>
      </c>
      <c r="DE112" s="26">
        <f t="shared" si="314"/>
        <v>0</v>
      </c>
      <c r="DF112" s="26">
        <f t="shared" si="315"/>
        <v>0</v>
      </c>
      <c r="DH112" s="26">
        <f t="shared" si="316"/>
        <v>0</v>
      </c>
      <c r="DI112" s="26">
        <f t="shared" si="317"/>
        <v>0</v>
      </c>
      <c r="DJ112" s="26">
        <f t="shared" si="318"/>
        <v>0</v>
      </c>
      <c r="DK112" s="26">
        <f t="shared" si="319"/>
        <v>0</v>
      </c>
      <c r="DL112" s="26">
        <f t="shared" si="320"/>
        <v>0</v>
      </c>
      <c r="DM112" s="26">
        <f t="shared" si="321"/>
        <v>0</v>
      </c>
      <c r="DN112" s="26">
        <f t="shared" si="322"/>
        <v>0</v>
      </c>
      <c r="DO112" s="26">
        <f t="shared" si="323"/>
        <v>0</v>
      </c>
      <c r="DP112" s="26">
        <f t="shared" si="324"/>
        <v>0</v>
      </c>
      <c r="DR112" s="26">
        <f t="shared" si="325"/>
        <v>0</v>
      </c>
      <c r="DS112" s="26">
        <f t="shared" si="326"/>
        <v>0</v>
      </c>
      <c r="DT112" s="26">
        <f t="shared" si="327"/>
        <v>0</v>
      </c>
      <c r="DU112" s="26">
        <f t="shared" si="328"/>
        <v>0</v>
      </c>
      <c r="DV112" s="26">
        <f t="shared" si="329"/>
        <v>0</v>
      </c>
      <c r="DW112" s="26">
        <f t="shared" si="330"/>
        <v>0</v>
      </c>
      <c r="DX112" s="26">
        <f t="shared" si="331"/>
        <v>0</v>
      </c>
      <c r="DY112" s="26">
        <f t="shared" si="332"/>
        <v>0</v>
      </c>
      <c r="DZ112" s="26">
        <f t="shared" si="333"/>
        <v>0</v>
      </c>
      <c r="EB112" s="26">
        <f t="shared" si="334"/>
        <v>0</v>
      </c>
      <c r="EC112" s="26">
        <f t="shared" si="335"/>
        <v>0</v>
      </c>
      <c r="ED112" s="26">
        <f t="shared" si="336"/>
        <v>0</v>
      </c>
      <c r="EE112" s="26">
        <f t="shared" si="337"/>
        <v>0</v>
      </c>
      <c r="EF112" s="26">
        <f t="shared" si="338"/>
        <v>0</v>
      </c>
      <c r="EG112" s="26">
        <f t="shared" si="339"/>
        <v>0</v>
      </c>
      <c r="EH112" s="26">
        <f t="shared" si="340"/>
        <v>0</v>
      </c>
      <c r="EI112" s="26">
        <f t="shared" si="341"/>
        <v>0</v>
      </c>
      <c r="EJ112" s="26">
        <f t="shared" si="342"/>
        <v>0</v>
      </c>
      <c r="EL112" s="26">
        <f t="shared" si="343"/>
        <v>0</v>
      </c>
      <c r="EM112" s="26">
        <f t="shared" si="344"/>
        <v>0</v>
      </c>
      <c r="EN112" s="26">
        <f t="shared" si="345"/>
        <v>0</v>
      </c>
      <c r="EO112" s="26">
        <f t="shared" si="346"/>
        <v>0</v>
      </c>
      <c r="EP112" s="26">
        <f t="shared" si="347"/>
        <v>0</v>
      </c>
      <c r="EQ112" s="26">
        <f t="shared" si="348"/>
        <v>0</v>
      </c>
      <c r="ER112" s="26">
        <f t="shared" si="349"/>
        <v>0</v>
      </c>
      <c r="ES112" s="26">
        <f t="shared" si="350"/>
        <v>0</v>
      </c>
      <c r="ET112" s="26">
        <f t="shared" si="351"/>
        <v>0</v>
      </c>
      <c r="EV112" s="26">
        <f t="shared" si="352"/>
        <v>0</v>
      </c>
      <c r="EW112" s="26">
        <f t="shared" si="353"/>
        <v>0</v>
      </c>
      <c r="EX112" s="26">
        <f t="shared" si="354"/>
        <v>0</v>
      </c>
      <c r="EY112" s="26">
        <f t="shared" si="355"/>
        <v>0</v>
      </c>
      <c r="EZ112" s="26">
        <f t="shared" si="356"/>
        <v>0</v>
      </c>
      <c r="FA112" s="26">
        <f t="shared" si="357"/>
        <v>0</v>
      </c>
      <c r="FB112" s="26">
        <f t="shared" si="358"/>
        <v>0</v>
      </c>
      <c r="FC112" s="26">
        <f t="shared" si="359"/>
        <v>0</v>
      </c>
      <c r="FD112" s="26">
        <f t="shared" si="360"/>
        <v>0</v>
      </c>
      <c r="FF112" s="26">
        <f t="shared" si="361"/>
        <v>0</v>
      </c>
      <c r="FG112" s="26">
        <f t="shared" si="362"/>
        <v>0</v>
      </c>
      <c r="FH112" s="26">
        <f t="shared" si="363"/>
        <v>0</v>
      </c>
      <c r="FI112" s="26">
        <f t="shared" si="364"/>
        <v>0</v>
      </c>
      <c r="FJ112" s="26">
        <f t="shared" si="365"/>
        <v>0</v>
      </c>
      <c r="FK112" s="26">
        <f t="shared" si="366"/>
        <v>0</v>
      </c>
      <c r="FL112" s="26">
        <f t="shared" si="367"/>
        <v>0</v>
      </c>
      <c r="FM112" s="26">
        <f t="shared" si="368"/>
        <v>0</v>
      </c>
      <c r="FN112" s="26">
        <f t="shared" si="369"/>
        <v>0</v>
      </c>
      <c r="FP112" s="26" t="e">
        <f t="shared" si="370"/>
        <v>#REF!</v>
      </c>
      <c r="FQ112" s="26" t="e">
        <f t="shared" si="371"/>
        <v>#REF!</v>
      </c>
      <c r="FR112" s="26" t="e">
        <f t="shared" si="372"/>
        <v>#REF!</v>
      </c>
      <c r="FS112" s="26" t="e">
        <f t="shared" si="373"/>
        <v>#REF!</v>
      </c>
      <c r="FT112" s="26" t="e">
        <f t="shared" si="374"/>
        <v>#REF!</v>
      </c>
      <c r="FU112" s="26" t="e">
        <f t="shared" si="375"/>
        <v>#REF!</v>
      </c>
      <c r="FV112" s="26" t="e">
        <f t="shared" si="376"/>
        <v>#REF!</v>
      </c>
      <c r="FW112" s="26" t="e">
        <f t="shared" si="377"/>
        <v>#REF!</v>
      </c>
      <c r="FX112" s="26" t="e">
        <f t="shared" si="378"/>
        <v>#REF!</v>
      </c>
      <c r="GB112" s="26" t="e">
        <f>IF(GB$2=InputTable[[#This Row],[Delivery Date]],_xlfn.XLOOKUP(GB$1,$BH$2:$BR$2,$BH112:$BR112,0),0)</f>
        <v>#REF!</v>
      </c>
      <c r="GC112" s="26">
        <f>IF(GC$2=InputTable[[#This Row],[Delivery Date]],_xlfn.XLOOKUP(GC$1,$BH$2:$BR$2,$BH112:$BR112,0),0)</f>
        <v>0</v>
      </c>
      <c r="GD112" s="26">
        <f>IF(GD$2=InputTable[[#This Row],[Delivery Date]],_xlfn.XLOOKUP(GD$1,$BH$2:$BR$2,$BH112:$BR112,0),0)</f>
        <v>0</v>
      </c>
      <c r="GE112" s="26">
        <f>IF(GE$2=InputTable[[#This Row],[Delivery Date]],_xlfn.XLOOKUP(GE$1,$BH$2:$BR$2,$BH112:$BR112,0),0)</f>
        <v>0</v>
      </c>
      <c r="GF112" s="26">
        <f>IF(GF$2=InputTable[[#This Row],[Delivery Date]],_xlfn.XLOOKUP(GF$1,$BH$2:$BR$2,$BH112:$BR112,0),0)</f>
        <v>0</v>
      </c>
      <c r="GG112" s="26">
        <f>IF(GG$2=InputTable[[#This Row],[Delivery Date]],_xlfn.XLOOKUP(GG$1,$BH$2:$BR$2,$BH112:$BR112,0),0)</f>
        <v>0</v>
      </c>
      <c r="GH112" s="26">
        <f>IF(GH$2=InputTable[[#This Row],[Delivery Date]],_xlfn.XLOOKUP(GH$1,$BH$2:$BR$2,$BH112:$BR112,0),0)</f>
        <v>0</v>
      </c>
      <c r="GI112" s="26">
        <f>IF(GI$2=InputTable[[#This Row],[Delivery Date]],_xlfn.XLOOKUP(GI$1,$BH$2:$BR$2,$BH112:$BR112,0),0)</f>
        <v>0</v>
      </c>
      <c r="GJ112" s="26">
        <f>IF(GJ$2=InputTable[[#This Row],[Delivery Date]],_xlfn.XLOOKUP(GJ$1,$BH$2:$BR$2,$BH112:$BR112,0),0)</f>
        <v>0</v>
      </c>
      <c r="GL112" s="26" t="e">
        <f>IF(GL$2=InputTable[[#This Row],[Delivery Date]],_xlfn.XLOOKUP(GL$1,$BH$2:$BR$2,$BH112:$BR112,0),0)</f>
        <v>#REF!</v>
      </c>
      <c r="GM112" s="26">
        <f>IF(GM$2=InputTable[[#This Row],[Delivery Date]],_xlfn.XLOOKUP(GM$1,$BH$2:$BR$2,$BH112:$BR112,0),0)</f>
        <v>0</v>
      </c>
      <c r="GN112" s="26">
        <f>IF(GN$2=InputTable[[#This Row],[Delivery Date]],_xlfn.XLOOKUP(GN$1,$BH$2:$BR$2,$BH112:$BR112,0),0)</f>
        <v>0</v>
      </c>
      <c r="GO112" s="26">
        <f>IF(GO$2=InputTable[[#This Row],[Delivery Date]],_xlfn.XLOOKUP(GO$1,$BH$2:$BR$2,$BH112:$BR112,0),0)</f>
        <v>0</v>
      </c>
      <c r="GP112" s="26">
        <f>IF(GP$2=InputTable[[#This Row],[Delivery Date]],_xlfn.XLOOKUP(GP$1,$BH$2:$BR$2,$BH112:$BR112,0),0)</f>
        <v>0</v>
      </c>
      <c r="GQ112" s="26">
        <f>IF(GQ$2=InputTable[[#This Row],[Delivery Date]],_xlfn.XLOOKUP(GQ$1,$BH$2:$BR$2,$BH112:$BR112,0),0)</f>
        <v>0</v>
      </c>
      <c r="GR112" s="26">
        <f>IF(GR$2=InputTable[[#This Row],[Delivery Date]],_xlfn.XLOOKUP(GR$1,$BH$2:$BR$2,$BH112:$BR112,0),0)</f>
        <v>0</v>
      </c>
      <c r="GS112" s="26">
        <f>IF(GS$2=InputTable[[#This Row],[Delivery Date]],_xlfn.XLOOKUP(GS$1,$BH$2:$BR$2,$BH112:$BR112,0),0)</f>
        <v>0</v>
      </c>
      <c r="GT112" s="26">
        <f>IF(GT$2=InputTable[[#This Row],[Delivery Date]],_xlfn.XLOOKUP(GT$1,$BH$2:$BR$2,$BH112:$BR112,0),0)</f>
        <v>0</v>
      </c>
      <c r="GV112" s="26" t="e">
        <f>IF(GV$2=InputTable[[#This Row],[Delivery Date]],_xlfn.XLOOKUP(GV$1,$BH$2:$BR$2,$BH112:$BR112,0),0)</f>
        <v>#REF!</v>
      </c>
      <c r="GW112" s="26">
        <f>IF(GW$2=InputTable[[#This Row],[Delivery Date]],_xlfn.XLOOKUP(GW$1,$BH$2:$BR$2,$BH112:$BR112,0),0)</f>
        <v>0</v>
      </c>
      <c r="GX112" s="26">
        <f>IF(GX$2=InputTable[[#This Row],[Delivery Date]],_xlfn.XLOOKUP(GX$1,$BH$2:$BR$2,$BH112:$BR112,0),0)</f>
        <v>0</v>
      </c>
      <c r="GY112" s="26">
        <f>IF(GY$2=InputTable[[#This Row],[Delivery Date]],_xlfn.XLOOKUP(GY$1,$BH$2:$BR$2,$BH112:$BR112,0),0)</f>
        <v>0</v>
      </c>
      <c r="GZ112" s="26">
        <f>IF(GZ$2=InputTable[[#This Row],[Delivery Date]],_xlfn.XLOOKUP(GZ$1,$BH$2:$BR$2,$BH112:$BR112,0),0)</f>
        <v>0</v>
      </c>
      <c r="HA112" s="26">
        <f>IF(HA$2=InputTable[[#This Row],[Delivery Date]],_xlfn.XLOOKUP(HA$1,$BH$2:$BR$2,$BH112:$BR112,0),0)</f>
        <v>0</v>
      </c>
      <c r="HB112" s="26">
        <f>IF(HB$2=InputTable[[#This Row],[Delivery Date]],_xlfn.XLOOKUP(HB$1,$BH$2:$BR$2,$BH112:$BR112,0),0)</f>
        <v>0</v>
      </c>
      <c r="HC112" s="26">
        <f>IF(HC$2=InputTable[[#This Row],[Delivery Date]],_xlfn.XLOOKUP(HC$1,$BH$2:$BR$2,$BH112:$BR112,0),0)</f>
        <v>0</v>
      </c>
      <c r="HD112" s="26">
        <f>IF(HD$2=InputTable[[#This Row],[Delivery Date]],_xlfn.XLOOKUP(HD$1,$BH$2:$BR$2,$BH112:$BR112,0),0)</f>
        <v>0</v>
      </c>
      <c r="HF112" s="26" t="e">
        <f>IF(HF$2=InputTable[[#This Row],[Delivery Date]],_xlfn.XLOOKUP(HF$1,$BH$2:$BR$2,$BH112:$BR112,0),0)</f>
        <v>#REF!</v>
      </c>
      <c r="HG112" s="26">
        <f>IF(HG$2=InputTable[[#This Row],[Delivery Date]],_xlfn.XLOOKUP(HG$1,$BH$2:$BR$2,$BH112:$BR112,0),0)</f>
        <v>0</v>
      </c>
      <c r="HH112" s="26">
        <f>IF(HH$2=InputTable[[#This Row],[Delivery Date]],_xlfn.XLOOKUP(HH$1,$BH$2:$BR$2,$BH112:$BR112,0),0)</f>
        <v>0</v>
      </c>
      <c r="HI112" s="26">
        <f>IF(HI$2=InputTable[[#This Row],[Delivery Date]],_xlfn.XLOOKUP(HI$1,$BH$2:$BR$2,$BH112:$BR112,0),0)</f>
        <v>0</v>
      </c>
      <c r="HJ112" s="26">
        <f>IF(HJ$2=InputTable[[#This Row],[Delivery Date]],_xlfn.XLOOKUP(HJ$1,$BH$2:$BR$2,$BH112:$BR112,0),0)</f>
        <v>0</v>
      </c>
      <c r="HK112" s="26">
        <f>IF(HK$2=InputTable[[#This Row],[Delivery Date]],_xlfn.XLOOKUP(HK$1,$BH$2:$BR$2,$BH112:$BR112,0),0)</f>
        <v>0</v>
      </c>
      <c r="HL112" s="26">
        <f>IF(HL$2=InputTable[[#This Row],[Delivery Date]],_xlfn.XLOOKUP(HL$1,$BH$2:$BR$2,$BH112:$BR112,0),0)</f>
        <v>0</v>
      </c>
      <c r="HM112" s="26">
        <f>IF(HM$2=InputTable[[#This Row],[Delivery Date]],_xlfn.XLOOKUP(HM$1,$BH$2:$BR$2,$BH112:$BR112,0),0)</f>
        <v>0</v>
      </c>
      <c r="HN112" s="26">
        <f>IF(HN$2=InputTable[[#This Row],[Delivery Date]],_xlfn.XLOOKUP(HN$1,$BH$2:$BR$2,$BH112:$BR112,0),0)</f>
        <v>0</v>
      </c>
      <c r="HP112" s="26" t="e">
        <f>IF(HP$2=InputTable[[#This Row],[Delivery Date]],_xlfn.XLOOKUP(HP$1,$BH$2:$BR$2,$BH112:$BR112,0),0)</f>
        <v>#REF!</v>
      </c>
      <c r="HQ112" s="26">
        <f>IF(HQ$2=InputTable[[#This Row],[Delivery Date]],_xlfn.XLOOKUP(HQ$1,$BH$2:$BR$2,$BH112:$BR112,0),0)</f>
        <v>0</v>
      </c>
      <c r="HR112" s="26">
        <f>IF(HR$2=InputTable[[#This Row],[Delivery Date]],_xlfn.XLOOKUP(HR$1,$BH$2:$BR$2,$BH112:$BR112,0),0)</f>
        <v>0</v>
      </c>
      <c r="HS112" s="26">
        <f>IF(HS$2=InputTable[[#This Row],[Delivery Date]],_xlfn.XLOOKUP(HS$1,$BH$2:$BR$2,$BH112:$BR112,0),0)</f>
        <v>0</v>
      </c>
      <c r="HT112" s="26">
        <f>IF(HT$2=InputTable[[#This Row],[Delivery Date]],_xlfn.XLOOKUP(HT$1,$BH$2:$BR$2,$BH112:$BR112,0),0)</f>
        <v>0</v>
      </c>
      <c r="HU112" s="26">
        <f>IF(HU$2=InputTable[[#This Row],[Delivery Date]],_xlfn.XLOOKUP(HU$1,$BH$2:$BR$2,$BH112:$BR112,0),0)</f>
        <v>0</v>
      </c>
      <c r="HV112" s="26">
        <f>IF(HV$2=InputTable[[#This Row],[Delivery Date]],_xlfn.XLOOKUP(HV$1,$BH$2:$BR$2,$BH112:$BR112,0),0)</f>
        <v>0</v>
      </c>
      <c r="HW112" s="26">
        <f>IF(HW$2=InputTable[[#This Row],[Delivery Date]],_xlfn.XLOOKUP(HW$1,$BH$2:$BR$2,$BH112:$BR112,0),0)</f>
        <v>0</v>
      </c>
      <c r="HX112" s="26">
        <f>IF(HX$2=InputTable[[#This Row],[Delivery Date]],_xlfn.XLOOKUP(HX$1,$BH$2:$BR$2,$BH112:$BR112,0),0)</f>
        <v>0</v>
      </c>
      <c r="HZ112" s="26" t="e">
        <f>IF(HZ$2=InputTable[[#This Row],[Delivery Date]],_xlfn.XLOOKUP(HZ$1,$BH$2:$BR$2,$BH112:$BR112,0),0)</f>
        <v>#REF!</v>
      </c>
      <c r="IA112" s="26">
        <f>IF(IA$2=InputTable[[#This Row],[Delivery Date]],_xlfn.XLOOKUP(IA$1,$BH$2:$BR$2,$BH112:$BR112,0),0)</f>
        <v>0</v>
      </c>
      <c r="IB112" s="26">
        <f>IF(IB$2=InputTable[[#This Row],[Delivery Date]],_xlfn.XLOOKUP(IB$1,$BH$2:$BR$2,$BH112:$BR112,0),0)</f>
        <v>0</v>
      </c>
      <c r="IC112" s="26">
        <f>IF(IC$2=InputTable[[#This Row],[Delivery Date]],_xlfn.XLOOKUP(IC$1,$BH$2:$BR$2,$BH112:$BR112,0),0)</f>
        <v>0</v>
      </c>
      <c r="ID112" s="26">
        <f>IF(ID$2=InputTable[[#This Row],[Delivery Date]],_xlfn.XLOOKUP(ID$1,$BH$2:$BR$2,$BH112:$BR112,0),0)</f>
        <v>0</v>
      </c>
      <c r="IE112" s="26">
        <f>IF(IE$2=InputTable[[#This Row],[Delivery Date]],_xlfn.XLOOKUP(IE$1,$BH$2:$BR$2,$BH112:$BR112,0),0)</f>
        <v>0</v>
      </c>
      <c r="IF112" s="26">
        <f>IF(IF$2=InputTable[[#This Row],[Delivery Date]],_xlfn.XLOOKUP(IF$1,$BH$2:$BR$2,$BH112:$BR112,0),0)</f>
        <v>0</v>
      </c>
      <c r="IG112" s="26">
        <f>IF(IG$2=InputTable[[#This Row],[Delivery Date]],_xlfn.XLOOKUP(IG$1,$BH$2:$BR$2,$BH112:$BR112,0),0)</f>
        <v>0</v>
      </c>
      <c r="IH112" s="26">
        <f>IF(IH$2=InputTable[[#This Row],[Delivery Date]],_xlfn.XLOOKUP(IH$1,$BH$2:$BR$2,$BH112:$BR112,0),0)</f>
        <v>0</v>
      </c>
      <c r="IJ112" s="26" t="e">
        <f>IF(IJ$2=InputTable[[#This Row],[Delivery Date]],_xlfn.XLOOKUP(IJ$1,$BH$2:$BR$2,$BH112:$BR112,0),0)</f>
        <v>#REF!</v>
      </c>
      <c r="IK112" s="26">
        <f>IF(IK$2=InputTable[[#This Row],[Delivery Date]],_xlfn.XLOOKUP(IK$1,$BH$2:$BR$2,$BH112:$BR112,0),0)</f>
        <v>0</v>
      </c>
      <c r="IL112" s="26">
        <f>IF(IL$2=InputTable[[#This Row],[Delivery Date]],_xlfn.XLOOKUP(IL$1,$BH$2:$BR$2,$BH112:$BR112,0),0)</f>
        <v>0</v>
      </c>
      <c r="IM112" s="26">
        <f>IF(IM$2=InputTable[[#This Row],[Delivery Date]],_xlfn.XLOOKUP(IM$1,$BH$2:$BR$2,$BH112:$BR112,0),0)</f>
        <v>0</v>
      </c>
      <c r="IN112" s="26">
        <f>IF(IN$2=InputTable[[#This Row],[Delivery Date]],_xlfn.XLOOKUP(IN$1,$BH$2:$BR$2,$BH112:$BR112,0),0)</f>
        <v>0</v>
      </c>
      <c r="IO112" s="26">
        <f>IF(IO$2=InputTable[[#This Row],[Delivery Date]],_xlfn.XLOOKUP(IO$1,$BH$2:$BR$2,$BH112:$BR112,0),0)</f>
        <v>0</v>
      </c>
      <c r="IP112" s="26">
        <f>IF(IP$2=InputTable[[#This Row],[Delivery Date]],_xlfn.XLOOKUP(IP$1,$BH$2:$BR$2,$BH112:$BR112,0),0)</f>
        <v>0</v>
      </c>
      <c r="IQ112" s="26">
        <f>IF(IQ$2=InputTable[[#This Row],[Delivery Date]],_xlfn.XLOOKUP(IQ$1,$BH$2:$BR$2,$BH112:$BR112,0),0)</f>
        <v>0</v>
      </c>
      <c r="IR112" s="26">
        <f>IF(IR$2=InputTable[[#This Row],[Delivery Date]],_xlfn.XLOOKUP(IR$1,$BH$2:$BR$2,$BH112:$BR112,0),0)</f>
        <v>0</v>
      </c>
      <c r="IT112" s="26" t="e">
        <f>IF(IT$2=InputTable[[#This Row],[Delivery Date]],_xlfn.XLOOKUP(IT$1,$BH$2:$BR$2,$BH112:$BR112,0),0)</f>
        <v>#REF!</v>
      </c>
      <c r="IU112" s="26">
        <f>IF(IU$2=InputTable[[#This Row],[Delivery Date]],_xlfn.XLOOKUP(IU$1,$BH$2:$BR$2,$BH112:$BR112,0),0)</f>
        <v>0</v>
      </c>
      <c r="IV112" s="26">
        <f>IF(IV$2=InputTable[[#This Row],[Delivery Date]],_xlfn.XLOOKUP(IV$1,$BH$2:$BR$2,$BH112:$BR112,0),0)</f>
        <v>0</v>
      </c>
      <c r="IW112" s="26">
        <f>IF(IW$2=InputTable[[#This Row],[Delivery Date]],_xlfn.XLOOKUP(IW$1,$BH$2:$BR$2,$BH112:$BR112,0),0)</f>
        <v>0</v>
      </c>
      <c r="IX112" s="26">
        <f>IF(IX$2=InputTable[[#This Row],[Delivery Date]],_xlfn.XLOOKUP(IX$1,$BH$2:$BR$2,$BH112:$BR112,0),0)</f>
        <v>0</v>
      </c>
      <c r="IY112" s="26">
        <f>IF(IY$2=InputTable[[#This Row],[Delivery Date]],_xlfn.XLOOKUP(IY$1,$BH$2:$BR$2,$BH112:$BR112,0),0)</f>
        <v>0</v>
      </c>
      <c r="IZ112" s="26">
        <f>IF(IZ$2=InputTable[[#This Row],[Delivery Date]],_xlfn.XLOOKUP(IZ$1,$BH$2:$BR$2,$BH112:$BR112,0),0)</f>
        <v>0</v>
      </c>
      <c r="JA112" s="26">
        <f>IF(JA$2=InputTable[[#This Row],[Delivery Date]],_xlfn.XLOOKUP(JA$1,$BH$2:$BR$2,$BH112:$BR112,0),0)</f>
        <v>0</v>
      </c>
      <c r="JB112" s="26">
        <f>IF(JB$2=InputTable[[#This Row],[Delivery Date]],_xlfn.XLOOKUP(JB$1,$BH$2:$BR$2,$BH112:$BR112,0),0)</f>
        <v>0</v>
      </c>
      <c r="JD112" s="26" t="e">
        <f>IF(JD$2=InputTable[[#This Row],[Delivery Date]],_xlfn.XLOOKUP(JD$1,$BH$2:$BR$2,$BH112:$BR112,0),0)</f>
        <v>#REF!</v>
      </c>
      <c r="JE112" s="26">
        <f>IF(JE$2=InputTable[[#This Row],[Delivery Date]],_xlfn.XLOOKUP(JE$1,$BH$2:$BR$2,$BH112:$BR112,0),0)</f>
        <v>0</v>
      </c>
      <c r="JF112" s="26">
        <f>IF(JF$2=InputTable[[#This Row],[Delivery Date]],_xlfn.XLOOKUP(JF$1,$BH$2:$BR$2,$BH112:$BR112,0),0)</f>
        <v>0</v>
      </c>
      <c r="JG112" s="26">
        <f>IF(JG$2=InputTable[[#This Row],[Delivery Date]],_xlfn.XLOOKUP(JG$1,$BH$2:$BR$2,$BH112:$BR112,0),0)</f>
        <v>0</v>
      </c>
      <c r="JH112" s="26">
        <f>IF(JH$2=InputTable[[#This Row],[Delivery Date]],_xlfn.XLOOKUP(JH$1,$BH$2:$BR$2,$BH112:$BR112,0),0)</f>
        <v>0</v>
      </c>
      <c r="JI112" s="26">
        <f>IF(JI$2=InputTable[[#This Row],[Delivery Date]],_xlfn.XLOOKUP(JI$1,$BH$2:$BR$2,$BH112:$BR112,0),0)</f>
        <v>0</v>
      </c>
      <c r="JJ112" s="26">
        <f>IF(JJ$2=InputTable[[#This Row],[Delivery Date]],_xlfn.XLOOKUP(JJ$1,$BH$2:$BR$2,$BH112:$BR112,0),0)</f>
        <v>0</v>
      </c>
      <c r="JK112" s="26">
        <f>IF(JK$2=InputTable[[#This Row],[Delivery Date]],_xlfn.XLOOKUP(JK$1,$BH$2:$BR$2,$BH112:$BR112,0),0)</f>
        <v>0</v>
      </c>
      <c r="JL112" s="26">
        <f>IF(JL$2=InputTable[[#This Row],[Delivery Date]],_xlfn.XLOOKUP(JL$1,$BH$2:$BR$2,$BH112:$BR112,0),0)</f>
        <v>0</v>
      </c>
      <c r="JN112" s="26" t="e">
        <f>IF(JN$2=InputTable[[#This Row],[Delivery Date]],_xlfn.XLOOKUP(JN$1,$BH$2:$BR$2,$BH112:$BR112,0),0)</f>
        <v>#REF!</v>
      </c>
      <c r="JO112" s="26">
        <f>IF(JO$2=InputTable[[#This Row],[Delivery Date]],_xlfn.XLOOKUP(JO$1,$BH$2:$BR$2,$BH112:$BR112,0),0)</f>
        <v>0</v>
      </c>
      <c r="JP112" s="26">
        <f>IF(JP$2=InputTable[[#This Row],[Delivery Date]],_xlfn.XLOOKUP(JP$1,$BH$2:$BR$2,$BH112:$BR112,0),0)</f>
        <v>0</v>
      </c>
      <c r="JQ112" s="26">
        <f>IF(JQ$2=InputTable[[#This Row],[Delivery Date]],_xlfn.XLOOKUP(JQ$1,$BH$2:$BR$2,$BH112:$BR112,0),0)</f>
        <v>0</v>
      </c>
      <c r="JR112" s="26">
        <f>IF(JR$2=InputTable[[#This Row],[Delivery Date]],_xlfn.XLOOKUP(JR$1,$BH$2:$BR$2,$BH112:$BR112,0),0)</f>
        <v>0</v>
      </c>
      <c r="JS112" s="26">
        <f>IF(JS$2=InputTable[[#This Row],[Delivery Date]],_xlfn.XLOOKUP(JS$1,$BH$2:$BR$2,$BH112:$BR112,0),0)</f>
        <v>0</v>
      </c>
      <c r="JT112" s="26">
        <f>IF(JT$2=InputTable[[#This Row],[Delivery Date]],_xlfn.XLOOKUP(JT$1,$BH$2:$BR$2,$BH112:$BR112,0),0)</f>
        <v>0</v>
      </c>
      <c r="JU112" s="26">
        <f>IF(JU$2=InputTable[[#This Row],[Delivery Date]],_xlfn.XLOOKUP(JU$1,$BH$2:$BR$2,$BH112:$BR112,0),0)</f>
        <v>0</v>
      </c>
      <c r="JV112" s="26">
        <f>IF(JV$2=InputTable[[#This Row],[Delivery Date]],_xlfn.XLOOKUP(JV$1,$BH$2:$BR$2,$BH112:$BR112,0),0)</f>
        <v>0</v>
      </c>
      <c r="JX112" s="26" t="e">
        <f>IF(JX$2=InputTable[[#This Row],[Delivery Date]],_xlfn.XLOOKUP(JX$1,$BH$2:$BR$2,$BH112:$BR112,0),0)</f>
        <v>#REF!</v>
      </c>
      <c r="JY112" s="26">
        <f>IF(JY$2=InputTable[[#This Row],[Delivery Date]],_xlfn.XLOOKUP(JY$1,$BH$2:$BR$2,$BH112:$BR112,0),0)</f>
        <v>0</v>
      </c>
      <c r="JZ112" s="26">
        <f>IF(JZ$2=InputTable[[#This Row],[Delivery Date]],_xlfn.XLOOKUP(JZ$1,$BH$2:$BR$2,$BH112:$BR112,0),0)</f>
        <v>0</v>
      </c>
      <c r="KA112" s="26">
        <f>IF(KA$2=InputTable[[#This Row],[Delivery Date]],_xlfn.XLOOKUP(KA$1,$BH$2:$BR$2,$BH112:$BR112,0),0)</f>
        <v>0</v>
      </c>
      <c r="KB112" s="26">
        <f>IF(KB$2=InputTable[[#This Row],[Delivery Date]],_xlfn.XLOOKUP(KB$1,$BH$2:$BR$2,$BH112:$BR112,0),0)</f>
        <v>0</v>
      </c>
      <c r="KC112" s="26">
        <f>IF(KC$2=InputTable[[#This Row],[Delivery Date]],_xlfn.XLOOKUP(KC$1,$BH$2:$BR$2,$BH112:$BR112,0),0)</f>
        <v>0</v>
      </c>
      <c r="KD112" s="26">
        <f>IF(KD$2=InputTable[[#This Row],[Delivery Date]],_xlfn.XLOOKUP(KD$1,$BH$2:$BR$2,$BH112:$BR112,0),0)</f>
        <v>0</v>
      </c>
      <c r="KE112" s="26">
        <f>IF(KE$2=InputTable[[#This Row],[Delivery Date]],_xlfn.XLOOKUP(KE$1,$BH$2:$BR$2,$BH112:$BR112,0),0)</f>
        <v>0</v>
      </c>
      <c r="KF112" s="26">
        <f>IF(KF$2=InputTable[[#This Row],[Delivery Date]],_xlfn.XLOOKUP(KF$1,$BH$2:$BR$2,$BH112:$BR112,0),0)</f>
        <v>0</v>
      </c>
    </row>
    <row r="113" spans="1:292" ht="39.6" customHeight="1" x14ac:dyDescent="0.25">
      <c r="A113" s="141"/>
      <c r="B113" s="141"/>
      <c r="C113" s="92"/>
      <c r="D113" s="92"/>
      <c r="E113" s="93"/>
      <c r="F113" s="92"/>
      <c r="G113" s="92"/>
      <c r="H113" s="92"/>
      <c r="I113" s="92"/>
      <c r="J113" s="122"/>
      <c r="K113" s="95" t="e">
        <f>VLOOKUP((InputTable[[#This Row],[Starting Date]]&amp; " - " &amp;InputTable[[#This Row],[Delivery Date]]),'System List'!$F$40:$H$83,2,FALSE)</f>
        <v>#N/A</v>
      </c>
      <c r="L113" s="95" t="e">
        <f>VLOOKUP(InputTable[[#This Row],[Duration]],Duration,2,FALSE)</f>
        <v>#N/A</v>
      </c>
      <c r="M113" s="122"/>
      <c r="N113" s="92"/>
      <c r="O113" s="92"/>
      <c r="P113" s="92"/>
      <c r="Q113" s="92"/>
      <c r="R113" s="92"/>
      <c r="S113" s="92"/>
      <c r="T113" s="95"/>
      <c r="U113" s="138"/>
      <c r="V113" s="92"/>
      <c r="W113" s="92"/>
      <c r="X113" s="92"/>
      <c r="Y113" s="92"/>
      <c r="Z113" s="92"/>
      <c r="AA113" s="92"/>
      <c r="AB113" s="92"/>
      <c r="AC113" s="92"/>
      <c r="AD113" s="92">
        <f>COUNTA(InputTable[[#This Row],[CORPHRFIN]:[SALES]])</f>
        <v>0</v>
      </c>
      <c r="AE113" s="88" cm="1">
        <f t="array" ref="AE113">SUM(
_xlfn.XLOOKUP(InputTable[[#This Row],[CORPHRFIN]:[SALES]],'System List'!$F$4:$F$7,'System List'!$H$4:$H$7,0))</f>
        <v>0</v>
      </c>
      <c r="AF113" s="140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88" cm="1">
        <f t="array" ref="AR113">SUM(
_xlfn.XLOOKUP(InputTable[[#This Row],[Impact on - CIAL]:[Impact on - STRAT]],'System List'!$F$4:$F$7,'System List'!$H$4:$H$7,0))</f>
        <v>0</v>
      </c>
      <c r="AS113" s="88" t="e">
        <f>VLOOKUP(InputTable[[#This Row],[Duration]],Duration,2,FALSE)+InputTable[[#This Row],[Resource Score]]</f>
        <v>#N/A</v>
      </c>
      <c r="AT11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3" s="24" t="e">
        <f>InputTable[[#This Row],[Value Score]]/InputTable[[#This Row],[EFFORT SCORE]]*100</f>
        <v>#N/A</v>
      </c>
      <c r="AV113" s="25"/>
      <c r="AW113" s="25"/>
      <c r="AX113" s="208"/>
      <c r="AY113" s="25"/>
      <c r="AZ113" s="209">
        <v>0</v>
      </c>
      <c r="BA113" s="209">
        <v>0</v>
      </c>
      <c r="BB113" s="209"/>
      <c r="BC113" s="189"/>
      <c r="BD113" s="188"/>
      <c r="BE113" s="188"/>
      <c r="BF113" s="70"/>
      <c r="BH113" s="2">
        <f>IFERROR(VLOOKUP(InputTable[[#This Row],[Impact on - CIAL]],'System List'!$F$4:$H$7,3,FALSE),0)</f>
        <v>0</v>
      </c>
      <c r="BI113" s="2">
        <f>IFERROR(VLOOKUP(InputTable[[#This Row],[Impact on - COM]],'System List'!$F$4:$H$7,3,FALSE),0)</f>
        <v>0</v>
      </c>
      <c r="BJ113" s="2">
        <f>IFERROR(VLOOKUP(InputTable[[#This Row],[Impact on - FIN]],'System List'!$F$4:$H$7,3,FALSE),0)</f>
        <v>0</v>
      </c>
      <c r="BK113" s="2">
        <f>IFERROR(VLOOKUP(InputTable[[#This Row],[Impact on - GEN SEC]],'System List'!$F$4:$H$7,3,FALSE),0)</f>
        <v>0</v>
      </c>
      <c r="BL113" s="2">
        <f>IFERROR(VLOOKUP(InputTable[[#This Row],[Impact on - HR]],'System List'!$F$4:$H$7,3,FALSE),0)</f>
        <v>0</v>
      </c>
      <c r="BM113" s="2">
        <f>IFERROR(VLOOKUP(InputTable[[#This Row],[Impact on - IS]],'System List'!$F$4:$H$7,3,FALSE),0)</f>
        <v>0</v>
      </c>
      <c r="BN113" s="2">
        <f>IFERROR(VLOOKUP(InputTable[[#This Row],[Impact on - OPS]],'System List'!$F$4:$H$7,3,FALSE),0)</f>
        <v>0</v>
      </c>
      <c r="BO113" s="2">
        <f>IFERROR(VLOOKUP(InputTable[[#This Row],[Impact on - ROLL STOCK]],'System List'!$F$4:$H$7,3,FALSE),0)</f>
        <v>0</v>
      </c>
      <c r="BP113" s="2">
        <f>IFERROR(VLOOKUP(InputTable[[#This Row],[Impact on - SAFETY]],'System List'!$F$4:$H$7,3,FALSE),0)</f>
        <v>0</v>
      </c>
      <c r="BQ113" s="2">
        <f>IFERROR(VLOOKUP(InputTable[[#This Row],[Impact on - STATION]],'System List'!$F$4:$H$7,3,FALSE),0)</f>
        <v>0</v>
      </c>
      <c r="BR113" s="2">
        <f>IFERROR(VLOOKUP(InputTable[[#This Row],[Impact on - STRAT]],'System List'!$F$4:$H$7,3,FALSE),0)</f>
        <v>0</v>
      </c>
      <c r="BT113" s="2">
        <f>IFERROR(VLOOKUP(InputTable[[#This Row],[CORPHRFIN]],'System List'!$F$4:$H$7,3,FALSE),0)</f>
        <v>0</v>
      </c>
      <c r="BU113" s="2">
        <f>IFERROR(VLOOKUP(InputTable[[#This Row],[CUST]],'System List'!$F$4:$H$7,3,FALSE),0)</f>
        <v>0</v>
      </c>
      <c r="BV113" s="2">
        <f>IFERROR(VLOOKUP(InputTable[[#This Row],[CYBER]],'System List'!$F$4:$H$7,3,FALSE),0)</f>
        <v>0</v>
      </c>
      <c r="BW113" s="2">
        <f>IFERROR(VLOOKUP(InputTable[[#This Row],[DATA]],'System List'!$F$4:$H$7,3,FALSE),0)</f>
        <v>0</v>
      </c>
      <c r="BX113" s="2">
        <f>IFERROR(VLOOKUP(InputTable[[#This Row],[INFRA]],'System List'!$F$4:$H$7,3,FALSE),0)</f>
        <v>0</v>
      </c>
      <c r="BY113" s="2">
        <f>IFERROR(VLOOKUP(InputTable[[#This Row],[OPERATIONS]],'System List'!$F$4:$H$7,3,FALSE),0)</f>
        <v>0</v>
      </c>
      <c r="BZ113" s="2">
        <f>IFERROR(VLOOKUP(InputTable[[#This Row],[PMO]],'System List'!$F$4:$H$7,3,FALSE),0)</f>
        <v>0</v>
      </c>
      <c r="CA113" s="2">
        <f>IFERROR(VLOOKUP(InputTable[[#This Row],[SALES]],'System List'!$F$4:$H$7,3,FALSE),0)</f>
        <v>0</v>
      </c>
      <c r="CC113" s="2" cm="1">
        <f t="array" ref="CC11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3" s="2" cm="1">
        <f t="array" ref="CD11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3" s="2" cm="1">
        <f t="array" ref="CE11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3" s="2" cm="1">
        <f t="array" ref="CF11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3" s="2" cm="1">
        <f t="array" ref="CG11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3" s="2" cm="1">
        <f t="array" ref="CH11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3" s="2" cm="1">
        <f t="array" ref="CI11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3" s="2" cm="1">
        <f t="array" ref="CJ11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3" s="2" cm="1">
        <f t="array" ref="CK11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3" s="26">
        <f t="shared" si="307"/>
        <v>0</v>
      </c>
      <c r="CY113" s="26">
        <f t="shared" si="308"/>
        <v>0</v>
      </c>
      <c r="CZ113" s="26">
        <f t="shared" si="309"/>
        <v>0</v>
      </c>
      <c r="DA113" s="26">
        <f t="shared" si="310"/>
        <v>0</v>
      </c>
      <c r="DB113" s="26">
        <f t="shared" si="311"/>
        <v>0</v>
      </c>
      <c r="DC113" s="26">
        <f t="shared" si="312"/>
        <v>0</v>
      </c>
      <c r="DD113" s="26">
        <f t="shared" si="313"/>
        <v>0</v>
      </c>
      <c r="DE113" s="26">
        <f t="shared" si="314"/>
        <v>0</v>
      </c>
      <c r="DF113" s="26">
        <f t="shared" si="315"/>
        <v>0</v>
      </c>
      <c r="DH113" s="26">
        <f t="shared" si="316"/>
        <v>0</v>
      </c>
      <c r="DI113" s="26">
        <f t="shared" si="317"/>
        <v>0</v>
      </c>
      <c r="DJ113" s="26">
        <f t="shared" si="318"/>
        <v>0</v>
      </c>
      <c r="DK113" s="26">
        <f t="shared" si="319"/>
        <v>0</v>
      </c>
      <c r="DL113" s="26">
        <f t="shared" si="320"/>
        <v>0</v>
      </c>
      <c r="DM113" s="26">
        <f t="shared" si="321"/>
        <v>0</v>
      </c>
      <c r="DN113" s="26">
        <f t="shared" si="322"/>
        <v>0</v>
      </c>
      <c r="DO113" s="26">
        <f t="shared" si="323"/>
        <v>0</v>
      </c>
      <c r="DP113" s="26">
        <f t="shared" si="324"/>
        <v>0</v>
      </c>
      <c r="DR113" s="26">
        <f t="shared" si="325"/>
        <v>0</v>
      </c>
      <c r="DS113" s="26">
        <f t="shared" si="326"/>
        <v>0</v>
      </c>
      <c r="DT113" s="26">
        <f t="shared" si="327"/>
        <v>0</v>
      </c>
      <c r="DU113" s="26">
        <f t="shared" si="328"/>
        <v>0</v>
      </c>
      <c r="DV113" s="26">
        <f t="shared" si="329"/>
        <v>0</v>
      </c>
      <c r="DW113" s="26">
        <f t="shared" si="330"/>
        <v>0</v>
      </c>
      <c r="DX113" s="26">
        <f t="shared" si="331"/>
        <v>0</v>
      </c>
      <c r="DY113" s="26">
        <f t="shared" si="332"/>
        <v>0</v>
      </c>
      <c r="DZ113" s="26">
        <f t="shared" si="333"/>
        <v>0</v>
      </c>
      <c r="EB113" s="26">
        <f t="shared" si="334"/>
        <v>0</v>
      </c>
      <c r="EC113" s="26">
        <f t="shared" si="335"/>
        <v>0</v>
      </c>
      <c r="ED113" s="26">
        <f t="shared" si="336"/>
        <v>0</v>
      </c>
      <c r="EE113" s="26">
        <f t="shared" si="337"/>
        <v>0</v>
      </c>
      <c r="EF113" s="26">
        <f t="shared" si="338"/>
        <v>0</v>
      </c>
      <c r="EG113" s="26">
        <f t="shared" si="339"/>
        <v>0</v>
      </c>
      <c r="EH113" s="26">
        <f t="shared" si="340"/>
        <v>0</v>
      </c>
      <c r="EI113" s="26">
        <f t="shared" si="341"/>
        <v>0</v>
      </c>
      <c r="EJ113" s="26">
        <f t="shared" si="342"/>
        <v>0</v>
      </c>
      <c r="EL113" s="26">
        <f t="shared" si="343"/>
        <v>0</v>
      </c>
      <c r="EM113" s="26">
        <f t="shared" si="344"/>
        <v>0</v>
      </c>
      <c r="EN113" s="26">
        <f t="shared" si="345"/>
        <v>0</v>
      </c>
      <c r="EO113" s="26">
        <f t="shared" si="346"/>
        <v>0</v>
      </c>
      <c r="EP113" s="26">
        <f t="shared" si="347"/>
        <v>0</v>
      </c>
      <c r="EQ113" s="26">
        <f t="shared" si="348"/>
        <v>0</v>
      </c>
      <c r="ER113" s="26">
        <f t="shared" si="349"/>
        <v>0</v>
      </c>
      <c r="ES113" s="26">
        <f t="shared" si="350"/>
        <v>0</v>
      </c>
      <c r="ET113" s="26">
        <f t="shared" si="351"/>
        <v>0</v>
      </c>
      <c r="EV113" s="26">
        <f t="shared" si="352"/>
        <v>0</v>
      </c>
      <c r="EW113" s="26">
        <f t="shared" si="353"/>
        <v>0</v>
      </c>
      <c r="EX113" s="26">
        <f t="shared" si="354"/>
        <v>0</v>
      </c>
      <c r="EY113" s="26">
        <f t="shared" si="355"/>
        <v>0</v>
      </c>
      <c r="EZ113" s="26">
        <f t="shared" si="356"/>
        <v>0</v>
      </c>
      <c r="FA113" s="26">
        <f t="shared" si="357"/>
        <v>0</v>
      </c>
      <c r="FB113" s="26">
        <f t="shared" si="358"/>
        <v>0</v>
      </c>
      <c r="FC113" s="26">
        <f t="shared" si="359"/>
        <v>0</v>
      </c>
      <c r="FD113" s="26">
        <f t="shared" si="360"/>
        <v>0</v>
      </c>
      <c r="FF113" s="26">
        <f t="shared" si="361"/>
        <v>0</v>
      </c>
      <c r="FG113" s="26">
        <f t="shared" si="362"/>
        <v>0</v>
      </c>
      <c r="FH113" s="26">
        <f t="shared" si="363"/>
        <v>0</v>
      </c>
      <c r="FI113" s="26">
        <f t="shared" si="364"/>
        <v>0</v>
      </c>
      <c r="FJ113" s="26">
        <f t="shared" si="365"/>
        <v>0</v>
      </c>
      <c r="FK113" s="26">
        <f t="shared" si="366"/>
        <v>0</v>
      </c>
      <c r="FL113" s="26">
        <f t="shared" si="367"/>
        <v>0</v>
      </c>
      <c r="FM113" s="26">
        <f t="shared" si="368"/>
        <v>0</v>
      </c>
      <c r="FN113" s="26">
        <f t="shared" si="369"/>
        <v>0</v>
      </c>
      <c r="FP113" s="26" t="e">
        <f t="shared" si="370"/>
        <v>#REF!</v>
      </c>
      <c r="FQ113" s="26" t="e">
        <f t="shared" si="371"/>
        <v>#REF!</v>
      </c>
      <c r="FR113" s="26" t="e">
        <f t="shared" si="372"/>
        <v>#REF!</v>
      </c>
      <c r="FS113" s="26" t="e">
        <f t="shared" si="373"/>
        <v>#REF!</v>
      </c>
      <c r="FT113" s="26" t="e">
        <f t="shared" si="374"/>
        <v>#REF!</v>
      </c>
      <c r="FU113" s="26" t="e">
        <f t="shared" si="375"/>
        <v>#REF!</v>
      </c>
      <c r="FV113" s="26" t="e">
        <f t="shared" si="376"/>
        <v>#REF!</v>
      </c>
      <c r="FW113" s="26" t="e">
        <f t="shared" si="377"/>
        <v>#REF!</v>
      </c>
      <c r="FX113" s="26" t="e">
        <f t="shared" si="378"/>
        <v>#REF!</v>
      </c>
      <c r="GB113" s="26" t="e">
        <f>IF(GB$2=InputTable[[#This Row],[Delivery Date]],_xlfn.XLOOKUP(GB$1,$BH$2:$BR$2,$BH113:$BR113,0),0)</f>
        <v>#REF!</v>
      </c>
      <c r="GC113" s="26">
        <f>IF(GC$2=InputTable[[#This Row],[Delivery Date]],_xlfn.XLOOKUP(GC$1,$BH$2:$BR$2,$BH113:$BR113,0),0)</f>
        <v>0</v>
      </c>
      <c r="GD113" s="26">
        <f>IF(GD$2=InputTable[[#This Row],[Delivery Date]],_xlfn.XLOOKUP(GD$1,$BH$2:$BR$2,$BH113:$BR113,0),0)</f>
        <v>0</v>
      </c>
      <c r="GE113" s="26">
        <f>IF(GE$2=InputTable[[#This Row],[Delivery Date]],_xlfn.XLOOKUP(GE$1,$BH$2:$BR$2,$BH113:$BR113,0),0)</f>
        <v>0</v>
      </c>
      <c r="GF113" s="26">
        <f>IF(GF$2=InputTable[[#This Row],[Delivery Date]],_xlfn.XLOOKUP(GF$1,$BH$2:$BR$2,$BH113:$BR113,0),0)</f>
        <v>0</v>
      </c>
      <c r="GG113" s="26">
        <f>IF(GG$2=InputTable[[#This Row],[Delivery Date]],_xlfn.XLOOKUP(GG$1,$BH$2:$BR$2,$BH113:$BR113,0),0)</f>
        <v>0</v>
      </c>
      <c r="GH113" s="26">
        <f>IF(GH$2=InputTable[[#This Row],[Delivery Date]],_xlfn.XLOOKUP(GH$1,$BH$2:$BR$2,$BH113:$BR113,0),0)</f>
        <v>0</v>
      </c>
      <c r="GI113" s="26">
        <f>IF(GI$2=InputTable[[#This Row],[Delivery Date]],_xlfn.XLOOKUP(GI$1,$BH$2:$BR$2,$BH113:$BR113,0),0)</f>
        <v>0</v>
      </c>
      <c r="GJ113" s="26">
        <f>IF(GJ$2=InputTable[[#This Row],[Delivery Date]],_xlfn.XLOOKUP(GJ$1,$BH$2:$BR$2,$BH113:$BR113,0),0)</f>
        <v>0</v>
      </c>
      <c r="GL113" s="26" t="e">
        <f>IF(GL$2=InputTable[[#This Row],[Delivery Date]],_xlfn.XLOOKUP(GL$1,$BH$2:$BR$2,$BH113:$BR113,0),0)</f>
        <v>#REF!</v>
      </c>
      <c r="GM113" s="26">
        <f>IF(GM$2=InputTable[[#This Row],[Delivery Date]],_xlfn.XLOOKUP(GM$1,$BH$2:$BR$2,$BH113:$BR113,0),0)</f>
        <v>0</v>
      </c>
      <c r="GN113" s="26">
        <f>IF(GN$2=InputTable[[#This Row],[Delivery Date]],_xlfn.XLOOKUP(GN$1,$BH$2:$BR$2,$BH113:$BR113,0),0)</f>
        <v>0</v>
      </c>
      <c r="GO113" s="26">
        <f>IF(GO$2=InputTable[[#This Row],[Delivery Date]],_xlfn.XLOOKUP(GO$1,$BH$2:$BR$2,$BH113:$BR113,0),0)</f>
        <v>0</v>
      </c>
      <c r="GP113" s="26">
        <f>IF(GP$2=InputTable[[#This Row],[Delivery Date]],_xlfn.XLOOKUP(GP$1,$BH$2:$BR$2,$BH113:$BR113,0),0)</f>
        <v>0</v>
      </c>
      <c r="GQ113" s="26">
        <f>IF(GQ$2=InputTable[[#This Row],[Delivery Date]],_xlfn.XLOOKUP(GQ$1,$BH$2:$BR$2,$BH113:$BR113,0),0)</f>
        <v>0</v>
      </c>
      <c r="GR113" s="26">
        <f>IF(GR$2=InputTable[[#This Row],[Delivery Date]],_xlfn.XLOOKUP(GR$1,$BH$2:$BR$2,$BH113:$BR113,0),0)</f>
        <v>0</v>
      </c>
      <c r="GS113" s="26">
        <f>IF(GS$2=InputTable[[#This Row],[Delivery Date]],_xlfn.XLOOKUP(GS$1,$BH$2:$BR$2,$BH113:$BR113,0),0)</f>
        <v>0</v>
      </c>
      <c r="GT113" s="26">
        <f>IF(GT$2=InputTable[[#This Row],[Delivery Date]],_xlfn.XLOOKUP(GT$1,$BH$2:$BR$2,$BH113:$BR113,0),0)</f>
        <v>0</v>
      </c>
      <c r="GV113" s="26" t="e">
        <f>IF(GV$2=InputTable[[#This Row],[Delivery Date]],_xlfn.XLOOKUP(GV$1,$BH$2:$BR$2,$BH113:$BR113,0),0)</f>
        <v>#REF!</v>
      </c>
      <c r="GW113" s="26">
        <f>IF(GW$2=InputTable[[#This Row],[Delivery Date]],_xlfn.XLOOKUP(GW$1,$BH$2:$BR$2,$BH113:$BR113,0),0)</f>
        <v>0</v>
      </c>
      <c r="GX113" s="26">
        <f>IF(GX$2=InputTable[[#This Row],[Delivery Date]],_xlfn.XLOOKUP(GX$1,$BH$2:$BR$2,$BH113:$BR113,0),0)</f>
        <v>0</v>
      </c>
      <c r="GY113" s="26">
        <f>IF(GY$2=InputTable[[#This Row],[Delivery Date]],_xlfn.XLOOKUP(GY$1,$BH$2:$BR$2,$BH113:$BR113,0),0)</f>
        <v>0</v>
      </c>
      <c r="GZ113" s="26">
        <f>IF(GZ$2=InputTable[[#This Row],[Delivery Date]],_xlfn.XLOOKUP(GZ$1,$BH$2:$BR$2,$BH113:$BR113,0),0)</f>
        <v>0</v>
      </c>
      <c r="HA113" s="26">
        <f>IF(HA$2=InputTable[[#This Row],[Delivery Date]],_xlfn.XLOOKUP(HA$1,$BH$2:$BR$2,$BH113:$BR113,0),0)</f>
        <v>0</v>
      </c>
      <c r="HB113" s="26">
        <f>IF(HB$2=InputTable[[#This Row],[Delivery Date]],_xlfn.XLOOKUP(HB$1,$BH$2:$BR$2,$BH113:$BR113,0),0)</f>
        <v>0</v>
      </c>
      <c r="HC113" s="26">
        <f>IF(HC$2=InputTable[[#This Row],[Delivery Date]],_xlfn.XLOOKUP(HC$1,$BH$2:$BR$2,$BH113:$BR113,0),0)</f>
        <v>0</v>
      </c>
      <c r="HD113" s="26">
        <f>IF(HD$2=InputTable[[#This Row],[Delivery Date]],_xlfn.XLOOKUP(HD$1,$BH$2:$BR$2,$BH113:$BR113,0),0)</f>
        <v>0</v>
      </c>
      <c r="HF113" s="26" t="e">
        <f>IF(HF$2=InputTable[[#This Row],[Delivery Date]],_xlfn.XLOOKUP(HF$1,$BH$2:$BR$2,$BH113:$BR113,0),0)</f>
        <v>#REF!</v>
      </c>
      <c r="HG113" s="26">
        <f>IF(HG$2=InputTable[[#This Row],[Delivery Date]],_xlfn.XLOOKUP(HG$1,$BH$2:$BR$2,$BH113:$BR113,0),0)</f>
        <v>0</v>
      </c>
      <c r="HH113" s="26">
        <f>IF(HH$2=InputTable[[#This Row],[Delivery Date]],_xlfn.XLOOKUP(HH$1,$BH$2:$BR$2,$BH113:$BR113,0),0)</f>
        <v>0</v>
      </c>
      <c r="HI113" s="26">
        <f>IF(HI$2=InputTable[[#This Row],[Delivery Date]],_xlfn.XLOOKUP(HI$1,$BH$2:$BR$2,$BH113:$BR113,0),0)</f>
        <v>0</v>
      </c>
      <c r="HJ113" s="26">
        <f>IF(HJ$2=InputTable[[#This Row],[Delivery Date]],_xlfn.XLOOKUP(HJ$1,$BH$2:$BR$2,$BH113:$BR113,0),0)</f>
        <v>0</v>
      </c>
      <c r="HK113" s="26">
        <f>IF(HK$2=InputTable[[#This Row],[Delivery Date]],_xlfn.XLOOKUP(HK$1,$BH$2:$BR$2,$BH113:$BR113,0),0)</f>
        <v>0</v>
      </c>
      <c r="HL113" s="26">
        <f>IF(HL$2=InputTable[[#This Row],[Delivery Date]],_xlfn.XLOOKUP(HL$1,$BH$2:$BR$2,$BH113:$BR113,0),0)</f>
        <v>0</v>
      </c>
      <c r="HM113" s="26">
        <f>IF(HM$2=InputTable[[#This Row],[Delivery Date]],_xlfn.XLOOKUP(HM$1,$BH$2:$BR$2,$BH113:$BR113,0),0)</f>
        <v>0</v>
      </c>
      <c r="HN113" s="26">
        <f>IF(HN$2=InputTable[[#This Row],[Delivery Date]],_xlfn.XLOOKUP(HN$1,$BH$2:$BR$2,$BH113:$BR113,0),0)</f>
        <v>0</v>
      </c>
      <c r="HP113" s="26" t="e">
        <f>IF(HP$2=InputTable[[#This Row],[Delivery Date]],_xlfn.XLOOKUP(HP$1,$BH$2:$BR$2,$BH113:$BR113,0),0)</f>
        <v>#REF!</v>
      </c>
      <c r="HQ113" s="26">
        <f>IF(HQ$2=InputTable[[#This Row],[Delivery Date]],_xlfn.XLOOKUP(HQ$1,$BH$2:$BR$2,$BH113:$BR113,0),0)</f>
        <v>0</v>
      </c>
      <c r="HR113" s="26">
        <f>IF(HR$2=InputTable[[#This Row],[Delivery Date]],_xlfn.XLOOKUP(HR$1,$BH$2:$BR$2,$BH113:$BR113,0),0)</f>
        <v>0</v>
      </c>
      <c r="HS113" s="26">
        <f>IF(HS$2=InputTable[[#This Row],[Delivery Date]],_xlfn.XLOOKUP(HS$1,$BH$2:$BR$2,$BH113:$BR113,0),0)</f>
        <v>0</v>
      </c>
      <c r="HT113" s="26">
        <f>IF(HT$2=InputTable[[#This Row],[Delivery Date]],_xlfn.XLOOKUP(HT$1,$BH$2:$BR$2,$BH113:$BR113,0),0)</f>
        <v>0</v>
      </c>
      <c r="HU113" s="26">
        <f>IF(HU$2=InputTable[[#This Row],[Delivery Date]],_xlfn.XLOOKUP(HU$1,$BH$2:$BR$2,$BH113:$BR113,0),0)</f>
        <v>0</v>
      </c>
      <c r="HV113" s="26">
        <f>IF(HV$2=InputTable[[#This Row],[Delivery Date]],_xlfn.XLOOKUP(HV$1,$BH$2:$BR$2,$BH113:$BR113,0),0)</f>
        <v>0</v>
      </c>
      <c r="HW113" s="26">
        <f>IF(HW$2=InputTable[[#This Row],[Delivery Date]],_xlfn.XLOOKUP(HW$1,$BH$2:$BR$2,$BH113:$BR113,0),0)</f>
        <v>0</v>
      </c>
      <c r="HX113" s="26">
        <f>IF(HX$2=InputTable[[#This Row],[Delivery Date]],_xlfn.XLOOKUP(HX$1,$BH$2:$BR$2,$BH113:$BR113,0),0)</f>
        <v>0</v>
      </c>
      <c r="HZ113" s="26" t="e">
        <f>IF(HZ$2=InputTable[[#This Row],[Delivery Date]],_xlfn.XLOOKUP(HZ$1,$BH$2:$BR$2,$BH113:$BR113,0),0)</f>
        <v>#REF!</v>
      </c>
      <c r="IA113" s="26">
        <f>IF(IA$2=InputTable[[#This Row],[Delivery Date]],_xlfn.XLOOKUP(IA$1,$BH$2:$BR$2,$BH113:$BR113,0),0)</f>
        <v>0</v>
      </c>
      <c r="IB113" s="26">
        <f>IF(IB$2=InputTable[[#This Row],[Delivery Date]],_xlfn.XLOOKUP(IB$1,$BH$2:$BR$2,$BH113:$BR113,0),0)</f>
        <v>0</v>
      </c>
      <c r="IC113" s="26">
        <f>IF(IC$2=InputTable[[#This Row],[Delivery Date]],_xlfn.XLOOKUP(IC$1,$BH$2:$BR$2,$BH113:$BR113,0),0)</f>
        <v>0</v>
      </c>
      <c r="ID113" s="26">
        <f>IF(ID$2=InputTable[[#This Row],[Delivery Date]],_xlfn.XLOOKUP(ID$1,$BH$2:$BR$2,$BH113:$BR113,0),0)</f>
        <v>0</v>
      </c>
      <c r="IE113" s="26">
        <f>IF(IE$2=InputTable[[#This Row],[Delivery Date]],_xlfn.XLOOKUP(IE$1,$BH$2:$BR$2,$BH113:$BR113,0),0)</f>
        <v>0</v>
      </c>
      <c r="IF113" s="26">
        <f>IF(IF$2=InputTable[[#This Row],[Delivery Date]],_xlfn.XLOOKUP(IF$1,$BH$2:$BR$2,$BH113:$BR113,0),0)</f>
        <v>0</v>
      </c>
      <c r="IG113" s="26">
        <f>IF(IG$2=InputTable[[#This Row],[Delivery Date]],_xlfn.XLOOKUP(IG$1,$BH$2:$BR$2,$BH113:$BR113,0),0)</f>
        <v>0</v>
      </c>
      <c r="IH113" s="26">
        <f>IF(IH$2=InputTable[[#This Row],[Delivery Date]],_xlfn.XLOOKUP(IH$1,$BH$2:$BR$2,$BH113:$BR113,0),0)</f>
        <v>0</v>
      </c>
      <c r="IJ113" s="26" t="e">
        <f>IF(IJ$2=InputTable[[#This Row],[Delivery Date]],_xlfn.XLOOKUP(IJ$1,$BH$2:$BR$2,$BH113:$BR113,0),0)</f>
        <v>#REF!</v>
      </c>
      <c r="IK113" s="26">
        <f>IF(IK$2=InputTable[[#This Row],[Delivery Date]],_xlfn.XLOOKUP(IK$1,$BH$2:$BR$2,$BH113:$BR113,0),0)</f>
        <v>0</v>
      </c>
      <c r="IL113" s="26">
        <f>IF(IL$2=InputTable[[#This Row],[Delivery Date]],_xlfn.XLOOKUP(IL$1,$BH$2:$BR$2,$BH113:$BR113,0),0)</f>
        <v>0</v>
      </c>
      <c r="IM113" s="26">
        <f>IF(IM$2=InputTable[[#This Row],[Delivery Date]],_xlfn.XLOOKUP(IM$1,$BH$2:$BR$2,$BH113:$BR113,0),0)</f>
        <v>0</v>
      </c>
      <c r="IN113" s="26">
        <f>IF(IN$2=InputTable[[#This Row],[Delivery Date]],_xlfn.XLOOKUP(IN$1,$BH$2:$BR$2,$BH113:$BR113,0),0)</f>
        <v>0</v>
      </c>
      <c r="IO113" s="26">
        <f>IF(IO$2=InputTable[[#This Row],[Delivery Date]],_xlfn.XLOOKUP(IO$1,$BH$2:$BR$2,$BH113:$BR113,0),0)</f>
        <v>0</v>
      </c>
      <c r="IP113" s="26">
        <f>IF(IP$2=InputTable[[#This Row],[Delivery Date]],_xlfn.XLOOKUP(IP$1,$BH$2:$BR$2,$BH113:$BR113,0),0)</f>
        <v>0</v>
      </c>
      <c r="IQ113" s="26">
        <f>IF(IQ$2=InputTable[[#This Row],[Delivery Date]],_xlfn.XLOOKUP(IQ$1,$BH$2:$BR$2,$BH113:$BR113,0),0)</f>
        <v>0</v>
      </c>
      <c r="IR113" s="26">
        <f>IF(IR$2=InputTable[[#This Row],[Delivery Date]],_xlfn.XLOOKUP(IR$1,$BH$2:$BR$2,$BH113:$BR113,0),0)</f>
        <v>0</v>
      </c>
      <c r="IT113" s="26" t="e">
        <f>IF(IT$2=InputTable[[#This Row],[Delivery Date]],_xlfn.XLOOKUP(IT$1,$BH$2:$BR$2,$BH113:$BR113,0),0)</f>
        <v>#REF!</v>
      </c>
      <c r="IU113" s="26">
        <f>IF(IU$2=InputTable[[#This Row],[Delivery Date]],_xlfn.XLOOKUP(IU$1,$BH$2:$BR$2,$BH113:$BR113,0),0)</f>
        <v>0</v>
      </c>
      <c r="IV113" s="26">
        <f>IF(IV$2=InputTable[[#This Row],[Delivery Date]],_xlfn.XLOOKUP(IV$1,$BH$2:$BR$2,$BH113:$BR113,0),0)</f>
        <v>0</v>
      </c>
      <c r="IW113" s="26">
        <f>IF(IW$2=InputTable[[#This Row],[Delivery Date]],_xlfn.XLOOKUP(IW$1,$BH$2:$BR$2,$BH113:$BR113,0),0)</f>
        <v>0</v>
      </c>
      <c r="IX113" s="26">
        <f>IF(IX$2=InputTable[[#This Row],[Delivery Date]],_xlfn.XLOOKUP(IX$1,$BH$2:$BR$2,$BH113:$BR113,0),0)</f>
        <v>0</v>
      </c>
      <c r="IY113" s="26">
        <f>IF(IY$2=InputTable[[#This Row],[Delivery Date]],_xlfn.XLOOKUP(IY$1,$BH$2:$BR$2,$BH113:$BR113,0),0)</f>
        <v>0</v>
      </c>
      <c r="IZ113" s="26">
        <f>IF(IZ$2=InputTable[[#This Row],[Delivery Date]],_xlfn.XLOOKUP(IZ$1,$BH$2:$BR$2,$BH113:$BR113,0),0)</f>
        <v>0</v>
      </c>
      <c r="JA113" s="26">
        <f>IF(JA$2=InputTable[[#This Row],[Delivery Date]],_xlfn.XLOOKUP(JA$1,$BH$2:$BR$2,$BH113:$BR113,0),0)</f>
        <v>0</v>
      </c>
      <c r="JB113" s="26">
        <f>IF(JB$2=InputTable[[#This Row],[Delivery Date]],_xlfn.XLOOKUP(JB$1,$BH$2:$BR$2,$BH113:$BR113,0),0)</f>
        <v>0</v>
      </c>
      <c r="JD113" s="26" t="e">
        <f>IF(JD$2=InputTable[[#This Row],[Delivery Date]],_xlfn.XLOOKUP(JD$1,$BH$2:$BR$2,$BH113:$BR113,0),0)</f>
        <v>#REF!</v>
      </c>
      <c r="JE113" s="26">
        <f>IF(JE$2=InputTable[[#This Row],[Delivery Date]],_xlfn.XLOOKUP(JE$1,$BH$2:$BR$2,$BH113:$BR113,0),0)</f>
        <v>0</v>
      </c>
      <c r="JF113" s="26">
        <f>IF(JF$2=InputTable[[#This Row],[Delivery Date]],_xlfn.XLOOKUP(JF$1,$BH$2:$BR$2,$BH113:$BR113,0),0)</f>
        <v>0</v>
      </c>
      <c r="JG113" s="26">
        <f>IF(JG$2=InputTable[[#This Row],[Delivery Date]],_xlfn.XLOOKUP(JG$1,$BH$2:$BR$2,$BH113:$BR113,0),0)</f>
        <v>0</v>
      </c>
      <c r="JH113" s="26">
        <f>IF(JH$2=InputTable[[#This Row],[Delivery Date]],_xlfn.XLOOKUP(JH$1,$BH$2:$BR$2,$BH113:$BR113,0),0)</f>
        <v>0</v>
      </c>
      <c r="JI113" s="26">
        <f>IF(JI$2=InputTable[[#This Row],[Delivery Date]],_xlfn.XLOOKUP(JI$1,$BH$2:$BR$2,$BH113:$BR113,0),0)</f>
        <v>0</v>
      </c>
      <c r="JJ113" s="26">
        <f>IF(JJ$2=InputTable[[#This Row],[Delivery Date]],_xlfn.XLOOKUP(JJ$1,$BH$2:$BR$2,$BH113:$BR113,0),0)</f>
        <v>0</v>
      </c>
      <c r="JK113" s="26">
        <f>IF(JK$2=InputTable[[#This Row],[Delivery Date]],_xlfn.XLOOKUP(JK$1,$BH$2:$BR$2,$BH113:$BR113,0),0)</f>
        <v>0</v>
      </c>
      <c r="JL113" s="26">
        <f>IF(JL$2=InputTable[[#This Row],[Delivery Date]],_xlfn.XLOOKUP(JL$1,$BH$2:$BR$2,$BH113:$BR113,0),0)</f>
        <v>0</v>
      </c>
      <c r="JN113" s="26" t="e">
        <f>IF(JN$2=InputTable[[#This Row],[Delivery Date]],_xlfn.XLOOKUP(JN$1,$BH$2:$BR$2,$BH113:$BR113,0),0)</f>
        <v>#REF!</v>
      </c>
      <c r="JO113" s="26">
        <f>IF(JO$2=InputTable[[#This Row],[Delivery Date]],_xlfn.XLOOKUP(JO$1,$BH$2:$BR$2,$BH113:$BR113,0),0)</f>
        <v>0</v>
      </c>
      <c r="JP113" s="26">
        <f>IF(JP$2=InputTable[[#This Row],[Delivery Date]],_xlfn.XLOOKUP(JP$1,$BH$2:$BR$2,$BH113:$BR113,0),0)</f>
        <v>0</v>
      </c>
      <c r="JQ113" s="26">
        <f>IF(JQ$2=InputTable[[#This Row],[Delivery Date]],_xlfn.XLOOKUP(JQ$1,$BH$2:$BR$2,$BH113:$BR113,0),0)</f>
        <v>0</v>
      </c>
      <c r="JR113" s="26">
        <f>IF(JR$2=InputTable[[#This Row],[Delivery Date]],_xlfn.XLOOKUP(JR$1,$BH$2:$BR$2,$BH113:$BR113,0),0)</f>
        <v>0</v>
      </c>
      <c r="JS113" s="26">
        <f>IF(JS$2=InputTable[[#This Row],[Delivery Date]],_xlfn.XLOOKUP(JS$1,$BH$2:$BR$2,$BH113:$BR113,0),0)</f>
        <v>0</v>
      </c>
      <c r="JT113" s="26">
        <f>IF(JT$2=InputTable[[#This Row],[Delivery Date]],_xlfn.XLOOKUP(JT$1,$BH$2:$BR$2,$BH113:$BR113,0),0)</f>
        <v>0</v>
      </c>
      <c r="JU113" s="26">
        <f>IF(JU$2=InputTable[[#This Row],[Delivery Date]],_xlfn.XLOOKUP(JU$1,$BH$2:$BR$2,$BH113:$BR113,0),0)</f>
        <v>0</v>
      </c>
      <c r="JV113" s="26">
        <f>IF(JV$2=InputTable[[#This Row],[Delivery Date]],_xlfn.XLOOKUP(JV$1,$BH$2:$BR$2,$BH113:$BR113,0),0)</f>
        <v>0</v>
      </c>
      <c r="JX113" s="26" t="e">
        <f>IF(JX$2=InputTable[[#This Row],[Delivery Date]],_xlfn.XLOOKUP(JX$1,$BH$2:$BR$2,$BH113:$BR113,0),0)</f>
        <v>#REF!</v>
      </c>
      <c r="JY113" s="26">
        <f>IF(JY$2=InputTable[[#This Row],[Delivery Date]],_xlfn.XLOOKUP(JY$1,$BH$2:$BR$2,$BH113:$BR113,0),0)</f>
        <v>0</v>
      </c>
      <c r="JZ113" s="26">
        <f>IF(JZ$2=InputTable[[#This Row],[Delivery Date]],_xlfn.XLOOKUP(JZ$1,$BH$2:$BR$2,$BH113:$BR113,0),0)</f>
        <v>0</v>
      </c>
      <c r="KA113" s="26">
        <f>IF(KA$2=InputTable[[#This Row],[Delivery Date]],_xlfn.XLOOKUP(KA$1,$BH$2:$BR$2,$BH113:$BR113,0),0)</f>
        <v>0</v>
      </c>
      <c r="KB113" s="26">
        <f>IF(KB$2=InputTable[[#This Row],[Delivery Date]],_xlfn.XLOOKUP(KB$1,$BH$2:$BR$2,$BH113:$BR113,0),0)</f>
        <v>0</v>
      </c>
      <c r="KC113" s="26">
        <f>IF(KC$2=InputTable[[#This Row],[Delivery Date]],_xlfn.XLOOKUP(KC$1,$BH$2:$BR$2,$BH113:$BR113,0),0)</f>
        <v>0</v>
      </c>
      <c r="KD113" s="26">
        <f>IF(KD$2=InputTable[[#This Row],[Delivery Date]],_xlfn.XLOOKUP(KD$1,$BH$2:$BR$2,$BH113:$BR113,0),0)</f>
        <v>0</v>
      </c>
      <c r="KE113" s="26">
        <f>IF(KE$2=InputTable[[#This Row],[Delivery Date]],_xlfn.XLOOKUP(KE$1,$BH$2:$BR$2,$BH113:$BR113,0),0)</f>
        <v>0</v>
      </c>
      <c r="KF113" s="26">
        <f>IF(KF$2=InputTable[[#This Row],[Delivery Date]],_xlfn.XLOOKUP(KF$1,$BH$2:$BR$2,$BH113:$BR113,0),0)</f>
        <v>0</v>
      </c>
    </row>
    <row r="114" spans="1:292" ht="39.6" customHeight="1" x14ac:dyDescent="0.25">
      <c r="A114" s="141"/>
      <c r="B114" s="141"/>
      <c r="C114" s="92"/>
      <c r="D114" s="92"/>
      <c r="E114" s="93"/>
      <c r="F114" s="92"/>
      <c r="G114" s="92"/>
      <c r="H114" s="92"/>
      <c r="I114" s="92"/>
      <c r="J114" s="122"/>
      <c r="K114" s="95" t="e">
        <f>VLOOKUP((InputTable[[#This Row],[Starting Date]]&amp; " - " &amp;InputTable[[#This Row],[Delivery Date]]),'System List'!$F$40:$H$83,2,FALSE)</f>
        <v>#N/A</v>
      </c>
      <c r="L114" s="95" t="e">
        <f>VLOOKUP(InputTable[[#This Row],[Duration]],Duration,2,FALSE)</f>
        <v>#N/A</v>
      </c>
      <c r="M114" s="122"/>
      <c r="N114" s="92"/>
      <c r="O114" s="92"/>
      <c r="P114" s="92"/>
      <c r="Q114" s="92"/>
      <c r="R114" s="92"/>
      <c r="S114" s="92"/>
      <c r="T114" s="95"/>
      <c r="U114" s="138"/>
      <c r="V114" s="92"/>
      <c r="W114" s="92"/>
      <c r="X114" s="92"/>
      <c r="Y114" s="92"/>
      <c r="Z114" s="92"/>
      <c r="AA114" s="92"/>
      <c r="AB114" s="92"/>
      <c r="AC114" s="92"/>
      <c r="AD114" s="92">
        <f>COUNTA(InputTable[[#This Row],[CORPHRFIN]:[SALES]])</f>
        <v>0</v>
      </c>
      <c r="AE114" s="88" cm="1">
        <f t="array" ref="AE114">SUM(
_xlfn.XLOOKUP(InputTable[[#This Row],[CORPHRFIN]:[SALES]],'System List'!$F$4:$F$7,'System List'!$H$4:$H$7,0))</f>
        <v>0</v>
      </c>
      <c r="AF114" s="140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88" cm="1">
        <f t="array" ref="AR114">SUM(
_xlfn.XLOOKUP(InputTable[[#This Row],[Impact on - CIAL]:[Impact on - STRAT]],'System List'!$F$4:$F$7,'System List'!$H$4:$H$7,0))</f>
        <v>0</v>
      </c>
      <c r="AS114" s="88" t="e">
        <f>VLOOKUP(InputTable[[#This Row],[Duration]],Duration,2,FALSE)+InputTable[[#This Row],[Resource Score]]</f>
        <v>#N/A</v>
      </c>
      <c r="AT11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4" s="24" t="e">
        <f>InputTable[[#This Row],[Value Score]]/InputTable[[#This Row],[EFFORT SCORE]]*100</f>
        <v>#N/A</v>
      </c>
      <c r="AV114" s="25"/>
      <c r="AW114" s="25"/>
      <c r="AX114" s="208"/>
      <c r="AY114" s="25"/>
      <c r="AZ114" s="209">
        <v>0</v>
      </c>
      <c r="BA114" s="209">
        <v>0</v>
      </c>
      <c r="BB114" s="209"/>
      <c r="BC114" s="189"/>
      <c r="BD114" s="188"/>
      <c r="BE114" s="188"/>
      <c r="BF114" s="70"/>
      <c r="BH114" s="2">
        <f>IFERROR(VLOOKUP(InputTable[[#This Row],[Impact on - CIAL]],'System List'!$F$4:$H$7,3,FALSE),0)</f>
        <v>0</v>
      </c>
      <c r="BI114" s="2">
        <f>IFERROR(VLOOKUP(InputTable[[#This Row],[Impact on - COM]],'System List'!$F$4:$H$7,3,FALSE),0)</f>
        <v>0</v>
      </c>
      <c r="BJ114" s="2">
        <f>IFERROR(VLOOKUP(InputTable[[#This Row],[Impact on - FIN]],'System List'!$F$4:$H$7,3,FALSE),0)</f>
        <v>0</v>
      </c>
      <c r="BK114" s="2">
        <f>IFERROR(VLOOKUP(InputTable[[#This Row],[Impact on - GEN SEC]],'System List'!$F$4:$H$7,3,FALSE),0)</f>
        <v>0</v>
      </c>
      <c r="BL114" s="2">
        <f>IFERROR(VLOOKUP(InputTable[[#This Row],[Impact on - HR]],'System List'!$F$4:$H$7,3,FALSE),0)</f>
        <v>0</v>
      </c>
      <c r="BM114" s="2">
        <f>IFERROR(VLOOKUP(InputTable[[#This Row],[Impact on - IS]],'System List'!$F$4:$H$7,3,FALSE),0)</f>
        <v>0</v>
      </c>
      <c r="BN114" s="2">
        <f>IFERROR(VLOOKUP(InputTable[[#This Row],[Impact on - OPS]],'System List'!$F$4:$H$7,3,FALSE),0)</f>
        <v>0</v>
      </c>
      <c r="BO114" s="2">
        <f>IFERROR(VLOOKUP(InputTable[[#This Row],[Impact on - ROLL STOCK]],'System List'!$F$4:$H$7,3,FALSE),0)</f>
        <v>0</v>
      </c>
      <c r="BP114" s="2">
        <f>IFERROR(VLOOKUP(InputTable[[#This Row],[Impact on - SAFETY]],'System List'!$F$4:$H$7,3,FALSE),0)</f>
        <v>0</v>
      </c>
      <c r="BQ114" s="2">
        <f>IFERROR(VLOOKUP(InputTable[[#This Row],[Impact on - STATION]],'System List'!$F$4:$H$7,3,FALSE),0)</f>
        <v>0</v>
      </c>
      <c r="BR114" s="2">
        <f>IFERROR(VLOOKUP(InputTable[[#This Row],[Impact on - STRAT]],'System List'!$F$4:$H$7,3,FALSE),0)</f>
        <v>0</v>
      </c>
      <c r="BT114" s="2">
        <f>IFERROR(VLOOKUP(InputTable[[#This Row],[CORPHRFIN]],'System List'!$F$4:$H$7,3,FALSE),0)</f>
        <v>0</v>
      </c>
      <c r="BU114" s="2">
        <f>IFERROR(VLOOKUP(InputTable[[#This Row],[CUST]],'System List'!$F$4:$H$7,3,FALSE),0)</f>
        <v>0</v>
      </c>
      <c r="BV114" s="2">
        <f>IFERROR(VLOOKUP(InputTable[[#This Row],[CYBER]],'System List'!$F$4:$H$7,3,FALSE),0)</f>
        <v>0</v>
      </c>
      <c r="BW114" s="2">
        <f>IFERROR(VLOOKUP(InputTable[[#This Row],[DATA]],'System List'!$F$4:$H$7,3,FALSE),0)</f>
        <v>0</v>
      </c>
      <c r="BX114" s="2">
        <f>IFERROR(VLOOKUP(InputTable[[#This Row],[INFRA]],'System List'!$F$4:$H$7,3,FALSE),0)</f>
        <v>0</v>
      </c>
      <c r="BY114" s="2">
        <f>IFERROR(VLOOKUP(InputTable[[#This Row],[OPERATIONS]],'System List'!$F$4:$H$7,3,FALSE),0)</f>
        <v>0</v>
      </c>
      <c r="BZ114" s="2">
        <f>IFERROR(VLOOKUP(InputTable[[#This Row],[PMO]],'System List'!$F$4:$H$7,3,FALSE),0)</f>
        <v>0</v>
      </c>
      <c r="CA114" s="2">
        <f>IFERROR(VLOOKUP(InputTable[[#This Row],[SALES]],'System List'!$F$4:$H$7,3,FALSE),0)</f>
        <v>0</v>
      </c>
      <c r="CC114" s="2" cm="1">
        <f t="array" ref="CC11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4" s="2" cm="1">
        <f t="array" ref="CD11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4" s="2" cm="1">
        <f t="array" ref="CE11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4" s="2" cm="1">
        <f t="array" ref="CF11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4" s="2" cm="1">
        <f t="array" ref="CG11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4" s="2" cm="1">
        <f t="array" ref="CH11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4" s="2" cm="1">
        <f t="array" ref="CI11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4" s="2" cm="1">
        <f t="array" ref="CJ11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4" s="2" cm="1">
        <f t="array" ref="CK11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4" s="26">
        <f t="shared" si="307"/>
        <v>0</v>
      </c>
      <c r="CY114" s="26">
        <f t="shared" si="308"/>
        <v>0</v>
      </c>
      <c r="CZ114" s="26">
        <f t="shared" si="309"/>
        <v>0</v>
      </c>
      <c r="DA114" s="26">
        <f t="shared" si="310"/>
        <v>0</v>
      </c>
      <c r="DB114" s="26">
        <f t="shared" si="311"/>
        <v>0</v>
      </c>
      <c r="DC114" s="26">
        <f t="shared" si="312"/>
        <v>0</v>
      </c>
      <c r="DD114" s="26">
        <f t="shared" si="313"/>
        <v>0</v>
      </c>
      <c r="DE114" s="26">
        <f t="shared" si="314"/>
        <v>0</v>
      </c>
      <c r="DF114" s="26">
        <f t="shared" si="315"/>
        <v>0</v>
      </c>
      <c r="DH114" s="26">
        <f t="shared" si="316"/>
        <v>0</v>
      </c>
      <c r="DI114" s="26">
        <f t="shared" si="317"/>
        <v>0</v>
      </c>
      <c r="DJ114" s="26">
        <f t="shared" si="318"/>
        <v>0</v>
      </c>
      <c r="DK114" s="26">
        <f t="shared" si="319"/>
        <v>0</v>
      </c>
      <c r="DL114" s="26">
        <f t="shared" si="320"/>
        <v>0</v>
      </c>
      <c r="DM114" s="26">
        <f t="shared" si="321"/>
        <v>0</v>
      </c>
      <c r="DN114" s="26">
        <f t="shared" si="322"/>
        <v>0</v>
      </c>
      <c r="DO114" s="26">
        <f t="shared" si="323"/>
        <v>0</v>
      </c>
      <c r="DP114" s="26">
        <f t="shared" si="324"/>
        <v>0</v>
      </c>
      <c r="DR114" s="26">
        <f t="shared" si="325"/>
        <v>0</v>
      </c>
      <c r="DS114" s="26">
        <f t="shared" si="326"/>
        <v>0</v>
      </c>
      <c r="DT114" s="26">
        <f t="shared" si="327"/>
        <v>0</v>
      </c>
      <c r="DU114" s="26">
        <f t="shared" si="328"/>
        <v>0</v>
      </c>
      <c r="DV114" s="26">
        <f t="shared" si="329"/>
        <v>0</v>
      </c>
      <c r="DW114" s="26">
        <f t="shared" si="330"/>
        <v>0</v>
      </c>
      <c r="DX114" s="26">
        <f t="shared" si="331"/>
        <v>0</v>
      </c>
      <c r="DY114" s="26">
        <f t="shared" si="332"/>
        <v>0</v>
      </c>
      <c r="DZ114" s="26">
        <f t="shared" si="333"/>
        <v>0</v>
      </c>
      <c r="EB114" s="26">
        <f t="shared" si="334"/>
        <v>0</v>
      </c>
      <c r="EC114" s="26">
        <f t="shared" si="335"/>
        <v>0</v>
      </c>
      <c r="ED114" s="26">
        <f t="shared" si="336"/>
        <v>0</v>
      </c>
      <c r="EE114" s="26">
        <f t="shared" si="337"/>
        <v>0</v>
      </c>
      <c r="EF114" s="26">
        <f t="shared" si="338"/>
        <v>0</v>
      </c>
      <c r="EG114" s="26">
        <f t="shared" si="339"/>
        <v>0</v>
      </c>
      <c r="EH114" s="26">
        <f t="shared" si="340"/>
        <v>0</v>
      </c>
      <c r="EI114" s="26">
        <f t="shared" si="341"/>
        <v>0</v>
      </c>
      <c r="EJ114" s="26">
        <f t="shared" si="342"/>
        <v>0</v>
      </c>
      <c r="EL114" s="26">
        <f t="shared" si="343"/>
        <v>0</v>
      </c>
      <c r="EM114" s="26">
        <f t="shared" si="344"/>
        <v>0</v>
      </c>
      <c r="EN114" s="26">
        <f t="shared" si="345"/>
        <v>0</v>
      </c>
      <c r="EO114" s="26">
        <f t="shared" si="346"/>
        <v>0</v>
      </c>
      <c r="EP114" s="26">
        <f t="shared" si="347"/>
        <v>0</v>
      </c>
      <c r="EQ114" s="26">
        <f t="shared" si="348"/>
        <v>0</v>
      </c>
      <c r="ER114" s="26">
        <f t="shared" si="349"/>
        <v>0</v>
      </c>
      <c r="ES114" s="26">
        <f t="shared" si="350"/>
        <v>0</v>
      </c>
      <c r="ET114" s="26">
        <f t="shared" si="351"/>
        <v>0</v>
      </c>
      <c r="EV114" s="26">
        <f t="shared" si="352"/>
        <v>0</v>
      </c>
      <c r="EW114" s="26">
        <f t="shared" si="353"/>
        <v>0</v>
      </c>
      <c r="EX114" s="26">
        <f t="shared" si="354"/>
        <v>0</v>
      </c>
      <c r="EY114" s="26">
        <f t="shared" si="355"/>
        <v>0</v>
      </c>
      <c r="EZ114" s="26">
        <f t="shared" si="356"/>
        <v>0</v>
      </c>
      <c r="FA114" s="26">
        <f t="shared" si="357"/>
        <v>0</v>
      </c>
      <c r="FB114" s="26">
        <f t="shared" si="358"/>
        <v>0</v>
      </c>
      <c r="FC114" s="26">
        <f t="shared" si="359"/>
        <v>0</v>
      </c>
      <c r="FD114" s="26">
        <f t="shared" si="360"/>
        <v>0</v>
      </c>
      <c r="FF114" s="26">
        <f t="shared" si="361"/>
        <v>0</v>
      </c>
      <c r="FG114" s="26">
        <f t="shared" si="362"/>
        <v>0</v>
      </c>
      <c r="FH114" s="26">
        <f t="shared" si="363"/>
        <v>0</v>
      </c>
      <c r="FI114" s="26">
        <f t="shared" si="364"/>
        <v>0</v>
      </c>
      <c r="FJ114" s="26">
        <f t="shared" si="365"/>
        <v>0</v>
      </c>
      <c r="FK114" s="26">
        <f t="shared" si="366"/>
        <v>0</v>
      </c>
      <c r="FL114" s="26">
        <f t="shared" si="367"/>
        <v>0</v>
      </c>
      <c r="FM114" s="26">
        <f t="shared" si="368"/>
        <v>0</v>
      </c>
      <c r="FN114" s="26">
        <f t="shared" si="369"/>
        <v>0</v>
      </c>
      <c r="FP114" s="26" t="e">
        <f t="shared" si="370"/>
        <v>#REF!</v>
      </c>
      <c r="FQ114" s="26" t="e">
        <f t="shared" si="371"/>
        <v>#REF!</v>
      </c>
      <c r="FR114" s="26" t="e">
        <f t="shared" si="372"/>
        <v>#REF!</v>
      </c>
      <c r="FS114" s="26" t="e">
        <f t="shared" si="373"/>
        <v>#REF!</v>
      </c>
      <c r="FT114" s="26" t="e">
        <f t="shared" si="374"/>
        <v>#REF!</v>
      </c>
      <c r="FU114" s="26" t="e">
        <f t="shared" si="375"/>
        <v>#REF!</v>
      </c>
      <c r="FV114" s="26" t="e">
        <f t="shared" si="376"/>
        <v>#REF!</v>
      </c>
      <c r="FW114" s="26" t="e">
        <f t="shared" si="377"/>
        <v>#REF!</v>
      </c>
      <c r="FX114" s="26" t="e">
        <f t="shared" si="378"/>
        <v>#REF!</v>
      </c>
      <c r="GB114" s="26" t="e">
        <f>IF(GB$2=InputTable[[#This Row],[Delivery Date]],_xlfn.XLOOKUP(GB$1,$BH$2:$BR$2,$BH114:$BR114,0),0)</f>
        <v>#REF!</v>
      </c>
      <c r="GC114" s="26">
        <f>IF(GC$2=InputTable[[#This Row],[Delivery Date]],_xlfn.XLOOKUP(GC$1,$BH$2:$BR$2,$BH114:$BR114,0),0)</f>
        <v>0</v>
      </c>
      <c r="GD114" s="26">
        <f>IF(GD$2=InputTable[[#This Row],[Delivery Date]],_xlfn.XLOOKUP(GD$1,$BH$2:$BR$2,$BH114:$BR114,0),0)</f>
        <v>0</v>
      </c>
      <c r="GE114" s="26">
        <f>IF(GE$2=InputTable[[#This Row],[Delivery Date]],_xlfn.XLOOKUP(GE$1,$BH$2:$BR$2,$BH114:$BR114,0),0)</f>
        <v>0</v>
      </c>
      <c r="GF114" s="26">
        <f>IF(GF$2=InputTable[[#This Row],[Delivery Date]],_xlfn.XLOOKUP(GF$1,$BH$2:$BR$2,$BH114:$BR114,0),0)</f>
        <v>0</v>
      </c>
      <c r="GG114" s="26">
        <f>IF(GG$2=InputTable[[#This Row],[Delivery Date]],_xlfn.XLOOKUP(GG$1,$BH$2:$BR$2,$BH114:$BR114,0),0)</f>
        <v>0</v>
      </c>
      <c r="GH114" s="26">
        <f>IF(GH$2=InputTable[[#This Row],[Delivery Date]],_xlfn.XLOOKUP(GH$1,$BH$2:$BR$2,$BH114:$BR114,0),0)</f>
        <v>0</v>
      </c>
      <c r="GI114" s="26">
        <f>IF(GI$2=InputTable[[#This Row],[Delivery Date]],_xlfn.XLOOKUP(GI$1,$BH$2:$BR$2,$BH114:$BR114,0),0)</f>
        <v>0</v>
      </c>
      <c r="GJ114" s="26">
        <f>IF(GJ$2=InputTable[[#This Row],[Delivery Date]],_xlfn.XLOOKUP(GJ$1,$BH$2:$BR$2,$BH114:$BR114,0),0)</f>
        <v>0</v>
      </c>
      <c r="GL114" s="26" t="e">
        <f>IF(GL$2=InputTable[[#This Row],[Delivery Date]],_xlfn.XLOOKUP(GL$1,$BH$2:$BR$2,$BH114:$BR114,0),0)</f>
        <v>#REF!</v>
      </c>
      <c r="GM114" s="26">
        <f>IF(GM$2=InputTable[[#This Row],[Delivery Date]],_xlfn.XLOOKUP(GM$1,$BH$2:$BR$2,$BH114:$BR114,0),0)</f>
        <v>0</v>
      </c>
      <c r="GN114" s="26">
        <f>IF(GN$2=InputTable[[#This Row],[Delivery Date]],_xlfn.XLOOKUP(GN$1,$BH$2:$BR$2,$BH114:$BR114,0),0)</f>
        <v>0</v>
      </c>
      <c r="GO114" s="26">
        <f>IF(GO$2=InputTable[[#This Row],[Delivery Date]],_xlfn.XLOOKUP(GO$1,$BH$2:$BR$2,$BH114:$BR114,0),0)</f>
        <v>0</v>
      </c>
      <c r="GP114" s="26">
        <f>IF(GP$2=InputTable[[#This Row],[Delivery Date]],_xlfn.XLOOKUP(GP$1,$BH$2:$BR$2,$BH114:$BR114,0),0)</f>
        <v>0</v>
      </c>
      <c r="GQ114" s="26">
        <f>IF(GQ$2=InputTable[[#This Row],[Delivery Date]],_xlfn.XLOOKUP(GQ$1,$BH$2:$BR$2,$BH114:$BR114,0),0)</f>
        <v>0</v>
      </c>
      <c r="GR114" s="26">
        <f>IF(GR$2=InputTable[[#This Row],[Delivery Date]],_xlfn.XLOOKUP(GR$1,$BH$2:$BR$2,$BH114:$BR114,0),0)</f>
        <v>0</v>
      </c>
      <c r="GS114" s="26">
        <f>IF(GS$2=InputTable[[#This Row],[Delivery Date]],_xlfn.XLOOKUP(GS$1,$BH$2:$BR$2,$BH114:$BR114,0),0)</f>
        <v>0</v>
      </c>
      <c r="GT114" s="26">
        <f>IF(GT$2=InputTable[[#This Row],[Delivery Date]],_xlfn.XLOOKUP(GT$1,$BH$2:$BR$2,$BH114:$BR114,0),0)</f>
        <v>0</v>
      </c>
      <c r="GV114" s="26" t="e">
        <f>IF(GV$2=InputTable[[#This Row],[Delivery Date]],_xlfn.XLOOKUP(GV$1,$BH$2:$BR$2,$BH114:$BR114,0),0)</f>
        <v>#REF!</v>
      </c>
      <c r="GW114" s="26">
        <f>IF(GW$2=InputTable[[#This Row],[Delivery Date]],_xlfn.XLOOKUP(GW$1,$BH$2:$BR$2,$BH114:$BR114,0),0)</f>
        <v>0</v>
      </c>
      <c r="GX114" s="26">
        <f>IF(GX$2=InputTable[[#This Row],[Delivery Date]],_xlfn.XLOOKUP(GX$1,$BH$2:$BR$2,$BH114:$BR114,0),0)</f>
        <v>0</v>
      </c>
      <c r="GY114" s="26">
        <f>IF(GY$2=InputTable[[#This Row],[Delivery Date]],_xlfn.XLOOKUP(GY$1,$BH$2:$BR$2,$BH114:$BR114,0),0)</f>
        <v>0</v>
      </c>
      <c r="GZ114" s="26">
        <f>IF(GZ$2=InputTable[[#This Row],[Delivery Date]],_xlfn.XLOOKUP(GZ$1,$BH$2:$BR$2,$BH114:$BR114,0),0)</f>
        <v>0</v>
      </c>
      <c r="HA114" s="26">
        <f>IF(HA$2=InputTable[[#This Row],[Delivery Date]],_xlfn.XLOOKUP(HA$1,$BH$2:$BR$2,$BH114:$BR114,0),0)</f>
        <v>0</v>
      </c>
      <c r="HB114" s="26">
        <f>IF(HB$2=InputTable[[#This Row],[Delivery Date]],_xlfn.XLOOKUP(HB$1,$BH$2:$BR$2,$BH114:$BR114,0),0)</f>
        <v>0</v>
      </c>
      <c r="HC114" s="26">
        <f>IF(HC$2=InputTable[[#This Row],[Delivery Date]],_xlfn.XLOOKUP(HC$1,$BH$2:$BR$2,$BH114:$BR114,0),0)</f>
        <v>0</v>
      </c>
      <c r="HD114" s="26">
        <f>IF(HD$2=InputTable[[#This Row],[Delivery Date]],_xlfn.XLOOKUP(HD$1,$BH$2:$BR$2,$BH114:$BR114,0),0)</f>
        <v>0</v>
      </c>
      <c r="HF114" s="26" t="e">
        <f>IF(HF$2=InputTable[[#This Row],[Delivery Date]],_xlfn.XLOOKUP(HF$1,$BH$2:$BR$2,$BH114:$BR114,0),0)</f>
        <v>#REF!</v>
      </c>
      <c r="HG114" s="26">
        <f>IF(HG$2=InputTable[[#This Row],[Delivery Date]],_xlfn.XLOOKUP(HG$1,$BH$2:$BR$2,$BH114:$BR114,0),0)</f>
        <v>0</v>
      </c>
      <c r="HH114" s="26">
        <f>IF(HH$2=InputTable[[#This Row],[Delivery Date]],_xlfn.XLOOKUP(HH$1,$BH$2:$BR$2,$BH114:$BR114,0),0)</f>
        <v>0</v>
      </c>
      <c r="HI114" s="26">
        <f>IF(HI$2=InputTable[[#This Row],[Delivery Date]],_xlfn.XLOOKUP(HI$1,$BH$2:$BR$2,$BH114:$BR114,0),0)</f>
        <v>0</v>
      </c>
      <c r="HJ114" s="26">
        <f>IF(HJ$2=InputTable[[#This Row],[Delivery Date]],_xlfn.XLOOKUP(HJ$1,$BH$2:$BR$2,$BH114:$BR114,0),0)</f>
        <v>0</v>
      </c>
      <c r="HK114" s="26">
        <f>IF(HK$2=InputTable[[#This Row],[Delivery Date]],_xlfn.XLOOKUP(HK$1,$BH$2:$BR$2,$BH114:$BR114,0),0)</f>
        <v>0</v>
      </c>
      <c r="HL114" s="26">
        <f>IF(HL$2=InputTable[[#This Row],[Delivery Date]],_xlfn.XLOOKUP(HL$1,$BH$2:$BR$2,$BH114:$BR114,0),0)</f>
        <v>0</v>
      </c>
      <c r="HM114" s="26">
        <f>IF(HM$2=InputTable[[#This Row],[Delivery Date]],_xlfn.XLOOKUP(HM$1,$BH$2:$BR$2,$BH114:$BR114,0),0)</f>
        <v>0</v>
      </c>
      <c r="HN114" s="26">
        <f>IF(HN$2=InputTable[[#This Row],[Delivery Date]],_xlfn.XLOOKUP(HN$1,$BH$2:$BR$2,$BH114:$BR114,0),0)</f>
        <v>0</v>
      </c>
      <c r="HP114" s="26" t="e">
        <f>IF(HP$2=InputTable[[#This Row],[Delivery Date]],_xlfn.XLOOKUP(HP$1,$BH$2:$BR$2,$BH114:$BR114,0),0)</f>
        <v>#REF!</v>
      </c>
      <c r="HQ114" s="26">
        <f>IF(HQ$2=InputTable[[#This Row],[Delivery Date]],_xlfn.XLOOKUP(HQ$1,$BH$2:$BR$2,$BH114:$BR114,0),0)</f>
        <v>0</v>
      </c>
      <c r="HR114" s="26">
        <f>IF(HR$2=InputTable[[#This Row],[Delivery Date]],_xlfn.XLOOKUP(HR$1,$BH$2:$BR$2,$BH114:$BR114,0),0)</f>
        <v>0</v>
      </c>
      <c r="HS114" s="26">
        <f>IF(HS$2=InputTable[[#This Row],[Delivery Date]],_xlfn.XLOOKUP(HS$1,$BH$2:$BR$2,$BH114:$BR114,0),0)</f>
        <v>0</v>
      </c>
      <c r="HT114" s="26">
        <f>IF(HT$2=InputTable[[#This Row],[Delivery Date]],_xlfn.XLOOKUP(HT$1,$BH$2:$BR$2,$BH114:$BR114,0),0)</f>
        <v>0</v>
      </c>
      <c r="HU114" s="26">
        <f>IF(HU$2=InputTable[[#This Row],[Delivery Date]],_xlfn.XLOOKUP(HU$1,$BH$2:$BR$2,$BH114:$BR114,0),0)</f>
        <v>0</v>
      </c>
      <c r="HV114" s="26">
        <f>IF(HV$2=InputTable[[#This Row],[Delivery Date]],_xlfn.XLOOKUP(HV$1,$BH$2:$BR$2,$BH114:$BR114,0),0)</f>
        <v>0</v>
      </c>
      <c r="HW114" s="26">
        <f>IF(HW$2=InputTable[[#This Row],[Delivery Date]],_xlfn.XLOOKUP(HW$1,$BH$2:$BR$2,$BH114:$BR114,0),0)</f>
        <v>0</v>
      </c>
      <c r="HX114" s="26">
        <f>IF(HX$2=InputTable[[#This Row],[Delivery Date]],_xlfn.XLOOKUP(HX$1,$BH$2:$BR$2,$BH114:$BR114,0),0)</f>
        <v>0</v>
      </c>
      <c r="HZ114" s="26" t="e">
        <f>IF(HZ$2=InputTable[[#This Row],[Delivery Date]],_xlfn.XLOOKUP(HZ$1,$BH$2:$BR$2,$BH114:$BR114,0),0)</f>
        <v>#REF!</v>
      </c>
      <c r="IA114" s="26">
        <f>IF(IA$2=InputTable[[#This Row],[Delivery Date]],_xlfn.XLOOKUP(IA$1,$BH$2:$BR$2,$BH114:$BR114,0),0)</f>
        <v>0</v>
      </c>
      <c r="IB114" s="26">
        <f>IF(IB$2=InputTable[[#This Row],[Delivery Date]],_xlfn.XLOOKUP(IB$1,$BH$2:$BR$2,$BH114:$BR114,0),0)</f>
        <v>0</v>
      </c>
      <c r="IC114" s="26">
        <f>IF(IC$2=InputTable[[#This Row],[Delivery Date]],_xlfn.XLOOKUP(IC$1,$BH$2:$BR$2,$BH114:$BR114,0),0)</f>
        <v>0</v>
      </c>
      <c r="ID114" s="26">
        <f>IF(ID$2=InputTable[[#This Row],[Delivery Date]],_xlfn.XLOOKUP(ID$1,$BH$2:$BR$2,$BH114:$BR114,0),0)</f>
        <v>0</v>
      </c>
      <c r="IE114" s="26">
        <f>IF(IE$2=InputTable[[#This Row],[Delivery Date]],_xlfn.XLOOKUP(IE$1,$BH$2:$BR$2,$BH114:$BR114,0),0)</f>
        <v>0</v>
      </c>
      <c r="IF114" s="26">
        <f>IF(IF$2=InputTable[[#This Row],[Delivery Date]],_xlfn.XLOOKUP(IF$1,$BH$2:$BR$2,$BH114:$BR114,0),0)</f>
        <v>0</v>
      </c>
      <c r="IG114" s="26">
        <f>IF(IG$2=InputTable[[#This Row],[Delivery Date]],_xlfn.XLOOKUP(IG$1,$BH$2:$BR$2,$BH114:$BR114,0),0)</f>
        <v>0</v>
      </c>
      <c r="IH114" s="26">
        <f>IF(IH$2=InputTable[[#This Row],[Delivery Date]],_xlfn.XLOOKUP(IH$1,$BH$2:$BR$2,$BH114:$BR114,0),0)</f>
        <v>0</v>
      </c>
      <c r="IJ114" s="26" t="e">
        <f>IF(IJ$2=InputTable[[#This Row],[Delivery Date]],_xlfn.XLOOKUP(IJ$1,$BH$2:$BR$2,$BH114:$BR114,0),0)</f>
        <v>#REF!</v>
      </c>
      <c r="IK114" s="26">
        <f>IF(IK$2=InputTable[[#This Row],[Delivery Date]],_xlfn.XLOOKUP(IK$1,$BH$2:$BR$2,$BH114:$BR114,0),0)</f>
        <v>0</v>
      </c>
      <c r="IL114" s="26">
        <f>IF(IL$2=InputTable[[#This Row],[Delivery Date]],_xlfn.XLOOKUP(IL$1,$BH$2:$BR$2,$BH114:$BR114,0),0)</f>
        <v>0</v>
      </c>
      <c r="IM114" s="26">
        <f>IF(IM$2=InputTable[[#This Row],[Delivery Date]],_xlfn.XLOOKUP(IM$1,$BH$2:$BR$2,$BH114:$BR114,0),0)</f>
        <v>0</v>
      </c>
      <c r="IN114" s="26">
        <f>IF(IN$2=InputTable[[#This Row],[Delivery Date]],_xlfn.XLOOKUP(IN$1,$BH$2:$BR$2,$BH114:$BR114,0),0)</f>
        <v>0</v>
      </c>
      <c r="IO114" s="26">
        <f>IF(IO$2=InputTable[[#This Row],[Delivery Date]],_xlfn.XLOOKUP(IO$1,$BH$2:$BR$2,$BH114:$BR114,0),0)</f>
        <v>0</v>
      </c>
      <c r="IP114" s="26">
        <f>IF(IP$2=InputTable[[#This Row],[Delivery Date]],_xlfn.XLOOKUP(IP$1,$BH$2:$BR$2,$BH114:$BR114,0),0)</f>
        <v>0</v>
      </c>
      <c r="IQ114" s="26">
        <f>IF(IQ$2=InputTable[[#This Row],[Delivery Date]],_xlfn.XLOOKUP(IQ$1,$BH$2:$BR$2,$BH114:$BR114,0),0)</f>
        <v>0</v>
      </c>
      <c r="IR114" s="26">
        <f>IF(IR$2=InputTable[[#This Row],[Delivery Date]],_xlfn.XLOOKUP(IR$1,$BH$2:$BR$2,$BH114:$BR114,0),0)</f>
        <v>0</v>
      </c>
      <c r="IT114" s="26" t="e">
        <f>IF(IT$2=InputTable[[#This Row],[Delivery Date]],_xlfn.XLOOKUP(IT$1,$BH$2:$BR$2,$BH114:$BR114,0),0)</f>
        <v>#REF!</v>
      </c>
      <c r="IU114" s="26">
        <f>IF(IU$2=InputTable[[#This Row],[Delivery Date]],_xlfn.XLOOKUP(IU$1,$BH$2:$BR$2,$BH114:$BR114,0),0)</f>
        <v>0</v>
      </c>
      <c r="IV114" s="26">
        <f>IF(IV$2=InputTable[[#This Row],[Delivery Date]],_xlfn.XLOOKUP(IV$1,$BH$2:$BR$2,$BH114:$BR114,0),0)</f>
        <v>0</v>
      </c>
      <c r="IW114" s="26">
        <f>IF(IW$2=InputTable[[#This Row],[Delivery Date]],_xlfn.XLOOKUP(IW$1,$BH$2:$BR$2,$BH114:$BR114,0),0)</f>
        <v>0</v>
      </c>
      <c r="IX114" s="26">
        <f>IF(IX$2=InputTable[[#This Row],[Delivery Date]],_xlfn.XLOOKUP(IX$1,$BH$2:$BR$2,$BH114:$BR114,0),0)</f>
        <v>0</v>
      </c>
      <c r="IY114" s="26">
        <f>IF(IY$2=InputTable[[#This Row],[Delivery Date]],_xlfn.XLOOKUP(IY$1,$BH$2:$BR$2,$BH114:$BR114,0),0)</f>
        <v>0</v>
      </c>
      <c r="IZ114" s="26">
        <f>IF(IZ$2=InputTable[[#This Row],[Delivery Date]],_xlfn.XLOOKUP(IZ$1,$BH$2:$BR$2,$BH114:$BR114,0),0)</f>
        <v>0</v>
      </c>
      <c r="JA114" s="26">
        <f>IF(JA$2=InputTable[[#This Row],[Delivery Date]],_xlfn.XLOOKUP(JA$1,$BH$2:$BR$2,$BH114:$BR114,0),0)</f>
        <v>0</v>
      </c>
      <c r="JB114" s="26">
        <f>IF(JB$2=InputTable[[#This Row],[Delivery Date]],_xlfn.XLOOKUP(JB$1,$BH$2:$BR$2,$BH114:$BR114,0),0)</f>
        <v>0</v>
      </c>
      <c r="JD114" s="26" t="e">
        <f>IF(JD$2=InputTable[[#This Row],[Delivery Date]],_xlfn.XLOOKUP(JD$1,$BH$2:$BR$2,$BH114:$BR114,0),0)</f>
        <v>#REF!</v>
      </c>
      <c r="JE114" s="26">
        <f>IF(JE$2=InputTable[[#This Row],[Delivery Date]],_xlfn.XLOOKUP(JE$1,$BH$2:$BR$2,$BH114:$BR114,0),0)</f>
        <v>0</v>
      </c>
      <c r="JF114" s="26">
        <f>IF(JF$2=InputTable[[#This Row],[Delivery Date]],_xlfn.XLOOKUP(JF$1,$BH$2:$BR$2,$BH114:$BR114,0),0)</f>
        <v>0</v>
      </c>
      <c r="JG114" s="26">
        <f>IF(JG$2=InputTable[[#This Row],[Delivery Date]],_xlfn.XLOOKUP(JG$1,$BH$2:$BR$2,$BH114:$BR114,0),0)</f>
        <v>0</v>
      </c>
      <c r="JH114" s="26">
        <f>IF(JH$2=InputTable[[#This Row],[Delivery Date]],_xlfn.XLOOKUP(JH$1,$BH$2:$BR$2,$BH114:$BR114,0),0)</f>
        <v>0</v>
      </c>
      <c r="JI114" s="26">
        <f>IF(JI$2=InputTable[[#This Row],[Delivery Date]],_xlfn.XLOOKUP(JI$1,$BH$2:$BR$2,$BH114:$BR114,0),0)</f>
        <v>0</v>
      </c>
      <c r="JJ114" s="26">
        <f>IF(JJ$2=InputTable[[#This Row],[Delivery Date]],_xlfn.XLOOKUP(JJ$1,$BH$2:$BR$2,$BH114:$BR114,0),0)</f>
        <v>0</v>
      </c>
      <c r="JK114" s="26">
        <f>IF(JK$2=InputTable[[#This Row],[Delivery Date]],_xlfn.XLOOKUP(JK$1,$BH$2:$BR$2,$BH114:$BR114,0),0)</f>
        <v>0</v>
      </c>
      <c r="JL114" s="26">
        <f>IF(JL$2=InputTable[[#This Row],[Delivery Date]],_xlfn.XLOOKUP(JL$1,$BH$2:$BR$2,$BH114:$BR114,0),0)</f>
        <v>0</v>
      </c>
      <c r="JN114" s="26" t="e">
        <f>IF(JN$2=InputTable[[#This Row],[Delivery Date]],_xlfn.XLOOKUP(JN$1,$BH$2:$BR$2,$BH114:$BR114,0),0)</f>
        <v>#REF!</v>
      </c>
      <c r="JO114" s="26">
        <f>IF(JO$2=InputTable[[#This Row],[Delivery Date]],_xlfn.XLOOKUP(JO$1,$BH$2:$BR$2,$BH114:$BR114,0),0)</f>
        <v>0</v>
      </c>
      <c r="JP114" s="26">
        <f>IF(JP$2=InputTable[[#This Row],[Delivery Date]],_xlfn.XLOOKUP(JP$1,$BH$2:$BR$2,$BH114:$BR114,0),0)</f>
        <v>0</v>
      </c>
      <c r="JQ114" s="26">
        <f>IF(JQ$2=InputTable[[#This Row],[Delivery Date]],_xlfn.XLOOKUP(JQ$1,$BH$2:$BR$2,$BH114:$BR114,0),0)</f>
        <v>0</v>
      </c>
      <c r="JR114" s="26">
        <f>IF(JR$2=InputTable[[#This Row],[Delivery Date]],_xlfn.XLOOKUP(JR$1,$BH$2:$BR$2,$BH114:$BR114,0),0)</f>
        <v>0</v>
      </c>
      <c r="JS114" s="26">
        <f>IF(JS$2=InputTable[[#This Row],[Delivery Date]],_xlfn.XLOOKUP(JS$1,$BH$2:$BR$2,$BH114:$BR114,0),0)</f>
        <v>0</v>
      </c>
      <c r="JT114" s="26">
        <f>IF(JT$2=InputTable[[#This Row],[Delivery Date]],_xlfn.XLOOKUP(JT$1,$BH$2:$BR$2,$BH114:$BR114,0),0)</f>
        <v>0</v>
      </c>
      <c r="JU114" s="26">
        <f>IF(JU$2=InputTable[[#This Row],[Delivery Date]],_xlfn.XLOOKUP(JU$1,$BH$2:$BR$2,$BH114:$BR114,0),0)</f>
        <v>0</v>
      </c>
      <c r="JV114" s="26">
        <f>IF(JV$2=InputTable[[#This Row],[Delivery Date]],_xlfn.XLOOKUP(JV$1,$BH$2:$BR$2,$BH114:$BR114,0),0)</f>
        <v>0</v>
      </c>
      <c r="JX114" s="26" t="e">
        <f>IF(JX$2=InputTable[[#This Row],[Delivery Date]],_xlfn.XLOOKUP(JX$1,$BH$2:$BR$2,$BH114:$BR114,0),0)</f>
        <v>#REF!</v>
      </c>
      <c r="JY114" s="26">
        <f>IF(JY$2=InputTable[[#This Row],[Delivery Date]],_xlfn.XLOOKUP(JY$1,$BH$2:$BR$2,$BH114:$BR114,0),0)</f>
        <v>0</v>
      </c>
      <c r="JZ114" s="26">
        <f>IF(JZ$2=InputTable[[#This Row],[Delivery Date]],_xlfn.XLOOKUP(JZ$1,$BH$2:$BR$2,$BH114:$BR114,0),0)</f>
        <v>0</v>
      </c>
      <c r="KA114" s="26">
        <f>IF(KA$2=InputTable[[#This Row],[Delivery Date]],_xlfn.XLOOKUP(KA$1,$BH$2:$BR$2,$BH114:$BR114,0),0)</f>
        <v>0</v>
      </c>
      <c r="KB114" s="26">
        <f>IF(KB$2=InputTable[[#This Row],[Delivery Date]],_xlfn.XLOOKUP(KB$1,$BH$2:$BR$2,$BH114:$BR114,0),0)</f>
        <v>0</v>
      </c>
      <c r="KC114" s="26">
        <f>IF(KC$2=InputTable[[#This Row],[Delivery Date]],_xlfn.XLOOKUP(KC$1,$BH$2:$BR$2,$BH114:$BR114,0),0)</f>
        <v>0</v>
      </c>
      <c r="KD114" s="26">
        <f>IF(KD$2=InputTable[[#This Row],[Delivery Date]],_xlfn.XLOOKUP(KD$1,$BH$2:$BR$2,$BH114:$BR114,0),0)</f>
        <v>0</v>
      </c>
      <c r="KE114" s="26">
        <f>IF(KE$2=InputTable[[#This Row],[Delivery Date]],_xlfn.XLOOKUP(KE$1,$BH$2:$BR$2,$BH114:$BR114,0),0)</f>
        <v>0</v>
      </c>
      <c r="KF114" s="26">
        <f>IF(KF$2=InputTable[[#This Row],[Delivery Date]],_xlfn.XLOOKUP(KF$1,$BH$2:$BR$2,$BH114:$BR114,0),0)</f>
        <v>0</v>
      </c>
    </row>
    <row r="115" spans="1:292" ht="39.6" customHeight="1" x14ac:dyDescent="0.25">
      <c r="A115" s="141"/>
      <c r="B115" s="141"/>
      <c r="C115" s="92"/>
      <c r="D115" s="92"/>
      <c r="E115" s="93"/>
      <c r="F115" s="92"/>
      <c r="G115" s="92"/>
      <c r="H115" s="92"/>
      <c r="I115" s="92"/>
      <c r="J115" s="122"/>
      <c r="K115" s="95" t="e">
        <f>VLOOKUP((InputTable[[#This Row],[Starting Date]]&amp; " - " &amp;InputTable[[#This Row],[Delivery Date]]),'System List'!$F$40:$H$83,2,FALSE)</f>
        <v>#N/A</v>
      </c>
      <c r="L115" s="95" t="e">
        <f>VLOOKUP(InputTable[[#This Row],[Duration]],Duration,2,FALSE)</f>
        <v>#N/A</v>
      </c>
      <c r="M115" s="122"/>
      <c r="N115" s="92"/>
      <c r="O115" s="92"/>
      <c r="P115" s="92"/>
      <c r="Q115" s="92"/>
      <c r="R115" s="92"/>
      <c r="S115" s="92"/>
      <c r="T115" s="95"/>
      <c r="U115" s="138"/>
      <c r="V115" s="92"/>
      <c r="W115" s="92"/>
      <c r="X115" s="92"/>
      <c r="Y115" s="92"/>
      <c r="Z115" s="92"/>
      <c r="AA115" s="92"/>
      <c r="AB115" s="92"/>
      <c r="AC115" s="92"/>
      <c r="AD115" s="92">
        <f>COUNTA(InputTable[[#This Row],[CORPHRFIN]:[SALES]])</f>
        <v>0</v>
      </c>
      <c r="AE115" s="88" cm="1">
        <f t="array" ref="AE115">SUM(
_xlfn.XLOOKUP(InputTable[[#This Row],[CORPHRFIN]:[SALES]],'System List'!$F$4:$F$7,'System List'!$H$4:$H$7,0))</f>
        <v>0</v>
      </c>
      <c r="AF115" s="140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88" cm="1">
        <f t="array" ref="AR115">SUM(
_xlfn.XLOOKUP(InputTable[[#This Row],[Impact on - CIAL]:[Impact on - STRAT]],'System List'!$F$4:$F$7,'System List'!$H$4:$H$7,0))</f>
        <v>0</v>
      </c>
      <c r="AS115" s="88" t="e">
        <f>VLOOKUP(InputTable[[#This Row],[Duration]],Duration,2,FALSE)+InputTable[[#This Row],[Resource Score]]</f>
        <v>#N/A</v>
      </c>
      <c r="AT11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5" s="24" t="e">
        <f>InputTable[[#This Row],[Value Score]]/InputTable[[#This Row],[EFFORT SCORE]]*100</f>
        <v>#N/A</v>
      </c>
      <c r="AV115" s="25"/>
      <c r="AW115" s="25"/>
      <c r="AX115" s="208"/>
      <c r="AY115" s="25"/>
      <c r="AZ115" s="209">
        <v>0</v>
      </c>
      <c r="BA115" s="209">
        <v>0</v>
      </c>
      <c r="BB115" s="209"/>
      <c r="BC115" s="189"/>
      <c r="BD115" s="188"/>
      <c r="BE115" s="188"/>
      <c r="BF115" s="70"/>
      <c r="BH115" s="2">
        <f>IFERROR(VLOOKUP(InputTable[[#This Row],[Impact on - CIAL]],'System List'!$F$4:$H$7,3,FALSE),0)</f>
        <v>0</v>
      </c>
      <c r="BI115" s="2">
        <f>IFERROR(VLOOKUP(InputTable[[#This Row],[Impact on - COM]],'System List'!$F$4:$H$7,3,FALSE),0)</f>
        <v>0</v>
      </c>
      <c r="BJ115" s="2">
        <f>IFERROR(VLOOKUP(InputTable[[#This Row],[Impact on - FIN]],'System List'!$F$4:$H$7,3,FALSE),0)</f>
        <v>0</v>
      </c>
      <c r="BK115" s="2">
        <f>IFERROR(VLOOKUP(InputTable[[#This Row],[Impact on - GEN SEC]],'System List'!$F$4:$H$7,3,FALSE),0)</f>
        <v>0</v>
      </c>
      <c r="BL115" s="2">
        <f>IFERROR(VLOOKUP(InputTable[[#This Row],[Impact on - HR]],'System List'!$F$4:$H$7,3,FALSE),0)</f>
        <v>0</v>
      </c>
      <c r="BM115" s="2">
        <f>IFERROR(VLOOKUP(InputTable[[#This Row],[Impact on - IS]],'System List'!$F$4:$H$7,3,FALSE),0)</f>
        <v>0</v>
      </c>
      <c r="BN115" s="2">
        <f>IFERROR(VLOOKUP(InputTable[[#This Row],[Impact on - OPS]],'System List'!$F$4:$H$7,3,FALSE),0)</f>
        <v>0</v>
      </c>
      <c r="BO115" s="2">
        <f>IFERROR(VLOOKUP(InputTable[[#This Row],[Impact on - ROLL STOCK]],'System List'!$F$4:$H$7,3,FALSE),0)</f>
        <v>0</v>
      </c>
      <c r="BP115" s="2">
        <f>IFERROR(VLOOKUP(InputTable[[#This Row],[Impact on - SAFETY]],'System List'!$F$4:$H$7,3,FALSE),0)</f>
        <v>0</v>
      </c>
      <c r="BQ115" s="2">
        <f>IFERROR(VLOOKUP(InputTable[[#This Row],[Impact on - STATION]],'System List'!$F$4:$H$7,3,FALSE),0)</f>
        <v>0</v>
      </c>
      <c r="BR115" s="2">
        <f>IFERROR(VLOOKUP(InputTable[[#This Row],[Impact on - STRAT]],'System List'!$F$4:$H$7,3,FALSE),0)</f>
        <v>0</v>
      </c>
      <c r="BT115" s="2">
        <f>IFERROR(VLOOKUP(InputTable[[#This Row],[CORPHRFIN]],'System List'!$F$4:$H$7,3,FALSE),0)</f>
        <v>0</v>
      </c>
      <c r="BU115" s="2">
        <f>IFERROR(VLOOKUP(InputTable[[#This Row],[CUST]],'System List'!$F$4:$H$7,3,FALSE),0)</f>
        <v>0</v>
      </c>
      <c r="BV115" s="2">
        <f>IFERROR(VLOOKUP(InputTable[[#This Row],[CYBER]],'System List'!$F$4:$H$7,3,FALSE),0)</f>
        <v>0</v>
      </c>
      <c r="BW115" s="2">
        <f>IFERROR(VLOOKUP(InputTable[[#This Row],[DATA]],'System List'!$F$4:$H$7,3,FALSE),0)</f>
        <v>0</v>
      </c>
      <c r="BX115" s="2">
        <f>IFERROR(VLOOKUP(InputTable[[#This Row],[INFRA]],'System List'!$F$4:$H$7,3,FALSE),0)</f>
        <v>0</v>
      </c>
      <c r="BY115" s="2">
        <f>IFERROR(VLOOKUP(InputTable[[#This Row],[OPERATIONS]],'System List'!$F$4:$H$7,3,FALSE),0)</f>
        <v>0</v>
      </c>
      <c r="BZ115" s="2">
        <f>IFERROR(VLOOKUP(InputTable[[#This Row],[PMO]],'System List'!$F$4:$H$7,3,FALSE),0)</f>
        <v>0</v>
      </c>
      <c r="CA115" s="2">
        <f>IFERROR(VLOOKUP(InputTable[[#This Row],[SALES]],'System List'!$F$4:$H$7,3,FALSE),0)</f>
        <v>0</v>
      </c>
      <c r="CC115" s="2" cm="1">
        <f t="array" ref="CC11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5" s="2" cm="1">
        <f t="array" ref="CD11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5" s="2" cm="1">
        <f t="array" ref="CE11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5" s="2" cm="1">
        <f t="array" ref="CF11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5" s="2" cm="1">
        <f t="array" ref="CG11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5" s="2" cm="1">
        <f t="array" ref="CH11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5" s="2" cm="1">
        <f t="array" ref="CI11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5" s="2" cm="1">
        <f t="array" ref="CJ11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5" s="2" cm="1">
        <f t="array" ref="CK11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5" s="26">
        <f t="shared" si="307"/>
        <v>0</v>
      </c>
      <c r="CY115" s="26">
        <f t="shared" si="308"/>
        <v>0</v>
      </c>
      <c r="CZ115" s="26">
        <f t="shared" si="309"/>
        <v>0</v>
      </c>
      <c r="DA115" s="26">
        <f t="shared" si="310"/>
        <v>0</v>
      </c>
      <c r="DB115" s="26">
        <f t="shared" si="311"/>
        <v>0</v>
      </c>
      <c r="DC115" s="26">
        <f t="shared" si="312"/>
        <v>0</v>
      </c>
      <c r="DD115" s="26">
        <f t="shared" si="313"/>
        <v>0</v>
      </c>
      <c r="DE115" s="26">
        <f t="shared" si="314"/>
        <v>0</v>
      </c>
      <c r="DF115" s="26">
        <f t="shared" si="315"/>
        <v>0</v>
      </c>
      <c r="DH115" s="26">
        <f t="shared" si="316"/>
        <v>0</v>
      </c>
      <c r="DI115" s="26">
        <f t="shared" si="317"/>
        <v>0</v>
      </c>
      <c r="DJ115" s="26">
        <f t="shared" si="318"/>
        <v>0</v>
      </c>
      <c r="DK115" s="26">
        <f t="shared" si="319"/>
        <v>0</v>
      </c>
      <c r="DL115" s="26">
        <f t="shared" si="320"/>
        <v>0</v>
      </c>
      <c r="DM115" s="26">
        <f t="shared" si="321"/>
        <v>0</v>
      </c>
      <c r="DN115" s="26">
        <f t="shared" si="322"/>
        <v>0</v>
      </c>
      <c r="DO115" s="26">
        <f t="shared" si="323"/>
        <v>0</v>
      </c>
      <c r="DP115" s="26">
        <f t="shared" si="324"/>
        <v>0</v>
      </c>
      <c r="DR115" s="26">
        <f t="shared" si="325"/>
        <v>0</v>
      </c>
      <c r="DS115" s="26">
        <f t="shared" si="326"/>
        <v>0</v>
      </c>
      <c r="DT115" s="26">
        <f t="shared" si="327"/>
        <v>0</v>
      </c>
      <c r="DU115" s="26">
        <f t="shared" si="328"/>
        <v>0</v>
      </c>
      <c r="DV115" s="26">
        <f t="shared" si="329"/>
        <v>0</v>
      </c>
      <c r="DW115" s="26">
        <f t="shared" si="330"/>
        <v>0</v>
      </c>
      <c r="DX115" s="26">
        <f t="shared" si="331"/>
        <v>0</v>
      </c>
      <c r="DY115" s="26">
        <f t="shared" si="332"/>
        <v>0</v>
      </c>
      <c r="DZ115" s="26">
        <f t="shared" si="333"/>
        <v>0</v>
      </c>
      <c r="EB115" s="26">
        <f t="shared" si="334"/>
        <v>0</v>
      </c>
      <c r="EC115" s="26">
        <f t="shared" si="335"/>
        <v>0</v>
      </c>
      <c r="ED115" s="26">
        <f t="shared" si="336"/>
        <v>0</v>
      </c>
      <c r="EE115" s="26">
        <f t="shared" si="337"/>
        <v>0</v>
      </c>
      <c r="EF115" s="26">
        <f t="shared" si="338"/>
        <v>0</v>
      </c>
      <c r="EG115" s="26">
        <f t="shared" si="339"/>
        <v>0</v>
      </c>
      <c r="EH115" s="26">
        <f t="shared" si="340"/>
        <v>0</v>
      </c>
      <c r="EI115" s="26">
        <f t="shared" si="341"/>
        <v>0</v>
      </c>
      <c r="EJ115" s="26">
        <f t="shared" si="342"/>
        <v>0</v>
      </c>
      <c r="EL115" s="26">
        <f t="shared" si="343"/>
        <v>0</v>
      </c>
      <c r="EM115" s="26">
        <f t="shared" si="344"/>
        <v>0</v>
      </c>
      <c r="EN115" s="26">
        <f t="shared" si="345"/>
        <v>0</v>
      </c>
      <c r="EO115" s="26">
        <f t="shared" si="346"/>
        <v>0</v>
      </c>
      <c r="EP115" s="26">
        <f t="shared" si="347"/>
        <v>0</v>
      </c>
      <c r="EQ115" s="26">
        <f t="shared" si="348"/>
        <v>0</v>
      </c>
      <c r="ER115" s="26">
        <f t="shared" si="349"/>
        <v>0</v>
      </c>
      <c r="ES115" s="26">
        <f t="shared" si="350"/>
        <v>0</v>
      </c>
      <c r="ET115" s="26">
        <f t="shared" si="351"/>
        <v>0</v>
      </c>
      <c r="EV115" s="26">
        <f t="shared" si="352"/>
        <v>0</v>
      </c>
      <c r="EW115" s="26">
        <f t="shared" si="353"/>
        <v>0</v>
      </c>
      <c r="EX115" s="26">
        <f t="shared" si="354"/>
        <v>0</v>
      </c>
      <c r="EY115" s="26">
        <f t="shared" si="355"/>
        <v>0</v>
      </c>
      <c r="EZ115" s="26">
        <f t="shared" si="356"/>
        <v>0</v>
      </c>
      <c r="FA115" s="26">
        <f t="shared" si="357"/>
        <v>0</v>
      </c>
      <c r="FB115" s="26">
        <f t="shared" si="358"/>
        <v>0</v>
      </c>
      <c r="FC115" s="26">
        <f t="shared" si="359"/>
        <v>0</v>
      </c>
      <c r="FD115" s="26">
        <f t="shared" si="360"/>
        <v>0</v>
      </c>
      <c r="FF115" s="26">
        <f t="shared" si="361"/>
        <v>0</v>
      </c>
      <c r="FG115" s="26">
        <f t="shared" si="362"/>
        <v>0</v>
      </c>
      <c r="FH115" s="26">
        <f t="shared" si="363"/>
        <v>0</v>
      </c>
      <c r="FI115" s="26">
        <f t="shared" si="364"/>
        <v>0</v>
      </c>
      <c r="FJ115" s="26">
        <f t="shared" si="365"/>
        <v>0</v>
      </c>
      <c r="FK115" s="26">
        <f t="shared" si="366"/>
        <v>0</v>
      </c>
      <c r="FL115" s="26">
        <f t="shared" si="367"/>
        <v>0</v>
      </c>
      <c r="FM115" s="26">
        <f t="shared" si="368"/>
        <v>0</v>
      </c>
      <c r="FN115" s="26">
        <f t="shared" si="369"/>
        <v>0</v>
      </c>
      <c r="FP115" s="26" t="e">
        <f t="shared" si="370"/>
        <v>#REF!</v>
      </c>
      <c r="FQ115" s="26" t="e">
        <f t="shared" si="371"/>
        <v>#REF!</v>
      </c>
      <c r="FR115" s="26" t="e">
        <f t="shared" si="372"/>
        <v>#REF!</v>
      </c>
      <c r="FS115" s="26" t="e">
        <f t="shared" si="373"/>
        <v>#REF!</v>
      </c>
      <c r="FT115" s="26" t="e">
        <f t="shared" si="374"/>
        <v>#REF!</v>
      </c>
      <c r="FU115" s="26" t="e">
        <f t="shared" si="375"/>
        <v>#REF!</v>
      </c>
      <c r="FV115" s="26" t="e">
        <f t="shared" si="376"/>
        <v>#REF!</v>
      </c>
      <c r="FW115" s="26" t="e">
        <f t="shared" si="377"/>
        <v>#REF!</v>
      </c>
      <c r="FX115" s="26" t="e">
        <f t="shared" si="378"/>
        <v>#REF!</v>
      </c>
      <c r="GB115" s="26" t="e">
        <f>IF(GB$2=InputTable[[#This Row],[Delivery Date]],_xlfn.XLOOKUP(GB$1,$BH$2:$BR$2,$BH115:$BR115,0),0)</f>
        <v>#REF!</v>
      </c>
      <c r="GC115" s="26">
        <f>IF(GC$2=InputTable[[#This Row],[Delivery Date]],_xlfn.XLOOKUP(GC$1,$BH$2:$BR$2,$BH115:$BR115,0),0)</f>
        <v>0</v>
      </c>
      <c r="GD115" s="26">
        <f>IF(GD$2=InputTable[[#This Row],[Delivery Date]],_xlfn.XLOOKUP(GD$1,$BH$2:$BR$2,$BH115:$BR115,0),0)</f>
        <v>0</v>
      </c>
      <c r="GE115" s="26">
        <f>IF(GE$2=InputTable[[#This Row],[Delivery Date]],_xlfn.XLOOKUP(GE$1,$BH$2:$BR$2,$BH115:$BR115,0),0)</f>
        <v>0</v>
      </c>
      <c r="GF115" s="26">
        <f>IF(GF$2=InputTable[[#This Row],[Delivery Date]],_xlfn.XLOOKUP(GF$1,$BH$2:$BR$2,$BH115:$BR115,0),0)</f>
        <v>0</v>
      </c>
      <c r="GG115" s="26">
        <f>IF(GG$2=InputTable[[#This Row],[Delivery Date]],_xlfn.XLOOKUP(GG$1,$BH$2:$BR$2,$BH115:$BR115,0),0)</f>
        <v>0</v>
      </c>
      <c r="GH115" s="26">
        <f>IF(GH$2=InputTable[[#This Row],[Delivery Date]],_xlfn.XLOOKUP(GH$1,$BH$2:$BR$2,$BH115:$BR115,0),0)</f>
        <v>0</v>
      </c>
      <c r="GI115" s="26">
        <f>IF(GI$2=InputTable[[#This Row],[Delivery Date]],_xlfn.XLOOKUP(GI$1,$BH$2:$BR$2,$BH115:$BR115,0),0)</f>
        <v>0</v>
      </c>
      <c r="GJ115" s="26">
        <f>IF(GJ$2=InputTable[[#This Row],[Delivery Date]],_xlfn.XLOOKUP(GJ$1,$BH$2:$BR$2,$BH115:$BR115,0),0)</f>
        <v>0</v>
      </c>
      <c r="GL115" s="26" t="e">
        <f>IF(GL$2=InputTable[[#This Row],[Delivery Date]],_xlfn.XLOOKUP(GL$1,$BH$2:$BR$2,$BH115:$BR115,0),0)</f>
        <v>#REF!</v>
      </c>
      <c r="GM115" s="26">
        <f>IF(GM$2=InputTable[[#This Row],[Delivery Date]],_xlfn.XLOOKUP(GM$1,$BH$2:$BR$2,$BH115:$BR115,0),0)</f>
        <v>0</v>
      </c>
      <c r="GN115" s="26">
        <f>IF(GN$2=InputTable[[#This Row],[Delivery Date]],_xlfn.XLOOKUP(GN$1,$BH$2:$BR$2,$BH115:$BR115,0),0)</f>
        <v>0</v>
      </c>
      <c r="GO115" s="26">
        <f>IF(GO$2=InputTable[[#This Row],[Delivery Date]],_xlfn.XLOOKUP(GO$1,$BH$2:$BR$2,$BH115:$BR115,0),0)</f>
        <v>0</v>
      </c>
      <c r="GP115" s="26">
        <f>IF(GP$2=InputTable[[#This Row],[Delivery Date]],_xlfn.XLOOKUP(GP$1,$BH$2:$BR$2,$BH115:$BR115,0),0)</f>
        <v>0</v>
      </c>
      <c r="GQ115" s="26">
        <f>IF(GQ$2=InputTable[[#This Row],[Delivery Date]],_xlfn.XLOOKUP(GQ$1,$BH$2:$BR$2,$BH115:$BR115,0),0)</f>
        <v>0</v>
      </c>
      <c r="GR115" s="26">
        <f>IF(GR$2=InputTable[[#This Row],[Delivery Date]],_xlfn.XLOOKUP(GR$1,$BH$2:$BR$2,$BH115:$BR115,0),0)</f>
        <v>0</v>
      </c>
      <c r="GS115" s="26">
        <f>IF(GS$2=InputTable[[#This Row],[Delivery Date]],_xlfn.XLOOKUP(GS$1,$BH$2:$BR$2,$BH115:$BR115,0),0)</f>
        <v>0</v>
      </c>
      <c r="GT115" s="26">
        <f>IF(GT$2=InputTable[[#This Row],[Delivery Date]],_xlfn.XLOOKUP(GT$1,$BH$2:$BR$2,$BH115:$BR115,0),0)</f>
        <v>0</v>
      </c>
      <c r="GV115" s="26" t="e">
        <f>IF(GV$2=InputTable[[#This Row],[Delivery Date]],_xlfn.XLOOKUP(GV$1,$BH$2:$BR$2,$BH115:$BR115,0),0)</f>
        <v>#REF!</v>
      </c>
      <c r="GW115" s="26">
        <f>IF(GW$2=InputTable[[#This Row],[Delivery Date]],_xlfn.XLOOKUP(GW$1,$BH$2:$BR$2,$BH115:$BR115,0),0)</f>
        <v>0</v>
      </c>
      <c r="GX115" s="26">
        <f>IF(GX$2=InputTable[[#This Row],[Delivery Date]],_xlfn.XLOOKUP(GX$1,$BH$2:$BR$2,$BH115:$BR115,0),0)</f>
        <v>0</v>
      </c>
      <c r="GY115" s="26">
        <f>IF(GY$2=InputTable[[#This Row],[Delivery Date]],_xlfn.XLOOKUP(GY$1,$BH$2:$BR$2,$BH115:$BR115,0),0)</f>
        <v>0</v>
      </c>
      <c r="GZ115" s="26">
        <f>IF(GZ$2=InputTable[[#This Row],[Delivery Date]],_xlfn.XLOOKUP(GZ$1,$BH$2:$BR$2,$BH115:$BR115,0),0)</f>
        <v>0</v>
      </c>
      <c r="HA115" s="26">
        <f>IF(HA$2=InputTable[[#This Row],[Delivery Date]],_xlfn.XLOOKUP(HA$1,$BH$2:$BR$2,$BH115:$BR115,0),0)</f>
        <v>0</v>
      </c>
      <c r="HB115" s="26">
        <f>IF(HB$2=InputTable[[#This Row],[Delivery Date]],_xlfn.XLOOKUP(HB$1,$BH$2:$BR$2,$BH115:$BR115,0),0)</f>
        <v>0</v>
      </c>
      <c r="HC115" s="26">
        <f>IF(HC$2=InputTable[[#This Row],[Delivery Date]],_xlfn.XLOOKUP(HC$1,$BH$2:$BR$2,$BH115:$BR115,0),0)</f>
        <v>0</v>
      </c>
      <c r="HD115" s="26">
        <f>IF(HD$2=InputTable[[#This Row],[Delivery Date]],_xlfn.XLOOKUP(HD$1,$BH$2:$BR$2,$BH115:$BR115,0),0)</f>
        <v>0</v>
      </c>
      <c r="HF115" s="26" t="e">
        <f>IF(HF$2=InputTable[[#This Row],[Delivery Date]],_xlfn.XLOOKUP(HF$1,$BH$2:$BR$2,$BH115:$BR115,0),0)</f>
        <v>#REF!</v>
      </c>
      <c r="HG115" s="26">
        <f>IF(HG$2=InputTable[[#This Row],[Delivery Date]],_xlfn.XLOOKUP(HG$1,$BH$2:$BR$2,$BH115:$BR115,0),0)</f>
        <v>0</v>
      </c>
      <c r="HH115" s="26">
        <f>IF(HH$2=InputTable[[#This Row],[Delivery Date]],_xlfn.XLOOKUP(HH$1,$BH$2:$BR$2,$BH115:$BR115,0),0)</f>
        <v>0</v>
      </c>
      <c r="HI115" s="26">
        <f>IF(HI$2=InputTable[[#This Row],[Delivery Date]],_xlfn.XLOOKUP(HI$1,$BH$2:$BR$2,$BH115:$BR115,0),0)</f>
        <v>0</v>
      </c>
      <c r="HJ115" s="26">
        <f>IF(HJ$2=InputTable[[#This Row],[Delivery Date]],_xlfn.XLOOKUP(HJ$1,$BH$2:$BR$2,$BH115:$BR115,0),0)</f>
        <v>0</v>
      </c>
      <c r="HK115" s="26">
        <f>IF(HK$2=InputTable[[#This Row],[Delivery Date]],_xlfn.XLOOKUP(HK$1,$BH$2:$BR$2,$BH115:$BR115,0),0)</f>
        <v>0</v>
      </c>
      <c r="HL115" s="26">
        <f>IF(HL$2=InputTable[[#This Row],[Delivery Date]],_xlfn.XLOOKUP(HL$1,$BH$2:$BR$2,$BH115:$BR115,0),0)</f>
        <v>0</v>
      </c>
      <c r="HM115" s="26">
        <f>IF(HM$2=InputTable[[#This Row],[Delivery Date]],_xlfn.XLOOKUP(HM$1,$BH$2:$BR$2,$BH115:$BR115,0),0)</f>
        <v>0</v>
      </c>
      <c r="HN115" s="26">
        <f>IF(HN$2=InputTable[[#This Row],[Delivery Date]],_xlfn.XLOOKUP(HN$1,$BH$2:$BR$2,$BH115:$BR115,0),0)</f>
        <v>0</v>
      </c>
      <c r="HP115" s="26" t="e">
        <f>IF(HP$2=InputTable[[#This Row],[Delivery Date]],_xlfn.XLOOKUP(HP$1,$BH$2:$BR$2,$BH115:$BR115,0),0)</f>
        <v>#REF!</v>
      </c>
      <c r="HQ115" s="26">
        <f>IF(HQ$2=InputTable[[#This Row],[Delivery Date]],_xlfn.XLOOKUP(HQ$1,$BH$2:$BR$2,$BH115:$BR115,0),0)</f>
        <v>0</v>
      </c>
      <c r="HR115" s="26">
        <f>IF(HR$2=InputTable[[#This Row],[Delivery Date]],_xlfn.XLOOKUP(HR$1,$BH$2:$BR$2,$BH115:$BR115,0),0)</f>
        <v>0</v>
      </c>
      <c r="HS115" s="26">
        <f>IF(HS$2=InputTable[[#This Row],[Delivery Date]],_xlfn.XLOOKUP(HS$1,$BH$2:$BR$2,$BH115:$BR115,0),0)</f>
        <v>0</v>
      </c>
      <c r="HT115" s="26">
        <f>IF(HT$2=InputTable[[#This Row],[Delivery Date]],_xlfn.XLOOKUP(HT$1,$BH$2:$BR$2,$BH115:$BR115,0),0)</f>
        <v>0</v>
      </c>
      <c r="HU115" s="26">
        <f>IF(HU$2=InputTable[[#This Row],[Delivery Date]],_xlfn.XLOOKUP(HU$1,$BH$2:$BR$2,$BH115:$BR115,0),0)</f>
        <v>0</v>
      </c>
      <c r="HV115" s="26">
        <f>IF(HV$2=InputTable[[#This Row],[Delivery Date]],_xlfn.XLOOKUP(HV$1,$BH$2:$BR$2,$BH115:$BR115,0),0)</f>
        <v>0</v>
      </c>
      <c r="HW115" s="26">
        <f>IF(HW$2=InputTable[[#This Row],[Delivery Date]],_xlfn.XLOOKUP(HW$1,$BH$2:$BR$2,$BH115:$BR115,0),0)</f>
        <v>0</v>
      </c>
      <c r="HX115" s="26">
        <f>IF(HX$2=InputTable[[#This Row],[Delivery Date]],_xlfn.XLOOKUP(HX$1,$BH$2:$BR$2,$BH115:$BR115,0),0)</f>
        <v>0</v>
      </c>
      <c r="HZ115" s="26" t="e">
        <f>IF(HZ$2=InputTable[[#This Row],[Delivery Date]],_xlfn.XLOOKUP(HZ$1,$BH$2:$BR$2,$BH115:$BR115,0),0)</f>
        <v>#REF!</v>
      </c>
      <c r="IA115" s="26">
        <f>IF(IA$2=InputTable[[#This Row],[Delivery Date]],_xlfn.XLOOKUP(IA$1,$BH$2:$BR$2,$BH115:$BR115,0),0)</f>
        <v>0</v>
      </c>
      <c r="IB115" s="26">
        <f>IF(IB$2=InputTable[[#This Row],[Delivery Date]],_xlfn.XLOOKUP(IB$1,$BH$2:$BR$2,$BH115:$BR115,0),0)</f>
        <v>0</v>
      </c>
      <c r="IC115" s="26">
        <f>IF(IC$2=InputTable[[#This Row],[Delivery Date]],_xlfn.XLOOKUP(IC$1,$BH$2:$BR$2,$BH115:$BR115,0),0)</f>
        <v>0</v>
      </c>
      <c r="ID115" s="26">
        <f>IF(ID$2=InputTable[[#This Row],[Delivery Date]],_xlfn.XLOOKUP(ID$1,$BH$2:$BR$2,$BH115:$BR115,0),0)</f>
        <v>0</v>
      </c>
      <c r="IE115" s="26">
        <f>IF(IE$2=InputTable[[#This Row],[Delivery Date]],_xlfn.XLOOKUP(IE$1,$BH$2:$BR$2,$BH115:$BR115,0),0)</f>
        <v>0</v>
      </c>
      <c r="IF115" s="26">
        <f>IF(IF$2=InputTable[[#This Row],[Delivery Date]],_xlfn.XLOOKUP(IF$1,$BH$2:$BR$2,$BH115:$BR115,0),0)</f>
        <v>0</v>
      </c>
      <c r="IG115" s="26">
        <f>IF(IG$2=InputTable[[#This Row],[Delivery Date]],_xlfn.XLOOKUP(IG$1,$BH$2:$BR$2,$BH115:$BR115,0),0)</f>
        <v>0</v>
      </c>
      <c r="IH115" s="26">
        <f>IF(IH$2=InputTable[[#This Row],[Delivery Date]],_xlfn.XLOOKUP(IH$1,$BH$2:$BR$2,$BH115:$BR115,0),0)</f>
        <v>0</v>
      </c>
      <c r="IJ115" s="26" t="e">
        <f>IF(IJ$2=InputTable[[#This Row],[Delivery Date]],_xlfn.XLOOKUP(IJ$1,$BH$2:$BR$2,$BH115:$BR115,0),0)</f>
        <v>#REF!</v>
      </c>
      <c r="IK115" s="26">
        <f>IF(IK$2=InputTable[[#This Row],[Delivery Date]],_xlfn.XLOOKUP(IK$1,$BH$2:$BR$2,$BH115:$BR115,0),0)</f>
        <v>0</v>
      </c>
      <c r="IL115" s="26">
        <f>IF(IL$2=InputTable[[#This Row],[Delivery Date]],_xlfn.XLOOKUP(IL$1,$BH$2:$BR$2,$BH115:$BR115,0),0)</f>
        <v>0</v>
      </c>
      <c r="IM115" s="26">
        <f>IF(IM$2=InputTable[[#This Row],[Delivery Date]],_xlfn.XLOOKUP(IM$1,$BH$2:$BR$2,$BH115:$BR115,0),0)</f>
        <v>0</v>
      </c>
      <c r="IN115" s="26">
        <f>IF(IN$2=InputTable[[#This Row],[Delivery Date]],_xlfn.XLOOKUP(IN$1,$BH$2:$BR$2,$BH115:$BR115,0),0)</f>
        <v>0</v>
      </c>
      <c r="IO115" s="26">
        <f>IF(IO$2=InputTable[[#This Row],[Delivery Date]],_xlfn.XLOOKUP(IO$1,$BH$2:$BR$2,$BH115:$BR115,0),0)</f>
        <v>0</v>
      </c>
      <c r="IP115" s="26">
        <f>IF(IP$2=InputTable[[#This Row],[Delivery Date]],_xlfn.XLOOKUP(IP$1,$BH$2:$BR$2,$BH115:$BR115,0),0)</f>
        <v>0</v>
      </c>
      <c r="IQ115" s="26">
        <f>IF(IQ$2=InputTable[[#This Row],[Delivery Date]],_xlfn.XLOOKUP(IQ$1,$BH$2:$BR$2,$BH115:$BR115,0),0)</f>
        <v>0</v>
      </c>
      <c r="IR115" s="26">
        <f>IF(IR$2=InputTable[[#This Row],[Delivery Date]],_xlfn.XLOOKUP(IR$1,$BH$2:$BR$2,$BH115:$BR115,0),0)</f>
        <v>0</v>
      </c>
      <c r="IT115" s="26" t="e">
        <f>IF(IT$2=InputTable[[#This Row],[Delivery Date]],_xlfn.XLOOKUP(IT$1,$BH$2:$BR$2,$BH115:$BR115,0),0)</f>
        <v>#REF!</v>
      </c>
      <c r="IU115" s="26">
        <f>IF(IU$2=InputTable[[#This Row],[Delivery Date]],_xlfn.XLOOKUP(IU$1,$BH$2:$BR$2,$BH115:$BR115,0),0)</f>
        <v>0</v>
      </c>
      <c r="IV115" s="26">
        <f>IF(IV$2=InputTable[[#This Row],[Delivery Date]],_xlfn.XLOOKUP(IV$1,$BH$2:$BR$2,$BH115:$BR115,0),0)</f>
        <v>0</v>
      </c>
      <c r="IW115" s="26">
        <f>IF(IW$2=InputTable[[#This Row],[Delivery Date]],_xlfn.XLOOKUP(IW$1,$BH$2:$BR$2,$BH115:$BR115,0),0)</f>
        <v>0</v>
      </c>
      <c r="IX115" s="26">
        <f>IF(IX$2=InputTable[[#This Row],[Delivery Date]],_xlfn.XLOOKUP(IX$1,$BH$2:$BR$2,$BH115:$BR115,0),0)</f>
        <v>0</v>
      </c>
      <c r="IY115" s="26">
        <f>IF(IY$2=InputTable[[#This Row],[Delivery Date]],_xlfn.XLOOKUP(IY$1,$BH$2:$BR$2,$BH115:$BR115,0),0)</f>
        <v>0</v>
      </c>
      <c r="IZ115" s="26">
        <f>IF(IZ$2=InputTable[[#This Row],[Delivery Date]],_xlfn.XLOOKUP(IZ$1,$BH$2:$BR$2,$BH115:$BR115,0),0)</f>
        <v>0</v>
      </c>
      <c r="JA115" s="26">
        <f>IF(JA$2=InputTable[[#This Row],[Delivery Date]],_xlfn.XLOOKUP(JA$1,$BH$2:$BR$2,$BH115:$BR115,0),0)</f>
        <v>0</v>
      </c>
      <c r="JB115" s="26">
        <f>IF(JB$2=InputTable[[#This Row],[Delivery Date]],_xlfn.XLOOKUP(JB$1,$BH$2:$BR$2,$BH115:$BR115,0),0)</f>
        <v>0</v>
      </c>
      <c r="JD115" s="26" t="e">
        <f>IF(JD$2=InputTable[[#This Row],[Delivery Date]],_xlfn.XLOOKUP(JD$1,$BH$2:$BR$2,$BH115:$BR115,0),0)</f>
        <v>#REF!</v>
      </c>
      <c r="JE115" s="26">
        <f>IF(JE$2=InputTable[[#This Row],[Delivery Date]],_xlfn.XLOOKUP(JE$1,$BH$2:$BR$2,$BH115:$BR115,0),0)</f>
        <v>0</v>
      </c>
      <c r="JF115" s="26">
        <f>IF(JF$2=InputTable[[#This Row],[Delivery Date]],_xlfn.XLOOKUP(JF$1,$BH$2:$BR$2,$BH115:$BR115,0),0)</f>
        <v>0</v>
      </c>
      <c r="JG115" s="26">
        <f>IF(JG$2=InputTable[[#This Row],[Delivery Date]],_xlfn.XLOOKUP(JG$1,$BH$2:$BR$2,$BH115:$BR115,0),0)</f>
        <v>0</v>
      </c>
      <c r="JH115" s="26">
        <f>IF(JH$2=InputTable[[#This Row],[Delivery Date]],_xlfn.XLOOKUP(JH$1,$BH$2:$BR$2,$BH115:$BR115,0),0)</f>
        <v>0</v>
      </c>
      <c r="JI115" s="26">
        <f>IF(JI$2=InputTable[[#This Row],[Delivery Date]],_xlfn.XLOOKUP(JI$1,$BH$2:$BR$2,$BH115:$BR115,0),0)</f>
        <v>0</v>
      </c>
      <c r="JJ115" s="26">
        <f>IF(JJ$2=InputTable[[#This Row],[Delivery Date]],_xlfn.XLOOKUP(JJ$1,$BH$2:$BR$2,$BH115:$BR115,0),0)</f>
        <v>0</v>
      </c>
      <c r="JK115" s="26">
        <f>IF(JK$2=InputTable[[#This Row],[Delivery Date]],_xlfn.XLOOKUP(JK$1,$BH$2:$BR$2,$BH115:$BR115,0),0)</f>
        <v>0</v>
      </c>
      <c r="JL115" s="26">
        <f>IF(JL$2=InputTable[[#This Row],[Delivery Date]],_xlfn.XLOOKUP(JL$1,$BH$2:$BR$2,$BH115:$BR115,0),0)</f>
        <v>0</v>
      </c>
      <c r="JN115" s="26" t="e">
        <f>IF(JN$2=InputTable[[#This Row],[Delivery Date]],_xlfn.XLOOKUP(JN$1,$BH$2:$BR$2,$BH115:$BR115,0),0)</f>
        <v>#REF!</v>
      </c>
      <c r="JO115" s="26">
        <f>IF(JO$2=InputTable[[#This Row],[Delivery Date]],_xlfn.XLOOKUP(JO$1,$BH$2:$BR$2,$BH115:$BR115,0),0)</f>
        <v>0</v>
      </c>
      <c r="JP115" s="26">
        <f>IF(JP$2=InputTable[[#This Row],[Delivery Date]],_xlfn.XLOOKUP(JP$1,$BH$2:$BR$2,$BH115:$BR115,0),0)</f>
        <v>0</v>
      </c>
      <c r="JQ115" s="26">
        <f>IF(JQ$2=InputTable[[#This Row],[Delivery Date]],_xlfn.XLOOKUP(JQ$1,$BH$2:$BR$2,$BH115:$BR115,0),0)</f>
        <v>0</v>
      </c>
      <c r="JR115" s="26">
        <f>IF(JR$2=InputTable[[#This Row],[Delivery Date]],_xlfn.XLOOKUP(JR$1,$BH$2:$BR$2,$BH115:$BR115,0),0)</f>
        <v>0</v>
      </c>
      <c r="JS115" s="26">
        <f>IF(JS$2=InputTable[[#This Row],[Delivery Date]],_xlfn.XLOOKUP(JS$1,$BH$2:$BR$2,$BH115:$BR115,0),0)</f>
        <v>0</v>
      </c>
      <c r="JT115" s="26">
        <f>IF(JT$2=InputTable[[#This Row],[Delivery Date]],_xlfn.XLOOKUP(JT$1,$BH$2:$BR$2,$BH115:$BR115,0),0)</f>
        <v>0</v>
      </c>
      <c r="JU115" s="26">
        <f>IF(JU$2=InputTable[[#This Row],[Delivery Date]],_xlfn.XLOOKUP(JU$1,$BH$2:$BR$2,$BH115:$BR115,0),0)</f>
        <v>0</v>
      </c>
      <c r="JV115" s="26">
        <f>IF(JV$2=InputTable[[#This Row],[Delivery Date]],_xlfn.XLOOKUP(JV$1,$BH$2:$BR$2,$BH115:$BR115,0),0)</f>
        <v>0</v>
      </c>
      <c r="JX115" s="26" t="e">
        <f>IF(JX$2=InputTable[[#This Row],[Delivery Date]],_xlfn.XLOOKUP(JX$1,$BH$2:$BR$2,$BH115:$BR115,0),0)</f>
        <v>#REF!</v>
      </c>
      <c r="JY115" s="26">
        <f>IF(JY$2=InputTable[[#This Row],[Delivery Date]],_xlfn.XLOOKUP(JY$1,$BH$2:$BR$2,$BH115:$BR115,0),0)</f>
        <v>0</v>
      </c>
      <c r="JZ115" s="26">
        <f>IF(JZ$2=InputTable[[#This Row],[Delivery Date]],_xlfn.XLOOKUP(JZ$1,$BH$2:$BR$2,$BH115:$BR115,0),0)</f>
        <v>0</v>
      </c>
      <c r="KA115" s="26">
        <f>IF(KA$2=InputTable[[#This Row],[Delivery Date]],_xlfn.XLOOKUP(KA$1,$BH$2:$BR$2,$BH115:$BR115,0),0)</f>
        <v>0</v>
      </c>
      <c r="KB115" s="26">
        <f>IF(KB$2=InputTable[[#This Row],[Delivery Date]],_xlfn.XLOOKUP(KB$1,$BH$2:$BR$2,$BH115:$BR115,0),0)</f>
        <v>0</v>
      </c>
      <c r="KC115" s="26">
        <f>IF(KC$2=InputTable[[#This Row],[Delivery Date]],_xlfn.XLOOKUP(KC$1,$BH$2:$BR$2,$BH115:$BR115,0),0)</f>
        <v>0</v>
      </c>
      <c r="KD115" s="26">
        <f>IF(KD$2=InputTable[[#This Row],[Delivery Date]],_xlfn.XLOOKUP(KD$1,$BH$2:$BR$2,$BH115:$BR115,0),0)</f>
        <v>0</v>
      </c>
      <c r="KE115" s="26">
        <f>IF(KE$2=InputTable[[#This Row],[Delivery Date]],_xlfn.XLOOKUP(KE$1,$BH$2:$BR$2,$BH115:$BR115,0),0)</f>
        <v>0</v>
      </c>
      <c r="KF115" s="26">
        <f>IF(KF$2=InputTable[[#This Row],[Delivery Date]],_xlfn.XLOOKUP(KF$1,$BH$2:$BR$2,$BH115:$BR115,0),0)</f>
        <v>0</v>
      </c>
    </row>
    <row r="116" spans="1:292" ht="39.6" customHeight="1" x14ac:dyDescent="0.25">
      <c r="A116" s="141"/>
      <c r="B116" s="141"/>
      <c r="C116" s="92"/>
      <c r="D116" s="92"/>
      <c r="E116" s="93"/>
      <c r="F116" s="92"/>
      <c r="G116" s="92"/>
      <c r="H116" s="92"/>
      <c r="I116" s="92"/>
      <c r="J116" s="122"/>
      <c r="K116" s="95" t="e">
        <f>VLOOKUP((InputTable[[#This Row],[Starting Date]]&amp; " - " &amp;InputTable[[#This Row],[Delivery Date]]),'System List'!$F$40:$H$83,2,FALSE)</f>
        <v>#N/A</v>
      </c>
      <c r="L116" s="95" t="e">
        <f>VLOOKUP(InputTable[[#This Row],[Duration]],Duration,2,FALSE)</f>
        <v>#N/A</v>
      </c>
      <c r="M116" s="122"/>
      <c r="N116" s="92"/>
      <c r="O116" s="92"/>
      <c r="P116" s="92"/>
      <c r="Q116" s="92"/>
      <c r="R116" s="92"/>
      <c r="S116" s="92"/>
      <c r="T116" s="95"/>
      <c r="U116" s="138"/>
      <c r="V116" s="92"/>
      <c r="W116" s="92"/>
      <c r="X116" s="92"/>
      <c r="Y116" s="92"/>
      <c r="Z116" s="92"/>
      <c r="AA116" s="92"/>
      <c r="AB116" s="92"/>
      <c r="AC116" s="92"/>
      <c r="AD116" s="92">
        <f>COUNTA(InputTable[[#This Row],[CORPHRFIN]:[SALES]])</f>
        <v>0</v>
      </c>
      <c r="AE116" s="88" cm="1">
        <f t="array" ref="AE116">SUM(
_xlfn.XLOOKUP(InputTable[[#This Row],[CORPHRFIN]:[SALES]],'System List'!$F$4:$F$7,'System List'!$H$4:$H$7,0))</f>
        <v>0</v>
      </c>
      <c r="AF116" s="140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88" cm="1">
        <f t="array" ref="AR116">SUM(
_xlfn.XLOOKUP(InputTable[[#This Row],[Impact on - CIAL]:[Impact on - STRAT]],'System List'!$F$4:$F$7,'System List'!$H$4:$H$7,0))</f>
        <v>0</v>
      </c>
      <c r="AS116" s="88" t="e">
        <f>VLOOKUP(InputTable[[#This Row],[Duration]],Duration,2,FALSE)+InputTable[[#This Row],[Resource Score]]</f>
        <v>#N/A</v>
      </c>
      <c r="AT11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6" s="24" t="e">
        <f>InputTable[[#This Row],[Value Score]]/InputTable[[#This Row],[EFFORT SCORE]]*100</f>
        <v>#N/A</v>
      </c>
      <c r="AV116" s="25"/>
      <c r="AW116" s="25"/>
      <c r="AX116" s="208"/>
      <c r="AY116" s="25"/>
      <c r="AZ116" s="209">
        <v>0</v>
      </c>
      <c r="BA116" s="209">
        <v>0</v>
      </c>
      <c r="BB116" s="209"/>
      <c r="BC116" s="189"/>
      <c r="BD116" s="188"/>
      <c r="BE116" s="188"/>
      <c r="BF116" s="70"/>
      <c r="BH116" s="2">
        <f>IFERROR(VLOOKUP(InputTable[[#This Row],[Impact on - CIAL]],'System List'!$F$4:$H$7,3,FALSE),0)</f>
        <v>0</v>
      </c>
      <c r="BI116" s="2">
        <f>IFERROR(VLOOKUP(InputTable[[#This Row],[Impact on - COM]],'System List'!$F$4:$H$7,3,FALSE),0)</f>
        <v>0</v>
      </c>
      <c r="BJ116" s="2">
        <f>IFERROR(VLOOKUP(InputTable[[#This Row],[Impact on - FIN]],'System List'!$F$4:$H$7,3,FALSE),0)</f>
        <v>0</v>
      </c>
      <c r="BK116" s="2">
        <f>IFERROR(VLOOKUP(InputTable[[#This Row],[Impact on - GEN SEC]],'System List'!$F$4:$H$7,3,FALSE),0)</f>
        <v>0</v>
      </c>
      <c r="BL116" s="2">
        <f>IFERROR(VLOOKUP(InputTable[[#This Row],[Impact on - HR]],'System List'!$F$4:$H$7,3,FALSE),0)</f>
        <v>0</v>
      </c>
      <c r="BM116" s="2">
        <f>IFERROR(VLOOKUP(InputTable[[#This Row],[Impact on - IS]],'System List'!$F$4:$H$7,3,FALSE),0)</f>
        <v>0</v>
      </c>
      <c r="BN116" s="2">
        <f>IFERROR(VLOOKUP(InputTable[[#This Row],[Impact on - OPS]],'System List'!$F$4:$H$7,3,FALSE),0)</f>
        <v>0</v>
      </c>
      <c r="BO116" s="2">
        <f>IFERROR(VLOOKUP(InputTable[[#This Row],[Impact on - ROLL STOCK]],'System List'!$F$4:$H$7,3,FALSE),0)</f>
        <v>0</v>
      </c>
      <c r="BP116" s="2">
        <f>IFERROR(VLOOKUP(InputTable[[#This Row],[Impact on - SAFETY]],'System List'!$F$4:$H$7,3,FALSE),0)</f>
        <v>0</v>
      </c>
      <c r="BQ116" s="2">
        <f>IFERROR(VLOOKUP(InputTable[[#This Row],[Impact on - STATION]],'System List'!$F$4:$H$7,3,FALSE),0)</f>
        <v>0</v>
      </c>
      <c r="BR116" s="2">
        <f>IFERROR(VLOOKUP(InputTable[[#This Row],[Impact on - STRAT]],'System List'!$F$4:$H$7,3,FALSE),0)</f>
        <v>0</v>
      </c>
      <c r="BT116" s="2">
        <f>IFERROR(VLOOKUP(InputTable[[#This Row],[CORPHRFIN]],'System List'!$F$4:$H$7,3,FALSE),0)</f>
        <v>0</v>
      </c>
      <c r="BU116" s="2">
        <f>IFERROR(VLOOKUP(InputTable[[#This Row],[CUST]],'System List'!$F$4:$H$7,3,FALSE),0)</f>
        <v>0</v>
      </c>
      <c r="BV116" s="2">
        <f>IFERROR(VLOOKUP(InputTable[[#This Row],[CYBER]],'System List'!$F$4:$H$7,3,FALSE),0)</f>
        <v>0</v>
      </c>
      <c r="BW116" s="2">
        <f>IFERROR(VLOOKUP(InputTable[[#This Row],[DATA]],'System List'!$F$4:$H$7,3,FALSE),0)</f>
        <v>0</v>
      </c>
      <c r="BX116" s="2">
        <f>IFERROR(VLOOKUP(InputTable[[#This Row],[INFRA]],'System List'!$F$4:$H$7,3,FALSE),0)</f>
        <v>0</v>
      </c>
      <c r="BY116" s="2">
        <f>IFERROR(VLOOKUP(InputTable[[#This Row],[OPERATIONS]],'System List'!$F$4:$H$7,3,FALSE),0)</f>
        <v>0</v>
      </c>
      <c r="BZ116" s="2">
        <f>IFERROR(VLOOKUP(InputTable[[#This Row],[PMO]],'System List'!$F$4:$H$7,3,FALSE),0)</f>
        <v>0</v>
      </c>
      <c r="CA116" s="2">
        <f>IFERROR(VLOOKUP(InputTable[[#This Row],[SALES]],'System List'!$F$4:$H$7,3,FALSE),0)</f>
        <v>0</v>
      </c>
      <c r="CC116" s="2" cm="1">
        <f t="array" ref="CC11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6" s="2" cm="1">
        <f t="array" ref="CD11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6" s="2" cm="1">
        <f t="array" ref="CE11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6" s="2" cm="1">
        <f t="array" ref="CF11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6" s="2" cm="1">
        <f t="array" ref="CG11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6" s="2" cm="1">
        <f t="array" ref="CH11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6" s="2" cm="1">
        <f t="array" ref="CI11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6" s="2" cm="1">
        <f t="array" ref="CJ11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6" s="2" cm="1">
        <f t="array" ref="CK11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6" s="26">
        <f t="shared" si="307"/>
        <v>0</v>
      </c>
      <c r="CY116" s="26">
        <f t="shared" si="308"/>
        <v>0</v>
      </c>
      <c r="CZ116" s="26">
        <f t="shared" si="309"/>
        <v>0</v>
      </c>
      <c r="DA116" s="26">
        <f t="shared" si="310"/>
        <v>0</v>
      </c>
      <c r="DB116" s="26">
        <f t="shared" si="311"/>
        <v>0</v>
      </c>
      <c r="DC116" s="26">
        <f t="shared" si="312"/>
        <v>0</v>
      </c>
      <c r="DD116" s="26">
        <f t="shared" si="313"/>
        <v>0</v>
      </c>
      <c r="DE116" s="26">
        <f t="shared" si="314"/>
        <v>0</v>
      </c>
      <c r="DF116" s="26">
        <f t="shared" si="315"/>
        <v>0</v>
      </c>
      <c r="DH116" s="26">
        <f t="shared" si="316"/>
        <v>0</v>
      </c>
      <c r="DI116" s="26">
        <f t="shared" si="317"/>
        <v>0</v>
      </c>
      <c r="DJ116" s="26">
        <f t="shared" si="318"/>
        <v>0</v>
      </c>
      <c r="DK116" s="26">
        <f t="shared" si="319"/>
        <v>0</v>
      </c>
      <c r="DL116" s="26">
        <f t="shared" si="320"/>
        <v>0</v>
      </c>
      <c r="DM116" s="26">
        <f t="shared" si="321"/>
        <v>0</v>
      </c>
      <c r="DN116" s="26">
        <f t="shared" si="322"/>
        <v>0</v>
      </c>
      <c r="DO116" s="26">
        <f t="shared" si="323"/>
        <v>0</v>
      </c>
      <c r="DP116" s="26">
        <f t="shared" si="324"/>
        <v>0</v>
      </c>
      <c r="DR116" s="26">
        <f t="shared" si="325"/>
        <v>0</v>
      </c>
      <c r="DS116" s="26">
        <f t="shared" si="326"/>
        <v>0</v>
      </c>
      <c r="DT116" s="26">
        <f t="shared" si="327"/>
        <v>0</v>
      </c>
      <c r="DU116" s="26">
        <f t="shared" si="328"/>
        <v>0</v>
      </c>
      <c r="DV116" s="26">
        <f t="shared" si="329"/>
        <v>0</v>
      </c>
      <c r="DW116" s="26">
        <f t="shared" si="330"/>
        <v>0</v>
      </c>
      <c r="DX116" s="26">
        <f t="shared" si="331"/>
        <v>0</v>
      </c>
      <c r="DY116" s="26">
        <f t="shared" si="332"/>
        <v>0</v>
      </c>
      <c r="DZ116" s="26">
        <f t="shared" si="333"/>
        <v>0</v>
      </c>
      <c r="EB116" s="26">
        <f t="shared" si="334"/>
        <v>0</v>
      </c>
      <c r="EC116" s="26">
        <f t="shared" si="335"/>
        <v>0</v>
      </c>
      <c r="ED116" s="26">
        <f t="shared" si="336"/>
        <v>0</v>
      </c>
      <c r="EE116" s="26">
        <f t="shared" si="337"/>
        <v>0</v>
      </c>
      <c r="EF116" s="26">
        <f t="shared" si="338"/>
        <v>0</v>
      </c>
      <c r="EG116" s="26">
        <f t="shared" si="339"/>
        <v>0</v>
      </c>
      <c r="EH116" s="26">
        <f t="shared" si="340"/>
        <v>0</v>
      </c>
      <c r="EI116" s="26">
        <f t="shared" si="341"/>
        <v>0</v>
      </c>
      <c r="EJ116" s="26">
        <f t="shared" si="342"/>
        <v>0</v>
      </c>
      <c r="EL116" s="26">
        <f t="shared" si="343"/>
        <v>0</v>
      </c>
      <c r="EM116" s="26">
        <f t="shared" si="344"/>
        <v>0</v>
      </c>
      <c r="EN116" s="26">
        <f t="shared" si="345"/>
        <v>0</v>
      </c>
      <c r="EO116" s="26">
        <f t="shared" si="346"/>
        <v>0</v>
      </c>
      <c r="EP116" s="26">
        <f t="shared" si="347"/>
        <v>0</v>
      </c>
      <c r="EQ116" s="26">
        <f t="shared" si="348"/>
        <v>0</v>
      </c>
      <c r="ER116" s="26">
        <f t="shared" si="349"/>
        <v>0</v>
      </c>
      <c r="ES116" s="26">
        <f t="shared" si="350"/>
        <v>0</v>
      </c>
      <c r="ET116" s="26">
        <f t="shared" si="351"/>
        <v>0</v>
      </c>
      <c r="EV116" s="26">
        <f t="shared" si="352"/>
        <v>0</v>
      </c>
      <c r="EW116" s="26">
        <f t="shared" si="353"/>
        <v>0</v>
      </c>
      <c r="EX116" s="26">
        <f t="shared" si="354"/>
        <v>0</v>
      </c>
      <c r="EY116" s="26">
        <f t="shared" si="355"/>
        <v>0</v>
      </c>
      <c r="EZ116" s="26">
        <f t="shared" si="356"/>
        <v>0</v>
      </c>
      <c r="FA116" s="26">
        <f t="shared" si="357"/>
        <v>0</v>
      </c>
      <c r="FB116" s="26">
        <f t="shared" si="358"/>
        <v>0</v>
      </c>
      <c r="FC116" s="26">
        <f t="shared" si="359"/>
        <v>0</v>
      </c>
      <c r="FD116" s="26">
        <f t="shared" si="360"/>
        <v>0</v>
      </c>
      <c r="FF116" s="26">
        <f t="shared" si="361"/>
        <v>0</v>
      </c>
      <c r="FG116" s="26">
        <f t="shared" si="362"/>
        <v>0</v>
      </c>
      <c r="FH116" s="26">
        <f t="shared" si="363"/>
        <v>0</v>
      </c>
      <c r="FI116" s="26">
        <f t="shared" si="364"/>
        <v>0</v>
      </c>
      <c r="FJ116" s="26">
        <f t="shared" si="365"/>
        <v>0</v>
      </c>
      <c r="FK116" s="26">
        <f t="shared" si="366"/>
        <v>0</v>
      </c>
      <c r="FL116" s="26">
        <f t="shared" si="367"/>
        <v>0</v>
      </c>
      <c r="FM116" s="26">
        <f t="shared" si="368"/>
        <v>0</v>
      </c>
      <c r="FN116" s="26">
        <f t="shared" si="369"/>
        <v>0</v>
      </c>
      <c r="FP116" s="26" t="e">
        <f t="shared" si="370"/>
        <v>#REF!</v>
      </c>
      <c r="FQ116" s="26" t="e">
        <f t="shared" si="371"/>
        <v>#REF!</v>
      </c>
      <c r="FR116" s="26" t="e">
        <f t="shared" si="372"/>
        <v>#REF!</v>
      </c>
      <c r="FS116" s="26" t="e">
        <f t="shared" si="373"/>
        <v>#REF!</v>
      </c>
      <c r="FT116" s="26" t="e">
        <f t="shared" si="374"/>
        <v>#REF!</v>
      </c>
      <c r="FU116" s="26" t="e">
        <f t="shared" si="375"/>
        <v>#REF!</v>
      </c>
      <c r="FV116" s="26" t="e">
        <f t="shared" si="376"/>
        <v>#REF!</v>
      </c>
      <c r="FW116" s="26" t="e">
        <f t="shared" si="377"/>
        <v>#REF!</v>
      </c>
      <c r="FX116" s="26" t="e">
        <f t="shared" si="378"/>
        <v>#REF!</v>
      </c>
      <c r="GB116" s="26" t="e">
        <f>IF(GB$2=InputTable[[#This Row],[Delivery Date]],_xlfn.XLOOKUP(GB$1,$BH$2:$BR$2,$BH116:$BR116,0),0)</f>
        <v>#REF!</v>
      </c>
      <c r="GC116" s="26">
        <f>IF(GC$2=InputTable[[#This Row],[Delivery Date]],_xlfn.XLOOKUP(GC$1,$BH$2:$BR$2,$BH116:$BR116,0),0)</f>
        <v>0</v>
      </c>
      <c r="GD116" s="26">
        <f>IF(GD$2=InputTable[[#This Row],[Delivery Date]],_xlfn.XLOOKUP(GD$1,$BH$2:$BR$2,$BH116:$BR116,0),0)</f>
        <v>0</v>
      </c>
      <c r="GE116" s="26">
        <f>IF(GE$2=InputTable[[#This Row],[Delivery Date]],_xlfn.XLOOKUP(GE$1,$BH$2:$BR$2,$BH116:$BR116,0),0)</f>
        <v>0</v>
      </c>
      <c r="GF116" s="26">
        <f>IF(GF$2=InputTable[[#This Row],[Delivery Date]],_xlfn.XLOOKUP(GF$1,$BH$2:$BR$2,$BH116:$BR116,0),0)</f>
        <v>0</v>
      </c>
      <c r="GG116" s="26">
        <f>IF(GG$2=InputTable[[#This Row],[Delivery Date]],_xlfn.XLOOKUP(GG$1,$BH$2:$BR$2,$BH116:$BR116,0),0)</f>
        <v>0</v>
      </c>
      <c r="GH116" s="26">
        <f>IF(GH$2=InputTable[[#This Row],[Delivery Date]],_xlfn.XLOOKUP(GH$1,$BH$2:$BR$2,$BH116:$BR116,0),0)</f>
        <v>0</v>
      </c>
      <c r="GI116" s="26">
        <f>IF(GI$2=InputTable[[#This Row],[Delivery Date]],_xlfn.XLOOKUP(GI$1,$BH$2:$BR$2,$BH116:$BR116,0),0)</f>
        <v>0</v>
      </c>
      <c r="GJ116" s="26">
        <f>IF(GJ$2=InputTable[[#This Row],[Delivery Date]],_xlfn.XLOOKUP(GJ$1,$BH$2:$BR$2,$BH116:$BR116,0),0)</f>
        <v>0</v>
      </c>
      <c r="GL116" s="26" t="e">
        <f>IF(GL$2=InputTable[[#This Row],[Delivery Date]],_xlfn.XLOOKUP(GL$1,$BH$2:$BR$2,$BH116:$BR116,0),0)</f>
        <v>#REF!</v>
      </c>
      <c r="GM116" s="26">
        <f>IF(GM$2=InputTable[[#This Row],[Delivery Date]],_xlfn.XLOOKUP(GM$1,$BH$2:$BR$2,$BH116:$BR116,0),0)</f>
        <v>0</v>
      </c>
      <c r="GN116" s="26">
        <f>IF(GN$2=InputTable[[#This Row],[Delivery Date]],_xlfn.XLOOKUP(GN$1,$BH$2:$BR$2,$BH116:$BR116,0),0)</f>
        <v>0</v>
      </c>
      <c r="GO116" s="26">
        <f>IF(GO$2=InputTable[[#This Row],[Delivery Date]],_xlfn.XLOOKUP(GO$1,$BH$2:$BR$2,$BH116:$BR116,0),0)</f>
        <v>0</v>
      </c>
      <c r="GP116" s="26">
        <f>IF(GP$2=InputTable[[#This Row],[Delivery Date]],_xlfn.XLOOKUP(GP$1,$BH$2:$BR$2,$BH116:$BR116,0),0)</f>
        <v>0</v>
      </c>
      <c r="GQ116" s="26">
        <f>IF(GQ$2=InputTable[[#This Row],[Delivery Date]],_xlfn.XLOOKUP(GQ$1,$BH$2:$BR$2,$BH116:$BR116,0),0)</f>
        <v>0</v>
      </c>
      <c r="GR116" s="26">
        <f>IF(GR$2=InputTable[[#This Row],[Delivery Date]],_xlfn.XLOOKUP(GR$1,$BH$2:$BR$2,$BH116:$BR116,0),0)</f>
        <v>0</v>
      </c>
      <c r="GS116" s="26">
        <f>IF(GS$2=InputTable[[#This Row],[Delivery Date]],_xlfn.XLOOKUP(GS$1,$BH$2:$BR$2,$BH116:$BR116,0),0)</f>
        <v>0</v>
      </c>
      <c r="GT116" s="26">
        <f>IF(GT$2=InputTable[[#This Row],[Delivery Date]],_xlfn.XLOOKUP(GT$1,$BH$2:$BR$2,$BH116:$BR116,0),0)</f>
        <v>0</v>
      </c>
      <c r="GV116" s="26" t="e">
        <f>IF(GV$2=InputTable[[#This Row],[Delivery Date]],_xlfn.XLOOKUP(GV$1,$BH$2:$BR$2,$BH116:$BR116,0),0)</f>
        <v>#REF!</v>
      </c>
      <c r="GW116" s="26">
        <f>IF(GW$2=InputTable[[#This Row],[Delivery Date]],_xlfn.XLOOKUP(GW$1,$BH$2:$BR$2,$BH116:$BR116,0),0)</f>
        <v>0</v>
      </c>
      <c r="GX116" s="26">
        <f>IF(GX$2=InputTable[[#This Row],[Delivery Date]],_xlfn.XLOOKUP(GX$1,$BH$2:$BR$2,$BH116:$BR116,0),0)</f>
        <v>0</v>
      </c>
      <c r="GY116" s="26">
        <f>IF(GY$2=InputTable[[#This Row],[Delivery Date]],_xlfn.XLOOKUP(GY$1,$BH$2:$BR$2,$BH116:$BR116,0),0)</f>
        <v>0</v>
      </c>
      <c r="GZ116" s="26">
        <f>IF(GZ$2=InputTable[[#This Row],[Delivery Date]],_xlfn.XLOOKUP(GZ$1,$BH$2:$BR$2,$BH116:$BR116,0),0)</f>
        <v>0</v>
      </c>
      <c r="HA116" s="26">
        <f>IF(HA$2=InputTable[[#This Row],[Delivery Date]],_xlfn.XLOOKUP(HA$1,$BH$2:$BR$2,$BH116:$BR116,0),0)</f>
        <v>0</v>
      </c>
      <c r="HB116" s="26">
        <f>IF(HB$2=InputTable[[#This Row],[Delivery Date]],_xlfn.XLOOKUP(HB$1,$BH$2:$BR$2,$BH116:$BR116,0),0)</f>
        <v>0</v>
      </c>
      <c r="HC116" s="26">
        <f>IF(HC$2=InputTable[[#This Row],[Delivery Date]],_xlfn.XLOOKUP(HC$1,$BH$2:$BR$2,$BH116:$BR116,0),0)</f>
        <v>0</v>
      </c>
      <c r="HD116" s="26">
        <f>IF(HD$2=InputTable[[#This Row],[Delivery Date]],_xlfn.XLOOKUP(HD$1,$BH$2:$BR$2,$BH116:$BR116,0),0)</f>
        <v>0</v>
      </c>
      <c r="HF116" s="26" t="e">
        <f>IF(HF$2=InputTable[[#This Row],[Delivery Date]],_xlfn.XLOOKUP(HF$1,$BH$2:$BR$2,$BH116:$BR116,0),0)</f>
        <v>#REF!</v>
      </c>
      <c r="HG116" s="26">
        <f>IF(HG$2=InputTable[[#This Row],[Delivery Date]],_xlfn.XLOOKUP(HG$1,$BH$2:$BR$2,$BH116:$BR116,0),0)</f>
        <v>0</v>
      </c>
      <c r="HH116" s="26">
        <f>IF(HH$2=InputTable[[#This Row],[Delivery Date]],_xlfn.XLOOKUP(HH$1,$BH$2:$BR$2,$BH116:$BR116,0),0)</f>
        <v>0</v>
      </c>
      <c r="HI116" s="26">
        <f>IF(HI$2=InputTable[[#This Row],[Delivery Date]],_xlfn.XLOOKUP(HI$1,$BH$2:$BR$2,$BH116:$BR116,0),0)</f>
        <v>0</v>
      </c>
      <c r="HJ116" s="26">
        <f>IF(HJ$2=InputTable[[#This Row],[Delivery Date]],_xlfn.XLOOKUP(HJ$1,$BH$2:$BR$2,$BH116:$BR116,0),0)</f>
        <v>0</v>
      </c>
      <c r="HK116" s="26">
        <f>IF(HK$2=InputTable[[#This Row],[Delivery Date]],_xlfn.XLOOKUP(HK$1,$BH$2:$BR$2,$BH116:$BR116,0),0)</f>
        <v>0</v>
      </c>
      <c r="HL116" s="26">
        <f>IF(HL$2=InputTable[[#This Row],[Delivery Date]],_xlfn.XLOOKUP(HL$1,$BH$2:$BR$2,$BH116:$BR116,0),0)</f>
        <v>0</v>
      </c>
      <c r="HM116" s="26">
        <f>IF(HM$2=InputTable[[#This Row],[Delivery Date]],_xlfn.XLOOKUP(HM$1,$BH$2:$BR$2,$BH116:$BR116,0),0)</f>
        <v>0</v>
      </c>
      <c r="HN116" s="26">
        <f>IF(HN$2=InputTable[[#This Row],[Delivery Date]],_xlfn.XLOOKUP(HN$1,$BH$2:$BR$2,$BH116:$BR116,0),0)</f>
        <v>0</v>
      </c>
      <c r="HP116" s="26" t="e">
        <f>IF(HP$2=InputTable[[#This Row],[Delivery Date]],_xlfn.XLOOKUP(HP$1,$BH$2:$BR$2,$BH116:$BR116,0),0)</f>
        <v>#REF!</v>
      </c>
      <c r="HQ116" s="26">
        <f>IF(HQ$2=InputTable[[#This Row],[Delivery Date]],_xlfn.XLOOKUP(HQ$1,$BH$2:$BR$2,$BH116:$BR116,0),0)</f>
        <v>0</v>
      </c>
      <c r="HR116" s="26">
        <f>IF(HR$2=InputTable[[#This Row],[Delivery Date]],_xlfn.XLOOKUP(HR$1,$BH$2:$BR$2,$BH116:$BR116,0),0)</f>
        <v>0</v>
      </c>
      <c r="HS116" s="26">
        <f>IF(HS$2=InputTable[[#This Row],[Delivery Date]],_xlfn.XLOOKUP(HS$1,$BH$2:$BR$2,$BH116:$BR116,0),0)</f>
        <v>0</v>
      </c>
      <c r="HT116" s="26">
        <f>IF(HT$2=InputTable[[#This Row],[Delivery Date]],_xlfn.XLOOKUP(HT$1,$BH$2:$BR$2,$BH116:$BR116,0),0)</f>
        <v>0</v>
      </c>
      <c r="HU116" s="26">
        <f>IF(HU$2=InputTable[[#This Row],[Delivery Date]],_xlfn.XLOOKUP(HU$1,$BH$2:$BR$2,$BH116:$BR116,0),0)</f>
        <v>0</v>
      </c>
      <c r="HV116" s="26">
        <f>IF(HV$2=InputTable[[#This Row],[Delivery Date]],_xlfn.XLOOKUP(HV$1,$BH$2:$BR$2,$BH116:$BR116,0),0)</f>
        <v>0</v>
      </c>
      <c r="HW116" s="26">
        <f>IF(HW$2=InputTable[[#This Row],[Delivery Date]],_xlfn.XLOOKUP(HW$1,$BH$2:$BR$2,$BH116:$BR116,0),0)</f>
        <v>0</v>
      </c>
      <c r="HX116" s="26">
        <f>IF(HX$2=InputTable[[#This Row],[Delivery Date]],_xlfn.XLOOKUP(HX$1,$BH$2:$BR$2,$BH116:$BR116,0),0)</f>
        <v>0</v>
      </c>
      <c r="HZ116" s="26" t="e">
        <f>IF(HZ$2=InputTable[[#This Row],[Delivery Date]],_xlfn.XLOOKUP(HZ$1,$BH$2:$BR$2,$BH116:$BR116,0),0)</f>
        <v>#REF!</v>
      </c>
      <c r="IA116" s="26">
        <f>IF(IA$2=InputTable[[#This Row],[Delivery Date]],_xlfn.XLOOKUP(IA$1,$BH$2:$BR$2,$BH116:$BR116,0),0)</f>
        <v>0</v>
      </c>
      <c r="IB116" s="26">
        <f>IF(IB$2=InputTable[[#This Row],[Delivery Date]],_xlfn.XLOOKUP(IB$1,$BH$2:$BR$2,$BH116:$BR116,0),0)</f>
        <v>0</v>
      </c>
      <c r="IC116" s="26">
        <f>IF(IC$2=InputTable[[#This Row],[Delivery Date]],_xlfn.XLOOKUP(IC$1,$BH$2:$BR$2,$BH116:$BR116,0),0)</f>
        <v>0</v>
      </c>
      <c r="ID116" s="26">
        <f>IF(ID$2=InputTable[[#This Row],[Delivery Date]],_xlfn.XLOOKUP(ID$1,$BH$2:$BR$2,$BH116:$BR116,0),0)</f>
        <v>0</v>
      </c>
      <c r="IE116" s="26">
        <f>IF(IE$2=InputTable[[#This Row],[Delivery Date]],_xlfn.XLOOKUP(IE$1,$BH$2:$BR$2,$BH116:$BR116,0),0)</f>
        <v>0</v>
      </c>
      <c r="IF116" s="26">
        <f>IF(IF$2=InputTable[[#This Row],[Delivery Date]],_xlfn.XLOOKUP(IF$1,$BH$2:$BR$2,$BH116:$BR116,0),0)</f>
        <v>0</v>
      </c>
      <c r="IG116" s="26">
        <f>IF(IG$2=InputTable[[#This Row],[Delivery Date]],_xlfn.XLOOKUP(IG$1,$BH$2:$BR$2,$BH116:$BR116,0),0)</f>
        <v>0</v>
      </c>
      <c r="IH116" s="26">
        <f>IF(IH$2=InputTable[[#This Row],[Delivery Date]],_xlfn.XLOOKUP(IH$1,$BH$2:$BR$2,$BH116:$BR116,0),0)</f>
        <v>0</v>
      </c>
      <c r="IJ116" s="26" t="e">
        <f>IF(IJ$2=InputTable[[#This Row],[Delivery Date]],_xlfn.XLOOKUP(IJ$1,$BH$2:$BR$2,$BH116:$BR116,0),0)</f>
        <v>#REF!</v>
      </c>
      <c r="IK116" s="26">
        <f>IF(IK$2=InputTable[[#This Row],[Delivery Date]],_xlfn.XLOOKUP(IK$1,$BH$2:$BR$2,$BH116:$BR116,0),0)</f>
        <v>0</v>
      </c>
      <c r="IL116" s="26">
        <f>IF(IL$2=InputTable[[#This Row],[Delivery Date]],_xlfn.XLOOKUP(IL$1,$BH$2:$BR$2,$BH116:$BR116,0),0)</f>
        <v>0</v>
      </c>
      <c r="IM116" s="26">
        <f>IF(IM$2=InputTable[[#This Row],[Delivery Date]],_xlfn.XLOOKUP(IM$1,$BH$2:$BR$2,$BH116:$BR116,0),0)</f>
        <v>0</v>
      </c>
      <c r="IN116" s="26">
        <f>IF(IN$2=InputTable[[#This Row],[Delivery Date]],_xlfn.XLOOKUP(IN$1,$BH$2:$BR$2,$BH116:$BR116,0),0)</f>
        <v>0</v>
      </c>
      <c r="IO116" s="26">
        <f>IF(IO$2=InputTable[[#This Row],[Delivery Date]],_xlfn.XLOOKUP(IO$1,$BH$2:$BR$2,$BH116:$BR116,0),0)</f>
        <v>0</v>
      </c>
      <c r="IP116" s="26">
        <f>IF(IP$2=InputTable[[#This Row],[Delivery Date]],_xlfn.XLOOKUP(IP$1,$BH$2:$BR$2,$BH116:$BR116,0),0)</f>
        <v>0</v>
      </c>
      <c r="IQ116" s="26">
        <f>IF(IQ$2=InputTable[[#This Row],[Delivery Date]],_xlfn.XLOOKUP(IQ$1,$BH$2:$BR$2,$BH116:$BR116,0),0)</f>
        <v>0</v>
      </c>
      <c r="IR116" s="26">
        <f>IF(IR$2=InputTable[[#This Row],[Delivery Date]],_xlfn.XLOOKUP(IR$1,$BH$2:$BR$2,$BH116:$BR116,0),0)</f>
        <v>0</v>
      </c>
      <c r="IT116" s="26" t="e">
        <f>IF(IT$2=InputTable[[#This Row],[Delivery Date]],_xlfn.XLOOKUP(IT$1,$BH$2:$BR$2,$BH116:$BR116,0),0)</f>
        <v>#REF!</v>
      </c>
      <c r="IU116" s="26">
        <f>IF(IU$2=InputTable[[#This Row],[Delivery Date]],_xlfn.XLOOKUP(IU$1,$BH$2:$BR$2,$BH116:$BR116,0),0)</f>
        <v>0</v>
      </c>
      <c r="IV116" s="26">
        <f>IF(IV$2=InputTable[[#This Row],[Delivery Date]],_xlfn.XLOOKUP(IV$1,$BH$2:$BR$2,$BH116:$BR116,0),0)</f>
        <v>0</v>
      </c>
      <c r="IW116" s="26">
        <f>IF(IW$2=InputTable[[#This Row],[Delivery Date]],_xlfn.XLOOKUP(IW$1,$BH$2:$BR$2,$BH116:$BR116,0),0)</f>
        <v>0</v>
      </c>
      <c r="IX116" s="26">
        <f>IF(IX$2=InputTable[[#This Row],[Delivery Date]],_xlfn.XLOOKUP(IX$1,$BH$2:$BR$2,$BH116:$BR116,0),0)</f>
        <v>0</v>
      </c>
      <c r="IY116" s="26">
        <f>IF(IY$2=InputTable[[#This Row],[Delivery Date]],_xlfn.XLOOKUP(IY$1,$BH$2:$BR$2,$BH116:$BR116,0),0)</f>
        <v>0</v>
      </c>
      <c r="IZ116" s="26">
        <f>IF(IZ$2=InputTable[[#This Row],[Delivery Date]],_xlfn.XLOOKUP(IZ$1,$BH$2:$BR$2,$BH116:$BR116,0),0)</f>
        <v>0</v>
      </c>
      <c r="JA116" s="26">
        <f>IF(JA$2=InputTable[[#This Row],[Delivery Date]],_xlfn.XLOOKUP(JA$1,$BH$2:$BR$2,$BH116:$BR116,0),0)</f>
        <v>0</v>
      </c>
      <c r="JB116" s="26">
        <f>IF(JB$2=InputTable[[#This Row],[Delivery Date]],_xlfn.XLOOKUP(JB$1,$BH$2:$BR$2,$BH116:$BR116,0),0)</f>
        <v>0</v>
      </c>
      <c r="JD116" s="26" t="e">
        <f>IF(JD$2=InputTable[[#This Row],[Delivery Date]],_xlfn.XLOOKUP(JD$1,$BH$2:$BR$2,$BH116:$BR116,0),0)</f>
        <v>#REF!</v>
      </c>
      <c r="JE116" s="26">
        <f>IF(JE$2=InputTable[[#This Row],[Delivery Date]],_xlfn.XLOOKUP(JE$1,$BH$2:$BR$2,$BH116:$BR116,0),0)</f>
        <v>0</v>
      </c>
      <c r="JF116" s="26">
        <f>IF(JF$2=InputTable[[#This Row],[Delivery Date]],_xlfn.XLOOKUP(JF$1,$BH$2:$BR$2,$BH116:$BR116,0),0)</f>
        <v>0</v>
      </c>
      <c r="JG116" s="26">
        <f>IF(JG$2=InputTable[[#This Row],[Delivery Date]],_xlfn.XLOOKUP(JG$1,$BH$2:$BR$2,$BH116:$BR116,0),0)</f>
        <v>0</v>
      </c>
      <c r="JH116" s="26">
        <f>IF(JH$2=InputTable[[#This Row],[Delivery Date]],_xlfn.XLOOKUP(JH$1,$BH$2:$BR$2,$BH116:$BR116,0),0)</f>
        <v>0</v>
      </c>
      <c r="JI116" s="26">
        <f>IF(JI$2=InputTable[[#This Row],[Delivery Date]],_xlfn.XLOOKUP(JI$1,$BH$2:$BR$2,$BH116:$BR116,0),0)</f>
        <v>0</v>
      </c>
      <c r="JJ116" s="26">
        <f>IF(JJ$2=InputTable[[#This Row],[Delivery Date]],_xlfn.XLOOKUP(JJ$1,$BH$2:$BR$2,$BH116:$BR116,0),0)</f>
        <v>0</v>
      </c>
      <c r="JK116" s="26">
        <f>IF(JK$2=InputTable[[#This Row],[Delivery Date]],_xlfn.XLOOKUP(JK$1,$BH$2:$BR$2,$BH116:$BR116,0),0)</f>
        <v>0</v>
      </c>
      <c r="JL116" s="26">
        <f>IF(JL$2=InputTable[[#This Row],[Delivery Date]],_xlfn.XLOOKUP(JL$1,$BH$2:$BR$2,$BH116:$BR116,0),0)</f>
        <v>0</v>
      </c>
      <c r="JN116" s="26" t="e">
        <f>IF(JN$2=InputTable[[#This Row],[Delivery Date]],_xlfn.XLOOKUP(JN$1,$BH$2:$BR$2,$BH116:$BR116,0),0)</f>
        <v>#REF!</v>
      </c>
      <c r="JO116" s="26">
        <f>IF(JO$2=InputTable[[#This Row],[Delivery Date]],_xlfn.XLOOKUP(JO$1,$BH$2:$BR$2,$BH116:$BR116,0),0)</f>
        <v>0</v>
      </c>
      <c r="JP116" s="26">
        <f>IF(JP$2=InputTable[[#This Row],[Delivery Date]],_xlfn.XLOOKUP(JP$1,$BH$2:$BR$2,$BH116:$BR116,0),0)</f>
        <v>0</v>
      </c>
      <c r="JQ116" s="26">
        <f>IF(JQ$2=InputTable[[#This Row],[Delivery Date]],_xlfn.XLOOKUP(JQ$1,$BH$2:$BR$2,$BH116:$BR116,0),0)</f>
        <v>0</v>
      </c>
      <c r="JR116" s="26">
        <f>IF(JR$2=InputTable[[#This Row],[Delivery Date]],_xlfn.XLOOKUP(JR$1,$BH$2:$BR$2,$BH116:$BR116,0),0)</f>
        <v>0</v>
      </c>
      <c r="JS116" s="26">
        <f>IF(JS$2=InputTable[[#This Row],[Delivery Date]],_xlfn.XLOOKUP(JS$1,$BH$2:$BR$2,$BH116:$BR116,0),0)</f>
        <v>0</v>
      </c>
      <c r="JT116" s="26">
        <f>IF(JT$2=InputTable[[#This Row],[Delivery Date]],_xlfn.XLOOKUP(JT$1,$BH$2:$BR$2,$BH116:$BR116,0),0)</f>
        <v>0</v>
      </c>
      <c r="JU116" s="26">
        <f>IF(JU$2=InputTable[[#This Row],[Delivery Date]],_xlfn.XLOOKUP(JU$1,$BH$2:$BR$2,$BH116:$BR116,0),0)</f>
        <v>0</v>
      </c>
      <c r="JV116" s="26">
        <f>IF(JV$2=InputTable[[#This Row],[Delivery Date]],_xlfn.XLOOKUP(JV$1,$BH$2:$BR$2,$BH116:$BR116,0),0)</f>
        <v>0</v>
      </c>
      <c r="JX116" s="26" t="e">
        <f>IF(JX$2=InputTable[[#This Row],[Delivery Date]],_xlfn.XLOOKUP(JX$1,$BH$2:$BR$2,$BH116:$BR116,0),0)</f>
        <v>#REF!</v>
      </c>
      <c r="JY116" s="26">
        <f>IF(JY$2=InputTable[[#This Row],[Delivery Date]],_xlfn.XLOOKUP(JY$1,$BH$2:$BR$2,$BH116:$BR116,0),0)</f>
        <v>0</v>
      </c>
      <c r="JZ116" s="26">
        <f>IF(JZ$2=InputTable[[#This Row],[Delivery Date]],_xlfn.XLOOKUP(JZ$1,$BH$2:$BR$2,$BH116:$BR116,0),0)</f>
        <v>0</v>
      </c>
      <c r="KA116" s="26">
        <f>IF(KA$2=InputTable[[#This Row],[Delivery Date]],_xlfn.XLOOKUP(KA$1,$BH$2:$BR$2,$BH116:$BR116,0),0)</f>
        <v>0</v>
      </c>
      <c r="KB116" s="26">
        <f>IF(KB$2=InputTable[[#This Row],[Delivery Date]],_xlfn.XLOOKUP(KB$1,$BH$2:$BR$2,$BH116:$BR116,0),0)</f>
        <v>0</v>
      </c>
      <c r="KC116" s="26">
        <f>IF(KC$2=InputTable[[#This Row],[Delivery Date]],_xlfn.XLOOKUP(KC$1,$BH$2:$BR$2,$BH116:$BR116,0),0)</f>
        <v>0</v>
      </c>
      <c r="KD116" s="26">
        <f>IF(KD$2=InputTable[[#This Row],[Delivery Date]],_xlfn.XLOOKUP(KD$1,$BH$2:$BR$2,$BH116:$BR116,0),0)</f>
        <v>0</v>
      </c>
      <c r="KE116" s="26">
        <f>IF(KE$2=InputTable[[#This Row],[Delivery Date]],_xlfn.XLOOKUP(KE$1,$BH$2:$BR$2,$BH116:$BR116,0),0)</f>
        <v>0</v>
      </c>
      <c r="KF116" s="26">
        <f>IF(KF$2=InputTable[[#This Row],[Delivery Date]],_xlfn.XLOOKUP(KF$1,$BH$2:$BR$2,$BH116:$BR116,0),0)</f>
        <v>0</v>
      </c>
    </row>
    <row r="117" spans="1:292" ht="39.6" customHeight="1" x14ac:dyDescent="0.25">
      <c r="A117" s="141"/>
      <c r="B117" s="141"/>
      <c r="C117" s="92"/>
      <c r="D117" s="92"/>
      <c r="E117" s="93"/>
      <c r="F117" s="92"/>
      <c r="G117" s="92"/>
      <c r="H117" s="92"/>
      <c r="I117" s="92"/>
      <c r="J117" s="122"/>
      <c r="K117" s="95" t="e">
        <f>VLOOKUP((InputTable[[#This Row],[Starting Date]]&amp; " - " &amp;InputTable[[#This Row],[Delivery Date]]),'System List'!$F$40:$H$83,2,FALSE)</f>
        <v>#N/A</v>
      </c>
      <c r="L117" s="95" t="e">
        <f>VLOOKUP(InputTable[[#This Row],[Duration]],Duration,2,FALSE)</f>
        <v>#N/A</v>
      </c>
      <c r="M117" s="122"/>
      <c r="N117" s="92"/>
      <c r="O117" s="92"/>
      <c r="P117" s="92"/>
      <c r="Q117" s="92"/>
      <c r="R117" s="92"/>
      <c r="S117" s="92"/>
      <c r="T117" s="95"/>
      <c r="U117" s="138"/>
      <c r="V117" s="92"/>
      <c r="W117" s="92"/>
      <c r="X117" s="92"/>
      <c r="Y117" s="92"/>
      <c r="Z117" s="92"/>
      <c r="AA117" s="92"/>
      <c r="AB117" s="92"/>
      <c r="AC117" s="92"/>
      <c r="AD117" s="92">
        <f>COUNTA(InputTable[[#This Row],[CORPHRFIN]:[SALES]])</f>
        <v>0</v>
      </c>
      <c r="AE117" s="88" cm="1">
        <f t="array" ref="AE117">SUM(
_xlfn.XLOOKUP(InputTable[[#This Row],[CORPHRFIN]:[SALES]],'System List'!$F$4:$F$7,'System List'!$H$4:$H$7,0))</f>
        <v>0</v>
      </c>
      <c r="AF117" s="140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88" cm="1">
        <f t="array" ref="AR117">SUM(
_xlfn.XLOOKUP(InputTable[[#This Row],[Impact on - CIAL]:[Impact on - STRAT]],'System List'!$F$4:$F$7,'System List'!$H$4:$H$7,0))</f>
        <v>0</v>
      </c>
      <c r="AS117" s="88" t="e">
        <f>VLOOKUP(InputTable[[#This Row],[Duration]],Duration,2,FALSE)+InputTable[[#This Row],[Resource Score]]</f>
        <v>#N/A</v>
      </c>
      <c r="AT11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7" s="24" t="e">
        <f>InputTable[[#This Row],[Value Score]]/InputTable[[#This Row],[EFFORT SCORE]]*100</f>
        <v>#N/A</v>
      </c>
      <c r="AV117" s="25"/>
      <c r="AW117" s="25"/>
      <c r="AX117" s="208"/>
      <c r="AY117" s="25"/>
      <c r="AZ117" s="209">
        <v>0</v>
      </c>
      <c r="BA117" s="209">
        <v>0</v>
      </c>
      <c r="BB117" s="209"/>
      <c r="BC117" s="189"/>
      <c r="BD117" s="188"/>
      <c r="BE117" s="188"/>
      <c r="BF117" s="70"/>
      <c r="BH117" s="2">
        <f>IFERROR(VLOOKUP(InputTable[[#This Row],[Impact on - CIAL]],'System List'!$F$4:$H$7,3,FALSE),0)</f>
        <v>0</v>
      </c>
      <c r="BI117" s="2">
        <f>IFERROR(VLOOKUP(InputTable[[#This Row],[Impact on - COM]],'System List'!$F$4:$H$7,3,FALSE),0)</f>
        <v>0</v>
      </c>
      <c r="BJ117" s="2">
        <f>IFERROR(VLOOKUP(InputTable[[#This Row],[Impact on - FIN]],'System List'!$F$4:$H$7,3,FALSE),0)</f>
        <v>0</v>
      </c>
      <c r="BK117" s="2">
        <f>IFERROR(VLOOKUP(InputTable[[#This Row],[Impact on - GEN SEC]],'System List'!$F$4:$H$7,3,FALSE),0)</f>
        <v>0</v>
      </c>
      <c r="BL117" s="2">
        <f>IFERROR(VLOOKUP(InputTable[[#This Row],[Impact on - HR]],'System List'!$F$4:$H$7,3,FALSE),0)</f>
        <v>0</v>
      </c>
      <c r="BM117" s="2">
        <f>IFERROR(VLOOKUP(InputTable[[#This Row],[Impact on - IS]],'System List'!$F$4:$H$7,3,FALSE),0)</f>
        <v>0</v>
      </c>
      <c r="BN117" s="2">
        <f>IFERROR(VLOOKUP(InputTable[[#This Row],[Impact on - OPS]],'System List'!$F$4:$H$7,3,FALSE),0)</f>
        <v>0</v>
      </c>
      <c r="BO117" s="2">
        <f>IFERROR(VLOOKUP(InputTable[[#This Row],[Impact on - ROLL STOCK]],'System List'!$F$4:$H$7,3,FALSE),0)</f>
        <v>0</v>
      </c>
      <c r="BP117" s="2">
        <f>IFERROR(VLOOKUP(InputTable[[#This Row],[Impact on - SAFETY]],'System List'!$F$4:$H$7,3,FALSE),0)</f>
        <v>0</v>
      </c>
      <c r="BQ117" s="2">
        <f>IFERROR(VLOOKUP(InputTable[[#This Row],[Impact on - STATION]],'System List'!$F$4:$H$7,3,FALSE),0)</f>
        <v>0</v>
      </c>
      <c r="BR117" s="2">
        <f>IFERROR(VLOOKUP(InputTable[[#This Row],[Impact on - STRAT]],'System List'!$F$4:$H$7,3,FALSE),0)</f>
        <v>0</v>
      </c>
      <c r="BT117" s="2">
        <f>IFERROR(VLOOKUP(InputTable[[#This Row],[CORPHRFIN]],'System List'!$F$4:$H$7,3,FALSE),0)</f>
        <v>0</v>
      </c>
      <c r="BU117" s="2">
        <f>IFERROR(VLOOKUP(InputTable[[#This Row],[CUST]],'System List'!$F$4:$H$7,3,FALSE),0)</f>
        <v>0</v>
      </c>
      <c r="BV117" s="2">
        <f>IFERROR(VLOOKUP(InputTable[[#This Row],[CYBER]],'System List'!$F$4:$H$7,3,FALSE),0)</f>
        <v>0</v>
      </c>
      <c r="BW117" s="2">
        <f>IFERROR(VLOOKUP(InputTable[[#This Row],[DATA]],'System List'!$F$4:$H$7,3,FALSE),0)</f>
        <v>0</v>
      </c>
      <c r="BX117" s="2">
        <f>IFERROR(VLOOKUP(InputTable[[#This Row],[INFRA]],'System List'!$F$4:$H$7,3,FALSE),0)</f>
        <v>0</v>
      </c>
      <c r="BY117" s="2">
        <f>IFERROR(VLOOKUP(InputTable[[#This Row],[OPERATIONS]],'System List'!$F$4:$H$7,3,FALSE),0)</f>
        <v>0</v>
      </c>
      <c r="BZ117" s="2">
        <f>IFERROR(VLOOKUP(InputTable[[#This Row],[PMO]],'System List'!$F$4:$H$7,3,FALSE),0)</f>
        <v>0</v>
      </c>
      <c r="CA117" s="2">
        <f>IFERROR(VLOOKUP(InputTable[[#This Row],[SALES]],'System List'!$F$4:$H$7,3,FALSE),0)</f>
        <v>0</v>
      </c>
      <c r="CC117" s="2" cm="1">
        <f t="array" ref="CC11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7" s="2" cm="1">
        <f t="array" ref="CD11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7" s="2" cm="1">
        <f t="array" ref="CE11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7" s="2" cm="1">
        <f t="array" ref="CF11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7" s="2" cm="1">
        <f t="array" ref="CG11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7" s="2" cm="1">
        <f t="array" ref="CH11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7" s="2" cm="1">
        <f t="array" ref="CI11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7" s="2" cm="1">
        <f t="array" ref="CJ11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7" s="2" cm="1">
        <f t="array" ref="CK11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7" s="26">
        <f t="shared" si="307"/>
        <v>0</v>
      </c>
      <c r="CY117" s="26">
        <f t="shared" si="308"/>
        <v>0</v>
      </c>
      <c r="CZ117" s="26">
        <f t="shared" si="309"/>
        <v>0</v>
      </c>
      <c r="DA117" s="26">
        <f t="shared" si="310"/>
        <v>0</v>
      </c>
      <c r="DB117" s="26">
        <f t="shared" si="311"/>
        <v>0</v>
      </c>
      <c r="DC117" s="26">
        <f t="shared" si="312"/>
        <v>0</v>
      </c>
      <c r="DD117" s="26">
        <f t="shared" si="313"/>
        <v>0</v>
      </c>
      <c r="DE117" s="26">
        <f t="shared" si="314"/>
        <v>0</v>
      </c>
      <c r="DF117" s="26">
        <f t="shared" si="315"/>
        <v>0</v>
      </c>
      <c r="DH117" s="26">
        <f t="shared" si="316"/>
        <v>0</v>
      </c>
      <c r="DI117" s="26">
        <f t="shared" si="317"/>
        <v>0</v>
      </c>
      <c r="DJ117" s="26">
        <f t="shared" si="318"/>
        <v>0</v>
      </c>
      <c r="DK117" s="26">
        <f t="shared" si="319"/>
        <v>0</v>
      </c>
      <c r="DL117" s="26">
        <f t="shared" si="320"/>
        <v>0</v>
      </c>
      <c r="DM117" s="26">
        <f t="shared" si="321"/>
        <v>0</v>
      </c>
      <c r="DN117" s="26">
        <f t="shared" si="322"/>
        <v>0</v>
      </c>
      <c r="DO117" s="26">
        <f t="shared" si="323"/>
        <v>0</v>
      </c>
      <c r="DP117" s="26">
        <f t="shared" si="324"/>
        <v>0</v>
      </c>
      <c r="DR117" s="26">
        <f t="shared" si="325"/>
        <v>0</v>
      </c>
      <c r="DS117" s="26">
        <f t="shared" si="326"/>
        <v>0</v>
      </c>
      <c r="DT117" s="26">
        <f t="shared" si="327"/>
        <v>0</v>
      </c>
      <c r="DU117" s="26">
        <f t="shared" si="328"/>
        <v>0</v>
      </c>
      <c r="DV117" s="26">
        <f t="shared" si="329"/>
        <v>0</v>
      </c>
      <c r="DW117" s="26">
        <f t="shared" si="330"/>
        <v>0</v>
      </c>
      <c r="DX117" s="26">
        <f t="shared" si="331"/>
        <v>0</v>
      </c>
      <c r="DY117" s="26">
        <f t="shared" si="332"/>
        <v>0</v>
      </c>
      <c r="DZ117" s="26">
        <f t="shared" si="333"/>
        <v>0</v>
      </c>
      <c r="EB117" s="26">
        <f t="shared" si="334"/>
        <v>0</v>
      </c>
      <c r="EC117" s="26">
        <f t="shared" si="335"/>
        <v>0</v>
      </c>
      <c r="ED117" s="26">
        <f t="shared" si="336"/>
        <v>0</v>
      </c>
      <c r="EE117" s="26">
        <f t="shared" si="337"/>
        <v>0</v>
      </c>
      <c r="EF117" s="26">
        <f t="shared" si="338"/>
        <v>0</v>
      </c>
      <c r="EG117" s="26">
        <f t="shared" si="339"/>
        <v>0</v>
      </c>
      <c r="EH117" s="26">
        <f t="shared" si="340"/>
        <v>0</v>
      </c>
      <c r="EI117" s="26">
        <f t="shared" si="341"/>
        <v>0</v>
      </c>
      <c r="EJ117" s="26">
        <f t="shared" si="342"/>
        <v>0</v>
      </c>
      <c r="EL117" s="26">
        <f t="shared" si="343"/>
        <v>0</v>
      </c>
      <c r="EM117" s="26">
        <f t="shared" si="344"/>
        <v>0</v>
      </c>
      <c r="EN117" s="26">
        <f t="shared" si="345"/>
        <v>0</v>
      </c>
      <c r="EO117" s="26">
        <f t="shared" si="346"/>
        <v>0</v>
      </c>
      <c r="EP117" s="26">
        <f t="shared" si="347"/>
        <v>0</v>
      </c>
      <c r="EQ117" s="26">
        <f t="shared" si="348"/>
        <v>0</v>
      </c>
      <c r="ER117" s="26">
        <f t="shared" si="349"/>
        <v>0</v>
      </c>
      <c r="ES117" s="26">
        <f t="shared" si="350"/>
        <v>0</v>
      </c>
      <c r="ET117" s="26">
        <f t="shared" si="351"/>
        <v>0</v>
      </c>
      <c r="EV117" s="26">
        <f t="shared" si="352"/>
        <v>0</v>
      </c>
      <c r="EW117" s="26">
        <f t="shared" si="353"/>
        <v>0</v>
      </c>
      <c r="EX117" s="26">
        <f t="shared" si="354"/>
        <v>0</v>
      </c>
      <c r="EY117" s="26">
        <f t="shared" si="355"/>
        <v>0</v>
      </c>
      <c r="EZ117" s="26">
        <f t="shared" si="356"/>
        <v>0</v>
      </c>
      <c r="FA117" s="26">
        <f t="shared" si="357"/>
        <v>0</v>
      </c>
      <c r="FB117" s="26">
        <f t="shared" si="358"/>
        <v>0</v>
      </c>
      <c r="FC117" s="26">
        <f t="shared" si="359"/>
        <v>0</v>
      </c>
      <c r="FD117" s="26">
        <f t="shared" si="360"/>
        <v>0</v>
      </c>
      <c r="FF117" s="26">
        <f t="shared" si="361"/>
        <v>0</v>
      </c>
      <c r="FG117" s="26">
        <f t="shared" si="362"/>
        <v>0</v>
      </c>
      <c r="FH117" s="26">
        <f t="shared" si="363"/>
        <v>0</v>
      </c>
      <c r="FI117" s="26">
        <f t="shared" si="364"/>
        <v>0</v>
      </c>
      <c r="FJ117" s="26">
        <f t="shared" si="365"/>
        <v>0</v>
      </c>
      <c r="FK117" s="26">
        <f t="shared" si="366"/>
        <v>0</v>
      </c>
      <c r="FL117" s="26">
        <f t="shared" si="367"/>
        <v>0</v>
      </c>
      <c r="FM117" s="26">
        <f t="shared" si="368"/>
        <v>0</v>
      </c>
      <c r="FN117" s="26">
        <f t="shared" si="369"/>
        <v>0</v>
      </c>
      <c r="FP117" s="26" t="e">
        <f t="shared" si="370"/>
        <v>#REF!</v>
      </c>
      <c r="FQ117" s="26" t="e">
        <f t="shared" si="371"/>
        <v>#REF!</v>
      </c>
      <c r="FR117" s="26" t="e">
        <f t="shared" si="372"/>
        <v>#REF!</v>
      </c>
      <c r="FS117" s="26" t="e">
        <f t="shared" si="373"/>
        <v>#REF!</v>
      </c>
      <c r="FT117" s="26" t="e">
        <f t="shared" si="374"/>
        <v>#REF!</v>
      </c>
      <c r="FU117" s="26" t="e">
        <f t="shared" si="375"/>
        <v>#REF!</v>
      </c>
      <c r="FV117" s="26" t="e">
        <f t="shared" si="376"/>
        <v>#REF!</v>
      </c>
      <c r="FW117" s="26" t="e">
        <f t="shared" si="377"/>
        <v>#REF!</v>
      </c>
      <c r="FX117" s="26" t="e">
        <f t="shared" si="378"/>
        <v>#REF!</v>
      </c>
      <c r="GB117" s="26" t="e">
        <f>IF(GB$2=InputTable[[#This Row],[Delivery Date]],_xlfn.XLOOKUP(GB$1,$BH$2:$BR$2,$BH117:$BR117,0),0)</f>
        <v>#REF!</v>
      </c>
      <c r="GC117" s="26">
        <f>IF(GC$2=InputTable[[#This Row],[Delivery Date]],_xlfn.XLOOKUP(GC$1,$BH$2:$BR$2,$BH117:$BR117,0),0)</f>
        <v>0</v>
      </c>
      <c r="GD117" s="26">
        <f>IF(GD$2=InputTable[[#This Row],[Delivery Date]],_xlfn.XLOOKUP(GD$1,$BH$2:$BR$2,$BH117:$BR117,0),0)</f>
        <v>0</v>
      </c>
      <c r="GE117" s="26">
        <f>IF(GE$2=InputTable[[#This Row],[Delivery Date]],_xlfn.XLOOKUP(GE$1,$BH$2:$BR$2,$BH117:$BR117,0),0)</f>
        <v>0</v>
      </c>
      <c r="GF117" s="26">
        <f>IF(GF$2=InputTable[[#This Row],[Delivery Date]],_xlfn.XLOOKUP(GF$1,$BH$2:$BR$2,$BH117:$BR117,0),0)</f>
        <v>0</v>
      </c>
      <c r="GG117" s="26">
        <f>IF(GG$2=InputTable[[#This Row],[Delivery Date]],_xlfn.XLOOKUP(GG$1,$BH$2:$BR$2,$BH117:$BR117,0),0)</f>
        <v>0</v>
      </c>
      <c r="GH117" s="26">
        <f>IF(GH$2=InputTable[[#This Row],[Delivery Date]],_xlfn.XLOOKUP(GH$1,$BH$2:$BR$2,$BH117:$BR117,0),0)</f>
        <v>0</v>
      </c>
      <c r="GI117" s="26">
        <f>IF(GI$2=InputTable[[#This Row],[Delivery Date]],_xlfn.XLOOKUP(GI$1,$BH$2:$BR$2,$BH117:$BR117,0),0)</f>
        <v>0</v>
      </c>
      <c r="GJ117" s="26">
        <f>IF(GJ$2=InputTable[[#This Row],[Delivery Date]],_xlfn.XLOOKUP(GJ$1,$BH$2:$BR$2,$BH117:$BR117,0),0)</f>
        <v>0</v>
      </c>
      <c r="GL117" s="26" t="e">
        <f>IF(GL$2=InputTable[[#This Row],[Delivery Date]],_xlfn.XLOOKUP(GL$1,$BH$2:$BR$2,$BH117:$BR117,0),0)</f>
        <v>#REF!</v>
      </c>
      <c r="GM117" s="26">
        <f>IF(GM$2=InputTable[[#This Row],[Delivery Date]],_xlfn.XLOOKUP(GM$1,$BH$2:$BR$2,$BH117:$BR117,0),0)</f>
        <v>0</v>
      </c>
      <c r="GN117" s="26">
        <f>IF(GN$2=InputTable[[#This Row],[Delivery Date]],_xlfn.XLOOKUP(GN$1,$BH$2:$BR$2,$BH117:$BR117,0),0)</f>
        <v>0</v>
      </c>
      <c r="GO117" s="26">
        <f>IF(GO$2=InputTable[[#This Row],[Delivery Date]],_xlfn.XLOOKUP(GO$1,$BH$2:$BR$2,$BH117:$BR117,0),0)</f>
        <v>0</v>
      </c>
      <c r="GP117" s="26">
        <f>IF(GP$2=InputTable[[#This Row],[Delivery Date]],_xlfn.XLOOKUP(GP$1,$BH$2:$BR$2,$BH117:$BR117,0),0)</f>
        <v>0</v>
      </c>
      <c r="GQ117" s="26">
        <f>IF(GQ$2=InputTable[[#This Row],[Delivery Date]],_xlfn.XLOOKUP(GQ$1,$BH$2:$BR$2,$BH117:$BR117,0),0)</f>
        <v>0</v>
      </c>
      <c r="GR117" s="26">
        <f>IF(GR$2=InputTable[[#This Row],[Delivery Date]],_xlfn.XLOOKUP(GR$1,$BH$2:$BR$2,$BH117:$BR117,0),0)</f>
        <v>0</v>
      </c>
      <c r="GS117" s="26">
        <f>IF(GS$2=InputTable[[#This Row],[Delivery Date]],_xlfn.XLOOKUP(GS$1,$BH$2:$BR$2,$BH117:$BR117,0),0)</f>
        <v>0</v>
      </c>
      <c r="GT117" s="26">
        <f>IF(GT$2=InputTable[[#This Row],[Delivery Date]],_xlfn.XLOOKUP(GT$1,$BH$2:$BR$2,$BH117:$BR117,0),0)</f>
        <v>0</v>
      </c>
      <c r="GV117" s="26" t="e">
        <f>IF(GV$2=InputTable[[#This Row],[Delivery Date]],_xlfn.XLOOKUP(GV$1,$BH$2:$BR$2,$BH117:$BR117,0),0)</f>
        <v>#REF!</v>
      </c>
      <c r="GW117" s="26">
        <f>IF(GW$2=InputTable[[#This Row],[Delivery Date]],_xlfn.XLOOKUP(GW$1,$BH$2:$BR$2,$BH117:$BR117,0),0)</f>
        <v>0</v>
      </c>
      <c r="GX117" s="26">
        <f>IF(GX$2=InputTable[[#This Row],[Delivery Date]],_xlfn.XLOOKUP(GX$1,$BH$2:$BR$2,$BH117:$BR117,0),0)</f>
        <v>0</v>
      </c>
      <c r="GY117" s="26">
        <f>IF(GY$2=InputTable[[#This Row],[Delivery Date]],_xlfn.XLOOKUP(GY$1,$BH$2:$BR$2,$BH117:$BR117,0),0)</f>
        <v>0</v>
      </c>
      <c r="GZ117" s="26">
        <f>IF(GZ$2=InputTable[[#This Row],[Delivery Date]],_xlfn.XLOOKUP(GZ$1,$BH$2:$BR$2,$BH117:$BR117,0),0)</f>
        <v>0</v>
      </c>
      <c r="HA117" s="26">
        <f>IF(HA$2=InputTable[[#This Row],[Delivery Date]],_xlfn.XLOOKUP(HA$1,$BH$2:$BR$2,$BH117:$BR117,0),0)</f>
        <v>0</v>
      </c>
      <c r="HB117" s="26">
        <f>IF(HB$2=InputTable[[#This Row],[Delivery Date]],_xlfn.XLOOKUP(HB$1,$BH$2:$BR$2,$BH117:$BR117,0),0)</f>
        <v>0</v>
      </c>
      <c r="HC117" s="26">
        <f>IF(HC$2=InputTable[[#This Row],[Delivery Date]],_xlfn.XLOOKUP(HC$1,$BH$2:$BR$2,$BH117:$BR117,0),0)</f>
        <v>0</v>
      </c>
      <c r="HD117" s="26">
        <f>IF(HD$2=InputTable[[#This Row],[Delivery Date]],_xlfn.XLOOKUP(HD$1,$BH$2:$BR$2,$BH117:$BR117,0),0)</f>
        <v>0</v>
      </c>
      <c r="HF117" s="26" t="e">
        <f>IF(HF$2=InputTable[[#This Row],[Delivery Date]],_xlfn.XLOOKUP(HF$1,$BH$2:$BR$2,$BH117:$BR117,0),0)</f>
        <v>#REF!</v>
      </c>
      <c r="HG117" s="26">
        <f>IF(HG$2=InputTable[[#This Row],[Delivery Date]],_xlfn.XLOOKUP(HG$1,$BH$2:$BR$2,$BH117:$BR117,0),0)</f>
        <v>0</v>
      </c>
      <c r="HH117" s="26">
        <f>IF(HH$2=InputTable[[#This Row],[Delivery Date]],_xlfn.XLOOKUP(HH$1,$BH$2:$BR$2,$BH117:$BR117,0),0)</f>
        <v>0</v>
      </c>
      <c r="HI117" s="26">
        <f>IF(HI$2=InputTable[[#This Row],[Delivery Date]],_xlfn.XLOOKUP(HI$1,$BH$2:$BR$2,$BH117:$BR117,0),0)</f>
        <v>0</v>
      </c>
      <c r="HJ117" s="26">
        <f>IF(HJ$2=InputTable[[#This Row],[Delivery Date]],_xlfn.XLOOKUP(HJ$1,$BH$2:$BR$2,$BH117:$BR117,0),0)</f>
        <v>0</v>
      </c>
      <c r="HK117" s="26">
        <f>IF(HK$2=InputTable[[#This Row],[Delivery Date]],_xlfn.XLOOKUP(HK$1,$BH$2:$BR$2,$BH117:$BR117,0),0)</f>
        <v>0</v>
      </c>
      <c r="HL117" s="26">
        <f>IF(HL$2=InputTable[[#This Row],[Delivery Date]],_xlfn.XLOOKUP(HL$1,$BH$2:$BR$2,$BH117:$BR117,0),0)</f>
        <v>0</v>
      </c>
      <c r="HM117" s="26">
        <f>IF(HM$2=InputTable[[#This Row],[Delivery Date]],_xlfn.XLOOKUP(HM$1,$BH$2:$BR$2,$BH117:$BR117,0),0)</f>
        <v>0</v>
      </c>
      <c r="HN117" s="26">
        <f>IF(HN$2=InputTable[[#This Row],[Delivery Date]],_xlfn.XLOOKUP(HN$1,$BH$2:$BR$2,$BH117:$BR117,0),0)</f>
        <v>0</v>
      </c>
      <c r="HP117" s="26" t="e">
        <f>IF(HP$2=InputTable[[#This Row],[Delivery Date]],_xlfn.XLOOKUP(HP$1,$BH$2:$BR$2,$BH117:$BR117,0),0)</f>
        <v>#REF!</v>
      </c>
      <c r="HQ117" s="26">
        <f>IF(HQ$2=InputTable[[#This Row],[Delivery Date]],_xlfn.XLOOKUP(HQ$1,$BH$2:$BR$2,$BH117:$BR117,0),0)</f>
        <v>0</v>
      </c>
      <c r="HR117" s="26">
        <f>IF(HR$2=InputTable[[#This Row],[Delivery Date]],_xlfn.XLOOKUP(HR$1,$BH$2:$BR$2,$BH117:$BR117,0),0)</f>
        <v>0</v>
      </c>
      <c r="HS117" s="26">
        <f>IF(HS$2=InputTable[[#This Row],[Delivery Date]],_xlfn.XLOOKUP(HS$1,$BH$2:$BR$2,$BH117:$BR117,0),0)</f>
        <v>0</v>
      </c>
      <c r="HT117" s="26">
        <f>IF(HT$2=InputTable[[#This Row],[Delivery Date]],_xlfn.XLOOKUP(HT$1,$BH$2:$BR$2,$BH117:$BR117,0),0)</f>
        <v>0</v>
      </c>
      <c r="HU117" s="26">
        <f>IF(HU$2=InputTable[[#This Row],[Delivery Date]],_xlfn.XLOOKUP(HU$1,$BH$2:$BR$2,$BH117:$BR117,0),0)</f>
        <v>0</v>
      </c>
      <c r="HV117" s="26">
        <f>IF(HV$2=InputTable[[#This Row],[Delivery Date]],_xlfn.XLOOKUP(HV$1,$BH$2:$BR$2,$BH117:$BR117,0),0)</f>
        <v>0</v>
      </c>
      <c r="HW117" s="26">
        <f>IF(HW$2=InputTable[[#This Row],[Delivery Date]],_xlfn.XLOOKUP(HW$1,$BH$2:$BR$2,$BH117:$BR117,0),0)</f>
        <v>0</v>
      </c>
      <c r="HX117" s="26">
        <f>IF(HX$2=InputTable[[#This Row],[Delivery Date]],_xlfn.XLOOKUP(HX$1,$BH$2:$BR$2,$BH117:$BR117,0),0)</f>
        <v>0</v>
      </c>
      <c r="HZ117" s="26" t="e">
        <f>IF(HZ$2=InputTable[[#This Row],[Delivery Date]],_xlfn.XLOOKUP(HZ$1,$BH$2:$BR$2,$BH117:$BR117,0),0)</f>
        <v>#REF!</v>
      </c>
      <c r="IA117" s="26">
        <f>IF(IA$2=InputTable[[#This Row],[Delivery Date]],_xlfn.XLOOKUP(IA$1,$BH$2:$BR$2,$BH117:$BR117,0),0)</f>
        <v>0</v>
      </c>
      <c r="IB117" s="26">
        <f>IF(IB$2=InputTable[[#This Row],[Delivery Date]],_xlfn.XLOOKUP(IB$1,$BH$2:$BR$2,$BH117:$BR117,0),0)</f>
        <v>0</v>
      </c>
      <c r="IC117" s="26">
        <f>IF(IC$2=InputTable[[#This Row],[Delivery Date]],_xlfn.XLOOKUP(IC$1,$BH$2:$BR$2,$BH117:$BR117,0),0)</f>
        <v>0</v>
      </c>
      <c r="ID117" s="26">
        <f>IF(ID$2=InputTable[[#This Row],[Delivery Date]],_xlfn.XLOOKUP(ID$1,$BH$2:$BR$2,$BH117:$BR117,0),0)</f>
        <v>0</v>
      </c>
      <c r="IE117" s="26">
        <f>IF(IE$2=InputTable[[#This Row],[Delivery Date]],_xlfn.XLOOKUP(IE$1,$BH$2:$BR$2,$BH117:$BR117,0),0)</f>
        <v>0</v>
      </c>
      <c r="IF117" s="26">
        <f>IF(IF$2=InputTable[[#This Row],[Delivery Date]],_xlfn.XLOOKUP(IF$1,$BH$2:$BR$2,$BH117:$BR117,0),0)</f>
        <v>0</v>
      </c>
      <c r="IG117" s="26">
        <f>IF(IG$2=InputTable[[#This Row],[Delivery Date]],_xlfn.XLOOKUP(IG$1,$BH$2:$BR$2,$BH117:$BR117,0),0)</f>
        <v>0</v>
      </c>
      <c r="IH117" s="26">
        <f>IF(IH$2=InputTable[[#This Row],[Delivery Date]],_xlfn.XLOOKUP(IH$1,$BH$2:$BR$2,$BH117:$BR117,0),0)</f>
        <v>0</v>
      </c>
      <c r="IJ117" s="26" t="e">
        <f>IF(IJ$2=InputTable[[#This Row],[Delivery Date]],_xlfn.XLOOKUP(IJ$1,$BH$2:$BR$2,$BH117:$BR117,0),0)</f>
        <v>#REF!</v>
      </c>
      <c r="IK117" s="26">
        <f>IF(IK$2=InputTable[[#This Row],[Delivery Date]],_xlfn.XLOOKUP(IK$1,$BH$2:$BR$2,$BH117:$BR117,0),0)</f>
        <v>0</v>
      </c>
      <c r="IL117" s="26">
        <f>IF(IL$2=InputTable[[#This Row],[Delivery Date]],_xlfn.XLOOKUP(IL$1,$BH$2:$BR$2,$BH117:$BR117,0),0)</f>
        <v>0</v>
      </c>
      <c r="IM117" s="26">
        <f>IF(IM$2=InputTable[[#This Row],[Delivery Date]],_xlfn.XLOOKUP(IM$1,$BH$2:$BR$2,$BH117:$BR117,0),0)</f>
        <v>0</v>
      </c>
      <c r="IN117" s="26">
        <f>IF(IN$2=InputTable[[#This Row],[Delivery Date]],_xlfn.XLOOKUP(IN$1,$BH$2:$BR$2,$BH117:$BR117,0),0)</f>
        <v>0</v>
      </c>
      <c r="IO117" s="26">
        <f>IF(IO$2=InputTable[[#This Row],[Delivery Date]],_xlfn.XLOOKUP(IO$1,$BH$2:$BR$2,$BH117:$BR117,0),0)</f>
        <v>0</v>
      </c>
      <c r="IP117" s="26">
        <f>IF(IP$2=InputTable[[#This Row],[Delivery Date]],_xlfn.XLOOKUP(IP$1,$BH$2:$BR$2,$BH117:$BR117,0),0)</f>
        <v>0</v>
      </c>
      <c r="IQ117" s="26">
        <f>IF(IQ$2=InputTable[[#This Row],[Delivery Date]],_xlfn.XLOOKUP(IQ$1,$BH$2:$BR$2,$BH117:$BR117,0),0)</f>
        <v>0</v>
      </c>
      <c r="IR117" s="26">
        <f>IF(IR$2=InputTable[[#This Row],[Delivery Date]],_xlfn.XLOOKUP(IR$1,$BH$2:$BR$2,$BH117:$BR117,0),0)</f>
        <v>0</v>
      </c>
      <c r="IT117" s="26" t="e">
        <f>IF(IT$2=InputTable[[#This Row],[Delivery Date]],_xlfn.XLOOKUP(IT$1,$BH$2:$BR$2,$BH117:$BR117,0),0)</f>
        <v>#REF!</v>
      </c>
      <c r="IU117" s="26">
        <f>IF(IU$2=InputTable[[#This Row],[Delivery Date]],_xlfn.XLOOKUP(IU$1,$BH$2:$BR$2,$BH117:$BR117,0),0)</f>
        <v>0</v>
      </c>
      <c r="IV117" s="26">
        <f>IF(IV$2=InputTable[[#This Row],[Delivery Date]],_xlfn.XLOOKUP(IV$1,$BH$2:$BR$2,$BH117:$BR117,0),0)</f>
        <v>0</v>
      </c>
      <c r="IW117" s="26">
        <f>IF(IW$2=InputTable[[#This Row],[Delivery Date]],_xlfn.XLOOKUP(IW$1,$BH$2:$BR$2,$BH117:$BR117,0),0)</f>
        <v>0</v>
      </c>
      <c r="IX117" s="26">
        <f>IF(IX$2=InputTable[[#This Row],[Delivery Date]],_xlfn.XLOOKUP(IX$1,$BH$2:$BR$2,$BH117:$BR117,0),0)</f>
        <v>0</v>
      </c>
      <c r="IY117" s="26">
        <f>IF(IY$2=InputTable[[#This Row],[Delivery Date]],_xlfn.XLOOKUP(IY$1,$BH$2:$BR$2,$BH117:$BR117,0),0)</f>
        <v>0</v>
      </c>
      <c r="IZ117" s="26">
        <f>IF(IZ$2=InputTable[[#This Row],[Delivery Date]],_xlfn.XLOOKUP(IZ$1,$BH$2:$BR$2,$BH117:$BR117,0),0)</f>
        <v>0</v>
      </c>
      <c r="JA117" s="26">
        <f>IF(JA$2=InputTable[[#This Row],[Delivery Date]],_xlfn.XLOOKUP(JA$1,$BH$2:$BR$2,$BH117:$BR117,0),0)</f>
        <v>0</v>
      </c>
      <c r="JB117" s="26">
        <f>IF(JB$2=InputTable[[#This Row],[Delivery Date]],_xlfn.XLOOKUP(JB$1,$BH$2:$BR$2,$BH117:$BR117,0),0)</f>
        <v>0</v>
      </c>
      <c r="JD117" s="26" t="e">
        <f>IF(JD$2=InputTable[[#This Row],[Delivery Date]],_xlfn.XLOOKUP(JD$1,$BH$2:$BR$2,$BH117:$BR117,0),0)</f>
        <v>#REF!</v>
      </c>
      <c r="JE117" s="26">
        <f>IF(JE$2=InputTable[[#This Row],[Delivery Date]],_xlfn.XLOOKUP(JE$1,$BH$2:$BR$2,$BH117:$BR117,0),0)</f>
        <v>0</v>
      </c>
      <c r="JF117" s="26">
        <f>IF(JF$2=InputTable[[#This Row],[Delivery Date]],_xlfn.XLOOKUP(JF$1,$BH$2:$BR$2,$BH117:$BR117,0),0)</f>
        <v>0</v>
      </c>
      <c r="JG117" s="26">
        <f>IF(JG$2=InputTable[[#This Row],[Delivery Date]],_xlfn.XLOOKUP(JG$1,$BH$2:$BR$2,$BH117:$BR117,0),0)</f>
        <v>0</v>
      </c>
      <c r="JH117" s="26">
        <f>IF(JH$2=InputTable[[#This Row],[Delivery Date]],_xlfn.XLOOKUP(JH$1,$BH$2:$BR$2,$BH117:$BR117,0),0)</f>
        <v>0</v>
      </c>
      <c r="JI117" s="26">
        <f>IF(JI$2=InputTable[[#This Row],[Delivery Date]],_xlfn.XLOOKUP(JI$1,$BH$2:$BR$2,$BH117:$BR117,0),0)</f>
        <v>0</v>
      </c>
      <c r="JJ117" s="26">
        <f>IF(JJ$2=InputTable[[#This Row],[Delivery Date]],_xlfn.XLOOKUP(JJ$1,$BH$2:$BR$2,$BH117:$BR117,0),0)</f>
        <v>0</v>
      </c>
      <c r="JK117" s="26">
        <f>IF(JK$2=InputTable[[#This Row],[Delivery Date]],_xlfn.XLOOKUP(JK$1,$BH$2:$BR$2,$BH117:$BR117,0),0)</f>
        <v>0</v>
      </c>
      <c r="JL117" s="26">
        <f>IF(JL$2=InputTable[[#This Row],[Delivery Date]],_xlfn.XLOOKUP(JL$1,$BH$2:$BR$2,$BH117:$BR117,0),0)</f>
        <v>0</v>
      </c>
      <c r="JN117" s="26" t="e">
        <f>IF(JN$2=InputTable[[#This Row],[Delivery Date]],_xlfn.XLOOKUP(JN$1,$BH$2:$BR$2,$BH117:$BR117,0),0)</f>
        <v>#REF!</v>
      </c>
      <c r="JO117" s="26">
        <f>IF(JO$2=InputTable[[#This Row],[Delivery Date]],_xlfn.XLOOKUP(JO$1,$BH$2:$BR$2,$BH117:$BR117,0),0)</f>
        <v>0</v>
      </c>
      <c r="JP117" s="26">
        <f>IF(JP$2=InputTable[[#This Row],[Delivery Date]],_xlfn.XLOOKUP(JP$1,$BH$2:$BR$2,$BH117:$BR117,0),0)</f>
        <v>0</v>
      </c>
      <c r="JQ117" s="26">
        <f>IF(JQ$2=InputTable[[#This Row],[Delivery Date]],_xlfn.XLOOKUP(JQ$1,$BH$2:$BR$2,$BH117:$BR117,0),0)</f>
        <v>0</v>
      </c>
      <c r="JR117" s="26">
        <f>IF(JR$2=InputTable[[#This Row],[Delivery Date]],_xlfn.XLOOKUP(JR$1,$BH$2:$BR$2,$BH117:$BR117,0),0)</f>
        <v>0</v>
      </c>
      <c r="JS117" s="26">
        <f>IF(JS$2=InputTable[[#This Row],[Delivery Date]],_xlfn.XLOOKUP(JS$1,$BH$2:$BR$2,$BH117:$BR117,0),0)</f>
        <v>0</v>
      </c>
      <c r="JT117" s="26">
        <f>IF(JT$2=InputTable[[#This Row],[Delivery Date]],_xlfn.XLOOKUP(JT$1,$BH$2:$BR$2,$BH117:$BR117,0),0)</f>
        <v>0</v>
      </c>
      <c r="JU117" s="26">
        <f>IF(JU$2=InputTable[[#This Row],[Delivery Date]],_xlfn.XLOOKUP(JU$1,$BH$2:$BR$2,$BH117:$BR117,0),0)</f>
        <v>0</v>
      </c>
      <c r="JV117" s="26">
        <f>IF(JV$2=InputTable[[#This Row],[Delivery Date]],_xlfn.XLOOKUP(JV$1,$BH$2:$BR$2,$BH117:$BR117,0),0)</f>
        <v>0</v>
      </c>
      <c r="JX117" s="26" t="e">
        <f>IF(JX$2=InputTable[[#This Row],[Delivery Date]],_xlfn.XLOOKUP(JX$1,$BH$2:$BR$2,$BH117:$BR117,0),0)</f>
        <v>#REF!</v>
      </c>
      <c r="JY117" s="26">
        <f>IF(JY$2=InputTable[[#This Row],[Delivery Date]],_xlfn.XLOOKUP(JY$1,$BH$2:$BR$2,$BH117:$BR117,0),0)</f>
        <v>0</v>
      </c>
      <c r="JZ117" s="26">
        <f>IF(JZ$2=InputTable[[#This Row],[Delivery Date]],_xlfn.XLOOKUP(JZ$1,$BH$2:$BR$2,$BH117:$BR117,0),0)</f>
        <v>0</v>
      </c>
      <c r="KA117" s="26">
        <f>IF(KA$2=InputTable[[#This Row],[Delivery Date]],_xlfn.XLOOKUP(KA$1,$BH$2:$BR$2,$BH117:$BR117,0),0)</f>
        <v>0</v>
      </c>
      <c r="KB117" s="26">
        <f>IF(KB$2=InputTable[[#This Row],[Delivery Date]],_xlfn.XLOOKUP(KB$1,$BH$2:$BR$2,$BH117:$BR117,0),0)</f>
        <v>0</v>
      </c>
      <c r="KC117" s="26">
        <f>IF(KC$2=InputTable[[#This Row],[Delivery Date]],_xlfn.XLOOKUP(KC$1,$BH$2:$BR$2,$BH117:$BR117,0),0)</f>
        <v>0</v>
      </c>
      <c r="KD117" s="26">
        <f>IF(KD$2=InputTable[[#This Row],[Delivery Date]],_xlfn.XLOOKUP(KD$1,$BH$2:$BR$2,$BH117:$BR117,0),0)</f>
        <v>0</v>
      </c>
      <c r="KE117" s="26">
        <f>IF(KE$2=InputTable[[#This Row],[Delivery Date]],_xlfn.XLOOKUP(KE$1,$BH$2:$BR$2,$BH117:$BR117,0),0)</f>
        <v>0</v>
      </c>
      <c r="KF117" s="26">
        <f>IF(KF$2=InputTable[[#This Row],[Delivery Date]],_xlfn.XLOOKUP(KF$1,$BH$2:$BR$2,$BH117:$BR117,0),0)</f>
        <v>0</v>
      </c>
    </row>
    <row r="118" spans="1:292" ht="39.6" customHeight="1" x14ac:dyDescent="0.25">
      <c r="A118" s="141"/>
      <c r="B118" s="141"/>
      <c r="C118" s="92"/>
      <c r="D118" s="92"/>
      <c r="E118" s="93"/>
      <c r="F118" s="92"/>
      <c r="G118" s="92"/>
      <c r="H118" s="92"/>
      <c r="I118" s="92"/>
      <c r="J118" s="122"/>
      <c r="K118" s="95" t="e">
        <f>VLOOKUP((InputTable[[#This Row],[Starting Date]]&amp; " - " &amp;InputTable[[#This Row],[Delivery Date]]),'System List'!$F$40:$H$83,2,FALSE)</f>
        <v>#N/A</v>
      </c>
      <c r="L118" s="95" t="e">
        <f>VLOOKUP(InputTable[[#This Row],[Duration]],Duration,2,FALSE)</f>
        <v>#N/A</v>
      </c>
      <c r="M118" s="122"/>
      <c r="N118" s="92"/>
      <c r="O118" s="92"/>
      <c r="P118" s="92"/>
      <c r="Q118" s="92"/>
      <c r="R118" s="92"/>
      <c r="S118" s="92"/>
      <c r="T118" s="95"/>
      <c r="U118" s="138"/>
      <c r="V118" s="92"/>
      <c r="W118" s="92"/>
      <c r="X118" s="92"/>
      <c r="Y118" s="92"/>
      <c r="Z118" s="92"/>
      <c r="AA118" s="92"/>
      <c r="AB118" s="92"/>
      <c r="AC118" s="92"/>
      <c r="AD118" s="92">
        <f>COUNTA(InputTable[[#This Row],[CORPHRFIN]:[SALES]])</f>
        <v>0</v>
      </c>
      <c r="AE118" s="88" cm="1">
        <f t="array" ref="AE118">SUM(
_xlfn.XLOOKUP(InputTable[[#This Row],[CORPHRFIN]:[SALES]],'System List'!$F$4:$F$7,'System List'!$H$4:$H$7,0))</f>
        <v>0</v>
      </c>
      <c r="AF118" s="140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88" cm="1">
        <f t="array" ref="AR118">SUM(
_xlfn.XLOOKUP(InputTable[[#This Row],[Impact on - CIAL]:[Impact on - STRAT]],'System List'!$F$4:$F$7,'System List'!$H$4:$H$7,0))</f>
        <v>0</v>
      </c>
      <c r="AS118" s="88" t="e">
        <f>VLOOKUP(InputTable[[#This Row],[Duration]],Duration,2,FALSE)+InputTable[[#This Row],[Resource Score]]</f>
        <v>#N/A</v>
      </c>
      <c r="AT11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8" s="24" t="e">
        <f>InputTable[[#This Row],[Value Score]]/InputTable[[#This Row],[EFFORT SCORE]]*100</f>
        <v>#N/A</v>
      </c>
      <c r="AV118" s="25"/>
      <c r="AW118" s="25"/>
      <c r="AX118" s="208"/>
      <c r="AY118" s="25"/>
      <c r="AZ118" s="209">
        <v>0</v>
      </c>
      <c r="BA118" s="209">
        <v>0</v>
      </c>
      <c r="BB118" s="209"/>
      <c r="BC118" s="189"/>
      <c r="BD118" s="188"/>
      <c r="BE118" s="188"/>
      <c r="BF118" s="70"/>
      <c r="BH118" s="2">
        <f>IFERROR(VLOOKUP(InputTable[[#This Row],[Impact on - CIAL]],'System List'!$F$4:$H$7,3,FALSE),0)</f>
        <v>0</v>
      </c>
      <c r="BI118" s="2">
        <f>IFERROR(VLOOKUP(InputTable[[#This Row],[Impact on - COM]],'System List'!$F$4:$H$7,3,FALSE),0)</f>
        <v>0</v>
      </c>
      <c r="BJ118" s="2">
        <f>IFERROR(VLOOKUP(InputTable[[#This Row],[Impact on - FIN]],'System List'!$F$4:$H$7,3,FALSE),0)</f>
        <v>0</v>
      </c>
      <c r="BK118" s="2">
        <f>IFERROR(VLOOKUP(InputTable[[#This Row],[Impact on - GEN SEC]],'System List'!$F$4:$H$7,3,FALSE),0)</f>
        <v>0</v>
      </c>
      <c r="BL118" s="2">
        <f>IFERROR(VLOOKUP(InputTable[[#This Row],[Impact on - HR]],'System List'!$F$4:$H$7,3,FALSE),0)</f>
        <v>0</v>
      </c>
      <c r="BM118" s="2">
        <f>IFERROR(VLOOKUP(InputTable[[#This Row],[Impact on - IS]],'System List'!$F$4:$H$7,3,FALSE),0)</f>
        <v>0</v>
      </c>
      <c r="BN118" s="2">
        <f>IFERROR(VLOOKUP(InputTable[[#This Row],[Impact on - OPS]],'System List'!$F$4:$H$7,3,FALSE),0)</f>
        <v>0</v>
      </c>
      <c r="BO118" s="2">
        <f>IFERROR(VLOOKUP(InputTable[[#This Row],[Impact on - ROLL STOCK]],'System List'!$F$4:$H$7,3,FALSE),0)</f>
        <v>0</v>
      </c>
      <c r="BP118" s="2">
        <f>IFERROR(VLOOKUP(InputTable[[#This Row],[Impact on - SAFETY]],'System List'!$F$4:$H$7,3,FALSE),0)</f>
        <v>0</v>
      </c>
      <c r="BQ118" s="2">
        <f>IFERROR(VLOOKUP(InputTable[[#This Row],[Impact on - STATION]],'System List'!$F$4:$H$7,3,FALSE),0)</f>
        <v>0</v>
      </c>
      <c r="BR118" s="2">
        <f>IFERROR(VLOOKUP(InputTable[[#This Row],[Impact on - STRAT]],'System List'!$F$4:$H$7,3,FALSE),0)</f>
        <v>0</v>
      </c>
      <c r="BT118" s="2">
        <f>IFERROR(VLOOKUP(InputTable[[#This Row],[CORPHRFIN]],'System List'!$F$4:$H$7,3,FALSE),0)</f>
        <v>0</v>
      </c>
      <c r="BU118" s="2">
        <f>IFERROR(VLOOKUP(InputTable[[#This Row],[CUST]],'System List'!$F$4:$H$7,3,FALSE),0)</f>
        <v>0</v>
      </c>
      <c r="BV118" s="2">
        <f>IFERROR(VLOOKUP(InputTable[[#This Row],[CYBER]],'System List'!$F$4:$H$7,3,FALSE),0)</f>
        <v>0</v>
      </c>
      <c r="BW118" s="2">
        <f>IFERROR(VLOOKUP(InputTable[[#This Row],[DATA]],'System List'!$F$4:$H$7,3,FALSE),0)</f>
        <v>0</v>
      </c>
      <c r="BX118" s="2">
        <f>IFERROR(VLOOKUP(InputTable[[#This Row],[INFRA]],'System List'!$F$4:$H$7,3,FALSE),0)</f>
        <v>0</v>
      </c>
      <c r="BY118" s="2">
        <f>IFERROR(VLOOKUP(InputTable[[#This Row],[OPERATIONS]],'System List'!$F$4:$H$7,3,FALSE),0)</f>
        <v>0</v>
      </c>
      <c r="BZ118" s="2">
        <f>IFERROR(VLOOKUP(InputTable[[#This Row],[PMO]],'System List'!$F$4:$H$7,3,FALSE),0)</f>
        <v>0</v>
      </c>
      <c r="CA118" s="2">
        <f>IFERROR(VLOOKUP(InputTable[[#This Row],[SALES]],'System List'!$F$4:$H$7,3,FALSE),0)</f>
        <v>0</v>
      </c>
      <c r="CC118" s="2" cm="1">
        <f t="array" ref="CC11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8" s="2" cm="1">
        <f t="array" ref="CD11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8" s="2" cm="1">
        <f t="array" ref="CE11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8" s="2" cm="1">
        <f t="array" ref="CF11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8" s="2" cm="1">
        <f t="array" ref="CG11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8" s="2" cm="1">
        <f t="array" ref="CH11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8" s="2" cm="1">
        <f t="array" ref="CI11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8" s="2" cm="1">
        <f t="array" ref="CJ11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8" s="2" cm="1">
        <f t="array" ref="CK11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8" s="26">
        <f t="shared" si="307"/>
        <v>0</v>
      </c>
      <c r="CY118" s="26">
        <f t="shared" si="308"/>
        <v>0</v>
      </c>
      <c r="CZ118" s="26">
        <f t="shared" si="309"/>
        <v>0</v>
      </c>
      <c r="DA118" s="26">
        <f t="shared" si="310"/>
        <v>0</v>
      </c>
      <c r="DB118" s="26">
        <f t="shared" si="311"/>
        <v>0</v>
      </c>
      <c r="DC118" s="26">
        <f t="shared" si="312"/>
        <v>0</v>
      </c>
      <c r="DD118" s="26">
        <f t="shared" si="313"/>
        <v>0</v>
      </c>
      <c r="DE118" s="26">
        <f t="shared" si="314"/>
        <v>0</v>
      </c>
      <c r="DF118" s="26">
        <f t="shared" si="315"/>
        <v>0</v>
      </c>
      <c r="DH118" s="26">
        <f t="shared" si="316"/>
        <v>0</v>
      </c>
      <c r="DI118" s="26">
        <f t="shared" si="317"/>
        <v>0</v>
      </c>
      <c r="DJ118" s="26">
        <f t="shared" si="318"/>
        <v>0</v>
      </c>
      <c r="DK118" s="26">
        <f t="shared" si="319"/>
        <v>0</v>
      </c>
      <c r="DL118" s="26">
        <f t="shared" si="320"/>
        <v>0</v>
      </c>
      <c r="DM118" s="26">
        <f t="shared" si="321"/>
        <v>0</v>
      </c>
      <c r="DN118" s="26">
        <f t="shared" si="322"/>
        <v>0</v>
      </c>
      <c r="DO118" s="26">
        <f t="shared" si="323"/>
        <v>0</v>
      </c>
      <c r="DP118" s="26">
        <f t="shared" si="324"/>
        <v>0</v>
      </c>
      <c r="DR118" s="26">
        <f t="shared" si="325"/>
        <v>0</v>
      </c>
      <c r="DS118" s="26">
        <f t="shared" si="326"/>
        <v>0</v>
      </c>
      <c r="DT118" s="26">
        <f t="shared" si="327"/>
        <v>0</v>
      </c>
      <c r="DU118" s="26">
        <f t="shared" si="328"/>
        <v>0</v>
      </c>
      <c r="DV118" s="26">
        <f t="shared" si="329"/>
        <v>0</v>
      </c>
      <c r="DW118" s="26">
        <f t="shared" si="330"/>
        <v>0</v>
      </c>
      <c r="DX118" s="26">
        <f t="shared" si="331"/>
        <v>0</v>
      </c>
      <c r="DY118" s="26">
        <f t="shared" si="332"/>
        <v>0</v>
      </c>
      <c r="DZ118" s="26">
        <f t="shared" si="333"/>
        <v>0</v>
      </c>
      <c r="EB118" s="26">
        <f t="shared" si="334"/>
        <v>0</v>
      </c>
      <c r="EC118" s="26">
        <f t="shared" si="335"/>
        <v>0</v>
      </c>
      <c r="ED118" s="26">
        <f t="shared" si="336"/>
        <v>0</v>
      </c>
      <c r="EE118" s="26">
        <f t="shared" si="337"/>
        <v>0</v>
      </c>
      <c r="EF118" s="26">
        <f t="shared" si="338"/>
        <v>0</v>
      </c>
      <c r="EG118" s="26">
        <f t="shared" si="339"/>
        <v>0</v>
      </c>
      <c r="EH118" s="26">
        <f t="shared" si="340"/>
        <v>0</v>
      </c>
      <c r="EI118" s="26">
        <f t="shared" si="341"/>
        <v>0</v>
      </c>
      <c r="EJ118" s="26">
        <f t="shared" si="342"/>
        <v>0</v>
      </c>
      <c r="EL118" s="26">
        <f t="shared" si="343"/>
        <v>0</v>
      </c>
      <c r="EM118" s="26">
        <f t="shared" si="344"/>
        <v>0</v>
      </c>
      <c r="EN118" s="26">
        <f t="shared" si="345"/>
        <v>0</v>
      </c>
      <c r="EO118" s="26">
        <f t="shared" si="346"/>
        <v>0</v>
      </c>
      <c r="EP118" s="26">
        <f t="shared" si="347"/>
        <v>0</v>
      </c>
      <c r="EQ118" s="26">
        <f t="shared" si="348"/>
        <v>0</v>
      </c>
      <c r="ER118" s="26">
        <f t="shared" si="349"/>
        <v>0</v>
      </c>
      <c r="ES118" s="26">
        <f t="shared" si="350"/>
        <v>0</v>
      </c>
      <c r="ET118" s="26">
        <f t="shared" si="351"/>
        <v>0</v>
      </c>
      <c r="EV118" s="26">
        <f t="shared" si="352"/>
        <v>0</v>
      </c>
      <c r="EW118" s="26">
        <f t="shared" si="353"/>
        <v>0</v>
      </c>
      <c r="EX118" s="26">
        <f t="shared" si="354"/>
        <v>0</v>
      </c>
      <c r="EY118" s="26">
        <f t="shared" si="355"/>
        <v>0</v>
      </c>
      <c r="EZ118" s="26">
        <f t="shared" si="356"/>
        <v>0</v>
      </c>
      <c r="FA118" s="26">
        <f t="shared" si="357"/>
        <v>0</v>
      </c>
      <c r="FB118" s="26">
        <f t="shared" si="358"/>
        <v>0</v>
      </c>
      <c r="FC118" s="26">
        <f t="shared" si="359"/>
        <v>0</v>
      </c>
      <c r="FD118" s="26">
        <f t="shared" si="360"/>
        <v>0</v>
      </c>
      <c r="FF118" s="26">
        <f t="shared" si="361"/>
        <v>0</v>
      </c>
      <c r="FG118" s="26">
        <f t="shared" si="362"/>
        <v>0</v>
      </c>
      <c r="FH118" s="26">
        <f t="shared" si="363"/>
        <v>0</v>
      </c>
      <c r="FI118" s="26">
        <f t="shared" si="364"/>
        <v>0</v>
      </c>
      <c r="FJ118" s="26">
        <f t="shared" si="365"/>
        <v>0</v>
      </c>
      <c r="FK118" s="26">
        <f t="shared" si="366"/>
        <v>0</v>
      </c>
      <c r="FL118" s="26">
        <f t="shared" si="367"/>
        <v>0</v>
      </c>
      <c r="FM118" s="26">
        <f t="shared" si="368"/>
        <v>0</v>
      </c>
      <c r="FN118" s="26">
        <f t="shared" si="369"/>
        <v>0</v>
      </c>
      <c r="FP118" s="26" t="e">
        <f t="shared" si="370"/>
        <v>#REF!</v>
      </c>
      <c r="FQ118" s="26" t="e">
        <f t="shared" si="371"/>
        <v>#REF!</v>
      </c>
      <c r="FR118" s="26" t="e">
        <f t="shared" si="372"/>
        <v>#REF!</v>
      </c>
      <c r="FS118" s="26" t="e">
        <f t="shared" si="373"/>
        <v>#REF!</v>
      </c>
      <c r="FT118" s="26" t="e">
        <f t="shared" si="374"/>
        <v>#REF!</v>
      </c>
      <c r="FU118" s="26" t="e">
        <f t="shared" si="375"/>
        <v>#REF!</v>
      </c>
      <c r="FV118" s="26" t="e">
        <f t="shared" si="376"/>
        <v>#REF!</v>
      </c>
      <c r="FW118" s="26" t="e">
        <f t="shared" si="377"/>
        <v>#REF!</v>
      </c>
      <c r="FX118" s="26" t="e">
        <f t="shared" si="378"/>
        <v>#REF!</v>
      </c>
      <c r="GB118" s="26" t="e">
        <f>IF(GB$2=InputTable[[#This Row],[Delivery Date]],_xlfn.XLOOKUP(GB$1,$BH$2:$BR$2,$BH118:$BR118,0),0)</f>
        <v>#REF!</v>
      </c>
      <c r="GC118" s="26">
        <f>IF(GC$2=InputTable[[#This Row],[Delivery Date]],_xlfn.XLOOKUP(GC$1,$BH$2:$BR$2,$BH118:$BR118,0),0)</f>
        <v>0</v>
      </c>
      <c r="GD118" s="26">
        <f>IF(GD$2=InputTable[[#This Row],[Delivery Date]],_xlfn.XLOOKUP(GD$1,$BH$2:$BR$2,$BH118:$BR118,0),0)</f>
        <v>0</v>
      </c>
      <c r="GE118" s="26">
        <f>IF(GE$2=InputTable[[#This Row],[Delivery Date]],_xlfn.XLOOKUP(GE$1,$BH$2:$BR$2,$BH118:$BR118,0),0)</f>
        <v>0</v>
      </c>
      <c r="GF118" s="26">
        <f>IF(GF$2=InputTable[[#This Row],[Delivery Date]],_xlfn.XLOOKUP(GF$1,$BH$2:$BR$2,$BH118:$BR118,0),0)</f>
        <v>0</v>
      </c>
      <c r="GG118" s="26">
        <f>IF(GG$2=InputTable[[#This Row],[Delivery Date]],_xlfn.XLOOKUP(GG$1,$BH$2:$BR$2,$BH118:$BR118,0),0)</f>
        <v>0</v>
      </c>
      <c r="GH118" s="26">
        <f>IF(GH$2=InputTable[[#This Row],[Delivery Date]],_xlfn.XLOOKUP(GH$1,$BH$2:$BR$2,$BH118:$BR118,0),0)</f>
        <v>0</v>
      </c>
      <c r="GI118" s="26">
        <f>IF(GI$2=InputTable[[#This Row],[Delivery Date]],_xlfn.XLOOKUP(GI$1,$BH$2:$BR$2,$BH118:$BR118,0),0)</f>
        <v>0</v>
      </c>
      <c r="GJ118" s="26">
        <f>IF(GJ$2=InputTable[[#This Row],[Delivery Date]],_xlfn.XLOOKUP(GJ$1,$BH$2:$BR$2,$BH118:$BR118,0),0)</f>
        <v>0</v>
      </c>
      <c r="GL118" s="26" t="e">
        <f>IF(GL$2=InputTable[[#This Row],[Delivery Date]],_xlfn.XLOOKUP(GL$1,$BH$2:$BR$2,$BH118:$BR118,0),0)</f>
        <v>#REF!</v>
      </c>
      <c r="GM118" s="26">
        <f>IF(GM$2=InputTable[[#This Row],[Delivery Date]],_xlfn.XLOOKUP(GM$1,$BH$2:$BR$2,$BH118:$BR118,0),0)</f>
        <v>0</v>
      </c>
      <c r="GN118" s="26">
        <f>IF(GN$2=InputTable[[#This Row],[Delivery Date]],_xlfn.XLOOKUP(GN$1,$BH$2:$BR$2,$BH118:$BR118,0),0)</f>
        <v>0</v>
      </c>
      <c r="GO118" s="26">
        <f>IF(GO$2=InputTable[[#This Row],[Delivery Date]],_xlfn.XLOOKUP(GO$1,$BH$2:$BR$2,$BH118:$BR118,0),0)</f>
        <v>0</v>
      </c>
      <c r="GP118" s="26">
        <f>IF(GP$2=InputTable[[#This Row],[Delivery Date]],_xlfn.XLOOKUP(GP$1,$BH$2:$BR$2,$BH118:$BR118,0),0)</f>
        <v>0</v>
      </c>
      <c r="GQ118" s="26">
        <f>IF(GQ$2=InputTable[[#This Row],[Delivery Date]],_xlfn.XLOOKUP(GQ$1,$BH$2:$BR$2,$BH118:$BR118,0),0)</f>
        <v>0</v>
      </c>
      <c r="GR118" s="26">
        <f>IF(GR$2=InputTable[[#This Row],[Delivery Date]],_xlfn.XLOOKUP(GR$1,$BH$2:$BR$2,$BH118:$BR118,0),0)</f>
        <v>0</v>
      </c>
      <c r="GS118" s="26">
        <f>IF(GS$2=InputTable[[#This Row],[Delivery Date]],_xlfn.XLOOKUP(GS$1,$BH$2:$BR$2,$BH118:$BR118,0),0)</f>
        <v>0</v>
      </c>
      <c r="GT118" s="26">
        <f>IF(GT$2=InputTable[[#This Row],[Delivery Date]],_xlfn.XLOOKUP(GT$1,$BH$2:$BR$2,$BH118:$BR118,0),0)</f>
        <v>0</v>
      </c>
      <c r="GV118" s="26" t="e">
        <f>IF(GV$2=InputTable[[#This Row],[Delivery Date]],_xlfn.XLOOKUP(GV$1,$BH$2:$BR$2,$BH118:$BR118,0),0)</f>
        <v>#REF!</v>
      </c>
      <c r="GW118" s="26">
        <f>IF(GW$2=InputTable[[#This Row],[Delivery Date]],_xlfn.XLOOKUP(GW$1,$BH$2:$BR$2,$BH118:$BR118,0),0)</f>
        <v>0</v>
      </c>
      <c r="GX118" s="26">
        <f>IF(GX$2=InputTable[[#This Row],[Delivery Date]],_xlfn.XLOOKUP(GX$1,$BH$2:$BR$2,$BH118:$BR118,0),0)</f>
        <v>0</v>
      </c>
      <c r="GY118" s="26">
        <f>IF(GY$2=InputTable[[#This Row],[Delivery Date]],_xlfn.XLOOKUP(GY$1,$BH$2:$BR$2,$BH118:$BR118,0),0)</f>
        <v>0</v>
      </c>
      <c r="GZ118" s="26">
        <f>IF(GZ$2=InputTable[[#This Row],[Delivery Date]],_xlfn.XLOOKUP(GZ$1,$BH$2:$BR$2,$BH118:$BR118,0),0)</f>
        <v>0</v>
      </c>
      <c r="HA118" s="26">
        <f>IF(HA$2=InputTable[[#This Row],[Delivery Date]],_xlfn.XLOOKUP(HA$1,$BH$2:$BR$2,$BH118:$BR118,0),0)</f>
        <v>0</v>
      </c>
      <c r="HB118" s="26">
        <f>IF(HB$2=InputTable[[#This Row],[Delivery Date]],_xlfn.XLOOKUP(HB$1,$BH$2:$BR$2,$BH118:$BR118,0),0)</f>
        <v>0</v>
      </c>
      <c r="HC118" s="26">
        <f>IF(HC$2=InputTable[[#This Row],[Delivery Date]],_xlfn.XLOOKUP(HC$1,$BH$2:$BR$2,$BH118:$BR118,0),0)</f>
        <v>0</v>
      </c>
      <c r="HD118" s="26">
        <f>IF(HD$2=InputTable[[#This Row],[Delivery Date]],_xlfn.XLOOKUP(HD$1,$BH$2:$BR$2,$BH118:$BR118,0),0)</f>
        <v>0</v>
      </c>
      <c r="HF118" s="26" t="e">
        <f>IF(HF$2=InputTable[[#This Row],[Delivery Date]],_xlfn.XLOOKUP(HF$1,$BH$2:$BR$2,$BH118:$BR118,0),0)</f>
        <v>#REF!</v>
      </c>
      <c r="HG118" s="26">
        <f>IF(HG$2=InputTable[[#This Row],[Delivery Date]],_xlfn.XLOOKUP(HG$1,$BH$2:$BR$2,$BH118:$BR118,0),0)</f>
        <v>0</v>
      </c>
      <c r="HH118" s="26">
        <f>IF(HH$2=InputTable[[#This Row],[Delivery Date]],_xlfn.XLOOKUP(HH$1,$BH$2:$BR$2,$BH118:$BR118,0),0)</f>
        <v>0</v>
      </c>
      <c r="HI118" s="26">
        <f>IF(HI$2=InputTable[[#This Row],[Delivery Date]],_xlfn.XLOOKUP(HI$1,$BH$2:$BR$2,$BH118:$BR118,0),0)</f>
        <v>0</v>
      </c>
      <c r="HJ118" s="26">
        <f>IF(HJ$2=InputTable[[#This Row],[Delivery Date]],_xlfn.XLOOKUP(HJ$1,$BH$2:$BR$2,$BH118:$BR118,0),0)</f>
        <v>0</v>
      </c>
      <c r="HK118" s="26">
        <f>IF(HK$2=InputTable[[#This Row],[Delivery Date]],_xlfn.XLOOKUP(HK$1,$BH$2:$BR$2,$BH118:$BR118,0),0)</f>
        <v>0</v>
      </c>
      <c r="HL118" s="26">
        <f>IF(HL$2=InputTable[[#This Row],[Delivery Date]],_xlfn.XLOOKUP(HL$1,$BH$2:$BR$2,$BH118:$BR118,0),0)</f>
        <v>0</v>
      </c>
      <c r="HM118" s="26">
        <f>IF(HM$2=InputTable[[#This Row],[Delivery Date]],_xlfn.XLOOKUP(HM$1,$BH$2:$BR$2,$BH118:$BR118,0),0)</f>
        <v>0</v>
      </c>
      <c r="HN118" s="26">
        <f>IF(HN$2=InputTable[[#This Row],[Delivery Date]],_xlfn.XLOOKUP(HN$1,$BH$2:$BR$2,$BH118:$BR118,0),0)</f>
        <v>0</v>
      </c>
      <c r="HP118" s="26" t="e">
        <f>IF(HP$2=InputTable[[#This Row],[Delivery Date]],_xlfn.XLOOKUP(HP$1,$BH$2:$BR$2,$BH118:$BR118,0),0)</f>
        <v>#REF!</v>
      </c>
      <c r="HQ118" s="26">
        <f>IF(HQ$2=InputTable[[#This Row],[Delivery Date]],_xlfn.XLOOKUP(HQ$1,$BH$2:$BR$2,$BH118:$BR118,0),0)</f>
        <v>0</v>
      </c>
      <c r="HR118" s="26">
        <f>IF(HR$2=InputTable[[#This Row],[Delivery Date]],_xlfn.XLOOKUP(HR$1,$BH$2:$BR$2,$BH118:$BR118,0),0)</f>
        <v>0</v>
      </c>
      <c r="HS118" s="26">
        <f>IF(HS$2=InputTable[[#This Row],[Delivery Date]],_xlfn.XLOOKUP(HS$1,$BH$2:$BR$2,$BH118:$BR118,0),0)</f>
        <v>0</v>
      </c>
      <c r="HT118" s="26">
        <f>IF(HT$2=InputTable[[#This Row],[Delivery Date]],_xlfn.XLOOKUP(HT$1,$BH$2:$BR$2,$BH118:$BR118,0),0)</f>
        <v>0</v>
      </c>
      <c r="HU118" s="26">
        <f>IF(HU$2=InputTable[[#This Row],[Delivery Date]],_xlfn.XLOOKUP(HU$1,$BH$2:$BR$2,$BH118:$BR118,0),0)</f>
        <v>0</v>
      </c>
      <c r="HV118" s="26">
        <f>IF(HV$2=InputTable[[#This Row],[Delivery Date]],_xlfn.XLOOKUP(HV$1,$BH$2:$BR$2,$BH118:$BR118,0),0)</f>
        <v>0</v>
      </c>
      <c r="HW118" s="26">
        <f>IF(HW$2=InputTable[[#This Row],[Delivery Date]],_xlfn.XLOOKUP(HW$1,$BH$2:$BR$2,$BH118:$BR118,0),0)</f>
        <v>0</v>
      </c>
      <c r="HX118" s="26">
        <f>IF(HX$2=InputTable[[#This Row],[Delivery Date]],_xlfn.XLOOKUP(HX$1,$BH$2:$BR$2,$BH118:$BR118,0),0)</f>
        <v>0</v>
      </c>
      <c r="HZ118" s="26" t="e">
        <f>IF(HZ$2=InputTable[[#This Row],[Delivery Date]],_xlfn.XLOOKUP(HZ$1,$BH$2:$BR$2,$BH118:$BR118,0),0)</f>
        <v>#REF!</v>
      </c>
      <c r="IA118" s="26">
        <f>IF(IA$2=InputTable[[#This Row],[Delivery Date]],_xlfn.XLOOKUP(IA$1,$BH$2:$BR$2,$BH118:$BR118,0),0)</f>
        <v>0</v>
      </c>
      <c r="IB118" s="26">
        <f>IF(IB$2=InputTable[[#This Row],[Delivery Date]],_xlfn.XLOOKUP(IB$1,$BH$2:$BR$2,$BH118:$BR118,0),0)</f>
        <v>0</v>
      </c>
      <c r="IC118" s="26">
        <f>IF(IC$2=InputTable[[#This Row],[Delivery Date]],_xlfn.XLOOKUP(IC$1,$BH$2:$BR$2,$BH118:$BR118,0),0)</f>
        <v>0</v>
      </c>
      <c r="ID118" s="26">
        <f>IF(ID$2=InputTable[[#This Row],[Delivery Date]],_xlfn.XLOOKUP(ID$1,$BH$2:$BR$2,$BH118:$BR118,0),0)</f>
        <v>0</v>
      </c>
      <c r="IE118" s="26">
        <f>IF(IE$2=InputTable[[#This Row],[Delivery Date]],_xlfn.XLOOKUP(IE$1,$BH$2:$BR$2,$BH118:$BR118,0),0)</f>
        <v>0</v>
      </c>
      <c r="IF118" s="26">
        <f>IF(IF$2=InputTable[[#This Row],[Delivery Date]],_xlfn.XLOOKUP(IF$1,$BH$2:$BR$2,$BH118:$BR118,0),0)</f>
        <v>0</v>
      </c>
      <c r="IG118" s="26">
        <f>IF(IG$2=InputTable[[#This Row],[Delivery Date]],_xlfn.XLOOKUP(IG$1,$BH$2:$BR$2,$BH118:$BR118,0),0)</f>
        <v>0</v>
      </c>
      <c r="IH118" s="26">
        <f>IF(IH$2=InputTable[[#This Row],[Delivery Date]],_xlfn.XLOOKUP(IH$1,$BH$2:$BR$2,$BH118:$BR118,0),0)</f>
        <v>0</v>
      </c>
      <c r="IJ118" s="26" t="e">
        <f>IF(IJ$2=InputTable[[#This Row],[Delivery Date]],_xlfn.XLOOKUP(IJ$1,$BH$2:$BR$2,$BH118:$BR118,0),0)</f>
        <v>#REF!</v>
      </c>
      <c r="IK118" s="26">
        <f>IF(IK$2=InputTable[[#This Row],[Delivery Date]],_xlfn.XLOOKUP(IK$1,$BH$2:$BR$2,$BH118:$BR118,0),0)</f>
        <v>0</v>
      </c>
      <c r="IL118" s="26">
        <f>IF(IL$2=InputTable[[#This Row],[Delivery Date]],_xlfn.XLOOKUP(IL$1,$BH$2:$BR$2,$BH118:$BR118,0),0)</f>
        <v>0</v>
      </c>
      <c r="IM118" s="26">
        <f>IF(IM$2=InputTable[[#This Row],[Delivery Date]],_xlfn.XLOOKUP(IM$1,$BH$2:$BR$2,$BH118:$BR118,0),0)</f>
        <v>0</v>
      </c>
      <c r="IN118" s="26">
        <f>IF(IN$2=InputTable[[#This Row],[Delivery Date]],_xlfn.XLOOKUP(IN$1,$BH$2:$BR$2,$BH118:$BR118,0),0)</f>
        <v>0</v>
      </c>
      <c r="IO118" s="26">
        <f>IF(IO$2=InputTable[[#This Row],[Delivery Date]],_xlfn.XLOOKUP(IO$1,$BH$2:$BR$2,$BH118:$BR118,0),0)</f>
        <v>0</v>
      </c>
      <c r="IP118" s="26">
        <f>IF(IP$2=InputTable[[#This Row],[Delivery Date]],_xlfn.XLOOKUP(IP$1,$BH$2:$BR$2,$BH118:$BR118,0),0)</f>
        <v>0</v>
      </c>
      <c r="IQ118" s="26">
        <f>IF(IQ$2=InputTable[[#This Row],[Delivery Date]],_xlfn.XLOOKUP(IQ$1,$BH$2:$BR$2,$BH118:$BR118,0),0)</f>
        <v>0</v>
      </c>
      <c r="IR118" s="26">
        <f>IF(IR$2=InputTable[[#This Row],[Delivery Date]],_xlfn.XLOOKUP(IR$1,$BH$2:$BR$2,$BH118:$BR118,0),0)</f>
        <v>0</v>
      </c>
      <c r="IT118" s="26" t="e">
        <f>IF(IT$2=InputTable[[#This Row],[Delivery Date]],_xlfn.XLOOKUP(IT$1,$BH$2:$BR$2,$BH118:$BR118,0),0)</f>
        <v>#REF!</v>
      </c>
      <c r="IU118" s="26">
        <f>IF(IU$2=InputTable[[#This Row],[Delivery Date]],_xlfn.XLOOKUP(IU$1,$BH$2:$BR$2,$BH118:$BR118,0),0)</f>
        <v>0</v>
      </c>
      <c r="IV118" s="26">
        <f>IF(IV$2=InputTable[[#This Row],[Delivery Date]],_xlfn.XLOOKUP(IV$1,$BH$2:$BR$2,$BH118:$BR118,0),0)</f>
        <v>0</v>
      </c>
      <c r="IW118" s="26">
        <f>IF(IW$2=InputTable[[#This Row],[Delivery Date]],_xlfn.XLOOKUP(IW$1,$BH$2:$BR$2,$BH118:$BR118,0),0)</f>
        <v>0</v>
      </c>
      <c r="IX118" s="26">
        <f>IF(IX$2=InputTable[[#This Row],[Delivery Date]],_xlfn.XLOOKUP(IX$1,$BH$2:$BR$2,$BH118:$BR118,0),0)</f>
        <v>0</v>
      </c>
      <c r="IY118" s="26">
        <f>IF(IY$2=InputTable[[#This Row],[Delivery Date]],_xlfn.XLOOKUP(IY$1,$BH$2:$BR$2,$BH118:$BR118,0),0)</f>
        <v>0</v>
      </c>
      <c r="IZ118" s="26">
        <f>IF(IZ$2=InputTable[[#This Row],[Delivery Date]],_xlfn.XLOOKUP(IZ$1,$BH$2:$BR$2,$BH118:$BR118,0),0)</f>
        <v>0</v>
      </c>
      <c r="JA118" s="26">
        <f>IF(JA$2=InputTable[[#This Row],[Delivery Date]],_xlfn.XLOOKUP(JA$1,$BH$2:$BR$2,$BH118:$BR118,0),0)</f>
        <v>0</v>
      </c>
      <c r="JB118" s="26">
        <f>IF(JB$2=InputTable[[#This Row],[Delivery Date]],_xlfn.XLOOKUP(JB$1,$BH$2:$BR$2,$BH118:$BR118,0),0)</f>
        <v>0</v>
      </c>
      <c r="JD118" s="26" t="e">
        <f>IF(JD$2=InputTable[[#This Row],[Delivery Date]],_xlfn.XLOOKUP(JD$1,$BH$2:$BR$2,$BH118:$BR118,0),0)</f>
        <v>#REF!</v>
      </c>
      <c r="JE118" s="26">
        <f>IF(JE$2=InputTable[[#This Row],[Delivery Date]],_xlfn.XLOOKUP(JE$1,$BH$2:$BR$2,$BH118:$BR118,0),0)</f>
        <v>0</v>
      </c>
      <c r="JF118" s="26">
        <f>IF(JF$2=InputTable[[#This Row],[Delivery Date]],_xlfn.XLOOKUP(JF$1,$BH$2:$BR$2,$BH118:$BR118,0),0)</f>
        <v>0</v>
      </c>
      <c r="JG118" s="26">
        <f>IF(JG$2=InputTable[[#This Row],[Delivery Date]],_xlfn.XLOOKUP(JG$1,$BH$2:$BR$2,$BH118:$BR118,0),0)</f>
        <v>0</v>
      </c>
      <c r="JH118" s="26">
        <f>IF(JH$2=InputTable[[#This Row],[Delivery Date]],_xlfn.XLOOKUP(JH$1,$BH$2:$BR$2,$BH118:$BR118,0),0)</f>
        <v>0</v>
      </c>
      <c r="JI118" s="26">
        <f>IF(JI$2=InputTable[[#This Row],[Delivery Date]],_xlfn.XLOOKUP(JI$1,$BH$2:$BR$2,$BH118:$BR118,0),0)</f>
        <v>0</v>
      </c>
      <c r="JJ118" s="26">
        <f>IF(JJ$2=InputTable[[#This Row],[Delivery Date]],_xlfn.XLOOKUP(JJ$1,$BH$2:$BR$2,$BH118:$BR118,0),0)</f>
        <v>0</v>
      </c>
      <c r="JK118" s="26">
        <f>IF(JK$2=InputTable[[#This Row],[Delivery Date]],_xlfn.XLOOKUP(JK$1,$BH$2:$BR$2,$BH118:$BR118,0),0)</f>
        <v>0</v>
      </c>
      <c r="JL118" s="26">
        <f>IF(JL$2=InputTable[[#This Row],[Delivery Date]],_xlfn.XLOOKUP(JL$1,$BH$2:$BR$2,$BH118:$BR118,0),0)</f>
        <v>0</v>
      </c>
      <c r="JN118" s="26" t="e">
        <f>IF(JN$2=InputTable[[#This Row],[Delivery Date]],_xlfn.XLOOKUP(JN$1,$BH$2:$BR$2,$BH118:$BR118,0),0)</f>
        <v>#REF!</v>
      </c>
      <c r="JO118" s="26">
        <f>IF(JO$2=InputTable[[#This Row],[Delivery Date]],_xlfn.XLOOKUP(JO$1,$BH$2:$BR$2,$BH118:$BR118,0),0)</f>
        <v>0</v>
      </c>
      <c r="JP118" s="26">
        <f>IF(JP$2=InputTable[[#This Row],[Delivery Date]],_xlfn.XLOOKUP(JP$1,$BH$2:$BR$2,$BH118:$BR118,0),0)</f>
        <v>0</v>
      </c>
      <c r="JQ118" s="26">
        <f>IF(JQ$2=InputTable[[#This Row],[Delivery Date]],_xlfn.XLOOKUP(JQ$1,$BH$2:$BR$2,$BH118:$BR118,0),0)</f>
        <v>0</v>
      </c>
      <c r="JR118" s="26">
        <f>IF(JR$2=InputTable[[#This Row],[Delivery Date]],_xlfn.XLOOKUP(JR$1,$BH$2:$BR$2,$BH118:$BR118,0),0)</f>
        <v>0</v>
      </c>
      <c r="JS118" s="26">
        <f>IF(JS$2=InputTable[[#This Row],[Delivery Date]],_xlfn.XLOOKUP(JS$1,$BH$2:$BR$2,$BH118:$BR118,0),0)</f>
        <v>0</v>
      </c>
      <c r="JT118" s="26">
        <f>IF(JT$2=InputTable[[#This Row],[Delivery Date]],_xlfn.XLOOKUP(JT$1,$BH$2:$BR$2,$BH118:$BR118,0),0)</f>
        <v>0</v>
      </c>
      <c r="JU118" s="26">
        <f>IF(JU$2=InputTable[[#This Row],[Delivery Date]],_xlfn.XLOOKUP(JU$1,$BH$2:$BR$2,$BH118:$BR118,0),0)</f>
        <v>0</v>
      </c>
      <c r="JV118" s="26">
        <f>IF(JV$2=InputTable[[#This Row],[Delivery Date]],_xlfn.XLOOKUP(JV$1,$BH$2:$BR$2,$BH118:$BR118,0),0)</f>
        <v>0</v>
      </c>
      <c r="JX118" s="26" t="e">
        <f>IF(JX$2=InputTable[[#This Row],[Delivery Date]],_xlfn.XLOOKUP(JX$1,$BH$2:$BR$2,$BH118:$BR118,0),0)</f>
        <v>#REF!</v>
      </c>
      <c r="JY118" s="26">
        <f>IF(JY$2=InputTable[[#This Row],[Delivery Date]],_xlfn.XLOOKUP(JY$1,$BH$2:$BR$2,$BH118:$BR118,0),0)</f>
        <v>0</v>
      </c>
      <c r="JZ118" s="26">
        <f>IF(JZ$2=InputTable[[#This Row],[Delivery Date]],_xlfn.XLOOKUP(JZ$1,$BH$2:$BR$2,$BH118:$BR118,0),0)</f>
        <v>0</v>
      </c>
      <c r="KA118" s="26">
        <f>IF(KA$2=InputTable[[#This Row],[Delivery Date]],_xlfn.XLOOKUP(KA$1,$BH$2:$BR$2,$BH118:$BR118,0),0)</f>
        <v>0</v>
      </c>
      <c r="KB118" s="26">
        <f>IF(KB$2=InputTable[[#This Row],[Delivery Date]],_xlfn.XLOOKUP(KB$1,$BH$2:$BR$2,$BH118:$BR118,0),0)</f>
        <v>0</v>
      </c>
      <c r="KC118" s="26">
        <f>IF(KC$2=InputTable[[#This Row],[Delivery Date]],_xlfn.XLOOKUP(KC$1,$BH$2:$BR$2,$BH118:$BR118,0),0)</f>
        <v>0</v>
      </c>
      <c r="KD118" s="26">
        <f>IF(KD$2=InputTable[[#This Row],[Delivery Date]],_xlfn.XLOOKUP(KD$1,$BH$2:$BR$2,$BH118:$BR118,0),0)</f>
        <v>0</v>
      </c>
      <c r="KE118" s="26">
        <f>IF(KE$2=InputTable[[#This Row],[Delivery Date]],_xlfn.XLOOKUP(KE$1,$BH$2:$BR$2,$BH118:$BR118,0),0)</f>
        <v>0</v>
      </c>
      <c r="KF118" s="26">
        <f>IF(KF$2=InputTable[[#This Row],[Delivery Date]],_xlfn.XLOOKUP(KF$1,$BH$2:$BR$2,$BH118:$BR118,0),0)</f>
        <v>0</v>
      </c>
    </row>
    <row r="119" spans="1:292" ht="39.6" customHeight="1" x14ac:dyDescent="0.25">
      <c r="A119" s="141"/>
      <c r="B119" s="141"/>
      <c r="C119" s="92"/>
      <c r="D119" s="92"/>
      <c r="E119" s="93"/>
      <c r="F119" s="92"/>
      <c r="G119" s="92"/>
      <c r="H119" s="92"/>
      <c r="I119" s="92"/>
      <c r="J119" s="122"/>
      <c r="K119" s="95" t="e">
        <f>VLOOKUP((InputTable[[#This Row],[Starting Date]]&amp; " - " &amp;InputTable[[#This Row],[Delivery Date]]),'System List'!$F$40:$H$83,2,FALSE)</f>
        <v>#N/A</v>
      </c>
      <c r="L119" s="95" t="e">
        <f>VLOOKUP(InputTable[[#This Row],[Duration]],Duration,2,FALSE)</f>
        <v>#N/A</v>
      </c>
      <c r="M119" s="122"/>
      <c r="N119" s="92"/>
      <c r="O119" s="92"/>
      <c r="P119" s="92"/>
      <c r="Q119" s="92"/>
      <c r="R119" s="92"/>
      <c r="S119" s="92"/>
      <c r="T119" s="95"/>
      <c r="U119" s="138"/>
      <c r="V119" s="92"/>
      <c r="W119" s="92"/>
      <c r="X119" s="92"/>
      <c r="Y119" s="92"/>
      <c r="Z119" s="92"/>
      <c r="AA119" s="92"/>
      <c r="AB119" s="92"/>
      <c r="AC119" s="92"/>
      <c r="AD119" s="92">
        <f>COUNTA(InputTable[[#This Row],[CORPHRFIN]:[SALES]])</f>
        <v>0</v>
      </c>
      <c r="AE119" s="88" cm="1">
        <f t="array" ref="AE119">SUM(
_xlfn.XLOOKUP(InputTable[[#This Row],[CORPHRFIN]:[SALES]],'System List'!$F$4:$F$7,'System List'!$H$4:$H$7,0))</f>
        <v>0</v>
      </c>
      <c r="AF119" s="140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88" cm="1">
        <f t="array" ref="AR119">SUM(
_xlfn.XLOOKUP(InputTable[[#This Row],[Impact on - CIAL]:[Impact on - STRAT]],'System List'!$F$4:$F$7,'System List'!$H$4:$H$7,0))</f>
        <v>0</v>
      </c>
      <c r="AS119" s="88" t="e">
        <f>VLOOKUP(InputTable[[#This Row],[Duration]],Duration,2,FALSE)+InputTable[[#This Row],[Resource Score]]</f>
        <v>#N/A</v>
      </c>
      <c r="AT11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19" s="24" t="e">
        <f>InputTable[[#This Row],[Value Score]]/InputTable[[#This Row],[EFFORT SCORE]]*100</f>
        <v>#N/A</v>
      </c>
      <c r="AV119" s="25"/>
      <c r="AW119" s="25"/>
      <c r="AX119" s="208"/>
      <c r="AY119" s="25"/>
      <c r="AZ119" s="209">
        <v>0</v>
      </c>
      <c r="BA119" s="209">
        <v>0</v>
      </c>
      <c r="BB119" s="209"/>
      <c r="BC119" s="189"/>
      <c r="BD119" s="188"/>
      <c r="BE119" s="188"/>
      <c r="BF119" s="70"/>
      <c r="BH119" s="2">
        <f>IFERROR(VLOOKUP(InputTable[[#This Row],[Impact on - CIAL]],'System List'!$F$4:$H$7,3,FALSE),0)</f>
        <v>0</v>
      </c>
      <c r="BI119" s="2">
        <f>IFERROR(VLOOKUP(InputTable[[#This Row],[Impact on - COM]],'System List'!$F$4:$H$7,3,FALSE),0)</f>
        <v>0</v>
      </c>
      <c r="BJ119" s="2">
        <f>IFERROR(VLOOKUP(InputTable[[#This Row],[Impact on - FIN]],'System List'!$F$4:$H$7,3,FALSE),0)</f>
        <v>0</v>
      </c>
      <c r="BK119" s="2">
        <f>IFERROR(VLOOKUP(InputTable[[#This Row],[Impact on - GEN SEC]],'System List'!$F$4:$H$7,3,FALSE),0)</f>
        <v>0</v>
      </c>
      <c r="BL119" s="2">
        <f>IFERROR(VLOOKUP(InputTable[[#This Row],[Impact on - HR]],'System List'!$F$4:$H$7,3,FALSE),0)</f>
        <v>0</v>
      </c>
      <c r="BM119" s="2">
        <f>IFERROR(VLOOKUP(InputTable[[#This Row],[Impact on - IS]],'System List'!$F$4:$H$7,3,FALSE),0)</f>
        <v>0</v>
      </c>
      <c r="BN119" s="2">
        <f>IFERROR(VLOOKUP(InputTable[[#This Row],[Impact on - OPS]],'System List'!$F$4:$H$7,3,FALSE),0)</f>
        <v>0</v>
      </c>
      <c r="BO119" s="2">
        <f>IFERROR(VLOOKUP(InputTable[[#This Row],[Impact on - ROLL STOCK]],'System List'!$F$4:$H$7,3,FALSE),0)</f>
        <v>0</v>
      </c>
      <c r="BP119" s="2">
        <f>IFERROR(VLOOKUP(InputTable[[#This Row],[Impact on - SAFETY]],'System List'!$F$4:$H$7,3,FALSE),0)</f>
        <v>0</v>
      </c>
      <c r="BQ119" s="2">
        <f>IFERROR(VLOOKUP(InputTable[[#This Row],[Impact on - STATION]],'System List'!$F$4:$H$7,3,FALSE),0)</f>
        <v>0</v>
      </c>
      <c r="BR119" s="2">
        <f>IFERROR(VLOOKUP(InputTable[[#This Row],[Impact on - STRAT]],'System List'!$F$4:$H$7,3,FALSE),0)</f>
        <v>0</v>
      </c>
      <c r="BT119" s="2">
        <f>IFERROR(VLOOKUP(InputTable[[#This Row],[CORPHRFIN]],'System List'!$F$4:$H$7,3,FALSE),0)</f>
        <v>0</v>
      </c>
      <c r="BU119" s="2">
        <f>IFERROR(VLOOKUP(InputTable[[#This Row],[CUST]],'System List'!$F$4:$H$7,3,FALSE),0)</f>
        <v>0</v>
      </c>
      <c r="BV119" s="2">
        <f>IFERROR(VLOOKUP(InputTable[[#This Row],[CYBER]],'System List'!$F$4:$H$7,3,FALSE),0)</f>
        <v>0</v>
      </c>
      <c r="BW119" s="2">
        <f>IFERROR(VLOOKUP(InputTable[[#This Row],[DATA]],'System List'!$F$4:$H$7,3,FALSE),0)</f>
        <v>0</v>
      </c>
      <c r="BX119" s="2">
        <f>IFERROR(VLOOKUP(InputTable[[#This Row],[INFRA]],'System List'!$F$4:$H$7,3,FALSE),0)</f>
        <v>0</v>
      </c>
      <c r="BY119" s="2">
        <f>IFERROR(VLOOKUP(InputTable[[#This Row],[OPERATIONS]],'System List'!$F$4:$H$7,3,FALSE),0)</f>
        <v>0</v>
      </c>
      <c r="BZ119" s="2">
        <f>IFERROR(VLOOKUP(InputTable[[#This Row],[PMO]],'System List'!$F$4:$H$7,3,FALSE),0)</f>
        <v>0</v>
      </c>
      <c r="CA119" s="2">
        <f>IFERROR(VLOOKUP(InputTable[[#This Row],[SALES]],'System List'!$F$4:$H$7,3,FALSE),0)</f>
        <v>0</v>
      </c>
      <c r="CC119" s="2" cm="1">
        <f t="array" ref="CC11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19" s="2" cm="1">
        <f t="array" ref="CD11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19" s="2" cm="1">
        <f t="array" ref="CE11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19" s="2" cm="1">
        <f t="array" ref="CF11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19" s="2" cm="1">
        <f t="array" ref="CG11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19" s="2" cm="1">
        <f t="array" ref="CH11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19" s="2" cm="1">
        <f t="array" ref="CI11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19" s="2" cm="1">
        <f t="array" ref="CJ11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19" s="2" cm="1">
        <f t="array" ref="CK11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1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1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1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1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1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1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1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1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1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19" s="26">
        <f t="shared" si="307"/>
        <v>0</v>
      </c>
      <c r="CY119" s="26">
        <f t="shared" si="308"/>
        <v>0</v>
      </c>
      <c r="CZ119" s="26">
        <f t="shared" si="309"/>
        <v>0</v>
      </c>
      <c r="DA119" s="26">
        <f t="shared" si="310"/>
        <v>0</v>
      </c>
      <c r="DB119" s="26">
        <f t="shared" si="311"/>
        <v>0</v>
      </c>
      <c r="DC119" s="26">
        <f t="shared" si="312"/>
        <v>0</v>
      </c>
      <c r="DD119" s="26">
        <f t="shared" si="313"/>
        <v>0</v>
      </c>
      <c r="DE119" s="26">
        <f t="shared" si="314"/>
        <v>0</v>
      </c>
      <c r="DF119" s="26">
        <f t="shared" si="315"/>
        <v>0</v>
      </c>
      <c r="DH119" s="26">
        <f t="shared" si="316"/>
        <v>0</v>
      </c>
      <c r="DI119" s="26">
        <f t="shared" si="317"/>
        <v>0</v>
      </c>
      <c r="DJ119" s="26">
        <f t="shared" si="318"/>
        <v>0</v>
      </c>
      <c r="DK119" s="26">
        <f t="shared" si="319"/>
        <v>0</v>
      </c>
      <c r="DL119" s="26">
        <f t="shared" si="320"/>
        <v>0</v>
      </c>
      <c r="DM119" s="26">
        <f t="shared" si="321"/>
        <v>0</v>
      </c>
      <c r="DN119" s="26">
        <f t="shared" si="322"/>
        <v>0</v>
      </c>
      <c r="DO119" s="26">
        <f t="shared" si="323"/>
        <v>0</v>
      </c>
      <c r="DP119" s="26">
        <f t="shared" si="324"/>
        <v>0</v>
      </c>
      <c r="DR119" s="26">
        <f t="shared" si="325"/>
        <v>0</v>
      </c>
      <c r="DS119" s="26">
        <f t="shared" si="326"/>
        <v>0</v>
      </c>
      <c r="DT119" s="26">
        <f t="shared" si="327"/>
        <v>0</v>
      </c>
      <c r="DU119" s="26">
        <f t="shared" si="328"/>
        <v>0</v>
      </c>
      <c r="DV119" s="26">
        <f t="shared" si="329"/>
        <v>0</v>
      </c>
      <c r="DW119" s="26">
        <f t="shared" si="330"/>
        <v>0</v>
      </c>
      <c r="DX119" s="26">
        <f t="shared" si="331"/>
        <v>0</v>
      </c>
      <c r="DY119" s="26">
        <f t="shared" si="332"/>
        <v>0</v>
      </c>
      <c r="DZ119" s="26">
        <f t="shared" si="333"/>
        <v>0</v>
      </c>
      <c r="EB119" s="26">
        <f t="shared" si="334"/>
        <v>0</v>
      </c>
      <c r="EC119" s="26">
        <f t="shared" si="335"/>
        <v>0</v>
      </c>
      <c r="ED119" s="26">
        <f t="shared" si="336"/>
        <v>0</v>
      </c>
      <c r="EE119" s="26">
        <f t="shared" si="337"/>
        <v>0</v>
      </c>
      <c r="EF119" s="26">
        <f t="shared" si="338"/>
        <v>0</v>
      </c>
      <c r="EG119" s="26">
        <f t="shared" si="339"/>
        <v>0</v>
      </c>
      <c r="EH119" s="26">
        <f t="shared" si="340"/>
        <v>0</v>
      </c>
      <c r="EI119" s="26">
        <f t="shared" si="341"/>
        <v>0</v>
      </c>
      <c r="EJ119" s="26">
        <f t="shared" si="342"/>
        <v>0</v>
      </c>
      <c r="EL119" s="26">
        <f t="shared" si="343"/>
        <v>0</v>
      </c>
      <c r="EM119" s="26">
        <f t="shared" si="344"/>
        <v>0</v>
      </c>
      <c r="EN119" s="26">
        <f t="shared" si="345"/>
        <v>0</v>
      </c>
      <c r="EO119" s="26">
        <f t="shared" si="346"/>
        <v>0</v>
      </c>
      <c r="EP119" s="26">
        <f t="shared" si="347"/>
        <v>0</v>
      </c>
      <c r="EQ119" s="26">
        <f t="shared" si="348"/>
        <v>0</v>
      </c>
      <c r="ER119" s="26">
        <f t="shared" si="349"/>
        <v>0</v>
      </c>
      <c r="ES119" s="26">
        <f t="shared" si="350"/>
        <v>0</v>
      </c>
      <c r="ET119" s="26">
        <f t="shared" si="351"/>
        <v>0</v>
      </c>
      <c r="EV119" s="26">
        <f t="shared" si="352"/>
        <v>0</v>
      </c>
      <c r="EW119" s="26">
        <f t="shared" si="353"/>
        <v>0</v>
      </c>
      <c r="EX119" s="26">
        <f t="shared" si="354"/>
        <v>0</v>
      </c>
      <c r="EY119" s="26">
        <f t="shared" si="355"/>
        <v>0</v>
      </c>
      <c r="EZ119" s="26">
        <f t="shared" si="356"/>
        <v>0</v>
      </c>
      <c r="FA119" s="26">
        <f t="shared" si="357"/>
        <v>0</v>
      </c>
      <c r="FB119" s="26">
        <f t="shared" si="358"/>
        <v>0</v>
      </c>
      <c r="FC119" s="26">
        <f t="shared" si="359"/>
        <v>0</v>
      </c>
      <c r="FD119" s="26">
        <f t="shared" si="360"/>
        <v>0</v>
      </c>
      <c r="FF119" s="26">
        <f t="shared" si="361"/>
        <v>0</v>
      </c>
      <c r="FG119" s="26">
        <f t="shared" si="362"/>
        <v>0</v>
      </c>
      <c r="FH119" s="26">
        <f t="shared" si="363"/>
        <v>0</v>
      </c>
      <c r="FI119" s="26">
        <f t="shared" si="364"/>
        <v>0</v>
      </c>
      <c r="FJ119" s="26">
        <f t="shared" si="365"/>
        <v>0</v>
      </c>
      <c r="FK119" s="26">
        <f t="shared" si="366"/>
        <v>0</v>
      </c>
      <c r="FL119" s="26">
        <f t="shared" si="367"/>
        <v>0</v>
      </c>
      <c r="FM119" s="26">
        <f t="shared" si="368"/>
        <v>0</v>
      </c>
      <c r="FN119" s="26">
        <f t="shared" si="369"/>
        <v>0</v>
      </c>
      <c r="FP119" s="26" t="e">
        <f t="shared" si="370"/>
        <v>#REF!</v>
      </c>
      <c r="FQ119" s="26" t="e">
        <f t="shared" si="371"/>
        <v>#REF!</v>
      </c>
      <c r="FR119" s="26" t="e">
        <f t="shared" si="372"/>
        <v>#REF!</v>
      </c>
      <c r="FS119" s="26" t="e">
        <f t="shared" si="373"/>
        <v>#REF!</v>
      </c>
      <c r="FT119" s="26" t="e">
        <f t="shared" si="374"/>
        <v>#REF!</v>
      </c>
      <c r="FU119" s="26" t="e">
        <f t="shared" si="375"/>
        <v>#REF!</v>
      </c>
      <c r="FV119" s="26" t="e">
        <f t="shared" si="376"/>
        <v>#REF!</v>
      </c>
      <c r="FW119" s="26" t="e">
        <f t="shared" si="377"/>
        <v>#REF!</v>
      </c>
      <c r="FX119" s="26" t="e">
        <f t="shared" si="378"/>
        <v>#REF!</v>
      </c>
      <c r="GB119" s="26" t="e">
        <f>IF(GB$2=InputTable[[#This Row],[Delivery Date]],_xlfn.XLOOKUP(GB$1,$BH$2:$BR$2,$BH119:$BR119,0),0)</f>
        <v>#REF!</v>
      </c>
      <c r="GC119" s="26">
        <f>IF(GC$2=InputTable[[#This Row],[Delivery Date]],_xlfn.XLOOKUP(GC$1,$BH$2:$BR$2,$BH119:$BR119,0),0)</f>
        <v>0</v>
      </c>
      <c r="GD119" s="26">
        <f>IF(GD$2=InputTable[[#This Row],[Delivery Date]],_xlfn.XLOOKUP(GD$1,$BH$2:$BR$2,$BH119:$BR119,0),0)</f>
        <v>0</v>
      </c>
      <c r="GE119" s="26">
        <f>IF(GE$2=InputTable[[#This Row],[Delivery Date]],_xlfn.XLOOKUP(GE$1,$BH$2:$BR$2,$BH119:$BR119,0),0)</f>
        <v>0</v>
      </c>
      <c r="GF119" s="26">
        <f>IF(GF$2=InputTable[[#This Row],[Delivery Date]],_xlfn.XLOOKUP(GF$1,$BH$2:$BR$2,$BH119:$BR119,0),0)</f>
        <v>0</v>
      </c>
      <c r="GG119" s="26">
        <f>IF(GG$2=InputTable[[#This Row],[Delivery Date]],_xlfn.XLOOKUP(GG$1,$BH$2:$BR$2,$BH119:$BR119,0),0)</f>
        <v>0</v>
      </c>
      <c r="GH119" s="26">
        <f>IF(GH$2=InputTable[[#This Row],[Delivery Date]],_xlfn.XLOOKUP(GH$1,$BH$2:$BR$2,$BH119:$BR119,0),0)</f>
        <v>0</v>
      </c>
      <c r="GI119" s="26">
        <f>IF(GI$2=InputTable[[#This Row],[Delivery Date]],_xlfn.XLOOKUP(GI$1,$BH$2:$BR$2,$BH119:$BR119,0),0)</f>
        <v>0</v>
      </c>
      <c r="GJ119" s="26">
        <f>IF(GJ$2=InputTable[[#This Row],[Delivery Date]],_xlfn.XLOOKUP(GJ$1,$BH$2:$BR$2,$BH119:$BR119,0),0)</f>
        <v>0</v>
      </c>
      <c r="GL119" s="26" t="e">
        <f>IF(GL$2=InputTable[[#This Row],[Delivery Date]],_xlfn.XLOOKUP(GL$1,$BH$2:$BR$2,$BH119:$BR119,0),0)</f>
        <v>#REF!</v>
      </c>
      <c r="GM119" s="26">
        <f>IF(GM$2=InputTable[[#This Row],[Delivery Date]],_xlfn.XLOOKUP(GM$1,$BH$2:$BR$2,$BH119:$BR119,0),0)</f>
        <v>0</v>
      </c>
      <c r="GN119" s="26">
        <f>IF(GN$2=InputTable[[#This Row],[Delivery Date]],_xlfn.XLOOKUP(GN$1,$BH$2:$BR$2,$BH119:$BR119,0),0)</f>
        <v>0</v>
      </c>
      <c r="GO119" s="26">
        <f>IF(GO$2=InputTable[[#This Row],[Delivery Date]],_xlfn.XLOOKUP(GO$1,$BH$2:$BR$2,$BH119:$BR119,0),0)</f>
        <v>0</v>
      </c>
      <c r="GP119" s="26">
        <f>IF(GP$2=InputTable[[#This Row],[Delivery Date]],_xlfn.XLOOKUP(GP$1,$BH$2:$BR$2,$BH119:$BR119,0),0)</f>
        <v>0</v>
      </c>
      <c r="GQ119" s="26">
        <f>IF(GQ$2=InputTable[[#This Row],[Delivery Date]],_xlfn.XLOOKUP(GQ$1,$BH$2:$BR$2,$BH119:$BR119,0),0)</f>
        <v>0</v>
      </c>
      <c r="GR119" s="26">
        <f>IF(GR$2=InputTable[[#This Row],[Delivery Date]],_xlfn.XLOOKUP(GR$1,$BH$2:$BR$2,$BH119:$BR119,0),0)</f>
        <v>0</v>
      </c>
      <c r="GS119" s="26">
        <f>IF(GS$2=InputTable[[#This Row],[Delivery Date]],_xlfn.XLOOKUP(GS$1,$BH$2:$BR$2,$BH119:$BR119,0),0)</f>
        <v>0</v>
      </c>
      <c r="GT119" s="26">
        <f>IF(GT$2=InputTable[[#This Row],[Delivery Date]],_xlfn.XLOOKUP(GT$1,$BH$2:$BR$2,$BH119:$BR119,0),0)</f>
        <v>0</v>
      </c>
      <c r="GV119" s="26" t="e">
        <f>IF(GV$2=InputTable[[#This Row],[Delivery Date]],_xlfn.XLOOKUP(GV$1,$BH$2:$BR$2,$BH119:$BR119,0),0)</f>
        <v>#REF!</v>
      </c>
      <c r="GW119" s="26">
        <f>IF(GW$2=InputTable[[#This Row],[Delivery Date]],_xlfn.XLOOKUP(GW$1,$BH$2:$BR$2,$BH119:$BR119,0),0)</f>
        <v>0</v>
      </c>
      <c r="GX119" s="26">
        <f>IF(GX$2=InputTable[[#This Row],[Delivery Date]],_xlfn.XLOOKUP(GX$1,$BH$2:$BR$2,$BH119:$BR119,0),0)</f>
        <v>0</v>
      </c>
      <c r="GY119" s="26">
        <f>IF(GY$2=InputTable[[#This Row],[Delivery Date]],_xlfn.XLOOKUP(GY$1,$BH$2:$BR$2,$BH119:$BR119,0),0)</f>
        <v>0</v>
      </c>
      <c r="GZ119" s="26">
        <f>IF(GZ$2=InputTable[[#This Row],[Delivery Date]],_xlfn.XLOOKUP(GZ$1,$BH$2:$BR$2,$BH119:$BR119,0),0)</f>
        <v>0</v>
      </c>
      <c r="HA119" s="26">
        <f>IF(HA$2=InputTable[[#This Row],[Delivery Date]],_xlfn.XLOOKUP(HA$1,$BH$2:$BR$2,$BH119:$BR119,0),0)</f>
        <v>0</v>
      </c>
      <c r="HB119" s="26">
        <f>IF(HB$2=InputTable[[#This Row],[Delivery Date]],_xlfn.XLOOKUP(HB$1,$BH$2:$BR$2,$BH119:$BR119,0),0)</f>
        <v>0</v>
      </c>
      <c r="HC119" s="26">
        <f>IF(HC$2=InputTable[[#This Row],[Delivery Date]],_xlfn.XLOOKUP(HC$1,$BH$2:$BR$2,$BH119:$BR119,0),0)</f>
        <v>0</v>
      </c>
      <c r="HD119" s="26">
        <f>IF(HD$2=InputTable[[#This Row],[Delivery Date]],_xlfn.XLOOKUP(HD$1,$BH$2:$BR$2,$BH119:$BR119,0),0)</f>
        <v>0</v>
      </c>
      <c r="HF119" s="26" t="e">
        <f>IF(HF$2=InputTable[[#This Row],[Delivery Date]],_xlfn.XLOOKUP(HF$1,$BH$2:$BR$2,$BH119:$BR119,0),0)</f>
        <v>#REF!</v>
      </c>
      <c r="HG119" s="26">
        <f>IF(HG$2=InputTable[[#This Row],[Delivery Date]],_xlfn.XLOOKUP(HG$1,$BH$2:$BR$2,$BH119:$BR119,0),0)</f>
        <v>0</v>
      </c>
      <c r="HH119" s="26">
        <f>IF(HH$2=InputTable[[#This Row],[Delivery Date]],_xlfn.XLOOKUP(HH$1,$BH$2:$BR$2,$BH119:$BR119,0),0)</f>
        <v>0</v>
      </c>
      <c r="HI119" s="26">
        <f>IF(HI$2=InputTable[[#This Row],[Delivery Date]],_xlfn.XLOOKUP(HI$1,$BH$2:$BR$2,$BH119:$BR119,0),0)</f>
        <v>0</v>
      </c>
      <c r="HJ119" s="26">
        <f>IF(HJ$2=InputTable[[#This Row],[Delivery Date]],_xlfn.XLOOKUP(HJ$1,$BH$2:$BR$2,$BH119:$BR119,0),0)</f>
        <v>0</v>
      </c>
      <c r="HK119" s="26">
        <f>IF(HK$2=InputTable[[#This Row],[Delivery Date]],_xlfn.XLOOKUP(HK$1,$BH$2:$BR$2,$BH119:$BR119,0),0)</f>
        <v>0</v>
      </c>
      <c r="HL119" s="26">
        <f>IF(HL$2=InputTable[[#This Row],[Delivery Date]],_xlfn.XLOOKUP(HL$1,$BH$2:$BR$2,$BH119:$BR119,0),0)</f>
        <v>0</v>
      </c>
      <c r="HM119" s="26">
        <f>IF(HM$2=InputTable[[#This Row],[Delivery Date]],_xlfn.XLOOKUP(HM$1,$BH$2:$BR$2,$BH119:$BR119,0),0)</f>
        <v>0</v>
      </c>
      <c r="HN119" s="26">
        <f>IF(HN$2=InputTable[[#This Row],[Delivery Date]],_xlfn.XLOOKUP(HN$1,$BH$2:$BR$2,$BH119:$BR119,0),0)</f>
        <v>0</v>
      </c>
      <c r="HP119" s="26" t="e">
        <f>IF(HP$2=InputTable[[#This Row],[Delivery Date]],_xlfn.XLOOKUP(HP$1,$BH$2:$BR$2,$BH119:$BR119,0),0)</f>
        <v>#REF!</v>
      </c>
      <c r="HQ119" s="26">
        <f>IF(HQ$2=InputTable[[#This Row],[Delivery Date]],_xlfn.XLOOKUP(HQ$1,$BH$2:$BR$2,$BH119:$BR119,0),0)</f>
        <v>0</v>
      </c>
      <c r="HR119" s="26">
        <f>IF(HR$2=InputTable[[#This Row],[Delivery Date]],_xlfn.XLOOKUP(HR$1,$BH$2:$BR$2,$BH119:$BR119,0),0)</f>
        <v>0</v>
      </c>
      <c r="HS119" s="26">
        <f>IF(HS$2=InputTable[[#This Row],[Delivery Date]],_xlfn.XLOOKUP(HS$1,$BH$2:$BR$2,$BH119:$BR119,0),0)</f>
        <v>0</v>
      </c>
      <c r="HT119" s="26">
        <f>IF(HT$2=InputTable[[#This Row],[Delivery Date]],_xlfn.XLOOKUP(HT$1,$BH$2:$BR$2,$BH119:$BR119,0),0)</f>
        <v>0</v>
      </c>
      <c r="HU119" s="26">
        <f>IF(HU$2=InputTable[[#This Row],[Delivery Date]],_xlfn.XLOOKUP(HU$1,$BH$2:$BR$2,$BH119:$BR119,0),0)</f>
        <v>0</v>
      </c>
      <c r="HV119" s="26">
        <f>IF(HV$2=InputTable[[#This Row],[Delivery Date]],_xlfn.XLOOKUP(HV$1,$BH$2:$BR$2,$BH119:$BR119,0),0)</f>
        <v>0</v>
      </c>
      <c r="HW119" s="26">
        <f>IF(HW$2=InputTable[[#This Row],[Delivery Date]],_xlfn.XLOOKUP(HW$1,$BH$2:$BR$2,$BH119:$BR119,0),0)</f>
        <v>0</v>
      </c>
      <c r="HX119" s="26">
        <f>IF(HX$2=InputTable[[#This Row],[Delivery Date]],_xlfn.XLOOKUP(HX$1,$BH$2:$BR$2,$BH119:$BR119,0),0)</f>
        <v>0</v>
      </c>
      <c r="HZ119" s="26" t="e">
        <f>IF(HZ$2=InputTable[[#This Row],[Delivery Date]],_xlfn.XLOOKUP(HZ$1,$BH$2:$BR$2,$BH119:$BR119,0),0)</f>
        <v>#REF!</v>
      </c>
      <c r="IA119" s="26">
        <f>IF(IA$2=InputTable[[#This Row],[Delivery Date]],_xlfn.XLOOKUP(IA$1,$BH$2:$BR$2,$BH119:$BR119,0),0)</f>
        <v>0</v>
      </c>
      <c r="IB119" s="26">
        <f>IF(IB$2=InputTable[[#This Row],[Delivery Date]],_xlfn.XLOOKUP(IB$1,$BH$2:$BR$2,$BH119:$BR119,0),0)</f>
        <v>0</v>
      </c>
      <c r="IC119" s="26">
        <f>IF(IC$2=InputTable[[#This Row],[Delivery Date]],_xlfn.XLOOKUP(IC$1,$BH$2:$BR$2,$BH119:$BR119,0),0)</f>
        <v>0</v>
      </c>
      <c r="ID119" s="26">
        <f>IF(ID$2=InputTable[[#This Row],[Delivery Date]],_xlfn.XLOOKUP(ID$1,$BH$2:$BR$2,$BH119:$BR119,0),0)</f>
        <v>0</v>
      </c>
      <c r="IE119" s="26">
        <f>IF(IE$2=InputTable[[#This Row],[Delivery Date]],_xlfn.XLOOKUP(IE$1,$BH$2:$BR$2,$BH119:$BR119,0),0)</f>
        <v>0</v>
      </c>
      <c r="IF119" s="26">
        <f>IF(IF$2=InputTable[[#This Row],[Delivery Date]],_xlfn.XLOOKUP(IF$1,$BH$2:$BR$2,$BH119:$BR119,0),0)</f>
        <v>0</v>
      </c>
      <c r="IG119" s="26">
        <f>IF(IG$2=InputTable[[#This Row],[Delivery Date]],_xlfn.XLOOKUP(IG$1,$BH$2:$BR$2,$BH119:$BR119,0),0)</f>
        <v>0</v>
      </c>
      <c r="IH119" s="26">
        <f>IF(IH$2=InputTable[[#This Row],[Delivery Date]],_xlfn.XLOOKUP(IH$1,$BH$2:$BR$2,$BH119:$BR119,0),0)</f>
        <v>0</v>
      </c>
      <c r="IJ119" s="26" t="e">
        <f>IF(IJ$2=InputTable[[#This Row],[Delivery Date]],_xlfn.XLOOKUP(IJ$1,$BH$2:$BR$2,$BH119:$BR119,0),0)</f>
        <v>#REF!</v>
      </c>
      <c r="IK119" s="26">
        <f>IF(IK$2=InputTable[[#This Row],[Delivery Date]],_xlfn.XLOOKUP(IK$1,$BH$2:$BR$2,$BH119:$BR119,0),0)</f>
        <v>0</v>
      </c>
      <c r="IL119" s="26">
        <f>IF(IL$2=InputTable[[#This Row],[Delivery Date]],_xlfn.XLOOKUP(IL$1,$BH$2:$BR$2,$BH119:$BR119,0),0)</f>
        <v>0</v>
      </c>
      <c r="IM119" s="26">
        <f>IF(IM$2=InputTable[[#This Row],[Delivery Date]],_xlfn.XLOOKUP(IM$1,$BH$2:$BR$2,$BH119:$BR119,0),0)</f>
        <v>0</v>
      </c>
      <c r="IN119" s="26">
        <f>IF(IN$2=InputTable[[#This Row],[Delivery Date]],_xlfn.XLOOKUP(IN$1,$BH$2:$BR$2,$BH119:$BR119,0),0)</f>
        <v>0</v>
      </c>
      <c r="IO119" s="26">
        <f>IF(IO$2=InputTable[[#This Row],[Delivery Date]],_xlfn.XLOOKUP(IO$1,$BH$2:$BR$2,$BH119:$BR119,0),0)</f>
        <v>0</v>
      </c>
      <c r="IP119" s="26">
        <f>IF(IP$2=InputTable[[#This Row],[Delivery Date]],_xlfn.XLOOKUP(IP$1,$BH$2:$BR$2,$BH119:$BR119,0),0)</f>
        <v>0</v>
      </c>
      <c r="IQ119" s="26">
        <f>IF(IQ$2=InputTable[[#This Row],[Delivery Date]],_xlfn.XLOOKUP(IQ$1,$BH$2:$BR$2,$BH119:$BR119,0),0)</f>
        <v>0</v>
      </c>
      <c r="IR119" s="26">
        <f>IF(IR$2=InputTable[[#This Row],[Delivery Date]],_xlfn.XLOOKUP(IR$1,$BH$2:$BR$2,$BH119:$BR119,0),0)</f>
        <v>0</v>
      </c>
      <c r="IT119" s="26" t="e">
        <f>IF(IT$2=InputTable[[#This Row],[Delivery Date]],_xlfn.XLOOKUP(IT$1,$BH$2:$BR$2,$BH119:$BR119,0),0)</f>
        <v>#REF!</v>
      </c>
      <c r="IU119" s="26">
        <f>IF(IU$2=InputTable[[#This Row],[Delivery Date]],_xlfn.XLOOKUP(IU$1,$BH$2:$BR$2,$BH119:$BR119,0),0)</f>
        <v>0</v>
      </c>
      <c r="IV119" s="26">
        <f>IF(IV$2=InputTable[[#This Row],[Delivery Date]],_xlfn.XLOOKUP(IV$1,$BH$2:$BR$2,$BH119:$BR119,0),0)</f>
        <v>0</v>
      </c>
      <c r="IW119" s="26">
        <f>IF(IW$2=InputTable[[#This Row],[Delivery Date]],_xlfn.XLOOKUP(IW$1,$BH$2:$BR$2,$BH119:$BR119,0),0)</f>
        <v>0</v>
      </c>
      <c r="IX119" s="26">
        <f>IF(IX$2=InputTable[[#This Row],[Delivery Date]],_xlfn.XLOOKUP(IX$1,$BH$2:$BR$2,$BH119:$BR119,0),0)</f>
        <v>0</v>
      </c>
      <c r="IY119" s="26">
        <f>IF(IY$2=InputTable[[#This Row],[Delivery Date]],_xlfn.XLOOKUP(IY$1,$BH$2:$BR$2,$BH119:$BR119,0),0)</f>
        <v>0</v>
      </c>
      <c r="IZ119" s="26">
        <f>IF(IZ$2=InputTable[[#This Row],[Delivery Date]],_xlfn.XLOOKUP(IZ$1,$BH$2:$BR$2,$BH119:$BR119,0),0)</f>
        <v>0</v>
      </c>
      <c r="JA119" s="26">
        <f>IF(JA$2=InputTable[[#This Row],[Delivery Date]],_xlfn.XLOOKUP(JA$1,$BH$2:$BR$2,$BH119:$BR119,0),0)</f>
        <v>0</v>
      </c>
      <c r="JB119" s="26">
        <f>IF(JB$2=InputTable[[#This Row],[Delivery Date]],_xlfn.XLOOKUP(JB$1,$BH$2:$BR$2,$BH119:$BR119,0),0)</f>
        <v>0</v>
      </c>
      <c r="JD119" s="26" t="e">
        <f>IF(JD$2=InputTable[[#This Row],[Delivery Date]],_xlfn.XLOOKUP(JD$1,$BH$2:$BR$2,$BH119:$BR119,0),0)</f>
        <v>#REF!</v>
      </c>
      <c r="JE119" s="26">
        <f>IF(JE$2=InputTable[[#This Row],[Delivery Date]],_xlfn.XLOOKUP(JE$1,$BH$2:$BR$2,$BH119:$BR119,0),0)</f>
        <v>0</v>
      </c>
      <c r="JF119" s="26">
        <f>IF(JF$2=InputTable[[#This Row],[Delivery Date]],_xlfn.XLOOKUP(JF$1,$BH$2:$BR$2,$BH119:$BR119,0),0)</f>
        <v>0</v>
      </c>
      <c r="JG119" s="26">
        <f>IF(JG$2=InputTable[[#This Row],[Delivery Date]],_xlfn.XLOOKUP(JG$1,$BH$2:$BR$2,$BH119:$BR119,0),0)</f>
        <v>0</v>
      </c>
      <c r="JH119" s="26">
        <f>IF(JH$2=InputTable[[#This Row],[Delivery Date]],_xlfn.XLOOKUP(JH$1,$BH$2:$BR$2,$BH119:$BR119,0),0)</f>
        <v>0</v>
      </c>
      <c r="JI119" s="26">
        <f>IF(JI$2=InputTable[[#This Row],[Delivery Date]],_xlfn.XLOOKUP(JI$1,$BH$2:$BR$2,$BH119:$BR119,0),0)</f>
        <v>0</v>
      </c>
      <c r="JJ119" s="26">
        <f>IF(JJ$2=InputTable[[#This Row],[Delivery Date]],_xlfn.XLOOKUP(JJ$1,$BH$2:$BR$2,$BH119:$BR119,0),0)</f>
        <v>0</v>
      </c>
      <c r="JK119" s="26">
        <f>IF(JK$2=InputTable[[#This Row],[Delivery Date]],_xlfn.XLOOKUP(JK$1,$BH$2:$BR$2,$BH119:$BR119,0),0)</f>
        <v>0</v>
      </c>
      <c r="JL119" s="26">
        <f>IF(JL$2=InputTable[[#This Row],[Delivery Date]],_xlfn.XLOOKUP(JL$1,$BH$2:$BR$2,$BH119:$BR119,0),0)</f>
        <v>0</v>
      </c>
      <c r="JN119" s="26" t="e">
        <f>IF(JN$2=InputTable[[#This Row],[Delivery Date]],_xlfn.XLOOKUP(JN$1,$BH$2:$BR$2,$BH119:$BR119,0),0)</f>
        <v>#REF!</v>
      </c>
      <c r="JO119" s="26">
        <f>IF(JO$2=InputTable[[#This Row],[Delivery Date]],_xlfn.XLOOKUP(JO$1,$BH$2:$BR$2,$BH119:$BR119,0),0)</f>
        <v>0</v>
      </c>
      <c r="JP119" s="26">
        <f>IF(JP$2=InputTable[[#This Row],[Delivery Date]],_xlfn.XLOOKUP(JP$1,$BH$2:$BR$2,$BH119:$BR119,0),0)</f>
        <v>0</v>
      </c>
      <c r="JQ119" s="26">
        <f>IF(JQ$2=InputTable[[#This Row],[Delivery Date]],_xlfn.XLOOKUP(JQ$1,$BH$2:$BR$2,$BH119:$BR119,0),0)</f>
        <v>0</v>
      </c>
      <c r="JR119" s="26">
        <f>IF(JR$2=InputTable[[#This Row],[Delivery Date]],_xlfn.XLOOKUP(JR$1,$BH$2:$BR$2,$BH119:$BR119,0),0)</f>
        <v>0</v>
      </c>
      <c r="JS119" s="26">
        <f>IF(JS$2=InputTable[[#This Row],[Delivery Date]],_xlfn.XLOOKUP(JS$1,$BH$2:$BR$2,$BH119:$BR119,0),0)</f>
        <v>0</v>
      </c>
      <c r="JT119" s="26">
        <f>IF(JT$2=InputTable[[#This Row],[Delivery Date]],_xlfn.XLOOKUP(JT$1,$BH$2:$BR$2,$BH119:$BR119,0),0)</f>
        <v>0</v>
      </c>
      <c r="JU119" s="26">
        <f>IF(JU$2=InputTable[[#This Row],[Delivery Date]],_xlfn.XLOOKUP(JU$1,$BH$2:$BR$2,$BH119:$BR119,0),0)</f>
        <v>0</v>
      </c>
      <c r="JV119" s="26">
        <f>IF(JV$2=InputTable[[#This Row],[Delivery Date]],_xlfn.XLOOKUP(JV$1,$BH$2:$BR$2,$BH119:$BR119,0),0)</f>
        <v>0</v>
      </c>
      <c r="JX119" s="26" t="e">
        <f>IF(JX$2=InputTable[[#This Row],[Delivery Date]],_xlfn.XLOOKUP(JX$1,$BH$2:$BR$2,$BH119:$BR119,0),0)</f>
        <v>#REF!</v>
      </c>
      <c r="JY119" s="26">
        <f>IF(JY$2=InputTable[[#This Row],[Delivery Date]],_xlfn.XLOOKUP(JY$1,$BH$2:$BR$2,$BH119:$BR119,0),0)</f>
        <v>0</v>
      </c>
      <c r="JZ119" s="26">
        <f>IF(JZ$2=InputTable[[#This Row],[Delivery Date]],_xlfn.XLOOKUP(JZ$1,$BH$2:$BR$2,$BH119:$BR119,0),0)</f>
        <v>0</v>
      </c>
      <c r="KA119" s="26">
        <f>IF(KA$2=InputTable[[#This Row],[Delivery Date]],_xlfn.XLOOKUP(KA$1,$BH$2:$BR$2,$BH119:$BR119,0),0)</f>
        <v>0</v>
      </c>
      <c r="KB119" s="26">
        <f>IF(KB$2=InputTable[[#This Row],[Delivery Date]],_xlfn.XLOOKUP(KB$1,$BH$2:$BR$2,$BH119:$BR119,0),0)</f>
        <v>0</v>
      </c>
      <c r="KC119" s="26">
        <f>IF(KC$2=InputTable[[#This Row],[Delivery Date]],_xlfn.XLOOKUP(KC$1,$BH$2:$BR$2,$BH119:$BR119,0),0)</f>
        <v>0</v>
      </c>
      <c r="KD119" s="26">
        <f>IF(KD$2=InputTable[[#This Row],[Delivery Date]],_xlfn.XLOOKUP(KD$1,$BH$2:$BR$2,$BH119:$BR119,0),0)</f>
        <v>0</v>
      </c>
      <c r="KE119" s="26">
        <f>IF(KE$2=InputTable[[#This Row],[Delivery Date]],_xlfn.XLOOKUP(KE$1,$BH$2:$BR$2,$BH119:$BR119,0),0)</f>
        <v>0</v>
      </c>
      <c r="KF119" s="26">
        <f>IF(KF$2=InputTable[[#This Row],[Delivery Date]],_xlfn.XLOOKUP(KF$1,$BH$2:$BR$2,$BH119:$BR119,0),0)</f>
        <v>0</v>
      </c>
    </row>
    <row r="120" spans="1:292" ht="39.6" customHeight="1" x14ac:dyDescent="0.25">
      <c r="A120" s="141"/>
      <c r="B120" s="141"/>
      <c r="C120" s="92"/>
      <c r="D120" s="92"/>
      <c r="E120" s="93"/>
      <c r="F120" s="92"/>
      <c r="G120" s="92"/>
      <c r="H120" s="92"/>
      <c r="I120" s="92"/>
      <c r="J120" s="122"/>
      <c r="K120" s="95" t="e">
        <f>VLOOKUP((InputTable[[#This Row],[Starting Date]]&amp; " - " &amp;InputTable[[#This Row],[Delivery Date]]),'System List'!$F$40:$H$83,2,FALSE)</f>
        <v>#N/A</v>
      </c>
      <c r="L120" s="95" t="e">
        <f>VLOOKUP(InputTable[[#This Row],[Duration]],Duration,2,FALSE)</f>
        <v>#N/A</v>
      </c>
      <c r="M120" s="122"/>
      <c r="N120" s="92"/>
      <c r="O120" s="92"/>
      <c r="P120" s="92"/>
      <c r="Q120" s="92"/>
      <c r="R120" s="92"/>
      <c r="S120" s="92"/>
      <c r="T120" s="95"/>
      <c r="U120" s="138"/>
      <c r="V120" s="92"/>
      <c r="W120" s="92"/>
      <c r="X120" s="92"/>
      <c r="Y120" s="92"/>
      <c r="Z120" s="92"/>
      <c r="AA120" s="92"/>
      <c r="AB120" s="92"/>
      <c r="AC120" s="92"/>
      <c r="AD120" s="92">
        <f>COUNTA(InputTable[[#This Row],[CORPHRFIN]:[SALES]])</f>
        <v>0</v>
      </c>
      <c r="AE120" s="88" cm="1">
        <f t="array" ref="AE120">SUM(
_xlfn.XLOOKUP(InputTable[[#This Row],[CORPHRFIN]:[SALES]],'System List'!$F$4:$F$7,'System List'!$H$4:$H$7,0))</f>
        <v>0</v>
      </c>
      <c r="AF120" s="140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88" cm="1">
        <f t="array" ref="AR120">SUM(
_xlfn.XLOOKUP(InputTable[[#This Row],[Impact on - CIAL]:[Impact on - STRAT]],'System List'!$F$4:$F$7,'System List'!$H$4:$H$7,0))</f>
        <v>0</v>
      </c>
      <c r="AS120" s="88" t="e">
        <f>VLOOKUP(InputTable[[#This Row],[Duration]],Duration,2,FALSE)+InputTable[[#This Row],[Resource Score]]</f>
        <v>#N/A</v>
      </c>
      <c r="AT12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0" s="24" t="e">
        <f>InputTable[[#This Row],[Value Score]]/InputTable[[#This Row],[EFFORT SCORE]]*100</f>
        <v>#N/A</v>
      </c>
      <c r="AV120" s="25"/>
      <c r="AW120" s="25"/>
      <c r="AX120" s="208"/>
      <c r="AY120" s="25"/>
      <c r="AZ120" s="209">
        <v>0</v>
      </c>
      <c r="BA120" s="209">
        <v>0</v>
      </c>
      <c r="BB120" s="209"/>
      <c r="BC120" s="189"/>
      <c r="BD120" s="188"/>
      <c r="BE120" s="188"/>
      <c r="BF120" s="70"/>
      <c r="BH120" s="2">
        <f>IFERROR(VLOOKUP(InputTable[[#This Row],[Impact on - CIAL]],'System List'!$F$4:$H$7,3,FALSE),0)</f>
        <v>0</v>
      </c>
      <c r="BI120" s="2">
        <f>IFERROR(VLOOKUP(InputTable[[#This Row],[Impact on - COM]],'System List'!$F$4:$H$7,3,FALSE),0)</f>
        <v>0</v>
      </c>
      <c r="BJ120" s="2">
        <f>IFERROR(VLOOKUP(InputTable[[#This Row],[Impact on - FIN]],'System List'!$F$4:$H$7,3,FALSE),0)</f>
        <v>0</v>
      </c>
      <c r="BK120" s="2">
        <f>IFERROR(VLOOKUP(InputTable[[#This Row],[Impact on - GEN SEC]],'System List'!$F$4:$H$7,3,FALSE),0)</f>
        <v>0</v>
      </c>
      <c r="BL120" s="2">
        <f>IFERROR(VLOOKUP(InputTable[[#This Row],[Impact on - HR]],'System List'!$F$4:$H$7,3,FALSE),0)</f>
        <v>0</v>
      </c>
      <c r="BM120" s="2">
        <f>IFERROR(VLOOKUP(InputTable[[#This Row],[Impact on - IS]],'System List'!$F$4:$H$7,3,FALSE),0)</f>
        <v>0</v>
      </c>
      <c r="BN120" s="2">
        <f>IFERROR(VLOOKUP(InputTable[[#This Row],[Impact on - OPS]],'System List'!$F$4:$H$7,3,FALSE),0)</f>
        <v>0</v>
      </c>
      <c r="BO120" s="2">
        <f>IFERROR(VLOOKUP(InputTable[[#This Row],[Impact on - ROLL STOCK]],'System List'!$F$4:$H$7,3,FALSE),0)</f>
        <v>0</v>
      </c>
      <c r="BP120" s="2">
        <f>IFERROR(VLOOKUP(InputTable[[#This Row],[Impact on - SAFETY]],'System List'!$F$4:$H$7,3,FALSE),0)</f>
        <v>0</v>
      </c>
      <c r="BQ120" s="2">
        <f>IFERROR(VLOOKUP(InputTable[[#This Row],[Impact on - STATION]],'System List'!$F$4:$H$7,3,FALSE),0)</f>
        <v>0</v>
      </c>
      <c r="BR120" s="2">
        <f>IFERROR(VLOOKUP(InputTable[[#This Row],[Impact on - STRAT]],'System List'!$F$4:$H$7,3,FALSE),0)</f>
        <v>0</v>
      </c>
      <c r="BT120" s="2">
        <f>IFERROR(VLOOKUP(InputTable[[#This Row],[CORPHRFIN]],'System List'!$F$4:$H$7,3,FALSE),0)</f>
        <v>0</v>
      </c>
      <c r="BU120" s="2">
        <f>IFERROR(VLOOKUP(InputTable[[#This Row],[CUST]],'System List'!$F$4:$H$7,3,FALSE),0)</f>
        <v>0</v>
      </c>
      <c r="BV120" s="2">
        <f>IFERROR(VLOOKUP(InputTable[[#This Row],[CYBER]],'System List'!$F$4:$H$7,3,FALSE),0)</f>
        <v>0</v>
      </c>
      <c r="BW120" s="2">
        <f>IFERROR(VLOOKUP(InputTable[[#This Row],[DATA]],'System List'!$F$4:$H$7,3,FALSE),0)</f>
        <v>0</v>
      </c>
      <c r="BX120" s="2">
        <f>IFERROR(VLOOKUP(InputTable[[#This Row],[INFRA]],'System List'!$F$4:$H$7,3,FALSE),0)</f>
        <v>0</v>
      </c>
      <c r="BY120" s="2">
        <f>IFERROR(VLOOKUP(InputTable[[#This Row],[OPERATIONS]],'System List'!$F$4:$H$7,3,FALSE),0)</f>
        <v>0</v>
      </c>
      <c r="BZ120" s="2">
        <f>IFERROR(VLOOKUP(InputTable[[#This Row],[PMO]],'System List'!$F$4:$H$7,3,FALSE),0)</f>
        <v>0</v>
      </c>
      <c r="CA120" s="2">
        <f>IFERROR(VLOOKUP(InputTable[[#This Row],[SALES]],'System List'!$F$4:$H$7,3,FALSE),0)</f>
        <v>0</v>
      </c>
      <c r="CC120" s="2" cm="1">
        <f t="array" ref="CC12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0" s="2" cm="1">
        <f t="array" ref="CD12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0" s="2" cm="1">
        <f t="array" ref="CE12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0" s="2" cm="1">
        <f t="array" ref="CF12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0" s="2" cm="1">
        <f t="array" ref="CG12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0" s="2" cm="1">
        <f t="array" ref="CH12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0" s="2" cm="1">
        <f t="array" ref="CI12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0" s="2" cm="1">
        <f t="array" ref="CJ12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0" s="2" cm="1">
        <f t="array" ref="CK12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0" s="26">
        <f t="shared" si="307"/>
        <v>0</v>
      </c>
      <c r="CY120" s="26">
        <f t="shared" si="308"/>
        <v>0</v>
      </c>
      <c r="CZ120" s="26">
        <f t="shared" si="309"/>
        <v>0</v>
      </c>
      <c r="DA120" s="26">
        <f t="shared" si="310"/>
        <v>0</v>
      </c>
      <c r="DB120" s="26">
        <f t="shared" si="311"/>
        <v>0</v>
      </c>
      <c r="DC120" s="26">
        <f t="shared" si="312"/>
        <v>0</v>
      </c>
      <c r="DD120" s="26">
        <f t="shared" si="313"/>
        <v>0</v>
      </c>
      <c r="DE120" s="26">
        <f t="shared" si="314"/>
        <v>0</v>
      </c>
      <c r="DF120" s="26">
        <f t="shared" si="315"/>
        <v>0</v>
      </c>
      <c r="DH120" s="26">
        <f t="shared" si="316"/>
        <v>0</v>
      </c>
      <c r="DI120" s="26">
        <f t="shared" si="317"/>
        <v>0</v>
      </c>
      <c r="DJ120" s="26">
        <f t="shared" si="318"/>
        <v>0</v>
      </c>
      <c r="DK120" s="26">
        <f t="shared" si="319"/>
        <v>0</v>
      </c>
      <c r="DL120" s="26">
        <f t="shared" si="320"/>
        <v>0</v>
      </c>
      <c r="DM120" s="26">
        <f t="shared" si="321"/>
        <v>0</v>
      </c>
      <c r="DN120" s="26">
        <f t="shared" si="322"/>
        <v>0</v>
      </c>
      <c r="DO120" s="26">
        <f t="shared" si="323"/>
        <v>0</v>
      </c>
      <c r="DP120" s="26">
        <f t="shared" si="324"/>
        <v>0</v>
      </c>
      <c r="DR120" s="26">
        <f t="shared" si="325"/>
        <v>0</v>
      </c>
      <c r="DS120" s="26">
        <f t="shared" si="326"/>
        <v>0</v>
      </c>
      <c r="DT120" s="26">
        <f t="shared" si="327"/>
        <v>0</v>
      </c>
      <c r="DU120" s="26">
        <f t="shared" si="328"/>
        <v>0</v>
      </c>
      <c r="DV120" s="26">
        <f t="shared" si="329"/>
        <v>0</v>
      </c>
      <c r="DW120" s="26">
        <f t="shared" si="330"/>
        <v>0</v>
      </c>
      <c r="DX120" s="26">
        <f t="shared" si="331"/>
        <v>0</v>
      </c>
      <c r="DY120" s="26">
        <f t="shared" si="332"/>
        <v>0</v>
      </c>
      <c r="DZ120" s="26">
        <f t="shared" si="333"/>
        <v>0</v>
      </c>
      <c r="EB120" s="26">
        <f t="shared" si="334"/>
        <v>0</v>
      </c>
      <c r="EC120" s="26">
        <f t="shared" si="335"/>
        <v>0</v>
      </c>
      <c r="ED120" s="26">
        <f t="shared" si="336"/>
        <v>0</v>
      </c>
      <c r="EE120" s="26">
        <f t="shared" si="337"/>
        <v>0</v>
      </c>
      <c r="EF120" s="26">
        <f t="shared" si="338"/>
        <v>0</v>
      </c>
      <c r="EG120" s="26">
        <f t="shared" si="339"/>
        <v>0</v>
      </c>
      <c r="EH120" s="26">
        <f t="shared" si="340"/>
        <v>0</v>
      </c>
      <c r="EI120" s="26">
        <f t="shared" si="341"/>
        <v>0</v>
      </c>
      <c r="EJ120" s="26">
        <f t="shared" si="342"/>
        <v>0</v>
      </c>
      <c r="EL120" s="26">
        <f t="shared" si="343"/>
        <v>0</v>
      </c>
      <c r="EM120" s="26">
        <f t="shared" si="344"/>
        <v>0</v>
      </c>
      <c r="EN120" s="26">
        <f t="shared" si="345"/>
        <v>0</v>
      </c>
      <c r="EO120" s="26">
        <f t="shared" si="346"/>
        <v>0</v>
      </c>
      <c r="EP120" s="26">
        <f t="shared" si="347"/>
        <v>0</v>
      </c>
      <c r="EQ120" s="26">
        <f t="shared" si="348"/>
        <v>0</v>
      </c>
      <c r="ER120" s="26">
        <f t="shared" si="349"/>
        <v>0</v>
      </c>
      <c r="ES120" s="26">
        <f t="shared" si="350"/>
        <v>0</v>
      </c>
      <c r="ET120" s="26">
        <f t="shared" si="351"/>
        <v>0</v>
      </c>
      <c r="EV120" s="26">
        <f t="shared" si="352"/>
        <v>0</v>
      </c>
      <c r="EW120" s="26">
        <f t="shared" si="353"/>
        <v>0</v>
      </c>
      <c r="EX120" s="26">
        <f t="shared" si="354"/>
        <v>0</v>
      </c>
      <c r="EY120" s="26">
        <f t="shared" si="355"/>
        <v>0</v>
      </c>
      <c r="EZ120" s="26">
        <f t="shared" si="356"/>
        <v>0</v>
      </c>
      <c r="FA120" s="26">
        <f t="shared" si="357"/>
        <v>0</v>
      </c>
      <c r="FB120" s="26">
        <f t="shared" si="358"/>
        <v>0</v>
      </c>
      <c r="FC120" s="26">
        <f t="shared" si="359"/>
        <v>0</v>
      </c>
      <c r="FD120" s="26">
        <f t="shared" si="360"/>
        <v>0</v>
      </c>
      <c r="FF120" s="26">
        <f t="shared" si="361"/>
        <v>0</v>
      </c>
      <c r="FG120" s="26">
        <f t="shared" si="362"/>
        <v>0</v>
      </c>
      <c r="FH120" s="26">
        <f t="shared" si="363"/>
        <v>0</v>
      </c>
      <c r="FI120" s="26">
        <f t="shared" si="364"/>
        <v>0</v>
      </c>
      <c r="FJ120" s="26">
        <f t="shared" si="365"/>
        <v>0</v>
      </c>
      <c r="FK120" s="26">
        <f t="shared" si="366"/>
        <v>0</v>
      </c>
      <c r="FL120" s="26">
        <f t="shared" si="367"/>
        <v>0</v>
      </c>
      <c r="FM120" s="26">
        <f t="shared" si="368"/>
        <v>0</v>
      </c>
      <c r="FN120" s="26">
        <f t="shared" si="369"/>
        <v>0</v>
      </c>
      <c r="FP120" s="26" t="e">
        <f t="shared" si="370"/>
        <v>#REF!</v>
      </c>
      <c r="FQ120" s="26" t="e">
        <f t="shared" si="371"/>
        <v>#REF!</v>
      </c>
      <c r="FR120" s="26" t="e">
        <f t="shared" si="372"/>
        <v>#REF!</v>
      </c>
      <c r="FS120" s="26" t="e">
        <f t="shared" si="373"/>
        <v>#REF!</v>
      </c>
      <c r="FT120" s="26" t="e">
        <f t="shared" si="374"/>
        <v>#REF!</v>
      </c>
      <c r="FU120" s="26" t="e">
        <f t="shared" si="375"/>
        <v>#REF!</v>
      </c>
      <c r="FV120" s="26" t="e">
        <f t="shared" si="376"/>
        <v>#REF!</v>
      </c>
      <c r="FW120" s="26" t="e">
        <f t="shared" si="377"/>
        <v>#REF!</v>
      </c>
      <c r="FX120" s="26" t="e">
        <f t="shared" si="378"/>
        <v>#REF!</v>
      </c>
      <c r="GB120" s="26" t="e">
        <f>IF(GB$2=InputTable[[#This Row],[Delivery Date]],_xlfn.XLOOKUP(GB$1,$BH$2:$BR$2,$BH120:$BR120,0),0)</f>
        <v>#REF!</v>
      </c>
      <c r="GC120" s="26">
        <f>IF(GC$2=InputTable[[#This Row],[Delivery Date]],_xlfn.XLOOKUP(GC$1,$BH$2:$BR$2,$BH120:$BR120,0),0)</f>
        <v>0</v>
      </c>
      <c r="GD120" s="26">
        <f>IF(GD$2=InputTable[[#This Row],[Delivery Date]],_xlfn.XLOOKUP(GD$1,$BH$2:$BR$2,$BH120:$BR120,0),0)</f>
        <v>0</v>
      </c>
      <c r="GE120" s="26">
        <f>IF(GE$2=InputTable[[#This Row],[Delivery Date]],_xlfn.XLOOKUP(GE$1,$BH$2:$BR$2,$BH120:$BR120,0),0)</f>
        <v>0</v>
      </c>
      <c r="GF120" s="26">
        <f>IF(GF$2=InputTable[[#This Row],[Delivery Date]],_xlfn.XLOOKUP(GF$1,$BH$2:$BR$2,$BH120:$BR120,0),0)</f>
        <v>0</v>
      </c>
      <c r="GG120" s="26">
        <f>IF(GG$2=InputTable[[#This Row],[Delivery Date]],_xlfn.XLOOKUP(GG$1,$BH$2:$BR$2,$BH120:$BR120,0),0)</f>
        <v>0</v>
      </c>
      <c r="GH120" s="26">
        <f>IF(GH$2=InputTable[[#This Row],[Delivery Date]],_xlfn.XLOOKUP(GH$1,$BH$2:$BR$2,$BH120:$BR120,0),0)</f>
        <v>0</v>
      </c>
      <c r="GI120" s="26">
        <f>IF(GI$2=InputTable[[#This Row],[Delivery Date]],_xlfn.XLOOKUP(GI$1,$BH$2:$BR$2,$BH120:$BR120,0),0)</f>
        <v>0</v>
      </c>
      <c r="GJ120" s="26">
        <f>IF(GJ$2=InputTable[[#This Row],[Delivery Date]],_xlfn.XLOOKUP(GJ$1,$BH$2:$BR$2,$BH120:$BR120,0),0)</f>
        <v>0</v>
      </c>
      <c r="GL120" s="26" t="e">
        <f>IF(GL$2=InputTable[[#This Row],[Delivery Date]],_xlfn.XLOOKUP(GL$1,$BH$2:$BR$2,$BH120:$BR120,0),0)</f>
        <v>#REF!</v>
      </c>
      <c r="GM120" s="26">
        <f>IF(GM$2=InputTable[[#This Row],[Delivery Date]],_xlfn.XLOOKUP(GM$1,$BH$2:$BR$2,$BH120:$BR120,0),0)</f>
        <v>0</v>
      </c>
      <c r="GN120" s="26">
        <f>IF(GN$2=InputTable[[#This Row],[Delivery Date]],_xlfn.XLOOKUP(GN$1,$BH$2:$BR$2,$BH120:$BR120,0),0)</f>
        <v>0</v>
      </c>
      <c r="GO120" s="26">
        <f>IF(GO$2=InputTable[[#This Row],[Delivery Date]],_xlfn.XLOOKUP(GO$1,$BH$2:$BR$2,$BH120:$BR120,0),0)</f>
        <v>0</v>
      </c>
      <c r="GP120" s="26">
        <f>IF(GP$2=InputTable[[#This Row],[Delivery Date]],_xlfn.XLOOKUP(GP$1,$BH$2:$BR$2,$BH120:$BR120,0),0)</f>
        <v>0</v>
      </c>
      <c r="GQ120" s="26">
        <f>IF(GQ$2=InputTable[[#This Row],[Delivery Date]],_xlfn.XLOOKUP(GQ$1,$BH$2:$BR$2,$BH120:$BR120,0),0)</f>
        <v>0</v>
      </c>
      <c r="GR120" s="26">
        <f>IF(GR$2=InputTable[[#This Row],[Delivery Date]],_xlfn.XLOOKUP(GR$1,$BH$2:$BR$2,$BH120:$BR120,0),0)</f>
        <v>0</v>
      </c>
      <c r="GS120" s="26">
        <f>IF(GS$2=InputTable[[#This Row],[Delivery Date]],_xlfn.XLOOKUP(GS$1,$BH$2:$BR$2,$BH120:$BR120,0),0)</f>
        <v>0</v>
      </c>
      <c r="GT120" s="26">
        <f>IF(GT$2=InputTable[[#This Row],[Delivery Date]],_xlfn.XLOOKUP(GT$1,$BH$2:$BR$2,$BH120:$BR120,0),0)</f>
        <v>0</v>
      </c>
      <c r="GV120" s="26" t="e">
        <f>IF(GV$2=InputTable[[#This Row],[Delivery Date]],_xlfn.XLOOKUP(GV$1,$BH$2:$BR$2,$BH120:$BR120,0),0)</f>
        <v>#REF!</v>
      </c>
      <c r="GW120" s="26">
        <f>IF(GW$2=InputTable[[#This Row],[Delivery Date]],_xlfn.XLOOKUP(GW$1,$BH$2:$BR$2,$BH120:$BR120,0),0)</f>
        <v>0</v>
      </c>
      <c r="GX120" s="26">
        <f>IF(GX$2=InputTable[[#This Row],[Delivery Date]],_xlfn.XLOOKUP(GX$1,$BH$2:$BR$2,$BH120:$BR120,0),0)</f>
        <v>0</v>
      </c>
      <c r="GY120" s="26">
        <f>IF(GY$2=InputTable[[#This Row],[Delivery Date]],_xlfn.XLOOKUP(GY$1,$BH$2:$BR$2,$BH120:$BR120,0),0)</f>
        <v>0</v>
      </c>
      <c r="GZ120" s="26">
        <f>IF(GZ$2=InputTable[[#This Row],[Delivery Date]],_xlfn.XLOOKUP(GZ$1,$BH$2:$BR$2,$BH120:$BR120,0),0)</f>
        <v>0</v>
      </c>
      <c r="HA120" s="26">
        <f>IF(HA$2=InputTable[[#This Row],[Delivery Date]],_xlfn.XLOOKUP(HA$1,$BH$2:$BR$2,$BH120:$BR120,0),0)</f>
        <v>0</v>
      </c>
      <c r="HB120" s="26">
        <f>IF(HB$2=InputTable[[#This Row],[Delivery Date]],_xlfn.XLOOKUP(HB$1,$BH$2:$BR$2,$BH120:$BR120,0),0)</f>
        <v>0</v>
      </c>
      <c r="HC120" s="26">
        <f>IF(HC$2=InputTable[[#This Row],[Delivery Date]],_xlfn.XLOOKUP(HC$1,$BH$2:$BR$2,$BH120:$BR120,0),0)</f>
        <v>0</v>
      </c>
      <c r="HD120" s="26">
        <f>IF(HD$2=InputTable[[#This Row],[Delivery Date]],_xlfn.XLOOKUP(HD$1,$BH$2:$BR$2,$BH120:$BR120,0),0)</f>
        <v>0</v>
      </c>
      <c r="HF120" s="26" t="e">
        <f>IF(HF$2=InputTable[[#This Row],[Delivery Date]],_xlfn.XLOOKUP(HF$1,$BH$2:$BR$2,$BH120:$BR120,0),0)</f>
        <v>#REF!</v>
      </c>
      <c r="HG120" s="26">
        <f>IF(HG$2=InputTable[[#This Row],[Delivery Date]],_xlfn.XLOOKUP(HG$1,$BH$2:$BR$2,$BH120:$BR120,0),0)</f>
        <v>0</v>
      </c>
      <c r="HH120" s="26">
        <f>IF(HH$2=InputTable[[#This Row],[Delivery Date]],_xlfn.XLOOKUP(HH$1,$BH$2:$BR$2,$BH120:$BR120,0),0)</f>
        <v>0</v>
      </c>
      <c r="HI120" s="26">
        <f>IF(HI$2=InputTable[[#This Row],[Delivery Date]],_xlfn.XLOOKUP(HI$1,$BH$2:$BR$2,$BH120:$BR120,0),0)</f>
        <v>0</v>
      </c>
      <c r="HJ120" s="26">
        <f>IF(HJ$2=InputTable[[#This Row],[Delivery Date]],_xlfn.XLOOKUP(HJ$1,$BH$2:$BR$2,$BH120:$BR120,0),0)</f>
        <v>0</v>
      </c>
      <c r="HK120" s="26">
        <f>IF(HK$2=InputTable[[#This Row],[Delivery Date]],_xlfn.XLOOKUP(HK$1,$BH$2:$BR$2,$BH120:$BR120,0),0)</f>
        <v>0</v>
      </c>
      <c r="HL120" s="26">
        <f>IF(HL$2=InputTable[[#This Row],[Delivery Date]],_xlfn.XLOOKUP(HL$1,$BH$2:$BR$2,$BH120:$BR120,0),0)</f>
        <v>0</v>
      </c>
      <c r="HM120" s="26">
        <f>IF(HM$2=InputTable[[#This Row],[Delivery Date]],_xlfn.XLOOKUP(HM$1,$BH$2:$BR$2,$BH120:$BR120,0),0)</f>
        <v>0</v>
      </c>
      <c r="HN120" s="26">
        <f>IF(HN$2=InputTable[[#This Row],[Delivery Date]],_xlfn.XLOOKUP(HN$1,$BH$2:$BR$2,$BH120:$BR120,0),0)</f>
        <v>0</v>
      </c>
      <c r="HP120" s="26" t="e">
        <f>IF(HP$2=InputTable[[#This Row],[Delivery Date]],_xlfn.XLOOKUP(HP$1,$BH$2:$BR$2,$BH120:$BR120,0),0)</f>
        <v>#REF!</v>
      </c>
      <c r="HQ120" s="26">
        <f>IF(HQ$2=InputTable[[#This Row],[Delivery Date]],_xlfn.XLOOKUP(HQ$1,$BH$2:$BR$2,$BH120:$BR120,0),0)</f>
        <v>0</v>
      </c>
      <c r="HR120" s="26">
        <f>IF(HR$2=InputTable[[#This Row],[Delivery Date]],_xlfn.XLOOKUP(HR$1,$BH$2:$BR$2,$BH120:$BR120,0),0)</f>
        <v>0</v>
      </c>
      <c r="HS120" s="26">
        <f>IF(HS$2=InputTable[[#This Row],[Delivery Date]],_xlfn.XLOOKUP(HS$1,$BH$2:$BR$2,$BH120:$BR120,0),0)</f>
        <v>0</v>
      </c>
      <c r="HT120" s="26">
        <f>IF(HT$2=InputTable[[#This Row],[Delivery Date]],_xlfn.XLOOKUP(HT$1,$BH$2:$BR$2,$BH120:$BR120,0),0)</f>
        <v>0</v>
      </c>
      <c r="HU120" s="26">
        <f>IF(HU$2=InputTable[[#This Row],[Delivery Date]],_xlfn.XLOOKUP(HU$1,$BH$2:$BR$2,$BH120:$BR120,0),0)</f>
        <v>0</v>
      </c>
      <c r="HV120" s="26">
        <f>IF(HV$2=InputTable[[#This Row],[Delivery Date]],_xlfn.XLOOKUP(HV$1,$BH$2:$BR$2,$BH120:$BR120,0),0)</f>
        <v>0</v>
      </c>
      <c r="HW120" s="26">
        <f>IF(HW$2=InputTable[[#This Row],[Delivery Date]],_xlfn.XLOOKUP(HW$1,$BH$2:$BR$2,$BH120:$BR120,0),0)</f>
        <v>0</v>
      </c>
      <c r="HX120" s="26">
        <f>IF(HX$2=InputTable[[#This Row],[Delivery Date]],_xlfn.XLOOKUP(HX$1,$BH$2:$BR$2,$BH120:$BR120,0),0)</f>
        <v>0</v>
      </c>
      <c r="HZ120" s="26" t="e">
        <f>IF(HZ$2=InputTable[[#This Row],[Delivery Date]],_xlfn.XLOOKUP(HZ$1,$BH$2:$BR$2,$BH120:$BR120,0),0)</f>
        <v>#REF!</v>
      </c>
      <c r="IA120" s="26">
        <f>IF(IA$2=InputTable[[#This Row],[Delivery Date]],_xlfn.XLOOKUP(IA$1,$BH$2:$BR$2,$BH120:$BR120,0),0)</f>
        <v>0</v>
      </c>
      <c r="IB120" s="26">
        <f>IF(IB$2=InputTable[[#This Row],[Delivery Date]],_xlfn.XLOOKUP(IB$1,$BH$2:$BR$2,$BH120:$BR120,0),0)</f>
        <v>0</v>
      </c>
      <c r="IC120" s="26">
        <f>IF(IC$2=InputTable[[#This Row],[Delivery Date]],_xlfn.XLOOKUP(IC$1,$BH$2:$BR$2,$BH120:$BR120,0),0)</f>
        <v>0</v>
      </c>
      <c r="ID120" s="26">
        <f>IF(ID$2=InputTable[[#This Row],[Delivery Date]],_xlfn.XLOOKUP(ID$1,$BH$2:$BR$2,$BH120:$BR120,0),0)</f>
        <v>0</v>
      </c>
      <c r="IE120" s="26">
        <f>IF(IE$2=InputTable[[#This Row],[Delivery Date]],_xlfn.XLOOKUP(IE$1,$BH$2:$BR$2,$BH120:$BR120,0),0)</f>
        <v>0</v>
      </c>
      <c r="IF120" s="26">
        <f>IF(IF$2=InputTable[[#This Row],[Delivery Date]],_xlfn.XLOOKUP(IF$1,$BH$2:$BR$2,$BH120:$BR120,0),0)</f>
        <v>0</v>
      </c>
      <c r="IG120" s="26">
        <f>IF(IG$2=InputTable[[#This Row],[Delivery Date]],_xlfn.XLOOKUP(IG$1,$BH$2:$BR$2,$BH120:$BR120,0),0)</f>
        <v>0</v>
      </c>
      <c r="IH120" s="26">
        <f>IF(IH$2=InputTable[[#This Row],[Delivery Date]],_xlfn.XLOOKUP(IH$1,$BH$2:$BR$2,$BH120:$BR120,0),0)</f>
        <v>0</v>
      </c>
      <c r="IJ120" s="26" t="e">
        <f>IF(IJ$2=InputTable[[#This Row],[Delivery Date]],_xlfn.XLOOKUP(IJ$1,$BH$2:$BR$2,$BH120:$BR120,0),0)</f>
        <v>#REF!</v>
      </c>
      <c r="IK120" s="26">
        <f>IF(IK$2=InputTable[[#This Row],[Delivery Date]],_xlfn.XLOOKUP(IK$1,$BH$2:$BR$2,$BH120:$BR120,0),0)</f>
        <v>0</v>
      </c>
      <c r="IL120" s="26">
        <f>IF(IL$2=InputTable[[#This Row],[Delivery Date]],_xlfn.XLOOKUP(IL$1,$BH$2:$BR$2,$BH120:$BR120,0),0)</f>
        <v>0</v>
      </c>
      <c r="IM120" s="26">
        <f>IF(IM$2=InputTable[[#This Row],[Delivery Date]],_xlfn.XLOOKUP(IM$1,$BH$2:$BR$2,$BH120:$BR120,0),0)</f>
        <v>0</v>
      </c>
      <c r="IN120" s="26">
        <f>IF(IN$2=InputTable[[#This Row],[Delivery Date]],_xlfn.XLOOKUP(IN$1,$BH$2:$BR$2,$BH120:$BR120,0),0)</f>
        <v>0</v>
      </c>
      <c r="IO120" s="26">
        <f>IF(IO$2=InputTable[[#This Row],[Delivery Date]],_xlfn.XLOOKUP(IO$1,$BH$2:$BR$2,$BH120:$BR120,0),0)</f>
        <v>0</v>
      </c>
      <c r="IP120" s="26">
        <f>IF(IP$2=InputTable[[#This Row],[Delivery Date]],_xlfn.XLOOKUP(IP$1,$BH$2:$BR$2,$BH120:$BR120,0),0)</f>
        <v>0</v>
      </c>
      <c r="IQ120" s="26">
        <f>IF(IQ$2=InputTable[[#This Row],[Delivery Date]],_xlfn.XLOOKUP(IQ$1,$BH$2:$BR$2,$BH120:$BR120,0),0)</f>
        <v>0</v>
      </c>
      <c r="IR120" s="26">
        <f>IF(IR$2=InputTable[[#This Row],[Delivery Date]],_xlfn.XLOOKUP(IR$1,$BH$2:$BR$2,$BH120:$BR120,0),0)</f>
        <v>0</v>
      </c>
      <c r="IT120" s="26" t="e">
        <f>IF(IT$2=InputTable[[#This Row],[Delivery Date]],_xlfn.XLOOKUP(IT$1,$BH$2:$BR$2,$BH120:$BR120,0),0)</f>
        <v>#REF!</v>
      </c>
      <c r="IU120" s="26">
        <f>IF(IU$2=InputTable[[#This Row],[Delivery Date]],_xlfn.XLOOKUP(IU$1,$BH$2:$BR$2,$BH120:$BR120,0),0)</f>
        <v>0</v>
      </c>
      <c r="IV120" s="26">
        <f>IF(IV$2=InputTable[[#This Row],[Delivery Date]],_xlfn.XLOOKUP(IV$1,$BH$2:$BR$2,$BH120:$BR120,0),0)</f>
        <v>0</v>
      </c>
      <c r="IW120" s="26">
        <f>IF(IW$2=InputTable[[#This Row],[Delivery Date]],_xlfn.XLOOKUP(IW$1,$BH$2:$BR$2,$BH120:$BR120,0),0)</f>
        <v>0</v>
      </c>
      <c r="IX120" s="26">
        <f>IF(IX$2=InputTable[[#This Row],[Delivery Date]],_xlfn.XLOOKUP(IX$1,$BH$2:$BR$2,$BH120:$BR120,0),0)</f>
        <v>0</v>
      </c>
      <c r="IY120" s="26">
        <f>IF(IY$2=InputTable[[#This Row],[Delivery Date]],_xlfn.XLOOKUP(IY$1,$BH$2:$BR$2,$BH120:$BR120,0),0)</f>
        <v>0</v>
      </c>
      <c r="IZ120" s="26">
        <f>IF(IZ$2=InputTable[[#This Row],[Delivery Date]],_xlfn.XLOOKUP(IZ$1,$BH$2:$BR$2,$BH120:$BR120,0),0)</f>
        <v>0</v>
      </c>
      <c r="JA120" s="26">
        <f>IF(JA$2=InputTable[[#This Row],[Delivery Date]],_xlfn.XLOOKUP(JA$1,$BH$2:$BR$2,$BH120:$BR120,0),0)</f>
        <v>0</v>
      </c>
      <c r="JB120" s="26">
        <f>IF(JB$2=InputTable[[#This Row],[Delivery Date]],_xlfn.XLOOKUP(JB$1,$BH$2:$BR$2,$BH120:$BR120,0),0)</f>
        <v>0</v>
      </c>
      <c r="JD120" s="26" t="e">
        <f>IF(JD$2=InputTable[[#This Row],[Delivery Date]],_xlfn.XLOOKUP(JD$1,$BH$2:$BR$2,$BH120:$BR120,0),0)</f>
        <v>#REF!</v>
      </c>
      <c r="JE120" s="26">
        <f>IF(JE$2=InputTable[[#This Row],[Delivery Date]],_xlfn.XLOOKUP(JE$1,$BH$2:$BR$2,$BH120:$BR120,0),0)</f>
        <v>0</v>
      </c>
      <c r="JF120" s="26">
        <f>IF(JF$2=InputTable[[#This Row],[Delivery Date]],_xlfn.XLOOKUP(JF$1,$BH$2:$BR$2,$BH120:$BR120,0),0)</f>
        <v>0</v>
      </c>
      <c r="JG120" s="26">
        <f>IF(JG$2=InputTable[[#This Row],[Delivery Date]],_xlfn.XLOOKUP(JG$1,$BH$2:$BR$2,$BH120:$BR120,0),0)</f>
        <v>0</v>
      </c>
      <c r="JH120" s="26">
        <f>IF(JH$2=InputTable[[#This Row],[Delivery Date]],_xlfn.XLOOKUP(JH$1,$BH$2:$BR$2,$BH120:$BR120,0),0)</f>
        <v>0</v>
      </c>
      <c r="JI120" s="26">
        <f>IF(JI$2=InputTable[[#This Row],[Delivery Date]],_xlfn.XLOOKUP(JI$1,$BH$2:$BR$2,$BH120:$BR120,0),0)</f>
        <v>0</v>
      </c>
      <c r="JJ120" s="26">
        <f>IF(JJ$2=InputTable[[#This Row],[Delivery Date]],_xlfn.XLOOKUP(JJ$1,$BH$2:$BR$2,$BH120:$BR120,0),0)</f>
        <v>0</v>
      </c>
      <c r="JK120" s="26">
        <f>IF(JK$2=InputTable[[#This Row],[Delivery Date]],_xlfn.XLOOKUP(JK$1,$BH$2:$BR$2,$BH120:$BR120,0),0)</f>
        <v>0</v>
      </c>
      <c r="JL120" s="26">
        <f>IF(JL$2=InputTable[[#This Row],[Delivery Date]],_xlfn.XLOOKUP(JL$1,$BH$2:$BR$2,$BH120:$BR120,0),0)</f>
        <v>0</v>
      </c>
      <c r="JN120" s="26" t="e">
        <f>IF(JN$2=InputTable[[#This Row],[Delivery Date]],_xlfn.XLOOKUP(JN$1,$BH$2:$BR$2,$BH120:$BR120,0),0)</f>
        <v>#REF!</v>
      </c>
      <c r="JO120" s="26">
        <f>IF(JO$2=InputTable[[#This Row],[Delivery Date]],_xlfn.XLOOKUP(JO$1,$BH$2:$BR$2,$BH120:$BR120,0),0)</f>
        <v>0</v>
      </c>
      <c r="JP120" s="26">
        <f>IF(JP$2=InputTable[[#This Row],[Delivery Date]],_xlfn.XLOOKUP(JP$1,$BH$2:$BR$2,$BH120:$BR120,0),0)</f>
        <v>0</v>
      </c>
      <c r="JQ120" s="26">
        <f>IF(JQ$2=InputTable[[#This Row],[Delivery Date]],_xlfn.XLOOKUP(JQ$1,$BH$2:$BR$2,$BH120:$BR120,0),0)</f>
        <v>0</v>
      </c>
      <c r="JR120" s="26">
        <f>IF(JR$2=InputTable[[#This Row],[Delivery Date]],_xlfn.XLOOKUP(JR$1,$BH$2:$BR$2,$BH120:$BR120,0),0)</f>
        <v>0</v>
      </c>
      <c r="JS120" s="26">
        <f>IF(JS$2=InputTable[[#This Row],[Delivery Date]],_xlfn.XLOOKUP(JS$1,$BH$2:$BR$2,$BH120:$BR120,0),0)</f>
        <v>0</v>
      </c>
      <c r="JT120" s="26">
        <f>IF(JT$2=InputTable[[#This Row],[Delivery Date]],_xlfn.XLOOKUP(JT$1,$BH$2:$BR$2,$BH120:$BR120,0),0)</f>
        <v>0</v>
      </c>
      <c r="JU120" s="26">
        <f>IF(JU$2=InputTable[[#This Row],[Delivery Date]],_xlfn.XLOOKUP(JU$1,$BH$2:$BR$2,$BH120:$BR120,0),0)</f>
        <v>0</v>
      </c>
      <c r="JV120" s="26">
        <f>IF(JV$2=InputTable[[#This Row],[Delivery Date]],_xlfn.XLOOKUP(JV$1,$BH$2:$BR$2,$BH120:$BR120,0),0)</f>
        <v>0</v>
      </c>
      <c r="JX120" s="26" t="e">
        <f>IF(JX$2=InputTable[[#This Row],[Delivery Date]],_xlfn.XLOOKUP(JX$1,$BH$2:$BR$2,$BH120:$BR120,0),0)</f>
        <v>#REF!</v>
      </c>
      <c r="JY120" s="26">
        <f>IF(JY$2=InputTable[[#This Row],[Delivery Date]],_xlfn.XLOOKUP(JY$1,$BH$2:$BR$2,$BH120:$BR120,0),0)</f>
        <v>0</v>
      </c>
      <c r="JZ120" s="26">
        <f>IF(JZ$2=InputTable[[#This Row],[Delivery Date]],_xlfn.XLOOKUP(JZ$1,$BH$2:$BR$2,$BH120:$BR120,0),0)</f>
        <v>0</v>
      </c>
      <c r="KA120" s="26">
        <f>IF(KA$2=InputTable[[#This Row],[Delivery Date]],_xlfn.XLOOKUP(KA$1,$BH$2:$BR$2,$BH120:$BR120,0),0)</f>
        <v>0</v>
      </c>
      <c r="KB120" s="26">
        <f>IF(KB$2=InputTable[[#This Row],[Delivery Date]],_xlfn.XLOOKUP(KB$1,$BH$2:$BR$2,$BH120:$BR120,0),0)</f>
        <v>0</v>
      </c>
      <c r="KC120" s="26">
        <f>IF(KC$2=InputTable[[#This Row],[Delivery Date]],_xlfn.XLOOKUP(KC$1,$BH$2:$BR$2,$BH120:$BR120,0),0)</f>
        <v>0</v>
      </c>
      <c r="KD120" s="26">
        <f>IF(KD$2=InputTable[[#This Row],[Delivery Date]],_xlfn.XLOOKUP(KD$1,$BH$2:$BR$2,$BH120:$BR120,0),0)</f>
        <v>0</v>
      </c>
      <c r="KE120" s="26">
        <f>IF(KE$2=InputTable[[#This Row],[Delivery Date]],_xlfn.XLOOKUP(KE$1,$BH$2:$BR$2,$BH120:$BR120,0),0)</f>
        <v>0</v>
      </c>
      <c r="KF120" s="26">
        <f>IF(KF$2=InputTable[[#This Row],[Delivery Date]],_xlfn.XLOOKUP(KF$1,$BH$2:$BR$2,$BH120:$BR120,0),0)</f>
        <v>0</v>
      </c>
    </row>
    <row r="121" spans="1:292" ht="39.6" customHeight="1" x14ac:dyDescent="0.25">
      <c r="A121" s="141"/>
      <c r="B121" s="141"/>
      <c r="C121" s="92"/>
      <c r="D121" s="92"/>
      <c r="E121" s="93"/>
      <c r="F121" s="92"/>
      <c r="G121" s="92"/>
      <c r="H121" s="92"/>
      <c r="I121" s="92"/>
      <c r="J121" s="122"/>
      <c r="K121" s="95" t="e">
        <f>VLOOKUP((InputTable[[#This Row],[Starting Date]]&amp; " - " &amp;InputTable[[#This Row],[Delivery Date]]),'System List'!$F$40:$H$83,2,FALSE)</f>
        <v>#N/A</v>
      </c>
      <c r="L121" s="95" t="e">
        <f>VLOOKUP(InputTable[[#This Row],[Duration]],Duration,2,FALSE)</f>
        <v>#N/A</v>
      </c>
      <c r="M121" s="122"/>
      <c r="N121" s="92"/>
      <c r="O121" s="92"/>
      <c r="P121" s="92"/>
      <c r="Q121" s="92"/>
      <c r="R121" s="92"/>
      <c r="S121" s="92"/>
      <c r="T121" s="95"/>
      <c r="U121" s="138"/>
      <c r="V121" s="92"/>
      <c r="W121" s="92"/>
      <c r="X121" s="92"/>
      <c r="Y121" s="92"/>
      <c r="Z121" s="92"/>
      <c r="AA121" s="92"/>
      <c r="AB121" s="92"/>
      <c r="AC121" s="92"/>
      <c r="AD121" s="92">
        <f>COUNTA(InputTable[[#This Row],[CORPHRFIN]:[SALES]])</f>
        <v>0</v>
      </c>
      <c r="AE121" s="88" cm="1">
        <f t="array" ref="AE121">SUM(
_xlfn.XLOOKUP(InputTable[[#This Row],[CORPHRFIN]:[SALES]],'System List'!$F$4:$F$7,'System List'!$H$4:$H$7,0))</f>
        <v>0</v>
      </c>
      <c r="AF121" s="140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88" cm="1">
        <f t="array" ref="AR121">SUM(
_xlfn.XLOOKUP(InputTable[[#This Row],[Impact on - CIAL]:[Impact on - STRAT]],'System List'!$F$4:$F$7,'System List'!$H$4:$H$7,0))</f>
        <v>0</v>
      </c>
      <c r="AS121" s="88" t="e">
        <f>VLOOKUP(InputTable[[#This Row],[Duration]],Duration,2,FALSE)+InputTable[[#This Row],[Resource Score]]</f>
        <v>#N/A</v>
      </c>
      <c r="AT12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1" s="24" t="e">
        <f>InputTable[[#This Row],[Value Score]]/InputTable[[#This Row],[EFFORT SCORE]]*100</f>
        <v>#N/A</v>
      </c>
      <c r="AV121" s="25"/>
      <c r="AW121" s="25"/>
      <c r="AX121" s="208"/>
      <c r="AY121" s="25"/>
      <c r="AZ121" s="209">
        <v>0</v>
      </c>
      <c r="BA121" s="209">
        <v>0</v>
      </c>
      <c r="BB121" s="209"/>
      <c r="BC121" s="189"/>
      <c r="BD121" s="188"/>
      <c r="BE121" s="188"/>
      <c r="BF121" s="70"/>
      <c r="BH121" s="2">
        <f>IFERROR(VLOOKUP(InputTable[[#This Row],[Impact on - CIAL]],'System List'!$F$4:$H$7,3,FALSE),0)</f>
        <v>0</v>
      </c>
      <c r="BI121" s="2">
        <f>IFERROR(VLOOKUP(InputTable[[#This Row],[Impact on - COM]],'System List'!$F$4:$H$7,3,FALSE),0)</f>
        <v>0</v>
      </c>
      <c r="BJ121" s="2">
        <f>IFERROR(VLOOKUP(InputTable[[#This Row],[Impact on - FIN]],'System List'!$F$4:$H$7,3,FALSE),0)</f>
        <v>0</v>
      </c>
      <c r="BK121" s="2">
        <f>IFERROR(VLOOKUP(InputTable[[#This Row],[Impact on - GEN SEC]],'System List'!$F$4:$H$7,3,FALSE),0)</f>
        <v>0</v>
      </c>
      <c r="BL121" s="2">
        <f>IFERROR(VLOOKUP(InputTable[[#This Row],[Impact on - HR]],'System List'!$F$4:$H$7,3,FALSE),0)</f>
        <v>0</v>
      </c>
      <c r="BM121" s="2">
        <f>IFERROR(VLOOKUP(InputTable[[#This Row],[Impact on - IS]],'System List'!$F$4:$H$7,3,FALSE),0)</f>
        <v>0</v>
      </c>
      <c r="BN121" s="2">
        <f>IFERROR(VLOOKUP(InputTable[[#This Row],[Impact on - OPS]],'System List'!$F$4:$H$7,3,FALSE),0)</f>
        <v>0</v>
      </c>
      <c r="BO121" s="2">
        <f>IFERROR(VLOOKUP(InputTable[[#This Row],[Impact on - ROLL STOCK]],'System List'!$F$4:$H$7,3,FALSE),0)</f>
        <v>0</v>
      </c>
      <c r="BP121" s="2">
        <f>IFERROR(VLOOKUP(InputTable[[#This Row],[Impact on - SAFETY]],'System List'!$F$4:$H$7,3,FALSE),0)</f>
        <v>0</v>
      </c>
      <c r="BQ121" s="2">
        <f>IFERROR(VLOOKUP(InputTable[[#This Row],[Impact on - STATION]],'System List'!$F$4:$H$7,3,FALSE),0)</f>
        <v>0</v>
      </c>
      <c r="BR121" s="2">
        <f>IFERROR(VLOOKUP(InputTable[[#This Row],[Impact on - STRAT]],'System List'!$F$4:$H$7,3,FALSE),0)</f>
        <v>0</v>
      </c>
      <c r="BT121" s="2">
        <f>IFERROR(VLOOKUP(InputTable[[#This Row],[CORPHRFIN]],'System List'!$F$4:$H$7,3,FALSE),0)</f>
        <v>0</v>
      </c>
      <c r="BU121" s="2">
        <f>IFERROR(VLOOKUP(InputTable[[#This Row],[CUST]],'System List'!$F$4:$H$7,3,FALSE),0)</f>
        <v>0</v>
      </c>
      <c r="BV121" s="2">
        <f>IFERROR(VLOOKUP(InputTable[[#This Row],[CYBER]],'System List'!$F$4:$H$7,3,FALSE),0)</f>
        <v>0</v>
      </c>
      <c r="BW121" s="2">
        <f>IFERROR(VLOOKUP(InputTable[[#This Row],[DATA]],'System List'!$F$4:$H$7,3,FALSE),0)</f>
        <v>0</v>
      </c>
      <c r="BX121" s="2">
        <f>IFERROR(VLOOKUP(InputTable[[#This Row],[INFRA]],'System List'!$F$4:$H$7,3,FALSE),0)</f>
        <v>0</v>
      </c>
      <c r="BY121" s="2">
        <f>IFERROR(VLOOKUP(InputTable[[#This Row],[OPERATIONS]],'System List'!$F$4:$H$7,3,FALSE),0)</f>
        <v>0</v>
      </c>
      <c r="BZ121" s="2">
        <f>IFERROR(VLOOKUP(InputTable[[#This Row],[PMO]],'System List'!$F$4:$H$7,3,FALSE),0)</f>
        <v>0</v>
      </c>
      <c r="CA121" s="2">
        <f>IFERROR(VLOOKUP(InputTable[[#This Row],[SALES]],'System List'!$F$4:$H$7,3,FALSE),0)</f>
        <v>0</v>
      </c>
      <c r="CC121" s="2" cm="1">
        <f t="array" ref="CC12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1" s="2" cm="1">
        <f t="array" ref="CD12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1" s="2" cm="1">
        <f t="array" ref="CE12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1" s="2" cm="1">
        <f t="array" ref="CF12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1" s="2" cm="1">
        <f t="array" ref="CG12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1" s="2" cm="1">
        <f t="array" ref="CH12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1" s="2" cm="1">
        <f t="array" ref="CI12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1" s="2" cm="1">
        <f t="array" ref="CJ12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1" s="2" cm="1">
        <f t="array" ref="CK12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1" s="26">
        <f t="shared" si="307"/>
        <v>0</v>
      </c>
      <c r="CY121" s="26">
        <f t="shared" si="308"/>
        <v>0</v>
      </c>
      <c r="CZ121" s="26">
        <f t="shared" si="309"/>
        <v>0</v>
      </c>
      <c r="DA121" s="26">
        <f t="shared" si="310"/>
        <v>0</v>
      </c>
      <c r="DB121" s="26">
        <f t="shared" si="311"/>
        <v>0</v>
      </c>
      <c r="DC121" s="26">
        <f t="shared" si="312"/>
        <v>0</v>
      </c>
      <c r="DD121" s="26">
        <f t="shared" si="313"/>
        <v>0</v>
      </c>
      <c r="DE121" s="26">
        <f t="shared" si="314"/>
        <v>0</v>
      </c>
      <c r="DF121" s="26">
        <f t="shared" si="315"/>
        <v>0</v>
      </c>
      <c r="DH121" s="26">
        <f t="shared" si="316"/>
        <v>0</v>
      </c>
      <c r="DI121" s="26">
        <f t="shared" si="317"/>
        <v>0</v>
      </c>
      <c r="DJ121" s="26">
        <f t="shared" si="318"/>
        <v>0</v>
      </c>
      <c r="DK121" s="26">
        <f t="shared" si="319"/>
        <v>0</v>
      </c>
      <c r="DL121" s="26">
        <f t="shared" si="320"/>
        <v>0</v>
      </c>
      <c r="DM121" s="26">
        <f t="shared" si="321"/>
        <v>0</v>
      </c>
      <c r="DN121" s="26">
        <f t="shared" si="322"/>
        <v>0</v>
      </c>
      <c r="DO121" s="26">
        <f t="shared" si="323"/>
        <v>0</v>
      </c>
      <c r="DP121" s="26">
        <f t="shared" si="324"/>
        <v>0</v>
      </c>
      <c r="DR121" s="26">
        <f t="shared" si="325"/>
        <v>0</v>
      </c>
      <c r="DS121" s="26">
        <f t="shared" si="326"/>
        <v>0</v>
      </c>
      <c r="DT121" s="26">
        <f t="shared" si="327"/>
        <v>0</v>
      </c>
      <c r="DU121" s="26">
        <f t="shared" si="328"/>
        <v>0</v>
      </c>
      <c r="DV121" s="26">
        <f t="shared" si="329"/>
        <v>0</v>
      </c>
      <c r="DW121" s="26">
        <f t="shared" si="330"/>
        <v>0</v>
      </c>
      <c r="DX121" s="26">
        <f t="shared" si="331"/>
        <v>0</v>
      </c>
      <c r="DY121" s="26">
        <f t="shared" si="332"/>
        <v>0</v>
      </c>
      <c r="DZ121" s="26">
        <f t="shared" si="333"/>
        <v>0</v>
      </c>
      <c r="EB121" s="26">
        <f t="shared" si="334"/>
        <v>0</v>
      </c>
      <c r="EC121" s="26">
        <f t="shared" si="335"/>
        <v>0</v>
      </c>
      <c r="ED121" s="26">
        <f t="shared" si="336"/>
        <v>0</v>
      </c>
      <c r="EE121" s="26">
        <f t="shared" si="337"/>
        <v>0</v>
      </c>
      <c r="EF121" s="26">
        <f t="shared" si="338"/>
        <v>0</v>
      </c>
      <c r="EG121" s="26">
        <f t="shared" si="339"/>
        <v>0</v>
      </c>
      <c r="EH121" s="26">
        <f t="shared" si="340"/>
        <v>0</v>
      </c>
      <c r="EI121" s="26">
        <f t="shared" si="341"/>
        <v>0</v>
      </c>
      <c r="EJ121" s="26">
        <f t="shared" si="342"/>
        <v>0</v>
      </c>
      <c r="EL121" s="26">
        <f t="shared" si="343"/>
        <v>0</v>
      </c>
      <c r="EM121" s="26">
        <f t="shared" si="344"/>
        <v>0</v>
      </c>
      <c r="EN121" s="26">
        <f t="shared" si="345"/>
        <v>0</v>
      </c>
      <c r="EO121" s="26">
        <f t="shared" si="346"/>
        <v>0</v>
      </c>
      <c r="EP121" s="26">
        <f t="shared" si="347"/>
        <v>0</v>
      </c>
      <c r="EQ121" s="26">
        <f t="shared" si="348"/>
        <v>0</v>
      </c>
      <c r="ER121" s="26">
        <f t="shared" si="349"/>
        <v>0</v>
      </c>
      <c r="ES121" s="26">
        <f t="shared" si="350"/>
        <v>0</v>
      </c>
      <c r="ET121" s="26">
        <f t="shared" si="351"/>
        <v>0</v>
      </c>
      <c r="EV121" s="26">
        <f t="shared" si="352"/>
        <v>0</v>
      </c>
      <c r="EW121" s="26">
        <f t="shared" si="353"/>
        <v>0</v>
      </c>
      <c r="EX121" s="26">
        <f t="shared" si="354"/>
        <v>0</v>
      </c>
      <c r="EY121" s="26">
        <f t="shared" si="355"/>
        <v>0</v>
      </c>
      <c r="EZ121" s="26">
        <f t="shared" si="356"/>
        <v>0</v>
      </c>
      <c r="FA121" s="26">
        <f t="shared" si="357"/>
        <v>0</v>
      </c>
      <c r="FB121" s="26">
        <f t="shared" si="358"/>
        <v>0</v>
      </c>
      <c r="FC121" s="26">
        <f t="shared" si="359"/>
        <v>0</v>
      </c>
      <c r="FD121" s="26">
        <f t="shared" si="360"/>
        <v>0</v>
      </c>
      <c r="FF121" s="26">
        <f t="shared" si="361"/>
        <v>0</v>
      </c>
      <c r="FG121" s="26">
        <f t="shared" si="362"/>
        <v>0</v>
      </c>
      <c r="FH121" s="26">
        <f t="shared" si="363"/>
        <v>0</v>
      </c>
      <c r="FI121" s="26">
        <f t="shared" si="364"/>
        <v>0</v>
      </c>
      <c r="FJ121" s="26">
        <f t="shared" si="365"/>
        <v>0</v>
      </c>
      <c r="FK121" s="26">
        <f t="shared" si="366"/>
        <v>0</v>
      </c>
      <c r="FL121" s="26">
        <f t="shared" si="367"/>
        <v>0</v>
      </c>
      <c r="FM121" s="26">
        <f t="shared" si="368"/>
        <v>0</v>
      </c>
      <c r="FN121" s="26">
        <f t="shared" si="369"/>
        <v>0</v>
      </c>
      <c r="FP121" s="26" t="e">
        <f t="shared" si="370"/>
        <v>#REF!</v>
      </c>
      <c r="FQ121" s="26" t="e">
        <f t="shared" si="371"/>
        <v>#REF!</v>
      </c>
      <c r="FR121" s="26" t="e">
        <f t="shared" si="372"/>
        <v>#REF!</v>
      </c>
      <c r="FS121" s="26" t="e">
        <f t="shared" si="373"/>
        <v>#REF!</v>
      </c>
      <c r="FT121" s="26" t="e">
        <f t="shared" si="374"/>
        <v>#REF!</v>
      </c>
      <c r="FU121" s="26" t="e">
        <f t="shared" si="375"/>
        <v>#REF!</v>
      </c>
      <c r="FV121" s="26" t="e">
        <f t="shared" si="376"/>
        <v>#REF!</v>
      </c>
      <c r="FW121" s="26" t="e">
        <f t="shared" si="377"/>
        <v>#REF!</v>
      </c>
      <c r="FX121" s="26" t="e">
        <f t="shared" si="378"/>
        <v>#REF!</v>
      </c>
      <c r="GB121" s="26" t="e">
        <f>IF(GB$2=InputTable[[#This Row],[Delivery Date]],_xlfn.XLOOKUP(GB$1,$BH$2:$BR$2,$BH121:$BR121,0),0)</f>
        <v>#REF!</v>
      </c>
      <c r="GC121" s="26">
        <f>IF(GC$2=InputTable[[#This Row],[Delivery Date]],_xlfn.XLOOKUP(GC$1,$BH$2:$BR$2,$BH121:$BR121,0),0)</f>
        <v>0</v>
      </c>
      <c r="GD121" s="26">
        <f>IF(GD$2=InputTable[[#This Row],[Delivery Date]],_xlfn.XLOOKUP(GD$1,$BH$2:$BR$2,$BH121:$BR121,0),0)</f>
        <v>0</v>
      </c>
      <c r="GE121" s="26">
        <f>IF(GE$2=InputTable[[#This Row],[Delivery Date]],_xlfn.XLOOKUP(GE$1,$BH$2:$BR$2,$BH121:$BR121,0),0)</f>
        <v>0</v>
      </c>
      <c r="GF121" s="26">
        <f>IF(GF$2=InputTable[[#This Row],[Delivery Date]],_xlfn.XLOOKUP(GF$1,$BH$2:$BR$2,$BH121:$BR121,0),0)</f>
        <v>0</v>
      </c>
      <c r="GG121" s="26">
        <f>IF(GG$2=InputTable[[#This Row],[Delivery Date]],_xlfn.XLOOKUP(GG$1,$BH$2:$BR$2,$BH121:$BR121,0),0)</f>
        <v>0</v>
      </c>
      <c r="GH121" s="26">
        <f>IF(GH$2=InputTable[[#This Row],[Delivery Date]],_xlfn.XLOOKUP(GH$1,$BH$2:$BR$2,$BH121:$BR121,0),0)</f>
        <v>0</v>
      </c>
      <c r="GI121" s="26">
        <f>IF(GI$2=InputTable[[#This Row],[Delivery Date]],_xlfn.XLOOKUP(GI$1,$BH$2:$BR$2,$BH121:$BR121,0),0)</f>
        <v>0</v>
      </c>
      <c r="GJ121" s="26">
        <f>IF(GJ$2=InputTable[[#This Row],[Delivery Date]],_xlfn.XLOOKUP(GJ$1,$BH$2:$BR$2,$BH121:$BR121,0),0)</f>
        <v>0</v>
      </c>
      <c r="GL121" s="26" t="e">
        <f>IF(GL$2=InputTable[[#This Row],[Delivery Date]],_xlfn.XLOOKUP(GL$1,$BH$2:$BR$2,$BH121:$BR121,0),0)</f>
        <v>#REF!</v>
      </c>
      <c r="GM121" s="26">
        <f>IF(GM$2=InputTable[[#This Row],[Delivery Date]],_xlfn.XLOOKUP(GM$1,$BH$2:$BR$2,$BH121:$BR121,0),0)</f>
        <v>0</v>
      </c>
      <c r="GN121" s="26">
        <f>IF(GN$2=InputTable[[#This Row],[Delivery Date]],_xlfn.XLOOKUP(GN$1,$BH$2:$BR$2,$BH121:$BR121,0),0)</f>
        <v>0</v>
      </c>
      <c r="GO121" s="26">
        <f>IF(GO$2=InputTable[[#This Row],[Delivery Date]],_xlfn.XLOOKUP(GO$1,$BH$2:$BR$2,$BH121:$BR121,0),0)</f>
        <v>0</v>
      </c>
      <c r="GP121" s="26">
        <f>IF(GP$2=InputTable[[#This Row],[Delivery Date]],_xlfn.XLOOKUP(GP$1,$BH$2:$BR$2,$BH121:$BR121,0),0)</f>
        <v>0</v>
      </c>
      <c r="GQ121" s="26">
        <f>IF(GQ$2=InputTable[[#This Row],[Delivery Date]],_xlfn.XLOOKUP(GQ$1,$BH$2:$BR$2,$BH121:$BR121,0),0)</f>
        <v>0</v>
      </c>
      <c r="GR121" s="26">
        <f>IF(GR$2=InputTable[[#This Row],[Delivery Date]],_xlfn.XLOOKUP(GR$1,$BH$2:$BR$2,$BH121:$BR121,0),0)</f>
        <v>0</v>
      </c>
      <c r="GS121" s="26">
        <f>IF(GS$2=InputTable[[#This Row],[Delivery Date]],_xlfn.XLOOKUP(GS$1,$BH$2:$BR$2,$BH121:$BR121,0),0)</f>
        <v>0</v>
      </c>
      <c r="GT121" s="26">
        <f>IF(GT$2=InputTable[[#This Row],[Delivery Date]],_xlfn.XLOOKUP(GT$1,$BH$2:$BR$2,$BH121:$BR121,0),0)</f>
        <v>0</v>
      </c>
      <c r="GV121" s="26" t="e">
        <f>IF(GV$2=InputTable[[#This Row],[Delivery Date]],_xlfn.XLOOKUP(GV$1,$BH$2:$BR$2,$BH121:$BR121,0),0)</f>
        <v>#REF!</v>
      </c>
      <c r="GW121" s="26">
        <f>IF(GW$2=InputTable[[#This Row],[Delivery Date]],_xlfn.XLOOKUP(GW$1,$BH$2:$BR$2,$BH121:$BR121,0),0)</f>
        <v>0</v>
      </c>
      <c r="GX121" s="26">
        <f>IF(GX$2=InputTable[[#This Row],[Delivery Date]],_xlfn.XLOOKUP(GX$1,$BH$2:$BR$2,$BH121:$BR121,0),0)</f>
        <v>0</v>
      </c>
      <c r="GY121" s="26">
        <f>IF(GY$2=InputTable[[#This Row],[Delivery Date]],_xlfn.XLOOKUP(GY$1,$BH$2:$BR$2,$BH121:$BR121,0),0)</f>
        <v>0</v>
      </c>
      <c r="GZ121" s="26">
        <f>IF(GZ$2=InputTable[[#This Row],[Delivery Date]],_xlfn.XLOOKUP(GZ$1,$BH$2:$BR$2,$BH121:$BR121,0),0)</f>
        <v>0</v>
      </c>
      <c r="HA121" s="26">
        <f>IF(HA$2=InputTable[[#This Row],[Delivery Date]],_xlfn.XLOOKUP(HA$1,$BH$2:$BR$2,$BH121:$BR121,0),0)</f>
        <v>0</v>
      </c>
      <c r="HB121" s="26">
        <f>IF(HB$2=InputTable[[#This Row],[Delivery Date]],_xlfn.XLOOKUP(HB$1,$BH$2:$BR$2,$BH121:$BR121,0),0)</f>
        <v>0</v>
      </c>
      <c r="HC121" s="26">
        <f>IF(HC$2=InputTable[[#This Row],[Delivery Date]],_xlfn.XLOOKUP(HC$1,$BH$2:$BR$2,$BH121:$BR121,0),0)</f>
        <v>0</v>
      </c>
      <c r="HD121" s="26">
        <f>IF(HD$2=InputTable[[#This Row],[Delivery Date]],_xlfn.XLOOKUP(HD$1,$BH$2:$BR$2,$BH121:$BR121,0),0)</f>
        <v>0</v>
      </c>
      <c r="HF121" s="26" t="e">
        <f>IF(HF$2=InputTable[[#This Row],[Delivery Date]],_xlfn.XLOOKUP(HF$1,$BH$2:$BR$2,$BH121:$BR121,0),0)</f>
        <v>#REF!</v>
      </c>
      <c r="HG121" s="26">
        <f>IF(HG$2=InputTable[[#This Row],[Delivery Date]],_xlfn.XLOOKUP(HG$1,$BH$2:$BR$2,$BH121:$BR121,0),0)</f>
        <v>0</v>
      </c>
      <c r="HH121" s="26">
        <f>IF(HH$2=InputTable[[#This Row],[Delivery Date]],_xlfn.XLOOKUP(HH$1,$BH$2:$BR$2,$BH121:$BR121,0),0)</f>
        <v>0</v>
      </c>
      <c r="HI121" s="26">
        <f>IF(HI$2=InputTable[[#This Row],[Delivery Date]],_xlfn.XLOOKUP(HI$1,$BH$2:$BR$2,$BH121:$BR121,0),0)</f>
        <v>0</v>
      </c>
      <c r="HJ121" s="26">
        <f>IF(HJ$2=InputTable[[#This Row],[Delivery Date]],_xlfn.XLOOKUP(HJ$1,$BH$2:$BR$2,$BH121:$BR121,0),0)</f>
        <v>0</v>
      </c>
      <c r="HK121" s="26">
        <f>IF(HK$2=InputTable[[#This Row],[Delivery Date]],_xlfn.XLOOKUP(HK$1,$BH$2:$BR$2,$BH121:$BR121,0),0)</f>
        <v>0</v>
      </c>
      <c r="HL121" s="26">
        <f>IF(HL$2=InputTable[[#This Row],[Delivery Date]],_xlfn.XLOOKUP(HL$1,$BH$2:$BR$2,$BH121:$BR121,0),0)</f>
        <v>0</v>
      </c>
      <c r="HM121" s="26">
        <f>IF(HM$2=InputTable[[#This Row],[Delivery Date]],_xlfn.XLOOKUP(HM$1,$BH$2:$BR$2,$BH121:$BR121,0),0)</f>
        <v>0</v>
      </c>
      <c r="HN121" s="26">
        <f>IF(HN$2=InputTable[[#This Row],[Delivery Date]],_xlfn.XLOOKUP(HN$1,$BH$2:$BR$2,$BH121:$BR121,0),0)</f>
        <v>0</v>
      </c>
      <c r="HP121" s="26" t="e">
        <f>IF(HP$2=InputTable[[#This Row],[Delivery Date]],_xlfn.XLOOKUP(HP$1,$BH$2:$BR$2,$BH121:$BR121,0),0)</f>
        <v>#REF!</v>
      </c>
      <c r="HQ121" s="26">
        <f>IF(HQ$2=InputTable[[#This Row],[Delivery Date]],_xlfn.XLOOKUP(HQ$1,$BH$2:$BR$2,$BH121:$BR121,0),0)</f>
        <v>0</v>
      </c>
      <c r="HR121" s="26">
        <f>IF(HR$2=InputTable[[#This Row],[Delivery Date]],_xlfn.XLOOKUP(HR$1,$BH$2:$BR$2,$BH121:$BR121,0),0)</f>
        <v>0</v>
      </c>
      <c r="HS121" s="26">
        <f>IF(HS$2=InputTable[[#This Row],[Delivery Date]],_xlfn.XLOOKUP(HS$1,$BH$2:$BR$2,$BH121:$BR121,0),0)</f>
        <v>0</v>
      </c>
      <c r="HT121" s="26">
        <f>IF(HT$2=InputTable[[#This Row],[Delivery Date]],_xlfn.XLOOKUP(HT$1,$BH$2:$BR$2,$BH121:$BR121,0),0)</f>
        <v>0</v>
      </c>
      <c r="HU121" s="26">
        <f>IF(HU$2=InputTable[[#This Row],[Delivery Date]],_xlfn.XLOOKUP(HU$1,$BH$2:$BR$2,$BH121:$BR121,0),0)</f>
        <v>0</v>
      </c>
      <c r="HV121" s="26">
        <f>IF(HV$2=InputTable[[#This Row],[Delivery Date]],_xlfn.XLOOKUP(HV$1,$BH$2:$BR$2,$BH121:$BR121,0),0)</f>
        <v>0</v>
      </c>
      <c r="HW121" s="26">
        <f>IF(HW$2=InputTable[[#This Row],[Delivery Date]],_xlfn.XLOOKUP(HW$1,$BH$2:$BR$2,$BH121:$BR121,0),0)</f>
        <v>0</v>
      </c>
      <c r="HX121" s="26">
        <f>IF(HX$2=InputTable[[#This Row],[Delivery Date]],_xlfn.XLOOKUP(HX$1,$BH$2:$BR$2,$BH121:$BR121,0),0)</f>
        <v>0</v>
      </c>
      <c r="HZ121" s="26" t="e">
        <f>IF(HZ$2=InputTable[[#This Row],[Delivery Date]],_xlfn.XLOOKUP(HZ$1,$BH$2:$BR$2,$BH121:$BR121,0),0)</f>
        <v>#REF!</v>
      </c>
      <c r="IA121" s="26">
        <f>IF(IA$2=InputTable[[#This Row],[Delivery Date]],_xlfn.XLOOKUP(IA$1,$BH$2:$BR$2,$BH121:$BR121,0),0)</f>
        <v>0</v>
      </c>
      <c r="IB121" s="26">
        <f>IF(IB$2=InputTable[[#This Row],[Delivery Date]],_xlfn.XLOOKUP(IB$1,$BH$2:$BR$2,$BH121:$BR121,0),0)</f>
        <v>0</v>
      </c>
      <c r="IC121" s="26">
        <f>IF(IC$2=InputTable[[#This Row],[Delivery Date]],_xlfn.XLOOKUP(IC$1,$BH$2:$BR$2,$BH121:$BR121,0),0)</f>
        <v>0</v>
      </c>
      <c r="ID121" s="26">
        <f>IF(ID$2=InputTable[[#This Row],[Delivery Date]],_xlfn.XLOOKUP(ID$1,$BH$2:$BR$2,$BH121:$BR121,0),0)</f>
        <v>0</v>
      </c>
      <c r="IE121" s="26">
        <f>IF(IE$2=InputTable[[#This Row],[Delivery Date]],_xlfn.XLOOKUP(IE$1,$BH$2:$BR$2,$BH121:$BR121,0),0)</f>
        <v>0</v>
      </c>
      <c r="IF121" s="26">
        <f>IF(IF$2=InputTable[[#This Row],[Delivery Date]],_xlfn.XLOOKUP(IF$1,$BH$2:$BR$2,$BH121:$BR121,0),0)</f>
        <v>0</v>
      </c>
      <c r="IG121" s="26">
        <f>IF(IG$2=InputTable[[#This Row],[Delivery Date]],_xlfn.XLOOKUP(IG$1,$BH$2:$BR$2,$BH121:$BR121,0),0)</f>
        <v>0</v>
      </c>
      <c r="IH121" s="26">
        <f>IF(IH$2=InputTable[[#This Row],[Delivery Date]],_xlfn.XLOOKUP(IH$1,$BH$2:$BR$2,$BH121:$BR121,0),0)</f>
        <v>0</v>
      </c>
      <c r="IJ121" s="26" t="e">
        <f>IF(IJ$2=InputTable[[#This Row],[Delivery Date]],_xlfn.XLOOKUP(IJ$1,$BH$2:$BR$2,$BH121:$BR121,0),0)</f>
        <v>#REF!</v>
      </c>
      <c r="IK121" s="26">
        <f>IF(IK$2=InputTable[[#This Row],[Delivery Date]],_xlfn.XLOOKUP(IK$1,$BH$2:$BR$2,$BH121:$BR121,0),0)</f>
        <v>0</v>
      </c>
      <c r="IL121" s="26">
        <f>IF(IL$2=InputTable[[#This Row],[Delivery Date]],_xlfn.XLOOKUP(IL$1,$BH$2:$BR$2,$BH121:$BR121,0),0)</f>
        <v>0</v>
      </c>
      <c r="IM121" s="26">
        <f>IF(IM$2=InputTable[[#This Row],[Delivery Date]],_xlfn.XLOOKUP(IM$1,$BH$2:$BR$2,$BH121:$BR121,0),0)</f>
        <v>0</v>
      </c>
      <c r="IN121" s="26">
        <f>IF(IN$2=InputTable[[#This Row],[Delivery Date]],_xlfn.XLOOKUP(IN$1,$BH$2:$BR$2,$BH121:$BR121,0),0)</f>
        <v>0</v>
      </c>
      <c r="IO121" s="26">
        <f>IF(IO$2=InputTable[[#This Row],[Delivery Date]],_xlfn.XLOOKUP(IO$1,$BH$2:$BR$2,$BH121:$BR121,0),0)</f>
        <v>0</v>
      </c>
      <c r="IP121" s="26">
        <f>IF(IP$2=InputTable[[#This Row],[Delivery Date]],_xlfn.XLOOKUP(IP$1,$BH$2:$BR$2,$BH121:$BR121,0),0)</f>
        <v>0</v>
      </c>
      <c r="IQ121" s="26">
        <f>IF(IQ$2=InputTable[[#This Row],[Delivery Date]],_xlfn.XLOOKUP(IQ$1,$BH$2:$BR$2,$BH121:$BR121,0),0)</f>
        <v>0</v>
      </c>
      <c r="IR121" s="26">
        <f>IF(IR$2=InputTable[[#This Row],[Delivery Date]],_xlfn.XLOOKUP(IR$1,$BH$2:$BR$2,$BH121:$BR121,0),0)</f>
        <v>0</v>
      </c>
      <c r="IT121" s="26" t="e">
        <f>IF(IT$2=InputTable[[#This Row],[Delivery Date]],_xlfn.XLOOKUP(IT$1,$BH$2:$BR$2,$BH121:$BR121,0),0)</f>
        <v>#REF!</v>
      </c>
      <c r="IU121" s="26">
        <f>IF(IU$2=InputTable[[#This Row],[Delivery Date]],_xlfn.XLOOKUP(IU$1,$BH$2:$BR$2,$BH121:$BR121,0),0)</f>
        <v>0</v>
      </c>
      <c r="IV121" s="26">
        <f>IF(IV$2=InputTable[[#This Row],[Delivery Date]],_xlfn.XLOOKUP(IV$1,$BH$2:$BR$2,$BH121:$BR121,0),0)</f>
        <v>0</v>
      </c>
      <c r="IW121" s="26">
        <f>IF(IW$2=InputTable[[#This Row],[Delivery Date]],_xlfn.XLOOKUP(IW$1,$BH$2:$BR$2,$BH121:$BR121,0),0)</f>
        <v>0</v>
      </c>
      <c r="IX121" s="26">
        <f>IF(IX$2=InputTable[[#This Row],[Delivery Date]],_xlfn.XLOOKUP(IX$1,$BH$2:$BR$2,$BH121:$BR121,0),0)</f>
        <v>0</v>
      </c>
      <c r="IY121" s="26">
        <f>IF(IY$2=InputTable[[#This Row],[Delivery Date]],_xlfn.XLOOKUP(IY$1,$BH$2:$BR$2,$BH121:$BR121,0),0)</f>
        <v>0</v>
      </c>
      <c r="IZ121" s="26">
        <f>IF(IZ$2=InputTable[[#This Row],[Delivery Date]],_xlfn.XLOOKUP(IZ$1,$BH$2:$BR$2,$BH121:$BR121,0),0)</f>
        <v>0</v>
      </c>
      <c r="JA121" s="26">
        <f>IF(JA$2=InputTable[[#This Row],[Delivery Date]],_xlfn.XLOOKUP(JA$1,$BH$2:$BR$2,$BH121:$BR121,0),0)</f>
        <v>0</v>
      </c>
      <c r="JB121" s="26">
        <f>IF(JB$2=InputTable[[#This Row],[Delivery Date]],_xlfn.XLOOKUP(JB$1,$BH$2:$BR$2,$BH121:$BR121,0),0)</f>
        <v>0</v>
      </c>
      <c r="JD121" s="26" t="e">
        <f>IF(JD$2=InputTable[[#This Row],[Delivery Date]],_xlfn.XLOOKUP(JD$1,$BH$2:$BR$2,$BH121:$BR121,0),0)</f>
        <v>#REF!</v>
      </c>
      <c r="JE121" s="26">
        <f>IF(JE$2=InputTable[[#This Row],[Delivery Date]],_xlfn.XLOOKUP(JE$1,$BH$2:$BR$2,$BH121:$BR121,0),0)</f>
        <v>0</v>
      </c>
      <c r="JF121" s="26">
        <f>IF(JF$2=InputTable[[#This Row],[Delivery Date]],_xlfn.XLOOKUP(JF$1,$BH$2:$BR$2,$BH121:$BR121,0),0)</f>
        <v>0</v>
      </c>
      <c r="JG121" s="26">
        <f>IF(JG$2=InputTable[[#This Row],[Delivery Date]],_xlfn.XLOOKUP(JG$1,$BH$2:$BR$2,$BH121:$BR121,0),0)</f>
        <v>0</v>
      </c>
      <c r="JH121" s="26">
        <f>IF(JH$2=InputTable[[#This Row],[Delivery Date]],_xlfn.XLOOKUP(JH$1,$BH$2:$BR$2,$BH121:$BR121,0),0)</f>
        <v>0</v>
      </c>
      <c r="JI121" s="26">
        <f>IF(JI$2=InputTable[[#This Row],[Delivery Date]],_xlfn.XLOOKUP(JI$1,$BH$2:$BR$2,$BH121:$BR121,0),0)</f>
        <v>0</v>
      </c>
      <c r="JJ121" s="26">
        <f>IF(JJ$2=InputTable[[#This Row],[Delivery Date]],_xlfn.XLOOKUP(JJ$1,$BH$2:$BR$2,$BH121:$BR121,0),0)</f>
        <v>0</v>
      </c>
      <c r="JK121" s="26">
        <f>IF(JK$2=InputTable[[#This Row],[Delivery Date]],_xlfn.XLOOKUP(JK$1,$BH$2:$BR$2,$BH121:$BR121,0),0)</f>
        <v>0</v>
      </c>
      <c r="JL121" s="26">
        <f>IF(JL$2=InputTable[[#This Row],[Delivery Date]],_xlfn.XLOOKUP(JL$1,$BH$2:$BR$2,$BH121:$BR121,0),0)</f>
        <v>0</v>
      </c>
      <c r="JN121" s="26" t="e">
        <f>IF(JN$2=InputTable[[#This Row],[Delivery Date]],_xlfn.XLOOKUP(JN$1,$BH$2:$BR$2,$BH121:$BR121,0),0)</f>
        <v>#REF!</v>
      </c>
      <c r="JO121" s="26">
        <f>IF(JO$2=InputTable[[#This Row],[Delivery Date]],_xlfn.XLOOKUP(JO$1,$BH$2:$BR$2,$BH121:$BR121,0),0)</f>
        <v>0</v>
      </c>
      <c r="JP121" s="26">
        <f>IF(JP$2=InputTable[[#This Row],[Delivery Date]],_xlfn.XLOOKUP(JP$1,$BH$2:$BR$2,$BH121:$BR121,0),0)</f>
        <v>0</v>
      </c>
      <c r="JQ121" s="26">
        <f>IF(JQ$2=InputTable[[#This Row],[Delivery Date]],_xlfn.XLOOKUP(JQ$1,$BH$2:$BR$2,$BH121:$BR121,0),0)</f>
        <v>0</v>
      </c>
      <c r="JR121" s="26">
        <f>IF(JR$2=InputTable[[#This Row],[Delivery Date]],_xlfn.XLOOKUP(JR$1,$BH$2:$BR$2,$BH121:$BR121,0),0)</f>
        <v>0</v>
      </c>
      <c r="JS121" s="26">
        <f>IF(JS$2=InputTable[[#This Row],[Delivery Date]],_xlfn.XLOOKUP(JS$1,$BH$2:$BR$2,$BH121:$BR121,0),0)</f>
        <v>0</v>
      </c>
      <c r="JT121" s="26">
        <f>IF(JT$2=InputTable[[#This Row],[Delivery Date]],_xlfn.XLOOKUP(JT$1,$BH$2:$BR$2,$BH121:$BR121,0),0)</f>
        <v>0</v>
      </c>
      <c r="JU121" s="26">
        <f>IF(JU$2=InputTable[[#This Row],[Delivery Date]],_xlfn.XLOOKUP(JU$1,$BH$2:$BR$2,$BH121:$BR121,0),0)</f>
        <v>0</v>
      </c>
      <c r="JV121" s="26">
        <f>IF(JV$2=InputTable[[#This Row],[Delivery Date]],_xlfn.XLOOKUP(JV$1,$BH$2:$BR$2,$BH121:$BR121,0),0)</f>
        <v>0</v>
      </c>
      <c r="JX121" s="26" t="e">
        <f>IF(JX$2=InputTable[[#This Row],[Delivery Date]],_xlfn.XLOOKUP(JX$1,$BH$2:$BR$2,$BH121:$BR121,0),0)</f>
        <v>#REF!</v>
      </c>
      <c r="JY121" s="26">
        <f>IF(JY$2=InputTable[[#This Row],[Delivery Date]],_xlfn.XLOOKUP(JY$1,$BH$2:$BR$2,$BH121:$BR121,0),0)</f>
        <v>0</v>
      </c>
      <c r="JZ121" s="26">
        <f>IF(JZ$2=InputTable[[#This Row],[Delivery Date]],_xlfn.XLOOKUP(JZ$1,$BH$2:$BR$2,$BH121:$BR121,0),0)</f>
        <v>0</v>
      </c>
      <c r="KA121" s="26">
        <f>IF(KA$2=InputTable[[#This Row],[Delivery Date]],_xlfn.XLOOKUP(KA$1,$BH$2:$BR$2,$BH121:$BR121,0),0)</f>
        <v>0</v>
      </c>
      <c r="KB121" s="26">
        <f>IF(KB$2=InputTable[[#This Row],[Delivery Date]],_xlfn.XLOOKUP(KB$1,$BH$2:$BR$2,$BH121:$BR121,0),0)</f>
        <v>0</v>
      </c>
      <c r="KC121" s="26">
        <f>IF(KC$2=InputTable[[#This Row],[Delivery Date]],_xlfn.XLOOKUP(KC$1,$BH$2:$BR$2,$BH121:$BR121,0),0)</f>
        <v>0</v>
      </c>
      <c r="KD121" s="26">
        <f>IF(KD$2=InputTable[[#This Row],[Delivery Date]],_xlfn.XLOOKUP(KD$1,$BH$2:$BR$2,$BH121:$BR121,0),0)</f>
        <v>0</v>
      </c>
      <c r="KE121" s="26">
        <f>IF(KE$2=InputTable[[#This Row],[Delivery Date]],_xlfn.XLOOKUP(KE$1,$BH$2:$BR$2,$BH121:$BR121,0),0)</f>
        <v>0</v>
      </c>
      <c r="KF121" s="26">
        <f>IF(KF$2=InputTable[[#This Row],[Delivery Date]],_xlfn.XLOOKUP(KF$1,$BH$2:$BR$2,$BH121:$BR121,0),0)</f>
        <v>0</v>
      </c>
    </row>
    <row r="122" spans="1:292" ht="39.6" customHeight="1" x14ac:dyDescent="0.25">
      <c r="A122" s="141"/>
      <c r="B122" s="141"/>
      <c r="C122" s="92"/>
      <c r="D122" s="92"/>
      <c r="E122" s="93"/>
      <c r="F122" s="92"/>
      <c r="G122" s="92"/>
      <c r="H122" s="92"/>
      <c r="I122" s="92"/>
      <c r="J122" s="122"/>
      <c r="K122" s="95" t="e">
        <f>VLOOKUP((InputTable[[#This Row],[Starting Date]]&amp; " - " &amp;InputTable[[#This Row],[Delivery Date]]),'System List'!$F$40:$H$83,2,FALSE)</f>
        <v>#N/A</v>
      </c>
      <c r="L122" s="95" t="e">
        <f>VLOOKUP(InputTable[[#This Row],[Duration]],Duration,2,FALSE)</f>
        <v>#N/A</v>
      </c>
      <c r="M122" s="122"/>
      <c r="N122" s="92"/>
      <c r="O122" s="92"/>
      <c r="P122" s="92"/>
      <c r="Q122" s="92"/>
      <c r="R122" s="92"/>
      <c r="S122" s="92"/>
      <c r="T122" s="95"/>
      <c r="U122" s="138"/>
      <c r="V122" s="92"/>
      <c r="W122" s="92"/>
      <c r="X122" s="92"/>
      <c r="Y122" s="92"/>
      <c r="Z122" s="92"/>
      <c r="AA122" s="92"/>
      <c r="AB122" s="92"/>
      <c r="AC122" s="92"/>
      <c r="AD122" s="92">
        <f>COUNTA(InputTable[[#This Row],[CORPHRFIN]:[SALES]])</f>
        <v>0</v>
      </c>
      <c r="AE122" s="88" cm="1">
        <f t="array" ref="AE122">SUM(
_xlfn.XLOOKUP(InputTable[[#This Row],[CORPHRFIN]:[SALES]],'System List'!$F$4:$F$7,'System List'!$H$4:$H$7,0))</f>
        <v>0</v>
      </c>
      <c r="AF122" s="140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88" cm="1">
        <f t="array" ref="AR122">SUM(
_xlfn.XLOOKUP(InputTable[[#This Row],[Impact on - CIAL]:[Impact on - STRAT]],'System List'!$F$4:$F$7,'System List'!$H$4:$H$7,0))</f>
        <v>0</v>
      </c>
      <c r="AS122" s="88" t="e">
        <f>VLOOKUP(InputTable[[#This Row],[Duration]],Duration,2,FALSE)+InputTable[[#This Row],[Resource Score]]</f>
        <v>#N/A</v>
      </c>
      <c r="AT12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2" s="24" t="e">
        <f>InputTable[[#This Row],[Value Score]]/InputTable[[#This Row],[EFFORT SCORE]]*100</f>
        <v>#N/A</v>
      </c>
      <c r="AV122" s="25"/>
      <c r="AW122" s="25"/>
      <c r="AX122" s="208"/>
      <c r="AY122" s="25"/>
      <c r="AZ122" s="209">
        <v>0</v>
      </c>
      <c r="BA122" s="209">
        <v>0</v>
      </c>
      <c r="BB122" s="209"/>
      <c r="BC122" s="189"/>
      <c r="BD122" s="188"/>
      <c r="BE122" s="188"/>
      <c r="BF122" s="70"/>
      <c r="BH122" s="2">
        <f>IFERROR(VLOOKUP(InputTable[[#This Row],[Impact on - CIAL]],'System List'!$F$4:$H$7,3,FALSE),0)</f>
        <v>0</v>
      </c>
      <c r="BI122" s="2">
        <f>IFERROR(VLOOKUP(InputTable[[#This Row],[Impact on - COM]],'System List'!$F$4:$H$7,3,FALSE),0)</f>
        <v>0</v>
      </c>
      <c r="BJ122" s="2">
        <f>IFERROR(VLOOKUP(InputTable[[#This Row],[Impact on - FIN]],'System List'!$F$4:$H$7,3,FALSE),0)</f>
        <v>0</v>
      </c>
      <c r="BK122" s="2">
        <f>IFERROR(VLOOKUP(InputTable[[#This Row],[Impact on - GEN SEC]],'System List'!$F$4:$H$7,3,FALSE),0)</f>
        <v>0</v>
      </c>
      <c r="BL122" s="2">
        <f>IFERROR(VLOOKUP(InputTable[[#This Row],[Impact on - HR]],'System List'!$F$4:$H$7,3,FALSE),0)</f>
        <v>0</v>
      </c>
      <c r="BM122" s="2">
        <f>IFERROR(VLOOKUP(InputTable[[#This Row],[Impact on - IS]],'System List'!$F$4:$H$7,3,FALSE),0)</f>
        <v>0</v>
      </c>
      <c r="BN122" s="2">
        <f>IFERROR(VLOOKUP(InputTable[[#This Row],[Impact on - OPS]],'System List'!$F$4:$H$7,3,FALSE),0)</f>
        <v>0</v>
      </c>
      <c r="BO122" s="2">
        <f>IFERROR(VLOOKUP(InputTable[[#This Row],[Impact on - ROLL STOCK]],'System List'!$F$4:$H$7,3,FALSE),0)</f>
        <v>0</v>
      </c>
      <c r="BP122" s="2">
        <f>IFERROR(VLOOKUP(InputTable[[#This Row],[Impact on - SAFETY]],'System List'!$F$4:$H$7,3,FALSE),0)</f>
        <v>0</v>
      </c>
      <c r="BQ122" s="2">
        <f>IFERROR(VLOOKUP(InputTable[[#This Row],[Impact on - STATION]],'System List'!$F$4:$H$7,3,FALSE),0)</f>
        <v>0</v>
      </c>
      <c r="BR122" s="2">
        <f>IFERROR(VLOOKUP(InputTable[[#This Row],[Impact on - STRAT]],'System List'!$F$4:$H$7,3,FALSE),0)</f>
        <v>0</v>
      </c>
      <c r="BT122" s="2">
        <f>IFERROR(VLOOKUP(InputTable[[#This Row],[CORPHRFIN]],'System List'!$F$4:$H$7,3,FALSE),0)</f>
        <v>0</v>
      </c>
      <c r="BU122" s="2">
        <f>IFERROR(VLOOKUP(InputTable[[#This Row],[CUST]],'System List'!$F$4:$H$7,3,FALSE),0)</f>
        <v>0</v>
      </c>
      <c r="BV122" s="2">
        <f>IFERROR(VLOOKUP(InputTable[[#This Row],[CYBER]],'System List'!$F$4:$H$7,3,FALSE),0)</f>
        <v>0</v>
      </c>
      <c r="BW122" s="2">
        <f>IFERROR(VLOOKUP(InputTable[[#This Row],[DATA]],'System List'!$F$4:$H$7,3,FALSE),0)</f>
        <v>0</v>
      </c>
      <c r="BX122" s="2">
        <f>IFERROR(VLOOKUP(InputTable[[#This Row],[INFRA]],'System List'!$F$4:$H$7,3,FALSE),0)</f>
        <v>0</v>
      </c>
      <c r="BY122" s="2">
        <f>IFERROR(VLOOKUP(InputTable[[#This Row],[OPERATIONS]],'System List'!$F$4:$H$7,3,FALSE),0)</f>
        <v>0</v>
      </c>
      <c r="BZ122" s="2">
        <f>IFERROR(VLOOKUP(InputTable[[#This Row],[PMO]],'System List'!$F$4:$H$7,3,FALSE),0)</f>
        <v>0</v>
      </c>
      <c r="CA122" s="2">
        <f>IFERROR(VLOOKUP(InputTable[[#This Row],[SALES]],'System List'!$F$4:$H$7,3,FALSE),0)</f>
        <v>0</v>
      </c>
      <c r="CC122" s="2" cm="1">
        <f t="array" ref="CC12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2" s="2" cm="1">
        <f t="array" ref="CD12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2" s="2" cm="1">
        <f t="array" ref="CE12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2" s="2" cm="1">
        <f t="array" ref="CF12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2" s="2" cm="1">
        <f t="array" ref="CG12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2" s="2" cm="1">
        <f t="array" ref="CH12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2" s="2" cm="1">
        <f t="array" ref="CI12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2" s="2" cm="1">
        <f t="array" ref="CJ12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2" s="2" cm="1">
        <f t="array" ref="CK12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2" s="26">
        <f t="shared" si="307"/>
        <v>0</v>
      </c>
      <c r="CY122" s="26">
        <f t="shared" si="308"/>
        <v>0</v>
      </c>
      <c r="CZ122" s="26">
        <f t="shared" si="309"/>
        <v>0</v>
      </c>
      <c r="DA122" s="26">
        <f t="shared" si="310"/>
        <v>0</v>
      </c>
      <c r="DB122" s="26">
        <f t="shared" si="311"/>
        <v>0</v>
      </c>
      <c r="DC122" s="26">
        <f t="shared" si="312"/>
        <v>0</v>
      </c>
      <c r="DD122" s="26">
        <f t="shared" si="313"/>
        <v>0</v>
      </c>
      <c r="DE122" s="26">
        <f t="shared" si="314"/>
        <v>0</v>
      </c>
      <c r="DF122" s="26">
        <f t="shared" si="315"/>
        <v>0</v>
      </c>
      <c r="DH122" s="26">
        <f t="shared" si="316"/>
        <v>0</v>
      </c>
      <c r="DI122" s="26">
        <f t="shared" si="317"/>
        <v>0</v>
      </c>
      <c r="DJ122" s="26">
        <f t="shared" si="318"/>
        <v>0</v>
      </c>
      <c r="DK122" s="26">
        <f t="shared" si="319"/>
        <v>0</v>
      </c>
      <c r="DL122" s="26">
        <f t="shared" si="320"/>
        <v>0</v>
      </c>
      <c r="DM122" s="26">
        <f t="shared" si="321"/>
        <v>0</v>
      </c>
      <c r="DN122" s="26">
        <f t="shared" si="322"/>
        <v>0</v>
      </c>
      <c r="DO122" s="26">
        <f t="shared" si="323"/>
        <v>0</v>
      </c>
      <c r="DP122" s="26">
        <f t="shared" si="324"/>
        <v>0</v>
      </c>
      <c r="DR122" s="26">
        <f t="shared" si="325"/>
        <v>0</v>
      </c>
      <c r="DS122" s="26">
        <f t="shared" si="326"/>
        <v>0</v>
      </c>
      <c r="DT122" s="26">
        <f t="shared" si="327"/>
        <v>0</v>
      </c>
      <c r="DU122" s="26">
        <f t="shared" si="328"/>
        <v>0</v>
      </c>
      <c r="DV122" s="26">
        <f t="shared" si="329"/>
        <v>0</v>
      </c>
      <c r="DW122" s="26">
        <f t="shared" si="330"/>
        <v>0</v>
      </c>
      <c r="DX122" s="26">
        <f t="shared" si="331"/>
        <v>0</v>
      </c>
      <c r="DY122" s="26">
        <f t="shared" si="332"/>
        <v>0</v>
      </c>
      <c r="DZ122" s="26">
        <f t="shared" si="333"/>
        <v>0</v>
      </c>
      <c r="EB122" s="26">
        <f t="shared" si="334"/>
        <v>0</v>
      </c>
      <c r="EC122" s="26">
        <f t="shared" si="335"/>
        <v>0</v>
      </c>
      <c r="ED122" s="26">
        <f t="shared" si="336"/>
        <v>0</v>
      </c>
      <c r="EE122" s="26">
        <f t="shared" si="337"/>
        <v>0</v>
      </c>
      <c r="EF122" s="26">
        <f t="shared" si="338"/>
        <v>0</v>
      </c>
      <c r="EG122" s="26">
        <f t="shared" si="339"/>
        <v>0</v>
      </c>
      <c r="EH122" s="26">
        <f t="shared" si="340"/>
        <v>0</v>
      </c>
      <c r="EI122" s="26">
        <f t="shared" si="341"/>
        <v>0</v>
      </c>
      <c r="EJ122" s="26">
        <f t="shared" si="342"/>
        <v>0</v>
      </c>
      <c r="EL122" s="26">
        <f t="shared" si="343"/>
        <v>0</v>
      </c>
      <c r="EM122" s="26">
        <f t="shared" si="344"/>
        <v>0</v>
      </c>
      <c r="EN122" s="26">
        <f t="shared" si="345"/>
        <v>0</v>
      </c>
      <c r="EO122" s="26">
        <f t="shared" si="346"/>
        <v>0</v>
      </c>
      <c r="EP122" s="26">
        <f t="shared" si="347"/>
        <v>0</v>
      </c>
      <c r="EQ122" s="26">
        <f t="shared" si="348"/>
        <v>0</v>
      </c>
      <c r="ER122" s="26">
        <f t="shared" si="349"/>
        <v>0</v>
      </c>
      <c r="ES122" s="26">
        <f t="shared" si="350"/>
        <v>0</v>
      </c>
      <c r="ET122" s="26">
        <f t="shared" si="351"/>
        <v>0</v>
      </c>
      <c r="EV122" s="26">
        <f t="shared" si="352"/>
        <v>0</v>
      </c>
      <c r="EW122" s="26">
        <f t="shared" si="353"/>
        <v>0</v>
      </c>
      <c r="EX122" s="26">
        <f t="shared" si="354"/>
        <v>0</v>
      </c>
      <c r="EY122" s="26">
        <f t="shared" si="355"/>
        <v>0</v>
      </c>
      <c r="EZ122" s="26">
        <f t="shared" si="356"/>
        <v>0</v>
      </c>
      <c r="FA122" s="26">
        <f t="shared" si="357"/>
        <v>0</v>
      </c>
      <c r="FB122" s="26">
        <f t="shared" si="358"/>
        <v>0</v>
      </c>
      <c r="FC122" s="26">
        <f t="shared" si="359"/>
        <v>0</v>
      </c>
      <c r="FD122" s="26">
        <f t="shared" si="360"/>
        <v>0</v>
      </c>
      <c r="FF122" s="26">
        <f t="shared" si="361"/>
        <v>0</v>
      </c>
      <c r="FG122" s="26">
        <f t="shared" si="362"/>
        <v>0</v>
      </c>
      <c r="FH122" s="26">
        <f t="shared" si="363"/>
        <v>0</v>
      </c>
      <c r="FI122" s="26">
        <f t="shared" si="364"/>
        <v>0</v>
      </c>
      <c r="FJ122" s="26">
        <f t="shared" si="365"/>
        <v>0</v>
      </c>
      <c r="FK122" s="26">
        <f t="shared" si="366"/>
        <v>0</v>
      </c>
      <c r="FL122" s="26">
        <f t="shared" si="367"/>
        <v>0</v>
      </c>
      <c r="FM122" s="26">
        <f t="shared" si="368"/>
        <v>0</v>
      </c>
      <c r="FN122" s="26">
        <f t="shared" si="369"/>
        <v>0</v>
      </c>
      <c r="FP122" s="26" t="e">
        <f t="shared" si="370"/>
        <v>#REF!</v>
      </c>
      <c r="FQ122" s="26" t="e">
        <f t="shared" si="371"/>
        <v>#REF!</v>
      </c>
      <c r="FR122" s="26" t="e">
        <f t="shared" si="372"/>
        <v>#REF!</v>
      </c>
      <c r="FS122" s="26" t="e">
        <f t="shared" si="373"/>
        <v>#REF!</v>
      </c>
      <c r="FT122" s="26" t="e">
        <f t="shared" si="374"/>
        <v>#REF!</v>
      </c>
      <c r="FU122" s="26" t="e">
        <f t="shared" si="375"/>
        <v>#REF!</v>
      </c>
      <c r="FV122" s="26" t="e">
        <f t="shared" si="376"/>
        <v>#REF!</v>
      </c>
      <c r="FW122" s="26" t="e">
        <f t="shared" si="377"/>
        <v>#REF!</v>
      </c>
      <c r="FX122" s="26" t="e">
        <f t="shared" si="378"/>
        <v>#REF!</v>
      </c>
      <c r="GB122" s="26" t="e">
        <f>IF(GB$2=InputTable[[#This Row],[Delivery Date]],_xlfn.XLOOKUP(GB$1,$BH$2:$BR$2,$BH122:$BR122,0),0)</f>
        <v>#REF!</v>
      </c>
      <c r="GC122" s="26">
        <f>IF(GC$2=InputTable[[#This Row],[Delivery Date]],_xlfn.XLOOKUP(GC$1,$BH$2:$BR$2,$BH122:$BR122,0),0)</f>
        <v>0</v>
      </c>
      <c r="GD122" s="26">
        <f>IF(GD$2=InputTable[[#This Row],[Delivery Date]],_xlfn.XLOOKUP(GD$1,$BH$2:$BR$2,$BH122:$BR122,0),0)</f>
        <v>0</v>
      </c>
      <c r="GE122" s="26">
        <f>IF(GE$2=InputTable[[#This Row],[Delivery Date]],_xlfn.XLOOKUP(GE$1,$BH$2:$BR$2,$BH122:$BR122,0),0)</f>
        <v>0</v>
      </c>
      <c r="GF122" s="26">
        <f>IF(GF$2=InputTable[[#This Row],[Delivery Date]],_xlfn.XLOOKUP(GF$1,$BH$2:$BR$2,$BH122:$BR122,0),0)</f>
        <v>0</v>
      </c>
      <c r="GG122" s="26">
        <f>IF(GG$2=InputTable[[#This Row],[Delivery Date]],_xlfn.XLOOKUP(GG$1,$BH$2:$BR$2,$BH122:$BR122,0),0)</f>
        <v>0</v>
      </c>
      <c r="GH122" s="26">
        <f>IF(GH$2=InputTable[[#This Row],[Delivery Date]],_xlfn.XLOOKUP(GH$1,$BH$2:$BR$2,$BH122:$BR122,0),0)</f>
        <v>0</v>
      </c>
      <c r="GI122" s="26">
        <f>IF(GI$2=InputTable[[#This Row],[Delivery Date]],_xlfn.XLOOKUP(GI$1,$BH$2:$BR$2,$BH122:$BR122,0),0)</f>
        <v>0</v>
      </c>
      <c r="GJ122" s="26">
        <f>IF(GJ$2=InputTable[[#This Row],[Delivery Date]],_xlfn.XLOOKUP(GJ$1,$BH$2:$BR$2,$BH122:$BR122,0),0)</f>
        <v>0</v>
      </c>
      <c r="GL122" s="26" t="e">
        <f>IF(GL$2=InputTable[[#This Row],[Delivery Date]],_xlfn.XLOOKUP(GL$1,$BH$2:$BR$2,$BH122:$BR122,0),0)</f>
        <v>#REF!</v>
      </c>
      <c r="GM122" s="26">
        <f>IF(GM$2=InputTable[[#This Row],[Delivery Date]],_xlfn.XLOOKUP(GM$1,$BH$2:$BR$2,$BH122:$BR122,0),0)</f>
        <v>0</v>
      </c>
      <c r="GN122" s="26">
        <f>IF(GN$2=InputTable[[#This Row],[Delivery Date]],_xlfn.XLOOKUP(GN$1,$BH$2:$BR$2,$BH122:$BR122,0),0)</f>
        <v>0</v>
      </c>
      <c r="GO122" s="26">
        <f>IF(GO$2=InputTable[[#This Row],[Delivery Date]],_xlfn.XLOOKUP(GO$1,$BH$2:$BR$2,$BH122:$BR122,0),0)</f>
        <v>0</v>
      </c>
      <c r="GP122" s="26">
        <f>IF(GP$2=InputTable[[#This Row],[Delivery Date]],_xlfn.XLOOKUP(GP$1,$BH$2:$BR$2,$BH122:$BR122,0),0)</f>
        <v>0</v>
      </c>
      <c r="GQ122" s="26">
        <f>IF(GQ$2=InputTable[[#This Row],[Delivery Date]],_xlfn.XLOOKUP(GQ$1,$BH$2:$BR$2,$BH122:$BR122,0),0)</f>
        <v>0</v>
      </c>
      <c r="GR122" s="26">
        <f>IF(GR$2=InputTable[[#This Row],[Delivery Date]],_xlfn.XLOOKUP(GR$1,$BH$2:$BR$2,$BH122:$BR122,0),0)</f>
        <v>0</v>
      </c>
      <c r="GS122" s="26">
        <f>IF(GS$2=InputTable[[#This Row],[Delivery Date]],_xlfn.XLOOKUP(GS$1,$BH$2:$BR$2,$BH122:$BR122,0),0)</f>
        <v>0</v>
      </c>
      <c r="GT122" s="26">
        <f>IF(GT$2=InputTable[[#This Row],[Delivery Date]],_xlfn.XLOOKUP(GT$1,$BH$2:$BR$2,$BH122:$BR122,0),0)</f>
        <v>0</v>
      </c>
      <c r="GV122" s="26" t="e">
        <f>IF(GV$2=InputTable[[#This Row],[Delivery Date]],_xlfn.XLOOKUP(GV$1,$BH$2:$BR$2,$BH122:$BR122,0),0)</f>
        <v>#REF!</v>
      </c>
      <c r="GW122" s="26">
        <f>IF(GW$2=InputTable[[#This Row],[Delivery Date]],_xlfn.XLOOKUP(GW$1,$BH$2:$BR$2,$BH122:$BR122,0),0)</f>
        <v>0</v>
      </c>
      <c r="GX122" s="26">
        <f>IF(GX$2=InputTable[[#This Row],[Delivery Date]],_xlfn.XLOOKUP(GX$1,$BH$2:$BR$2,$BH122:$BR122,0),0)</f>
        <v>0</v>
      </c>
      <c r="GY122" s="26">
        <f>IF(GY$2=InputTable[[#This Row],[Delivery Date]],_xlfn.XLOOKUP(GY$1,$BH$2:$BR$2,$BH122:$BR122,0),0)</f>
        <v>0</v>
      </c>
      <c r="GZ122" s="26">
        <f>IF(GZ$2=InputTable[[#This Row],[Delivery Date]],_xlfn.XLOOKUP(GZ$1,$BH$2:$BR$2,$BH122:$BR122,0),0)</f>
        <v>0</v>
      </c>
      <c r="HA122" s="26">
        <f>IF(HA$2=InputTable[[#This Row],[Delivery Date]],_xlfn.XLOOKUP(HA$1,$BH$2:$BR$2,$BH122:$BR122,0),0)</f>
        <v>0</v>
      </c>
      <c r="HB122" s="26">
        <f>IF(HB$2=InputTable[[#This Row],[Delivery Date]],_xlfn.XLOOKUP(HB$1,$BH$2:$BR$2,$BH122:$BR122,0),0)</f>
        <v>0</v>
      </c>
      <c r="HC122" s="26">
        <f>IF(HC$2=InputTable[[#This Row],[Delivery Date]],_xlfn.XLOOKUP(HC$1,$BH$2:$BR$2,$BH122:$BR122,0),0)</f>
        <v>0</v>
      </c>
      <c r="HD122" s="26">
        <f>IF(HD$2=InputTable[[#This Row],[Delivery Date]],_xlfn.XLOOKUP(HD$1,$BH$2:$BR$2,$BH122:$BR122,0),0)</f>
        <v>0</v>
      </c>
      <c r="HF122" s="26" t="e">
        <f>IF(HF$2=InputTable[[#This Row],[Delivery Date]],_xlfn.XLOOKUP(HF$1,$BH$2:$BR$2,$BH122:$BR122,0),0)</f>
        <v>#REF!</v>
      </c>
      <c r="HG122" s="26">
        <f>IF(HG$2=InputTable[[#This Row],[Delivery Date]],_xlfn.XLOOKUP(HG$1,$BH$2:$BR$2,$BH122:$BR122,0),0)</f>
        <v>0</v>
      </c>
      <c r="HH122" s="26">
        <f>IF(HH$2=InputTable[[#This Row],[Delivery Date]],_xlfn.XLOOKUP(HH$1,$BH$2:$BR$2,$BH122:$BR122,0),0)</f>
        <v>0</v>
      </c>
      <c r="HI122" s="26">
        <f>IF(HI$2=InputTable[[#This Row],[Delivery Date]],_xlfn.XLOOKUP(HI$1,$BH$2:$BR$2,$BH122:$BR122,0),0)</f>
        <v>0</v>
      </c>
      <c r="HJ122" s="26">
        <f>IF(HJ$2=InputTable[[#This Row],[Delivery Date]],_xlfn.XLOOKUP(HJ$1,$BH$2:$BR$2,$BH122:$BR122,0),0)</f>
        <v>0</v>
      </c>
      <c r="HK122" s="26">
        <f>IF(HK$2=InputTable[[#This Row],[Delivery Date]],_xlfn.XLOOKUP(HK$1,$BH$2:$BR$2,$BH122:$BR122,0),0)</f>
        <v>0</v>
      </c>
      <c r="HL122" s="26">
        <f>IF(HL$2=InputTable[[#This Row],[Delivery Date]],_xlfn.XLOOKUP(HL$1,$BH$2:$BR$2,$BH122:$BR122,0),0)</f>
        <v>0</v>
      </c>
      <c r="HM122" s="26">
        <f>IF(HM$2=InputTable[[#This Row],[Delivery Date]],_xlfn.XLOOKUP(HM$1,$BH$2:$BR$2,$BH122:$BR122,0),0)</f>
        <v>0</v>
      </c>
      <c r="HN122" s="26">
        <f>IF(HN$2=InputTable[[#This Row],[Delivery Date]],_xlfn.XLOOKUP(HN$1,$BH$2:$BR$2,$BH122:$BR122,0),0)</f>
        <v>0</v>
      </c>
      <c r="HP122" s="26" t="e">
        <f>IF(HP$2=InputTable[[#This Row],[Delivery Date]],_xlfn.XLOOKUP(HP$1,$BH$2:$BR$2,$BH122:$BR122,0),0)</f>
        <v>#REF!</v>
      </c>
      <c r="HQ122" s="26">
        <f>IF(HQ$2=InputTable[[#This Row],[Delivery Date]],_xlfn.XLOOKUP(HQ$1,$BH$2:$BR$2,$BH122:$BR122,0),0)</f>
        <v>0</v>
      </c>
      <c r="HR122" s="26">
        <f>IF(HR$2=InputTable[[#This Row],[Delivery Date]],_xlfn.XLOOKUP(HR$1,$BH$2:$BR$2,$BH122:$BR122,0),0)</f>
        <v>0</v>
      </c>
      <c r="HS122" s="26">
        <f>IF(HS$2=InputTable[[#This Row],[Delivery Date]],_xlfn.XLOOKUP(HS$1,$BH$2:$BR$2,$BH122:$BR122,0),0)</f>
        <v>0</v>
      </c>
      <c r="HT122" s="26">
        <f>IF(HT$2=InputTable[[#This Row],[Delivery Date]],_xlfn.XLOOKUP(HT$1,$BH$2:$BR$2,$BH122:$BR122,0),0)</f>
        <v>0</v>
      </c>
      <c r="HU122" s="26">
        <f>IF(HU$2=InputTable[[#This Row],[Delivery Date]],_xlfn.XLOOKUP(HU$1,$BH$2:$BR$2,$BH122:$BR122,0),0)</f>
        <v>0</v>
      </c>
      <c r="HV122" s="26">
        <f>IF(HV$2=InputTable[[#This Row],[Delivery Date]],_xlfn.XLOOKUP(HV$1,$BH$2:$BR$2,$BH122:$BR122,0),0)</f>
        <v>0</v>
      </c>
      <c r="HW122" s="26">
        <f>IF(HW$2=InputTable[[#This Row],[Delivery Date]],_xlfn.XLOOKUP(HW$1,$BH$2:$BR$2,$BH122:$BR122,0),0)</f>
        <v>0</v>
      </c>
      <c r="HX122" s="26">
        <f>IF(HX$2=InputTable[[#This Row],[Delivery Date]],_xlfn.XLOOKUP(HX$1,$BH$2:$BR$2,$BH122:$BR122,0),0)</f>
        <v>0</v>
      </c>
      <c r="HZ122" s="26" t="e">
        <f>IF(HZ$2=InputTable[[#This Row],[Delivery Date]],_xlfn.XLOOKUP(HZ$1,$BH$2:$BR$2,$BH122:$BR122,0),0)</f>
        <v>#REF!</v>
      </c>
      <c r="IA122" s="26">
        <f>IF(IA$2=InputTable[[#This Row],[Delivery Date]],_xlfn.XLOOKUP(IA$1,$BH$2:$BR$2,$BH122:$BR122,0),0)</f>
        <v>0</v>
      </c>
      <c r="IB122" s="26">
        <f>IF(IB$2=InputTable[[#This Row],[Delivery Date]],_xlfn.XLOOKUP(IB$1,$BH$2:$BR$2,$BH122:$BR122,0),0)</f>
        <v>0</v>
      </c>
      <c r="IC122" s="26">
        <f>IF(IC$2=InputTable[[#This Row],[Delivery Date]],_xlfn.XLOOKUP(IC$1,$BH$2:$BR$2,$BH122:$BR122,0),0)</f>
        <v>0</v>
      </c>
      <c r="ID122" s="26">
        <f>IF(ID$2=InputTable[[#This Row],[Delivery Date]],_xlfn.XLOOKUP(ID$1,$BH$2:$BR$2,$BH122:$BR122,0),0)</f>
        <v>0</v>
      </c>
      <c r="IE122" s="26">
        <f>IF(IE$2=InputTable[[#This Row],[Delivery Date]],_xlfn.XLOOKUP(IE$1,$BH$2:$BR$2,$BH122:$BR122,0),0)</f>
        <v>0</v>
      </c>
      <c r="IF122" s="26">
        <f>IF(IF$2=InputTable[[#This Row],[Delivery Date]],_xlfn.XLOOKUP(IF$1,$BH$2:$BR$2,$BH122:$BR122,0),0)</f>
        <v>0</v>
      </c>
      <c r="IG122" s="26">
        <f>IF(IG$2=InputTable[[#This Row],[Delivery Date]],_xlfn.XLOOKUP(IG$1,$BH$2:$BR$2,$BH122:$BR122,0),0)</f>
        <v>0</v>
      </c>
      <c r="IH122" s="26">
        <f>IF(IH$2=InputTable[[#This Row],[Delivery Date]],_xlfn.XLOOKUP(IH$1,$BH$2:$BR$2,$BH122:$BR122,0),0)</f>
        <v>0</v>
      </c>
      <c r="IJ122" s="26" t="e">
        <f>IF(IJ$2=InputTable[[#This Row],[Delivery Date]],_xlfn.XLOOKUP(IJ$1,$BH$2:$BR$2,$BH122:$BR122,0),0)</f>
        <v>#REF!</v>
      </c>
      <c r="IK122" s="26">
        <f>IF(IK$2=InputTable[[#This Row],[Delivery Date]],_xlfn.XLOOKUP(IK$1,$BH$2:$BR$2,$BH122:$BR122,0),0)</f>
        <v>0</v>
      </c>
      <c r="IL122" s="26">
        <f>IF(IL$2=InputTable[[#This Row],[Delivery Date]],_xlfn.XLOOKUP(IL$1,$BH$2:$BR$2,$BH122:$BR122,0),0)</f>
        <v>0</v>
      </c>
      <c r="IM122" s="26">
        <f>IF(IM$2=InputTable[[#This Row],[Delivery Date]],_xlfn.XLOOKUP(IM$1,$BH$2:$BR$2,$BH122:$BR122,0),0)</f>
        <v>0</v>
      </c>
      <c r="IN122" s="26">
        <f>IF(IN$2=InputTable[[#This Row],[Delivery Date]],_xlfn.XLOOKUP(IN$1,$BH$2:$BR$2,$BH122:$BR122,0),0)</f>
        <v>0</v>
      </c>
      <c r="IO122" s="26">
        <f>IF(IO$2=InputTable[[#This Row],[Delivery Date]],_xlfn.XLOOKUP(IO$1,$BH$2:$BR$2,$BH122:$BR122,0),0)</f>
        <v>0</v>
      </c>
      <c r="IP122" s="26">
        <f>IF(IP$2=InputTable[[#This Row],[Delivery Date]],_xlfn.XLOOKUP(IP$1,$BH$2:$BR$2,$BH122:$BR122,0),0)</f>
        <v>0</v>
      </c>
      <c r="IQ122" s="26">
        <f>IF(IQ$2=InputTable[[#This Row],[Delivery Date]],_xlfn.XLOOKUP(IQ$1,$BH$2:$BR$2,$BH122:$BR122,0),0)</f>
        <v>0</v>
      </c>
      <c r="IR122" s="26">
        <f>IF(IR$2=InputTable[[#This Row],[Delivery Date]],_xlfn.XLOOKUP(IR$1,$BH$2:$BR$2,$BH122:$BR122,0),0)</f>
        <v>0</v>
      </c>
      <c r="IT122" s="26" t="e">
        <f>IF(IT$2=InputTable[[#This Row],[Delivery Date]],_xlfn.XLOOKUP(IT$1,$BH$2:$BR$2,$BH122:$BR122,0),0)</f>
        <v>#REF!</v>
      </c>
      <c r="IU122" s="26">
        <f>IF(IU$2=InputTable[[#This Row],[Delivery Date]],_xlfn.XLOOKUP(IU$1,$BH$2:$BR$2,$BH122:$BR122,0),0)</f>
        <v>0</v>
      </c>
      <c r="IV122" s="26">
        <f>IF(IV$2=InputTable[[#This Row],[Delivery Date]],_xlfn.XLOOKUP(IV$1,$BH$2:$BR$2,$BH122:$BR122,0),0)</f>
        <v>0</v>
      </c>
      <c r="IW122" s="26">
        <f>IF(IW$2=InputTable[[#This Row],[Delivery Date]],_xlfn.XLOOKUP(IW$1,$BH$2:$BR$2,$BH122:$BR122,0),0)</f>
        <v>0</v>
      </c>
      <c r="IX122" s="26">
        <f>IF(IX$2=InputTable[[#This Row],[Delivery Date]],_xlfn.XLOOKUP(IX$1,$BH$2:$BR$2,$BH122:$BR122,0),0)</f>
        <v>0</v>
      </c>
      <c r="IY122" s="26">
        <f>IF(IY$2=InputTable[[#This Row],[Delivery Date]],_xlfn.XLOOKUP(IY$1,$BH$2:$BR$2,$BH122:$BR122,0),0)</f>
        <v>0</v>
      </c>
      <c r="IZ122" s="26">
        <f>IF(IZ$2=InputTable[[#This Row],[Delivery Date]],_xlfn.XLOOKUP(IZ$1,$BH$2:$BR$2,$BH122:$BR122,0),0)</f>
        <v>0</v>
      </c>
      <c r="JA122" s="26">
        <f>IF(JA$2=InputTable[[#This Row],[Delivery Date]],_xlfn.XLOOKUP(JA$1,$BH$2:$BR$2,$BH122:$BR122,0),0)</f>
        <v>0</v>
      </c>
      <c r="JB122" s="26">
        <f>IF(JB$2=InputTable[[#This Row],[Delivery Date]],_xlfn.XLOOKUP(JB$1,$BH$2:$BR$2,$BH122:$BR122,0),0)</f>
        <v>0</v>
      </c>
      <c r="JD122" s="26" t="e">
        <f>IF(JD$2=InputTable[[#This Row],[Delivery Date]],_xlfn.XLOOKUP(JD$1,$BH$2:$BR$2,$BH122:$BR122,0),0)</f>
        <v>#REF!</v>
      </c>
      <c r="JE122" s="26">
        <f>IF(JE$2=InputTable[[#This Row],[Delivery Date]],_xlfn.XLOOKUP(JE$1,$BH$2:$BR$2,$BH122:$BR122,0),0)</f>
        <v>0</v>
      </c>
      <c r="JF122" s="26">
        <f>IF(JF$2=InputTable[[#This Row],[Delivery Date]],_xlfn.XLOOKUP(JF$1,$BH$2:$BR$2,$BH122:$BR122,0),0)</f>
        <v>0</v>
      </c>
      <c r="JG122" s="26">
        <f>IF(JG$2=InputTable[[#This Row],[Delivery Date]],_xlfn.XLOOKUP(JG$1,$BH$2:$BR$2,$BH122:$BR122,0),0)</f>
        <v>0</v>
      </c>
      <c r="JH122" s="26">
        <f>IF(JH$2=InputTable[[#This Row],[Delivery Date]],_xlfn.XLOOKUP(JH$1,$BH$2:$BR$2,$BH122:$BR122,0),0)</f>
        <v>0</v>
      </c>
      <c r="JI122" s="26">
        <f>IF(JI$2=InputTable[[#This Row],[Delivery Date]],_xlfn.XLOOKUP(JI$1,$BH$2:$BR$2,$BH122:$BR122,0),0)</f>
        <v>0</v>
      </c>
      <c r="JJ122" s="26">
        <f>IF(JJ$2=InputTable[[#This Row],[Delivery Date]],_xlfn.XLOOKUP(JJ$1,$BH$2:$BR$2,$BH122:$BR122,0),0)</f>
        <v>0</v>
      </c>
      <c r="JK122" s="26">
        <f>IF(JK$2=InputTable[[#This Row],[Delivery Date]],_xlfn.XLOOKUP(JK$1,$BH$2:$BR$2,$BH122:$BR122,0),0)</f>
        <v>0</v>
      </c>
      <c r="JL122" s="26">
        <f>IF(JL$2=InputTable[[#This Row],[Delivery Date]],_xlfn.XLOOKUP(JL$1,$BH$2:$BR$2,$BH122:$BR122,0),0)</f>
        <v>0</v>
      </c>
      <c r="JN122" s="26" t="e">
        <f>IF(JN$2=InputTable[[#This Row],[Delivery Date]],_xlfn.XLOOKUP(JN$1,$BH$2:$BR$2,$BH122:$BR122,0),0)</f>
        <v>#REF!</v>
      </c>
      <c r="JO122" s="26">
        <f>IF(JO$2=InputTable[[#This Row],[Delivery Date]],_xlfn.XLOOKUP(JO$1,$BH$2:$BR$2,$BH122:$BR122,0),0)</f>
        <v>0</v>
      </c>
      <c r="JP122" s="26">
        <f>IF(JP$2=InputTable[[#This Row],[Delivery Date]],_xlfn.XLOOKUP(JP$1,$BH$2:$BR$2,$BH122:$BR122,0),0)</f>
        <v>0</v>
      </c>
      <c r="JQ122" s="26">
        <f>IF(JQ$2=InputTable[[#This Row],[Delivery Date]],_xlfn.XLOOKUP(JQ$1,$BH$2:$BR$2,$BH122:$BR122,0),0)</f>
        <v>0</v>
      </c>
      <c r="JR122" s="26">
        <f>IF(JR$2=InputTable[[#This Row],[Delivery Date]],_xlfn.XLOOKUP(JR$1,$BH$2:$BR$2,$BH122:$BR122,0),0)</f>
        <v>0</v>
      </c>
      <c r="JS122" s="26">
        <f>IF(JS$2=InputTable[[#This Row],[Delivery Date]],_xlfn.XLOOKUP(JS$1,$BH$2:$BR$2,$BH122:$BR122,0),0)</f>
        <v>0</v>
      </c>
      <c r="JT122" s="26">
        <f>IF(JT$2=InputTable[[#This Row],[Delivery Date]],_xlfn.XLOOKUP(JT$1,$BH$2:$BR$2,$BH122:$BR122,0),0)</f>
        <v>0</v>
      </c>
      <c r="JU122" s="26">
        <f>IF(JU$2=InputTable[[#This Row],[Delivery Date]],_xlfn.XLOOKUP(JU$1,$BH$2:$BR$2,$BH122:$BR122,0),0)</f>
        <v>0</v>
      </c>
      <c r="JV122" s="26">
        <f>IF(JV$2=InputTable[[#This Row],[Delivery Date]],_xlfn.XLOOKUP(JV$1,$BH$2:$BR$2,$BH122:$BR122,0),0)</f>
        <v>0</v>
      </c>
      <c r="JX122" s="26" t="e">
        <f>IF(JX$2=InputTable[[#This Row],[Delivery Date]],_xlfn.XLOOKUP(JX$1,$BH$2:$BR$2,$BH122:$BR122,0),0)</f>
        <v>#REF!</v>
      </c>
      <c r="JY122" s="26">
        <f>IF(JY$2=InputTable[[#This Row],[Delivery Date]],_xlfn.XLOOKUP(JY$1,$BH$2:$BR$2,$BH122:$BR122,0),0)</f>
        <v>0</v>
      </c>
      <c r="JZ122" s="26">
        <f>IF(JZ$2=InputTable[[#This Row],[Delivery Date]],_xlfn.XLOOKUP(JZ$1,$BH$2:$BR$2,$BH122:$BR122,0),0)</f>
        <v>0</v>
      </c>
      <c r="KA122" s="26">
        <f>IF(KA$2=InputTable[[#This Row],[Delivery Date]],_xlfn.XLOOKUP(KA$1,$BH$2:$BR$2,$BH122:$BR122,0),0)</f>
        <v>0</v>
      </c>
      <c r="KB122" s="26">
        <f>IF(KB$2=InputTable[[#This Row],[Delivery Date]],_xlfn.XLOOKUP(KB$1,$BH$2:$BR$2,$BH122:$BR122,0),0)</f>
        <v>0</v>
      </c>
      <c r="KC122" s="26">
        <f>IF(KC$2=InputTable[[#This Row],[Delivery Date]],_xlfn.XLOOKUP(KC$1,$BH$2:$BR$2,$BH122:$BR122,0),0)</f>
        <v>0</v>
      </c>
      <c r="KD122" s="26">
        <f>IF(KD$2=InputTable[[#This Row],[Delivery Date]],_xlfn.XLOOKUP(KD$1,$BH$2:$BR$2,$BH122:$BR122,0),0)</f>
        <v>0</v>
      </c>
      <c r="KE122" s="26">
        <f>IF(KE$2=InputTable[[#This Row],[Delivery Date]],_xlfn.XLOOKUP(KE$1,$BH$2:$BR$2,$BH122:$BR122,0),0)</f>
        <v>0</v>
      </c>
      <c r="KF122" s="26">
        <f>IF(KF$2=InputTable[[#This Row],[Delivery Date]],_xlfn.XLOOKUP(KF$1,$BH$2:$BR$2,$BH122:$BR122,0),0)</f>
        <v>0</v>
      </c>
    </row>
    <row r="123" spans="1:292" ht="39.6" customHeight="1" x14ac:dyDescent="0.25">
      <c r="A123" s="141"/>
      <c r="B123" s="141"/>
      <c r="C123" s="92"/>
      <c r="D123" s="92"/>
      <c r="E123" s="93"/>
      <c r="F123" s="92"/>
      <c r="G123" s="92"/>
      <c r="H123" s="92"/>
      <c r="I123" s="92"/>
      <c r="J123" s="122"/>
      <c r="K123" s="95" t="e">
        <f>VLOOKUP((InputTable[[#This Row],[Starting Date]]&amp; " - " &amp;InputTable[[#This Row],[Delivery Date]]),'System List'!$F$40:$H$83,2,FALSE)</f>
        <v>#N/A</v>
      </c>
      <c r="L123" s="95" t="e">
        <f>VLOOKUP(InputTable[[#This Row],[Duration]],Duration,2,FALSE)</f>
        <v>#N/A</v>
      </c>
      <c r="M123" s="122"/>
      <c r="N123" s="92"/>
      <c r="O123" s="92"/>
      <c r="P123" s="92"/>
      <c r="Q123" s="92"/>
      <c r="R123" s="92"/>
      <c r="S123" s="92"/>
      <c r="T123" s="95"/>
      <c r="U123" s="138"/>
      <c r="V123" s="92"/>
      <c r="W123" s="92"/>
      <c r="X123" s="92"/>
      <c r="Y123" s="92"/>
      <c r="Z123" s="92"/>
      <c r="AA123" s="92"/>
      <c r="AB123" s="92"/>
      <c r="AC123" s="92"/>
      <c r="AD123" s="92">
        <f>COUNTA(InputTable[[#This Row],[CORPHRFIN]:[SALES]])</f>
        <v>0</v>
      </c>
      <c r="AE123" s="88" cm="1">
        <f t="array" ref="AE123">SUM(
_xlfn.XLOOKUP(InputTable[[#This Row],[CORPHRFIN]:[SALES]],'System List'!$F$4:$F$7,'System List'!$H$4:$H$7,0))</f>
        <v>0</v>
      </c>
      <c r="AF123" s="140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88" cm="1">
        <f t="array" ref="AR123">SUM(
_xlfn.XLOOKUP(InputTable[[#This Row],[Impact on - CIAL]:[Impact on - STRAT]],'System List'!$F$4:$F$7,'System List'!$H$4:$H$7,0))</f>
        <v>0</v>
      </c>
      <c r="AS123" s="88" t="e">
        <f>VLOOKUP(InputTable[[#This Row],[Duration]],Duration,2,FALSE)+InputTable[[#This Row],[Resource Score]]</f>
        <v>#N/A</v>
      </c>
      <c r="AT12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3" s="24" t="e">
        <f>InputTable[[#This Row],[Value Score]]/InputTable[[#This Row],[EFFORT SCORE]]*100</f>
        <v>#N/A</v>
      </c>
      <c r="AV123" s="25"/>
      <c r="AW123" s="25"/>
      <c r="AX123" s="208"/>
      <c r="AY123" s="25"/>
      <c r="AZ123" s="209">
        <v>0</v>
      </c>
      <c r="BA123" s="209">
        <v>0</v>
      </c>
      <c r="BB123" s="209"/>
      <c r="BC123" s="189"/>
      <c r="BD123" s="188"/>
      <c r="BE123" s="188"/>
      <c r="BF123" s="70"/>
      <c r="BH123" s="2">
        <f>IFERROR(VLOOKUP(InputTable[[#This Row],[Impact on - CIAL]],'System List'!$F$4:$H$7,3,FALSE),0)</f>
        <v>0</v>
      </c>
      <c r="BI123" s="2">
        <f>IFERROR(VLOOKUP(InputTable[[#This Row],[Impact on - COM]],'System List'!$F$4:$H$7,3,FALSE),0)</f>
        <v>0</v>
      </c>
      <c r="BJ123" s="2">
        <f>IFERROR(VLOOKUP(InputTable[[#This Row],[Impact on - FIN]],'System List'!$F$4:$H$7,3,FALSE),0)</f>
        <v>0</v>
      </c>
      <c r="BK123" s="2">
        <f>IFERROR(VLOOKUP(InputTable[[#This Row],[Impact on - GEN SEC]],'System List'!$F$4:$H$7,3,FALSE),0)</f>
        <v>0</v>
      </c>
      <c r="BL123" s="2">
        <f>IFERROR(VLOOKUP(InputTable[[#This Row],[Impact on - HR]],'System List'!$F$4:$H$7,3,FALSE),0)</f>
        <v>0</v>
      </c>
      <c r="BM123" s="2">
        <f>IFERROR(VLOOKUP(InputTable[[#This Row],[Impact on - IS]],'System List'!$F$4:$H$7,3,FALSE),0)</f>
        <v>0</v>
      </c>
      <c r="BN123" s="2">
        <f>IFERROR(VLOOKUP(InputTable[[#This Row],[Impact on - OPS]],'System List'!$F$4:$H$7,3,FALSE),0)</f>
        <v>0</v>
      </c>
      <c r="BO123" s="2">
        <f>IFERROR(VLOOKUP(InputTable[[#This Row],[Impact on - ROLL STOCK]],'System List'!$F$4:$H$7,3,FALSE),0)</f>
        <v>0</v>
      </c>
      <c r="BP123" s="2">
        <f>IFERROR(VLOOKUP(InputTable[[#This Row],[Impact on - SAFETY]],'System List'!$F$4:$H$7,3,FALSE),0)</f>
        <v>0</v>
      </c>
      <c r="BQ123" s="2">
        <f>IFERROR(VLOOKUP(InputTable[[#This Row],[Impact on - STATION]],'System List'!$F$4:$H$7,3,FALSE),0)</f>
        <v>0</v>
      </c>
      <c r="BR123" s="2">
        <f>IFERROR(VLOOKUP(InputTable[[#This Row],[Impact on - STRAT]],'System List'!$F$4:$H$7,3,FALSE),0)</f>
        <v>0</v>
      </c>
      <c r="BT123" s="2">
        <f>IFERROR(VLOOKUP(InputTable[[#This Row],[CORPHRFIN]],'System List'!$F$4:$H$7,3,FALSE),0)</f>
        <v>0</v>
      </c>
      <c r="BU123" s="2">
        <f>IFERROR(VLOOKUP(InputTable[[#This Row],[CUST]],'System List'!$F$4:$H$7,3,FALSE),0)</f>
        <v>0</v>
      </c>
      <c r="BV123" s="2">
        <f>IFERROR(VLOOKUP(InputTable[[#This Row],[CYBER]],'System List'!$F$4:$H$7,3,FALSE),0)</f>
        <v>0</v>
      </c>
      <c r="BW123" s="2">
        <f>IFERROR(VLOOKUP(InputTable[[#This Row],[DATA]],'System List'!$F$4:$H$7,3,FALSE),0)</f>
        <v>0</v>
      </c>
      <c r="BX123" s="2">
        <f>IFERROR(VLOOKUP(InputTable[[#This Row],[INFRA]],'System List'!$F$4:$H$7,3,FALSE),0)</f>
        <v>0</v>
      </c>
      <c r="BY123" s="2">
        <f>IFERROR(VLOOKUP(InputTable[[#This Row],[OPERATIONS]],'System List'!$F$4:$H$7,3,FALSE),0)</f>
        <v>0</v>
      </c>
      <c r="BZ123" s="2">
        <f>IFERROR(VLOOKUP(InputTable[[#This Row],[PMO]],'System List'!$F$4:$H$7,3,FALSE),0)</f>
        <v>0</v>
      </c>
      <c r="CA123" s="2">
        <f>IFERROR(VLOOKUP(InputTable[[#This Row],[SALES]],'System List'!$F$4:$H$7,3,FALSE),0)</f>
        <v>0</v>
      </c>
      <c r="CC123" s="2" cm="1">
        <f t="array" ref="CC12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3" s="2" cm="1">
        <f t="array" ref="CD12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3" s="2" cm="1">
        <f t="array" ref="CE12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3" s="2" cm="1">
        <f t="array" ref="CF12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3" s="2" cm="1">
        <f t="array" ref="CG12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3" s="2" cm="1">
        <f t="array" ref="CH12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3" s="2" cm="1">
        <f t="array" ref="CI12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3" s="2" cm="1">
        <f t="array" ref="CJ12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3" s="2" cm="1">
        <f t="array" ref="CK12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3" s="26">
        <f t="shared" si="307"/>
        <v>0</v>
      </c>
      <c r="CY123" s="26">
        <f t="shared" si="308"/>
        <v>0</v>
      </c>
      <c r="CZ123" s="26">
        <f t="shared" si="309"/>
        <v>0</v>
      </c>
      <c r="DA123" s="26">
        <f t="shared" si="310"/>
        <v>0</v>
      </c>
      <c r="DB123" s="26">
        <f t="shared" si="311"/>
        <v>0</v>
      </c>
      <c r="DC123" s="26">
        <f t="shared" si="312"/>
        <v>0</v>
      </c>
      <c r="DD123" s="26">
        <f t="shared" si="313"/>
        <v>0</v>
      </c>
      <c r="DE123" s="26">
        <f t="shared" si="314"/>
        <v>0</v>
      </c>
      <c r="DF123" s="26">
        <f t="shared" si="315"/>
        <v>0</v>
      </c>
      <c r="DH123" s="26">
        <f t="shared" si="316"/>
        <v>0</v>
      </c>
      <c r="DI123" s="26">
        <f t="shared" si="317"/>
        <v>0</v>
      </c>
      <c r="DJ123" s="26">
        <f t="shared" si="318"/>
        <v>0</v>
      </c>
      <c r="DK123" s="26">
        <f t="shared" si="319"/>
        <v>0</v>
      </c>
      <c r="DL123" s="26">
        <f t="shared" si="320"/>
        <v>0</v>
      </c>
      <c r="DM123" s="26">
        <f t="shared" si="321"/>
        <v>0</v>
      </c>
      <c r="DN123" s="26">
        <f t="shared" si="322"/>
        <v>0</v>
      </c>
      <c r="DO123" s="26">
        <f t="shared" si="323"/>
        <v>0</v>
      </c>
      <c r="DP123" s="26">
        <f t="shared" si="324"/>
        <v>0</v>
      </c>
      <c r="DR123" s="26">
        <f t="shared" si="325"/>
        <v>0</v>
      </c>
      <c r="DS123" s="26">
        <f t="shared" si="326"/>
        <v>0</v>
      </c>
      <c r="DT123" s="26">
        <f t="shared" si="327"/>
        <v>0</v>
      </c>
      <c r="DU123" s="26">
        <f t="shared" si="328"/>
        <v>0</v>
      </c>
      <c r="DV123" s="26">
        <f t="shared" si="329"/>
        <v>0</v>
      </c>
      <c r="DW123" s="26">
        <f t="shared" si="330"/>
        <v>0</v>
      </c>
      <c r="DX123" s="26">
        <f t="shared" si="331"/>
        <v>0</v>
      </c>
      <c r="DY123" s="26">
        <f t="shared" si="332"/>
        <v>0</v>
      </c>
      <c r="DZ123" s="26">
        <f t="shared" si="333"/>
        <v>0</v>
      </c>
      <c r="EB123" s="26">
        <f t="shared" si="334"/>
        <v>0</v>
      </c>
      <c r="EC123" s="26">
        <f t="shared" si="335"/>
        <v>0</v>
      </c>
      <c r="ED123" s="26">
        <f t="shared" si="336"/>
        <v>0</v>
      </c>
      <c r="EE123" s="26">
        <f t="shared" si="337"/>
        <v>0</v>
      </c>
      <c r="EF123" s="26">
        <f t="shared" si="338"/>
        <v>0</v>
      </c>
      <c r="EG123" s="26">
        <f t="shared" si="339"/>
        <v>0</v>
      </c>
      <c r="EH123" s="26">
        <f t="shared" si="340"/>
        <v>0</v>
      </c>
      <c r="EI123" s="26">
        <f t="shared" si="341"/>
        <v>0</v>
      </c>
      <c r="EJ123" s="26">
        <f t="shared" si="342"/>
        <v>0</v>
      </c>
      <c r="EL123" s="26">
        <f t="shared" si="343"/>
        <v>0</v>
      </c>
      <c r="EM123" s="26">
        <f t="shared" si="344"/>
        <v>0</v>
      </c>
      <c r="EN123" s="26">
        <f t="shared" si="345"/>
        <v>0</v>
      </c>
      <c r="EO123" s="26">
        <f t="shared" si="346"/>
        <v>0</v>
      </c>
      <c r="EP123" s="26">
        <f t="shared" si="347"/>
        <v>0</v>
      </c>
      <c r="EQ123" s="26">
        <f t="shared" si="348"/>
        <v>0</v>
      </c>
      <c r="ER123" s="26">
        <f t="shared" si="349"/>
        <v>0</v>
      </c>
      <c r="ES123" s="26">
        <f t="shared" si="350"/>
        <v>0</v>
      </c>
      <c r="ET123" s="26">
        <f t="shared" si="351"/>
        <v>0</v>
      </c>
      <c r="EV123" s="26">
        <f t="shared" si="352"/>
        <v>0</v>
      </c>
      <c r="EW123" s="26">
        <f t="shared" si="353"/>
        <v>0</v>
      </c>
      <c r="EX123" s="26">
        <f t="shared" si="354"/>
        <v>0</v>
      </c>
      <c r="EY123" s="26">
        <f t="shared" si="355"/>
        <v>0</v>
      </c>
      <c r="EZ123" s="26">
        <f t="shared" si="356"/>
        <v>0</v>
      </c>
      <c r="FA123" s="26">
        <f t="shared" si="357"/>
        <v>0</v>
      </c>
      <c r="FB123" s="26">
        <f t="shared" si="358"/>
        <v>0</v>
      </c>
      <c r="FC123" s="26">
        <f t="shared" si="359"/>
        <v>0</v>
      </c>
      <c r="FD123" s="26">
        <f t="shared" si="360"/>
        <v>0</v>
      </c>
      <c r="FF123" s="26">
        <f t="shared" si="361"/>
        <v>0</v>
      </c>
      <c r="FG123" s="26">
        <f t="shared" si="362"/>
        <v>0</v>
      </c>
      <c r="FH123" s="26">
        <f t="shared" si="363"/>
        <v>0</v>
      </c>
      <c r="FI123" s="26">
        <f t="shared" si="364"/>
        <v>0</v>
      </c>
      <c r="FJ123" s="26">
        <f t="shared" si="365"/>
        <v>0</v>
      </c>
      <c r="FK123" s="26">
        <f t="shared" si="366"/>
        <v>0</v>
      </c>
      <c r="FL123" s="26">
        <f t="shared" si="367"/>
        <v>0</v>
      </c>
      <c r="FM123" s="26">
        <f t="shared" si="368"/>
        <v>0</v>
      </c>
      <c r="FN123" s="26">
        <f t="shared" si="369"/>
        <v>0</v>
      </c>
      <c r="FP123" s="26" t="e">
        <f t="shared" si="370"/>
        <v>#REF!</v>
      </c>
      <c r="FQ123" s="26" t="e">
        <f t="shared" si="371"/>
        <v>#REF!</v>
      </c>
      <c r="FR123" s="26" t="e">
        <f t="shared" si="372"/>
        <v>#REF!</v>
      </c>
      <c r="FS123" s="26" t="e">
        <f t="shared" si="373"/>
        <v>#REF!</v>
      </c>
      <c r="FT123" s="26" t="e">
        <f t="shared" si="374"/>
        <v>#REF!</v>
      </c>
      <c r="FU123" s="26" t="e">
        <f t="shared" si="375"/>
        <v>#REF!</v>
      </c>
      <c r="FV123" s="26" t="e">
        <f t="shared" si="376"/>
        <v>#REF!</v>
      </c>
      <c r="FW123" s="26" t="e">
        <f t="shared" si="377"/>
        <v>#REF!</v>
      </c>
      <c r="FX123" s="26" t="e">
        <f t="shared" si="378"/>
        <v>#REF!</v>
      </c>
      <c r="GB123" s="26" t="e">
        <f>IF(GB$2=InputTable[[#This Row],[Delivery Date]],_xlfn.XLOOKUP(GB$1,$BH$2:$BR$2,$BH123:$BR123,0),0)</f>
        <v>#REF!</v>
      </c>
      <c r="GC123" s="26">
        <f>IF(GC$2=InputTable[[#This Row],[Delivery Date]],_xlfn.XLOOKUP(GC$1,$BH$2:$BR$2,$BH123:$BR123,0),0)</f>
        <v>0</v>
      </c>
      <c r="GD123" s="26">
        <f>IF(GD$2=InputTable[[#This Row],[Delivery Date]],_xlfn.XLOOKUP(GD$1,$BH$2:$BR$2,$BH123:$BR123,0),0)</f>
        <v>0</v>
      </c>
      <c r="GE123" s="26">
        <f>IF(GE$2=InputTable[[#This Row],[Delivery Date]],_xlfn.XLOOKUP(GE$1,$BH$2:$BR$2,$BH123:$BR123,0),0)</f>
        <v>0</v>
      </c>
      <c r="GF123" s="26">
        <f>IF(GF$2=InputTable[[#This Row],[Delivery Date]],_xlfn.XLOOKUP(GF$1,$BH$2:$BR$2,$BH123:$BR123,0),0)</f>
        <v>0</v>
      </c>
      <c r="GG123" s="26">
        <f>IF(GG$2=InputTable[[#This Row],[Delivery Date]],_xlfn.XLOOKUP(GG$1,$BH$2:$BR$2,$BH123:$BR123,0),0)</f>
        <v>0</v>
      </c>
      <c r="GH123" s="26">
        <f>IF(GH$2=InputTable[[#This Row],[Delivery Date]],_xlfn.XLOOKUP(GH$1,$BH$2:$BR$2,$BH123:$BR123,0),0)</f>
        <v>0</v>
      </c>
      <c r="GI123" s="26">
        <f>IF(GI$2=InputTable[[#This Row],[Delivery Date]],_xlfn.XLOOKUP(GI$1,$BH$2:$BR$2,$BH123:$BR123,0),0)</f>
        <v>0</v>
      </c>
      <c r="GJ123" s="26">
        <f>IF(GJ$2=InputTable[[#This Row],[Delivery Date]],_xlfn.XLOOKUP(GJ$1,$BH$2:$BR$2,$BH123:$BR123,0),0)</f>
        <v>0</v>
      </c>
      <c r="GL123" s="26" t="e">
        <f>IF(GL$2=InputTable[[#This Row],[Delivery Date]],_xlfn.XLOOKUP(GL$1,$BH$2:$BR$2,$BH123:$BR123,0),0)</f>
        <v>#REF!</v>
      </c>
      <c r="GM123" s="26">
        <f>IF(GM$2=InputTable[[#This Row],[Delivery Date]],_xlfn.XLOOKUP(GM$1,$BH$2:$BR$2,$BH123:$BR123,0),0)</f>
        <v>0</v>
      </c>
      <c r="GN123" s="26">
        <f>IF(GN$2=InputTable[[#This Row],[Delivery Date]],_xlfn.XLOOKUP(GN$1,$BH$2:$BR$2,$BH123:$BR123,0),0)</f>
        <v>0</v>
      </c>
      <c r="GO123" s="26">
        <f>IF(GO$2=InputTable[[#This Row],[Delivery Date]],_xlfn.XLOOKUP(GO$1,$BH$2:$BR$2,$BH123:$BR123,0),0)</f>
        <v>0</v>
      </c>
      <c r="GP123" s="26">
        <f>IF(GP$2=InputTable[[#This Row],[Delivery Date]],_xlfn.XLOOKUP(GP$1,$BH$2:$BR$2,$BH123:$BR123,0),0)</f>
        <v>0</v>
      </c>
      <c r="GQ123" s="26">
        <f>IF(GQ$2=InputTable[[#This Row],[Delivery Date]],_xlfn.XLOOKUP(GQ$1,$BH$2:$BR$2,$BH123:$BR123,0),0)</f>
        <v>0</v>
      </c>
      <c r="GR123" s="26">
        <f>IF(GR$2=InputTable[[#This Row],[Delivery Date]],_xlfn.XLOOKUP(GR$1,$BH$2:$BR$2,$BH123:$BR123,0),0)</f>
        <v>0</v>
      </c>
      <c r="GS123" s="26">
        <f>IF(GS$2=InputTable[[#This Row],[Delivery Date]],_xlfn.XLOOKUP(GS$1,$BH$2:$BR$2,$BH123:$BR123,0),0)</f>
        <v>0</v>
      </c>
      <c r="GT123" s="26">
        <f>IF(GT$2=InputTable[[#This Row],[Delivery Date]],_xlfn.XLOOKUP(GT$1,$BH$2:$BR$2,$BH123:$BR123,0),0)</f>
        <v>0</v>
      </c>
      <c r="GV123" s="26" t="e">
        <f>IF(GV$2=InputTable[[#This Row],[Delivery Date]],_xlfn.XLOOKUP(GV$1,$BH$2:$BR$2,$BH123:$BR123,0),0)</f>
        <v>#REF!</v>
      </c>
      <c r="GW123" s="26">
        <f>IF(GW$2=InputTable[[#This Row],[Delivery Date]],_xlfn.XLOOKUP(GW$1,$BH$2:$BR$2,$BH123:$BR123,0),0)</f>
        <v>0</v>
      </c>
      <c r="GX123" s="26">
        <f>IF(GX$2=InputTable[[#This Row],[Delivery Date]],_xlfn.XLOOKUP(GX$1,$BH$2:$BR$2,$BH123:$BR123,0),0)</f>
        <v>0</v>
      </c>
      <c r="GY123" s="26">
        <f>IF(GY$2=InputTable[[#This Row],[Delivery Date]],_xlfn.XLOOKUP(GY$1,$BH$2:$BR$2,$BH123:$BR123,0),0)</f>
        <v>0</v>
      </c>
      <c r="GZ123" s="26">
        <f>IF(GZ$2=InputTable[[#This Row],[Delivery Date]],_xlfn.XLOOKUP(GZ$1,$BH$2:$BR$2,$BH123:$BR123,0),0)</f>
        <v>0</v>
      </c>
      <c r="HA123" s="26">
        <f>IF(HA$2=InputTable[[#This Row],[Delivery Date]],_xlfn.XLOOKUP(HA$1,$BH$2:$BR$2,$BH123:$BR123,0),0)</f>
        <v>0</v>
      </c>
      <c r="HB123" s="26">
        <f>IF(HB$2=InputTable[[#This Row],[Delivery Date]],_xlfn.XLOOKUP(HB$1,$BH$2:$BR$2,$BH123:$BR123,0),0)</f>
        <v>0</v>
      </c>
      <c r="HC123" s="26">
        <f>IF(HC$2=InputTable[[#This Row],[Delivery Date]],_xlfn.XLOOKUP(HC$1,$BH$2:$BR$2,$BH123:$BR123,0),0)</f>
        <v>0</v>
      </c>
      <c r="HD123" s="26">
        <f>IF(HD$2=InputTable[[#This Row],[Delivery Date]],_xlfn.XLOOKUP(HD$1,$BH$2:$BR$2,$BH123:$BR123,0),0)</f>
        <v>0</v>
      </c>
      <c r="HF123" s="26" t="e">
        <f>IF(HF$2=InputTable[[#This Row],[Delivery Date]],_xlfn.XLOOKUP(HF$1,$BH$2:$BR$2,$BH123:$BR123,0),0)</f>
        <v>#REF!</v>
      </c>
      <c r="HG123" s="26">
        <f>IF(HG$2=InputTable[[#This Row],[Delivery Date]],_xlfn.XLOOKUP(HG$1,$BH$2:$BR$2,$BH123:$BR123,0),0)</f>
        <v>0</v>
      </c>
      <c r="HH123" s="26">
        <f>IF(HH$2=InputTable[[#This Row],[Delivery Date]],_xlfn.XLOOKUP(HH$1,$BH$2:$BR$2,$BH123:$BR123,0),0)</f>
        <v>0</v>
      </c>
      <c r="HI123" s="26">
        <f>IF(HI$2=InputTable[[#This Row],[Delivery Date]],_xlfn.XLOOKUP(HI$1,$BH$2:$BR$2,$BH123:$BR123,0),0)</f>
        <v>0</v>
      </c>
      <c r="HJ123" s="26">
        <f>IF(HJ$2=InputTable[[#This Row],[Delivery Date]],_xlfn.XLOOKUP(HJ$1,$BH$2:$BR$2,$BH123:$BR123,0),0)</f>
        <v>0</v>
      </c>
      <c r="HK123" s="26">
        <f>IF(HK$2=InputTable[[#This Row],[Delivery Date]],_xlfn.XLOOKUP(HK$1,$BH$2:$BR$2,$BH123:$BR123,0),0)</f>
        <v>0</v>
      </c>
      <c r="HL123" s="26">
        <f>IF(HL$2=InputTable[[#This Row],[Delivery Date]],_xlfn.XLOOKUP(HL$1,$BH$2:$BR$2,$BH123:$BR123,0),0)</f>
        <v>0</v>
      </c>
      <c r="HM123" s="26">
        <f>IF(HM$2=InputTable[[#This Row],[Delivery Date]],_xlfn.XLOOKUP(HM$1,$BH$2:$BR$2,$BH123:$BR123,0),0)</f>
        <v>0</v>
      </c>
      <c r="HN123" s="26">
        <f>IF(HN$2=InputTable[[#This Row],[Delivery Date]],_xlfn.XLOOKUP(HN$1,$BH$2:$BR$2,$BH123:$BR123,0),0)</f>
        <v>0</v>
      </c>
      <c r="HP123" s="26" t="e">
        <f>IF(HP$2=InputTable[[#This Row],[Delivery Date]],_xlfn.XLOOKUP(HP$1,$BH$2:$BR$2,$BH123:$BR123,0),0)</f>
        <v>#REF!</v>
      </c>
      <c r="HQ123" s="26">
        <f>IF(HQ$2=InputTable[[#This Row],[Delivery Date]],_xlfn.XLOOKUP(HQ$1,$BH$2:$BR$2,$BH123:$BR123,0),0)</f>
        <v>0</v>
      </c>
      <c r="HR123" s="26">
        <f>IF(HR$2=InputTable[[#This Row],[Delivery Date]],_xlfn.XLOOKUP(HR$1,$BH$2:$BR$2,$BH123:$BR123,0),0)</f>
        <v>0</v>
      </c>
      <c r="HS123" s="26">
        <f>IF(HS$2=InputTable[[#This Row],[Delivery Date]],_xlfn.XLOOKUP(HS$1,$BH$2:$BR$2,$BH123:$BR123,0),0)</f>
        <v>0</v>
      </c>
      <c r="HT123" s="26">
        <f>IF(HT$2=InputTable[[#This Row],[Delivery Date]],_xlfn.XLOOKUP(HT$1,$BH$2:$BR$2,$BH123:$BR123,0),0)</f>
        <v>0</v>
      </c>
      <c r="HU123" s="26">
        <f>IF(HU$2=InputTable[[#This Row],[Delivery Date]],_xlfn.XLOOKUP(HU$1,$BH$2:$BR$2,$BH123:$BR123,0),0)</f>
        <v>0</v>
      </c>
      <c r="HV123" s="26">
        <f>IF(HV$2=InputTable[[#This Row],[Delivery Date]],_xlfn.XLOOKUP(HV$1,$BH$2:$BR$2,$BH123:$BR123,0),0)</f>
        <v>0</v>
      </c>
      <c r="HW123" s="26">
        <f>IF(HW$2=InputTable[[#This Row],[Delivery Date]],_xlfn.XLOOKUP(HW$1,$BH$2:$BR$2,$BH123:$BR123,0),0)</f>
        <v>0</v>
      </c>
      <c r="HX123" s="26">
        <f>IF(HX$2=InputTable[[#This Row],[Delivery Date]],_xlfn.XLOOKUP(HX$1,$BH$2:$BR$2,$BH123:$BR123,0),0)</f>
        <v>0</v>
      </c>
      <c r="HZ123" s="26" t="e">
        <f>IF(HZ$2=InputTable[[#This Row],[Delivery Date]],_xlfn.XLOOKUP(HZ$1,$BH$2:$BR$2,$BH123:$BR123,0),0)</f>
        <v>#REF!</v>
      </c>
      <c r="IA123" s="26">
        <f>IF(IA$2=InputTable[[#This Row],[Delivery Date]],_xlfn.XLOOKUP(IA$1,$BH$2:$BR$2,$BH123:$BR123,0),0)</f>
        <v>0</v>
      </c>
      <c r="IB123" s="26">
        <f>IF(IB$2=InputTable[[#This Row],[Delivery Date]],_xlfn.XLOOKUP(IB$1,$BH$2:$BR$2,$BH123:$BR123,0),0)</f>
        <v>0</v>
      </c>
      <c r="IC123" s="26">
        <f>IF(IC$2=InputTable[[#This Row],[Delivery Date]],_xlfn.XLOOKUP(IC$1,$BH$2:$BR$2,$BH123:$BR123,0),0)</f>
        <v>0</v>
      </c>
      <c r="ID123" s="26">
        <f>IF(ID$2=InputTable[[#This Row],[Delivery Date]],_xlfn.XLOOKUP(ID$1,$BH$2:$BR$2,$BH123:$BR123,0),0)</f>
        <v>0</v>
      </c>
      <c r="IE123" s="26">
        <f>IF(IE$2=InputTable[[#This Row],[Delivery Date]],_xlfn.XLOOKUP(IE$1,$BH$2:$BR$2,$BH123:$BR123,0),0)</f>
        <v>0</v>
      </c>
      <c r="IF123" s="26">
        <f>IF(IF$2=InputTable[[#This Row],[Delivery Date]],_xlfn.XLOOKUP(IF$1,$BH$2:$BR$2,$BH123:$BR123,0),0)</f>
        <v>0</v>
      </c>
      <c r="IG123" s="26">
        <f>IF(IG$2=InputTable[[#This Row],[Delivery Date]],_xlfn.XLOOKUP(IG$1,$BH$2:$BR$2,$BH123:$BR123,0),0)</f>
        <v>0</v>
      </c>
      <c r="IH123" s="26">
        <f>IF(IH$2=InputTable[[#This Row],[Delivery Date]],_xlfn.XLOOKUP(IH$1,$BH$2:$BR$2,$BH123:$BR123,0),0)</f>
        <v>0</v>
      </c>
      <c r="IJ123" s="26" t="e">
        <f>IF(IJ$2=InputTable[[#This Row],[Delivery Date]],_xlfn.XLOOKUP(IJ$1,$BH$2:$BR$2,$BH123:$BR123,0),0)</f>
        <v>#REF!</v>
      </c>
      <c r="IK123" s="26">
        <f>IF(IK$2=InputTable[[#This Row],[Delivery Date]],_xlfn.XLOOKUP(IK$1,$BH$2:$BR$2,$BH123:$BR123,0),0)</f>
        <v>0</v>
      </c>
      <c r="IL123" s="26">
        <f>IF(IL$2=InputTable[[#This Row],[Delivery Date]],_xlfn.XLOOKUP(IL$1,$BH$2:$BR$2,$BH123:$BR123,0),0)</f>
        <v>0</v>
      </c>
      <c r="IM123" s="26">
        <f>IF(IM$2=InputTable[[#This Row],[Delivery Date]],_xlfn.XLOOKUP(IM$1,$BH$2:$BR$2,$BH123:$BR123,0),0)</f>
        <v>0</v>
      </c>
      <c r="IN123" s="26">
        <f>IF(IN$2=InputTable[[#This Row],[Delivery Date]],_xlfn.XLOOKUP(IN$1,$BH$2:$BR$2,$BH123:$BR123,0),0)</f>
        <v>0</v>
      </c>
      <c r="IO123" s="26">
        <f>IF(IO$2=InputTable[[#This Row],[Delivery Date]],_xlfn.XLOOKUP(IO$1,$BH$2:$BR$2,$BH123:$BR123,0),0)</f>
        <v>0</v>
      </c>
      <c r="IP123" s="26">
        <f>IF(IP$2=InputTable[[#This Row],[Delivery Date]],_xlfn.XLOOKUP(IP$1,$BH$2:$BR$2,$BH123:$BR123,0),0)</f>
        <v>0</v>
      </c>
      <c r="IQ123" s="26">
        <f>IF(IQ$2=InputTable[[#This Row],[Delivery Date]],_xlfn.XLOOKUP(IQ$1,$BH$2:$BR$2,$BH123:$BR123,0),0)</f>
        <v>0</v>
      </c>
      <c r="IR123" s="26">
        <f>IF(IR$2=InputTable[[#This Row],[Delivery Date]],_xlfn.XLOOKUP(IR$1,$BH$2:$BR$2,$BH123:$BR123,0),0)</f>
        <v>0</v>
      </c>
      <c r="IT123" s="26" t="e">
        <f>IF(IT$2=InputTable[[#This Row],[Delivery Date]],_xlfn.XLOOKUP(IT$1,$BH$2:$BR$2,$BH123:$BR123,0),0)</f>
        <v>#REF!</v>
      </c>
      <c r="IU123" s="26">
        <f>IF(IU$2=InputTable[[#This Row],[Delivery Date]],_xlfn.XLOOKUP(IU$1,$BH$2:$BR$2,$BH123:$BR123,0),0)</f>
        <v>0</v>
      </c>
      <c r="IV123" s="26">
        <f>IF(IV$2=InputTable[[#This Row],[Delivery Date]],_xlfn.XLOOKUP(IV$1,$BH$2:$BR$2,$BH123:$BR123,0),0)</f>
        <v>0</v>
      </c>
      <c r="IW123" s="26">
        <f>IF(IW$2=InputTable[[#This Row],[Delivery Date]],_xlfn.XLOOKUP(IW$1,$BH$2:$BR$2,$BH123:$BR123,0),0)</f>
        <v>0</v>
      </c>
      <c r="IX123" s="26">
        <f>IF(IX$2=InputTable[[#This Row],[Delivery Date]],_xlfn.XLOOKUP(IX$1,$BH$2:$BR$2,$BH123:$BR123,0),0)</f>
        <v>0</v>
      </c>
      <c r="IY123" s="26">
        <f>IF(IY$2=InputTable[[#This Row],[Delivery Date]],_xlfn.XLOOKUP(IY$1,$BH$2:$BR$2,$BH123:$BR123,0),0)</f>
        <v>0</v>
      </c>
      <c r="IZ123" s="26">
        <f>IF(IZ$2=InputTable[[#This Row],[Delivery Date]],_xlfn.XLOOKUP(IZ$1,$BH$2:$BR$2,$BH123:$BR123,0),0)</f>
        <v>0</v>
      </c>
      <c r="JA123" s="26">
        <f>IF(JA$2=InputTable[[#This Row],[Delivery Date]],_xlfn.XLOOKUP(JA$1,$BH$2:$BR$2,$BH123:$BR123,0),0)</f>
        <v>0</v>
      </c>
      <c r="JB123" s="26">
        <f>IF(JB$2=InputTable[[#This Row],[Delivery Date]],_xlfn.XLOOKUP(JB$1,$BH$2:$BR$2,$BH123:$BR123,0),0)</f>
        <v>0</v>
      </c>
      <c r="JD123" s="26" t="e">
        <f>IF(JD$2=InputTable[[#This Row],[Delivery Date]],_xlfn.XLOOKUP(JD$1,$BH$2:$BR$2,$BH123:$BR123,0),0)</f>
        <v>#REF!</v>
      </c>
      <c r="JE123" s="26">
        <f>IF(JE$2=InputTable[[#This Row],[Delivery Date]],_xlfn.XLOOKUP(JE$1,$BH$2:$BR$2,$BH123:$BR123,0),0)</f>
        <v>0</v>
      </c>
      <c r="JF123" s="26">
        <f>IF(JF$2=InputTable[[#This Row],[Delivery Date]],_xlfn.XLOOKUP(JF$1,$BH$2:$BR$2,$BH123:$BR123,0),0)</f>
        <v>0</v>
      </c>
      <c r="JG123" s="26">
        <f>IF(JG$2=InputTable[[#This Row],[Delivery Date]],_xlfn.XLOOKUP(JG$1,$BH$2:$BR$2,$BH123:$BR123,0),0)</f>
        <v>0</v>
      </c>
      <c r="JH123" s="26">
        <f>IF(JH$2=InputTable[[#This Row],[Delivery Date]],_xlfn.XLOOKUP(JH$1,$BH$2:$BR$2,$BH123:$BR123,0),0)</f>
        <v>0</v>
      </c>
      <c r="JI123" s="26">
        <f>IF(JI$2=InputTable[[#This Row],[Delivery Date]],_xlfn.XLOOKUP(JI$1,$BH$2:$BR$2,$BH123:$BR123,0),0)</f>
        <v>0</v>
      </c>
      <c r="JJ123" s="26">
        <f>IF(JJ$2=InputTable[[#This Row],[Delivery Date]],_xlfn.XLOOKUP(JJ$1,$BH$2:$BR$2,$BH123:$BR123,0),0)</f>
        <v>0</v>
      </c>
      <c r="JK123" s="26">
        <f>IF(JK$2=InputTable[[#This Row],[Delivery Date]],_xlfn.XLOOKUP(JK$1,$BH$2:$BR$2,$BH123:$BR123,0),0)</f>
        <v>0</v>
      </c>
      <c r="JL123" s="26">
        <f>IF(JL$2=InputTable[[#This Row],[Delivery Date]],_xlfn.XLOOKUP(JL$1,$BH$2:$BR$2,$BH123:$BR123,0),0)</f>
        <v>0</v>
      </c>
      <c r="JN123" s="26" t="e">
        <f>IF(JN$2=InputTable[[#This Row],[Delivery Date]],_xlfn.XLOOKUP(JN$1,$BH$2:$BR$2,$BH123:$BR123,0),0)</f>
        <v>#REF!</v>
      </c>
      <c r="JO123" s="26">
        <f>IF(JO$2=InputTable[[#This Row],[Delivery Date]],_xlfn.XLOOKUP(JO$1,$BH$2:$BR$2,$BH123:$BR123,0),0)</f>
        <v>0</v>
      </c>
      <c r="JP123" s="26">
        <f>IF(JP$2=InputTable[[#This Row],[Delivery Date]],_xlfn.XLOOKUP(JP$1,$BH$2:$BR$2,$BH123:$BR123,0),0)</f>
        <v>0</v>
      </c>
      <c r="JQ123" s="26">
        <f>IF(JQ$2=InputTable[[#This Row],[Delivery Date]],_xlfn.XLOOKUP(JQ$1,$BH$2:$BR$2,$BH123:$BR123,0),0)</f>
        <v>0</v>
      </c>
      <c r="JR123" s="26">
        <f>IF(JR$2=InputTable[[#This Row],[Delivery Date]],_xlfn.XLOOKUP(JR$1,$BH$2:$BR$2,$BH123:$BR123,0),0)</f>
        <v>0</v>
      </c>
      <c r="JS123" s="26">
        <f>IF(JS$2=InputTable[[#This Row],[Delivery Date]],_xlfn.XLOOKUP(JS$1,$BH$2:$BR$2,$BH123:$BR123,0),0)</f>
        <v>0</v>
      </c>
      <c r="JT123" s="26">
        <f>IF(JT$2=InputTable[[#This Row],[Delivery Date]],_xlfn.XLOOKUP(JT$1,$BH$2:$BR$2,$BH123:$BR123,0),0)</f>
        <v>0</v>
      </c>
      <c r="JU123" s="26">
        <f>IF(JU$2=InputTable[[#This Row],[Delivery Date]],_xlfn.XLOOKUP(JU$1,$BH$2:$BR$2,$BH123:$BR123,0),0)</f>
        <v>0</v>
      </c>
      <c r="JV123" s="26">
        <f>IF(JV$2=InputTable[[#This Row],[Delivery Date]],_xlfn.XLOOKUP(JV$1,$BH$2:$BR$2,$BH123:$BR123,0),0)</f>
        <v>0</v>
      </c>
      <c r="JX123" s="26" t="e">
        <f>IF(JX$2=InputTable[[#This Row],[Delivery Date]],_xlfn.XLOOKUP(JX$1,$BH$2:$BR$2,$BH123:$BR123,0),0)</f>
        <v>#REF!</v>
      </c>
      <c r="JY123" s="26">
        <f>IF(JY$2=InputTable[[#This Row],[Delivery Date]],_xlfn.XLOOKUP(JY$1,$BH$2:$BR$2,$BH123:$BR123,0),0)</f>
        <v>0</v>
      </c>
      <c r="JZ123" s="26">
        <f>IF(JZ$2=InputTable[[#This Row],[Delivery Date]],_xlfn.XLOOKUP(JZ$1,$BH$2:$BR$2,$BH123:$BR123,0),0)</f>
        <v>0</v>
      </c>
      <c r="KA123" s="26">
        <f>IF(KA$2=InputTable[[#This Row],[Delivery Date]],_xlfn.XLOOKUP(KA$1,$BH$2:$BR$2,$BH123:$BR123,0),0)</f>
        <v>0</v>
      </c>
      <c r="KB123" s="26">
        <f>IF(KB$2=InputTable[[#This Row],[Delivery Date]],_xlfn.XLOOKUP(KB$1,$BH$2:$BR$2,$BH123:$BR123,0),0)</f>
        <v>0</v>
      </c>
      <c r="KC123" s="26">
        <f>IF(KC$2=InputTable[[#This Row],[Delivery Date]],_xlfn.XLOOKUP(KC$1,$BH$2:$BR$2,$BH123:$BR123,0),0)</f>
        <v>0</v>
      </c>
      <c r="KD123" s="26">
        <f>IF(KD$2=InputTable[[#This Row],[Delivery Date]],_xlfn.XLOOKUP(KD$1,$BH$2:$BR$2,$BH123:$BR123,0),0)</f>
        <v>0</v>
      </c>
      <c r="KE123" s="26">
        <f>IF(KE$2=InputTable[[#This Row],[Delivery Date]],_xlfn.XLOOKUP(KE$1,$BH$2:$BR$2,$BH123:$BR123,0),0)</f>
        <v>0</v>
      </c>
      <c r="KF123" s="26">
        <f>IF(KF$2=InputTable[[#This Row],[Delivery Date]],_xlfn.XLOOKUP(KF$1,$BH$2:$BR$2,$BH123:$BR123,0),0)</f>
        <v>0</v>
      </c>
    </row>
    <row r="124" spans="1:292" ht="39.6" customHeight="1" x14ac:dyDescent="0.25">
      <c r="A124" s="141"/>
      <c r="B124" s="141"/>
      <c r="C124" s="92"/>
      <c r="D124" s="92"/>
      <c r="E124" s="93"/>
      <c r="F124" s="92"/>
      <c r="G124" s="92"/>
      <c r="H124" s="92"/>
      <c r="I124" s="92"/>
      <c r="J124" s="122"/>
      <c r="K124" s="95" t="e">
        <f>VLOOKUP((InputTable[[#This Row],[Starting Date]]&amp; " - " &amp;InputTable[[#This Row],[Delivery Date]]),'System List'!$F$40:$H$83,2,FALSE)</f>
        <v>#N/A</v>
      </c>
      <c r="L124" s="95" t="e">
        <f>VLOOKUP(InputTable[[#This Row],[Duration]],Duration,2,FALSE)</f>
        <v>#N/A</v>
      </c>
      <c r="M124" s="122"/>
      <c r="N124" s="92"/>
      <c r="O124" s="92"/>
      <c r="P124" s="92"/>
      <c r="Q124" s="92"/>
      <c r="R124" s="92"/>
      <c r="S124" s="92"/>
      <c r="T124" s="95"/>
      <c r="U124" s="138"/>
      <c r="V124" s="92"/>
      <c r="W124" s="92"/>
      <c r="X124" s="92"/>
      <c r="Y124" s="92"/>
      <c r="Z124" s="92"/>
      <c r="AA124" s="92"/>
      <c r="AB124" s="92"/>
      <c r="AC124" s="92"/>
      <c r="AD124" s="92">
        <f>COUNTA(InputTable[[#This Row],[CORPHRFIN]:[SALES]])</f>
        <v>0</v>
      </c>
      <c r="AE124" s="88" cm="1">
        <f t="array" ref="AE124">SUM(
_xlfn.XLOOKUP(InputTable[[#This Row],[CORPHRFIN]:[SALES]],'System List'!$F$4:$F$7,'System List'!$H$4:$H$7,0))</f>
        <v>0</v>
      </c>
      <c r="AF124" s="140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88" cm="1">
        <f t="array" ref="AR124">SUM(
_xlfn.XLOOKUP(InputTable[[#This Row],[Impact on - CIAL]:[Impact on - STRAT]],'System List'!$F$4:$F$7,'System List'!$H$4:$H$7,0))</f>
        <v>0</v>
      </c>
      <c r="AS124" s="88" t="e">
        <f>VLOOKUP(InputTable[[#This Row],[Duration]],Duration,2,FALSE)+InputTable[[#This Row],[Resource Score]]</f>
        <v>#N/A</v>
      </c>
      <c r="AT12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4" s="24" t="e">
        <f>InputTable[[#This Row],[Value Score]]/InputTable[[#This Row],[EFFORT SCORE]]*100</f>
        <v>#N/A</v>
      </c>
      <c r="AV124" s="25"/>
      <c r="AW124" s="25"/>
      <c r="AX124" s="208"/>
      <c r="AY124" s="25"/>
      <c r="AZ124" s="209">
        <v>0</v>
      </c>
      <c r="BA124" s="209">
        <v>0</v>
      </c>
      <c r="BB124" s="209"/>
      <c r="BC124" s="189"/>
      <c r="BD124" s="188"/>
      <c r="BE124" s="188"/>
      <c r="BF124" s="70"/>
      <c r="BH124" s="2">
        <f>IFERROR(VLOOKUP(InputTable[[#This Row],[Impact on - CIAL]],'System List'!$F$4:$H$7,3,FALSE),0)</f>
        <v>0</v>
      </c>
      <c r="BI124" s="2">
        <f>IFERROR(VLOOKUP(InputTable[[#This Row],[Impact on - COM]],'System List'!$F$4:$H$7,3,FALSE),0)</f>
        <v>0</v>
      </c>
      <c r="BJ124" s="2">
        <f>IFERROR(VLOOKUP(InputTable[[#This Row],[Impact on - FIN]],'System List'!$F$4:$H$7,3,FALSE),0)</f>
        <v>0</v>
      </c>
      <c r="BK124" s="2">
        <f>IFERROR(VLOOKUP(InputTable[[#This Row],[Impact on - GEN SEC]],'System List'!$F$4:$H$7,3,FALSE),0)</f>
        <v>0</v>
      </c>
      <c r="BL124" s="2">
        <f>IFERROR(VLOOKUP(InputTable[[#This Row],[Impact on - HR]],'System List'!$F$4:$H$7,3,FALSE),0)</f>
        <v>0</v>
      </c>
      <c r="BM124" s="2">
        <f>IFERROR(VLOOKUP(InputTable[[#This Row],[Impact on - IS]],'System List'!$F$4:$H$7,3,FALSE),0)</f>
        <v>0</v>
      </c>
      <c r="BN124" s="2">
        <f>IFERROR(VLOOKUP(InputTable[[#This Row],[Impact on - OPS]],'System List'!$F$4:$H$7,3,FALSE),0)</f>
        <v>0</v>
      </c>
      <c r="BO124" s="2">
        <f>IFERROR(VLOOKUP(InputTable[[#This Row],[Impact on - ROLL STOCK]],'System List'!$F$4:$H$7,3,FALSE),0)</f>
        <v>0</v>
      </c>
      <c r="BP124" s="2">
        <f>IFERROR(VLOOKUP(InputTable[[#This Row],[Impact on - SAFETY]],'System List'!$F$4:$H$7,3,FALSE),0)</f>
        <v>0</v>
      </c>
      <c r="BQ124" s="2">
        <f>IFERROR(VLOOKUP(InputTable[[#This Row],[Impact on - STATION]],'System List'!$F$4:$H$7,3,FALSE),0)</f>
        <v>0</v>
      </c>
      <c r="BR124" s="2">
        <f>IFERROR(VLOOKUP(InputTable[[#This Row],[Impact on - STRAT]],'System List'!$F$4:$H$7,3,FALSE),0)</f>
        <v>0</v>
      </c>
      <c r="BT124" s="2">
        <f>IFERROR(VLOOKUP(InputTable[[#This Row],[CORPHRFIN]],'System List'!$F$4:$H$7,3,FALSE),0)</f>
        <v>0</v>
      </c>
      <c r="BU124" s="2">
        <f>IFERROR(VLOOKUP(InputTable[[#This Row],[CUST]],'System List'!$F$4:$H$7,3,FALSE),0)</f>
        <v>0</v>
      </c>
      <c r="BV124" s="2">
        <f>IFERROR(VLOOKUP(InputTable[[#This Row],[CYBER]],'System List'!$F$4:$H$7,3,FALSE),0)</f>
        <v>0</v>
      </c>
      <c r="BW124" s="2">
        <f>IFERROR(VLOOKUP(InputTable[[#This Row],[DATA]],'System List'!$F$4:$H$7,3,FALSE),0)</f>
        <v>0</v>
      </c>
      <c r="BX124" s="2">
        <f>IFERROR(VLOOKUP(InputTable[[#This Row],[INFRA]],'System List'!$F$4:$H$7,3,FALSE),0)</f>
        <v>0</v>
      </c>
      <c r="BY124" s="2">
        <f>IFERROR(VLOOKUP(InputTable[[#This Row],[OPERATIONS]],'System List'!$F$4:$H$7,3,FALSE),0)</f>
        <v>0</v>
      </c>
      <c r="BZ124" s="2">
        <f>IFERROR(VLOOKUP(InputTable[[#This Row],[PMO]],'System List'!$F$4:$H$7,3,FALSE),0)</f>
        <v>0</v>
      </c>
      <c r="CA124" s="2">
        <f>IFERROR(VLOOKUP(InputTable[[#This Row],[SALES]],'System List'!$F$4:$H$7,3,FALSE),0)</f>
        <v>0</v>
      </c>
      <c r="CC124" s="2" cm="1">
        <f t="array" ref="CC12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4" s="2" cm="1">
        <f t="array" ref="CD12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4" s="2" cm="1">
        <f t="array" ref="CE12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4" s="2" cm="1">
        <f t="array" ref="CF12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4" s="2" cm="1">
        <f t="array" ref="CG12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4" s="2" cm="1">
        <f t="array" ref="CH12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4" s="2" cm="1">
        <f t="array" ref="CI12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4" s="2" cm="1">
        <f t="array" ref="CJ12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4" s="2" cm="1">
        <f t="array" ref="CK12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4" s="26">
        <f t="shared" si="307"/>
        <v>0</v>
      </c>
      <c r="CY124" s="26">
        <f t="shared" si="308"/>
        <v>0</v>
      </c>
      <c r="CZ124" s="26">
        <f t="shared" si="309"/>
        <v>0</v>
      </c>
      <c r="DA124" s="26">
        <f t="shared" si="310"/>
        <v>0</v>
      </c>
      <c r="DB124" s="26">
        <f t="shared" si="311"/>
        <v>0</v>
      </c>
      <c r="DC124" s="26">
        <f t="shared" si="312"/>
        <v>0</v>
      </c>
      <c r="DD124" s="26">
        <f t="shared" si="313"/>
        <v>0</v>
      </c>
      <c r="DE124" s="26">
        <f t="shared" si="314"/>
        <v>0</v>
      </c>
      <c r="DF124" s="26">
        <f t="shared" si="315"/>
        <v>0</v>
      </c>
      <c r="DH124" s="26">
        <f t="shared" si="316"/>
        <v>0</v>
      </c>
      <c r="DI124" s="26">
        <f t="shared" si="317"/>
        <v>0</v>
      </c>
      <c r="DJ124" s="26">
        <f t="shared" si="318"/>
        <v>0</v>
      </c>
      <c r="DK124" s="26">
        <f t="shared" si="319"/>
        <v>0</v>
      </c>
      <c r="DL124" s="26">
        <f t="shared" si="320"/>
        <v>0</v>
      </c>
      <c r="DM124" s="26">
        <f t="shared" si="321"/>
        <v>0</v>
      </c>
      <c r="DN124" s="26">
        <f t="shared" si="322"/>
        <v>0</v>
      </c>
      <c r="DO124" s="26">
        <f t="shared" si="323"/>
        <v>0</v>
      </c>
      <c r="DP124" s="26">
        <f t="shared" si="324"/>
        <v>0</v>
      </c>
      <c r="DR124" s="26">
        <f t="shared" si="325"/>
        <v>0</v>
      </c>
      <c r="DS124" s="26">
        <f t="shared" si="326"/>
        <v>0</v>
      </c>
      <c r="DT124" s="26">
        <f t="shared" si="327"/>
        <v>0</v>
      </c>
      <c r="DU124" s="26">
        <f t="shared" si="328"/>
        <v>0</v>
      </c>
      <c r="DV124" s="26">
        <f t="shared" si="329"/>
        <v>0</v>
      </c>
      <c r="DW124" s="26">
        <f t="shared" si="330"/>
        <v>0</v>
      </c>
      <c r="DX124" s="26">
        <f t="shared" si="331"/>
        <v>0</v>
      </c>
      <c r="DY124" s="26">
        <f t="shared" si="332"/>
        <v>0</v>
      </c>
      <c r="DZ124" s="26">
        <f t="shared" si="333"/>
        <v>0</v>
      </c>
      <c r="EB124" s="26">
        <f t="shared" si="334"/>
        <v>0</v>
      </c>
      <c r="EC124" s="26">
        <f t="shared" si="335"/>
        <v>0</v>
      </c>
      <c r="ED124" s="26">
        <f t="shared" si="336"/>
        <v>0</v>
      </c>
      <c r="EE124" s="26">
        <f t="shared" si="337"/>
        <v>0</v>
      </c>
      <c r="EF124" s="26">
        <f t="shared" si="338"/>
        <v>0</v>
      </c>
      <c r="EG124" s="26">
        <f t="shared" si="339"/>
        <v>0</v>
      </c>
      <c r="EH124" s="26">
        <f t="shared" si="340"/>
        <v>0</v>
      </c>
      <c r="EI124" s="26">
        <f t="shared" si="341"/>
        <v>0</v>
      </c>
      <c r="EJ124" s="26">
        <f t="shared" si="342"/>
        <v>0</v>
      </c>
      <c r="EL124" s="26">
        <f t="shared" si="343"/>
        <v>0</v>
      </c>
      <c r="EM124" s="26">
        <f t="shared" si="344"/>
        <v>0</v>
      </c>
      <c r="EN124" s="26">
        <f t="shared" si="345"/>
        <v>0</v>
      </c>
      <c r="EO124" s="26">
        <f t="shared" si="346"/>
        <v>0</v>
      </c>
      <c r="EP124" s="26">
        <f t="shared" si="347"/>
        <v>0</v>
      </c>
      <c r="EQ124" s="26">
        <f t="shared" si="348"/>
        <v>0</v>
      </c>
      <c r="ER124" s="26">
        <f t="shared" si="349"/>
        <v>0</v>
      </c>
      <c r="ES124" s="26">
        <f t="shared" si="350"/>
        <v>0</v>
      </c>
      <c r="ET124" s="26">
        <f t="shared" si="351"/>
        <v>0</v>
      </c>
      <c r="EV124" s="26">
        <f t="shared" si="352"/>
        <v>0</v>
      </c>
      <c r="EW124" s="26">
        <f t="shared" si="353"/>
        <v>0</v>
      </c>
      <c r="EX124" s="26">
        <f t="shared" si="354"/>
        <v>0</v>
      </c>
      <c r="EY124" s="26">
        <f t="shared" si="355"/>
        <v>0</v>
      </c>
      <c r="EZ124" s="26">
        <f t="shared" si="356"/>
        <v>0</v>
      </c>
      <c r="FA124" s="26">
        <f t="shared" si="357"/>
        <v>0</v>
      </c>
      <c r="FB124" s="26">
        <f t="shared" si="358"/>
        <v>0</v>
      </c>
      <c r="FC124" s="26">
        <f t="shared" si="359"/>
        <v>0</v>
      </c>
      <c r="FD124" s="26">
        <f t="shared" si="360"/>
        <v>0</v>
      </c>
      <c r="FF124" s="26">
        <f t="shared" si="361"/>
        <v>0</v>
      </c>
      <c r="FG124" s="26">
        <f t="shared" si="362"/>
        <v>0</v>
      </c>
      <c r="FH124" s="26">
        <f t="shared" si="363"/>
        <v>0</v>
      </c>
      <c r="FI124" s="26">
        <f t="shared" si="364"/>
        <v>0</v>
      </c>
      <c r="FJ124" s="26">
        <f t="shared" si="365"/>
        <v>0</v>
      </c>
      <c r="FK124" s="26">
        <f t="shared" si="366"/>
        <v>0</v>
      </c>
      <c r="FL124" s="26">
        <f t="shared" si="367"/>
        <v>0</v>
      </c>
      <c r="FM124" s="26">
        <f t="shared" si="368"/>
        <v>0</v>
      </c>
      <c r="FN124" s="26">
        <f t="shared" si="369"/>
        <v>0</v>
      </c>
      <c r="FP124" s="26" t="e">
        <f t="shared" si="370"/>
        <v>#REF!</v>
      </c>
      <c r="FQ124" s="26" t="e">
        <f t="shared" si="371"/>
        <v>#REF!</v>
      </c>
      <c r="FR124" s="26" t="e">
        <f t="shared" si="372"/>
        <v>#REF!</v>
      </c>
      <c r="FS124" s="26" t="e">
        <f t="shared" si="373"/>
        <v>#REF!</v>
      </c>
      <c r="FT124" s="26" t="e">
        <f t="shared" si="374"/>
        <v>#REF!</v>
      </c>
      <c r="FU124" s="26" t="e">
        <f t="shared" si="375"/>
        <v>#REF!</v>
      </c>
      <c r="FV124" s="26" t="e">
        <f t="shared" si="376"/>
        <v>#REF!</v>
      </c>
      <c r="FW124" s="26" t="e">
        <f t="shared" si="377"/>
        <v>#REF!</v>
      </c>
      <c r="FX124" s="26" t="e">
        <f t="shared" si="378"/>
        <v>#REF!</v>
      </c>
      <c r="GB124" s="26" t="e">
        <f>IF(GB$2=InputTable[[#This Row],[Delivery Date]],_xlfn.XLOOKUP(GB$1,$BH$2:$BR$2,$BH124:$BR124,0),0)</f>
        <v>#REF!</v>
      </c>
      <c r="GC124" s="26">
        <f>IF(GC$2=InputTable[[#This Row],[Delivery Date]],_xlfn.XLOOKUP(GC$1,$BH$2:$BR$2,$BH124:$BR124,0),0)</f>
        <v>0</v>
      </c>
      <c r="GD124" s="26">
        <f>IF(GD$2=InputTable[[#This Row],[Delivery Date]],_xlfn.XLOOKUP(GD$1,$BH$2:$BR$2,$BH124:$BR124,0),0)</f>
        <v>0</v>
      </c>
      <c r="GE124" s="26">
        <f>IF(GE$2=InputTable[[#This Row],[Delivery Date]],_xlfn.XLOOKUP(GE$1,$BH$2:$BR$2,$BH124:$BR124,0),0)</f>
        <v>0</v>
      </c>
      <c r="GF124" s="26">
        <f>IF(GF$2=InputTable[[#This Row],[Delivery Date]],_xlfn.XLOOKUP(GF$1,$BH$2:$BR$2,$BH124:$BR124,0),0)</f>
        <v>0</v>
      </c>
      <c r="GG124" s="26">
        <f>IF(GG$2=InputTable[[#This Row],[Delivery Date]],_xlfn.XLOOKUP(GG$1,$BH$2:$BR$2,$BH124:$BR124,0),0)</f>
        <v>0</v>
      </c>
      <c r="GH124" s="26">
        <f>IF(GH$2=InputTable[[#This Row],[Delivery Date]],_xlfn.XLOOKUP(GH$1,$BH$2:$BR$2,$BH124:$BR124,0),0)</f>
        <v>0</v>
      </c>
      <c r="GI124" s="26">
        <f>IF(GI$2=InputTable[[#This Row],[Delivery Date]],_xlfn.XLOOKUP(GI$1,$BH$2:$BR$2,$BH124:$BR124,0),0)</f>
        <v>0</v>
      </c>
      <c r="GJ124" s="26">
        <f>IF(GJ$2=InputTable[[#This Row],[Delivery Date]],_xlfn.XLOOKUP(GJ$1,$BH$2:$BR$2,$BH124:$BR124,0),0)</f>
        <v>0</v>
      </c>
      <c r="GL124" s="26" t="e">
        <f>IF(GL$2=InputTable[[#This Row],[Delivery Date]],_xlfn.XLOOKUP(GL$1,$BH$2:$BR$2,$BH124:$BR124,0),0)</f>
        <v>#REF!</v>
      </c>
      <c r="GM124" s="26">
        <f>IF(GM$2=InputTable[[#This Row],[Delivery Date]],_xlfn.XLOOKUP(GM$1,$BH$2:$BR$2,$BH124:$BR124,0),0)</f>
        <v>0</v>
      </c>
      <c r="GN124" s="26">
        <f>IF(GN$2=InputTable[[#This Row],[Delivery Date]],_xlfn.XLOOKUP(GN$1,$BH$2:$BR$2,$BH124:$BR124,0),0)</f>
        <v>0</v>
      </c>
      <c r="GO124" s="26">
        <f>IF(GO$2=InputTable[[#This Row],[Delivery Date]],_xlfn.XLOOKUP(GO$1,$BH$2:$BR$2,$BH124:$BR124,0),0)</f>
        <v>0</v>
      </c>
      <c r="GP124" s="26">
        <f>IF(GP$2=InputTable[[#This Row],[Delivery Date]],_xlfn.XLOOKUP(GP$1,$BH$2:$BR$2,$BH124:$BR124,0),0)</f>
        <v>0</v>
      </c>
      <c r="GQ124" s="26">
        <f>IF(GQ$2=InputTable[[#This Row],[Delivery Date]],_xlfn.XLOOKUP(GQ$1,$BH$2:$BR$2,$BH124:$BR124,0),0)</f>
        <v>0</v>
      </c>
      <c r="GR124" s="26">
        <f>IF(GR$2=InputTable[[#This Row],[Delivery Date]],_xlfn.XLOOKUP(GR$1,$BH$2:$BR$2,$BH124:$BR124,0),0)</f>
        <v>0</v>
      </c>
      <c r="GS124" s="26">
        <f>IF(GS$2=InputTable[[#This Row],[Delivery Date]],_xlfn.XLOOKUP(GS$1,$BH$2:$BR$2,$BH124:$BR124,0),0)</f>
        <v>0</v>
      </c>
      <c r="GT124" s="26">
        <f>IF(GT$2=InputTable[[#This Row],[Delivery Date]],_xlfn.XLOOKUP(GT$1,$BH$2:$BR$2,$BH124:$BR124,0),0)</f>
        <v>0</v>
      </c>
      <c r="GV124" s="26" t="e">
        <f>IF(GV$2=InputTable[[#This Row],[Delivery Date]],_xlfn.XLOOKUP(GV$1,$BH$2:$BR$2,$BH124:$BR124,0),0)</f>
        <v>#REF!</v>
      </c>
      <c r="GW124" s="26">
        <f>IF(GW$2=InputTable[[#This Row],[Delivery Date]],_xlfn.XLOOKUP(GW$1,$BH$2:$BR$2,$BH124:$BR124,0),0)</f>
        <v>0</v>
      </c>
      <c r="GX124" s="26">
        <f>IF(GX$2=InputTable[[#This Row],[Delivery Date]],_xlfn.XLOOKUP(GX$1,$BH$2:$BR$2,$BH124:$BR124,0),0)</f>
        <v>0</v>
      </c>
      <c r="GY124" s="26">
        <f>IF(GY$2=InputTable[[#This Row],[Delivery Date]],_xlfn.XLOOKUP(GY$1,$BH$2:$BR$2,$BH124:$BR124,0),0)</f>
        <v>0</v>
      </c>
      <c r="GZ124" s="26">
        <f>IF(GZ$2=InputTable[[#This Row],[Delivery Date]],_xlfn.XLOOKUP(GZ$1,$BH$2:$BR$2,$BH124:$BR124,0),0)</f>
        <v>0</v>
      </c>
      <c r="HA124" s="26">
        <f>IF(HA$2=InputTable[[#This Row],[Delivery Date]],_xlfn.XLOOKUP(HA$1,$BH$2:$BR$2,$BH124:$BR124,0),0)</f>
        <v>0</v>
      </c>
      <c r="HB124" s="26">
        <f>IF(HB$2=InputTable[[#This Row],[Delivery Date]],_xlfn.XLOOKUP(HB$1,$BH$2:$BR$2,$BH124:$BR124,0),0)</f>
        <v>0</v>
      </c>
      <c r="HC124" s="26">
        <f>IF(HC$2=InputTable[[#This Row],[Delivery Date]],_xlfn.XLOOKUP(HC$1,$BH$2:$BR$2,$BH124:$BR124,0),0)</f>
        <v>0</v>
      </c>
      <c r="HD124" s="26">
        <f>IF(HD$2=InputTable[[#This Row],[Delivery Date]],_xlfn.XLOOKUP(HD$1,$BH$2:$BR$2,$BH124:$BR124,0),0)</f>
        <v>0</v>
      </c>
      <c r="HF124" s="26" t="e">
        <f>IF(HF$2=InputTable[[#This Row],[Delivery Date]],_xlfn.XLOOKUP(HF$1,$BH$2:$BR$2,$BH124:$BR124,0),0)</f>
        <v>#REF!</v>
      </c>
      <c r="HG124" s="26">
        <f>IF(HG$2=InputTable[[#This Row],[Delivery Date]],_xlfn.XLOOKUP(HG$1,$BH$2:$BR$2,$BH124:$BR124,0),0)</f>
        <v>0</v>
      </c>
      <c r="HH124" s="26">
        <f>IF(HH$2=InputTable[[#This Row],[Delivery Date]],_xlfn.XLOOKUP(HH$1,$BH$2:$BR$2,$BH124:$BR124,0),0)</f>
        <v>0</v>
      </c>
      <c r="HI124" s="26">
        <f>IF(HI$2=InputTable[[#This Row],[Delivery Date]],_xlfn.XLOOKUP(HI$1,$BH$2:$BR$2,$BH124:$BR124,0),0)</f>
        <v>0</v>
      </c>
      <c r="HJ124" s="26">
        <f>IF(HJ$2=InputTable[[#This Row],[Delivery Date]],_xlfn.XLOOKUP(HJ$1,$BH$2:$BR$2,$BH124:$BR124,0),0)</f>
        <v>0</v>
      </c>
      <c r="HK124" s="26">
        <f>IF(HK$2=InputTable[[#This Row],[Delivery Date]],_xlfn.XLOOKUP(HK$1,$BH$2:$BR$2,$BH124:$BR124,0),0)</f>
        <v>0</v>
      </c>
      <c r="HL124" s="26">
        <f>IF(HL$2=InputTable[[#This Row],[Delivery Date]],_xlfn.XLOOKUP(HL$1,$BH$2:$BR$2,$BH124:$BR124,0),0)</f>
        <v>0</v>
      </c>
      <c r="HM124" s="26">
        <f>IF(HM$2=InputTable[[#This Row],[Delivery Date]],_xlfn.XLOOKUP(HM$1,$BH$2:$BR$2,$BH124:$BR124,0),0)</f>
        <v>0</v>
      </c>
      <c r="HN124" s="26">
        <f>IF(HN$2=InputTable[[#This Row],[Delivery Date]],_xlfn.XLOOKUP(HN$1,$BH$2:$BR$2,$BH124:$BR124,0),0)</f>
        <v>0</v>
      </c>
      <c r="HP124" s="26" t="e">
        <f>IF(HP$2=InputTable[[#This Row],[Delivery Date]],_xlfn.XLOOKUP(HP$1,$BH$2:$BR$2,$BH124:$BR124,0),0)</f>
        <v>#REF!</v>
      </c>
      <c r="HQ124" s="26">
        <f>IF(HQ$2=InputTable[[#This Row],[Delivery Date]],_xlfn.XLOOKUP(HQ$1,$BH$2:$BR$2,$BH124:$BR124,0),0)</f>
        <v>0</v>
      </c>
      <c r="HR124" s="26">
        <f>IF(HR$2=InputTable[[#This Row],[Delivery Date]],_xlfn.XLOOKUP(HR$1,$BH$2:$BR$2,$BH124:$BR124,0),0)</f>
        <v>0</v>
      </c>
      <c r="HS124" s="26">
        <f>IF(HS$2=InputTable[[#This Row],[Delivery Date]],_xlfn.XLOOKUP(HS$1,$BH$2:$BR$2,$BH124:$BR124,0),0)</f>
        <v>0</v>
      </c>
      <c r="HT124" s="26">
        <f>IF(HT$2=InputTable[[#This Row],[Delivery Date]],_xlfn.XLOOKUP(HT$1,$BH$2:$BR$2,$BH124:$BR124,0),0)</f>
        <v>0</v>
      </c>
      <c r="HU124" s="26">
        <f>IF(HU$2=InputTable[[#This Row],[Delivery Date]],_xlfn.XLOOKUP(HU$1,$BH$2:$BR$2,$BH124:$BR124,0),0)</f>
        <v>0</v>
      </c>
      <c r="HV124" s="26">
        <f>IF(HV$2=InputTable[[#This Row],[Delivery Date]],_xlfn.XLOOKUP(HV$1,$BH$2:$BR$2,$BH124:$BR124,0),0)</f>
        <v>0</v>
      </c>
      <c r="HW124" s="26">
        <f>IF(HW$2=InputTable[[#This Row],[Delivery Date]],_xlfn.XLOOKUP(HW$1,$BH$2:$BR$2,$BH124:$BR124,0),0)</f>
        <v>0</v>
      </c>
      <c r="HX124" s="26">
        <f>IF(HX$2=InputTable[[#This Row],[Delivery Date]],_xlfn.XLOOKUP(HX$1,$BH$2:$BR$2,$BH124:$BR124,0),0)</f>
        <v>0</v>
      </c>
      <c r="HZ124" s="26" t="e">
        <f>IF(HZ$2=InputTable[[#This Row],[Delivery Date]],_xlfn.XLOOKUP(HZ$1,$BH$2:$BR$2,$BH124:$BR124,0),0)</f>
        <v>#REF!</v>
      </c>
      <c r="IA124" s="26">
        <f>IF(IA$2=InputTable[[#This Row],[Delivery Date]],_xlfn.XLOOKUP(IA$1,$BH$2:$BR$2,$BH124:$BR124,0),0)</f>
        <v>0</v>
      </c>
      <c r="IB124" s="26">
        <f>IF(IB$2=InputTable[[#This Row],[Delivery Date]],_xlfn.XLOOKUP(IB$1,$BH$2:$BR$2,$BH124:$BR124,0),0)</f>
        <v>0</v>
      </c>
      <c r="IC124" s="26">
        <f>IF(IC$2=InputTable[[#This Row],[Delivery Date]],_xlfn.XLOOKUP(IC$1,$BH$2:$BR$2,$BH124:$BR124,0),0)</f>
        <v>0</v>
      </c>
      <c r="ID124" s="26">
        <f>IF(ID$2=InputTable[[#This Row],[Delivery Date]],_xlfn.XLOOKUP(ID$1,$BH$2:$BR$2,$BH124:$BR124,0),0)</f>
        <v>0</v>
      </c>
      <c r="IE124" s="26">
        <f>IF(IE$2=InputTable[[#This Row],[Delivery Date]],_xlfn.XLOOKUP(IE$1,$BH$2:$BR$2,$BH124:$BR124,0),0)</f>
        <v>0</v>
      </c>
      <c r="IF124" s="26">
        <f>IF(IF$2=InputTable[[#This Row],[Delivery Date]],_xlfn.XLOOKUP(IF$1,$BH$2:$BR$2,$BH124:$BR124,0),0)</f>
        <v>0</v>
      </c>
      <c r="IG124" s="26">
        <f>IF(IG$2=InputTable[[#This Row],[Delivery Date]],_xlfn.XLOOKUP(IG$1,$BH$2:$BR$2,$BH124:$BR124,0),0)</f>
        <v>0</v>
      </c>
      <c r="IH124" s="26">
        <f>IF(IH$2=InputTable[[#This Row],[Delivery Date]],_xlfn.XLOOKUP(IH$1,$BH$2:$BR$2,$BH124:$BR124,0),0)</f>
        <v>0</v>
      </c>
      <c r="IJ124" s="26" t="e">
        <f>IF(IJ$2=InputTable[[#This Row],[Delivery Date]],_xlfn.XLOOKUP(IJ$1,$BH$2:$BR$2,$BH124:$BR124,0),0)</f>
        <v>#REF!</v>
      </c>
      <c r="IK124" s="26">
        <f>IF(IK$2=InputTable[[#This Row],[Delivery Date]],_xlfn.XLOOKUP(IK$1,$BH$2:$BR$2,$BH124:$BR124,0),0)</f>
        <v>0</v>
      </c>
      <c r="IL124" s="26">
        <f>IF(IL$2=InputTable[[#This Row],[Delivery Date]],_xlfn.XLOOKUP(IL$1,$BH$2:$BR$2,$BH124:$BR124,0),0)</f>
        <v>0</v>
      </c>
      <c r="IM124" s="26">
        <f>IF(IM$2=InputTable[[#This Row],[Delivery Date]],_xlfn.XLOOKUP(IM$1,$BH$2:$BR$2,$BH124:$BR124,0),0)</f>
        <v>0</v>
      </c>
      <c r="IN124" s="26">
        <f>IF(IN$2=InputTable[[#This Row],[Delivery Date]],_xlfn.XLOOKUP(IN$1,$BH$2:$BR$2,$BH124:$BR124,0),0)</f>
        <v>0</v>
      </c>
      <c r="IO124" s="26">
        <f>IF(IO$2=InputTable[[#This Row],[Delivery Date]],_xlfn.XLOOKUP(IO$1,$BH$2:$BR$2,$BH124:$BR124,0),0)</f>
        <v>0</v>
      </c>
      <c r="IP124" s="26">
        <f>IF(IP$2=InputTable[[#This Row],[Delivery Date]],_xlfn.XLOOKUP(IP$1,$BH$2:$BR$2,$BH124:$BR124,0),0)</f>
        <v>0</v>
      </c>
      <c r="IQ124" s="26">
        <f>IF(IQ$2=InputTable[[#This Row],[Delivery Date]],_xlfn.XLOOKUP(IQ$1,$BH$2:$BR$2,$BH124:$BR124,0),0)</f>
        <v>0</v>
      </c>
      <c r="IR124" s="26">
        <f>IF(IR$2=InputTable[[#This Row],[Delivery Date]],_xlfn.XLOOKUP(IR$1,$BH$2:$BR$2,$BH124:$BR124,0),0)</f>
        <v>0</v>
      </c>
      <c r="IT124" s="26" t="e">
        <f>IF(IT$2=InputTable[[#This Row],[Delivery Date]],_xlfn.XLOOKUP(IT$1,$BH$2:$BR$2,$BH124:$BR124,0),0)</f>
        <v>#REF!</v>
      </c>
      <c r="IU124" s="26">
        <f>IF(IU$2=InputTable[[#This Row],[Delivery Date]],_xlfn.XLOOKUP(IU$1,$BH$2:$BR$2,$BH124:$BR124,0),0)</f>
        <v>0</v>
      </c>
      <c r="IV124" s="26">
        <f>IF(IV$2=InputTable[[#This Row],[Delivery Date]],_xlfn.XLOOKUP(IV$1,$BH$2:$BR$2,$BH124:$BR124,0),0)</f>
        <v>0</v>
      </c>
      <c r="IW124" s="26">
        <f>IF(IW$2=InputTable[[#This Row],[Delivery Date]],_xlfn.XLOOKUP(IW$1,$BH$2:$BR$2,$BH124:$BR124,0),0)</f>
        <v>0</v>
      </c>
      <c r="IX124" s="26">
        <f>IF(IX$2=InputTable[[#This Row],[Delivery Date]],_xlfn.XLOOKUP(IX$1,$BH$2:$BR$2,$BH124:$BR124,0),0)</f>
        <v>0</v>
      </c>
      <c r="IY124" s="26">
        <f>IF(IY$2=InputTable[[#This Row],[Delivery Date]],_xlfn.XLOOKUP(IY$1,$BH$2:$BR$2,$BH124:$BR124,0),0)</f>
        <v>0</v>
      </c>
      <c r="IZ124" s="26">
        <f>IF(IZ$2=InputTable[[#This Row],[Delivery Date]],_xlfn.XLOOKUP(IZ$1,$BH$2:$BR$2,$BH124:$BR124,0),0)</f>
        <v>0</v>
      </c>
      <c r="JA124" s="26">
        <f>IF(JA$2=InputTable[[#This Row],[Delivery Date]],_xlfn.XLOOKUP(JA$1,$BH$2:$BR$2,$BH124:$BR124,0),0)</f>
        <v>0</v>
      </c>
      <c r="JB124" s="26">
        <f>IF(JB$2=InputTable[[#This Row],[Delivery Date]],_xlfn.XLOOKUP(JB$1,$BH$2:$BR$2,$BH124:$BR124,0),0)</f>
        <v>0</v>
      </c>
      <c r="JD124" s="26" t="e">
        <f>IF(JD$2=InputTable[[#This Row],[Delivery Date]],_xlfn.XLOOKUP(JD$1,$BH$2:$BR$2,$BH124:$BR124,0),0)</f>
        <v>#REF!</v>
      </c>
      <c r="JE124" s="26">
        <f>IF(JE$2=InputTable[[#This Row],[Delivery Date]],_xlfn.XLOOKUP(JE$1,$BH$2:$BR$2,$BH124:$BR124,0),0)</f>
        <v>0</v>
      </c>
      <c r="JF124" s="26">
        <f>IF(JF$2=InputTable[[#This Row],[Delivery Date]],_xlfn.XLOOKUP(JF$1,$BH$2:$BR$2,$BH124:$BR124,0),0)</f>
        <v>0</v>
      </c>
      <c r="JG124" s="26">
        <f>IF(JG$2=InputTable[[#This Row],[Delivery Date]],_xlfn.XLOOKUP(JG$1,$BH$2:$BR$2,$BH124:$BR124,0),0)</f>
        <v>0</v>
      </c>
      <c r="JH124" s="26">
        <f>IF(JH$2=InputTable[[#This Row],[Delivery Date]],_xlfn.XLOOKUP(JH$1,$BH$2:$BR$2,$BH124:$BR124,0),0)</f>
        <v>0</v>
      </c>
      <c r="JI124" s="26">
        <f>IF(JI$2=InputTable[[#This Row],[Delivery Date]],_xlfn.XLOOKUP(JI$1,$BH$2:$BR$2,$BH124:$BR124,0),0)</f>
        <v>0</v>
      </c>
      <c r="JJ124" s="26">
        <f>IF(JJ$2=InputTable[[#This Row],[Delivery Date]],_xlfn.XLOOKUP(JJ$1,$BH$2:$BR$2,$BH124:$BR124,0),0)</f>
        <v>0</v>
      </c>
      <c r="JK124" s="26">
        <f>IF(JK$2=InputTable[[#This Row],[Delivery Date]],_xlfn.XLOOKUP(JK$1,$BH$2:$BR$2,$BH124:$BR124,0),0)</f>
        <v>0</v>
      </c>
      <c r="JL124" s="26">
        <f>IF(JL$2=InputTable[[#This Row],[Delivery Date]],_xlfn.XLOOKUP(JL$1,$BH$2:$BR$2,$BH124:$BR124,0),0)</f>
        <v>0</v>
      </c>
      <c r="JN124" s="26" t="e">
        <f>IF(JN$2=InputTable[[#This Row],[Delivery Date]],_xlfn.XLOOKUP(JN$1,$BH$2:$BR$2,$BH124:$BR124,0),0)</f>
        <v>#REF!</v>
      </c>
      <c r="JO124" s="26">
        <f>IF(JO$2=InputTable[[#This Row],[Delivery Date]],_xlfn.XLOOKUP(JO$1,$BH$2:$BR$2,$BH124:$BR124,0),0)</f>
        <v>0</v>
      </c>
      <c r="JP124" s="26">
        <f>IF(JP$2=InputTable[[#This Row],[Delivery Date]],_xlfn.XLOOKUP(JP$1,$BH$2:$BR$2,$BH124:$BR124,0),0)</f>
        <v>0</v>
      </c>
      <c r="JQ124" s="26">
        <f>IF(JQ$2=InputTable[[#This Row],[Delivery Date]],_xlfn.XLOOKUP(JQ$1,$BH$2:$BR$2,$BH124:$BR124,0),0)</f>
        <v>0</v>
      </c>
      <c r="JR124" s="26">
        <f>IF(JR$2=InputTable[[#This Row],[Delivery Date]],_xlfn.XLOOKUP(JR$1,$BH$2:$BR$2,$BH124:$BR124,0),0)</f>
        <v>0</v>
      </c>
      <c r="JS124" s="26">
        <f>IF(JS$2=InputTable[[#This Row],[Delivery Date]],_xlfn.XLOOKUP(JS$1,$BH$2:$BR$2,$BH124:$BR124,0),0)</f>
        <v>0</v>
      </c>
      <c r="JT124" s="26">
        <f>IF(JT$2=InputTable[[#This Row],[Delivery Date]],_xlfn.XLOOKUP(JT$1,$BH$2:$BR$2,$BH124:$BR124,0),0)</f>
        <v>0</v>
      </c>
      <c r="JU124" s="26">
        <f>IF(JU$2=InputTable[[#This Row],[Delivery Date]],_xlfn.XLOOKUP(JU$1,$BH$2:$BR$2,$BH124:$BR124,0),0)</f>
        <v>0</v>
      </c>
      <c r="JV124" s="26">
        <f>IF(JV$2=InputTable[[#This Row],[Delivery Date]],_xlfn.XLOOKUP(JV$1,$BH$2:$BR$2,$BH124:$BR124,0),0)</f>
        <v>0</v>
      </c>
      <c r="JX124" s="26" t="e">
        <f>IF(JX$2=InputTable[[#This Row],[Delivery Date]],_xlfn.XLOOKUP(JX$1,$BH$2:$BR$2,$BH124:$BR124,0),0)</f>
        <v>#REF!</v>
      </c>
      <c r="JY124" s="26">
        <f>IF(JY$2=InputTable[[#This Row],[Delivery Date]],_xlfn.XLOOKUP(JY$1,$BH$2:$BR$2,$BH124:$BR124,0),0)</f>
        <v>0</v>
      </c>
      <c r="JZ124" s="26">
        <f>IF(JZ$2=InputTable[[#This Row],[Delivery Date]],_xlfn.XLOOKUP(JZ$1,$BH$2:$BR$2,$BH124:$BR124,0),0)</f>
        <v>0</v>
      </c>
      <c r="KA124" s="26">
        <f>IF(KA$2=InputTable[[#This Row],[Delivery Date]],_xlfn.XLOOKUP(KA$1,$BH$2:$BR$2,$BH124:$BR124,0),0)</f>
        <v>0</v>
      </c>
      <c r="KB124" s="26">
        <f>IF(KB$2=InputTable[[#This Row],[Delivery Date]],_xlfn.XLOOKUP(KB$1,$BH$2:$BR$2,$BH124:$BR124,0),0)</f>
        <v>0</v>
      </c>
      <c r="KC124" s="26">
        <f>IF(KC$2=InputTable[[#This Row],[Delivery Date]],_xlfn.XLOOKUP(KC$1,$BH$2:$BR$2,$BH124:$BR124,0),0)</f>
        <v>0</v>
      </c>
      <c r="KD124" s="26">
        <f>IF(KD$2=InputTable[[#This Row],[Delivery Date]],_xlfn.XLOOKUP(KD$1,$BH$2:$BR$2,$BH124:$BR124,0),0)</f>
        <v>0</v>
      </c>
      <c r="KE124" s="26">
        <f>IF(KE$2=InputTable[[#This Row],[Delivery Date]],_xlfn.XLOOKUP(KE$1,$BH$2:$BR$2,$BH124:$BR124,0),0)</f>
        <v>0</v>
      </c>
      <c r="KF124" s="26">
        <f>IF(KF$2=InputTable[[#This Row],[Delivery Date]],_xlfn.XLOOKUP(KF$1,$BH$2:$BR$2,$BH124:$BR124,0),0)</f>
        <v>0</v>
      </c>
    </row>
    <row r="125" spans="1:292" ht="39.6" customHeight="1" x14ac:dyDescent="0.25">
      <c r="A125" s="141"/>
      <c r="B125" s="141"/>
      <c r="C125" s="92"/>
      <c r="D125" s="92"/>
      <c r="E125" s="93"/>
      <c r="F125" s="92"/>
      <c r="G125" s="92"/>
      <c r="H125" s="92"/>
      <c r="I125" s="92"/>
      <c r="J125" s="122"/>
      <c r="K125" s="95" t="e">
        <f>VLOOKUP((InputTable[[#This Row],[Starting Date]]&amp; " - " &amp;InputTable[[#This Row],[Delivery Date]]),'System List'!$F$40:$H$83,2,FALSE)</f>
        <v>#N/A</v>
      </c>
      <c r="L125" s="95" t="e">
        <f>VLOOKUP(InputTable[[#This Row],[Duration]],Duration,2,FALSE)</f>
        <v>#N/A</v>
      </c>
      <c r="M125" s="122"/>
      <c r="N125" s="92"/>
      <c r="O125" s="92"/>
      <c r="P125" s="92"/>
      <c r="Q125" s="92"/>
      <c r="R125" s="92"/>
      <c r="S125" s="92"/>
      <c r="T125" s="95"/>
      <c r="U125" s="138"/>
      <c r="V125" s="92"/>
      <c r="W125" s="92"/>
      <c r="X125" s="92"/>
      <c r="Y125" s="92"/>
      <c r="Z125" s="92"/>
      <c r="AA125" s="92"/>
      <c r="AB125" s="92"/>
      <c r="AC125" s="92"/>
      <c r="AD125" s="92">
        <f>COUNTA(InputTable[[#This Row],[CORPHRFIN]:[SALES]])</f>
        <v>0</v>
      </c>
      <c r="AE125" s="88" cm="1">
        <f t="array" ref="AE125">SUM(
_xlfn.XLOOKUP(InputTable[[#This Row],[CORPHRFIN]:[SALES]],'System List'!$F$4:$F$7,'System List'!$H$4:$H$7,0))</f>
        <v>0</v>
      </c>
      <c r="AF125" s="140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88" cm="1">
        <f t="array" ref="AR125">SUM(
_xlfn.XLOOKUP(InputTable[[#This Row],[Impact on - CIAL]:[Impact on - STRAT]],'System List'!$F$4:$F$7,'System List'!$H$4:$H$7,0))</f>
        <v>0</v>
      </c>
      <c r="AS125" s="88" t="e">
        <f>VLOOKUP(InputTable[[#This Row],[Duration]],Duration,2,FALSE)+InputTable[[#This Row],[Resource Score]]</f>
        <v>#N/A</v>
      </c>
      <c r="AT12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5" s="24" t="e">
        <f>InputTable[[#This Row],[Value Score]]/InputTable[[#This Row],[EFFORT SCORE]]*100</f>
        <v>#N/A</v>
      </c>
      <c r="AV125" s="25"/>
      <c r="AW125" s="25"/>
      <c r="AX125" s="208"/>
      <c r="AY125" s="25"/>
      <c r="AZ125" s="209">
        <v>0</v>
      </c>
      <c r="BA125" s="209">
        <v>0</v>
      </c>
      <c r="BB125" s="209"/>
      <c r="BC125" s="189"/>
      <c r="BD125" s="188"/>
      <c r="BE125" s="188"/>
      <c r="BF125" s="70"/>
      <c r="BH125" s="2">
        <f>IFERROR(VLOOKUP(InputTable[[#This Row],[Impact on - CIAL]],'System List'!$F$4:$H$7,3,FALSE),0)</f>
        <v>0</v>
      </c>
      <c r="BI125" s="2">
        <f>IFERROR(VLOOKUP(InputTable[[#This Row],[Impact on - COM]],'System List'!$F$4:$H$7,3,FALSE),0)</f>
        <v>0</v>
      </c>
      <c r="BJ125" s="2">
        <f>IFERROR(VLOOKUP(InputTable[[#This Row],[Impact on - FIN]],'System List'!$F$4:$H$7,3,FALSE),0)</f>
        <v>0</v>
      </c>
      <c r="BK125" s="2">
        <f>IFERROR(VLOOKUP(InputTable[[#This Row],[Impact on - GEN SEC]],'System List'!$F$4:$H$7,3,FALSE),0)</f>
        <v>0</v>
      </c>
      <c r="BL125" s="2">
        <f>IFERROR(VLOOKUP(InputTable[[#This Row],[Impact on - HR]],'System List'!$F$4:$H$7,3,FALSE),0)</f>
        <v>0</v>
      </c>
      <c r="BM125" s="2">
        <f>IFERROR(VLOOKUP(InputTable[[#This Row],[Impact on - IS]],'System List'!$F$4:$H$7,3,FALSE),0)</f>
        <v>0</v>
      </c>
      <c r="BN125" s="2">
        <f>IFERROR(VLOOKUP(InputTable[[#This Row],[Impact on - OPS]],'System List'!$F$4:$H$7,3,FALSE),0)</f>
        <v>0</v>
      </c>
      <c r="BO125" s="2">
        <f>IFERROR(VLOOKUP(InputTable[[#This Row],[Impact on - ROLL STOCK]],'System List'!$F$4:$H$7,3,FALSE),0)</f>
        <v>0</v>
      </c>
      <c r="BP125" s="2">
        <f>IFERROR(VLOOKUP(InputTable[[#This Row],[Impact on - SAFETY]],'System List'!$F$4:$H$7,3,FALSE),0)</f>
        <v>0</v>
      </c>
      <c r="BQ125" s="2">
        <f>IFERROR(VLOOKUP(InputTable[[#This Row],[Impact on - STATION]],'System List'!$F$4:$H$7,3,FALSE),0)</f>
        <v>0</v>
      </c>
      <c r="BR125" s="2">
        <f>IFERROR(VLOOKUP(InputTable[[#This Row],[Impact on - STRAT]],'System List'!$F$4:$H$7,3,FALSE),0)</f>
        <v>0</v>
      </c>
      <c r="BT125" s="2">
        <f>IFERROR(VLOOKUP(InputTable[[#This Row],[CORPHRFIN]],'System List'!$F$4:$H$7,3,FALSE),0)</f>
        <v>0</v>
      </c>
      <c r="BU125" s="2">
        <f>IFERROR(VLOOKUP(InputTable[[#This Row],[CUST]],'System List'!$F$4:$H$7,3,FALSE),0)</f>
        <v>0</v>
      </c>
      <c r="BV125" s="2">
        <f>IFERROR(VLOOKUP(InputTable[[#This Row],[CYBER]],'System List'!$F$4:$H$7,3,FALSE),0)</f>
        <v>0</v>
      </c>
      <c r="BW125" s="2">
        <f>IFERROR(VLOOKUP(InputTable[[#This Row],[DATA]],'System List'!$F$4:$H$7,3,FALSE),0)</f>
        <v>0</v>
      </c>
      <c r="BX125" s="2">
        <f>IFERROR(VLOOKUP(InputTable[[#This Row],[INFRA]],'System List'!$F$4:$H$7,3,FALSE),0)</f>
        <v>0</v>
      </c>
      <c r="BY125" s="2">
        <f>IFERROR(VLOOKUP(InputTable[[#This Row],[OPERATIONS]],'System List'!$F$4:$H$7,3,FALSE),0)</f>
        <v>0</v>
      </c>
      <c r="BZ125" s="2">
        <f>IFERROR(VLOOKUP(InputTable[[#This Row],[PMO]],'System List'!$F$4:$H$7,3,FALSE),0)</f>
        <v>0</v>
      </c>
      <c r="CA125" s="2">
        <f>IFERROR(VLOOKUP(InputTable[[#This Row],[SALES]],'System List'!$F$4:$H$7,3,FALSE),0)</f>
        <v>0</v>
      </c>
      <c r="CC125" s="2" cm="1">
        <f t="array" ref="CC12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5" s="2" cm="1">
        <f t="array" ref="CD12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5" s="2" cm="1">
        <f t="array" ref="CE12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5" s="2" cm="1">
        <f t="array" ref="CF12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5" s="2" cm="1">
        <f t="array" ref="CG12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5" s="2" cm="1">
        <f t="array" ref="CH12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5" s="2" cm="1">
        <f t="array" ref="CI12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5" s="2" cm="1">
        <f t="array" ref="CJ12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5" s="2" cm="1">
        <f t="array" ref="CK12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5" s="26">
        <f t="shared" si="307"/>
        <v>0</v>
      </c>
      <c r="CY125" s="26">
        <f t="shared" si="308"/>
        <v>0</v>
      </c>
      <c r="CZ125" s="26">
        <f t="shared" si="309"/>
        <v>0</v>
      </c>
      <c r="DA125" s="26">
        <f t="shared" si="310"/>
        <v>0</v>
      </c>
      <c r="DB125" s="26">
        <f t="shared" si="311"/>
        <v>0</v>
      </c>
      <c r="DC125" s="26">
        <f t="shared" si="312"/>
        <v>0</v>
      </c>
      <c r="DD125" s="26">
        <f t="shared" si="313"/>
        <v>0</v>
      </c>
      <c r="DE125" s="26">
        <f t="shared" si="314"/>
        <v>0</v>
      </c>
      <c r="DF125" s="26">
        <f t="shared" si="315"/>
        <v>0</v>
      </c>
      <c r="DH125" s="26">
        <f t="shared" si="316"/>
        <v>0</v>
      </c>
      <c r="DI125" s="26">
        <f t="shared" si="317"/>
        <v>0</v>
      </c>
      <c r="DJ125" s="26">
        <f t="shared" si="318"/>
        <v>0</v>
      </c>
      <c r="DK125" s="26">
        <f t="shared" si="319"/>
        <v>0</v>
      </c>
      <c r="DL125" s="26">
        <f t="shared" si="320"/>
        <v>0</v>
      </c>
      <c r="DM125" s="26">
        <f t="shared" si="321"/>
        <v>0</v>
      </c>
      <c r="DN125" s="26">
        <f t="shared" si="322"/>
        <v>0</v>
      </c>
      <c r="DO125" s="26">
        <f t="shared" si="323"/>
        <v>0</v>
      </c>
      <c r="DP125" s="26">
        <f t="shared" si="324"/>
        <v>0</v>
      </c>
      <c r="DR125" s="26">
        <f t="shared" si="325"/>
        <v>0</v>
      </c>
      <c r="DS125" s="26">
        <f t="shared" si="326"/>
        <v>0</v>
      </c>
      <c r="DT125" s="26">
        <f t="shared" si="327"/>
        <v>0</v>
      </c>
      <c r="DU125" s="26">
        <f t="shared" si="328"/>
        <v>0</v>
      </c>
      <c r="DV125" s="26">
        <f t="shared" si="329"/>
        <v>0</v>
      </c>
      <c r="DW125" s="26">
        <f t="shared" si="330"/>
        <v>0</v>
      </c>
      <c r="DX125" s="26">
        <f t="shared" si="331"/>
        <v>0</v>
      </c>
      <c r="DY125" s="26">
        <f t="shared" si="332"/>
        <v>0</v>
      </c>
      <c r="DZ125" s="26">
        <f t="shared" si="333"/>
        <v>0</v>
      </c>
      <c r="EB125" s="26">
        <f t="shared" si="334"/>
        <v>0</v>
      </c>
      <c r="EC125" s="26">
        <f t="shared" si="335"/>
        <v>0</v>
      </c>
      <c r="ED125" s="26">
        <f t="shared" si="336"/>
        <v>0</v>
      </c>
      <c r="EE125" s="26">
        <f t="shared" si="337"/>
        <v>0</v>
      </c>
      <c r="EF125" s="26">
        <f t="shared" si="338"/>
        <v>0</v>
      </c>
      <c r="EG125" s="26">
        <f t="shared" si="339"/>
        <v>0</v>
      </c>
      <c r="EH125" s="26">
        <f t="shared" si="340"/>
        <v>0</v>
      </c>
      <c r="EI125" s="26">
        <f t="shared" si="341"/>
        <v>0</v>
      </c>
      <c r="EJ125" s="26">
        <f t="shared" si="342"/>
        <v>0</v>
      </c>
      <c r="EL125" s="26">
        <f t="shared" si="343"/>
        <v>0</v>
      </c>
      <c r="EM125" s="26">
        <f t="shared" si="344"/>
        <v>0</v>
      </c>
      <c r="EN125" s="26">
        <f t="shared" si="345"/>
        <v>0</v>
      </c>
      <c r="EO125" s="26">
        <f t="shared" si="346"/>
        <v>0</v>
      </c>
      <c r="EP125" s="26">
        <f t="shared" si="347"/>
        <v>0</v>
      </c>
      <c r="EQ125" s="26">
        <f t="shared" si="348"/>
        <v>0</v>
      </c>
      <c r="ER125" s="26">
        <f t="shared" si="349"/>
        <v>0</v>
      </c>
      <c r="ES125" s="26">
        <f t="shared" si="350"/>
        <v>0</v>
      </c>
      <c r="ET125" s="26">
        <f t="shared" si="351"/>
        <v>0</v>
      </c>
      <c r="EV125" s="26">
        <f t="shared" si="352"/>
        <v>0</v>
      </c>
      <c r="EW125" s="26">
        <f t="shared" si="353"/>
        <v>0</v>
      </c>
      <c r="EX125" s="26">
        <f t="shared" si="354"/>
        <v>0</v>
      </c>
      <c r="EY125" s="26">
        <f t="shared" si="355"/>
        <v>0</v>
      </c>
      <c r="EZ125" s="26">
        <f t="shared" si="356"/>
        <v>0</v>
      </c>
      <c r="FA125" s="26">
        <f t="shared" si="357"/>
        <v>0</v>
      </c>
      <c r="FB125" s="26">
        <f t="shared" si="358"/>
        <v>0</v>
      </c>
      <c r="FC125" s="26">
        <f t="shared" si="359"/>
        <v>0</v>
      </c>
      <c r="FD125" s="26">
        <f t="shared" si="360"/>
        <v>0</v>
      </c>
      <c r="FF125" s="26">
        <f t="shared" si="361"/>
        <v>0</v>
      </c>
      <c r="FG125" s="26">
        <f t="shared" si="362"/>
        <v>0</v>
      </c>
      <c r="FH125" s="26">
        <f t="shared" si="363"/>
        <v>0</v>
      </c>
      <c r="FI125" s="26">
        <f t="shared" si="364"/>
        <v>0</v>
      </c>
      <c r="FJ125" s="26">
        <f t="shared" si="365"/>
        <v>0</v>
      </c>
      <c r="FK125" s="26">
        <f t="shared" si="366"/>
        <v>0</v>
      </c>
      <c r="FL125" s="26">
        <f t="shared" si="367"/>
        <v>0</v>
      </c>
      <c r="FM125" s="26">
        <f t="shared" si="368"/>
        <v>0</v>
      </c>
      <c r="FN125" s="26">
        <f t="shared" si="369"/>
        <v>0</v>
      </c>
      <c r="FP125" s="26" t="e">
        <f t="shared" si="370"/>
        <v>#REF!</v>
      </c>
      <c r="FQ125" s="26" t="e">
        <f t="shared" si="371"/>
        <v>#REF!</v>
      </c>
      <c r="FR125" s="26" t="e">
        <f t="shared" si="372"/>
        <v>#REF!</v>
      </c>
      <c r="FS125" s="26" t="e">
        <f t="shared" si="373"/>
        <v>#REF!</v>
      </c>
      <c r="FT125" s="26" t="e">
        <f t="shared" si="374"/>
        <v>#REF!</v>
      </c>
      <c r="FU125" s="26" t="e">
        <f t="shared" si="375"/>
        <v>#REF!</v>
      </c>
      <c r="FV125" s="26" t="e">
        <f t="shared" si="376"/>
        <v>#REF!</v>
      </c>
      <c r="FW125" s="26" t="e">
        <f t="shared" si="377"/>
        <v>#REF!</v>
      </c>
      <c r="FX125" s="26" t="e">
        <f t="shared" si="378"/>
        <v>#REF!</v>
      </c>
      <c r="GB125" s="26" t="e">
        <f>IF(GB$2=InputTable[[#This Row],[Delivery Date]],_xlfn.XLOOKUP(GB$1,$BH$2:$BR$2,$BH125:$BR125,0),0)</f>
        <v>#REF!</v>
      </c>
      <c r="GC125" s="26">
        <f>IF(GC$2=InputTable[[#This Row],[Delivery Date]],_xlfn.XLOOKUP(GC$1,$BH$2:$BR$2,$BH125:$BR125,0),0)</f>
        <v>0</v>
      </c>
      <c r="GD125" s="26">
        <f>IF(GD$2=InputTable[[#This Row],[Delivery Date]],_xlfn.XLOOKUP(GD$1,$BH$2:$BR$2,$BH125:$BR125,0),0)</f>
        <v>0</v>
      </c>
      <c r="GE125" s="26">
        <f>IF(GE$2=InputTable[[#This Row],[Delivery Date]],_xlfn.XLOOKUP(GE$1,$BH$2:$BR$2,$BH125:$BR125,0),0)</f>
        <v>0</v>
      </c>
      <c r="GF125" s="26">
        <f>IF(GF$2=InputTable[[#This Row],[Delivery Date]],_xlfn.XLOOKUP(GF$1,$BH$2:$BR$2,$BH125:$BR125,0),0)</f>
        <v>0</v>
      </c>
      <c r="GG125" s="26">
        <f>IF(GG$2=InputTable[[#This Row],[Delivery Date]],_xlfn.XLOOKUP(GG$1,$BH$2:$BR$2,$BH125:$BR125,0),0)</f>
        <v>0</v>
      </c>
      <c r="GH125" s="26">
        <f>IF(GH$2=InputTable[[#This Row],[Delivery Date]],_xlfn.XLOOKUP(GH$1,$BH$2:$BR$2,$BH125:$BR125,0),0)</f>
        <v>0</v>
      </c>
      <c r="GI125" s="26">
        <f>IF(GI$2=InputTable[[#This Row],[Delivery Date]],_xlfn.XLOOKUP(GI$1,$BH$2:$BR$2,$BH125:$BR125,0),0)</f>
        <v>0</v>
      </c>
      <c r="GJ125" s="26">
        <f>IF(GJ$2=InputTable[[#This Row],[Delivery Date]],_xlfn.XLOOKUP(GJ$1,$BH$2:$BR$2,$BH125:$BR125,0),0)</f>
        <v>0</v>
      </c>
      <c r="GL125" s="26" t="e">
        <f>IF(GL$2=InputTable[[#This Row],[Delivery Date]],_xlfn.XLOOKUP(GL$1,$BH$2:$BR$2,$BH125:$BR125,0),0)</f>
        <v>#REF!</v>
      </c>
      <c r="GM125" s="26">
        <f>IF(GM$2=InputTable[[#This Row],[Delivery Date]],_xlfn.XLOOKUP(GM$1,$BH$2:$BR$2,$BH125:$BR125,0),0)</f>
        <v>0</v>
      </c>
      <c r="GN125" s="26">
        <f>IF(GN$2=InputTable[[#This Row],[Delivery Date]],_xlfn.XLOOKUP(GN$1,$BH$2:$BR$2,$BH125:$BR125,0),0)</f>
        <v>0</v>
      </c>
      <c r="GO125" s="26">
        <f>IF(GO$2=InputTable[[#This Row],[Delivery Date]],_xlfn.XLOOKUP(GO$1,$BH$2:$BR$2,$BH125:$BR125,0),0)</f>
        <v>0</v>
      </c>
      <c r="GP125" s="26">
        <f>IF(GP$2=InputTable[[#This Row],[Delivery Date]],_xlfn.XLOOKUP(GP$1,$BH$2:$BR$2,$BH125:$BR125,0),0)</f>
        <v>0</v>
      </c>
      <c r="GQ125" s="26">
        <f>IF(GQ$2=InputTable[[#This Row],[Delivery Date]],_xlfn.XLOOKUP(GQ$1,$BH$2:$BR$2,$BH125:$BR125,0),0)</f>
        <v>0</v>
      </c>
      <c r="GR125" s="26">
        <f>IF(GR$2=InputTable[[#This Row],[Delivery Date]],_xlfn.XLOOKUP(GR$1,$BH$2:$BR$2,$BH125:$BR125,0),0)</f>
        <v>0</v>
      </c>
      <c r="GS125" s="26">
        <f>IF(GS$2=InputTable[[#This Row],[Delivery Date]],_xlfn.XLOOKUP(GS$1,$BH$2:$BR$2,$BH125:$BR125,0),0)</f>
        <v>0</v>
      </c>
      <c r="GT125" s="26">
        <f>IF(GT$2=InputTable[[#This Row],[Delivery Date]],_xlfn.XLOOKUP(GT$1,$BH$2:$BR$2,$BH125:$BR125,0),0)</f>
        <v>0</v>
      </c>
      <c r="GV125" s="26" t="e">
        <f>IF(GV$2=InputTable[[#This Row],[Delivery Date]],_xlfn.XLOOKUP(GV$1,$BH$2:$BR$2,$BH125:$BR125,0),0)</f>
        <v>#REF!</v>
      </c>
      <c r="GW125" s="26">
        <f>IF(GW$2=InputTable[[#This Row],[Delivery Date]],_xlfn.XLOOKUP(GW$1,$BH$2:$BR$2,$BH125:$BR125,0),0)</f>
        <v>0</v>
      </c>
      <c r="GX125" s="26">
        <f>IF(GX$2=InputTable[[#This Row],[Delivery Date]],_xlfn.XLOOKUP(GX$1,$BH$2:$BR$2,$BH125:$BR125,0),0)</f>
        <v>0</v>
      </c>
      <c r="GY125" s="26">
        <f>IF(GY$2=InputTable[[#This Row],[Delivery Date]],_xlfn.XLOOKUP(GY$1,$BH$2:$BR$2,$BH125:$BR125,0),0)</f>
        <v>0</v>
      </c>
      <c r="GZ125" s="26">
        <f>IF(GZ$2=InputTable[[#This Row],[Delivery Date]],_xlfn.XLOOKUP(GZ$1,$BH$2:$BR$2,$BH125:$BR125,0),0)</f>
        <v>0</v>
      </c>
      <c r="HA125" s="26">
        <f>IF(HA$2=InputTable[[#This Row],[Delivery Date]],_xlfn.XLOOKUP(HA$1,$BH$2:$BR$2,$BH125:$BR125,0),0)</f>
        <v>0</v>
      </c>
      <c r="HB125" s="26">
        <f>IF(HB$2=InputTable[[#This Row],[Delivery Date]],_xlfn.XLOOKUP(HB$1,$BH$2:$BR$2,$BH125:$BR125,0),0)</f>
        <v>0</v>
      </c>
      <c r="HC125" s="26">
        <f>IF(HC$2=InputTable[[#This Row],[Delivery Date]],_xlfn.XLOOKUP(HC$1,$BH$2:$BR$2,$BH125:$BR125,0),0)</f>
        <v>0</v>
      </c>
      <c r="HD125" s="26">
        <f>IF(HD$2=InputTable[[#This Row],[Delivery Date]],_xlfn.XLOOKUP(HD$1,$BH$2:$BR$2,$BH125:$BR125,0),0)</f>
        <v>0</v>
      </c>
      <c r="HF125" s="26" t="e">
        <f>IF(HF$2=InputTable[[#This Row],[Delivery Date]],_xlfn.XLOOKUP(HF$1,$BH$2:$BR$2,$BH125:$BR125,0),0)</f>
        <v>#REF!</v>
      </c>
      <c r="HG125" s="26">
        <f>IF(HG$2=InputTable[[#This Row],[Delivery Date]],_xlfn.XLOOKUP(HG$1,$BH$2:$BR$2,$BH125:$BR125,0),0)</f>
        <v>0</v>
      </c>
      <c r="HH125" s="26">
        <f>IF(HH$2=InputTable[[#This Row],[Delivery Date]],_xlfn.XLOOKUP(HH$1,$BH$2:$BR$2,$BH125:$BR125,0),0)</f>
        <v>0</v>
      </c>
      <c r="HI125" s="26">
        <f>IF(HI$2=InputTable[[#This Row],[Delivery Date]],_xlfn.XLOOKUP(HI$1,$BH$2:$BR$2,$BH125:$BR125,0),0)</f>
        <v>0</v>
      </c>
      <c r="HJ125" s="26">
        <f>IF(HJ$2=InputTable[[#This Row],[Delivery Date]],_xlfn.XLOOKUP(HJ$1,$BH$2:$BR$2,$BH125:$BR125,0),0)</f>
        <v>0</v>
      </c>
      <c r="HK125" s="26">
        <f>IF(HK$2=InputTable[[#This Row],[Delivery Date]],_xlfn.XLOOKUP(HK$1,$BH$2:$BR$2,$BH125:$BR125,0),0)</f>
        <v>0</v>
      </c>
      <c r="HL125" s="26">
        <f>IF(HL$2=InputTable[[#This Row],[Delivery Date]],_xlfn.XLOOKUP(HL$1,$BH$2:$BR$2,$BH125:$BR125,0),0)</f>
        <v>0</v>
      </c>
      <c r="HM125" s="26">
        <f>IF(HM$2=InputTable[[#This Row],[Delivery Date]],_xlfn.XLOOKUP(HM$1,$BH$2:$BR$2,$BH125:$BR125,0),0)</f>
        <v>0</v>
      </c>
      <c r="HN125" s="26">
        <f>IF(HN$2=InputTable[[#This Row],[Delivery Date]],_xlfn.XLOOKUP(HN$1,$BH$2:$BR$2,$BH125:$BR125,0),0)</f>
        <v>0</v>
      </c>
      <c r="HP125" s="26" t="e">
        <f>IF(HP$2=InputTable[[#This Row],[Delivery Date]],_xlfn.XLOOKUP(HP$1,$BH$2:$BR$2,$BH125:$BR125,0),0)</f>
        <v>#REF!</v>
      </c>
      <c r="HQ125" s="26">
        <f>IF(HQ$2=InputTable[[#This Row],[Delivery Date]],_xlfn.XLOOKUP(HQ$1,$BH$2:$BR$2,$BH125:$BR125,0),0)</f>
        <v>0</v>
      </c>
      <c r="HR125" s="26">
        <f>IF(HR$2=InputTable[[#This Row],[Delivery Date]],_xlfn.XLOOKUP(HR$1,$BH$2:$BR$2,$BH125:$BR125,0),0)</f>
        <v>0</v>
      </c>
      <c r="HS125" s="26">
        <f>IF(HS$2=InputTable[[#This Row],[Delivery Date]],_xlfn.XLOOKUP(HS$1,$BH$2:$BR$2,$BH125:$BR125,0),0)</f>
        <v>0</v>
      </c>
      <c r="HT125" s="26">
        <f>IF(HT$2=InputTable[[#This Row],[Delivery Date]],_xlfn.XLOOKUP(HT$1,$BH$2:$BR$2,$BH125:$BR125,0),0)</f>
        <v>0</v>
      </c>
      <c r="HU125" s="26">
        <f>IF(HU$2=InputTable[[#This Row],[Delivery Date]],_xlfn.XLOOKUP(HU$1,$BH$2:$BR$2,$BH125:$BR125,0),0)</f>
        <v>0</v>
      </c>
      <c r="HV125" s="26">
        <f>IF(HV$2=InputTable[[#This Row],[Delivery Date]],_xlfn.XLOOKUP(HV$1,$BH$2:$BR$2,$BH125:$BR125,0),0)</f>
        <v>0</v>
      </c>
      <c r="HW125" s="26">
        <f>IF(HW$2=InputTable[[#This Row],[Delivery Date]],_xlfn.XLOOKUP(HW$1,$BH$2:$BR$2,$BH125:$BR125,0),0)</f>
        <v>0</v>
      </c>
      <c r="HX125" s="26">
        <f>IF(HX$2=InputTable[[#This Row],[Delivery Date]],_xlfn.XLOOKUP(HX$1,$BH$2:$BR$2,$BH125:$BR125,0),0)</f>
        <v>0</v>
      </c>
      <c r="HZ125" s="26" t="e">
        <f>IF(HZ$2=InputTable[[#This Row],[Delivery Date]],_xlfn.XLOOKUP(HZ$1,$BH$2:$BR$2,$BH125:$BR125,0),0)</f>
        <v>#REF!</v>
      </c>
      <c r="IA125" s="26">
        <f>IF(IA$2=InputTable[[#This Row],[Delivery Date]],_xlfn.XLOOKUP(IA$1,$BH$2:$BR$2,$BH125:$BR125,0),0)</f>
        <v>0</v>
      </c>
      <c r="IB125" s="26">
        <f>IF(IB$2=InputTable[[#This Row],[Delivery Date]],_xlfn.XLOOKUP(IB$1,$BH$2:$BR$2,$BH125:$BR125,0),0)</f>
        <v>0</v>
      </c>
      <c r="IC125" s="26">
        <f>IF(IC$2=InputTable[[#This Row],[Delivery Date]],_xlfn.XLOOKUP(IC$1,$BH$2:$BR$2,$BH125:$BR125,0),0)</f>
        <v>0</v>
      </c>
      <c r="ID125" s="26">
        <f>IF(ID$2=InputTable[[#This Row],[Delivery Date]],_xlfn.XLOOKUP(ID$1,$BH$2:$BR$2,$BH125:$BR125,0),0)</f>
        <v>0</v>
      </c>
      <c r="IE125" s="26">
        <f>IF(IE$2=InputTable[[#This Row],[Delivery Date]],_xlfn.XLOOKUP(IE$1,$BH$2:$BR$2,$BH125:$BR125,0),0)</f>
        <v>0</v>
      </c>
      <c r="IF125" s="26">
        <f>IF(IF$2=InputTable[[#This Row],[Delivery Date]],_xlfn.XLOOKUP(IF$1,$BH$2:$BR$2,$BH125:$BR125,0),0)</f>
        <v>0</v>
      </c>
      <c r="IG125" s="26">
        <f>IF(IG$2=InputTable[[#This Row],[Delivery Date]],_xlfn.XLOOKUP(IG$1,$BH$2:$BR$2,$BH125:$BR125,0),0)</f>
        <v>0</v>
      </c>
      <c r="IH125" s="26">
        <f>IF(IH$2=InputTable[[#This Row],[Delivery Date]],_xlfn.XLOOKUP(IH$1,$BH$2:$BR$2,$BH125:$BR125,0),0)</f>
        <v>0</v>
      </c>
      <c r="IJ125" s="26" t="e">
        <f>IF(IJ$2=InputTable[[#This Row],[Delivery Date]],_xlfn.XLOOKUP(IJ$1,$BH$2:$BR$2,$BH125:$BR125,0),0)</f>
        <v>#REF!</v>
      </c>
      <c r="IK125" s="26">
        <f>IF(IK$2=InputTable[[#This Row],[Delivery Date]],_xlfn.XLOOKUP(IK$1,$BH$2:$BR$2,$BH125:$BR125,0),0)</f>
        <v>0</v>
      </c>
      <c r="IL125" s="26">
        <f>IF(IL$2=InputTable[[#This Row],[Delivery Date]],_xlfn.XLOOKUP(IL$1,$BH$2:$BR$2,$BH125:$BR125,0),0)</f>
        <v>0</v>
      </c>
      <c r="IM125" s="26">
        <f>IF(IM$2=InputTable[[#This Row],[Delivery Date]],_xlfn.XLOOKUP(IM$1,$BH$2:$BR$2,$BH125:$BR125,0),0)</f>
        <v>0</v>
      </c>
      <c r="IN125" s="26">
        <f>IF(IN$2=InputTable[[#This Row],[Delivery Date]],_xlfn.XLOOKUP(IN$1,$BH$2:$BR$2,$BH125:$BR125,0),0)</f>
        <v>0</v>
      </c>
      <c r="IO125" s="26">
        <f>IF(IO$2=InputTable[[#This Row],[Delivery Date]],_xlfn.XLOOKUP(IO$1,$BH$2:$BR$2,$BH125:$BR125,0),0)</f>
        <v>0</v>
      </c>
      <c r="IP125" s="26">
        <f>IF(IP$2=InputTable[[#This Row],[Delivery Date]],_xlfn.XLOOKUP(IP$1,$BH$2:$BR$2,$BH125:$BR125,0),0)</f>
        <v>0</v>
      </c>
      <c r="IQ125" s="26">
        <f>IF(IQ$2=InputTable[[#This Row],[Delivery Date]],_xlfn.XLOOKUP(IQ$1,$BH$2:$BR$2,$BH125:$BR125,0),0)</f>
        <v>0</v>
      </c>
      <c r="IR125" s="26">
        <f>IF(IR$2=InputTable[[#This Row],[Delivery Date]],_xlfn.XLOOKUP(IR$1,$BH$2:$BR$2,$BH125:$BR125,0),0)</f>
        <v>0</v>
      </c>
      <c r="IT125" s="26" t="e">
        <f>IF(IT$2=InputTable[[#This Row],[Delivery Date]],_xlfn.XLOOKUP(IT$1,$BH$2:$BR$2,$BH125:$BR125,0),0)</f>
        <v>#REF!</v>
      </c>
      <c r="IU125" s="26">
        <f>IF(IU$2=InputTable[[#This Row],[Delivery Date]],_xlfn.XLOOKUP(IU$1,$BH$2:$BR$2,$BH125:$BR125,0),0)</f>
        <v>0</v>
      </c>
      <c r="IV125" s="26">
        <f>IF(IV$2=InputTable[[#This Row],[Delivery Date]],_xlfn.XLOOKUP(IV$1,$BH$2:$BR$2,$BH125:$BR125,0),0)</f>
        <v>0</v>
      </c>
      <c r="IW125" s="26">
        <f>IF(IW$2=InputTable[[#This Row],[Delivery Date]],_xlfn.XLOOKUP(IW$1,$BH$2:$BR$2,$BH125:$BR125,0),0)</f>
        <v>0</v>
      </c>
      <c r="IX125" s="26">
        <f>IF(IX$2=InputTable[[#This Row],[Delivery Date]],_xlfn.XLOOKUP(IX$1,$BH$2:$BR$2,$BH125:$BR125,0),0)</f>
        <v>0</v>
      </c>
      <c r="IY125" s="26">
        <f>IF(IY$2=InputTable[[#This Row],[Delivery Date]],_xlfn.XLOOKUP(IY$1,$BH$2:$BR$2,$BH125:$BR125,0),0)</f>
        <v>0</v>
      </c>
      <c r="IZ125" s="26">
        <f>IF(IZ$2=InputTable[[#This Row],[Delivery Date]],_xlfn.XLOOKUP(IZ$1,$BH$2:$BR$2,$BH125:$BR125,0),0)</f>
        <v>0</v>
      </c>
      <c r="JA125" s="26">
        <f>IF(JA$2=InputTable[[#This Row],[Delivery Date]],_xlfn.XLOOKUP(JA$1,$BH$2:$BR$2,$BH125:$BR125,0),0)</f>
        <v>0</v>
      </c>
      <c r="JB125" s="26">
        <f>IF(JB$2=InputTable[[#This Row],[Delivery Date]],_xlfn.XLOOKUP(JB$1,$BH$2:$BR$2,$BH125:$BR125,0),0)</f>
        <v>0</v>
      </c>
      <c r="JD125" s="26" t="e">
        <f>IF(JD$2=InputTable[[#This Row],[Delivery Date]],_xlfn.XLOOKUP(JD$1,$BH$2:$BR$2,$BH125:$BR125,0),0)</f>
        <v>#REF!</v>
      </c>
      <c r="JE125" s="26">
        <f>IF(JE$2=InputTable[[#This Row],[Delivery Date]],_xlfn.XLOOKUP(JE$1,$BH$2:$BR$2,$BH125:$BR125,0),0)</f>
        <v>0</v>
      </c>
      <c r="JF125" s="26">
        <f>IF(JF$2=InputTable[[#This Row],[Delivery Date]],_xlfn.XLOOKUP(JF$1,$BH$2:$BR$2,$BH125:$BR125,0),0)</f>
        <v>0</v>
      </c>
      <c r="JG125" s="26">
        <f>IF(JG$2=InputTable[[#This Row],[Delivery Date]],_xlfn.XLOOKUP(JG$1,$BH$2:$BR$2,$BH125:$BR125,0),0)</f>
        <v>0</v>
      </c>
      <c r="JH125" s="26">
        <f>IF(JH$2=InputTable[[#This Row],[Delivery Date]],_xlfn.XLOOKUP(JH$1,$BH$2:$BR$2,$BH125:$BR125,0),0)</f>
        <v>0</v>
      </c>
      <c r="JI125" s="26">
        <f>IF(JI$2=InputTable[[#This Row],[Delivery Date]],_xlfn.XLOOKUP(JI$1,$BH$2:$BR$2,$BH125:$BR125,0),0)</f>
        <v>0</v>
      </c>
      <c r="JJ125" s="26">
        <f>IF(JJ$2=InputTable[[#This Row],[Delivery Date]],_xlfn.XLOOKUP(JJ$1,$BH$2:$BR$2,$BH125:$BR125,0),0)</f>
        <v>0</v>
      </c>
      <c r="JK125" s="26">
        <f>IF(JK$2=InputTable[[#This Row],[Delivery Date]],_xlfn.XLOOKUP(JK$1,$BH$2:$BR$2,$BH125:$BR125,0),0)</f>
        <v>0</v>
      </c>
      <c r="JL125" s="26">
        <f>IF(JL$2=InputTable[[#This Row],[Delivery Date]],_xlfn.XLOOKUP(JL$1,$BH$2:$BR$2,$BH125:$BR125,0),0)</f>
        <v>0</v>
      </c>
      <c r="JN125" s="26" t="e">
        <f>IF(JN$2=InputTable[[#This Row],[Delivery Date]],_xlfn.XLOOKUP(JN$1,$BH$2:$BR$2,$BH125:$BR125,0),0)</f>
        <v>#REF!</v>
      </c>
      <c r="JO125" s="26">
        <f>IF(JO$2=InputTable[[#This Row],[Delivery Date]],_xlfn.XLOOKUP(JO$1,$BH$2:$BR$2,$BH125:$BR125,0),0)</f>
        <v>0</v>
      </c>
      <c r="JP125" s="26">
        <f>IF(JP$2=InputTable[[#This Row],[Delivery Date]],_xlfn.XLOOKUP(JP$1,$BH$2:$BR$2,$BH125:$BR125,0),0)</f>
        <v>0</v>
      </c>
      <c r="JQ125" s="26">
        <f>IF(JQ$2=InputTable[[#This Row],[Delivery Date]],_xlfn.XLOOKUP(JQ$1,$BH$2:$BR$2,$BH125:$BR125,0),0)</f>
        <v>0</v>
      </c>
      <c r="JR125" s="26">
        <f>IF(JR$2=InputTable[[#This Row],[Delivery Date]],_xlfn.XLOOKUP(JR$1,$BH$2:$BR$2,$BH125:$BR125,0),0)</f>
        <v>0</v>
      </c>
      <c r="JS125" s="26">
        <f>IF(JS$2=InputTable[[#This Row],[Delivery Date]],_xlfn.XLOOKUP(JS$1,$BH$2:$BR$2,$BH125:$BR125,0),0)</f>
        <v>0</v>
      </c>
      <c r="JT125" s="26">
        <f>IF(JT$2=InputTable[[#This Row],[Delivery Date]],_xlfn.XLOOKUP(JT$1,$BH$2:$BR$2,$BH125:$BR125,0),0)</f>
        <v>0</v>
      </c>
      <c r="JU125" s="26">
        <f>IF(JU$2=InputTable[[#This Row],[Delivery Date]],_xlfn.XLOOKUP(JU$1,$BH$2:$BR$2,$BH125:$BR125,0),0)</f>
        <v>0</v>
      </c>
      <c r="JV125" s="26">
        <f>IF(JV$2=InputTable[[#This Row],[Delivery Date]],_xlfn.XLOOKUP(JV$1,$BH$2:$BR$2,$BH125:$BR125,0),0)</f>
        <v>0</v>
      </c>
      <c r="JX125" s="26" t="e">
        <f>IF(JX$2=InputTable[[#This Row],[Delivery Date]],_xlfn.XLOOKUP(JX$1,$BH$2:$BR$2,$BH125:$BR125,0),0)</f>
        <v>#REF!</v>
      </c>
      <c r="JY125" s="26">
        <f>IF(JY$2=InputTable[[#This Row],[Delivery Date]],_xlfn.XLOOKUP(JY$1,$BH$2:$BR$2,$BH125:$BR125,0),0)</f>
        <v>0</v>
      </c>
      <c r="JZ125" s="26">
        <f>IF(JZ$2=InputTable[[#This Row],[Delivery Date]],_xlfn.XLOOKUP(JZ$1,$BH$2:$BR$2,$BH125:$BR125,0),0)</f>
        <v>0</v>
      </c>
      <c r="KA125" s="26">
        <f>IF(KA$2=InputTable[[#This Row],[Delivery Date]],_xlfn.XLOOKUP(KA$1,$BH$2:$BR$2,$BH125:$BR125,0),0)</f>
        <v>0</v>
      </c>
      <c r="KB125" s="26">
        <f>IF(KB$2=InputTable[[#This Row],[Delivery Date]],_xlfn.XLOOKUP(KB$1,$BH$2:$BR$2,$BH125:$BR125,0),0)</f>
        <v>0</v>
      </c>
      <c r="KC125" s="26">
        <f>IF(KC$2=InputTable[[#This Row],[Delivery Date]],_xlfn.XLOOKUP(KC$1,$BH$2:$BR$2,$BH125:$BR125,0),0)</f>
        <v>0</v>
      </c>
      <c r="KD125" s="26">
        <f>IF(KD$2=InputTable[[#This Row],[Delivery Date]],_xlfn.XLOOKUP(KD$1,$BH$2:$BR$2,$BH125:$BR125,0),0)</f>
        <v>0</v>
      </c>
      <c r="KE125" s="26">
        <f>IF(KE$2=InputTable[[#This Row],[Delivery Date]],_xlfn.XLOOKUP(KE$1,$BH$2:$BR$2,$BH125:$BR125,0),0)</f>
        <v>0</v>
      </c>
      <c r="KF125" s="26">
        <f>IF(KF$2=InputTable[[#This Row],[Delivery Date]],_xlfn.XLOOKUP(KF$1,$BH$2:$BR$2,$BH125:$BR125,0),0)</f>
        <v>0</v>
      </c>
    </row>
    <row r="126" spans="1:292" ht="39.6" customHeight="1" x14ac:dyDescent="0.25">
      <c r="A126" s="141"/>
      <c r="B126" s="141"/>
      <c r="C126" s="92"/>
      <c r="D126" s="92"/>
      <c r="E126" s="93"/>
      <c r="F126" s="92"/>
      <c r="G126" s="92"/>
      <c r="H126" s="92"/>
      <c r="I126" s="92"/>
      <c r="J126" s="122"/>
      <c r="K126" s="95" t="e">
        <f>VLOOKUP((InputTable[[#This Row],[Starting Date]]&amp; " - " &amp;InputTable[[#This Row],[Delivery Date]]),'System List'!$F$40:$H$83,2,FALSE)</f>
        <v>#N/A</v>
      </c>
      <c r="L126" s="95" t="e">
        <f>VLOOKUP(InputTable[[#This Row],[Duration]],Duration,2,FALSE)</f>
        <v>#N/A</v>
      </c>
      <c r="M126" s="122"/>
      <c r="N126" s="92"/>
      <c r="O126" s="92"/>
      <c r="P126" s="92"/>
      <c r="Q126" s="92"/>
      <c r="R126" s="92"/>
      <c r="S126" s="92"/>
      <c r="T126" s="95"/>
      <c r="U126" s="138"/>
      <c r="V126" s="92"/>
      <c r="W126" s="92"/>
      <c r="X126" s="92"/>
      <c r="Y126" s="92"/>
      <c r="Z126" s="92"/>
      <c r="AA126" s="92"/>
      <c r="AB126" s="92"/>
      <c r="AC126" s="92"/>
      <c r="AD126" s="92">
        <f>COUNTA(InputTable[[#This Row],[CORPHRFIN]:[SALES]])</f>
        <v>0</v>
      </c>
      <c r="AE126" s="88" cm="1">
        <f t="array" ref="AE126">SUM(
_xlfn.XLOOKUP(InputTable[[#This Row],[CORPHRFIN]:[SALES]],'System List'!$F$4:$F$7,'System List'!$H$4:$H$7,0))</f>
        <v>0</v>
      </c>
      <c r="AF126" s="140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88" cm="1">
        <f t="array" ref="AR126">SUM(
_xlfn.XLOOKUP(InputTable[[#This Row],[Impact on - CIAL]:[Impact on - STRAT]],'System List'!$F$4:$F$7,'System List'!$H$4:$H$7,0))</f>
        <v>0</v>
      </c>
      <c r="AS126" s="88" t="e">
        <f>VLOOKUP(InputTable[[#This Row],[Duration]],Duration,2,FALSE)+InputTable[[#This Row],[Resource Score]]</f>
        <v>#N/A</v>
      </c>
      <c r="AT12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6" s="24" t="e">
        <f>InputTable[[#This Row],[Value Score]]/InputTable[[#This Row],[EFFORT SCORE]]*100</f>
        <v>#N/A</v>
      </c>
      <c r="AV126" s="25"/>
      <c r="AW126" s="25"/>
      <c r="AX126" s="208"/>
      <c r="AY126" s="25"/>
      <c r="AZ126" s="209">
        <v>0</v>
      </c>
      <c r="BA126" s="209">
        <v>0</v>
      </c>
      <c r="BB126" s="209"/>
      <c r="BC126" s="189"/>
      <c r="BD126" s="188"/>
      <c r="BE126" s="188"/>
      <c r="BF126" s="70"/>
      <c r="BH126" s="2">
        <f>IFERROR(VLOOKUP(InputTable[[#This Row],[Impact on - CIAL]],'System List'!$F$4:$H$7,3,FALSE),0)</f>
        <v>0</v>
      </c>
      <c r="BI126" s="2">
        <f>IFERROR(VLOOKUP(InputTable[[#This Row],[Impact on - COM]],'System List'!$F$4:$H$7,3,FALSE),0)</f>
        <v>0</v>
      </c>
      <c r="BJ126" s="2">
        <f>IFERROR(VLOOKUP(InputTable[[#This Row],[Impact on - FIN]],'System List'!$F$4:$H$7,3,FALSE),0)</f>
        <v>0</v>
      </c>
      <c r="BK126" s="2">
        <f>IFERROR(VLOOKUP(InputTable[[#This Row],[Impact on - GEN SEC]],'System List'!$F$4:$H$7,3,FALSE),0)</f>
        <v>0</v>
      </c>
      <c r="BL126" s="2">
        <f>IFERROR(VLOOKUP(InputTable[[#This Row],[Impact on - HR]],'System List'!$F$4:$H$7,3,FALSE),0)</f>
        <v>0</v>
      </c>
      <c r="BM126" s="2">
        <f>IFERROR(VLOOKUP(InputTable[[#This Row],[Impact on - IS]],'System List'!$F$4:$H$7,3,FALSE),0)</f>
        <v>0</v>
      </c>
      <c r="BN126" s="2">
        <f>IFERROR(VLOOKUP(InputTable[[#This Row],[Impact on - OPS]],'System List'!$F$4:$H$7,3,FALSE),0)</f>
        <v>0</v>
      </c>
      <c r="BO126" s="2">
        <f>IFERROR(VLOOKUP(InputTable[[#This Row],[Impact on - ROLL STOCK]],'System List'!$F$4:$H$7,3,FALSE),0)</f>
        <v>0</v>
      </c>
      <c r="BP126" s="2">
        <f>IFERROR(VLOOKUP(InputTable[[#This Row],[Impact on - SAFETY]],'System List'!$F$4:$H$7,3,FALSE),0)</f>
        <v>0</v>
      </c>
      <c r="BQ126" s="2">
        <f>IFERROR(VLOOKUP(InputTable[[#This Row],[Impact on - STATION]],'System List'!$F$4:$H$7,3,FALSE),0)</f>
        <v>0</v>
      </c>
      <c r="BR126" s="2">
        <f>IFERROR(VLOOKUP(InputTable[[#This Row],[Impact on - STRAT]],'System List'!$F$4:$H$7,3,FALSE),0)</f>
        <v>0</v>
      </c>
      <c r="BT126" s="2">
        <f>IFERROR(VLOOKUP(InputTable[[#This Row],[CORPHRFIN]],'System List'!$F$4:$H$7,3,FALSE),0)</f>
        <v>0</v>
      </c>
      <c r="BU126" s="2">
        <f>IFERROR(VLOOKUP(InputTable[[#This Row],[CUST]],'System List'!$F$4:$H$7,3,FALSE),0)</f>
        <v>0</v>
      </c>
      <c r="BV126" s="2">
        <f>IFERROR(VLOOKUP(InputTable[[#This Row],[CYBER]],'System List'!$F$4:$H$7,3,FALSE),0)</f>
        <v>0</v>
      </c>
      <c r="BW126" s="2">
        <f>IFERROR(VLOOKUP(InputTable[[#This Row],[DATA]],'System List'!$F$4:$H$7,3,FALSE),0)</f>
        <v>0</v>
      </c>
      <c r="BX126" s="2">
        <f>IFERROR(VLOOKUP(InputTable[[#This Row],[INFRA]],'System List'!$F$4:$H$7,3,FALSE),0)</f>
        <v>0</v>
      </c>
      <c r="BY126" s="2">
        <f>IFERROR(VLOOKUP(InputTable[[#This Row],[OPERATIONS]],'System List'!$F$4:$H$7,3,FALSE),0)</f>
        <v>0</v>
      </c>
      <c r="BZ126" s="2">
        <f>IFERROR(VLOOKUP(InputTable[[#This Row],[PMO]],'System List'!$F$4:$H$7,3,FALSE),0)</f>
        <v>0</v>
      </c>
      <c r="CA126" s="2">
        <f>IFERROR(VLOOKUP(InputTable[[#This Row],[SALES]],'System List'!$F$4:$H$7,3,FALSE),0)</f>
        <v>0</v>
      </c>
      <c r="CC126" s="2" cm="1">
        <f t="array" ref="CC12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6" s="2" cm="1">
        <f t="array" ref="CD12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6" s="2" cm="1">
        <f t="array" ref="CE12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6" s="2" cm="1">
        <f t="array" ref="CF12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6" s="2" cm="1">
        <f t="array" ref="CG12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6" s="2" cm="1">
        <f t="array" ref="CH12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6" s="2" cm="1">
        <f t="array" ref="CI12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6" s="2" cm="1">
        <f t="array" ref="CJ12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6" s="2" cm="1">
        <f t="array" ref="CK12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6" s="26">
        <f t="shared" si="307"/>
        <v>0</v>
      </c>
      <c r="CY126" s="26">
        <f t="shared" si="308"/>
        <v>0</v>
      </c>
      <c r="CZ126" s="26">
        <f t="shared" si="309"/>
        <v>0</v>
      </c>
      <c r="DA126" s="26">
        <f t="shared" si="310"/>
        <v>0</v>
      </c>
      <c r="DB126" s="26">
        <f t="shared" si="311"/>
        <v>0</v>
      </c>
      <c r="DC126" s="26">
        <f t="shared" si="312"/>
        <v>0</v>
      </c>
      <c r="DD126" s="26">
        <f t="shared" si="313"/>
        <v>0</v>
      </c>
      <c r="DE126" s="26">
        <f t="shared" si="314"/>
        <v>0</v>
      </c>
      <c r="DF126" s="26">
        <f t="shared" si="315"/>
        <v>0</v>
      </c>
      <c r="DH126" s="26">
        <f t="shared" si="316"/>
        <v>0</v>
      </c>
      <c r="DI126" s="26">
        <f t="shared" si="317"/>
        <v>0</v>
      </c>
      <c r="DJ126" s="26">
        <f t="shared" si="318"/>
        <v>0</v>
      </c>
      <c r="DK126" s="26">
        <f t="shared" si="319"/>
        <v>0</v>
      </c>
      <c r="DL126" s="26">
        <f t="shared" si="320"/>
        <v>0</v>
      </c>
      <c r="DM126" s="26">
        <f t="shared" si="321"/>
        <v>0</v>
      </c>
      <c r="DN126" s="26">
        <f t="shared" si="322"/>
        <v>0</v>
      </c>
      <c r="DO126" s="26">
        <f t="shared" si="323"/>
        <v>0</v>
      </c>
      <c r="DP126" s="26">
        <f t="shared" si="324"/>
        <v>0</v>
      </c>
      <c r="DR126" s="26">
        <f t="shared" si="325"/>
        <v>0</v>
      </c>
      <c r="DS126" s="26">
        <f t="shared" si="326"/>
        <v>0</v>
      </c>
      <c r="DT126" s="26">
        <f t="shared" si="327"/>
        <v>0</v>
      </c>
      <c r="DU126" s="26">
        <f t="shared" si="328"/>
        <v>0</v>
      </c>
      <c r="DV126" s="26">
        <f t="shared" si="329"/>
        <v>0</v>
      </c>
      <c r="DW126" s="26">
        <f t="shared" si="330"/>
        <v>0</v>
      </c>
      <c r="DX126" s="26">
        <f t="shared" si="331"/>
        <v>0</v>
      </c>
      <c r="DY126" s="26">
        <f t="shared" si="332"/>
        <v>0</v>
      </c>
      <c r="DZ126" s="26">
        <f t="shared" si="333"/>
        <v>0</v>
      </c>
      <c r="EB126" s="26">
        <f t="shared" si="334"/>
        <v>0</v>
      </c>
      <c r="EC126" s="26">
        <f t="shared" si="335"/>
        <v>0</v>
      </c>
      <c r="ED126" s="26">
        <f t="shared" si="336"/>
        <v>0</v>
      </c>
      <c r="EE126" s="26">
        <f t="shared" si="337"/>
        <v>0</v>
      </c>
      <c r="EF126" s="26">
        <f t="shared" si="338"/>
        <v>0</v>
      </c>
      <c r="EG126" s="26">
        <f t="shared" si="339"/>
        <v>0</v>
      </c>
      <c r="EH126" s="26">
        <f t="shared" si="340"/>
        <v>0</v>
      </c>
      <c r="EI126" s="26">
        <f t="shared" si="341"/>
        <v>0</v>
      </c>
      <c r="EJ126" s="26">
        <f t="shared" si="342"/>
        <v>0</v>
      </c>
      <c r="EL126" s="26">
        <f t="shared" si="343"/>
        <v>0</v>
      </c>
      <c r="EM126" s="26">
        <f t="shared" si="344"/>
        <v>0</v>
      </c>
      <c r="EN126" s="26">
        <f t="shared" si="345"/>
        <v>0</v>
      </c>
      <c r="EO126" s="26">
        <f t="shared" si="346"/>
        <v>0</v>
      </c>
      <c r="EP126" s="26">
        <f t="shared" si="347"/>
        <v>0</v>
      </c>
      <c r="EQ126" s="26">
        <f t="shared" si="348"/>
        <v>0</v>
      </c>
      <c r="ER126" s="26">
        <f t="shared" si="349"/>
        <v>0</v>
      </c>
      <c r="ES126" s="26">
        <f t="shared" si="350"/>
        <v>0</v>
      </c>
      <c r="ET126" s="26">
        <f t="shared" si="351"/>
        <v>0</v>
      </c>
      <c r="EV126" s="26">
        <f t="shared" si="352"/>
        <v>0</v>
      </c>
      <c r="EW126" s="26">
        <f t="shared" si="353"/>
        <v>0</v>
      </c>
      <c r="EX126" s="26">
        <f t="shared" si="354"/>
        <v>0</v>
      </c>
      <c r="EY126" s="26">
        <f t="shared" si="355"/>
        <v>0</v>
      </c>
      <c r="EZ126" s="26">
        <f t="shared" si="356"/>
        <v>0</v>
      </c>
      <c r="FA126" s="26">
        <f t="shared" si="357"/>
        <v>0</v>
      </c>
      <c r="FB126" s="26">
        <f t="shared" si="358"/>
        <v>0</v>
      </c>
      <c r="FC126" s="26">
        <f t="shared" si="359"/>
        <v>0</v>
      </c>
      <c r="FD126" s="26">
        <f t="shared" si="360"/>
        <v>0</v>
      </c>
      <c r="FF126" s="26">
        <f t="shared" si="361"/>
        <v>0</v>
      </c>
      <c r="FG126" s="26">
        <f t="shared" si="362"/>
        <v>0</v>
      </c>
      <c r="FH126" s="26">
        <f t="shared" si="363"/>
        <v>0</v>
      </c>
      <c r="FI126" s="26">
        <f t="shared" si="364"/>
        <v>0</v>
      </c>
      <c r="FJ126" s="26">
        <f t="shared" si="365"/>
        <v>0</v>
      </c>
      <c r="FK126" s="26">
        <f t="shared" si="366"/>
        <v>0</v>
      </c>
      <c r="FL126" s="26">
        <f t="shared" si="367"/>
        <v>0</v>
      </c>
      <c r="FM126" s="26">
        <f t="shared" si="368"/>
        <v>0</v>
      </c>
      <c r="FN126" s="26">
        <f t="shared" si="369"/>
        <v>0</v>
      </c>
      <c r="FP126" s="26" t="e">
        <f t="shared" si="370"/>
        <v>#REF!</v>
      </c>
      <c r="FQ126" s="26" t="e">
        <f t="shared" si="371"/>
        <v>#REF!</v>
      </c>
      <c r="FR126" s="26" t="e">
        <f t="shared" si="372"/>
        <v>#REF!</v>
      </c>
      <c r="FS126" s="26" t="e">
        <f t="shared" si="373"/>
        <v>#REF!</v>
      </c>
      <c r="FT126" s="26" t="e">
        <f t="shared" si="374"/>
        <v>#REF!</v>
      </c>
      <c r="FU126" s="26" t="e">
        <f t="shared" si="375"/>
        <v>#REF!</v>
      </c>
      <c r="FV126" s="26" t="e">
        <f t="shared" si="376"/>
        <v>#REF!</v>
      </c>
      <c r="FW126" s="26" t="e">
        <f t="shared" si="377"/>
        <v>#REF!</v>
      </c>
      <c r="FX126" s="26" t="e">
        <f t="shared" si="378"/>
        <v>#REF!</v>
      </c>
      <c r="GB126" s="26" t="e">
        <f>IF(GB$2=InputTable[[#This Row],[Delivery Date]],_xlfn.XLOOKUP(GB$1,$BH$2:$BR$2,$BH126:$BR126,0),0)</f>
        <v>#REF!</v>
      </c>
      <c r="GC126" s="26">
        <f>IF(GC$2=InputTable[[#This Row],[Delivery Date]],_xlfn.XLOOKUP(GC$1,$BH$2:$BR$2,$BH126:$BR126,0),0)</f>
        <v>0</v>
      </c>
      <c r="GD126" s="26">
        <f>IF(GD$2=InputTable[[#This Row],[Delivery Date]],_xlfn.XLOOKUP(GD$1,$BH$2:$BR$2,$BH126:$BR126,0),0)</f>
        <v>0</v>
      </c>
      <c r="GE126" s="26">
        <f>IF(GE$2=InputTable[[#This Row],[Delivery Date]],_xlfn.XLOOKUP(GE$1,$BH$2:$BR$2,$BH126:$BR126,0),0)</f>
        <v>0</v>
      </c>
      <c r="GF126" s="26">
        <f>IF(GF$2=InputTable[[#This Row],[Delivery Date]],_xlfn.XLOOKUP(GF$1,$BH$2:$BR$2,$BH126:$BR126,0),0)</f>
        <v>0</v>
      </c>
      <c r="GG126" s="26">
        <f>IF(GG$2=InputTable[[#This Row],[Delivery Date]],_xlfn.XLOOKUP(GG$1,$BH$2:$BR$2,$BH126:$BR126,0),0)</f>
        <v>0</v>
      </c>
      <c r="GH126" s="26">
        <f>IF(GH$2=InputTable[[#This Row],[Delivery Date]],_xlfn.XLOOKUP(GH$1,$BH$2:$BR$2,$BH126:$BR126,0),0)</f>
        <v>0</v>
      </c>
      <c r="GI126" s="26">
        <f>IF(GI$2=InputTable[[#This Row],[Delivery Date]],_xlfn.XLOOKUP(GI$1,$BH$2:$BR$2,$BH126:$BR126,0),0)</f>
        <v>0</v>
      </c>
      <c r="GJ126" s="26">
        <f>IF(GJ$2=InputTable[[#This Row],[Delivery Date]],_xlfn.XLOOKUP(GJ$1,$BH$2:$BR$2,$BH126:$BR126,0),0)</f>
        <v>0</v>
      </c>
      <c r="GL126" s="26" t="e">
        <f>IF(GL$2=InputTable[[#This Row],[Delivery Date]],_xlfn.XLOOKUP(GL$1,$BH$2:$BR$2,$BH126:$BR126,0),0)</f>
        <v>#REF!</v>
      </c>
      <c r="GM126" s="26">
        <f>IF(GM$2=InputTable[[#This Row],[Delivery Date]],_xlfn.XLOOKUP(GM$1,$BH$2:$BR$2,$BH126:$BR126,0),0)</f>
        <v>0</v>
      </c>
      <c r="GN126" s="26">
        <f>IF(GN$2=InputTable[[#This Row],[Delivery Date]],_xlfn.XLOOKUP(GN$1,$BH$2:$BR$2,$BH126:$BR126,0),0)</f>
        <v>0</v>
      </c>
      <c r="GO126" s="26">
        <f>IF(GO$2=InputTable[[#This Row],[Delivery Date]],_xlfn.XLOOKUP(GO$1,$BH$2:$BR$2,$BH126:$BR126,0),0)</f>
        <v>0</v>
      </c>
      <c r="GP126" s="26">
        <f>IF(GP$2=InputTable[[#This Row],[Delivery Date]],_xlfn.XLOOKUP(GP$1,$BH$2:$BR$2,$BH126:$BR126,0),0)</f>
        <v>0</v>
      </c>
      <c r="GQ126" s="26">
        <f>IF(GQ$2=InputTable[[#This Row],[Delivery Date]],_xlfn.XLOOKUP(GQ$1,$BH$2:$BR$2,$BH126:$BR126,0),0)</f>
        <v>0</v>
      </c>
      <c r="GR126" s="26">
        <f>IF(GR$2=InputTable[[#This Row],[Delivery Date]],_xlfn.XLOOKUP(GR$1,$BH$2:$BR$2,$BH126:$BR126,0),0)</f>
        <v>0</v>
      </c>
      <c r="GS126" s="26">
        <f>IF(GS$2=InputTable[[#This Row],[Delivery Date]],_xlfn.XLOOKUP(GS$1,$BH$2:$BR$2,$BH126:$BR126,0),0)</f>
        <v>0</v>
      </c>
      <c r="GT126" s="26">
        <f>IF(GT$2=InputTable[[#This Row],[Delivery Date]],_xlfn.XLOOKUP(GT$1,$BH$2:$BR$2,$BH126:$BR126,0),0)</f>
        <v>0</v>
      </c>
      <c r="GV126" s="26" t="e">
        <f>IF(GV$2=InputTable[[#This Row],[Delivery Date]],_xlfn.XLOOKUP(GV$1,$BH$2:$BR$2,$BH126:$BR126,0),0)</f>
        <v>#REF!</v>
      </c>
      <c r="GW126" s="26">
        <f>IF(GW$2=InputTable[[#This Row],[Delivery Date]],_xlfn.XLOOKUP(GW$1,$BH$2:$BR$2,$BH126:$BR126,0),0)</f>
        <v>0</v>
      </c>
      <c r="GX126" s="26">
        <f>IF(GX$2=InputTable[[#This Row],[Delivery Date]],_xlfn.XLOOKUP(GX$1,$BH$2:$BR$2,$BH126:$BR126,0),0)</f>
        <v>0</v>
      </c>
      <c r="GY126" s="26">
        <f>IF(GY$2=InputTable[[#This Row],[Delivery Date]],_xlfn.XLOOKUP(GY$1,$BH$2:$BR$2,$BH126:$BR126,0),0)</f>
        <v>0</v>
      </c>
      <c r="GZ126" s="26">
        <f>IF(GZ$2=InputTable[[#This Row],[Delivery Date]],_xlfn.XLOOKUP(GZ$1,$BH$2:$BR$2,$BH126:$BR126,0),0)</f>
        <v>0</v>
      </c>
      <c r="HA126" s="26">
        <f>IF(HA$2=InputTable[[#This Row],[Delivery Date]],_xlfn.XLOOKUP(HA$1,$BH$2:$BR$2,$BH126:$BR126,0),0)</f>
        <v>0</v>
      </c>
      <c r="HB126" s="26">
        <f>IF(HB$2=InputTable[[#This Row],[Delivery Date]],_xlfn.XLOOKUP(HB$1,$BH$2:$BR$2,$BH126:$BR126,0),0)</f>
        <v>0</v>
      </c>
      <c r="HC126" s="26">
        <f>IF(HC$2=InputTable[[#This Row],[Delivery Date]],_xlfn.XLOOKUP(HC$1,$BH$2:$BR$2,$BH126:$BR126,0),0)</f>
        <v>0</v>
      </c>
      <c r="HD126" s="26">
        <f>IF(HD$2=InputTable[[#This Row],[Delivery Date]],_xlfn.XLOOKUP(HD$1,$BH$2:$BR$2,$BH126:$BR126,0),0)</f>
        <v>0</v>
      </c>
      <c r="HF126" s="26" t="e">
        <f>IF(HF$2=InputTable[[#This Row],[Delivery Date]],_xlfn.XLOOKUP(HF$1,$BH$2:$BR$2,$BH126:$BR126,0),0)</f>
        <v>#REF!</v>
      </c>
      <c r="HG126" s="26">
        <f>IF(HG$2=InputTable[[#This Row],[Delivery Date]],_xlfn.XLOOKUP(HG$1,$BH$2:$BR$2,$BH126:$BR126,0),0)</f>
        <v>0</v>
      </c>
      <c r="HH126" s="26">
        <f>IF(HH$2=InputTable[[#This Row],[Delivery Date]],_xlfn.XLOOKUP(HH$1,$BH$2:$BR$2,$BH126:$BR126,0),0)</f>
        <v>0</v>
      </c>
      <c r="HI126" s="26">
        <f>IF(HI$2=InputTable[[#This Row],[Delivery Date]],_xlfn.XLOOKUP(HI$1,$BH$2:$BR$2,$BH126:$BR126,0),0)</f>
        <v>0</v>
      </c>
      <c r="HJ126" s="26">
        <f>IF(HJ$2=InputTable[[#This Row],[Delivery Date]],_xlfn.XLOOKUP(HJ$1,$BH$2:$BR$2,$BH126:$BR126,0),0)</f>
        <v>0</v>
      </c>
      <c r="HK126" s="26">
        <f>IF(HK$2=InputTable[[#This Row],[Delivery Date]],_xlfn.XLOOKUP(HK$1,$BH$2:$BR$2,$BH126:$BR126,0),0)</f>
        <v>0</v>
      </c>
      <c r="HL126" s="26">
        <f>IF(HL$2=InputTable[[#This Row],[Delivery Date]],_xlfn.XLOOKUP(HL$1,$BH$2:$BR$2,$BH126:$BR126,0),0)</f>
        <v>0</v>
      </c>
      <c r="HM126" s="26">
        <f>IF(HM$2=InputTable[[#This Row],[Delivery Date]],_xlfn.XLOOKUP(HM$1,$BH$2:$BR$2,$BH126:$BR126,0),0)</f>
        <v>0</v>
      </c>
      <c r="HN126" s="26">
        <f>IF(HN$2=InputTable[[#This Row],[Delivery Date]],_xlfn.XLOOKUP(HN$1,$BH$2:$BR$2,$BH126:$BR126,0),0)</f>
        <v>0</v>
      </c>
      <c r="HP126" s="26" t="e">
        <f>IF(HP$2=InputTable[[#This Row],[Delivery Date]],_xlfn.XLOOKUP(HP$1,$BH$2:$BR$2,$BH126:$BR126,0),0)</f>
        <v>#REF!</v>
      </c>
      <c r="HQ126" s="26">
        <f>IF(HQ$2=InputTable[[#This Row],[Delivery Date]],_xlfn.XLOOKUP(HQ$1,$BH$2:$BR$2,$BH126:$BR126,0),0)</f>
        <v>0</v>
      </c>
      <c r="HR126" s="26">
        <f>IF(HR$2=InputTable[[#This Row],[Delivery Date]],_xlfn.XLOOKUP(HR$1,$BH$2:$BR$2,$BH126:$BR126,0),0)</f>
        <v>0</v>
      </c>
      <c r="HS126" s="26">
        <f>IF(HS$2=InputTable[[#This Row],[Delivery Date]],_xlfn.XLOOKUP(HS$1,$BH$2:$BR$2,$BH126:$BR126,0),0)</f>
        <v>0</v>
      </c>
      <c r="HT126" s="26">
        <f>IF(HT$2=InputTable[[#This Row],[Delivery Date]],_xlfn.XLOOKUP(HT$1,$BH$2:$BR$2,$BH126:$BR126,0),0)</f>
        <v>0</v>
      </c>
      <c r="HU126" s="26">
        <f>IF(HU$2=InputTable[[#This Row],[Delivery Date]],_xlfn.XLOOKUP(HU$1,$BH$2:$BR$2,$BH126:$BR126,0),0)</f>
        <v>0</v>
      </c>
      <c r="HV126" s="26">
        <f>IF(HV$2=InputTable[[#This Row],[Delivery Date]],_xlfn.XLOOKUP(HV$1,$BH$2:$BR$2,$BH126:$BR126,0),0)</f>
        <v>0</v>
      </c>
      <c r="HW126" s="26">
        <f>IF(HW$2=InputTable[[#This Row],[Delivery Date]],_xlfn.XLOOKUP(HW$1,$BH$2:$BR$2,$BH126:$BR126,0),0)</f>
        <v>0</v>
      </c>
      <c r="HX126" s="26">
        <f>IF(HX$2=InputTable[[#This Row],[Delivery Date]],_xlfn.XLOOKUP(HX$1,$BH$2:$BR$2,$BH126:$BR126,0),0)</f>
        <v>0</v>
      </c>
      <c r="HZ126" s="26" t="e">
        <f>IF(HZ$2=InputTable[[#This Row],[Delivery Date]],_xlfn.XLOOKUP(HZ$1,$BH$2:$BR$2,$BH126:$BR126,0),0)</f>
        <v>#REF!</v>
      </c>
      <c r="IA126" s="26">
        <f>IF(IA$2=InputTable[[#This Row],[Delivery Date]],_xlfn.XLOOKUP(IA$1,$BH$2:$BR$2,$BH126:$BR126,0),0)</f>
        <v>0</v>
      </c>
      <c r="IB126" s="26">
        <f>IF(IB$2=InputTable[[#This Row],[Delivery Date]],_xlfn.XLOOKUP(IB$1,$BH$2:$BR$2,$BH126:$BR126,0),0)</f>
        <v>0</v>
      </c>
      <c r="IC126" s="26">
        <f>IF(IC$2=InputTable[[#This Row],[Delivery Date]],_xlfn.XLOOKUP(IC$1,$BH$2:$BR$2,$BH126:$BR126,0),0)</f>
        <v>0</v>
      </c>
      <c r="ID126" s="26">
        <f>IF(ID$2=InputTable[[#This Row],[Delivery Date]],_xlfn.XLOOKUP(ID$1,$BH$2:$BR$2,$BH126:$BR126,0),0)</f>
        <v>0</v>
      </c>
      <c r="IE126" s="26">
        <f>IF(IE$2=InputTable[[#This Row],[Delivery Date]],_xlfn.XLOOKUP(IE$1,$BH$2:$BR$2,$BH126:$BR126,0),0)</f>
        <v>0</v>
      </c>
      <c r="IF126" s="26">
        <f>IF(IF$2=InputTable[[#This Row],[Delivery Date]],_xlfn.XLOOKUP(IF$1,$BH$2:$BR$2,$BH126:$BR126,0),0)</f>
        <v>0</v>
      </c>
      <c r="IG126" s="26">
        <f>IF(IG$2=InputTable[[#This Row],[Delivery Date]],_xlfn.XLOOKUP(IG$1,$BH$2:$BR$2,$BH126:$BR126,0),0)</f>
        <v>0</v>
      </c>
      <c r="IH126" s="26">
        <f>IF(IH$2=InputTable[[#This Row],[Delivery Date]],_xlfn.XLOOKUP(IH$1,$BH$2:$BR$2,$BH126:$BR126,0),0)</f>
        <v>0</v>
      </c>
      <c r="IJ126" s="26" t="e">
        <f>IF(IJ$2=InputTable[[#This Row],[Delivery Date]],_xlfn.XLOOKUP(IJ$1,$BH$2:$BR$2,$BH126:$BR126,0),0)</f>
        <v>#REF!</v>
      </c>
      <c r="IK126" s="26">
        <f>IF(IK$2=InputTable[[#This Row],[Delivery Date]],_xlfn.XLOOKUP(IK$1,$BH$2:$BR$2,$BH126:$BR126,0),0)</f>
        <v>0</v>
      </c>
      <c r="IL126" s="26">
        <f>IF(IL$2=InputTable[[#This Row],[Delivery Date]],_xlfn.XLOOKUP(IL$1,$BH$2:$BR$2,$BH126:$BR126,0),0)</f>
        <v>0</v>
      </c>
      <c r="IM126" s="26">
        <f>IF(IM$2=InputTable[[#This Row],[Delivery Date]],_xlfn.XLOOKUP(IM$1,$BH$2:$BR$2,$BH126:$BR126,0),0)</f>
        <v>0</v>
      </c>
      <c r="IN126" s="26">
        <f>IF(IN$2=InputTable[[#This Row],[Delivery Date]],_xlfn.XLOOKUP(IN$1,$BH$2:$BR$2,$BH126:$BR126,0),0)</f>
        <v>0</v>
      </c>
      <c r="IO126" s="26">
        <f>IF(IO$2=InputTable[[#This Row],[Delivery Date]],_xlfn.XLOOKUP(IO$1,$BH$2:$BR$2,$BH126:$BR126,0),0)</f>
        <v>0</v>
      </c>
      <c r="IP126" s="26">
        <f>IF(IP$2=InputTable[[#This Row],[Delivery Date]],_xlfn.XLOOKUP(IP$1,$BH$2:$BR$2,$BH126:$BR126,0),0)</f>
        <v>0</v>
      </c>
      <c r="IQ126" s="26">
        <f>IF(IQ$2=InputTable[[#This Row],[Delivery Date]],_xlfn.XLOOKUP(IQ$1,$BH$2:$BR$2,$BH126:$BR126,0),0)</f>
        <v>0</v>
      </c>
      <c r="IR126" s="26">
        <f>IF(IR$2=InputTable[[#This Row],[Delivery Date]],_xlfn.XLOOKUP(IR$1,$BH$2:$BR$2,$BH126:$BR126,0),0)</f>
        <v>0</v>
      </c>
      <c r="IT126" s="26" t="e">
        <f>IF(IT$2=InputTable[[#This Row],[Delivery Date]],_xlfn.XLOOKUP(IT$1,$BH$2:$BR$2,$BH126:$BR126,0),0)</f>
        <v>#REF!</v>
      </c>
      <c r="IU126" s="26">
        <f>IF(IU$2=InputTable[[#This Row],[Delivery Date]],_xlfn.XLOOKUP(IU$1,$BH$2:$BR$2,$BH126:$BR126,0),0)</f>
        <v>0</v>
      </c>
      <c r="IV126" s="26">
        <f>IF(IV$2=InputTable[[#This Row],[Delivery Date]],_xlfn.XLOOKUP(IV$1,$BH$2:$BR$2,$BH126:$BR126,0),0)</f>
        <v>0</v>
      </c>
      <c r="IW126" s="26">
        <f>IF(IW$2=InputTable[[#This Row],[Delivery Date]],_xlfn.XLOOKUP(IW$1,$BH$2:$BR$2,$BH126:$BR126,0),0)</f>
        <v>0</v>
      </c>
      <c r="IX126" s="26">
        <f>IF(IX$2=InputTable[[#This Row],[Delivery Date]],_xlfn.XLOOKUP(IX$1,$BH$2:$BR$2,$BH126:$BR126,0),0)</f>
        <v>0</v>
      </c>
      <c r="IY126" s="26">
        <f>IF(IY$2=InputTable[[#This Row],[Delivery Date]],_xlfn.XLOOKUP(IY$1,$BH$2:$BR$2,$BH126:$BR126,0),0)</f>
        <v>0</v>
      </c>
      <c r="IZ126" s="26">
        <f>IF(IZ$2=InputTable[[#This Row],[Delivery Date]],_xlfn.XLOOKUP(IZ$1,$BH$2:$BR$2,$BH126:$BR126,0),0)</f>
        <v>0</v>
      </c>
      <c r="JA126" s="26">
        <f>IF(JA$2=InputTable[[#This Row],[Delivery Date]],_xlfn.XLOOKUP(JA$1,$BH$2:$BR$2,$BH126:$BR126,0),0)</f>
        <v>0</v>
      </c>
      <c r="JB126" s="26">
        <f>IF(JB$2=InputTable[[#This Row],[Delivery Date]],_xlfn.XLOOKUP(JB$1,$BH$2:$BR$2,$BH126:$BR126,0),0)</f>
        <v>0</v>
      </c>
      <c r="JD126" s="26" t="e">
        <f>IF(JD$2=InputTable[[#This Row],[Delivery Date]],_xlfn.XLOOKUP(JD$1,$BH$2:$BR$2,$BH126:$BR126,0),0)</f>
        <v>#REF!</v>
      </c>
      <c r="JE126" s="26">
        <f>IF(JE$2=InputTable[[#This Row],[Delivery Date]],_xlfn.XLOOKUP(JE$1,$BH$2:$BR$2,$BH126:$BR126,0),0)</f>
        <v>0</v>
      </c>
      <c r="JF126" s="26">
        <f>IF(JF$2=InputTable[[#This Row],[Delivery Date]],_xlfn.XLOOKUP(JF$1,$BH$2:$BR$2,$BH126:$BR126,0),0)</f>
        <v>0</v>
      </c>
      <c r="JG126" s="26">
        <f>IF(JG$2=InputTable[[#This Row],[Delivery Date]],_xlfn.XLOOKUP(JG$1,$BH$2:$BR$2,$BH126:$BR126,0),0)</f>
        <v>0</v>
      </c>
      <c r="JH126" s="26">
        <f>IF(JH$2=InputTable[[#This Row],[Delivery Date]],_xlfn.XLOOKUP(JH$1,$BH$2:$BR$2,$BH126:$BR126,0),0)</f>
        <v>0</v>
      </c>
      <c r="JI126" s="26">
        <f>IF(JI$2=InputTable[[#This Row],[Delivery Date]],_xlfn.XLOOKUP(JI$1,$BH$2:$BR$2,$BH126:$BR126,0),0)</f>
        <v>0</v>
      </c>
      <c r="JJ126" s="26">
        <f>IF(JJ$2=InputTable[[#This Row],[Delivery Date]],_xlfn.XLOOKUP(JJ$1,$BH$2:$BR$2,$BH126:$BR126,0),0)</f>
        <v>0</v>
      </c>
      <c r="JK126" s="26">
        <f>IF(JK$2=InputTable[[#This Row],[Delivery Date]],_xlfn.XLOOKUP(JK$1,$BH$2:$BR$2,$BH126:$BR126,0),0)</f>
        <v>0</v>
      </c>
      <c r="JL126" s="26">
        <f>IF(JL$2=InputTable[[#This Row],[Delivery Date]],_xlfn.XLOOKUP(JL$1,$BH$2:$BR$2,$BH126:$BR126,0),0)</f>
        <v>0</v>
      </c>
      <c r="JN126" s="26" t="e">
        <f>IF(JN$2=InputTable[[#This Row],[Delivery Date]],_xlfn.XLOOKUP(JN$1,$BH$2:$BR$2,$BH126:$BR126,0),0)</f>
        <v>#REF!</v>
      </c>
      <c r="JO126" s="26">
        <f>IF(JO$2=InputTable[[#This Row],[Delivery Date]],_xlfn.XLOOKUP(JO$1,$BH$2:$BR$2,$BH126:$BR126,0),0)</f>
        <v>0</v>
      </c>
      <c r="JP126" s="26">
        <f>IF(JP$2=InputTable[[#This Row],[Delivery Date]],_xlfn.XLOOKUP(JP$1,$BH$2:$BR$2,$BH126:$BR126,0),0)</f>
        <v>0</v>
      </c>
      <c r="JQ126" s="26">
        <f>IF(JQ$2=InputTable[[#This Row],[Delivery Date]],_xlfn.XLOOKUP(JQ$1,$BH$2:$BR$2,$BH126:$BR126,0),0)</f>
        <v>0</v>
      </c>
      <c r="JR126" s="26">
        <f>IF(JR$2=InputTable[[#This Row],[Delivery Date]],_xlfn.XLOOKUP(JR$1,$BH$2:$BR$2,$BH126:$BR126,0),0)</f>
        <v>0</v>
      </c>
      <c r="JS126" s="26">
        <f>IF(JS$2=InputTable[[#This Row],[Delivery Date]],_xlfn.XLOOKUP(JS$1,$BH$2:$BR$2,$BH126:$BR126,0),0)</f>
        <v>0</v>
      </c>
      <c r="JT126" s="26">
        <f>IF(JT$2=InputTable[[#This Row],[Delivery Date]],_xlfn.XLOOKUP(JT$1,$BH$2:$BR$2,$BH126:$BR126,0),0)</f>
        <v>0</v>
      </c>
      <c r="JU126" s="26">
        <f>IF(JU$2=InputTable[[#This Row],[Delivery Date]],_xlfn.XLOOKUP(JU$1,$BH$2:$BR$2,$BH126:$BR126,0),0)</f>
        <v>0</v>
      </c>
      <c r="JV126" s="26">
        <f>IF(JV$2=InputTable[[#This Row],[Delivery Date]],_xlfn.XLOOKUP(JV$1,$BH$2:$BR$2,$BH126:$BR126,0),0)</f>
        <v>0</v>
      </c>
      <c r="JX126" s="26" t="e">
        <f>IF(JX$2=InputTable[[#This Row],[Delivery Date]],_xlfn.XLOOKUP(JX$1,$BH$2:$BR$2,$BH126:$BR126,0),0)</f>
        <v>#REF!</v>
      </c>
      <c r="JY126" s="26">
        <f>IF(JY$2=InputTable[[#This Row],[Delivery Date]],_xlfn.XLOOKUP(JY$1,$BH$2:$BR$2,$BH126:$BR126,0),0)</f>
        <v>0</v>
      </c>
      <c r="JZ126" s="26">
        <f>IF(JZ$2=InputTable[[#This Row],[Delivery Date]],_xlfn.XLOOKUP(JZ$1,$BH$2:$BR$2,$BH126:$BR126,0),0)</f>
        <v>0</v>
      </c>
      <c r="KA126" s="26">
        <f>IF(KA$2=InputTable[[#This Row],[Delivery Date]],_xlfn.XLOOKUP(KA$1,$BH$2:$BR$2,$BH126:$BR126,0),0)</f>
        <v>0</v>
      </c>
      <c r="KB126" s="26">
        <f>IF(KB$2=InputTable[[#This Row],[Delivery Date]],_xlfn.XLOOKUP(KB$1,$BH$2:$BR$2,$BH126:$BR126,0),0)</f>
        <v>0</v>
      </c>
      <c r="KC126" s="26">
        <f>IF(KC$2=InputTable[[#This Row],[Delivery Date]],_xlfn.XLOOKUP(KC$1,$BH$2:$BR$2,$BH126:$BR126,0),0)</f>
        <v>0</v>
      </c>
      <c r="KD126" s="26">
        <f>IF(KD$2=InputTable[[#This Row],[Delivery Date]],_xlfn.XLOOKUP(KD$1,$BH$2:$BR$2,$BH126:$BR126,0),0)</f>
        <v>0</v>
      </c>
      <c r="KE126" s="26">
        <f>IF(KE$2=InputTable[[#This Row],[Delivery Date]],_xlfn.XLOOKUP(KE$1,$BH$2:$BR$2,$BH126:$BR126,0),0)</f>
        <v>0</v>
      </c>
      <c r="KF126" s="26">
        <f>IF(KF$2=InputTable[[#This Row],[Delivery Date]],_xlfn.XLOOKUP(KF$1,$BH$2:$BR$2,$BH126:$BR126,0),0)</f>
        <v>0</v>
      </c>
    </row>
    <row r="127" spans="1:292" ht="39.6" customHeight="1" x14ac:dyDescent="0.25">
      <c r="A127" s="141"/>
      <c r="B127" s="141"/>
      <c r="C127" s="92"/>
      <c r="D127" s="92"/>
      <c r="E127" s="93"/>
      <c r="F127" s="92"/>
      <c r="G127" s="92"/>
      <c r="H127" s="92"/>
      <c r="I127" s="92"/>
      <c r="J127" s="122"/>
      <c r="K127" s="95" t="e">
        <f>VLOOKUP((InputTable[[#This Row],[Starting Date]]&amp; " - " &amp;InputTable[[#This Row],[Delivery Date]]),'System List'!$F$40:$H$83,2,FALSE)</f>
        <v>#N/A</v>
      </c>
      <c r="L127" s="95" t="e">
        <f>VLOOKUP(InputTable[[#This Row],[Duration]],Duration,2,FALSE)</f>
        <v>#N/A</v>
      </c>
      <c r="M127" s="122"/>
      <c r="N127" s="92"/>
      <c r="O127" s="92"/>
      <c r="P127" s="92"/>
      <c r="Q127" s="92"/>
      <c r="R127" s="92"/>
      <c r="S127" s="92"/>
      <c r="T127" s="95"/>
      <c r="U127" s="138"/>
      <c r="V127" s="92"/>
      <c r="W127" s="92"/>
      <c r="X127" s="92"/>
      <c r="Y127" s="92"/>
      <c r="Z127" s="92"/>
      <c r="AA127" s="92"/>
      <c r="AB127" s="92"/>
      <c r="AC127" s="92"/>
      <c r="AD127" s="92">
        <f>COUNTA(InputTable[[#This Row],[CORPHRFIN]:[SALES]])</f>
        <v>0</v>
      </c>
      <c r="AE127" s="88" cm="1">
        <f t="array" ref="AE127">SUM(
_xlfn.XLOOKUP(InputTable[[#This Row],[CORPHRFIN]:[SALES]],'System List'!$F$4:$F$7,'System List'!$H$4:$H$7,0))</f>
        <v>0</v>
      </c>
      <c r="AF127" s="140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88" cm="1">
        <f t="array" ref="AR127">SUM(
_xlfn.XLOOKUP(InputTable[[#This Row],[Impact on - CIAL]:[Impact on - STRAT]],'System List'!$F$4:$F$7,'System List'!$H$4:$H$7,0))</f>
        <v>0</v>
      </c>
      <c r="AS127" s="88" t="e">
        <f>VLOOKUP(InputTable[[#This Row],[Duration]],Duration,2,FALSE)+InputTable[[#This Row],[Resource Score]]</f>
        <v>#N/A</v>
      </c>
      <c r="AT12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7" s="24" t="e">
        <f>InputTable[[#This Row],[Value Score]]/InputTable[[#This Row],[EFFORT SCORE]]*100</f>
        <v>#N/A</v>
      </c>
      <c r="AV127" s="25"/>
      <c r="AW127" s="25"/>
      <c r="AX127" s="208"/>
      <c r="AY127" s="25"/>
      <c r="AZ127" s="209">
        <v>0</v>
      </c>
      <c r="BA127" s="209">
        <v>0</v>
      </c>
      <c r="BB127" s="209"/>
      <c r="BC127" s="189"/>
      <c r="BD127" s="188"/>
      <c r="BE127" s="188"/>
      <c r="BF127" s="70"/>
      <c r="BH127" s="2">
        <f>IFERROR(VLOOKUP(InputTable[[#This Row],[Impact on - CIAL]],'System List'!$F$4:$H$7,3,FALSE),0)</f>
        <v>0</v>
      </c>
      <c r="BI127" s="2">
        <f>IFERROR(VLOOKUP(InputTable[[#This Row],[Impact on - COM]],'System List'!$F$4:$H$7,3,FALSE),0)</f>
        <v>0</v>
      </c>
      <c r="BJ127" s="2">
        <f>IFERROR(VLOOKUP(InputTable[[#This Row],[Impact on - FIN]],'System List'!$F$4:$H$7,3,FALSE),0)</f>
        <v>0</v>
      </c>
      <c r="BK127" s="2">
        <f>IFERROR(VLOOKUP(InputTable[[#This Row],[Impact on - GEN SEC]],'System List'!$F$4:$H$7,3,FALSE),0)</f>
        <v>0</v>
      </c>
      <c r="BL127" s="2">
        <f>IFERROR(VLOOKUP(InputTable[[#This Row],[Impact on - HR]],'System List'!$F$4:$H$7,3,FALSE),0)</f>
        <v>0</v>
      </c>
      <c r="BM127" s="2">
        <f>IFERROR(VLOOKUP(InputTable[[#This Row],[Impact on - IS]],'System List'!$F$4:$H$7,3,FALSE),0)</f>
        <v>0</v>
      </c>
      <c r="BN127" s="2">
        <f>IFERROR(VLOOKUP(InputTable[[#This Row],[Impact on - OPS]],'System List'!$F$4:$H$7,3,FALSE),0)</f>
        <v>0</v>
      </c>
      <c r="BO127" s="2">
        <f>IFERROR(VLOOKUP(InputTable[[#This Row],[Impact on - ROLL STOCK]],'System List'!$F$4:$H$7,3,FALSE),0)</f>
        <v>0</v>
      </c>
      <c r="BP127" s="2">
        <f>IFERROR(VLOOKUP(InputTable[[#This Row],[Impact on - SAFETY]],'System List'!$F$4:$H$7,3,FALSE),0)</f>
        <v>0</v>
      </c>
      <c r="BQ127" s="2">
        <f>IFERROR(VLOOKUP(InputTable[[#This Row],[Impact on - STATION]],'System List'!$F$4:$H$7,3,FALSE),0)</f>
        <v>0</v>
      </c>
      <c r="BR127" s="2">
        <f>IFERROR(VLOOKUP(InputTable[[#This Row],[Impact on - STRAT]],'System List'!$F$4:$H$7,3,FALSE),0)</f>
        <v>0</v>
      </c>
      <c r="BT127" s="2">
        <f>IFERROR(VLOOKUP(InputTable[[#This Row],[CORPHRFIN]],'System List'!$F$4:$H$7,3,FALSE),0)</f>
        <v>0</v>
      </c>
      <c r="BU127" s="2">
        <f>IFERROR(VLOOKUP(InputTable[[#This Row],[CUST]],'System List'!$F$4:$H$7,3,FALSE),0)</f>
        <v>0</v>
      </c>
      <c r="BV127" s="2">
        <f>IFERROR(VLOOKUP(InputTable[[#This Row],[CYBER]],'System List'!$F$4:$H$7,3,FALSE),0)</f>
        <v>0</v>
      </c>
      <c r="BW127" s="2">
        <f>IFERROR(VLOOKUP(InputTable[[#This Row],[DATA]],'System List'!$F$4:$H$7,3,FALSE),0)</f>
        <v>0</v>
      </c>
      <c r="BX127" s="2">
        <f>IFERROR(VLOOKUP(InputTable[[#This Row],[INFRA]],'System List'!$F$4:$H$7,3,FALSE),0)</f>
        <v>0</v>
      </c>
      <c r="BY127" s="2">
        <f>IFERROR(VLOOKUP(InputTable[[#This Row],[OPERATIONS]],'System List'!$F$4:$H$7,3,FALSE),0)</f>
        <v>0</v>
      </c>
      <c r="BZ127" s="2">
        <f>IFERROR(VLOOKUP(InputTable[[#This Row],[PMO]],'System List'!$F$4:$H$7,3,FALSE),0)</f>
        <v>0</v>
      </c>
      <c r="CA127" s="2">
        <f>IFERROR(VLOOKUP(InputTable[[#This Row],[SALES]],'System List'!$F$4:$H$7,3,FALSE),0)</f>
        <v>0</v>
      </c>
      <c r="CC127" s="2" cm="1">
        <f t="array" ref="CC12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7" s="2" cm="1">
        <f t="array" ref="CD12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7" s="2" cm="1">
        <f t="array" ref="CE12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7" s="2" cm="1">
        <f t="array" ref="CF12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7" s="2" cm="1">
        <f t="array" ref="CG12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7" s="2" cm="1">
        <f t="array" ref="CH12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7" s="2" cm="1">
        <f t="array" ref="CI12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7" s="2" cm="1">
        <f t="array" ref="CJ12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7" s="2" cm="1">
        <f t="array" ref="CK12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7" s="26">
        <f t="shared" si="307"/>
        <v>0</v>
      </c>
      <c r="CY127" s="26">
        <f t="shared" si="308"/>
        <v>0</v>
      </c>
      <c r="CZ127" s="26">
        <f t="shared" si="309"/>
        <v>0</v>
      </c>
      <c r="DA127" s="26">
        <f t="shared" si="310"/>
        <v>0</v>
      </c>
      <c r="DB127" s="26">
        <f t="shared" si="311"/>
        <v>0</v>
      </c>
      <c r="DC127" s="26">
        <f t="shared" si="312"/>
        <v>0</v>
      </c>
      <c r="DD127" s="26">
        <f t="shared" si="313"/>
        <v>0</v>
      </c>
      <c r="DE127" s="26">
        <f t="shared" si="314"/>
        <v>0</v>
      </c>
      <c r="DF127" s="26">
        <f t="shared" si="315"/>
        <v>0</v>
      </c>
      <c r="DH127" s="26">
        <f t="shared" si="316"/>
        <v>0</v>
      </c>
      <c r="DI127" s="26">
        <f t="shared" si="317"/>
        <v>0</v>
      </c>
      <c r="DJ127" s="26">
        <f t="shared" si="318"/>
        <v>0</v>
      </c>
      <c r="DK127" s="26">
        <f t="shared" si="319"/>
        <v>0</v>
      </c>
      <c r="DL127" s="26">
        <f t="shared" si="320"/>
        <v>0</v>
      </c>
      <c r="DM127" s="26">
        <f t="shared" si="321"/>
        <v>0</v>
      </c>
      <c r="DN127" s="26">
        <f t="shared" si="322"/>
        <v>0</v>
      </c>
      <c r="DO127" s="26">
        <f t="shared" si="323"/>
        <v>0</v>
      </c>
      <c r="DP127" s="26">
        <f t="shared" si="324"/>
        <v>0</v>
      </c>
      <c r="DR127" s="26">
        <f t="shared" si="325"/>
        <v>0</v>
      </c>
      <c r="DS127" s="26">
        <f t="shared" si="326"/>
        <v>0</v>
      </c>
      <c r="DT127" s="26">
        <f t="shared" si="327"/>
        <v>0</v>
      </c>
      <c r="DU127" s="26">
        <f t="shared" si="328"/>
        <v>0</v>
      </c>
      <c r="DV127" s="26">
        <f t="shared" si="329"/>
        <v>0</v>
      </c>
      <c r="DW127" s="26">
        <f t="shared" si="330"/>
        <v>0</v>
      </c>
      <c r="DX127" s="26">
        <f t="shared" si="331"/>
        <v>0</v>
      </c>
      <c r="DY127" s="26">
        <f t="shared" si="332"/>
        <v>0</v>
      </c>
      <c r="DZ127" s="26">
        <f t="shared" si="333"/>
        <v>0</v>
      </c>
      <c r="EB127" s="26">
        <f t="shared" si="334"/>
        <v>0</v>
      </c>
      <c r="EC127" s="26">
        <f t="shared" si="335"/>
        <v>0</v>
      </c>
      <c r="ED127" s="26">
        <f t="shared" si="336"/>
        <v>0</v>
      </c>
      <c r="EE127" s="26">
        <f t="shared" si="337"/>
        <v>0</v>
      </c>
      <c r="EF127" s="26">
        <f t="shared" si="338"/>
        <v>0</v>
      </c>
      <c r="EG127" s="26">
        <f t="shared" si="339"/>
        <v>0</v>
      </c>
      <c r="EH127" s="26">
        <f t="shared" si="340"/>
        <v>0</v>
      </c>
      <c r="EI127" s="26">
        <f t="shared" si="341"/>
        <v>0</v>
      </c>
      <c r="EJ127" s="26">
        <f t="shared" si="342"/>
        <v>0</v>
      </c>
      <c r="EL127" s="26">
        <f t="shared" si="343"/>
        <v>0</v>
      </c>
      <c r="EM127" s="26">
        <f t="shared" si="344"/>
        <v>0</v>
      </c>
      <c r="EN127" s="26">
        <f t="shared" si="345"/>
        <v>0</v>
      </c>
      <c r="EO127" s="26">
        <f t="shared" si="346"/>
        <v>0</v>
      </c>
      <c r="EP127" s="26">
        <f t="shared" si="347"/>
        <v>0</v>
      </c>
      <c r="EQ127" s="26">
        <f t="shared" si="348"/>
        <v>0</v>
      </c>
      <c r="ER127" s="26">
        <f t="shared" si="349"/>
        <v>0</v>
      </c>
      <c r="ES127" s="26">
        <f t="shared" si="350"/>
        <v>0</v>
      </c>
      <c r="ET127" s="26">
        <f t="shared" si="351"/>
        <v>0</v>
      </c>
      <c r="EV127" s="26">
        <f t="shared" si="352"/>
        <v>0</v>
      </c>
      <c r="EW127" s="26">
        <f t="shared" si="353"/>
        <v>0</v>
      </c>
      <c r="EX127" s="26">
        <f t="shared" si="354"/>
        <v>0</v>
      </c>
      <c r="EY127" s="26">
        <f t="shared" si="355"/>
        <v>0</v>
      </c>
      <c r="EZ127" s="26">
        <f t="shared" si="356"/>
        <v>0</v>
      </c>
      <c r="FA127" s="26">
        <f t="shared" si="357"/>
        <v>0</v>
      </c>
      <c r="FB127" s="26">
        <f t="shared" si="358"/>
        <v>0</v>
      </c>
      <c r="FC127" s="26">
        <f t="shared" si="359"/>
        <v>0</v>
      </c>
      <c r="FD127" s="26">
        <f t="shared" si="360"/>
        <v>0</v>
      </c>
      <c r="FF127" s="26">
        <f t="shared" si="361"/>
        <v>0</v>
      </c>
      <c r="FG127" s="26">
        <f t="shared" si="362"/>
        <v>0</v>
      </c>
      <c r="FH127" s="26">
        <f t="shared" si="363"/>
        <v>0</v>
      </c>
      <c r="FI127" s="26">
        <f t="shared" si="364"/>
        <v>0</v>
      </c>
      <c r="FJ127" s="26">
        <f t="shared" si="365"/>
        <v>0</v>
      </c>
      <c r="FK127" s="26">
        <f t="shared" si="366"/>
        <v>0</v>
      </c>
      <c r="FL127" s="26">
        <f t="shared" si="367"/>
        <v>0</v>
      </c>
      <c r="FM127" s="26">
        <f t="shared" si="368"/>
        <v>0</v>
      </c>
      <c r="FN127" s="26">
        <f t="shared" si="369"/>
        <v>0</v>
      </c>
      <c r="FP127" s="26" t="e">
        <f t="shared" si="370"/>
        <v>#REF!</v>
      </c>
      <c r="FQ127" s="26" t="e">
        <f t="shared" si="371"/>
        <v>#REF!</v>
      </c>
      <c r="FR127" s="26" t="e">
        <f t="shared" si="372"/>
        <v>#REF!</v>
      </c>
      <c r="FS127" s="26" t="e">
        <f t="shared" si="373"/>
        <v>#REF!</v>
      </c>
      <c r="FT127" s="26" t="e">
        <f t="shared" si="374"/>
        <v>#REF!</v>
      </c>
      <c r="FU127" s="26" t="e">
        <f t="shared" si="375"/>
        <v>#REF!</v>
      </c>
      <c r="FV127" s="26" t="e">
        <f t="shared" si="376"/>
        <v>#REF!</v>
      </c>
      <c r="FW127" s="26" t="e">
        <f t="shared" si="377"/>
        <v>#REF!</v>
      </c>
      <c r="FX127" s="26" t="e">
        <f t="shared" si="378"/>
        <v>#REF!</v>
      </c>
      <c r="GB127" s="26" t="e">
        <f>IF(GB$2=InputTable[[#This Row],[Delivery Date]],_xlfn.XLOOKUP(GB$1,$BH$2:$BR$2,$BH127:$BR127,0),0)</f>
        <v>#REF!</v>
      </c>
      <c r="GC127" s="26">
        <f>IF(GC$2=InputTable[[#This Row],[Delivery Date]],_xlfn.XLOOKUP(GC$1,$BH$2:$BR$2,$BH127:$BR127,0),0)</f>
        <v>0</v>
      </c>
      <c r="GD127" s="26">
        <f>IF(GD$2=InputTable[[#This Row],[Delivery Date]],_xlfn.XLOOKUP(GD$1,$BH$2:$BR$2,$BH127:$BR127,0),0)</f>
        <v>0</v>
      </c>
      <c r="GE127" s="26">
        <f>IF(GE$2=InputTable[[#This Row],[Delivery Date]],_xlfn.XLOOKUP(GE$1,$BH$2:$BR$2,$BH127:$BR127,0),0)</f>
        <v>0</v>
      </c>
      <c r="GF127" s="26">
        <f>IF(GF$2=InputTable[[#This Row],[Delivery Date]],_xlfn.XLOOKUP(GF$1,$BH$2:$BR$2,$BH127:$BR127,0),0)</f>
        <v>0</v>
      </c>
      <c r="GG127" s="26">
        <f>IF(GG$2=InputTable[[#This Row],[Delivery Date]],_xlfn.XLOOKUP(GG$1,$BH$2:$BR$2,$BH127:$BR127,0),0)</f>
        <v>0</v>
      </c>
      <c r="GH127" s="26">
        <f>IF(GH$2=InputTable[[#This Row],[Delivery Date]],_xlfn.XLOOKUP(GH$1,$BH$2:$BR$2,$BH127:$BR127,0),0)</f>
        <v>0</v>
      </c>
      <c r="GI127" s="26">
        <f>IF(GI$2=InputTable[[#This Row],[Delivery Date]],_xlfn.XLOOKUP(GI$1,$BH$2:$BR$2,$BH127:$BR127,0),0)</f>
        <v>0</v>
      </c>
      <c r="GJ127" s="26">
        <f>IF(GJ$2=InputTable[[#This Row],[Delivery Date]],_xlfn.XLOOKUP(GJ$1,$BH$2:$BR$2,$BH127:$BR127,0),0)</f>
        <v>0</v>
      </c>
      <c r="GL127" s="26" t="e">
        <f>IF(GL$2=InputTable[[#This Row],[Delivery Date]],_xlfn.XLOOKUP(GL$1,$BH$2:$BR$2,$BH127:$BR127,0),0)</f>
        <v>#REF!</v>
      </c>
      <c r="GM127" s="26">
        <f>IF(GM$2=InputTable[[#This Row],[Delivery Date]],_xlfn.XLOOKUP(GM$1,$BH$2:$BR$2,$BH127:$BR127,0),0)</f>
        <v>0</v>
      </c>
      <c r="GN127" s="26">
        <f>IF(GN$2=InputTable[[#This Row],[Delivery Date]],_xlfn.XLOOKUP(GN$1,$BH$2:$BR$2,$BH127:$BR127,0),0)</f>
        <v>0</v>
      </c>
      <c r="GO127" s="26">
        <f>IF(GO$2=InputTable[[#This Row],[Delivery Date]],_xlfn.XLOOKUP(GO$1,$BH$2:$BR$2,$BH127:$BR127,0),0)</f>
        <v>0</v>
      </c>
      <c r="GP127" s="26">
        <f>IF(GP$2=InputTable[[#This Row],[Delivery Date]],_xlfn.XLOOKUP(GP$1,$BH$2:$BR$2,$BH127:$BR127,0),0)</f>
        <v>0</v>
      </c>
      <c r="GQ127" s="26">
        <f>IF(GQ$2=InputTable[[#This Row],[Delivery Date]],_xlfn.XLOOKUP(GQ$1,$BH$2:$BR$2,$BH127:$BR127,0),0)</f>
        <v>0</v>
      </c>
      <c r="GR127" s="26">
        <f>IF(GR$2=InputTable[[#This Row],[Delivery Date]],_xlfn.XLOOKUP(GR$1,$BH$2:$BR$2,$BH127:$BR127,0),0)</f>
        <v>0</v>
      </c>
      <c r="GS127" s="26">
        <f>IF(GS$2=InputTable[[#This Row],[Delivery Date]],_xlfn.XLOOKUP(GS$1,$BH$2:$BR$2,$BH127:$BR127,0),0)</f>
        <v>0</v>
      </c>
      <c r="GT127" s="26">
        <f>IF(GT$2=InputTable[[#This Row],[Delivery Date]],_xlfn.XLOOKUP(GT$1,$BH$2:$BR$2,$BH127:$BR127,0),0)</f>
        <v>0</v>
      </c>
      <c r="GV127" s="26" t="e">
        <f>IF(GV$2=InputTable[[#This Row],[Delivery Date]],_xlfn.XLOOKUP(GV$1,$BH$2:$BR$2,$BH127:$BR127,0),0)</f>
        <v>#REF!</v>
      </c>
      <c r="GW127" s="26">
        <f>IF(GW$2=InputTable[[#This Row],[Delivery Date]],_xlfn.XLOOKUP(GW$1,$BH$2:$BR$2,$BH127:$BR127,0),0)</f>
        <v>0</v>
      </c>
      <c r="GX127" s="26">
        <f>IF(GX$2=InputTable[[#This Row],[Delivery Date]],_xlfn.XLOOKUP(GX$1,$BH$2:$BR$2,$BH127:$BR127,0),0)</f>
        <v>0</v>
      </c>
      <c r="GY127" s="26">
        <f>IF(GY$2=InputTable[[#This Row],[Delivery Date]],_xlfn.XLOOKUP(GY$1,$BH$2:$BR$2,$BH127:$BR127,0),0)</f>
        <v>0</v>
      </c>
      <c r="GZ127" s="26">
        <f>IF(GZ$2=InputTable[[#This Row],[Delivery Date]],_xlfn.XLOOKUP(GZ$1,$BH$2:$BR$2,$BH127:$BR127,0),0)</f>
        <v>0</v>
      </c>
      <c r="HA127" s="26">
        <f>IF(HA$2=InputTable[[#This Row],[Delivery Date]],_xlfn.XLOOKUP(HA$1,$BH$2:$BR$2,$BH127:$BR127,0),0)</f>
        <v>0</v>
      </c>
      <c r="HB127" s="26">
        <f>IF(HB$2=InputTable[[#This Row],[Delivery Date]],_xlfn.XLOOKUP(HB$1,$BH$2:$BR$2,$BH127:$BR127,0),0)</f>
        <v>0</v>
      </c>
      <c r="HC127" s="26">
        <f>IF(HC$2=InputTable[[#This Row],[Delivery Date]],_xlfn.XLOOKUP(HC$1,$BH$2:$BR$2,$BH127:$BR127,0),0)</f>
        <v>0</v>
      </c>
      <c r="HD127" s="26">
        <f>IF(HD$2=InputTable[[#This Row],[Delivery Date]],_xlfn.XLOOKUP(HD$1,$BH$2:$BR$2,$BH127:$BR127,0),0)</f>
        <v>0</v>
      </c>
      <c r="HF127" s="26" t="e">
        <f>IF(HF$2=InputTable[[#This Row],[Delivery Date]],_xlfn.XLOOKUP(HF$1,$BH$2:$BR$2,$BH127:$BR127,0),0)</f>
        <v>#REF!</v>
      </c>
      <c r="HG127" s="26">
        <f>IF(HG$2=InputTable[[#This Row],[Delivery Date]],_xlfn.XLOOKUP(HG$1,$BH$2:$BR$2,$BH127:$BR127,0),0)</f>
        <v>0</v>
      </c>
      <c r="HH127" s="26">
        <f>IF(HH$2=InputTable[[#This Row],[Delivery Date]],_xlfn.XLOOKUP(HH$1,$BH$2:$BR$2,$BH127:$BR127,0),0)</f>
        <v>0</v>
      </c>
      <c r="HI127" s="26">
        <f>IF(HI$2=InputTable[[#This Row],[Delivery Date]],_xlfn.XLOOKUP(HI$1,$BH$2:$BR$2,$BH127:$BR127,0),0)</f>
        <v>0</v>
      </c>
      <c r="HJ127" s="26">
        <f>IF(HJ$2=InputTable[[#This Row],[Delivery Date]],_xlfn.XLOOKUP(HJ$1,$BH$2:$BR$2,$BH127:$BR127,0),0)</f>
        <v>0</v>
      </c>
      <c r="HK127" s="26">
        <f>IF(HK$2=InputTable[[#This Row],[Delivery Date]],_xlfn.XLOOKUP(HK$1,$BH$2:$BR$2,$BH127:$BR127,0),0)</f>
        <v>0</v>
      </c>
      <c r="HL127" s="26">
        <f>IF(HL$2=InputTable[[#This Row],[Delivery Date]],_xlfn.XLOOKUP(HL$1,$BH$2:$BR$2,$BH127:$BR127,0),0)</f>
        <v>0</v>
      </c>
      <c r="HM127" s="26">
        <f>IF(HM$2=InputTable[[#This Row],[Delivery Date]],_xlfn.XLOOKUP(HM$1,$BH$2:$BR$2,$BH127:$BR127,0),0)</f>
        <v>0</v>
      </c>
      <c r="HN127" s="26">
        <f>IF(HN$2=InputTable[[#This Row],[Delivery Date]],_xlfn.XLOOKUP(HN$1,$BH$2:$BR$2,$BH127:$BR127,0),0)</f>
        <v>0</v>
      </c>
      <c r="HP127" s="26" t="e">
        <f>IF(HP$2=InputTable[[#This Row],[Delivery Date]],_xlfn.XLOOKUP(HP$1,$BH$2:$BR$2,$BH127:$BR127,0),0)</f>
        <v>#REF!</v>
      </c>
      <c r="HQ127" s="26">
        <f>IF(HQ$2=InputTable[[#This Row],[Delivery Date]],_xlfn.XLOOKUP(HQ$1,$BH$2:$BR$2,$BH127:$BR127,0),0)</f>
        <v>0</v>
      </c>
      <c r="HR127" s="26">
        <f>IF(HR$2=InputTable[[#This Row],[Delivery Date]],_xlfn.XLOOKUP(HR$1,$BH$2:$BR$2,$BH127:$BR127,0),0)</f>
        <v>0</v>
      </c>
      <c r="HS127" s="26">
        <f>IF(HS$2=InputTable[[#This Row],[Delivery Date]],_xlfn.XLOOKUP(HS$1,$BH$2:$BR$2,$BH127:$BR127,0),0)</f>
        <v>0</v>
      </c>
      <c r="HT127" s="26">
        <f>IF(HT$2=InputTable[[#This Row],[Delivery Date]],_xlfn.XLOOKUP(HT$1,$BH$2:$BR$2,$BH127:$BR127,0),0)</f>
        <v>0</v>
      </c>
      <c r="HU127" s="26">
        <f>IF(HU$2=InputTable[[#This Row],[Delivery Date]],_xlfn.XLOOKUP(HU$1,$BH$2:$BR$2,$BH127:$BR127,0),0)</f>
        <v>0</v>
      </c>
      <c r="HV127" s="26">
        <f>IF(HV$2=InputTable[[#This Row],[Delivery Date]],_xlfn.XLOOKUP(HV$1,$BH$2:$BR$2,$BH127:$BR127,0),0)</f>
        <v>0</v>
      </c>
      <c r="HW127" s="26">
        <f>IF(HW$2=InputTable[[#This Row],[Delivery Date]],_xlfn.XLOOKUP(HW$1,$BH$2:$BR$2,$BH127:$BR127,0),0)</f>
        <v>0</v>
      </c>
      <c r="HX127" s="26">
        <f>IF(HX$2=InputTable[[#This Row],[Delivery Date]],_xlfn.XLOOKUP(HX$1,$BH$2:$BR$2,$BH127:$BR127,0),0)</f>
        <v>0</v>
      </c>
      <c r="HZ127" s="26" t="e">
        <f>IF(HZ$2=InputTable[[#This Row],[Delivery Date]],_xlfn.XLOOKUP(HZ$1,$BH$2:$BR$2,$BH127:$BR127,0),0)</f>
        <v>#REF!</v>
      </c>
      <c r="IA127" s="26">
        <f>IF(IA$2=InputTable[[#This Row],[Delivery Date]],_xlfn.XLOOKUP(IA$1,$BH$2:$BR$2,$BH127:$BR127,0),0)</f>
        <v>0</v>
      </c>
      <c r="IB127" s="26">
        <f>IF(IB$2=InputTable[[#This Row],[Delivery Date]],_xlfn.XLOOKUP(IB$1,$BH$2:$BR$2,$BH127:$BR127,0),0)</f>
        <v>0</v>
      </c>
      <c r="IC127" s="26">
        <f>IF(IC$2=InputTable[[#This Row],[Delivery Date]],_xlfn.XLOOKUP(IC$1,$BH$2:$BR$2,$BH127:$BR127,0),0)</f>
        <v>0</v>
      </c>
      <c r="ID127" s="26">
        <f>IF(ID$2=InputTable[[#This Row],[Delivery Date]],_xlfn.XLOOKUP(ID$1,$BH$2:$BR$2,$BH127:$BR127,0),0)</f>
        <v>0</v>
      </c>
      <c r="IE127" s="26">
        <f>IF(IE$2=InputTable[[#This Row],[Delivery Date]],_xlfn.XLOOKUP(IE$1,$BH$2:$BR$2,$BH127:$BR127,0),0)</f>
        <v>0</v>
      </c>
      <c r="IF127" s="26">
        <f>IF(IF$2=InputTable[[#This Row],[Delivery Date]],_xlfn.XLOOKUP(IF$1,$BH$2:$BR$2,$BH127:$BR127,0),0)</f>
        <v>0</v>
      </c>
      <c r="IG127" s="26">
        <f>IF(IG$2=InputTable[[#This Row],[Delivery Date]],_xlfn.XLOOKUP(IG$1,$BH$2:$BR$2,$BH127:$BR127,0),0)</f>
        <v>0</v>
      </c>
      <c r="IH127" s="26">
        <f>IF(IH$2=InputTable[[#This Row],[Delivery Date]],_xlfn.XLOOKUP(IH$1,$BH$2:$BR$2,$BH127:$BR127,0),0)</f>
        <v>0</v>
      </c>
      <c r="IJ127" s="26" t="e">
        <f>IF(IJ$2=InputTable[[#This Row],[Delivery Date]],_xlfn.XLOOKUP(IJ$1,$BH$2:$BR$2,$BH127:$BR127,0),0)</f>
        <v>#REF!</v>
      </c>
      <c r="IK127" s="26">
        <f>IF(IK$2=InputTable[[#This Row],[Delivery Date]],_xlfn.XLOOKUP(IK$1,$BH$2:$BR$2,$BH127:$BR127,0),0)</f>
        <v>0</v>
      </c>
      <c r="IL127" s="26">
        <f>IF(IL$2=InputTable[[#This Row],[Delivery Date]],_xlfn.XLOOKUP(IL$1,$BH$2:$BR$2,$BH127:$BR127,0),0)</f>
        <v>0</v>
      </c>
      <c r="IM127" s="26">
        <f>IF(IM$2=InputTable[[#This Row],[Delivery Date]],_xlfn.XLOOKUP(IM$1,$BH$2:$BR$2,$BH127:$BR127,0),0)</f>
        <v>0</v>
      </c>
      <c r="IN127" s="26">
        <f>IF(IN$2=InputTable[[#This Row],[Delivery Date]],_xlfn.XLOOKUP(IN$1,$BH$2:$BR$2,$BH127:$BR127,0),0)</f>
        <v>0</v>
      </c>
      <c r="IO127" s="26">
        <f>IF(IO$2=InputTable[[#This Row],[Delivery Date]],_xlfn.XLOOKUP(IO$1,$BH$2:$BR$2,$BH127:$BR127,0),0)</f>
        <v>0</v>
      </c>
      <c r="IP127" s="26">
        <f>IF(IP$2=InputTable[[#This Row],[Delivery Date]],_xlfn.XLOOKUP(IP$1,$BH$2:$BR$2,$BH127:$BR127,0),0)</f>
        <v>0</v>
      </c>
      <c r="IQ127" s="26">
        <f>IF(IQ$2=InputTable[[#This Row],[Delivery Date]],_xlfn.XLOOKUP(IQ$1,$BH$2:$BR$2,$BH127:$BR127,0),0)</f>
        <v>0</v>
      </c>
      <c r="IR127" s="26">
        <f>IF(IR$2=InputTable[[#This Row],[Delivery Date]],_xlfn.XLOOKUP(IR$1,$BH$2:$BR$2,$BH127:$BR127,0),0)</f>
        <v>0</v>
      </c>
      <c r="IT127" s="26" t="e">
        <f>IF(IT$2=InputTable[[#This Row],[Delivery Date]],_xlfn.XLOOKUP(IT$1,$BH$2:$BR$2,$BH127:$BR127,0),0)</f>
        <v>#REF!</v>
      </c>
      <c r="IU127" s="26">
        <f>IF(IU$2=InputTable[[#This Row],[Delivery Date]],_xlfn.XLOOKUP(IU$1,$BH$2:$BR$2,$BH127:$BR127,0),0)</f>
        <v>0</v>
      </c>
      <c r="IV127" s="26">
        <f>IF(IV$2=InputTable[[#This Row],[Delivery Date]],_xlfn.XLOOKUP(IV$1,$BH$2:$BR$2,$BH127:$BR127,0),0)</f>
        <v>0</v>
      </c>
      <c r="IW127" s="26">
        <f>IF(IW$2=InputTable[[#This Row],[Delivery Date]],_xlfn.XLOOKUP(IW$1,$BH$2:$BR$2,$BH127:$BR127,0),0)</f>
        <v>0</v>
      </c>
      <c r="IX127" s="26">
        <f>IF(IX$2=InputTable[[#This Row],[Delivery Date]],_xlfn.XLOOKUP(IX$1,$BH$2:$BR$2,$BH127:$BR127,0),0)</f>
        <v>0</v>
      </c>
      <c r="IY127" s="26">
        <f>IF(IY$2=InputTable[[#This Row],[Delivery Date]],_xlfn.XLOOKUP(IY$1,$BH$2:$BR$2,$BH127:$BR127,0),0)</f>
        <v>0</v>
      </c>
      <c r="IZ127" s="26">
        <f>IF(IZ$2=InputTable[[#This Row],[Delivery Date]],_xlfn.XLOOKUP(IZ$1,$BH$2:$BR$2,$BH127:$BR127,0),0)</f>
        <v>0</v>
      </c>
      <c r="JA127" s="26">
        <f>IF(JA$2=InputTable[[#This Row],[Delivery Date]],_xlfn.XLOOKUP(JA$1,$BH$2:$BR$2,$BH127:$BR127,0),0)</f>
        <v>0</v>
      </c>
      <c r="JB127" s="26">
        <f>IF(JB$2=InputTable[[#This Row],[Delivery Date]],_xlfn.XLOOKUP(JB$1,$BH$2:$BR$2,$BH127:$BR127,0),0)</f>
        <v>0</v>
      </c>
      <c r="JD127" s="26" t="e">
        <f>IF(JD$2=InputTable[[#This Row],[Delivery Date]],_xlfn.XLOOKUP(JD$1,$BH$2:$BR$2,$BH127:$BR127,0),0)</f>
        <v>#REF!</v>
      </c>
      <c r="JE127" s="26">
        <f>IF(JE$2=InputTable[[#This Row],[Delivery Date]],_xlfn.XLOOKUP(JE$1,$BH$2:$BR$2,$BH127:$BR127,0),0)</f>
        <v>0</v>
      </c>
      <c r="JF127" s="26">
        <f>IF(JF$2=InputTable[[#This Row],[Delivery Date]],_xlfn.XLOOKUP(JF$1,$BH$2:$BR$2,$BH127:$BR127,0),0)</f>
        <v>0</v>
      </c>
      <c r="JG127" s="26">
        <f>IF(JG$2=InputTable[[#This Row],[Delivery Date]],_xlfn.XLOOKUP(JG$1,$BH$2:$BR$2,$BH127:$BR127,0),0)</f>
        <v>0</v>
      </c>
      <c r="JH127" s="26">
        <f>IF(JH$2=InputTable[[#This Row],[Delivery Date]],_xlfn.XLOOKUP(JH$1,$BH$2:$BR$2,$BH127:$BR127,0),0)</f>
        <v>0</v>
      </c>
      <c r="JI127" s="26">
        <f>IF(JI$2=InputTable[[#This Row],[Delivery Date]],_xlfn.XLOOKUP(JI$1,$BH$2:$BR$2,$BH127:$BR127,0),0)</f>
        <v>0</v>
      </c>
      <c r="JJ127" s="26">
        <f>IF(JJ$2=InputTable[[#This Row],[Delivery Date]],_xlfn.XLOOKUP(JJ$1,$BH$2:$BR$2,$BH127:$BR127,0),0)</f>
        <v>0</v>
      </c>
      <c r="JK127" s="26">
        <f>IF(JK$2=InputTable[[#This Row],[Delivery Date]],_xlfn.XLOOKUP(JK$1,$BH$2:$BR$2,$BH127:$BR127,0),0)</f>
        <v>0</v>
      </c>
      <c r="JL127" s="26">
        <f>IF(JL$2=InputTable[[#This Row],[Delivery Date]],_xlfn.XLOOKUP(JL$1,$BH$2:$BR$2,$BH127:$BR127,0),0)</f>
        <v>0</v>
      </c>
      <c r="JN127" s="26" t="e">
        <f>IF(JN$2=InputTable[[#This Row],[Delivery Date]],_xlfn.XLOOKUP(JN$1,$BH$2:$BR$2,$BH127:$BR127,0),0)</f>
        <v>#REF!</v>
      </c>
      <c r="JO127" s="26">
        <f>IF(JO$2=InputTable[[#This Row],[Delivery Date]],_xlfn.XLOOKUP(JO$1,$BH$2:$BR$2,$BH127:$BR127,0),0)</f>
        <v>0</v>
      </c>
      <c r="JP127" s="26">
        <f>IF(JP$2=InputTable[[#This Row],[Delivery Date]],_xlfn.XLOOKUP(JP$1,$BH$2:$BR$2,$BH127:$BR127,0),0)</f>
        <v>0</v>
      </c>
      <c r="JQ127" s="26">
        <f>IF(JQ$2=InputTable[[#This Row],[Delivery Date]],_xlfn.XLOOKUP(JQ$1,$BH$2:$BR$2,$BH127:$BR127,0),0)</f>
        <v>0</v>
      </c>
      <c r="JR127" s="26">
        <f>IF(JR$2=InputTable[[#This Row],[Delivery Date]],_xlfn.XLOOKUP(JR$1,$BH$2:$BR$2,$BH127:$BR127,0),0)</f>
        <v>0</v>
      </c>
      <c r="JS127" s="26">
        <f>IF(JS$2=InputTable[[#This Row],[Delivery Date]],_xlfn.XLOOKUP(JS$1,$BH$2:$BR$2,$BH127:$BR127,0),0)</f>
        <v>0</v>
      </c>
      <c r="JT127" s="26">
        <f>IF(JT$2=InputTable[[#This Row],[Delivery Date]],_xlfn.XLOOKUP(JT$1,$BH$2:$BR$2,$BH127:$BR127,0),0)</f>
        <v>0</v>
      </c>
      <c r="JU127" s="26">
        <f>IF(JU$2=InputTable[[#This Row],[Delivery Date]],_xlfn.XLOOKUP(JU$1,$BH$2:$BR$2,$BH127:$BR127,0),0)</f>
        <v>0</v>
      </c>
      <c r="JV127" s="26">
        <f>IF(JV$2=InputTable[[#This Row],[Delivery Date]],_xlfn.XLOOKUP(JV$1,$BH$2:$BR$2,$BH127:$BR127,0),0)</f>
        <v>0</v>
      </c>
      <c r="JX127" s="26" t="e">
        <f>IF(JX$2=InputTable[[#This Row],[Delivery Date]],_xlfn.XLOOKUP(JX$1,$BH$2:$BR$2,$BH127:$BR127,0),0)</f>
        <v>#REF!</v>
      </c>
      <c r="JY127" s="26">
        <f>IF(JY$2=InputTable[[#This Row],[Delivery Date]],_xlfn.XLOOKUP(JY$1,$BH$2:$BR$2,$BH127:$BR127,0),0)</f>
        <v>0</v>
      </c>
      <c r="JZ127" s="26">
        <f>IF(JZ$2=InputTable[[#This Row],[Delivery Date]],_xlfn.XLOOKUP(JZ$1,$BH$2:$BR$2,$BH127:$BR127,0),0)</f>
        <v>0</v>
      </c>
      <c r="KA127" s="26">
        <f>IF(KA$2=InputTable[[#This Row],[Delivery Date]],_xlfn.XLOOKUP(KA$1,$BH$2:$BR$2,$BH127:$BR127,0),0)</f>
        <v>0</v>
      </c>
      <c r="KB127" s="26">
        <f>IF(KB$2=InputTable[[#This Row],[Delivery Date]],_xlfn.XLOOKUP(KB$1,$BH$2:$BR$2,$BH127:$BR127,0),0)</f>
        <v>0</v>
      </c>
      <c r="KC127" s="26">
        <f>IF(KC$2=InputTable[[#This Row],[Delivery Date]],_xlfn.XLOOKUP(KC$1,$BH$2:$BR$2,$BH127:$BR127,0),0)</f>
        <v>0</v>
      </c>
      <c r="KD127" s="26">
        <f>IF(KD$2=InputTable[[#This Row],[Delivery Date]],_xlfn.XLOOKUP(KD$1,$BH$2:$BR$2,$BH127:$BR127,0),0)</f>
        <v>0</v>
      </c>
      <c r="KE127" s="26">
        <f>IF(KE$2=InputTable[[#This Row],[Delivery Date]],_xlfn.XLOOKUP(KE$1,$BH$2:$BR$2,$BH127:$BR127,0),0)</f>
        <v>0</v>
      </c>
      <c r="KF127" s="26">
        <f>IF(KF$2=InputTable[[#This Row],[Delivery Date]],_xlfn.XLOOKUP(KF$1,$BH$2:$BR$2,$BH127:$BR127,0),0)</f>
        <v>0</v>
      </c>
    </row>
    <row r="128" spans="1:292" ht="39.6" customHeight="1" x14ac:dyDescent="0.25">
      <c r="A128" s="141"/>
      <c r="B128" s="141"/>
      <c r="C128" s="92"/>
      <c r="D128" s="92"/>
      <c r="E128" s="93"/>
      <c r="F128" s="92"/>
      <c r="G128" s="92"/>
      <c r="H128" s="92"/>
      <c r="I128" s="92"/>
      <c r="J128" s="122"/>
      <c r="K128" s="95" t="e">
        <f>VLOOKUP((InputTable[[#This Row],[Starting Date]]&amp; " - " &amp;InputTable[[#This Row],[Delivery Date]]),'System List'!$F$40:$H$83,2,FALSE)</f>
        <v>#N/A</v>
      </c>
      <c r="L128" s="95" t="e">
        <f>VLOOKUP(InputTable[[#This Row],[Duration]],Duration,2,FALSE)</f>
        <v>#N/A</v>
      </c>
      <c r="M128" s="122"/>
      <c r="N128" s="92"/>
      <c r="O128" s="92"/>
      <c r="P128" s="92"/>
      <c r="Q128" s="92"/>
      <c r="R128" s="92"/>
      <c r="S128" s="92"/>
      <c r="T128" s="95"/>
      <c r="U128" s="138"/>
      <c r="V128" s="92"/>
      <c r="W128" s="92"/>
      <c r="X128" s="92"/>
      <c r="Y128" s="92"/>
      <c r="Z128" s="92"/>
      <c r="AA128" s="92"/>
      <c r="AB128" s="92"/>
      <c r="AC128" s="92"/>
      <c r="AD128" s="92">
        <f>COUNTA(InputTable[[#This Row],[CORPHRFIN]:[SALES]])</f>
        <v>0</v>
      </c>
      <c r="AE128" s="88" cm="1">
        <f t="array" ref="AE128">SUM(
_xlfn.XLOOKUP(InputTable[[#This Row],[CORPHRFIN]:[SALES]],'System List'!$F$4:$F$7,'System List'!$H$4:$H$7,0))</f>
        <v>0</v>
      </c>
      <c r="AF128" s="140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88" cm="1">
        <f t="array" ref="AR128">SUM(
_xlfn.XLOOKUP(InputTable[[#This Row],[Impact on - CIAL]:[Impact on - STRAT]],'System List'!$F$4:$F$7,'System List'!$H$4:$H$7,0))</f>
        <v>0</v>
      </c>
      <c r="AS128" s="88" t="e">
        <f>VLOOKUP(InputTable[[#This Row],[Duration]],Duration,2,FALSE)+InputTable[[#This Row],[Resource Score]]</f>
        <v>#N/A</v>
      </c>
      <c r="AT12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8" s="24" t="e">
        <f>InputTable[[#This Row],[Value Score]]/InputTable[[#This Row],[EFFORT SCORE]]*100</f>
        <v>#N/A</v>
      </c>
      <c r="AV128" s="25"/>
      <c r="AW128" s="25"/>
      <c r="AX128" s="208"/>
      <c r="AY128" s="25"/>
      <c r="AZ128" s="209">
        <v>0</v>
      </c>
      <c r="BA128" s="209">
        <v>0</v>
      </c>
      <c r="BB128" s="209"/>
      <c r="BC128" s="189"/>
      <c r="BD128" s="188"/>
      <c r="BE128" s="188"/>
      <c r="BF128" s="70"/>
      <c r="BH128" s="2">
        <f>IFERROR(VLOOKUP(InputTable[[#This Row],[Impact on - CIAL]],'System List'!$F$4:$H$7,3,FALSE),0)</f>
        <v>0</v>
      </c>
      <c r="BI128" s="2">
        <f>IFERROR(VLOOKUP(InputTable[[#This Row],[Impact on - COM]],'System List'!$F$4:$H$7,3,FALSE),0)</f>
        <v>0</v>
      </c>
      <c r="BJ128" s="2">
        <f>IFERROR(VLOOKUP(InputTable[[#This Row],[Impact on - FIN]],'System List'!$F$4:$H$7,3,FALSE),0)</f>
        <v>0</v>
      </c>
      <c r="BK128" s="2">
        <f>IFERROR(VLOOKUP(InputTable[[#This Row],[Impact on - GEN SEC]],'System List'!$F$4:$H$7,3,FALSE),0)</f>
        <v>0</v>
      </c>
      <c r="BL128" s="2">
        <f>IFERROR(VLOOKUP(InputTable[[#This Row],[Impact on - HR]],'System List'!$F$4:$H$7,3,FALSE),0)</f>
        <v>0</v>
      </c>
      <c r="BM128" s="2">
        <f>IFERROR(VLOOKUP(InputTable[[#This Row],[Impact on - IS]],'System List'!$F$4:$H$7,3,FALSE),0)</f>
        <v>0</v>
      </c>
      <c r="BN128" s="2">
        <f>IFERROR(VLOOKUP(InputTable[[#This Row],[Impact on - OPS]],'System List'!$F$4:$H$7,3,FALSE),0)</f>
        <v>0</v>
      </c>
      <c r="BO128" s="2">
        <f>IFERROR(VLOOKUP(InputTable[[#This Row],[Impact on - ROLL STOCK]],'System List'!$F$4:$H$7,3,FALSE),0)</f>
        <v>0</v>
      </c>
      <c r="BP128" s="2">
        <f>IFERROR(VLOOKUP(InputTable[[#This Row],[Impact on - SAFETY]],'System List'!$F$4:$H$7,3,FALSE),0)</f>
        <v>0</v>
      </c>
      <c r="BQ128" s="2">
        <f>IFERROR(VLOOKUP(InputTable[[#This Row],[Impact on - STATION]],'System List'!$F$4:$H$7,3,FALSE),0)</f>
        <v>0</v>
      </c>
      <c r="BR128" s="2">
        <f>IFERROR(VLOOKUP(InputTable[[#This Row],[Impact on - STRAT]],'System List'!$F$4:$H$7,3,FALSE),0)</f>
        <v>0</v>
      </c>
      <c r="BT128" s="2">
        <f>IFERROR(VLOOKUP(InputTable[[#This Row],[CORPHRFIN]],'System List'!$F$4:$H$7,3,FALSE),0)</f>
        <v>0</v>
      </c>
      <c r="BU128" s="2">
        <f>IFERROR(VLOOKUP(InputTable[[#This Row],[CUST]],'System List'!$F$4:$H$7,3,FALSE),0)</f>
        <v>0</v>
      </c>
      <c r="BV128" s="2">
        <f>IFERROR(VLOOKUP(InputTable[[#This Row],[CYBER]],'System List'!$F$4:$H$7,3,FALSE),0)</f>
        <v>0</v>
      </c>
      <c r="BW128" s="2">
        <f>IFERROR(VLOOKUP(InputTable[[#This Row],[DATA]],'System List'!$F$4:$H$7,3,FALSE),0)</f>
        <v>0</v>
      </c>
      <c r="BX128" s="2">
        <f>IFERROR(VLOOKUP(InputTable[[#This Row],[INFRA]],'System List'!$F$4:$H$7,3,FALSE),0)</f>
        <v>0</v>
      </c>
      <c r="BY128" s="2">
        <f>IFERROR(VLOOKUP(InputTable[[#This Row],[OPERATIONS]],'System List'!$F$4:$H$7,3,FALSE),0)</f>
        <v>0</v>
      </c>
      <c r="BZ128" s="2">
        <f>IFERROR(VLOOKUP(InputTable[[#This Row],[PMO]],'System List'!$F$4:$H$7,3,FALSE),0)</f>
        <v>0</v>
      </c>
      <c r="CA128" s="2">
        <f>IFERROR(VLOOKUP(InputTable[[#This Row],[SALES]],'System List'!$F$4:$H$7,3,FALSE),0)</f>
        <v>0</v>
      </c>
      <c r="CC128" s="2" cm="1">
        <f t="array" ref="CC12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8" s="2" cm="1">
        <f t="array" ref="CD12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8" s="2" cm="1">
        <f t="array" ref="CE12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8" s="2" cm="1">
        <f t="array" ref="CF12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8" s="2" cm="1">
        <f t="array" ref="CG12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8" s="2" cm="1">
        <f t="array" ref="CH12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8" s="2" cm="1">
        <f t="array" ref="CI12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8" s="2" cm="1">
        <f t="array" ref="CJ12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8" s="2" cm="1">
        <f t="array" ref="CK12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8" s="26">
        <f t="shared" si="307"/>
        <v>0</v>
      </c>
      <c r="CY128" s="26">
        <f t="shared" si="308"/>
        <v>0</v>
      </c>
      <c r="CZ128" s="26">
        <f t="shared" si="309"/>
        <v>0</v>
      </c>
      <c r="DA128" s="26">
        <f t="shared" si="310"/>
        <v>0</v>
      </c>
      <c r="DB128" s="26">
        <f t="shared" si="311"/>
        <v>0</v>
      </c>
      <c r="DC128" s="26">
        <f t="shared" si="312"/>
        <v>0</v>
      </c>
      <c r="DD128" s="26">
        <f t="shared" si="313"/>
        <v>0</v>
      </c>
      <c r="DE128" s="26">
        <f t="shared" si="314"/>
        <v>0</v>
      </c>
      <c r="DF128" s="26">
        <f t="shared" si="315"/>
        <v>0</v>
      </c>
      <c r="DH128" s="26">
        <f t="shared" si="316"/>
        <v>0</v>
      </c>
      <c r="DI128" s="26">
        <f t="shared" si="317"/>
        <v>0</v>
      </c>
      <c r="DJ128" s="26">
        <f t="shared" si="318"/>
        <v>0</v>
      </c>
      <c r="DK128" s="26">
        <f t="shared" si="319"/>
        <v>0</v>
      </c>
      <c r="DL128" s="26">
        <f t="shared" si="320"/>
        <v>0</v>
      </c>
      <c r="DM128" s="26">
        <f t="shared" si="321"/>
        <v>0</v>
      </c>
      <c r="DN128" s="26">
        <f t="shared" si="322"/>
        <v>0</v>
      </c>
      <c r="DO128" s="26">
        <f t="shared" si="323"/>
        <v>0</v>
      </c>
      <c r="DP128" s="26">
        <f t="shared" si="324"/>
        <v>0</v>
      </c>
      <c r="DR128" s="26">
        <f t="shared" si="325"/>
        <v>0</v>
      </c>
      <c r="DS128" s="26">
        <f t="shared" si="326"/>
        <v>0</v>
      </c>
      <c r="DT128" s="26">
        <f t="shared" si="327"/>
        <v>0</v>
      </c>
      <c r="DU128" s="26">
        <f t="shared" si="328"/>
        <v>0</v>
      </c>
      <c r="DV128" s="26">
        <f t="shared" si="329"/>
        <v>0</v>
      </c>
      <c r="DW128" s="26">
        <f t="shared" si="330"/>
        <v>0</v>
      </c>
      <c r="DX128" s="26">
        <f t="shared" si="331"/>
        <v>0</v>
      </c>
      <c r="DY128" s="26">
        <f t="shared" si="332"/>
        <v>0</v>
      </c>
      <c r="DZ128" s="26">
        <f t="shared" si="333"/>
        <v>0</v>
      </c>
      <c r="EB128" s="26">
        <f t="shared" si="334"/>
        <v>0</v>
      </c>
      <c r="EC128" s="26">
        <f t="shared" si="335"/>
        <v>0</v>
      </c>
      <c r="ED128" s="26">
        <f t="shared" si="336"/>
        <v>0</v>
      </c>
      <c r="EE128" s="26">
        <f t="shared" si="337"/>
        <v>0</v>
      </c>
      <c r="EF128" s="26">
        <f t="shared" si="338"/>
        <v>0</v>
      </c>
      <c r="EG128" s="26">
        <f t="shared" si="339"/>
        <v>0</v>
      </c>
      <c r="EH128" s="26">
        <f t="shared" si="340"/>
        <v>0</v>
      </c>
      <c r="EI128" s="26">
        <f t="shared" si="341"/>
        <v>0</v>
      </c>
      <c r="EJ128" s="26">
        <f t="shared" si="342"/>
        <v>0</v>
      </c>
      <c r="EL128" s="26">
        <f t="shared" si="343"/>
        <v>0</v>
      </c>
      <c r="EM128" s="26">
        <f t="shared" si="344"/>
        <v>0</v>
      </c>
      <c r="EN128" s="26">
        <f t="shared" si="345"/>
        <v>0</v>
      </c>
      <c r="EO128" s="26">
        <f t="shared" si="346"/>
        <v>0</v>
      </c>
      <c r="EP128" s="26">
        <f t="shared" si="347"/>
        <v>0</v>
      </c>
      <c r="EQ128" s="26">
        <f t="shared" si="348"/>
        <v>0</v>
      </c>
      <c r="ER128" s="26">
        <f t="shared" si="349"/>
        <v>0</v>
      </c>
      <c r="ES128" s="26">
        <f t="shared" si="350"/>
        <v>0</v>
      </c>
      <c r="ET128" s="26">
        <f t="shared" si="351"/>
        <v>0</v>
      </c>
      <c r="EV128" s="26">
        <f t="shared" si="352"/>
        <v>0</v>
      </c>
      <c r="EW128" s="26">
        <f t="shared" si="353"/>
        <v>0</v>
      </c>
      <c r="EX128" s="26">
        <f t="shared" si="354"/>
        <v>0</v>
      </c>
      <c r="EY128" s="26">
        <f t="shared" si="355"/>
        <v>0</v>
      </c>
      <c r="EZ128" s="26">
        <f t="shared" si="356"/>
        <v>0</v>
      </c>
      <c r="FA128" s="26">
        <f t="shared" si="357"/>
        <v>0</v>
      </c>
      <c r="FB128" s="26">
        <f t="shared" si="358"/>
        <v>0</v>
      </c>
      <c r="FC128" s="26">
        <f t="shared" si="359"/>
        <v>0</v>
      </c>
      <c r="FD128" s="26">
        <f t="shared" si="360"/>
        <v>0</v>
      </c>
      <c r="FF128" s="26">
        <f t="shared" si="361"/>
        <v>0</v>
      </c>
      <c r="FG128" s="26">
        <f t="shared" si="362"/>
        <v>0</v>
      </c>
      <c r="FH128" s="26">
        <f t="shared" si="363"/>
        <v>0</v>
      </c>
      <c r="FI128" s="26">
        <f t="shared" si="364"/>
        <v>0</v>
      </c>
      <c r="FJ128" s="26">
        <f t="shared" si="365"/>
        <v>0</v>
      </c>
      <c r="FK128" s="26">
        <f t="shared" si="366"/>
        <v>0</v>
      </c>
      <c r="FL128" s="26">
        <f t="shared" si="367"/>
        <v>0</v>
      </c>
      <c r="FM128" s="26">
        <f t="shared" si="368"/>
        <v>0</v>
      </c>
      <c r="FN128" s="26">
        <f t="shared" si="369"/>
        <v>0</v>
      </c>
      <c r="FP128" s="26" t="e">
        <f t="shared" si="370"/>
        <v>#REF!</v>
      </c>
      <c r="FQ128" s="26" t="e">
        <f t="shared" si="371"/>
        <v>#REF!</v>
      </c>
      <c r="FR128" s="26" t="e">
        <f t="shared" si="372"/>
        <v>#REF!</v>
      </c>
      <c r="FS128" s="26" t="e">
        <f t="shared" si="373"/>
        <v>#REF!</v>
      </c>
      <c r="FT128" s="26" t="e">
        <f t="shared" si="374"/>
        <v>#REF!</v>
      </c>
      <c r="FU128" s="26" t="e">
        <f t="shared" si="375"/>
        <v>#REF!</v>
      </c>
      <c r="FV128" s="26" t="e">
        <f t="shared" si="376"/>
        <v>#REF!</v>
      </c>
      <c r="FW128" s="26" t="e">
        <f t="shared" si="377"/>
        <v>#REF!</v>
      </c>
      <c r="FX128" s="26" t="e">
        <f t="shared" si="378"/>
        <v>#REF!</v>
      </c>
      <c r="GB128" s="26" t="e">
        <f>IF(GB$2=InputTable[[#This Row],[Delivery Date]],_xlfn.XLOOKUP(GB$1,$BH$2:$BR$2,$BH128:$BR128,0),0)</f>
        <v>#REF!</v>
      </c>
      <c r="GC128" s="26">
        <f>IF(GC$2=InputTable[[#This Row],[Delivery Date]],_xlfn.XLOOKUP(GC$1,$BH$2:$BR$2,$BH128:$BR128,0),0)</f>
        <v>0</v>
      </c>
      <c r="GD128" s="26">
        <f>IF(GD$2=InputTable[[#This Row],[Delivery Date]],_xlfn.XLOOKUP(GD$1,$BH$2:$BR$2,$BH128:$BR128,0),0)</f>
        <v>0</v>
      </c>
      <c r="GE128" s="26">
        <f>IF(GE$2=InputTable[[#This Row],[Delivery Date]],_xlfn.XLOOKUP(GE$1,$BH$2:$BR$2,$BH128:$BR128,0),0)</f>
        <v>0</v>
      </c>
      <c r="GF128" s="26">
        <f>IF(GF$2=InputTable[[#This Row],[Delivery Date]],_xlfn.XLOOKUP(GF$1,$BH$2:$BR$2,$BH128:$BR128,0),0)</f>
        <v>0</v>
      </c>
      <c r="GG128" s="26">
        <f>IF(GG$2=InputTable[[#This Row],[Delivery Date]],_xlfn.XLOOKUP(GG$1,$BH$2:$BR$2,$BH128:$BR128,0),0)</f>
        <v>0</v>
      </c>
      <c r="GH128" s="26">
        <f>IF(GH$2=InputTable[[#This Row],[Delivery Date]],_xlfn.XLOOKUP(GH$1,$BH$2:$BR$2,$BH128:$BR128,0),0)</f>
        <v>0</v>
      </c>
      <c r="GI128" s="26">
        <f>IF(GI$2=InputTable[[#This Row],[Delivery Date]],_xlfn.XLOOKUP(GI$1,$BH$2:$BR$2,$BH128:$BR128,0),0)</f>
        <v>0</v>
      </c>
      <c r="GJ128" s="26">
        <f>IF(GJ$2=InputTable[[#This Row],[Delivery Date]],_xlfn.XLOOKUP(GJ$1,$BH$2:$BR$2,$BH128:$BR128,0),0)</f>
        <v>0</v>
      </c>
      <c r="GL128" s="26" t="e">
        <f>IF(GL$2=InputTable[[#This Row],[Delivery Date]],_xlfn.XLOOKUP(GL$1,$BH$2:$BR$2,$BH128:$BR128,0),0)</f>
        <v>#REF!</v>
      </c>
      <c r="GM128" s="26">
        <f>IF(GM$2=InputTable[[#This Row],[Delivery Date]],_xlfn.XLOOKUP(GM$1,$BH$2:$BR$2,$BH128:$BR128,0),0)</f>
        <v>0</v>
      </c>
      <c r="GN128" s="26">
        <f>IF(GN$2=InputTable[[#This Row],[Delivery Date]],_xlfn.XLOOKUP(GN$1,$BH$2:$BR$2,$BH128:$BR128,0),0)</f>
        <v>0</v>
      </c>
      <c r="GO128" s="26">
        <f>IF(GO$2=InputTable[[#This Row],[Delivery Date]],_xlfn.XLOOKUP(GO$1,$BH$2:$BR$2,$BH128:$BR128,0),0)</f>
        <v>0</v>
      </c>
      <c r="GP128" s="26">
        <f>IF(GP$2=InputTable[[#This Row],[Delivery Date]],_xlfn.XLOOKUP(GP$1,$BH$2:$BR$2,$BH128:$BR128,0),0)</f>
        <v>0</v>
      </c>
      <c r="GQ128" s="26">
        <f>IF(GQ$2=InputTable[[#This Row],[Delivery Date]],_xlfn.XLOOKUP(GQ$1,$BH$2:$BR$2,$BH128:$BR128,0),0)</f>
        <v>0</v>
      </c>
      <c r="GR128" s="26">
        <f>IF(GR$2=InputTable[[#This Row],[Delivery Date]],_xlfn.XLOOKUP(GR$1,$BH$2:$BR$2,$BH128:$BR128,0),0)</f>
        <v>0</v>
      </c>
      <c r="GS128" s="26">
        <f>IF(GS$2=InputTable[[#This Row],[Delivery Date]],_xlfn.XLOOKUP(GS$1,$BH$2:$BR$2,$BH128:$BR128,0),0)</f>
        <v>0</v>
      </c>
      <c r="GT128" s="26">
        <f>IF(GT$2=InputTable[[#This Row],[Delivery Date]],_xlfn.XLOOKUP(GT$1,$BH$2:$BR$2,$BH128:$BR128,0),0)</f>
        <v>0</v>
      </c>
      <c r="GV128" s="26" t="e">
        <f>IF(GV$2=InputTable[[#This Row],[Delivery Date]],_xlfn.XLOOKUP(GV$1,$BH$2:$BR$2,$BH128:$BR128,0),0)</f>
        <v>#REF!</v>
      </c>
      <c r="GW128" s="26">
        <f>IF(GW$2=InputTable[[#This Row],[Delivery Date]],_xlfn.XLOOKUP(GW$1,$BH$2:$BR$2,$BH128:$BR128,0),0)</f>
        <v>0</v>
      </c>
      <c r="GX128" s="26">
        <f>IF(GX$2=InputTable[[#This Row],[Delivery Date]],_xlfn.XLOOKUP(GX$1,$BH$2:$BR$2,$BH128:$BR128,0),0)</f>
        <v>0</v>
      </c>
      <c r="GY128" s="26">
        <f>IF(GY$2=InputTable[[#This Row],[Delivery Date]],_xlfn.XLOOKUP(GY$1,$BH$2:$BR$2,$BH128:$BR128,0),0)</f>
        <v>0</v>
      </c>
      <c r="GZ128" s="26">
        <f>IF(GZ$2=InputTable[[#This Row],[Delivery Date]],_xlfn.XLOOKUP(GZ$1,$BH$2:$BR$2,$BH128:$BR128,0),0)</f>
        <v>0</v>
      </c>
      <c r="HA128" s="26">
        <f>IF(HA$2=InputTable[[#This Row],[Delivery Date]],_xlfn.XLOOKUP(HA$1,$BH$2:$BR$2,$BH128:$BR128,0),0)</f>
        <v>0</v>
      </c>
      <c r="HB128" s="26">
        <f>IF(HB$2=InputTable[[#This Row],[Delivery Date]],_xlfn.XLOOKUP(HB$1,$BH$2:$BR$2,$BH128:$BR128,0),0)</f>
        <v>0</v>
      </c>
      <c r="HC128" s="26">
        <f>IF(HC$2=InputTable[[#This Row],[Delivery Date]],_xlfn.XLOOKUP(HC$1,$BH$2:$BR$2,$BH128:$BR128,0),0)</f>
        <v>0</v>
      </c>
      <c r="HD128" s="26">
        <f>IF(HD$2=InputTable[[#This Row],[Delivery Date]],_xlfn.XLOOKUP(HD$1,$BH$2:$BR$2,$BH128:$BR128,0),0)</f>
        <v>0</v>
      </c>
      <c r="HF128" s="26" t="e">
        <f>IF(HF$2=InputTable[[#This Row],[Delivery Date]],_xlfn.XLOOKUP(HF$1,$BH$2:$BR$2,$BH128:$BR128,0),0)</f>
        <v>#REF!</v>
      </c>
      <c r="HG128" s="26">
        <f>IF(HG$2=InputTable[[#This Row],[Delivery Date]],_xlfn.XLOOKUP(HG$1,$BH$2:$BR$2,$BH128:$BR128,0),0)</f>
        <v>0</v>
      </c>
      <c r="HH128" s="26">
        <f>IF(HH$2=InputTable[[#This Row],[Delivery Date]],_xlfn.XLOOKUP(HH$1,$BH$2:$BR$2,$BH128:$BR128,0),0)</f>
        <v>0</v>
      </c>
      <c r="HI128" s="26">
        <f>IF(HI$2=InputTable[[#This Row],[Delivery Date]],_xlfn.XLOOKUP(HI$1,$BH$2:$BR$2,$BH128:$BR128,0),0)</f>
        <v>0</v>
      </c>
      <c r="HJ128" s="26">
        <f>IF(HJ$2=InputTable[[#This Row],[Delivery Date]],_xlfn.XLOOKUP(HJ$1,$BH$2:$BR$2,$BH128:$BR128,0),0)</f>
        <v>0</v>
      </c>
      <c r="HK128" s="26">
        <f>IF(HK$2=InputTable[[#This Row],[Delivery Date]],_xlfn.XLOOKUP(HK$1,$BH$2:$BR$2,$BH128:$BR128,0),0)</f>
        <v>0</v>
      </c>
      <c r="HL128" s="26">
        <f>IF(HL$2=InputTable[[#This Row],[Delivery Date]],_xlfn.XLOOKUP(HL$1,$BH$2:$BR$2,$BH128:$BR128,0),0)</f>
        <v>0</v>
      </c>
      <c r="HM128" s="26">
        <f>IF(HM$2=InputTable[[#This Row],[Delivery Date]],_xlfn.XLOOKUP(HM$1,$BH$2:$BR$2,$BH128:$BR128,0),0)</f>
        <v>0</v>
      </c>
      <c r="HN128" s="26">
        <f>IF(HN$2=InputTable[[#This Row],[Delivery Date]],_xlfn.XLOOKUP(HN$1,$BH$2:$BR$2,$BH128:$BR128,0),0)</f>
        <v>0</v>
      </c>
      <c r="HP128" s="26" t="e">
        <f>IF(HP$2=InputTable[[#This Row],[Delivery Date]],_xlfn.XLOOKUP(HP$1,$BH$2:$BR$2,$BH128:$BR128,0),0)</f>
        <v>#REF!</v>
      </c>
      <c r="HQ128" s="26">
        <f>IF(HQ$2=InputTable[[#This Row],[Delivery Date]],_xlfn.XLOOKUP(HQ$1,$BH$2:$BR$2,$BH128:$BR128,0),0)</f>
        <v>0</v>
      </c>
      <c r="HR128" s="26">
        <f>IF(HR$2=InputTable[[#This Row],[Delivery Date]],_xlfn.XLOOKUP(HR$1,$BH$2:$BR$2,$BH128:$BR128,0),0)</f>
        <v>0</v>
      </c>
      <c r="HS128" s="26">
        <f>IF(HS$2=InputTable[[#This Row],[Delivery Date]],_xlfn.XLOOKUP(HS$1,$BH$2:$BR$2,$BH128:$BR128,0),0)</f>
        <v>0</v>
      </c>
      <c r="HT128" s="26">
        <f>IF(HT$2=InputTable[[#This Row],[Delivery Date]],_xlfn.XLOOKUP(HT$1,$BH$2:$BR$2,$BH128:$BR128,0),0)</f>
        <v>0</v>
      </c>
      <c r="HU128" s="26">
        <f>IF(HU$2=InputTable[[#This Row],[Delivery Date]],_xlfn.XLOOKUP(HU$1,$BH$2:$BR$2,$BH128:$BR128,0),0)</f>
        <v>0</v>
      </c>
      <c r="HV128" s="26">
        <f>IF(HV$2=InputTable[[#This Row],[Delivery Date]],_xlfn.XLOOKUP(HV$1,$BH$2:$BR$2,$BH128:$BR128,0),0)</f>
        <v>0</v>
      </c>
      <c r="HW128" s="26">
        <f>IF(HW$2=InputTable[[#This Row],[Delivery Date]],_xlfn.XLOOKUP(HW$1,$BH$2:$BR$2,$BH128:$BR128,0),0)</f>
        <v>0</v>
      </c>
      <c r="HX128" s="26">
        <f>IF(HX$2=InputTable[[#This Row],[Delivery Date]],_xlfn.XLOOKUP(HX$1,$BH$2:$BR$2,$BH128:$BR128,0),0)</f>
        <v>0</v>
      </c>
      <c r="HZ128" s="26" t="e">
        <f>IF(HZ$2=InputTable[[#This Row],[Delivery Date]],_xlfn.XLOOKUP(HZ$1,$BH$2:$BR$2,$BH128:$BR128,0),0)</f>
        <v>#REF!</v>
      </c>
      <c r="IA128" s="26">
        <f>IF(IA$2=InputTable[[#This Row],[Delivery Date]],_xlfn.XLOOKUP(IA$1,$BH$2:$BR$2,$BH128:$BR128,0),0)</f>
        <v>0</v>
      </c>
      <c r="IB128" s="26">
        <f>IF(IB$2=InputTable[[#This Row],[Delivery Date]],_xlfn.XLOOKUP(IB$1,$BH$2:$BR$2,$BH128:$BR128,0),0)</f>
        <v>0</v>
      </c>
      <c r="IC128" s="26">
        <f>IF(IC$2=InputTable[[#This Row],[Delivery Date]],_xlfn.XLOOKUP(IC$1,$BH$2:$BR$2,$BH128:$BR128,0),0)</f>
        <v>0</v>
      </c>
      <c r="ID128" s="26">
        <f>IF(ID$2=InputTable[[#This Row],[Delivery Date]],_xlfn.XLOOKUP(ID$1,$BH$2:$BR$2,$BH128:$BR128,0),0)</f>
        <v>0</v>
      </c>
      <c r="IE128" s="26">
        <f>IF(IE$2=InputTable[[#This Row],[Delivery Date]],_xlfn.XLOOKUP(IE$1,$BH$2:$BR$2,$BH128:$BR128,0),0)</f>
        <v>0</v>
      </c>
      <c r="IF128" s="26">
        <f>IF(IF$2=InputTable[[#This Row],[Delivery Date]],_xlfn.XLOOKUP(IF$1,$BH$2:$BR$2,$BH128:$BR128,0),0)</f>
        <v>0</v>
      </c>
      <c r="IG128" s="26">
        <f>IF(IG$2=InputTable[[#This Row],[Delivery Date]],_xlfn.XLOOKUP(IG$1,$BH$2:$BR$2,$BH128:$BR128,0),0)</f>
        <v>0</v>
      </c>
      <c r="IH128" s="26">
        <f>IF(IH$2=InputTable[[#This Row],[Delivery Date]],_xlfn.XLOOKUP(IH$1,$BH$2:$BR$2,$BH128:$BR128,0),0)</f>
        <v>0</v>
      </c>
      <c r="IJ128" s="26" t="e">
        <f>IF(IJ$2=InputTable[[#This Row],[Delivery Date]],_xlfn.XLOOKUP(IJ$1,$BH$2:$BR$2,$BH128:$BR128,0),0)</f>
        <v>#REF!</v>
      </c>
      <c r="IK128" s="26">
        <f>IF(IK$2=InputTable[[#This Row],[Delivery Date]],_xlfn.XLOOKUP(IK$1,$BH$2:$BR$2,$BH128:$BR128,0),0)</f>
        <v>0</v>
      </c>
      <c r="IL128" s="26">
        <f>IF(IL$2=InputTable[[#This Row],[Delivery Date]],_xlfn.XLOOKUP(IL$1,$BH$2:$BR$2,$BH128:$BR128,0),0)</f>
        <v>0</v>
      </c>
      <c r="IM128" s="26">
        <f>IF(IM$2=InputTable[[#This Row],[Delivery Date]],_xlfn.XLOOKUP(IM$1,$BH$2:$BR$2,$BH128:$BR128,0),0)</f>
        <v>0</v>
      </c>
      <c r="IN128" s="26">
        <f>IF(IN$2=InputTable[[#This Row],[Delivery Date]],_xlfn.XLOOKUP(IN$1,$BH$2:$BR$2,$BH128:$BR128,0),0)</f>
        <v>0</v>
      </c>
      <c r="IO128" s="26">
        <f>IF(IO$2=InputTable[[#This Row],[Delivery Date]],_xlfn.XLOOKUP(IO$1,$BH$2:$BR$2,$BH128:$BR128,0),0)</f>
        <v>0</v>
      </c>
      <c r="IP128" s="26">
        <f>IF(IP$2=InputTable[[#This Row],[Delivery Date]],_xlfn.XLOOKUP(IP$1,$BH$2:$BR$2,$BH128:$BR128,0),0)</f>
        <v>0</v>
      </c>
      <c r="IQ128" s="26">
        <f>IF(IQ$2=InputTable[[#This Row],[Delivery Date]],_xlfn.XLOOKUP(IQ$1,$BH$2:$BR$2,$BH128:$BR128,0),0)</f>
        <v>0</v>
      </c>
      <c r="IR128" s="26">
        <f>IF(IR$2=InputTable[[#This Row],[Delivery Date]],_xlfn.XLOOKUP(IR$1,$BH$2:$BR$2,$BH128:$BR128,0),0)</f>
        <v>0</v>
      </c>
      <c r="IT128" s="26" t="e">
        <f>IF(IT$2=InputTable[[#This Row],[Delivery Date]],_xlfn.XLOOKUP(IT$1,$BH$2:$BR$2,$BH128:$BR128,0),0)</f>
        <v>#REF!</v>
      </c>
      <c r="IU128" s="26">
        <f>IF(IU$2=InputTable[[#This Row],[Delivery Date]],_xlfn.XLOOKUP(IU$1,$BH$2:$BR$2,$BH128:$BR128,0),0)</f>
        <v>0</v>
      </c>
      <c r="IV128" s="26">
        <f>IF(IV$2=InputTable[[#This Row],[Delivery Date]],_xlfn.XLOOKUP(IV$1,$BH$2:$BR$2,$BH128:$BR128,0),0)</f>
        <v>0</v>
      </c>
      <c r="IW128" s="26">
        <f>IF(IW$2=InputTable[[#This Row],[Delivery Date]],_xlfn.XLOOKUP(IW$1,$BH$2:$BR$2,$BH128:$BR128,0),0)</f>
        <v>0</v>
      </c>
      <c r="IX128" s="26">
        <f>IF(IX$2=InputTable[[#This Row],[Delivery Date]],_xlfn.XLOOKUP(IX$1,$BH$2:$BR$2,$BH128:$BR128,0),0)</f>
        <v>0</v>
      </c>
      <c r="IY128" s="26">
        <f>IF(IY$2=InputTable[[#This Row],[Delivery Date]],_xlfn.XLOOKUP(IY$1,$BH$2:$BR$2,$BH128:$BR128,0),0)</f>
        <v>0</v>
      </c>
      <c r="IZ128" s="26">
        <f>IF(IZ$2=InputTable[[#This Row],[Delivery Date]],_xlfn.XLOOKUP(IZ$1,$BH$2:$BR$2,$BH128:$BR128,0),0)</f>
        <v>0</v>
      </c>
      <c r="JA128" s="26">
        <f>IF(JA$2=InputTable[[#This Row],[Delivery Date]],_xlfn.XLOOKUP(JA$1,$BH$2:$BR$2,$BH128:$BR128,0),0)</f>
        <v>0</v>
      </c>
      <c r="JB128" s="26">
        <f>IF(JB$2=InputTable[[#This Row],[Delivery Date]],_xlfn.XLOOKUP(JB$1,$BH$2:$BR$2,$BH128:$BR128,0),0)</f>
        <v>0</v>
      </c>
      <c r="JD128" s="26" t="e">
        <f>IF(JD$2=InputTable[[#This Row],[Delivery Date]],_xlfn.XLOOKUP(JD$1,$BH$2:$BR$2,$BH128:$BR128,0),0)</f>
        <v>#REF!</v>
      </c>
      <c r="JE128" s="26">
        <f>IF(JE$2=InputTable[[#This Row],[Delivery Date]],_xlfn.XLOOKUP(JE$1,$BH$2:$BR$2,$BH128:$BR128,0),0)</f>
        <v>0</v>
      </c>
      <c r="JF128" s="26">
        <f>IF(JF$2=InputTable[[#This Row],[Delivery Date]],_xlfn.XLOOKUP(JF$1,$BH$2:$BR$2,$BH128:$BR128,0),0)</f>
        <v>0</v>
      </c>
      <c r="JG128" s="26">
        <f>IF(JG$2=InputTable[[#This Row],[Delivery Date]],_xlfn.XLOOKUP(JG$1,$BH$2:$BR$2,$BH128:$BR128,0),0)</f>
        <v>0</v>
      </c>
      <c r="JH128" s="26">
        <f>IF(JH$2=InputTable[[#This Row],[Delivery Date]],_xlfn.XLOOKUP(JH$1,$BH$2:$BR$2,$BH128:$BR128,0),0)</f>
        <v>0</v>
      </c>
      <c r="JI128" s="26">
        <f>IF(JI$2=InputTable[[#This Row],[Delivery Date]],_xlfn.XLOOKUP(JI$1,$BH$2:$BR$2,$BH128:$BR128,0),0)</f>
        <v>0</v>
      </c>
      <c r="JJ128" s="26">
        <f>IF(JJ$2=InputTable[[#This Row],[Delivery Date]],_xlfn.XLOOKUP(JJ$1,$BH$2:$BR$2,$BH128:$BR128,0),0)</f>
        <v>0</v>
      </c>
      <c r="JK128" s="26">
        <f>IF(JK$2=InputTable[[#This Row],[Delivery Date]],_xlfn.XLOOKUP(JK$1,$BH$2:$BR$2,$BH128:$BR128,0),0)</f>
        <v>0</v>
      </c>
      <c r="JL128" s="26">
        <f>IF(JL$2=InputTable[[#This Row],[Delivery Date]],_xlfn.XLOOKUP(JL$1,$BH$2:$BR$2,$BH128:$BR128,0),0)</f>
        <v>0</v>
      </c>
      <c r="JN128" s="26" t="e">
        <f>IF(JN$2=InputTable[[#This Row],[Delivery Date]],_xlfn.XLOOKUP(JN$1,$BH$2:$BR$2,$BH128:$BR128,0),0)</f>
        <v>#REF!</v>
      </c>
      <c r="JO128" s="26">
        <f>IF(JO$2=InputTable[[#This Row],[Delivery Date]],_xlfn.XLOOKUP(JO$1,$BH$2:$BR$2,$BH128:$BR128,0),0)</f>
        <v>0</v>
      </c>
      <c r="JP128" s="26">
        <f>IF(JP$2=InputTable[[#This Row],[Delivery Date]],_xlfn.XLOOKUP(JP$1,$BH$2:$BR$2,$BH128:$BR128,0),0)</f>
        <v>0</v>
      </c>
      <c r="JQ128" s="26">
        <f>IF(JQ$2=InputTable[[#This Row],[Delivery Date]],_xlfn.XLOOKUP(JQ$1,$BH$2:$BR$2,$BH128:$BR128,0),0)</f>
        <v>0</v>
      </c>
      <c r="JR128" s="26">
        <f>IF(JR$2=InputTable[[#This Row],[Delivery Date]],_xlfn.XLOOKUP(JR$1,$BH$2:$BR$2,$BH128:$BR128,0),0)</f>
        <v>0</v>
      </c>
      <c r="JS128" s="26">
        <f>IF(JS$2=InputTable[[#This Row],[Delivery Date]],_xlfn.XLOOKUP(JS$1,$BH$2:$BR$2,$BH128:$BR128,0),0)</f>
        <v>0</v>
      </c>
      <c r="JT128" s="26">
        <f>IF(JT$2=InputTable[[#This Row],[Delivery Date]],_xlfn.XLOOKUP(JT$1,$BH$2:$BR$2,$BH128:$BR128,0),0)</f>
        <v>0</v>
      </c>
      <c r="JU128" s="26">
        <f>IF(JU$2=InputTable[[#This Row],[Delivery Date]],_xlfn.XLOOKUP(JU$1,$BH$2:$BR$2,$BH128:$BR128,0),0)</f>
        <v>0</v>
      </c>
      <c r="JV128" s="26">
        <f>IF(JV$2=InputTable[[#This Row],[Delivery Date]],_xlfn.XLOOKUP(JV$1,$BH$2:$BR$2,$BH128:$BR128,0),0)</f>
        <v>0</v>
      </c>
      <c r="JX128" s="26" t="e">
        <f>IF(JX$2=InputTable[[#This Row],[Delivery Date]],_xlfn.XLOOKUP(JX$1,$BH$2:$BR$2,$BH128:$BR128,0),0)</f>
        <v>#REF!</v>
      </c>
      <c r="JY128" s="26">
        <f>IF(JY$2=InputTable[[#This Row],[Delivery Date]],_xlfn.XLOOKUP(JY$1,$BH$2:$BR$2,$BH128:$BR128,0),0)</f>
        <v>0</v>
      </c>
      <c r="JZ128" s="26">
        <f>IF(JZ$2=InputTable[[#This Row],[Delivery Date]],_xlfn.XLOOKUP(JZ$1,$BH$2:$BR$2,$BH128:$BR128,0),0)</f>
        <v>0</v>
      </c>
      <c r="KA128" s="26">
        <f>IF(KA$2=InputTable[[#This Row],[Delivery Date]],_xlfn.XLOOKUP(KA$1,$BH$2:$BR$2,$BH128:$BR128,0),0)</f>
        <v>0</v>
      </c>
      <c r="KB128" s="26">
        <f>IF(KB$2=InputTable[[#This Row],[Delivery Date]],_xlfn.XLOOKUP(KB$1,$BH$2:$BR$2,$BH128:$BR128,0),0)</f>
        <v>0</v>
      </c>
      <c r="KC128" s="26">
        <f>IF(KC$2=InputTable[[#This Row],[Delivery Date]],_xlfn.XLOOKUP(KC$1,$BH$2:$BR$2,$BH128:$BR128,0),0)</f>
        <v>0</v>
      </c>
      <c r="KD128" s="26">
        <f>IF(KD$2=InputTable[[#This Row],[Delivery Date]],_xlfn.XLOOKUP(KD$1,$BH$2:$BR$2,$BH128:$BR128,0),0)</f>
        <v>0</v>
      </c>
      <c r="KE128" s="26">
        <f>IF(KE$2=InputTable[[#This Row],[Delivery Date]],_xlfn.XLOOKUP(KE$1,$BH$2:$BR$2,$BH128:$BR128,0),0)</f>
        <v>0</v>
      </c>
      <c r="KF128" s="26">
        <f>IF(KF$2=InputTable[[#This Row],[Delivery Date]],_xlfn.XLOOKUP(KF$1,$BH$2:$BR$2,$BH128:$BR128,0),0)</f>
        <v>0</v>
      </c>
    </row>
    <row r="129" spans="1:292" ht="39.6" customHeight="1" x14ac:dyDescent="0.25">
      <c r="A129" s="141"/>
      <c r="B129" s="141"/>
      <c r="C129" s="92"/>
      <c r="D129" s="92"/>
      <c r="E129" s="93"/>
      <c r="F129" s="92"/>
      <c r="G129" s="92"/>
      <c r="H129" s="92"/>
      <c r="I129" s="92"/>
      <c r="J129" s="122"/>
      <c r="K129" s="95" t="e">
        <f>VLOOKUP((InputTable[[#This Row],[Starting Date]]&amp; " - " &amp;InputTable[[#This Row],[Delivery Date]]),'System List'!$F$40:$H$83,2,FALSE)</f>
        <v>#N/A</v>
      </c>
      <c r="L129" s="95" t="e">
        <f>VLOOKUP(InputTable[[#This Row],[Duration]],Duration,2,FALSE)</f>
        <v>#N/A</v>
      </c>
      <c r="M129" s="122"/>
      <c r="N129" s="92"/>
      <c r="O129" s="92"/>
      <c r="P129" s="92"/>
      <c r="Q129" s="92"/>
      <c r="R129" s="92"/>
      <c r="S129" s="92"/>
      <c r="T129" s="95"/>
      <c r="U129" s="138"/>
      <c r="V129" s="92"/>
      <c r="W129" s="92"/>
      <c r="X129" s="92"/>
      <c r="Y129" s="92"/>
      <c r="Z129" s="92"/>
      <c r="AA129" s="92"/>
      <c r="AB129" s="92"/>
      <c r="AC129" s="92"/>
      <c r="AD129" s="92">
        <f>COUNTA(InputTable[[#This Row],[CORPHRFIN]:[SALES]])</f>
        <v>0</v>
      </c>
      <c r="AE129" s="88" cm="1">
        <f t="array" ref="AE129">SUM(
_xlfn.XLOOKUP(InputTable[[#This Row],[CORPHRFIN]:[SALES]],'System List'!$F$4:$F$7,'System List'!$H$4:$H$7,0))</f>
        <v>0</v>
      </c>
      <c r="AF129" s="140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88" cm="1">
        <f t="array" ref="AR129">SUM(
_xlfn.XLOOKUP(InputTable[[#This Row],[Impact on - CIAL]:[Impact on - STRAT]],'System List'!$F$4:$F$7,'System List'!$H$4:$H$7,0))</f>
        <v>0</v>
      </c>
      <c r="AS129" s="88" t="e">
        <f>VLOOKUP(InputTable[[#This Row],[Duration]],Duration,2,FALSE)+InputTable[[#This Row],[Resource Score]]</f>
        <v>#N/A</v>
      </c>
      <c r="AT12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29" s="24" t="e">
        <f>InputTable[[#This Row],[Value Score]]/InputTable[[#This Row],[EFFORT SCORE]]*100</f>
        <v>#N/A</v>
      </c>
      <c r="AV129" s="25"/>
      <c r="AW129" s="25"/>
      <c r="AX129" s="208"/>
      <c r="AY129" s="25"/>
      <c r="AZ129" s="209">
        <v>0</v>
      </c>
      <c r="BA129" s="209">
        <v>0</v>
      </c>
      <c r="BB129" s="209"/>
      <c r="BC129" s="189"/>
      <c r="BD129" s="188"/>
      <c r="BE129" s="188"/>
      <c r="BF129" s="70"/>
      <c r="BH129" s="2">
        <f>IFERROR(VLOOKUP(InputTable[[#This Row],[Impact on - CIAL]],'System List'!$F$4:$H$7,3,FALSE),0)</f>
        <v>0</v>
      </c>
      <c r="BI129" s="2">
        <f>IFERROR(VLOOKUP(InputTable[[#This Row],[Impact on - COM]],'System List'!$F$4:$H$7,3,FALSE),0)</f>
        <v>0</v>
      </c>
      <c r="BJ129" s="2">
        <f>IFERROR(VLOOKUP(InputTable[[#This Row],[Impact on - FIN]],'System List'!$F$4:$H$7,3,FALSE),0)</f>
        <v>0</v>
      </c>
      <c r="BK129" s="2">
        <f>IFERROR(VLOOKUP(InputTable[[#This Row],[Impact on - GEN SEC]],'System List'!$F$4:$H$7,3,FALSE),0)</f>
        <v>0</v>
      </c>
      <c r="BL129" s="2">
        <f>IFERROR(VLOOKUP(InputTable[[#This Row],[Impact on - HR]],'System List'!$F$4:$H$7,3,FALSE),0)</f>
        <v>0</v>
      </c>
      <c r="BM129" s="2">
        <f>IFERROR(VLOOKUP(InputTable[[#This Row],[Impact on - IS]],'System List'!$F$4:$H$7,3,FALSE),0)</f>
        <v>0</v>
      </c>
      <c r="BN129" s="2">
        <f>IFERROR(VLOOKUP(InputTable[[#This Row],[Impact on - OPS]],'System List'!$F$4:$H$7,3,FALSE),0)</f>
        <v>0</v>
      </c>
      <c r="BO129" s="2">
        <f>IFERROR(VLOOKUP(InputTable[[#This Row],[Impact on - ROLL STOCK]],'System List'!$F$4:$H$7,3,FALSE),0)</f>
        <v>0</v>
      </c>
      <c r="BP129" s="2">
        <f>IFERROR(VLOOKUP(InputTable[[#This Row],[Impact on - SAFETY]],'System List'!$F$4:$H$7,3,FALSE),0)</f>
        <v>0</v>
      </c>
      <c r="BQ129" s="2">
        <f>IFERROR(VLOOKUP(InputTable[[#This Row],[Impact on - STATION]],'System List'!$F$4:$H$7,3,FALSE),0)</f>
        <v>0</v>
      </c>
      <c r="BR129" s="2">
        <f>IFERROR(VLOOKUP(InputTable[[#This Row],[Impact on - STRAT]],'System List'!$F$4:$H$7,3,FALSE),0)</f>
        <v>0</v>
      </c>
      <c r="BT129" s="2">
        <f>IFERROR(VLOOKUP(InputTable[[#This Row],[CORPHRFIN]],'System List'!$F$4:$H$7,3,FALSE),0)</f>
        <v>0</v>
      </c>
      <c r="BU129" s="2">
        <f>IFERROR(VLOOKUP(InputTable[[#This Row],[CUST]],'System List'!$F$4:$H$7,3,FALSE),0)</f>
        <v>0</v>
      </c>
      <c r="BV129" s="2">
        <f>IFERROR(VLOOKUP(InputTable[[#This Row],[CYBER]],'System List'!$F$4:$H$7,3,FALSE),0)</f>
        <v>0</v>
      </c>
      <c r="BW129" s="2">
        <f>IFERROR(VLOOKUP(InputTable[[#This Row],[DATA]],'System List'!$F$4:$H$7,3,FALSE),0)</f>
        <v>0</v>
      </c>
      <c r="BX129" s="2">
        <f>IFERROR(VLOOKUP(InputTable[[#This Row],[INFRA]],'System List'!$F$4:$H$7,3,FALSE),0)</f>
        <v>0</v>
      </c>
      <c r="BY129" s="2">
        <f>IFERROR(VLOOKUP(InputTable[[#This Row],[OPERATIONS]],'System List'!$F$4:$H$7,3,FALSE),0)</f>
        <v>0</v>
      </c>
      <c r="BZ129" s="2">
        <f>IFERROR(VLOOKUP(InputTable[[#This Row],[PMO]],'System List'!$F$4:$H$7,3,FALSE),0)</f>
        <v>0</v>
      </c>
      <c r="CA129" s="2">
        <f>IFERROR(VLOOKUP(InputTable[[#This Row],[SALES]],'System List'!$F$4:$H$7,3,FALSE),0)</f>
        <v>0</v>
      </c>
      <c r="CC129" s="2" cm="1">
        <f t="array" ref="CC12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29" s="2" cm="1">
        <f t="array" ref="CD12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29" s="2" cm="1">
        <f t="array" ref="CE12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29" s="2" cm="1">
        <f t="array" ref="CF12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29" s="2" cm="1">
        <f t="array" ref="CG12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29" s="2" cm="1">
        <f t="array" ref="CH12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29" s="2" cm="1">
        <f t="array" ref="CI12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29" s="2" cm="1">
        <f t="array" ref="CJ12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29" s="2" cm="1">
        <f t="array" ref="CK12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2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2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2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2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2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2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2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2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2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29" s="26">
        <f t="shared" si="307"/>
        <v>0</v>
      </c>
      <c r="CY129" s="26">
        <f t="shared" si="308"/>
        <v>0</v>
      </c>
      <c r="CZ129" s="26">
        <f t="shared" si="309"/>
        <v>0</v>
      </c>
      <c r="DA129" s="26">
        <f t="shared" si="310"/>
        <v>0</v>
      </c>
      <c r="DB129" s="26">
        <f t="shared" si="311"/>
        <v>0</v>
      </c>
      <c r="DC129" s="26">
        <f t="shared" si="312"/>
        <v>0</v>
      </c>
      <c r="DD129" s="26">
        <f t="shared" si="313"/>
        <v>0</v>
      </c>
      <c r="DE129" s="26">
        <f t="shared" si="314"/>
        <v>0</v>
      </c>
      <c r="DF129" s="26">
        <f t="shared" si="315"/>
        <v>0</v>
      </c>
      <c r="DH129" s="26">
        <f t="shared" si="316"/>
        <v>0</v>
      </c>
      <c r="DI129" s="26">
        <f t="shared" si="317"/>
        <v>0</v>
      </c>
      <c r="DJ129" s="26">
        <f t="shared" si="318"/>
        <v>0</v>
      </c>
      <c r="DK129" s="26">
        <f t="shared" si="319"/>
        <v>0</v>
      </c>
      <c r="DL129" s="26">
        <f t="shared" si="320"/>
        <v>0</v>
      </c>
      <c r="DM129" s="26">
        <f t="shared" si="321"/>
        <v>0</v>
      </c>
      <c r="DN129" s="26">
        <f t="shared" si="322"/>
        <v>0</v>
      </c>
      <c r="DO129" s="26">
        <f t="shared" si="323"/>
        <v>0</v>
      </c>
      <c r="DP129" s="26">
        <f t="shared" si="324"/>
        <v>0</v>
      </c>
      <c r="DR129" s="26">
        <f t="shared" si="325"/>
        <v>0</v>
      </c>
      <c r="DS129" s="26">
        <f t="shared" si="326"/>
        <v>0</v>
      </c>
      <c r="DT129" s="26">
        <f t="shared" si="327"/>
        <v>0</v>
      </c>
      <c r="DU129" s="26">
        <f t="shared" si="328"/>
        <v>0</v>
      </c>
      <c r="DV129" s="26">
        <f t="shared" si="329"/>
        <v>0</v>
      </c>
      <c r="DW129" s="26">
        <f t="shared" si="330"/>
        <v>0</v>
      </c>
      <c r="DX129" s="26">
        <f t="shared" si="331"/>
        <v>0</v>
      </c>
      <c r="DY129" s="26">
        <f t="shared" si="332"/>
        <v>0</v>
      </c>
      <c r="DZ129" s="26">
        <f t="shared" si="333"/>
        <v>0</v>
      </c>
      <c r="EB129" s="26">
        <f t="shared" si="334"/>
        <v>0</v>
      </c>
      <c r="EC129" s="26">
        <f t="shared" si="335"/>
        <v>0</v>
      </c>
      <c r="ED129" s="26">
        <f t="shared" si="336"/>
        <v>0</v>
      </c>
      <c r="EE129" s="26">
        <f t="shared" si="337"/>
        <v>0</v>
      </c>
      <c r="EF129" s="26">
        <f t="shared" si="338"/>
        <v>0</v>
      </c>
      <c r="EG129" s="26">
        <f t="shared" si="339"/>
        <v>0</v>
      </c>
      <c r="EH129" s="26">
        <f t="shared" si="340"/>
        <v>0</v>
      </c>
      <c r="EI129" s="26">
        <f t="shared" si="341"/>
        <v>0</v>
      </c>
      <c r="EJ129" s="26">
        <f t="shared" si="342"/>
        <v>0</v>
      </c>
      <c r="EL129" s="26">
        <f t="shared" si="343"/>
        <v>0</v>
      </c>
      <c r="EM129" s="26">
        <f t="shared" si="344"/>
        <v>0</v>
      </c>
      <c r="EN129" s="26">
        <f t="shared" si="345"/>
        <v>0</v>
      </c>
      <c r="EO129" s="26">
        <f t="shared" si="346"/>
        <v>0</v>
      </c>
      <c r="EP129" s="26">
        <f t="shared" si="347"/>
        <v>0</v>
      </c>
      <c r="EQ129" s="26">
        <f t="shared" si="348"/>
        <v>0</v>
      </c>
      <c r="ER129" s="26">
        <f t="shared" si="349"/>
        <v>0</v>
      </c>
      <c r="ES129" s="26">
        <f t="shared" si="350"/>
        <v>0</v>
      </c>
      <c r="ET129" s="26">
        <f t="shared" si="351"/>
        <v>0</v>
      </c>
      <c r="EV129" s="26">
        <f t="shared" si="352"/>
        <v>0</v>
      </c>
      <c r="EW129" s="26">
        <f t="shared" si="353"/>
        <v>0</v>
      </c>
      <c r="EX129" s="26">
        <f t="shared" si="354"/>
        <v>0</v>
      </c>
      <c r="EY129" s="26">
        <f t="shared" si="355"/>
        <v>0</v>
      </c>
      <c r="EZ129" s="26">
        <f t="shared" si="356"/>
        <v>0</v>
      </c>
      <c r="FA129" s="26">
        <f t="shared" si="357"/>
        <v>0</v>
      </c>
      <c r="FB129" s="26">
        <f t="shared" si="358"/>
        <v>0</v>
      </c>
      <c r="FC129" s="26">
        <f t="shared" si="359"/>
        <v>0</v>
      </c>
      <c r="FD129" s="26">
        <f t="shared" si="360"/>
        <v>0</v>
      </c>
      <c r="FF129" s="26">
        <f t="shared" si="361"/>
        <v>0</v>
      </c>
      <c r="FG129" s="26">
        <f t="shared" si="362"/>
        <v>0</v>
      </c>
      <c r="FH129" s="26">
        <f t="shared" si="363"/>
        <v>0</v>
      </c>
      <c r="FI129" s="26">
        <f t="shared" si="364"/>
        <v>0</v>
      </c>
      <c r="FJ129" s="26">
        <f t="shared" si="365"/>
        <v>0</v>
      </c>
      <c r="FK129" s="26">
        <f t="shared" si="366"/>
        <v>0</v>
      </c>
      <c r="FL129" s="26">
        <f t="shared" si="367"/>
        <v>0</v>
      </c>
      <c r="FM129" s="26">
        <f t="shared" si="368"/>
        <v>0</v>
      </c>
      <c r="FN129" s="26">
        <f t="shared" si="369"/>
        <v>0</v>
      </c>
      <c r="FP129" s="26" t="e">
        <f t="shared" si="370"/>
        <v>#REF!</v>
      </c>
      <c r="FQ129" s="26" t="e">
        <f t="shared" si="371"/>
        <v>#REF!</v>
      </c>
      <c r="FR129" s="26" t="e">
        <f t="shared" si="372"/>
        <v>#REF!</v>
      </c>
      <c r="FS129" s="26" t="e">
        <f t="shared" si="373"/>
        <v>#REF!</v>
      </c>
      <c r="FT129" s="26" t="e">
        <f t="shared" si="374"/>
        <v>#REF!</v>
      </c>
      <c r="FU129" s="26" t="e">
        <f t="shared" si="375"/>
        <v>#REF!</v>
      </c>
      <c r="FV129" s="26" t="e">
        <f t="shared" si="376"/>
        <v>#REF!</v>
      </c>
      <c r="FW129" s="26" t="e">
        <f t="shared" si="377"/>
        <v>#REF!</v>
      </c>
      <c r="FX129" s="26" t="e">
        <f t="shared" si="378"/>
        <v>#REF!</v>
      </c>
      <c r="GB129" s="26" t="e">
        <f>IF(GB$2=InputTable[[#This Row],[Delivery Date]],_xlfn.XLOOKUP(GB$1,$BH$2:$BR$2,$BH129:$BR129,0),0)</f>
        <v>#REF!</v>
      </c>
      <c r="GC129" s="26">
        <f>IF(GC$2=InputTable[[#This Row],[Delivery Date]],_xlfn.XLOOKUP(GC$1,$BH$2:$BR$2,$BH129:$BR129,0),0)</f>
        <v>0</v>
      </c>
      <c r="GD129" s="26">
        <f>IF(GD$2=InputTable[[#This Row],[Delivery Date]],_xlfn.XLOOKUP(GD$1,$BH$2:$BR$2,$BH129:$BR129,0),0)</f>
        <v>0</v>
      </c>
      <c r="GE129" s="26">
        <f>IF(GE$2=InputTable[[#This Row],[Delivery Date]],_xlfn.XLOOKUP(GE$1,$BH$2:$BR$2,$BH129:$BR129,0),0)</f>
        <v>0</v>
      </c>
      <c r="GF129" s="26">
        <f>IF(GF$2=InputTable[[#This Row],[Delivery Date]],_xlfn.XLOOKUP(GF$1,$BH$2:$BR$2,$BH129:$BR129,0),0)</f>
        <v>0</v>
      </c>
      <c r="GG129" s="26">
        <f>IF(GG$2=InputTable[[#This Row],[Delivery Date]],_xlfn.XLOOKUP(GG$1,$BH$2:$BR$2,$BH129:$BR129,0),0)</f>
        <v>0</v>
      </c>
      <c r="GH129" s="26">
        <f>IF(GH$2=InputTable[[#This Row],[Delivery Date]],_xlfn.XLOOKUP(GH$1,$BH$2:$BR$2,$BH129:$BR129,0),0)</f>
        <v>0</v>
      </c>
      <c r="GI129" s="26">
        <f>IF(GI$2=InputTable[[#This Row],[Delivery Date]],_xlfn.XLOOKUP(GI$1,$BH$2:$BR$2,$BH129:$BR129,0),0)</f>
        <v>0</v>
      </c>
      <c r="GJ129" s="26">
        <f>IF(GJ$2=InputTable[[#This Row],[Delivery Date]],_xlfn.XLOOKUP(GJ$1,$BH$2:$BR$2,$BH129:$BR129,0),0)</f>
        <v>0</v>
      </c>
      <c r="GL129" s="26" t="e">
        <f>IF(GL$2=InputTable[[#This Row],[Delivery Date]],_xlfn.XLOOKUP(GL$1,$BH$2:$BR$2,$BH129:$BR129,0),0)</f>
        <v>#REF!</v>
      </c>
      <c r="GM129" s="26">
        <f>IF(GM$2=InputTable[[#This Row],[Delivery Date]],_xlfn.XLOOKUP(GM$1,$BH$2:$BR$2,$BH129:$BR129,0),0)</f>
        <v>0</v>
      </c>
      <c r="GN129" s="26">
        <f>IF(GN$2=InputTable[[#This Row],[Delivery Date]],_xlfn.XLOOKUP(GN$1,$BH$2:$BR$2,$BH129:$BR129,0),0)</f>
        <v>0</v>
      </c>
      <c r="GO129" s="26">
        <f>IF(GO$2=InputTable[[#This Row],[Delivery Date]],_xlfn.XLOOKUP(GO$1,$BH$2:$BR$2,$BH129:$BR129,0),0)</f>
        <v>0</v>
      </c>
      <c r="GP129" s="26">
        <f>IF(GP$2=InputTable[[#This Row],[Delivery Date]],_xlfn.XLOOKUP(GP$1,$BH$2:$BR$2,$BH129:$BR129,0),0)</f>
        <v>0</v>
      </c>
      <c r="GQ129" s="26">
        <f>IF(GQ$2=InputTable[[#This Row],[Delivery Date]],_xlfn.XLOOKUP(GQ$1,$BH$2:$BR$2,$BH129:$BR129,0),0)</f>
        <v>0</v>
      </c>
      <c r="GR129" s="26">
        <f>IF(GR$2=InputTable[[#This Row],[Delivery Date]],_xlfn.XLOOKUP(GR$1,$BH$2:$BR$2,$BH129:$BR129,0),0)</f>
        <v>0</v>
      </c>
      <c r="GS129" s="26">
        <f>IF(GS$2=InputTable[[#This Row],[Delivery Date]],_xlfn.XLOOKUP(GS$1,$BH$2:$BR$2,$BH129:$BR129,0),0)</f>
        <v>0</v>
      </c>
      <c r="GT129" s="26">
        <f>IF(GT$2=InputTable[[#This Row],[Delivery Date]],_xlfn.XLOOKUP(GT$1,$BH$2:$BR$2,$BH129:$BR129,0),0)</f>
        <v>0</v>
      </c>
      <c r="GV129" s="26" t="e">
        <f>IF(GV$2=InputTable[[#This Row],[Delivery Date]],_xlfn.XLOOKUP(GV$1,$BH$2:$BR$2,$BH129:$BR129,0),0)</f>
        <v>#REF!</v>
      </c>
      <c r="GW129" s="26">
        <f>IF(GW$2=InputTable[[#This Row],[Delivery Date]],_xlfn.XLOOKUP(GW$1,$BH$2:$BR$2,$BH129:$BR129,0),0)</f>
        <v>0</v>
      </c>
      <c r="GX129" s="26">
        <f>IF(GX$2=InputTable[[#This Row],[Delivery Date]],_xlfn.XLOOKUP(GX$1,$BH$2:$BR$2,$BH129:$BR129,0),0)</f>
        <v>0</v>
      </c>
      <c r="GY129" s="26">
        <f>IF(GY$2=InputTable[[#This Row],[Delivery Date]],_xlfn.XLOOKUP(GY$1,$BH$2:$BR$2,$BH129:$BR129,0),0)</f>
        <v>0</v>
      </c>
      <c r="GZ129" s="26">
        <f>IF(GZ$2=InputTable[[#This Row],[Delivery Date]],_xlfn.XLOOKUP(GZ$1,$BH$2:$BR$2,$BH129:$BR129,0),0)</f>
        <v>0</v>
      </c>
      <c r="HA129" s="26">
        <f>IF(HA$2=InputTable[[#This Row],[Delivery Date]],_xlfn.XLOOKUP(HA$1,$BH$2:$BR$2,$BH129:$BR129,0),0)</f>
        <v>0</v>
      </c>
      <c r="HB129" s="26">
        <f>IF(HB$2=InputTable[[#This Row],[Delivery Date]],_xlfn.XLOOKUP(HB$1,$BH$2:$BR$2,$BH129:$BR129,0),0)</f>
        <v>0</v>
      </c>
      <c r="HC129" s="26">
        <f>IF(HC$2=InputTable[[#This Row],[Delivery Date]],_xlfn.XLOOKUP(HC$1,$BH$2:$BR$2,$BH129:$BR129,0),0)</f>
        <v>0</v>
      </c>
      <c r="HD129" s="26">
        <f>IF(HD$2=InputTable[[#This Row],[Delivery Date]],_xlfn.XLOOKUP(HD$1,$BH$2:$BR$2,$BH129:$BR129,0),0)</f>
        <v>0</v>
      </c>
      <c r="HF129" s="26" t="e">
        <f>IF(HF$2=InputTable[[#This Row],[Delivery Date]],_xlfn.XLOOKUP(HF$1,$BH$2:$BR$2,$BH129:$BR129,0),0)</f>
        <v>#REF!</v>
      </c>
      <c r="HG129" s="26">
        <f>IF(HG$2=InputTable[[#This Row],[Delivery Date]],_xlfn.XLOOKUP(HG$1,$BH$2:$BR$2,$BH129:$BR129,0),0)</f>
        <v>0</v>
      </c>
      <c r="HH129" s="26">
        <f>IF(HH$2=InputTable[[#This Row],[Delivery Date]],_xlfn.XLOOKUP(HH$1,$BH$2:$BR$2,$BH129:$BR129,0),0)</f>
        <v>0</v>
      </c>
      <c r="HI129" s="26">
        <f>IF(HI$2=InputTable[[#This Row],[Delivery Date]],_xlfn.XLOOKUP(HI$1,$BH$2:$BR$2,$BH129:$BR129,0),0)</f>
        <v>0</v>
      </c>
      <c r="HJ129" s="26">
        <f>IF(HJ$2=InputTable[[#This Row],[Delivery Date]],_xlfn.XLOOKUP(HJ$1,$BH$2:$BR$2,$BH129:$BR129,0),0)</f>
        <v>0</v>
      </c>
      <c r="HK129" s="26">
        <f>IF(HK$2=InputTable[[#This Row],[Delivery Date]],_xlfn.XLOOKUP(HK$1,$BH$2:$BR$2,$BH129:$BR129,0),0)</f>
        <v>0</v>
      </c>
      <c r="HL129" s="26">
        <f>IF(HL$2=InputTable[[#This Row],[Delivery Date]],_xlfn.XLOOKUP(HL$1,$BH$2:$BR$2,$BH129:$BR129,0),0)</f>
        <v>0</v>
      </c>
      <c r="HM129" s="26">
        <f>IF(HM$2=InputTable[[#This Row],[Delivery Date]],_xlfn.XLOOKUP(HM$1,$BH$2:$BR$2,$BH129:$BR129,0),0)</f>
        <v>0</v>
      </c>
      <c r="HN129" s="26">
        <f>IF(HN$2=InputTable[[#This Row],[Delivery Date]],_xlfn.XLOOKUP(HN$1,$BH$2:$BR$2,$BH129:$BR129,0),0)</f>
        <v>0</v>
      </c>
      <c r="HP129" s="26" t="e">
        <f>IF(HP$2=InputTable[[#This Row],[Delivery Date]],_xlfn.XLOOKUP(HP$1,$BH$2:$BR$2,$BH129:$BR129,0),0)</f>
        <v>#REF!</v>
      </c>
      <c r="HQ129" s="26">
        <f>IF(HQ$2=InputTable[[#This Row],[Delivery Date]],_xlfn.XLOOKUP(HQ$1,$BH$2:$BR$2,$BH129:$BR129,0),0)</f>
        <v>0</v>
      </c>
      <c r="HR129" s="26">
        <f>IF(HR$2=InputTable[[#This Row],[Delivery Date]],_xlfn.XLOOKUP(HR$1,$BH$2:$BR$2,$BH129:$BR129,0),0)</f>
        <v>0</v>
      </c>
      <c r="HS129" s="26">
        <f>IF(HS$2=InputTable[[#This Row],[Delivery Date]],_xlfn.XLOOKUP(HS$1,$BH$2:$BR$2,$BH129:$BR129,0),0)</f>
        <v>0</v>
      </c>
      <c r="HT129" s="26">
        <f>IF(HT$2=InputTable[[#This Row],[Delivery Date]],_xlfn.XLOOKUP(HT$1,$BH$2:$BR$2,$BH129:$BR129,0),0)</f>
        <v>0</v>
      </c>
      <c r="HU129" s="26">
        <f>IF(HU$2=InputTable[[#This Row],[Delivery Date]],_xlfn.XLOOKUP(HU$1,$BH$2:$BR$2,$BH129:$BR129,0),0)</f>
        <v>0</v>
      </c>
      <c r="HV129" s="26">
        <f>IF(HV$2=InputTable[[#This Row],[Delivery Date]],_xlfn.XLOOKUP(HV$1,$BH$2:$BR$2,$BH129:$BR129,0),0)</f>
        <v>0</v>
      </c>
      <c r="HW129" s="26">
        <f>IF(HW$2=InputTable[[#This Row],[Delivery Date]],_xlfn.XLOOKUP(HW$1,$BH$2:$BR$2,$BH129:$BR129,0),0)</f>
        <v>0</v>
      </c>
      <c r="HX129" s="26">
        <f>IF(HX$2=InputTable[[#This Row],[Delivery Date]],_xlfn.XLOOKUP(HX$1,$BH$2:$BR$2,$BH129:$BR129,0),0)</f>
        <v>0</v>
      </c>
      <c r="HZ129" s="26" t="e">
        <f>IF(HZ$2=InputTable[[#This Row],[Delivery Date]],_xlfn.XLOOKUP(HZ$1,$BH$2:$BR$2,$BH129:$BR129,0),0)</f>
        <v>#REF!</v>
      </c>
      <c r="IA129" s="26">
        <f>IF(IA$2=InputTable[[#This Row],[Delivery Date]],_xlfn.XLOOKUP(IA$1,$BH$2:$BR$2,$BH129:$BR129,0),0)</f>
        <v>0</v>
      </c>
      <c r="IB129" s="26">
        <f>IF(IB$2=InputTable[[#This Row],[Delivery Date]],_xlfn.XLOOKUP(IB$1,$BH$2:$BR$2,$BH129:$BR129,0),0)</f>
        <v>0</v>
      </c>
      <c r="IC129" s="26">
        <f>IF(IC$2=InputTable[[#This Row],[Delivery Date]],_xlfn.XLOOKUP(IC$1,$BH$2:$BR$2,$BH129:$BR129,0),0)</f>
        <v>0</v>
      </c>
      <c r="ID129" s="26">
        <f>IF(ID$2=InputTable[[#This Row],[Delivery Date]],_xlfn.XLOOKUP(ID$1,$BH$2:$BR$2,$BH129:$BR129,0),0)</f>
        <v>0</v>
      </c>
      <c r="IE129" s="26">
        <f>IF(IE$2=InputTable[[#This Row],[Delivery Date]],_xlfn.XLOOKUP(IE$1,$BH$2:$BR$2,$BH129:$BR129,0),0)</f>
        <v>0</v>
      </c>
      <c r="IF129" s="26">
        <f>IF(IF$2=InputTable[[#This Row],[Delivery Date]],_xlfn.XLOOKUP(IF$1,$BH$2:$BR$2,$BH129:$BR129,0),0)</f>
        <v>0</v>
      </c>
      <c r="IG129" s="26">
        <f>IF(IG$2=InputTable[[#This Row],[Delivery Date]],_xlfn.XLOOKUP(IG$1,$BH$2:$BR$2,$BH129:$BR129,0),0)</f>
        <v>0</v>
      </c>
      <c r="IH129" s="26">
        <f>IF(IH$2=InputTable[[#This Row],[Delivery Date]],_xlfn.XLOOKUP(IH$1,$BH$2:$BR$2,$BH129:$BR129,0),0)</f>
        <v>0</v>
      </c>
      <c r="IJ129" s="26" t="e">
        <f>IF(IJ$2=InputTable[[#This Row],[Delivery Date]],_xlfn.XLOOKUP(IJ$1,$BH$2:$BR$2,$BH129:$BR129,0),0)</f>
        <v>#REF!</v>
      </c>
      <c r="IK129" s="26">
        <f>IF(IK$2=InputTable[[#This Row],[Delivery Date]],_xlfn.XLOOKUP(IK$1,$BH$2:$BR$2,$BH129:$BR129,0),0)</f>
        <v>0</v>
      </c>
      <c r="IL129" s="26">
        <f>IF(IL$2=InputTable[[#This Row],[Delivery Date]],_xlfn.XLOOKUP(IL$1,$BH$2:$BR$2,$BH129:$BR129,0),0)</f>
        <v>0</v>
      </c>
      <c r="IM129" s="26">
        <f>IF(IM$2=InputTable[[#This Row],[Delivery Date]],_xlfn.XLOOKUP(IM$1,$BH$2:$BR$2,$BH129:$BR129,0),0)</f>
        <v>0</v>
      </c>
      <c r="IN129" s="26">
        <f>IF(IN$2=InputTable[[#This Row],[Delivery Date]],_xlfn.XLOOKUP(IN$1,$BH$2:$BR$2,$BH129:$BR129,0),0)</f>
        <v>0</v>
      </c>
      <c r="IO129" s="26">
        <f>IF(IO$2=InputTable[[#This Row],[Delivery Date]],_xlfn.XLOOKUP(IO$1,$BH$2:$BR$2,$BH129:$BR129,0),0)</f>
        <v>0</v>
      </c>
      <c r="IP129" s="26">
        <f>IF(IP$2=InputTable[[#This Row],[Delivery Date]],_xlfn.XLOOKUP(IP$1,$BH$2:$BR$2,$BH129:$BR129,0),0)</f>
        <v>0</v>
      </c>
      <c r="IQ129" s="26">
        <f>IF(IQ$2=InputTable[[#This Row],[Delivery Date]],_xlfn.XLOOKUP(IQ$1,$BH$2:$BR$2,$BH129:$BR129,0),0)</f>
        <v>0</v>
      </c>
      <c r="IR129" s="26">
        <f>IF(IR$2=InputTable[[#This Row],[Delivery Date]],_xlfn.XLOOKUP(IR$1,$BH$2:$BR$2,$BH129:$BR129,0),0)</f>
        <v>0</v>
      </c>
      <c r="IT129" s="26" t="e">
        <f>IF(IT$2=InputTable[[#This Row],[Delivery Date]],_xlfn.XLOOKUP(IT$1,$BH$2:$BR$2,$BH129:$BR129,0),0)</f>
        <v>#REF!</v>
      </c>
      <c r="IU129" s="26">
        <f>IF(IU$2=InputTable[[#This Row],[Delivery Date]],_xlfn.XLOOKUP(IU$1,$BH$2:$BR$2,$BH129:$BR129,0),0)</f>
        <v>0</v>
      </c>
      <c r="IV129" s="26">
        <f>IF(IV$2=InputTable[[#This Row],[Delivery Date]],_xlfn.XLOOKUP(IV$1,$BH$2:$BR$2,$BH129:$BR129,0),0)</f>
        <v>0</v>
      </c>
      <c r="IW129" s="26">
        <f>IF(IW$2=InputTable[[#This Row],[Delivery Date]],_xlfn.XLOOKUP(IW$1,$BH$2:$BR$2,$BH129:$BR129,0),0)</f>
        <v>0</v>
      </c>
      <c r="IX129" s="26">
        <f>IF(IX$2=InputTable[[#This Row],[Delivery Date]],_xlfn.XLOOKUP(IX$1,$BH$2:$BR$2,$BH129:$BR129,0),0)</f>
        <v>0</v>
      </c>
      <c r="IY129" s="26">
        <f>IF(IY$2=InputTable[[#This Row],[Delivery Date]],_xlfn.XLOOKUP(IY$1,$BH$2:$BR$2,$BH129:$BR129,0),0)</f>
        <v>0</v>
      </c>
      <c r="IZ129" s="26">
        <f>IF(IZ$2=InputTable[[#This Row],[Delivery Date]],_xlfn.XLOOKUP(IZ$1,$BH$2:$BR$2,$BH129:$BR129,0),0)</f>
        <v>0</v>
      </c>
      <c r="JA129" s="26">
        <f>IF(JA$2=InputTable[[#This Row],[Delivery Date]],_xlfn.XLOOKUP(JA$1,$BH$2:$BR$2,$BH129:$BR129,0),0)</f>
        <v>0</v>
      </c>
      <c r="JB129" s="26">
        <f>IF(JB$2=InputTable[[#This Row],[Delivery Date]],_xlfn.XLOOKUP(JB$1,$BH$2:$BR$2,$BH129:$BR129,0),0)</f>
        <v>0</v>
      </c>
      <c r="JD129" s="26" t="e">
        <f>IF(JD$2=InputTable[[#This Row],[Delivery Date]],_xlfn.XLOOKUP(JD$1,$BH$2:$BR$2,$BH129:$BR129,0),0)</f>
        <v>#REF!</v>
      </c>
      <c r="JE129" s="26">
        <f>IF(JE$2=InputTable[[#This Row],[Delivery Date]],_xlfn.XLOOKUP(JE$1,$BH$2:$BR$2,$BH129:$BR129,0),0)</f>
        <v>0</v>
      </c>
      <c r="JF129" s="26">
        <f>IF(JF$2=InputTable[[#This Row],[Delivery Date]],_xlfn.XLOOKUP(JF$1,$BH$2:$BR$2,$BH129:$BR129,0),0)</f>
        <v>0</v>
      </c>
      <c r="JG129" s="26">
        <f>IF(JG$2=InputTable[[#This Row],[Delivery Date]],_xlfn.XLOOKUP(JG$1,$BH$2:$BR$2,$BH129:$BR129,0),0)</f>
        <v>0</v>
      </c>
      <c r="JH129" s="26">
        <f>IF(JH$2=InputTable[[#This Row],[Delivery Date]],_xlfn.XLOOKUP(JH$1,$BH$2:$BR$2,$BH129:$BR129,0),0)</f>
        <v>0</v>
      </c>
      <c r="JI129" s="26">
        <f>IF(JI$2=InputTable[[#This Row],[Delivery Date]],_xlfn.XLOOKUP(JI$1,$BH$2:$BR$2,$BH129:$BR129,0),0)</f>
        <v>0</v>
      </c>
      <c r="JJ129" s="26">
        <f>IF(JJ$2=InputTable[[#This Row],[Delivery Date]],_xlfn.XLOOKUP(JJ$1,$BH$2:$BR$2,$BH129:$BR129,0),0)</f>
        <v>0</v>
      </c>
      <c r="JK129" s="26">
        <f>IF(JK$2=InputTable[[#This Row],[Delivery Date]],_xlfn.XLOOKUP(JK$1,$BH$2:$BR$2,$BH129:$BR129,0),0)</f>
        <v>0</v>
      </c>
      <c r="JL129" s="26">
        <f>IF(JL$2=InputTable[[#This Row],[Delivery Date]],_xlfn.XLOOKUP(JL$1,$BH$2:$BR$2,$BH129:$BR129,0),0)</f>
        <v>0</v>
      </c>
      <c r="JN129" s="26" t="e">
        <f>IF(JN$2=InputTable[[#This Row],[Delivery Date]],_xlfn.XLOOKUP(JN$1,$BH$2:$BR$2,$BH129:$BR129,0),0)</f>
        <v>#REF!</v>
      </c>
      <c r="JO129" s="26">
        <f>IF(JO$2=InputTable[[#This Row],[Delivery Date]],_xlfn.XLOOKUP(JO$1,$BH$2:$BR$2,$BH129:$BR129,0),0)</f>
        <v>0</v>
      </c>
      <c r="JP129" s="26">
        <f>IF(JP$2=InputTable[[#This Row],[Delivery Date]],_xlfn.XLOOKUP(JP$1,$BH$2:$BR$2,$BH129:$BR129,0),0)</f>
        <v>0</v>
      </c>
      <c r="JQ129" s="26">
        <f>IF(JQ$2=InputTable[[#This Row],[Delivery Date]],_xlfn.XLOOKUP(JQ$1,$BH$2:$BR$2,$BH129:$BR129,0),0)</f>
        <v>0</v>
      </c>
      <c r="JR129" s="26">
        <f>IF(JR$2=InputTable[[#This Row],[Delivery Date]],_xlfn.XLOOKUP(JR$1,$BH$2:$BR$2,$BH129:$BR129,0),0)</f>
        <v>0</v>
      </c>
      <c r="JS129" s="26">
        <f>IF(JS$2=InputTable[[#This Row],[Delivery Date]],_xlfn.XLOOKUP(JS$1,$BH$2:$BR$2,$BH129:$BR129,0),0)</f>
        <v>0</v>
      </c>
      <c r="JT129" s="26">
        <f>IF(JT$2=InputTable[[#This Row],[Delivery Date]],_xlfn.XLOOKUP(JT$1,$BH$2:$BR$2,$BH129:$BR129,0),0)</f>
        <v>0</v>
      </c>
      <c r="JU129" s="26">
        <f>IF(JU$2=InputTable[[#This Row],[Delivery Date]],_xlfn.XLOOKUP(JU$1,$BH$2:$BR$2,$BH129:$BR129,0),0)</f>
        <v>0</v>
      </c>
      <c r="JV129" s="26">
        <f>IF(JV$2=InputTable[[#This Row],[Delivery Date]],_xlfn.XLOOKUP(JV$1,$BH$2:$BR$2,$BH129:$BR129,0),0)</f>
        <v>0</v>
      </c>
      <c r="JX129" s="26" t="e">
        <f>IF(JX$2=InputTable[[#This Row],[Delivery Date]],_xlfn.XLOOKUP(JX$1,$BH$2:$BR$2,$BH129:$BR129,0),0)</f>
        <v>#REF!</v>
      </c>
      <c r="JY129" s="26">
        <f>IF(JY$2=InputTable[[#This Row],[Delivery Date]],_xlfn.XLOOKUP(JY$1,$BH$2:$BR$2,$BH129:$BR129,0),0)</f>
        <v>0</v>
      </c>
      <c r="JZ129" s="26">
        <f>IF(JZ$2=InputTable[[#This Row],[Delivery Date]],_xlfn.XLOOKUP(JZ$1,$BH$2:$BR$2,$BH129:$BR129,0),0)</f>
        <v>0</v>
      </c>
      <c r="KA129" s="26">
        <f>IF(KA$2=InputTable[[#This Row],[Delivery Date]],_xlfn.XLOOKUP(KA$1,$BH$2:$BR$2,$BH129:$BR129,0),0)</f>
        <v>0</v>
      </c>
      <c r="KB129" s="26">
        <f>IF(KB$2=InputTable[[#This Row],[Delivery Date]],_xlfn.XLOOKUP(KB$1,$BH$2:$BR$2,$BH129:$BR129,0),0)</f>
        <v>0</v>
      </c>
      <c r="KC129" s="26">
        <f>IF(KC$2=InputTable[[#This Row],[Delivery Date]],_xlfn.XLOOKUP(KC$1,$BH$2:$BR$2,$BH129:$BR129,0),0)</f>
        <v>0</v>
      </c>
      <c r="KD129" s="26">
        <f>IF(KD$2=InputTable[[#This Row],[Delivery Date]],_xlfn.XLOOKUP(KD$1,$BH$2:$BR$2,$BH129:$BR129,0),0)</f>
        <v>0</v>
      </c>
      <c r="KE129" s="26">
        <f>IF(KE$2=InputTable[[#This Row],[Delivery Date]],_xlfn.XLOOKUP(KE$1,$BH$2:$BR$2,$BH129:$BR129,0),0)</f>
        <v>0</v>
      </c>
      <c r="KF129" s="26">
        <f>IF(KF$2=InputTable[[#This Row],[Delivery Date]],_xlfn.XLOOKUP(KF$1,$BH$2:$BR$2,$BH129:$BR129,0),0)</f>
        <v>0</v>
      </c>
    </row>
    <row r="130" spans="1:292" ht="39.6" customHeight="1" x14ac:dyDescent="0.25">
      <c r="A130" s="141"/>
      <c r="B130" s="141"/>
      <c r="C130" s="92"/>
      <c r="D130" s="92"/>
      <c r="E130" s="93"/>
      <c r="F130" s="92"/>
      <c r="G130" s="92"/>
      <c r="H130" s="92"/>
      <c r="I130" s="92"/>
      <c r="J130" s="122"/>
      <c r="K130" s="95" t="e">
        <f>VLOOKUP((InputTable[[#This Row],[Starting Date]]&amp; " - " &amp;InputTable[[#This Row],[Delivery Date]]),'System List'!$F$40:$H$83,2,FALSE)</f>
        <v>#N/A</v>
      </c>
      <c r="L130" s="95" t="e">
        <f>VLOOKUP(InputTable[[#This Row],[Duration]],Duration,2,FALSE)</f>
        <v>#N/A</v>
      </c>
      <c r="M130" s="122"/>
      <c r="N130" s="92"/>
      <c r="O130" s="92"/>
      <c r="P130" s="92"/>
      <c r="Q130" s="92"/>
      <c r="R130" s="92"/>
      <c r="S130" s="92"/>
      <c r="T130" s="95"/>
      <c r="U130" s="138"/>
      <c r="V130" s="92"/>
      <c r="W130" s="92"/>
      <c r="X130" s="92"/>
      <c r="Y130" s="92"/>
      <c r="Z130" s="92"/>
      <c r="AA130" s="92"/>
      <c r="AB130" s="92"/>
      <c r="AC130" s="92"/>
      <c r="AD130" s="92">
        <f>COUNTA(InputTable[[#This Row],[CORPHRFIN]:[SALES]])</f>
        <v>0</v>
      </c>
      <c r="AE130" s="88" cm="1">
        <f t="array" ref="AE130">SUM(
_xlfn.XLOOKUP(InputTable[[#This Row],[CORPHRFIN]:[SALES]],'System List'!$F$4:$F$7,'System List'!$H$4:$H$7,0))</f>
        <v>0</v>
      </c>
      <c r="AF130" s="140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88" cm="1">
        <f t="array" ref="AR130">SUM(
_xlfn.XLOOKUP(InputTable[[#This Row],[Impact on - CIAL]:[Impact on - STRAT]],'System List'!$F$4:$F$7,'System List'!$H$4:$H$7,0))</f>
        <v>0</v>
      </c>
      <c r="AS130" s="88" t="e">
        <f>VLOOKUP(InputTable[[#This Row],[Duration]],Duration,2,FALSE)+InputTable[[#This Row],[Resource Score]]</f>
        <v>#N/A</v>
      </c>
      <c r="AT13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0" s="24" t="e">
        <f>InputTable[[#This Row],[Value Score]]/InputTable[[#This Row],[EFFORT SCORE]]*100</f>
        <v>#N/A</v>
      </c>
      <c r="AV130" s="25"/>
      <c r="AW130" s="25"/>
      <c r="AX130" s="208"/>
      <c r="AY130" s="25"/>
      <c r="AZ130" s="209">
        <v>0</v>
      </c>
      <c r="BA130" s="209">
        <v>0</v>
      </c>
      <c r="BB130" s="209"/>
      <c r="BC130" s="189"/>
      <c r="BD130" s="188"/>
      <c r="BE130" s="188"/>
      <c r="BF130" s="70"/>
      <c r="BH130" s="2">
        <f>IFERROR(VLOOKUP(InputTable[[#This Row],[Impact on - CIAL]],'System List'!$F$4:$H$7,3,FALSE),0)</f>
        <v>0</v>
      </c>
      <c r="BI130" s="2">
        <f>IFERROR(VLOOKUP(InputTable[[#This Row],[Impact on - COM]],'System List'!$F$4:$H$7,3,FALSE),0)</f>
        <v>0</v>
      </c>
      <c r="BJ130" s="2">
        <f>IFERROR(VLOOKUP(InputTable[[#This Row],[Impact on - FIN]],'System List'!$F$4:$H$7,3,FALSE),0)</f>
        <v>0</v>
      </c>
      <c r="BK130" s="2">
        <f>IFERROR(VLOOKUP(InputTable[[#This Row],[Impact on - GEN SEC]],'System List'!$F$4:$H$7,3,FALSE),0)</f>
        <v>0</v>
      </c>
      <c r="BL130" s="2">
        <f>IFERROR(VLOOKUP(InputTable[[#This Row],[Impact on - HR]],'System List'!$F$4:$H$7,3,FALSE),0)</f>
        <v>0</v>
      </c>
      <c r="BM130" s="2">
        <f>IFERROR(VLOOKUP(InputTable[[#This Row],[Impact on - IS]],'System List'!$F$4:$H$7,3,FALSE),0)</f>
        <v>0</v>
      </c>
      <c r="BN130" s="2">
        <f>IFERROR(VLOOKUP(InputTable[[#This Row],[Impact on - OPS]],'System List'!$F$4:$H$7,3,FALSE),0)</f>
        <v>0</v>
      </c>
      <c r="BO130" s="2">
        <f>IFERROR(VLOOKUP(InputTable[[#This Row],[Impact on - ROLL STOCK]],'System List'!$F$4:$H$7,3,FALSE),0)</f>
        <v>0</v>
      </c>
      <c r="BP130" s="2">
        <f>IFERROR(VLOOKUP(InputTable[[#This Row],[Impact on - SAFETY]],'System List'!$F$4:$H$7,3,FALSE),0)</f>
        <v>0</v>
      </c>
      <c r="BQ130" s="2">
        <f>IFERROR(VLOOKUP(InputTable[[#This Row],[Impact on - STATION]],'System List'!$F$4:$H$7,3,FALSE),0)</f>
        <v>0</v>
      </c>
      <c r="BR130" s="2">
        <f>IFERROR(VLOOKUP(InputTable[[#This Row],[Impact on - STRAT]],'System List'!$F$4:$H$7,3,FALSE),0)</f>
        <v>0</v>
      </c>
      <c r="BT130" s="2">
        <f>IFERROR(VLOOKUP(InputTable[[#This Row],[CORPHRFIN]],'System List'!$F$4:$H$7,3,FALSE),0)</f>
        <v>0</v>
      </c>
      <c r="BU130" s="2">
        <f>IFERROR(VLOOKUP(InputTable[[#This Row],[CUST]],'System List'!$F$4:$H$7,3,FALSE),0)</f>
        <v>0</v>
      </c>
      <c r="BV130" s="2">
        <f>IFERROR(VLOOKUP(InputTable[[#This Row],[CYBER]],'System List'!$F$4:$H$7,3,FALSE),0)</f>
        <v>0</v>
      </c>
      <c r="BW130" s="2">
        <f>IFERROR(VLOOKUP(InputTable[[#This Row],[DATA]],'System List'!$F$4:$H$7,3,FALSE),0)</f>
        <v>0</v>
      </c>
      <c r="BX130" s="2">
        <f>IFERROR(VLOOKUP(InputTable[[#This Row],[INFRA]],'System List'!$F$4:$H$7,3,FALSE),0)</f>
        <v>0</v>
      </c>
      <c r="BY130" s="2">
        <f>IFERROR(VLOOKUP(InputTable[[#This Row],[OPERATIONS]],'System List'!$F$4:$H$7,3,FALSE),0)</f>
        <v>0</v>
      </c>
      <c r="BZ130" s="2">
        <f>IFERROR(VLOOKUP(InputTable[[#This Row],[PMO]],'System List'!$F$4:$H$7,3,FALSE),0)</f>
        <v>0</v>
      </c>
      <c r="CA130" s="2">
        <f>IFERROR(VLOOKUP(InputTable[[#This Row],[SALES]],'System List'!$F$4:$H$7,3,FALSE),0)</f>
        <v>0</v>
      </c>
      <c r="CC130" s="2" cm="1">
        <f t="array" ref="CC13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0" s="2" cm="1">
        <f t="array" ref="CD13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0" s="2" cm="1">
        <f t="array" ref="CE13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0" s="2" cm="1">
        <f t="array" ref="CF13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0" s="2" cm="1">
        <f t="array" ref="CG13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0" s="2" cm="1">
        <f t="array" ref="CH13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0" s="2" cm="1">
        <f t="array" ref="CI13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0" s="2" cm="1">
        <f t="array" ref="CJ13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0" s="2" cm="1">
        <f t="array" ref="CK13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0" s="26">
        <f t="shared" si="307"/>
        <v>0</v>
      </c>
      <c r="CY130" s="26">
        <f t="shared" si="308"/>
        <v>0</v>
      </c>
      <c r="CZ130" s="26">
        <f t="shared" si="309"/>
        <v>0</v>
      </c>
      <c r="DA130" s="26">
        <f t="shared" si="310"/>
        <v>0</v>
      </c>
      <c r="DB130" s="26">
        <f t="shared" si="311"/>
        <v>0</v>
      </c>
      <c r="DC130" s="26">
        <f t="shared" si="312"/>
        <v>0</v>
      </c>
      <c r="DD130" s="26">
        <f t="shared" si="313"/>
        <v>0</v>
      </c>
      <c r="DE130" s="26">
        <f t="shared" si="314"/>
        <v>0</v>
      </c>
      <c r="DF130" s="26">
        <f t="shared" si="315"/>
        <v>0</v>
      </c>
      <c r="DH130" s="26">
        <f t="shared" si="316"/>
        <v>0</v>
      </c>
      <c r="DI130" s="26">
        <f t="shared" si="317"/>
        <v>0</v>
      </c>
      <c r="DJ130" s="26">
        <f t="shared" si="318"/>
        <v>0</v>
      </c>
      <c r="DK130" s="26">
        <f t="shared" si="319"/>
        <v>0</v>
      </c>
      <c r="DL130" s="26">
        <f t="shared" si="320"/>
        <v>0</v>
      </c>
      <c r="DM130" s="26">
        <f t="shared" si="321"/>
        <v>0</v>
      </c>
      <c r="DN130" s="26">
        <f t="shared" si="322"/>
        <v>0</v>
      </c>
      <c r="DO130" s="26">
        <f t="shared" si="323"/>
        <v>0</v>
      </c>
      <c r="DP130" s="26">
        <f t="shared" si="324"/>
        <v>0</v>
      </c>
      <c r="DR130" s="26">
        <f t="shared" si="325"/>
        <v>0</v>
      </c>
      <c r="DS130" s="26">
        <f t="shared" si="326"/>
        <v>0</v>
      </c>
      <c r="DT130" s="26">
        <f t="shared" si="327"/>
        <v>0</v>
      </c>
      <c r="DU130" s="26">
        <f t="shared" si="328"/>
        <v>0</v>
      </c>
      <c r="DV130" s="26">
        <f t="shared" si="329"/>
        <v>0</v>
      </c>
      <c r="DW130" s="26">
        <f t="shared" si="330"/>
        <v>0</v>
      </c>
      <c r="DX130" s="26">
        <f t="shared" si="331"/>
        <v>0</v>
      </c>
      <c r="DY130" s="26">
        <f t="shared" si="332"/>
        <v>0</v>
      </c>
      <c r="DZ130" s="26">
        <f t="shared" si="333"/>
        <v>0</v>
      </c>
      <c r="EB130" s="26">
        <f t="shared" si="334"/>
        <v>0</v>
      </c>
      <c r="EC130" s="26">
        <f t="shared" si="335"/>
        <v>0</v>
      </c>
      <c r="ED130" s="26">
        <f t="shared" si="336"/>
        <v>0</v>
      </c>
      <c r="EE130" s="26">
        <f t="shared" si="337"/>
        <v>0</v>
      </c>
      <c r="EF130" s="26">
        <f t="shared" si="338"/>
        <v>0</v>
      </c>
      <c r="EG130" s="26">
        <f t="shared" si="339"/>
        <v>0</v>
      </c>
      <c r="EH130" s="26">
        <f t="shared" si="340"/>
        <v>0</v>
      </c>
      <c r="EI130" s="26">
        <f t="shared" si="341"/>
        <v>0</v>
      </c>
      <c r="EJ130" s="26">
        <f t="shared" si="342"/>
        <v>0</v>
      </c>
      <c r="EL130" s="26">
        <f t="shared" si="343"/>
        <v>0</v>
      </c>
      <c r="EM130" s="26">
        <f t="shared" si="344"/>
        <v>0</v>
      </c>
      <c r="EN130" s="26">
        <f t="shared" si="345"/>
        <v>0</v>
      </c>
      <c r="EO130" s="26">
        <f t="shared" si="346"/>
        <v>0</v>
      </c>
      <c r="EP130" s="26">
        <f t="shared" si="347"/>
        <v>0</v>
      </c>
      <c r="EQ130" s="26">
        <f t="shared" si="348"/>
        <v>0</v>
      </c>
      <c r="ER130" s="26">
        <f t="shared" si="349"/>
        <v>0</v>
      </c>
      <c r="ES130" s="26">
        <f t="shared" si="350"/>
        <v>0</v>
      </c>
      <c r="ET130" s="26">
        <f t="shared" si="351"/>
        <v>0</v>
      </c>
      <c r="EV130" s="26">
        <f t="shared" si="352"/>
        <v>0</v>
      </c>
      <c r="EW130" s="26">
        <f t="shared" si="353"/>
        <v>0</v>
      </c>
      <c r="EX130" s="26">
        <f t="shared" si="354"/>
        <v>0</v>
      </c>
      <c r="EY130" s="26">
        <f t="shared" si="355"/>
        <v>0</v>
      </c>
      <c r="EZ130" s="26">
        <f t="shared" si="356"/>
        <v>0</v>
      </c>
      <c r="FA130" s="26">
        <f t="shared" si="357"/>
        <v>0</v>
      </c>
      <c r="FB130" s="26">
        <f t="shared" si="358"/>
        <v>0</v>
      </c>
      <c r="FC130" s="26">
        <f t="shared" si="359"/>
        <v>0</v>
      </c>
      <c r="FD130" s="26">
        <f t="shared" si="360"/>
        <v>0</v>
      </c>
      <c r="FF130" s="26">
        <f t="shared" si="361"/>
        <v>0</v>
      </c>
      <c r="FG130" s="26">
        <f t="shared" si="362"/>
        <v>0</v>
      </c>
      <c r="FH130" s="26">
        <f t="shared" si="363"/>
        <v>0</v>
      </c>
      <c r="FI130" s="26">
        <f t="shared" si="364"/>
        <v>0</v>
      </c>
      <c r="FJ130" s="26">
        <f t="shared" si="365"/>
        <v>0</v>
      </c>
      <c r="FK130" s="26">
        <f t="shared" si="366"/>
        <v>0</v>
      </c>
      <c r="FL130" s="26">
        <f t="shared" si="367"/>
        <v>0</v>
      </c>
      <c r="FM130" s="26">
        <f t="shared" si="368"/>
        <v>0</v>
      </c>
      <c r="FN130" s="26">
        <f t="shared" si="369"/>
        <v>0</v>
      </c>
      <c r="FP130" s="26" t="e">
        <f t="shared" si="370"/>
        <v>#REF!</v>
      </c>
      <c r="FQ130" s="26" t="e">
        <f t="shared" si="371"/>
        <v>#REF!</v>
      </c>
      <c r="FR130" s="26" t="e">
        <f t="shared" si="372"/>
        <v>#REF!</v>
      </c>
      <c r="FS130" s="26" t="e">
        <f t="shared" si="373"/>
        <v>#REF!</v>
      </c>
      <c r="FT130" s="26" t="e">
        <f t="shared" si="374"/>
        <v>#REF!</v>
      </c>
      <c r="FU130" s="26" t="e">
        <f t="shared" si="375"/>
        <v>#REF!</v>
      </c>
      <c r="FV130" s="26" t="e">
        <f t="shared" si="376"/>
        <v>#REF!</v>
      </c>
      <c r="FW130" s="26" t="e">
        <f t="shared" si="377"/>
        <v>#REF!</v>
      </c>
      <c r="FX130" s="26" t="e">
        <f t="shared" si="378"/>
        <v>#REF!</v>
      </c>
      <c r="GB130" s="26" t="e">
        <f>IF(GB$2=InputTable[[#This Row],[Delivery Date]],_xlfn.XLOOKUP(GB$1,$BH$2:$BR$2,$BH130:$BR130,0),0)</f>
        <v>#REF!</v>
      </c>
      <c r="GC130" s="26">
        <f>IF(GC$2=InputTable[[#This Row],[Delivery Date]],_xlfn.XLOOKUP(GC$1,$BH$2:$BR$2,$BH130:$BR130,0),0)</f>
        <v>0</v>
      </c>
      <c r="GD130" s="26">
        <f>IF(GD$2=InputTable[[#This Row],[Delivery Date]],_xlfn.XLOOKUP(GD$1,$BH$2:$BR$2,$BH130:$BR130,0),0)</f>
        <v>0</v>
      </c>
      <c r="GE130" s="26">
        <f>IF(GE$2=InputTable[[#This Row],[Delivery Date]],_xlfn.XLOOKUP(GE$1,$BH$2:$BR$2,$BH130:$BR130,0),0)</f>
        <v>0</v>
      </c>
      <c r="GF130" s="26">
        <f>IF(GF$2=InputTable[[#This Row],[Delivery Date]],_xlfn.XLOOKUP(GF$1,$BH$2:$BR$2,$BH130:$BR130,0),0)</f>
        <v>0</v>
      </c>
      <c r="GG130" s="26">
        <f>IF(GG$2=InputTable[[#This Row],[Delivery Date]],_xlfn.XLOOKUP(GG$1,$BH$2:$BR$2,$BH130:$BR130,0),0)</f>
        <v>0</v>
      </c>
      <c r="GH130" s="26">
        <f>IF(GH$2=InputTable[[#This Row],[Delivery Date]],_xlfn.XLOOKUP(GH$1,$BH$2:$BR$2,$BH130:$BR130,0),0)</f>
        <v>0</v>
      </c>
      <c r="GI130" s="26">
        <f>IF(GI$2=InputTable[[#This Row],[Delivery Date]],_xlfn.XLOOKUP(GI$1,$BH$2:$BR$2,$BH130:$BR130,0),0)</f>
        <v>0</v>
      </c>
      <c r="GJ130" s="26">
        <f>IF(GJ$2=InputTable[[#This Row],[Delivery Date]],_xlfn.XLOOKUP(GJ$1,$BH$2:$BR$2,$BH130:$BR130,0),0)</f>
        <v>0</v>
      </c>
      <c r="GL130" s="26" t="e">
        <f>IF(GL$2=InputTable[[#This Row],[Delivery Date]],_xlfn.XLOOKUP(GL$1,$BH$2:$BR$2,$BH130:$BR130,0),0)</f>
        <v>#REF!</v>
      </c>
      <c r="GM130" s="26">
        <f>IF(GM$2=InputTable[[#This Row],[Delivery Date]],_xlfn.XLOOKUP(GM$1,$BH$2:$BR$2,$BH130:$BR130,0),0)</f>
        <v>0</v>
      </c>
      <c r="GN130" s="26">
        <f>IF(GN$2=InputTable[[#This Row],[Delivery Date]],_xlfn.XLOOKUP(GN$1,$BH$2:$BR$2,$BH130:$BR130,0),0)</f>
        <v>0</v>
      </c>
      <c r="GO130" s="26">
        <f>IF(GO$2=InputTable[[#This Row],[Delivery Date]],_xlfn.XLOOKUP(GO$1,$BH$2:$BR$2,$BH130:$BR130,0),0)</f>
        <v>0</v>
      </c>
      <c r="GP130" s="26">
        <f>IF(GP$2=InputTable[[#This Row],[Delivery Date]],_xlfn.XLOOKUP(GP$1,$BH$2:$BR$2,$BH130:$BR130,0),0)</f>
        <v>0</v>
      </c>
      <c r="GQ130" s="26">
        <f>IF(GQ$2=InputTable[[#This Row],[Delivery Date]],_xlfn.XLOOKUP(GQ$1,$BH$2:$BR$2,$BH130:$BR130,0),0)</f>
        <v>0</v>
      </c>
      <c r="GR130" s="26">
        <f>IF(GR$2=InputTable[[#This Row],[Delivery Date]],_xlfn.XLOOKUP(GR$1,$BH$2:$BR$2,$BH130:$BR130,0),0)</f>
        <v>0</v>
      </c>
      <c r="GS130" s="26">
        <f>IF(GS$2=InputTable[[#This Row],[Delivery Date]],_xlfn.XLOOKUP(GS$1,$BH$2:$BR$2,$BH130:$BR130,0),0)</f>
        <v>0</v>
      </c>
      <c r="GT130" s="26">
        <f>IF(GT$2=InputTable[[#This Row],[Delivery Date]],_xlfn.XLOOKUP(GT$1,$BH$2:$BR$2,$BH130:$BR130,0),0)</f>
        <v>0</v>
      </c>
      <c r="GV130" s="26" t="e">
        <f>IF(GV$2=InputTable[[#This Row],[Delivery Date]],_xlfn.XLOOKUP(GV$1,$BH$2:$BR$2,$BH130:$BR130,0),0)</f>
        <v>#REF!</v>
      </c>
      <c r="GW130" s="26">
        <f>IF(GW$2=InputTable[[#This Row],[Delivery Date]],_xlfn.XLOOKUP(GW$1,$BH$2:$BR$2,$BH130:$BR130,0),0)</f>
        <v>0</v>
      </c>
      <c r="GX130" s="26">
        <f>IF(GX$2=InputTable[[#This Row],[Delivery Date]],_xlfn.XLOOKUP(GX$1,$BH$2:$BR$2,$BH130:$BR130,0),0)</f>
        <v>0</v>
      </c>
      <c r="GY130" s="26">
        <f>IF(GY$2=InputTable[[#This Row],[Delivery Date]],_xlfn.XLOOKUP(GY$1,$BH$2:$BR$2,$BH130:$BR130,0),0)</f>
        <v>0</v>
      </c>
      <c r="GZ130" s="26">
        <f>IF(GZ$2=InputTable[[#This Row],[Delivery Date]],_xlfn.XLOOKUP(GZ$1,$BH$2:$BR$2,$BH130:$BR130,0),0)</f>
        <v>0</v>
      </c>
      <c r="HA130" s="26">
        <f>IF(HA$2=InputTable[[#This Row],[Delivery Date]],_xlfn.XLOOKUP(HA$1,$BH$2:$BR$2,$BH130:$BR130,0),0)</f>
        <v>0</v>
      </c>
      <c r="HB130" s="26">
        <f>IF(HB$2=InputTable[[#This Row],[Delivery Date]],_xlfn.XLOOKUP(HB$1,$BH$2:$BR$2,$BH130:$BR130,0),0)</f>
        <v>0</v>
      </c>
      <c r="HC130" s="26">
        <f>IF(HC$2=InputTable[[#This Row],[Delivery Date]],_xlfn.XLOOKUP(HC$1,$BH$2:$BR$2,$BH130:$BR130,0),0)</f>
        <v>0</v>
      </c>
      <c r="HD130" s="26">
        <f>IF(HD$2=InputTable[[#This Row],[Delivery Date]],_xlfn.XLOOKUP(HD$1,$BH$2:$BR$2,$BH130:$BR130,0),0)</f>
        <v>0</v>
      </c>
      <c r="HF130" s="26" t="e">
        <f>IF(HF$2=InputTable[[#This Row],[Delivery Date]],_xlfn.XLOOKUP(HF$1,$BH$2:$BR$2,$BH130:$BR130,0),0)</f>
        <v>#REF!</v>
      </c>
      <c r="HG130" s="26">
        <f>IF(HG$2=InputTable[[#This Row],[Delivery Date]],_xlfn.XLOOKUP(HG$1,$BH$2:$BR$2,$BH130:$BR130,0),0)</f>
        <v>0</v>
      </c>
      <c r="HH130" s="26">
        <f>IF(HH$2=InputTable[[#This Row],[Delivery Date]],_xlfn.XLOOKUP(HH$1,$BH$2:$BR$2,$BH130:$BR130,0),0)</f>
        <v>0</v>
      </c>
      <c r="HI130" s="26">
        <f>IF(HI$2=InputTable[[#This Row],[Delivery Date]],_xlfn.XLOOKUP(HI$1,$BH$2:$BR$2,$BH130:$BR130,0),0)</f>
        <v>0</v>
      </c>
      <c r="HJ130" s="26">
        <f>IF(HJ$2=InputTable[[#This Row],[Delivery Date]],_xlfn.XLOOKUP(HJ$1,$BH$2:$BR$2,$BH130:$BR130,0),0)</f>
        <v>0</v>
      </c>
      <c r="HK130" s="26">
        <f>IF(HK$2=InputTable[[#This Row],[Delivery Date]],_xlfn.XLOOKUP(HK$1,$BH$2:$BR$2,$BH130:$BR130,0),0)</f>
        <v>0</v>
      </c>
      <c r="HL130" s="26">
        <f>IF(HL$2=InputTable[[#This Row],[Delivery Date]],_xlfn.XLOOKUP(HL$1,$BH$2:$BR$2,$BH130:$BR130,0),0)</f>
        <v>0</v>
      </c>
      <c r="HM130" s="26">
        <f>IF(HM$2=InputTable[[#This Row],[Delivery Date]],_xlfn.XLOOKUP(HM$1,$BH$2:$BR$2,$BH130:$BR130,0),0)</f>
        <v>0</v>
      </c>
      <c r="HN130" s="26">
        <f>IF(HN$2=InputTable[[#This Row],[Delivery Date]],_xlfn.XLOOKUP(HN$1,$BH$2:$BR$2,$BH130:$BR130,0),0)</f>
        <v>0</v>
      </c>
      <c r="HP130" s="26" t="e">
        <f>IF(HP$2=InputTable[[#This Row],[Delivery Date]],_xlfn.XLOOKUP(HP$1,$BH$2:$BR$2,$BH130:$BR130,0),0)</f>
        <v>#REF!</v>
      </c>
      <c r="HQ130" s="26">
        <f>IF(HQ$2=InputTable[[#This Row],[Delivery Date]],_xlfn.XLOOKUP(HQ$1,$BH$2:$BR$2,$BH130:$BR130,0),0)</f>
        <v>0</v>
      </c>
      <c r="HR130" s="26">
        <f>IF(HR$2=InputTable[[#This Row],[Delivery Date]],_xlfn.XLOOKUP(HR$1,$BH$2:$BR$2,$BH130:$BR130,0),0)</f>
        <v>0</v>
      </c>
      <c r="HS130" s="26">
        <f>IF(HS$2=InputTable[[#This Row],[Delivery Date]],_xlfn.XLOOKUP(HS$1,$BH$2:$BR$2,$BH130:$BR130,0),0)</f>
        <v>0</v>
      </c>
      <c r="HT130" s="26">
        <f>IF(HT$2=InputTable[[#This Row],[Delivery Date]],_xlfn.XLOOKUP(HT$1,$BH$2:$BR$2,$BH130:$BR130,0),0)</f>
        <v>0</v>
      </c>
      <c r="HU130" s="26">
        <f>IF(HU$2=InputTable[[#This Row],[Delivery Date]],_xlfn.XLOOKUP(HU$1,$BH$2:$BR$2,$BH130:$BR130,0),0)</f>
        <v>0</v>
      </c>
      <c r="HV130" s="26">
        <f>IF(HV$2=InputTable[[#This Row],[Delivery Date]],_xlfn.XLOOKUP(HV$1,$BH$2:$BR$2,$BH130:$BR130,0),0)</f>
        <v>0</v>
      </c>
      <c r="HW130" s="26">
        <f>IF(HW$2=InputTable[[#This Row],[Delivery Date]],_xlfn.XLOOKUP(HW$1,$BH$2:$BR$2,$BH130:$BR130,0),0)</f>
        <v>0</v>
      </c>
      <c r="HX130" s="26">
        <f>IF(HX$2=InputTable[[#This Row],[Delivery Date]],_xlfn.XLOOKUP(HX$1,$BH$2:$BR$2,$BH130:$BR130,0),0)</f>
        <v>0</v>
      </c>
      <c r="HZ130" s="26" t="e">
        <f>IF(HZ$2=InputTable[[#This Row],[Delivery Date]],_xlfn.XLOOKUP(HZ$1,$BH$2:$BR$2,$BH130:$BR130,0),0)</f>
        <v>#REF!</v>
      </c>
      <c r="IA130" s="26">
        <f>IF(IA$2=InputTable[[#This Row],[Delivery Date]],_xlfn.XLOOKUP(IA$1,$BH$2:$BR$2,$BH130:$BR130,0),0)</f>
        <v>0</v>
      </c>
      <c r="IB130" s="26">
        <f>IF(IB$2=InputTable[[#This Row],[Delivery Date]],_xlfn.XLOOKUP(IB$1,$BH$2:$BR$2,$BH130:$BR130,0),0)</f>
        <v>0</v>
      </c>
      <c r="IC130" s="26">
        <f>IF(IC$2=InputTable[[#This Row],[Delivery Date]],_xlfn.XLOOKUP(IC$1,$BH$2:$BR$2,$BH130:$BR130,0),0)</f>
        <v>0</v>
      </c>
      <c r="ID130" s="26">
        <f>IF(ID$2=InputTable[[#This Row],[Delivery Date]],_xlfn.XLOOKUP(ID$1,$BH$2:$BR$2,$BH130:$BR130,0),0)</f>
        <v>0</v>
      </c>
      <c r="IE130" s="26">
        <f>IF(IE$2=InputTable[[#This Row],[Delivery Date]],_xlfn.XLOOKUP(IE$1,$BH$2:$BR$2,$BH130:$BR130,0),0)</f>
        <v>0</v>
      </c>
      <c r="IF130" s="26">
        <f>IF(IF$2=InputTable[[#This Row],[Delivery Date]],_xlfn.XLOOKUP(IF$1,$BH$2:$BR$2,$BH130:$BR130,0),0)</f>
        <v>0</v>
      </c>
      <c r="IG130" s="26">
        <f>IF(IG$2=InputTable[[#This Row],[Delivery Date]],_xlfn.XLOOKUP(IG$1,$BH$2:$BR$2,$BH130:$BR130,0),0)</f>
        <v>0</v>
      </c>
      <c r="IH130" s="26">
        <f>IF(IH$2=InputTable[[#This Row],[Delivery Date]],_xlfn.XLOOKUP(IH$1,$BH$2:$BR$2,$BH130:$BR130,0),0)</f>
        <v>0</v>
      </c>
      <c r="IJ130" s="26" t="e">
        <f>IF(IJ$2=InputTable[[#This Row],[Delivery Date]],_xlfn.XLOOKUP(IJ$1,$BH$2:$BR$2,$BH130:$BR130,0),0)</f>
        <v>#REF!</v>
      </c>
      <c r="IK130" s="26">
        <f>IF(IK$2=InputTable[[#This Row],[Delivery Date]],_xlfn.XLOOKUP(IK$1,$BH$2:$BR$2,$BH130:$BR130,0),0)</f>
        <v>0</v>
      </c>
      <c r="IL130" s="26">
        <f>IF(IL$2=InputTable[[#This Row],[Delivery Date]],_xlfn.XLOOKUP(IL$1,$BH$2:$BR$2,$BH130:$BR130,0),0)</f>
        <v>0</v>
      </c>
      <c r="IM130" s="26">
        <f>IF(IM$2=InputTable[[#This Row],[Delivery Date]],_xlfn.XLOOKUP(IM$1,$BH$2:$BR$2,$BH130:$BR130,0),0)</f>
        <v>0</v>
      </c>
      <c r="IN130" s="26">
        <f>IF(IN$2=InputTable[[#This Row],[Delivery Date]],_xlfn.XLOOKUP(IN$1,$BH$2:$BR$2,$BH130:$BR130,0),0)</f>
        <v>0</v>
      </c>
      <c r="IO130" s="26">
        <f>IF(IO$2=InputTable[[#This Row],[Delivery Date]],_xlfn.XLOOKUP(IO$1,$BH$2:$BR$2,$BH130:$BR130,0),0)</f>
        <v>0</v>
      </c>
      <c r="IP130" s="26">
        <f>IF(IP$2=InputTable[[#This Row],[Delivery Date]],_xlfn.XLOOKUP(IP$1,$BH$2:$BR$2,$BH130:$BR130,0),0)</f>
        <v>0</v>
      </c>
      <c r="IQ130" s="26">
        <f>IF(IQ$2=InputTable[[#This Row],[Delivery Date]],_xlfn.XLOOKUP(IQ$1,$BH$2:$BR$2,$BH130:$BR130,0),0)</f>
        <v>0</v>
      </c>
      <c r="IR130" s="26">
        <f>IF(IR$2=InputTable[[#This Row],[Delivery Date]],_xlfn.XLOOKUP(IR$1,$BH$2:$BR$2,$BH130:$BR130,0),0)</f>
        <v>0</v>
      </c>
      <c r="IT130" s="26" t="e">
        <f>IF(IT$2=InputTable[[#This Row],[Delivery Date]],_xlfn.XLOOKUP(IT$1,$BH$2:$BR$2,$BH130:$BR130,0),0)</f>
        <v>#REF!</v>
      </c>
      <c r="IU130" s="26">
        <f>IF(IU$2=InputTable[[#This Row],[Delivery Date]],_xlfn.XLOOKUP(IU$1,$BH$2:$BR$2,$BH130:$BR130,0),0)</f>
        <v>0</v>
      </c>
      <c r="IV130" s="26">
        <f>IF(IV$2=InputTable[[#This Row],[Delivery Date]],_xlfn.XLOOKUP(IV$1,$BH$2:$BR$2,$BH130:$BR130,0),0)</f>
        <v>0</v>
      </c>
      <c r="IW130" s="26">
        <f>IF(IW$2=InputTable[[#This Row],[Delivery Date]],_xlfn.XLOOKUP(IW$1,$BH$2:$BR$2,$BH130:$BR130,0),0)</f>
        <v>0</v>
      </c>
      <c r="IX130" s="26">
        <f>IF(IX$2=InputTable[[#This Row],[Delivery Date]],_xlfn.XLOOKUP(IX$1,$BH$2:$BR$2,$BH130:$BR130,0),0)</f>
        <v>0</v>
      </c>
      <c r="IY130" s="26">
        <f>IF(IY$2=InputTable[[#This Row],[Delivery Date]],_xlfn.XLOOKUP(IY$1,$BH$2:$BR$2,$BH130:$BR130,0),0)</f>
        <v>0</v>
      </c>
      <c r="IZ130" s="26">
        <f>IF(IZ$2=InputTable[[#This Row],[Delivery Date]],_xlfn.XLOOKUP(IZ$1,$BH$2:$BR$2,$BH130:$BR130,0),0)</f>
        <v>0</v>
      </c>
      <c r="JA130" s="26">
        <f>IF(JA$2=InputTable[[#This Row],[Delivery Date]],_xlfn.XLOOKUP(JA$1,$BH$2:$BR$2,$BH130:$BR130,0),0)</f>
        <v>0</v>
      </c>
      <c r="JB130" s="26">
        <f>IF(JB$2=InputTable[[#This Row],[Delivery Date]],_xlfn.XLOOKUP(JB$1,$BH$2:$BR$2,$BH130:$BR130,0),0)</f>
        <v>0</v>
      </c>
      <c r="JD130" s="26" t="e">
        <f>IF(JD$2=InputTable[[#This Row],[Delivery Date]],_xlfn.XLOOKUP(JD$1,$BH$2:$BR$2,$BH130:$BR130,0),0)</f>
        <v>#REF!</v>
      </c>
      <c r="JE130" s="26">
        <f>IF(JE$2=InputTable[[#This Row],[Delivery Date]],_xlfn.XLOOKUP(JE$1,$BH$2:$BR$2,$BH130:$BR130,0),0)</f>
        <v>0</v>
      </c>
      <c r="JF130" s="26">
        <f>IF(JF$2=InputTable[[#This Row],[Delivery Date]],_xlfn.XLOOKUP(JF$1,$BH$2:$BR$2,$BH130:$BR130,0),0)</f>
        <v>0</v>
      </c>
      <c r="JG130" s="26">
        <f>IF(JG$2=InputTable[[#This Row],[Delivery Date]],_xlfn.XLOOKUP(JG$1,$BH$2:$BR$2,$BH130:$BR130,0),0)</f>
        <v>0</v>
      </c>
      <c r="JH130" s="26">
        <f>IF(JH$2=InputTable[[#This Row],[Delivery Date]],_xlfn.XLOOKUP(JH$1,$BH$2:$BR$2,$BH130:$BR130,0),0)</f>
        <v>0</v>
      </c>
      <c r="JI130" s="26">
        <f>IF(JI$2=InputTable[[#This Row],[Delivery Date]],_xlfn.XLOOKUP(JI$1,$BH$2:$BR$2,$BH130:$BR130,0),0)</f>
        <v>0</v>
      </c>
      <c r="JJ130" s="26">
        <f>IF(JJ$2=InputTable[[#This Row],[Delivery Date]],_xlfn.XLOOKUP(JJ$1,$BH$2:$BR$2,$BH130:$BR130,0),0)</f>
        <v>0</v>
      </c>
      <c r="JK130" s="26">
        <f>IF(JK$2=InputTable[[#This Row],[Delivery Date]],_xlfn.XLOOKUP(JK$1,$BH$2:$BR$2,$BH130:$BR130,0),0)</f>
        <v>0</v>
      </c>
      <c r="JL130" s="26">
        <f>IF(JL$2=InputTable[[#This Row],[Delivery Date]],_xlfn.XLOOKUP(JL$1,$BH$2:$BR$2,$BH130:$BR130,0),0)</f>
        <v>0</v>
      </c>
      <c r="JN130" s="26" t="e">
        <f>IF(JN$2=InputTable[[#This Row],[Delivery Date]],_xlfn.XLOOKUP(JN$1,$BH$2:$BR$2,$BH130:$BR130,0),0)</f>
        <v>#REF!</v>
      </c>
      <c r="JO130" s="26">
        <f>IF(JO$2=InputTable[[#This Row],[Delivery Date]],_xlfn.XLOOKUP(JO$1,$BH$2:$BR$2,$BH130:$BR130,0),0)</f>
        <v>0</v>
      </c>
      <c r="JP130" s="26">
        <f>IF(JP$2=InputTable[[#This Row],[Delivery Date]],_xlfn.XLOOKUP(JP$1,$BH$2:$BR$2,$BH130:$BR130,0),0)</f>
        <v>0</v>
      </c>
      <c r="JQ130" s="26">
        <f>IF(JQ$2=InputTable[[#This Row],[Delivery Date]],_xlfn.XLOOKUP(JQ$1,$BH$2:$BR$2,$BH130:$BR130,0),0)</f>
        <v>0</v>
      </c>
      <c r="JR130" s="26">
        <f>IF(JR$2=InputTable[[#This Row],[Delivery Date]],_xlfn.XLOOKUP(JR$1,$BH$2:$BR$2,$BH130:$BR130,0),0)</f>
        <v>0</v>
      </c>
      <c r="JS130" s="26">
        <f>IF(JS$2=InputTable[[#This Row],[Delivery Date]],_xlfn.XLOOKUP(JS$1,$BH$2:$BR$2,$BH130:$BR130,0),0)</f>
        <v>0</v>
      </c>
      <c r="JT130" s="26">
        <f>IF(JT$2=InputTable[[#This Row],[Delivery Date]],_xlfn.XLOOKUP(JT$1,$BH$2:$BR$2,$BH130:$BR130,0),0)</f>
        <v>0</v>
      </c>
      <c r="JU130" s="26">
        <f>IF(JU$2=InputTable[[#This Row],[Delivery Date]],_xlfn.XLOOKUP(JU$1,$BH$2:$BR$2,$BH130:$BR130,0),0)</f>
        <v>0</v>
      </c>
      <c r="JV130" s="26">
        <f>IF(JV$2=InputTable[[#This Row],[Delivery Date]],_xlfn.XLOOKUP(JV$1,$BH$2:$BR$2,$BH130:$BR130,0),0)</f>
        <v>0</v>
      </c>
      <c r="JX130" s="26" t="e">
        <f>IF(JX$2=InputTable[[#This Row],[Delivery Date]],_xlfn.XLOOKUP(JX$1,$BH$2:$BR$2,$BH130:$BR130,0),0)</f>
        <v>#REF!</v>
      </c>
      <c r="JY130" s="26">
        <f>IF(JY$2=InputTable[[#This Row],[Delivery Date]],_xlfn.XLOOKUP(JY$1,$BH$2:$BR$2,$BH130:$BR130,0),0)</f>
        <v>0</v>
      </c>
      <c r="JZ130" s="26">
        <f>IF(JZ$2=InputTable[[#This Row],[Delivery Date]],_xlfn.XLOOKUP(JZ$1,$BH$2:$BR$2,$BH130:$BR130,0),0)</f>
        <v>0</v>
      </c>
      <c r="KA130" s="26">
        <f>IF(KA$2=InputTable[[#This Row],[Delivery Date]],_xlfn.XLOOKUP(KA$1,$BH$2:$BR$2,$BH130:$BR130,0),0)</f>
        <v>0</v>
      </c>
      <c r="KB130" s="26">
        <f>IF(KB$2=InputTable[[#This Row],[Delivery Date]],_xlfn.XLOOKUP(KB$1,$BH$2:$BR$2,$BH130:$BR130,0),0)</f>
        <v>0</v>
      </c>
      <c r="KC130" s="26">
        <f>IF(KC$2=InputTable[[#This Row],[Delivery Date]],_xlfn.XLOOKUP(KC$1,$BH$2:$BR$2,$BH130:$BR130,0),0)</f>
        <v>0</v>
      </c>
      <c r="KD130" s="26">
        <f>IF(KD$2=InputTable[[#This Row],[Delivery Date]],_xlfn.XLOOKUP(KD$1,$BH$2:$BR$2,$BH130:$BR130,0),0)</f>
        <v>0</v>
      </c>
      <c r="KE130" s="26">
        <f>IF(KE$2=InputTable[[#This Row],[Delivery Date]],_xlfn.XLOOKUP(KE$1,$BH$2:$BR$2,$BH130:$BR130,0),0)</f>
        <v>0</v>
      </c>
      <c r="KF130" s="26">
        <f>IF(KF$2=InputTable[[#This Row],[Delivery Date]],_xlfn.XLOOKUP(KF$1,$BH$2:$BR$2,$BH130:$BR130,0),0)</f>
        <v>0</v>
      </c>
    </row>
    <row r="131" spans="1:292" ht="39.6" customHeight="1" x14ac:dyDescent="0.25">
      <c r="A131" s="141"/>
      <c r="B131" s="141"/>
      <c r="C131" s="92"/>
      <c r="D131" s="92"/>
      <c r="E131" s="93"/>
      <c r="F131" s="92"/>
      <c r="G131" s="92"/>
      <c r="H131" s="92"/>
      <c r="I131" s="92"/>
      <c r="J131" s="122"/>
      <c r="K131" s="95" t="e">
        <f>VLOOKUP((InputTable[[#This Row],[Starting Date]]&amp; " - " &amp;InputTable[[#This Row],[Delivery Date]]),'System List'!$F$40:$H$83,2,FALSE)</f>
        <v>#N/A</v>
      </c>
      <c r="L131" s="95" t="e">
        <f>VLOOKUP(InputTable[[#This Row],[Duration]],Duration,2,FALSE)</f>
        <v>#N/A</v>
      </c>
      <c r="M131" s="122"/>
      <c r="N131" s="92"/>
      <c r="O131" s="92"/>
      <c r="P131" s="92"/>
      <c r="Q131" s="92"/>
      <c r="R131" s="92"/>
      <c r="S131" s="92"/>
      <c r="T131" s="95"/>
      <c r="U131" s="138"/>
      <c r="V131" s="92"/>
      <c r="W131" s="92"/>
      <c r="X131" s="92"/>
      <c r="Y131" s="92"/>
      <c r="Z131" s="92"/>
      <c r="AA131" s="92"/>
      <c r="AB131" s="92"/>
      <c r="AC131" s="92"/>
      <c r="AD131" s="92">
        <f>COUNTA(InputTable[[#This Row],[CORPHRFIN]:[SALES]])</f>
        <v>0</v>
      </c>
      <c r="AE131" s="88" cm="1">
        <f t="array" ref="AE131">SUM(
_xlfn.XLOOKUP(InputTable[[#This Row],[CORPHRFIN]:[SALES]],'System List'!$F$4:$F$7,'System List'!$H$4:$H$7,0))</f>
        <v>0</v>
      </c>
      <c r="AF131" s="140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88" cm="1">
        <f t="array" ref="AR131">SUM(
_xlfn.XLOOKUP(InputTable[[#This Row],[Impact on - CIAL]:[Impact on - STRAT]],'System List'!$F$4:$F$7,'System List'!$H$4:$H$7,0))</f>
        <v>0</v>
      </c>
      <c r="AS131" s="88" t="e">
        <f>VLOOKUP(InputTable[[#This Row],[Duration]],Duration,2,FALSE)+InputTable[[#This Row],[Resource Score]]</f>
        <v>#N/A</v>
      </c>
      <c r="AT13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1" s="24" t="e">
        <f>InputTable[[#This Row],[Value Score]]/InputTable[[#This Row],[EFFORT SCORE]]*100</f>
        <v>#N/A</v>
      </c>
      <c r="AV131" s="25"/>
      <c r="AW131" s="25"/>
      <c r="AX131" s="208"/>
      <c r="AY131" s="25"/>
      <c r="AZ131" s="209">
        <v>0</v>
      </c>
      <c r="BA131" s="209">
        <v>0</v>
      </c>
      <c r="BB131" s="209"/>
      <c r="BC131" s="189"/>
      <c r="BD131" s="188"/>
      <c r="BE131" s="188"/>
      <c r="BF131" s="70"/>
      <c r="BH131" s="2">
        <f>IFERROR(VLOOKUP(InputTable[[#This Row],[Impact on - CIAL]],'System List'!$F$4:$H$7,3,FALSE),0)</f>
        <v>0</v>
      </c>
      <c r="BI131" s="2">
        <f>IFERROR(VLOOKUP(InputTable[[#This Row],[Impact on - COM]],'System List'!$F$4:$H$7,3,FALSE),0)</f>
        <v>0</v>
      </c>
      <c r="BJ131" s="2">
        <f>IFERROR(VLOOKUP(InputTable[[#This Row],[Impact on - FIN]],'System List'!$F$4:$H$7,3,FALSE),0)</f>
        <v>0</v>
      </c>
      <c r="BK131" s="2">
        <f>IFERROR(VLOOKUP(InputTable[[#This Row],[Impact on - GEN SEC]],'System List'!$F$4:$H$7,3,FALSE),0)</f>
        <v>0</v>
      </c>
      <c r="BL131" s="2">
        <f>IFERROR(VLOOKUP(InputTable[[#This Row],[Impact on - HR]],'System List'!$F$4:$H$7,3,FALSE),0)</f>
        <v>0</v>
      </c>
      <c r="BM131" s="2">
        <f>IFERROR(VLOOKUP(InputTable[[#This Row],[Impact on - IS]],'System List'!$F$4:$H$7,3,FALSE),0)</f>
        <v>0</v>
      </c>
      <c r="BN131" s="2">
        <f>IFERROR(VLOOKUP(InputTable[[#This Row],[Impact on - OPS]],'System List'!$F$4:$H$7,3,FALSE),0)</f>
        <v>0</v>
      </c>
      <c r="BO131" s="2">
        <f>IFERROR(VLOOKUP(InputTable[[#This Row],[Impact on - ROLL STOCK]],'System List'!$F$4:$H$7,3,FALSE),0)</f>
        <v>0</v>
      </c>
      <c r="BP131" s="2">
        <f>IFERROR(VLOOKUP(InputTable[[#This Row],[Impact on - SAFETY]],'System List'!$F$4:$H$7,3,FALSE),0)</f>
        <v>0</v>
      </c>
      <c r="BQ131" s="2">
        <f>IFERROR(VLOOKUP(InputTable[[#This Row],[Impact on - STATION]],'System List'!$F$4:$H$7,3,FALSE),0)</f>
        <v>0</v>
      </c>
      <c r="BR131" s="2">
        <f>IFERROR(VLOOKUP(InputTable[[#This Row],[Impact on - STRAT]],'System List'!$F$4:$H$7,3,FALSE),0)</f>
        <v>0</v>
      </c>
      <c r="BT131" s="2">
        <f>IFERROR(VLOOKUP(InputTable[[#This Row],[CORPHRFIN]],'System List'!$F$4:$H$7,3,FALSE),0)</f>
        <v>0</v>
      </c>
      <c r="BU131" s="2">
        <f>IFERROR(VLOOKUP(InputTable[[#This Row],[CUST]],'System List'!$F$4:$H$7,3,FALSE),0)</f>
        <v>0</v>
      </c>
      <c r="BV131" s="2">
        <f>IFERROR(VLOOKUP(InputTable[[#This Row],[CYBER]],'System List'!$F$4:$H$7,3,FALSE),0)</f>
        <v>0</v>
      </c>
      <c r="BW131" s="2">
        <f>IFERROR(VLOOKUP(InputTable[[#This Row],[DATA]],'System List'!$F$4:$H$7,3,FALSE),0)</f>
        <v>0</v>
      </c>
      <c r="BX131" s="2">
        <f>IFERROR(VLOOKUP(InputTable[[#This Row],[INFRA]],'System List'!$F$4:$H$7,3,FALSE),0)</f>
        <v>0</v>
      </c>
      <c r="BY131" s="2">
        <f>IFERROR(VLOOKUP(InputTable[[#This Row],[OPERATIONS]],'System List'!$F$4:$H$7,3,FALSE),0)</f>
        <v>0</v>
      </c>
      <c r="BZ131" s="2">
        <f>IFERROR(VLOOKUP(InputTable[[#This Row],[PMO]],'System List'!$F$4:$H$7,3,FALSE),0)</f>
        <v>0</v>
      </c>
      <c r="CA131" s="2">
        <f>IFERROR(VLOOKUP(InputTable[[#This Row],[SALES]],'System List'!$F$4:$H$7,3,FALSE),0)</f>
        <v>0</v>
      </c>
      <c r="CC131" s="2" cm="1">
        <f t="array" ref="CC13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1" s="2" cm="1">
        <f t="array" ref="CD13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1" s="2" cm="1">
        <f t="array" ref="CE13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1" s="2" cm="1">
        <f t="array" ref="CF13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1" s="2" cm="1">
        <f t="array" ref="CG13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1" s="2" cm="1">
        <f t="array" ref="CH13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1" s="2" cm="1">
        <f t="array" ref="CI13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1" s="2" cm="1">
        <f t="array" ref="CJ13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1" s="2" cm="1">
        <f t="array" ref="CK13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1" s="26">
        <f t="shared" si="307"/>
        <v>0</v>
      </c>
      <c r="CY131" s="26">
        <f t="shared" si="308"/>
        <v>0</v>
      </c>
      <c r="CZ131" s="26">
        <f t="shared" si="309"/>
        <v>0</v>
      </c>
      <c r="DA131" s="26">
        <f t="shared" si="310"/>
        <v>0</v>
      </c>
      <c r="DB131" s="26">
        <f t="shared" si="311"/>
        <v>0</v>
      </c>
      <c r="DC131" s="26">
        <f t="shared" si="312"/>
        <v>0</v>
      </c>
      <c r="DD131" s="26">
        <f t="shared" si="313"/>
        <v>0</v>
      </c>
      <c r="DE131" s="26">
        <f t="shared" si="314"/>
        <v>0</v>
      </c>
      <c r="DF131" s="26">
        <f t="shared" si="315"/>
        <v>0</v>
      </c>
      <c r="DH131" s="26">
        <f t="shared" si="316"/>
        <v>0</v>
      </c>
      <c r="DI131" s="26">
        <f t="shared" si="317"/>
        <v>0</v>
      </c>
      <c r="DJ131" s="26">
        <f t="shared" si="318"/>
        <v>0</v>
      </c>
      <c r="DK131" s="26">
        <f t="shared" si="319"/>
        <v>0</v>
      </c>
      <c r="DL131" s="26">
        <f t="shared" si="320"/>
        <v>0</v>
      </c>
      <c r="DM131" s="26">
        <f t="shared" si="321"/>
        <v>0</v>
      </c>
      <c r="DN131" s="26">
        <f t="shared" si="322"/>
        <v>0</v>
      </c>
      <c r="DO131" s="26">
        <f t="shared" si="323"/>
        <v>0</v>
      </c>
      <c r="DP131" s="26">
        <f t="shared" si="324"/>
        <v>0</v>
      </c>
      <c r="DR131" s="26">
        <f t="shared" si="325"/>
        <v>0</v>
      </c>
      <c r="DS131" s="26">
        <f t="shared" si="326"/>
        <v>0</v>
      </c>
      <c r="DT131" s="26">
        <f t="shared" si="327"/>
        <v>0</v>
      </c>
      <c r="DU131" s="26">
        <f t="shared" si="328"/>
        <v>0</v>
      </c>
      <c r="DV131" s="26">
        <f t="shared" si="329"/>
        <v>0</v>
      </c>
      <c r="DW131" s="26">
        <f t="shared" si="330"/>
        <v>0</v>
      </c>
      <c r="DX131" s="26">
        <f t="shared" si="331"/>
        <v>0</v>
      </c>
      <c r="DY131" s="26">
        <f t="shared" si="332"/>
        <v>0</v>
      </c>
      <c r="DZ131" s="26">
        <f t="shared" si="333"/>
        <v>0</v>
      </c>
      <c r="EB131" s="26">
        <f t="shared" si="334"/>
        <v>0</v>
      </c>
      <c r="EC131" s="26">
        <f t="shared" si="335"/>
        <v>0</v>
      </c>
      <c r="ED131" s="26">
        <f t="shared" si="336"/>
        <v>0</v>
      </c>
      <c r="EE131" s="26">
        <f t="shared" si="337"/>
        <v>0</v>
      </c>
      <c r="EF131" s="26">
        <f t="shared" si="338"/>
        <v>0</v>
      </c>
      <c r="EG131" s="26">
        <f t="shared" si="339"/>
        <v>0</v>
      </c>
      <c r="EH131" s="26">
        <f t="shared" si="340"/>
        <v>0</v>
      </c>
      <c r="EI131" s="26">
        <f t="shared" si="341"/>
        <v>0</v>
      </c>
      <c r="EJ131" s="26">
        <f t="shared" si="342"/>
        <v>0</v>
      </c>
      <c r="EL131" s="26">
        <f t="shared" si="343"/>
        <v>0</v>
      </c>
      <c r="EM131" s="26">
        <f t="shared" si="344"/>
        <v>0</v>
      </c>
      <c r="EN131" s="26">
        <f t="shared" si="345"/>
        <v>0</v>
      </c>
      <c r="EO131" s="26">
        <f t="shared" si="346"/>
        <v>0</v>
      </c>
      <c r="EP131" s="26">
        <f t="shared" si="347"/>
        <v>0</v>
      </c>
      <c r="EQ131" s="26">
        <f t="shared" si="348"/>
        <v>0</v>
      </c>
      <c r="ER131" s="26">
        <f t="shared" si="349"/>
        <v>0</v>
      </c>
      <c r="ES131" s="26">
        <f t="shared" si="350"/>
        <v>0</v>
      </c>
      <c r="ET131" s="26">
        <f t="shared" si="351"/>
        <v>0</v>
      </c>
      <c r="EV131" s="26">
        <f t="shared" si="352"/>
        <v>0</v>
      </c>
      <c r="EW131" s="26">
        <f t="shared" si="353"/>
        <v>0</v>
      </c>
      <c r="EX131" s="26">
        <f t="shared" si="354"/>
        <v>0</v>
      </c>
      <c r="EY131" s="26">
        <f t="shared" si="355"/>
        <v>0</v>
      </c>
      <c r="EZ131" s="26">
        <f t="shared" si="356"/>
        <v>0</v>
      </c>
      <c r="FA131" s="26">
        <f t="shared" si="357"/>
        <v>0</v>
      </c>
      <c r="FB131" s="26">
        <f t="shared" si="358"/>
        <v>0</v>
      </c>
      <c r="FC131" s="26">
        <f t="shared" si="359"/>
        <v>0</v>
      </c>
      <c r="FD131" s="26">
        <f t="shared" si="360"/>
        <v>0</v>
      </c>
      <c r="FF131" s="26">
        <f t="shared" si="361"/>
        <v>0</v>
      </c>
      <c r="FG131" s="26">
        <f t="shared" si="362"/>
        <v>0</v>
      </c>
      <c r="FH131" s="26">
        <f t="shared" si="363"/>
        <v>0</v>
      </c>
      <c r="FI131" s="26">
        <f t="shared" si="364"/>
        <v>0</v>
      </c>
      <c r="FJ131" s="26">
        <f t="shared" si="365"/>
        <v>0</v>
      </c>
      <c r="FK131" s="26">
        <f t="shared" si="366"/>
        <v>0</v>
      </c>
      <c r="FL131" s="26">
        <f t="shared" si="367"/>
        <v>0</v>
      </c>
      <c r="FM131" s="26">
        <f t="shared" si="368"/>
        <v>0</v>
      </c>
      <c r="FN131" s="26">
        <f t="shared" si="369"/>
        <v>0</v>
      </c>
      <c r="FP131" s="26" t="e">
        <f t="shared" si="370"/>
        <v>#REF!</v>
      </c>
      <c r="FQ131" s="26" t="e">
        <f t="shared" si="371"/>
        <v>#REF!</v>
      </c>
      <c r="FR131" s="26" t="e">
        <f t="shared" si="372"/>
        <v>#REF!</v>
      </c>
      <c r="FS131" s="26" t="e">
        <f t="shared" si="373"/>
        <v>#REF!</v>
      </c>
      <c r="FT131" s="26" t="e">
        <f t="shared" si="374"/>
        <v>#REF!</v>
      </c>
      <c r="FU131" s="26" t="e">
        <f t="shared" si="375"/>
        <v>#REF!</v>
      </c>
      <c r="FV131" s="26" t="e">
        <f t="shared" si="376"/>
        <v>#REF!</v>
      </c>
      <c r="FW131" s="26" t="e">
        <f t="shared" si="377"/>
        <v>#REF!</v>
      </c>
      <c r="FX131" s="26" t="e">
        <f t="shared" si="378"/>
        <v>#REF!</v>
      </c>
      <c r="GB131" s="26" t="e">
        <f>IF(GB$2=InputTable[[#This Row],[Delivery Date]],_xlfn.XLOOKUP(GB$1,$BH$2:$BR$2,$BH131:$BR131,0),0)</f>
        <v>#REF!</v>
      </c>
      <c r="GC131" s="26">
        <f>IF(GC$2=InputTable[[#This Row],[Delivery Date]],_xlfn.XLOOKUP(GC$1,$BH$2:$BR$2,$BH131:$BR131,0),0)</f>
        <v>0</v>
      </c>
      <c r="GD131" s="26">
        <f>IF(GD$2=InputTable[[#This Row],[Delivery Date]],_xlfn.XLOOKUP(GD$1,$BH$2:$BR$2,$BH131:$BR131,0),0)</f>
        <v>0</v>
      </c>
      <c r="GE131" s="26">
        <f>IF(GE$2=InputTable[[#This Row],[Delivery Date]],_xlfn.XLOOKUP(GE$1,$BH$2:$BR$2,$BH131:$BR131,0),0)</f>
        <v>0</v>
      </c>
      <c r="GF131" s="26">
        <f>IF(GF$2=InputTable[[#This Row],[Delivery Date]],_xlfn.XLOOKUP(GF$1,$BH$2:$BR$2,$BH131:$BR131,0),0)</f>
        <v>0</v>
      </c>
      <c r="GG131" s="26">
        <f>IF(GG$2=InputTable[[#This Row],[Delivery Date]],_xlfn.XLOOKUP(GG$1,$BH$2:$BR$2,$BH131:$BR131,0),0)</f>
        <v>0</v>
      </c>
      <c r="GH131" s="26">
        <f>IF(GH$2=InputTable[[#This Row],[Delivery Date]],_xlfn.XLOOKUP(GH$1,$BH$2:$BR$2,$BH131:$BR131,0),0)</f>
        <v>0</v>
      </c>
      <c r="GI131" s="26">
        <f>IF(GI$2=InputTable[[#This Row],[Delivery Date]],_xlfn.XLOOKUP(GI$1,$BH$2:$BR$2,$BH131:$BR131,0),0)</f>
        <v>0</v>
      </c>
      <c r="GJ131" s="26">
        <f>IF(GJ$2=InputTable[[#This Row],[Delivery Date]],_xlfn.XLOOKUP(GJ$1,$BH$2:$BR$2,$BH131:$BR131,0),0)</f>
        <v>0</v>
      </c>
      <c r="GL131" s="26" t="e">
        <f>IF(GL$2=InputTable[[#This Row],[Delivery Date]],_xlfn.XLOOKUP(GL$1,$BH$2:$BR$2,$BH131:$BR131,0),0)</f>
        <v>#REF!</v>
      </c>
      <c r="GM131" s="26">
        <f>IF(GM$2=InputTable[[#This Row],[Delivery Date]],_xlfn.XLOOKUP(GM$1,$BH$2:$BR$2,$BH131:$BR131,0),0)</f>
        <v>0</v>
      </c>
      <c r="GN131" s="26">
        <f>IF(GN$2=InputTable[[#This Row],[Delivery Date]],_xlfn.XLOOKUP(GN$1,$BH$2:$BR$2,$BH131:$BR131,0),0)</f>
        <v>0</v>
      </c>
      <c r="GO131" s="26">
        <f>IF(GO$2=InputTable[[#This Row],[Delivery Date]],_xlfn.XLOOKUP(GO$1,$BH$2:$BR$2,$BH131:$BR131,0),0)</f>
        <v>0</v>
      </c>
      <c r="GP131" s="26">
        <f>IF(GP$2=InputTable[[#This Row],[Delivery Date]],_xlfn.XLOOKUP(GP$1,$BH$2:$BR$2,$BH131:$BR131,0),0)</f>
        <v>0</v>
      </c>
      <c r="GQ131" s="26">
        <f>IF(GQ$2=InputTable[[#This Row],[Delivery Date]],_xlfn.XLOOKUP(GQ$1,$BH$2:$BR$2,$BH131:$BR131,0),0)</f>
        <v>0</v>
      </c>
      <c r="GR131" s="26">
        <f>IF(GR$2=InputTable[[#This Row],[Delivery Date]],_xlfn.XLOOKUP(GR$1,$BH$2:$BR$2,$BH131:$BR131,0),0)</f>
        <v>0</v>
      </c>
      <c r="GS131" s="26">
        <f>IF(GS$2=InputTable[[#This Row],[Delivery Date]],_xlfn.XLOOKUP(GS$1,$BH$2:$BR$2,$BH131:$BR131,0),0)</f>
        <v>0</v>
      </c>
      <c r="GT131" s="26">
        <f>IF(GT$2=InputTable[[#This Row],[Delivery Date]],_xlfn.XLOOKUP(GT$1,$BH$2:$BR$2,$BH131:$BR131,0),0)</f>
        <v>0</v>
      </c>
      <c r="GV131" s="26" t="e">
        <f>IF(GV$2=InputTable[[#This Row],[Delivery Date]],_xlfn.XLOOKUP(GV$1,$BH$2:$BR$2,$BH131:$BR131,0),0)</f>
        <v>#REF!</v>
      </c>
      <c r="GW131" s="26">
        <f>IF(GW$2=InputTable[[#This Row],[Delivery Date]],_xlfn.XLOOKUP(GW$1,$BH$2:$BR$2,$BH131:$BR131,0),0)</f>
        <v>0</v>
      </c>
      <c r="GX131" s="26">
        <f>IF(GX$2=InputTable[[#This Row],[Delivery Date]],_xlfn.XLOOKUP(GX$1,$BH$2:$BR$2,$BH131:$BR131,0),0)</f>
        <v>0</v>
      </c>
      <c r="GY131" s="26">
        <f>IF(GY$2=InputTable[[#This Row],[Delivery Date]],_xlfn.XLOOKUP(GY$1,$BH$2:$BR$2,$BH131:$BR131,0),0)</f>
        <v>0</v>
      </c>
      <c r="GZ131" s="26">
        <f>IF(GZ$2=InputTable[[#This Row],[Delivery Date]],_xlfn.XLOOKUP(GZ$1,$BH$2:$BR$2,$BH131:$BR131,0),0)</f>
        <v>0</v>
      </c>
      <c r="HA131" s="26">
        <f>IF(HA$2=InputTable[[#This Row],[Delivery Date]],_xlfn.XLOOKUP(HA$1,$BH$2:$BR$2,$BH131:$BR131,0),0)</f>
        <v>0</v>
      </c>
      <c r="HB131" s="26">
        <f>IF(HB$2=InputTable[[#This Row],[Delivery Date]],_xlfn.XLOOKUP(HB$1,$BH$2:$BR$2,$BH131:$BR131,0),0)</f>
        <v>0</v>
      </c>
      <c r="HC131" s="26">
        <f>IF(HC$2=InputTable[[#This Row],[Delivery Date]],_xlfn.XLOOKUP(HC$1,$BH$2:$BR$2,$BH131:$BR131,0),0)</f>
        <v>0</v>
      </c>
      <c r="HD131" s="26">
        <f>IF(HD$2=InputTable[[#This Row],[Delivery Date]],_xlfn.XLOOKUP(HD$1,$BH$2:$BR$2,$BH131:$BR131,0),0)</f>
        <v>0</v>
      </c>
      <c r="HF131" s="26" t="e">
        <f>IF(HF$2=InputTable[[#This Row],[Delivery Date]],_xlfn.XLOOKUP(HF$1,$BH$2:$BR$2,$BH131:$BR131,0),0)</f>
        <v>#REF!</v>
      </c>
      <c r="HG131" s="26">
        <f>IF(HG$2=InputTable[[#This Row],[Delivery Date]],_xlfn.XLOOKUP(HG$1,$BH$2:$BR$2,$BH131:$BR131,0),0)</f>
        <v>0</v>
      </c>
      <c r="HH131" s="26">
        <f>IF(HH$2=InputTable[[#This Row],[Delivery Date]],_xlfn.XLOOKUP(HH$1,$BH$2:$BR$2,$BH131:$BR131,0),0)</f>
        <v>0</v>
      </c>
      <c r="HI131" s="26">
        <f>IF(HI$2=InputTable[[#This Row],[Delivery Date]],_xlfn.XLOOKUP(HI$1,$BH$2:$BR$2,$BH131:$BR131,0),0)</f>
        <v>0</v>
      </c>
      <c r="HJ131" s="26">
        <f>IF(HJ$2=InputTable[[#This Row],[Delivery Date]],_xlfn.XLOOKUP(HJ$1,$BH$2:$BR$2,$BH131:$BR131,0),0)</f>
        <v>0</v>
      </c>
      <c r="HK131" s="26">
        <f>IF(HK$2=InputTable[[#This Row],[Delivery Date]],_xlfn.XLOOKUP(HK$1,$BH$2:$BR$2,$BH131:$BR131,0),0)</f>
        <v>0</v>
      </c>
      <c r="HL131" s="26">
        <f>IF(HL$2=InputTable[[#This Row],[Delivery Date]],_xlfn.XLOOKUP(HL$1,$BH$2:$BR$2,$BH131:$BR131,0),0)</f>
        <v>0</v>
      </c>
      <c r="HM131" s="26">
        <f>IF(HM$2=InputTable[[#This Row],[Delivery Date]],_xlfn.XLOOKUP(HM$1,$BH$2:$BR$2,$BH131:$BR131,0),0)</f>
        <v>0</v>
      </c>
      <c r="HN131" s="26">
        <f>IF(HN$2=InputTable[[#This Row],[Delivery Date]],_xlfn.XLOOKUP(HN$1,$BH$2:$BR$2,$BH131:$BR131,0),0)</f>
        <v>0</v>
      </c>
      <c r="HP131" s="26" t="e">
        <f>IF(HP$2=InputTable[[#This Row],[Delivery Date]],_xlfn.XLOOKUP(HP$1,$BH$2:$BR$2,$BH131:$BR131,0),0)</f>
        <v>#REF!</v>
      </c>
      <c r="HQ131" s="26">
        <f>IF(HQ$2=InputTable[[#This Row],[Delivery Date]],_xlfn.XLOOKUP(HQ$1,$BH$2:$BR$2,$BH131:$BR131,0),0)</f>
        <v>0</v>
      </c>
      <c r="HR131" s="26">
        <f>IF(HR$2=InputTable[[#This Row],[Delivery Date]],_xlfn.XLOOKUP(HR$1,$BH$2:$BR$2,$BH131:$BR131,0),0)</f>
        <v>0</v>
      </c>
      <c r="HS131" s="26">
        <f>IF(HS$2=InputTable[[#This Row],[Delivery Date]],_xlfn.XLOOKUP(HS$1,$BH$2:$BR$2,$BH131:$BR131,0),0)</f>
        <v>0</v>
      </c>
      <c r="HT131" s="26">
        <f>IF(HT$2=InputTable[[#This Row],[Delivery Date]],_xlfn.XLOOKUP(HT$1,$BH$2:$BR$2,$BH131:$BR131,0),0)</f>
        <v>0</v>
      </c>
      <c r="HU131" s="26">
        <f>IF(HU$2=InputTable[[#This Row],[Delivery Date]],_xlfn.XLOOKUP(HU$1,$BH$2:$BR$2,$BH131:$BR131,0),0)</f>
        <v>0</v>
      </c>
      <c r="HV131" s="26">
        <f>IF(HV$2=InputTable[[#This Row],[Delivery Date]],_xlfn.XLOOKUP(HV$1,$BH$2:$BR$2,$BH131:$BR131,0),0)</f>
        <v>0</v>
      </c>
      <c r="HW131" s="26">
        <f>IF(HW$2=InputTable[[#This Row],[Delivery Date]],_xlfn.XLOOKUP(HW$1,$BH$2:$BR$2,$BH131:$BR131,0),0)</f>
        <v>0</v>
      </c>
      <c r="HX131" s="26">
        <f>IF(HX$2=InputTable[[#This Row],[Delivery Date]],_xlfn.XLOOKUP(HX$1,$BH$2:$BR$2,$BH131:$BR131,0),0)</f>
        <v>0</v>
      </c>
      <c r="HZ131" s="26" t="e">
        <f>IF(HZ$2=InputTable[[#This Row],[Delivery Date]],_xlfn.XLOOKUP(HZ$1,$BH$2:$BR$2,$BH131:$BR131,0),0)</f>
        <v>#REF!</v>
      </c>
      <c r="IA131" s="26">
        <f>IF(IA$2=InputTable[[#This Row],[Delivery Date]],_xlfn.XLOOKUP(IA$1,$BH$2:$BR$2,$BH131:$BR131,0),0)</f>
        <v>0</v>
      </c>
      <c r="IB131" s="26">
        <f>IF(IB$2=InputTable[[#This Row],[Delivery Date]],_xlfn.XLOOKUP(IB$1,$BH$2:$BR$2,$BH131:$BR131,0),0)</f>
        <v>0</v>
      </c>
      <c r="IC131" s="26">
        <f>IF(IC$2=InputTable[[#This Row],[Delivery Date]],_xlfn.XLOOKUP(IC$1,$BH$2:$BR$2,$BH131:$BR131,0),0)</f>
        <v>0</v>
      </c>
      <c r="ID131" s="26">
        <f>IF(ID$2=InputTable[[#This Row],[Delivery Date]],_xlfn.XLOOKUP(ID$1,$BH$2:$BR$2,$BH131:$BR131,0),0)</f>
        <v>0</v>
      </c>
      <c r="IE131" s="26">
        <f>IF(IE$2=InputTable[[#This Row],[Delivery Date]],_xlfn.XLOOKUP(IE$1,$BH$2:$BR$2,$BH131:$BR131,0),0)</f>
        <v>0</v>
      </c>
      <c r="IF131" s="26">
        <f>IF(IF$2=InputTable[[#This Row],[Delivery Date]],_xlfn.XLOOKUP(IF$1,$BH$2:$BR$2,$BH131:$BR131,0),0)</f>
        <v>0</v>
      </c>
      <c r="IG131" s="26">
        <f>IF(IG$2=InputTable[[#This Row],[Delivery Date]],_xlfn.XLOOKUP(IG$1,$BH$2:$BR$2,$BH131:$BR131,0),0)</f>
        <v>0</v>
      </c>
      <c r="IH131" s="26">
        <f>IF(IH$2=InputTable[[#This Row],[Delivery Date]],_xlfn.XLOOKUP(IH$1,$BH$2:$BR$2,$BH131:$BR131,0),0)</f>
        <v>0</v>
      </c>
      <c r="IJ131" s="26" t="e">
        <f>IF(IJ$2=InputTable[[#This Row],[Delivery Date]],_xlfn.XLOOKUP(IJ$1,$BH$2:$BR$2,$BH131:$BR131,0),0)</f>
        <v>#REF!</v>
      </c>
      <c r="IK131" s="26">
        <f>IF(IK$2=InputTable[[#This Row],[Delivery Date]],_xlfn.XLOOKUP(IK$1,$BH$2:$BR$2,$BH131:$BR131,0),0)</f>
        <v>0</v>
      </c>
      <c r="IL131" s="26">
        <f>IF(IL$2=InputTable[[#This Row],[Delivery Date]],_xlfn.XLOOKUP(IL$1,$BH$2:$BR$2,$BH131:$BR131,0),0)</f>
        <v>0</v>
      </c>
      <c r="IM131" s="26">
        <f>IF(IM$2=InputTable[[#This Row],[Delivery Date]],_xlfn.XLOOKUP(IM$1,$BH$2:$BR$2,$BH131:$BR131,0),0)</f>
        <v>0</v>
      </c>
      <c r="IN131" s="26">
        <f>IF(IN$2=InputTable[[#This Row],[Delivery Date]],_xlfn.XLOOKUP(IN$1,$BH$2:$BR$2,$BH131:$BR131,0),0)</f>
        <v>0</v>
      </c>
      <c r="IO131" s="26">
        <f>IF(IO$2=InputTable[[#This Row],[Delivery Date]],_xlfn.XLOOKUP(IO$1,$BH$2:$BR$2,$BH131:$BR131,0),0)</f>
        <v>0</v>
      </c>
      <c r="IP131" s="26">
        <f>IF(IP$2=InputTable[[#This Row],[Delivery Date]],_xlfn.XLOOKUP(IP$1,$BH$2:$BR$2,$BH131:$BR131,0),0)</f>
        <v>0</v>
      </c>
      <c r="IQ131" s="26">
        <f>IF(IQ$2=InputTable[[#This Row],[Delivery Date]],_xlfn.XLOOKUP(IQ$1,$BH$2:$BR$2,$BH131:$BR131,0),0)</f>
        <v>0</v>
      </c>
      <c r="IR131" s="26">
        <f>IF(IR$2=InputTable[[#This Row],[Delivery Date]],_xlfn.XLOOKUP(IR$1,$BH$2:$BR$2,$BH131:$BR131,0),0)</f>
        <v>0</v>
      </c>
      <c r="IT131" s="26" t="e">
        <f>IF(IT$2=InputTable[[#This Row],[Delivery Date]],_xlfn.XLOOKUP(IT$1,$BH$2:$BR$2,$BH131:$BR131,0),0)</f>
        <v>#REF!</v>
      </c>
      <c r="IU131" s="26">
        <f>IF(IU$2=InputTable[[#This Row],[Delivery Date]],_xlfn.XLOOKUP(IU$1,$BH$2:$BR$2,$BH131:$BR131,0),0)</f>
        <v>0</v>
      </c>
      <c r="IV131" s="26">
        <f>IF(IV$2=InputTable[[#This Row],[Delivery Date]],_xlfn.XLOOKUP(IV$1,$BH$2:$BR$2,$BH131:$BR131,0),0)</f>
        <v>0</v>
      </c>
      <c r="IW131" s="26">
        <f>IF(IW$2=InputTable[[#This Row],[Delivery Date]],_xlfn.XLOOKUP(IW$1,$BH$2:$BR$2,$BH131:$BR131,0),0)</f>
        <v>0</v>
      </c>
      <c r="IX131" s="26">
        <f>IF(IX$2=InputTable[[#This Row],[Delivery Date]],_xlfn.XLOOKUP(IX$1,$BH$2:$BR$2,$BH131:$BR131,0),0)</f>
        <v>0</v>
      </c>
      <c r="IY131" s="26">
        <f>IF(IY$2=InputTable[[#This Row],[Delivery Date]],_xlfn.XLOOKUP(IY$1,$BH$2:$BR$2,$BH131:$BR131,0),0)</f>
        <v>0</v>
      </c>
      <c r="IZ131" s="26">
        <f>IF(IZ$2=InputTable[[#This Row],[Delivery Date]],_xlfn.XLOOKUP(IZ$1,$BH$2:$BR$2,$BH131:$BR131,0),0)</f>
        <v>0</v>
      </c>
      <c r="JA131" s="26">
        <f>IF(JA$2=InputTable[[#This Row],[Delivery Date]],_xlfn.XLOOKUP(JA$1,$BH$2:$BR$2,$BH131:$BR131,0),0)</f>
        <v>0</v>
      </c>
      <c r="JB131" s="26">
        <f>IF(JB$2=InputTable[[#This Row],[Delivery Date]],_xlfn.XLOOKUP(JB$1,$BH$2:$BR$2,$BH131:$BR131,0),0)</f>
        <v>0</v>
      </c>
      <c r="JD131" s="26" t="e">
        <f>IF(JD$2=InputTable[[#This Row],[Delivery Date]],_xlfn.XLOOKUP(JD$1,$BH$2:$BR$2,$BH131:$BR131,0),0)</f>
        <v>#REF!</v>
      </c>
      <c r="JE131" s="26">
        <f>IF(JE$2=InputTable[[#This Row],[Delivery Date]],_xlfn.XLOOKUP(JE$1,$BH$2:$BR$2,$BH131:$BR131,0),0)</f>
        <v>0</v>
      </c>
      <c r="JF131" s="26">
        <f>IF(JF$2=InputTable[[#This Row],[Delivery Date]],_xlfn.XLOOKUP(JF$1,$BH$2:$BR$2,$BH131:$BR131,0),0)</f>
        <v>0</v>
      </c>
      <c r="JG131" s="26">
        <f>IF(JG$2=InputTable[[#This Row],[Delivery Date]],_xlfn.XLOOKUP(JG$1,$BH$2:$BR$2,$BH131:$BR131,0),0)</f>
        <v>0</v>
      </c>
      <c r="JH131" s="26">
        <f>IF(JH$2=InputTable[[#This Row],[Delivery Date]],_xlfn.XLOOKUP(JH$1,$BH$2:$BR$2,$BH131:$BR131,0),0)</f>
        <v>0</v>
      </c>
      <c r="JI131" s="26">
        <f>IF(JI$2=InputTable[[#This Row],[Delivery Date]],_xlfn.XLOOKUP(JI$1,$BH$2:$BR$2,$BH131:$BR131,0),0)</f>
        <v>0</v>
      </c>
      <c r="JJ131" s="26">
        <f>IF(JJ$2=InputTable[[#This Row],[Delivery Date]],_xlfn.XLOOKUP(JJ$1,$BH$2:$BR$2,$BH131:$BR131,0),0)</f>
        <v>0</v>
      </c>
      <c r="JK131" s="26">
        <f>IF(JK$2=InputTable[[#This Row],[Delivery Date]],_xlfn.XLOOKUP(JK$1,$BH$2:$BR$2,$BH131:$BR131,0),0)</f>
        <v>0</v>
      </c>
      <c r="JL131" s="26">
        <f>IF(JL$2=InputTable[[#This Row],[Delivery Date]],_xlfn.XLOOKUP(JL$1,$BH$2:$BR$2,$BH131:$BR131,0),0)</f>
        <v>0</v>
      </c>
      <c r="JN131" s="26" t="e">
        <f>IF(JN$2=InputTable[[#This Row],[Delivery Date]],_xlfn.XLOOKUP(JN$1,$BH$2:$BR$2,$BH131:$BR131,0),0)</f>
        <v>#REF!</v>
      </c>
      <c r="JO131" s="26">
        <f>IF(JO$2=InputTable[[#This Row],[Delivery Date]],_xlfn.XLOOKUP(JO$1,$BH$2:$BR$2,$BH131:$BR131,0),0)</f>
        <v>0</v>
      </c>
      <c r="JP131" s="26">
        <f>IF(JP$2=InputTable[[#This Row],[Delivery Date]],_xlfn.XLOOKUP(JP$1,$BH$2:$BR$2,$BH131:$BR131,0),0)</f>
        <v>0</v>
      </c>
      <c r="JQ131" s="26">
        <f>IF(JQ$2=InputTable[[#This Row],[Delivery Date]],_xlfn.XLOOKUP(JQ$1,$BH$2:$BR$2,$BH131:$BR131,0),0)</f>
        <v>0</v>
      </c>
      <c r="JR131" s="26">
        <f>IF(JR$2=InputTable[[#This Row],[Delivery Date]],_xlfn.XLOOKUP(JR$1,$BH$2:$BR$2,$BH131:$BR131,0),0)</f>
        <v>0</v>
      </c>
      <c r="JS131" s="26">
        <f>IF(JS$2=InputTable[[#This Row],[Delivery Date]],_xlfn.XLOOKUP(JS$1,$BH$2:$BR$2,$BH131:$BR131,0),0)</f>
        <v>0</v>
      </c>
      <c r="JT131" s="26">
        <f>IF(JT$2=InputTable[[#This Row],[Delivery Date]],_xlfn.XLOOKUP(JT$1,$BH$2:$BR$2,$BH131:$BR131,0),0)</f>
        <v>0</v>
      </c>
      <c r="JU131" s="26">
        <f>IF(JU$2=InputTable[[#This Row],[Delivery Date]],_xlfn.XLOOKUP(JU$1,$BH$2:$BR$2,$BH131:$BR131,0),0)</f>
        <v>0</v>
      </c>
      <c r="JV131" s="26">
        <f>IF(JV$2=InputTable[[#This Row],[Delivery Date]],_xlfn.XLOOKUP(JV$1,$BH$2:$BR$2,$BH131:$BR131,0),0)</f>
        <v>0</v>
      </c>
      <c r="JX131" s="26" t="e">
        <f>IF(JX$2=InputTable[[#This Row],[Delivery Date]],_xlfn.XLOOKUP(JX$1,$BH$2:$BR$2,$BH131:$BR131,0),0)</f>
        <v>#REF!</v>
      </c>
      <c r="JY131" s="26">
        <f>IF(JY$2=InputTable[[#This Row],[Delivery Date]],_xlfn.XLOOKUP(JY$1,$BH$2:$BR$2,$BH131:$BR131,0),0)</f>
        <v>0</v>
      </c>
      <c r="JZ131" s="26">
        <f>IF(JZ$2=InputTable[[#This Row],[Delivery Date]],_xlfn.XLOOKUP(JZ$1,$BH$2:$BR$2,$BH131:$BR131,0),0)</f>
        <v>0</v>
      </c>
      <c r="KA131" s="26">
        <f>IF(KA$2=InputTable[[#This Row],[Delivery Date]],_xlfn.XLOOKUP(KA$1,$BH$2:$BR$2,$BH131:$BR131,0),0)</f>
        <v>0</v>
      </c>
      <c r="KB131" s="26">
        <f>IF(KB$2=InputTable[[#This Row],[Delivery Date]],_xlfn.XLOOKUP(KB$1,$BH$2:$BR$2,$BH131:$BR131,0),0)</f>
        <v>0</v>
      </c>
      <c r="KC131" s="26">
        <f>IF(KC$2=InputTable[[#This Row],[Delivery Date]],_xlfn.XLOOKUP(KC$1,$BH$2:$BR$2,$BH131:$BR131,0),0)</f>
        <v>0</v>
      </c>
      <c r="KD131" s="26">
        <f>IF(KD$2=InputTable[[#This Row],[Delivery Date]],_xlfn.XLOOKUP(KD$1,$BH$2:$BR$2,$BH131:$BR131,0),0)</f>
        <v>0</v>
      </c>
      <c r="KE131" s="26">
        <f>IF(KE$2=InputTable[[#This Row],[Delivery Date]],_xlfn.XLOOKUP(KE$1,$BH$2:$BR$2,$BH131:$BR131,0),0)</f>
        <v>0</v>
      </c>
      <c r="KF131" s="26">
        <f>IF(KF$2=InputTable[[#This Row],[Delivery Date]],_xlfn.XLOOKUP(KF$1,$BH$2:$BR$2,$BH131:$BR131,0),0)</f>
        <v>0</v>
      </c>
    </row>
    <row r="132" spans="1:292" ht="17.399999999999999" x14ac:dyDescent="0.25">
      <c r="A132" s="141"/>
      <c r="B132" s="141"/>
      <c r="C132" s="92"/>
      <c r="D132" s="92"/>
      <c r="E132" s="93"/>
      <c r="F132" s="92"/>
      <c r="G132" s="92"/>
      <c r="H132" s="92"/>
      <c r="I132" s="92"/>
      <c r="J132" s="122"/>
      <c r="K132" s="95" t="e">
        <f>VLOOKUP((InputTable[[#This Row],[Starting Date]]&amp; " - " &amp;InputTable[[#This Row],[Delivery Date]]),'System List'!$F$40:$H$83,2,FALSE)</f>
        <v>#N/A</v>
      </c>
      <c r="L132" s="95" t="e">
        <f>VLOOKUP(InputTable[[#This Row],[Duration]],Duration,2,FALSE)</f>
        <v>#N/A</v>
      </c>
      <c r="M132" s="122"/>
      <c r="N132" s="92"/>
      <c r="O132" s="92"/>
      <c r="P132" s="92"/>
      <c r="Q132" s="92"/>
      <c r="R132" s="92"/>
      <c r="S132" s="92"/>
      <c r="T132" s="95"/>
      <c r="U132" s="138"/>
      <c r="V132" s="92"/>
      <c r="W132" s="92"/>
      <c r="X132" s="92"/>
      <c r="Y132" s="92"/>
      <c r="Z132" s="92"/>
      <c r="AA132" s="92"/>
      <c r="AB132" s="92"/>
      <c r="AC132" s="92"/>
      <c r="AD132" s="92">
        <f>COUNTA(InputTable[[#This Row],[CORPHRFIN]:[SALES]])</f>
        <v>0</v>
      </c>
      <c r="AE132" s="88" cm="1">
        <f t="array" ref="AE132">SUM(
_xlfn.XLOOKUP(InputTable[[#This Row],[CORPHRFIN]:[SALES]],'System List'!$F$4:$F$7,'System List'!$H$4:$H$7,0))</f>
        <v>0</v>
      </c>
      <c r="AF132" s="140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88" cm="1">
        <f t="array" ref="AR132">SUM(
_xlfn.XLOOKUP(InputTable[[#This Row],[Impact on - CIAL]:[Impact on - STRAT]],'System List'!$F$4:$F$7,'System List'!$H$4:$H$7,0))</f>
        <v>0</v>
      </c>
      <c r="AS132" s="88" t="e">
        <f>VLOOKUP(InputTable[[#This Row],[Duration]],Duration,2,FALSE)+InputTable[[#This Row],[Resource Score]]</f>
        <v>#N/A</v>
      </c>
      <c r="AT13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2" s="24" t="e">
        <f>InputTable[[#This Row],[Value Score]]/InputTable[[#This Row],[EFFORT SCORE]]*100</f>
        <v>#N/A</v>
      </c>
      <c r="AV132" s="25"/>
      <c r="AW132" s="25"/>
      <c r="AX132" s="208"/>
      <c r="AY132" s="25"/>
      <c r="AZ132" s="209">
        <v>0</v>
      </c>
      <c r="BA132" s="209">
        <v>0</v>
      </c>
      <c r="BB132" s="209"/>
      <c r="BC132" s="189"/>
      <c r="BD132" s="188"/>
      <c r="BE132" s="188"/>
      <c r="BF132" s="70"/>
      <c r="BH132" s="2">
        <f>IFERROR(VLOOKUP(InputTable[[#This Row],[Impact on - CIAL]],'System List'!$F$4:$H$7,3,FALSE),0)</f>
        <v>0</v>
      </c>
      <c r="BI132" s="2">
        <f>IFERROR(VLOOKUP(InputTable[[#This Row],[Impact on - COM]],'System List'!$F$4:$H$7,3,FALSE),0)</f>
        <v>0</v>
      </c>
      <c r="BJ132" s="2">
        <f>IFERROR(VLOOKUP(InputTable[[#This Row],[Impact on - FIN]],'System List'!$F$4:$H$7,3,FALSE),0)</f>
        <v>0</v>
      </c>
      <c r="BK132" s="2">
        <f>IFERROR(VLOOKUP(InputTable[[#This Row],[Impact on - GEN SEC]],'System List'!$F$4:$H$7,3,FALSE),0)</f>
        <v>0</v>
      </c>
      <c r="BL132" s="2">
        <f>IFERROR(VLOOKUP(InputTable[[#This Row],[Impact on - HR]],'System List'!$F$4:$H$7,3,FALSE),0)</f>
        <v>0</v>
      </c>
      <c r="BM132" s="2">
        <f>IFERROR(VLOOKUP(InputTable[[#This Row],[Impact on - IS]],'System List'!$F$4:$H$7,3,FALSE),0)</f>
        <v>0</v>
      </c>
      <c r="BN132" s="2">
        <f>IFERROR(VLOOKUP(InputTable[[#This Row],[Impact on - OPS]],'System List'!$F$4:$H$7,3,FALSE),0)</f>
        <v>0</v>
      </c>
      <c r="BO132" s="2">
        <f>IFERROR(VLOOKUP(InputTable[[#This Row],[Impact on - ROLL STOCK]],'System List'!$F$4:$H$7,3,FALSE),0)</f>
        <v>0</v>
      </c>
      <c r="BP132" s="2">
        <f>IFERROR(VLOOKUP(InputTable[[#This Row],[Impact on - SAFETY]],'System List'!$F$4:$H$7,3,FALSE),0)</f>
        <v>0</v>
      </c>
      <c r="BQ132" s="2">
        <f>IFERROR(VLOOKUP(InputTable[[#This Row],[Impact on - STATION]],'System List'!$F$4:$H$7,3,FALSE),0)</f>
        <v>0</v>
      </c>
      <c r="BR132" s="2">
        <f>IFERROR(VLOOKUP(InputTable[[#This Row],[Impact on - STRAT]],'System List'!$F$4:$H$7,3,FALSE),0)</f>
        <v>0</v>
      </c>
      <c r="BT132" s="2">
        <f>IFERROR(VLOOKUP(InputTable[[#This Row],[CORPHRFIN]],'System List'!$F$4:$H$7,3,FALSE),0)</f>
        <v>0</v>
      </c>
      <c r="BU132" s="2">
        <f>IFERROR(VLOOKUP(InputTable[[#This Row],[CUST]],'System List'!$F$4:$H$7,3,FALSE),0)</f>
        <v>0</v>
      </c>
      <c r="BV132" s="2">
        <f>IFERROR(VLOOKUP(InputTable[[#This Row],[CYBER]],'System List'!$F$4:$H$7,3,FALSE),0)</f>
        <v>0</v>
      </c>
      <c r="BW132" s="2">
        <f>IFERROR(VLOOKUP(InputTable[[#This Row],[DATA]],'System List'!$F$4:$H$7,3,FALSE),0)</f>
        <v>0</v>
      </c>
      <c r="BX132" s="2">
        <f>IFERROR(VLOOKUP(InputTable[[#This Row],[INFRA]],'System List'!$F$4:$H$7,3,FALSE),0)</f>
        <v>0</v>
      </c>
      <c r="BY132" s="2">
        <f>IFERROR(VLOOKUP(InputTable[[#This Row],[OPERATIONS]],'System List'!$F$4:$H$7,3,FALSE),0)</f>
        <v>0</v>
      </c>
      <c r="BZ132" s="2">
        <f>IFERROR(VLOOKUP(InputTable[[#This Row],[PMO]],'System List'!$F$4:$H$7,3,FALSE),0)</f>
        <v>0</v>
      </c>
      <c r="CA132" s="2">
        <f>IFERROR(VLOOKUP(InputTable[[#This Row],[SALES]],'System List'!$F$4:$H$7,3,FALSE),0)</f>
        <v>0</v>
      </c>
      <c r="CC132" s="2" cm="1">
        <f t="array" ref="CC13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2" s="2" cm="1">
        <f t="array" ref="CD13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2" s="2" cm="1">
        <f t="array" ref="CE13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2" s="2" cm="1">
        <f t="array" ref="CF13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2" s="2" cm="1">
        <f t="array" ref="CG13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2" s="2" cm="1">
        <f t="array" ref="CH13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2" s="2" cm="1">
        <f t="array" ref="CI13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2" s="2" cm="1">
        <f t="array" ref="CJ13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2" s="2" cm="1">
        <f t="array" ref="CK13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2" s="26">
        <f t="shared" si="307"/>
        <v>0</v>
      </c>
      <c r="CY132" s="26">
        <f t="shared" si="308"/>
        <v>0</v>
      </c>
      <c r="CZ132" s="26">
        <f t="shared" si="309"/>
        <v>0</v>
      </c>
      <c r="DA132" s="26">
        <f t="shared" si="310"/>
        <v>0</v>
      </c>
      <c r="DB132" s="26">
        <f t="shared" si="311"/>
        <v>0</v>
      </c>
      <c r="DC132" s="26">
        <f t="shared" si="312"/>
        <v>0</v>
      </c>
      <c r="DD132" s="26">
        <f t="shared" si="313"/>
        <v>0</v>
      </c>
      <c r="DE132" s="26">
        <f t="shared" si="314"/>
        <v>0</v>
      </c>
      <c r="DF132" s="26">
        <f t="shared" si="315"/>
        <v>0</v>
      </c>
      <c r="DH132" s="26">
        <f t="shared" si="316"/>
        <v>0</v>
      </c>
      <c r="DI132" s="26">
        <f t="shared" si="317"/>
        <v>0</v>
      </c>
      <c r="DJ132" s="26">
        <f t="shared" si="318"/>
        <v>0</v>
      </c>
      <c r="DK132" s="26">
        <f t="shared" si="319"/>
        <v>0</v>
      </c>
      <c r="DL132" s="26">
        <f t="shared" si="320"/>
        <v>0</v>
      </c>
      <c r="DM132" s="26">
        <f t="shared" si="321"/>
        <v>0</v>
      </c>
      <c r="DN132" s="26">
        <f t="shared" si="322"/>
        <v>0</v>
      </c>
      <c r="DO132" s="26">
        <f t="shared" si="323"/>
        <v>0</v>
      </c>
      <c r="DP132" s="26">
        <f t="shared" si="324"/>
        <v>0</v>
      </c>
      <c r="DR132" s="26">
        <f t="shared" si="325"/>
        <v>0</v>
      </c>
      <c r="DS132" s="26">
        <f t="shared" si="326"/>
        <v>0</v>
      </c>
      <c r="DT132" s="26">
        <f t="shared" si="327"/>
        <v>0</v>
      </c>
      <c r="DU132" s="26">
        <f t="shared" si="328"/>
        <v>0</v>
      </c>
      <c r="DV132" s="26">
        <f t="shared" si="329"/>
        <v>0</v>
      </c>
      <c r="DW132" s="26">
        <f t="shared" si="330"/>
        <v>0</v>
      </c>
      <c r="DX132" s="26">
        <f t="shared" si="331"/>
        <v>0</v>
      </c>
      <c r="DY132" s="26">
        <f t="shared" si="332"/>
        <v>0</v>
      </c>
      <c r="DZ132" s="26">
        <f t="shared" si="333"/>
        <v>0</v>
      </c>
      <c r="EB132" s="26">
        <f t="shared" si="334"/>
        <v>0</v>
      </c>
      <c r="EC132" s="26">
        <f t="shared" si="335"/>
        <v>0</v>
      </c>
      <c r="ED132" s="26">
        <f t="shared" si="336"/>
        <v>0</v>
      </c>
      <c r="EE132" s="26">
        <f t="shared" si="337"/>
        <v>0</v>
      </c>
      <c r="EF132" s="26">
        <f t="shared" si="338"/>
        <v>0</v>
      </c>
      <c r="EG132" s="26">
        <f t="shared" si="339"/>
        <v>0</v>
      </c>
      <c r="EH132" s="26">
        <f t="shared" si="340"/>
        <v>0</v>
      </c>
      <c r="EI132" s="26">
        <f t="shared" si="341"/>
        <v>0</v>
      </c>
      <c r="EJ132" s="26">
        <f t="shared" si="342"/>
        <v>0</v>
      </c>
      <c r="EL132" s="26">
        <f t="shared" si="343"/>
        <v>0</v>
      </c>
      <c r="EM132" s="26">
        <f t="shared" si="344"/>
        <v>0</v>
      </c>
      <c r="EN132" s="26">
        <f t="shared" si="345"/>
        <v>0</v>
      </c>
      <c r="EO132" s="26">
        <f t="shared" si="346"/>
        <v>0</v>
      </c>
      <c r="EP132" s="26">
        <f t="shared" si="347"/>
        <v>0</v>
      </c>
      <c r="EQ132" s="26">
        <f t="shared" si="348"/>
        <v>0</v>
      </c>
      <c r="ER132" s="26">
        <f t="shared" si="349"/>
        <v>0</v>
      </c>
      <c r="ES132" s="26">
        <f t="shared" si="350"/>
        <v>0</v>
      </c>
      <c r="ET132" s="26">
        <f t="shared" si="351"/>
        <v>0</v>
      </c>
      <c r="EV132" s="26">
        <f t="shared" si="352"/>
        <v>0</v>
      </c>
      <c r="EW132" s="26">
        <f t="shared" si="353"/>
        <v>0</v>
      </c>
      <c r="EX132" s="26">
        <f t="shared" si="354"/>
        <v>0</v>
      </c>
      <c r="EY132" s="26">
        <f t="shared" si="355"/>
        <v>0</v>
      </c>
      <c r="EZ132" s="26">
        <f t="shared" si="356"/>
        <v>0</v>
      </c>
      <c r="FA132" s="26">
        <f t="shared" si="357"/>
        <v>0</v>
      </c>
      <c r="FB132" s="26">
        <f t="shared" si="358"/>
        <v>0</v>
      </c>
      <c r="FC132" s="26">
        <f t="shared" si="359"/>
        <v>0</v>
      </c>
      <c r="FD132" s="26">
        <f t="shared" si="360"/>
        <v>0</v>
      </c>
      <c r="FF132" s="26">
        <f t="shared" si="361"/>
        <v>0</v>
      </c>
      <c r="FG132" s="26">
        <f t="shared" si="362"/>
        <v>0</v>
      </c>
      <c r="FH132" s="26">
        <f t="shared" si="363"/>
        <v>0</v>
      </c>
      <c r="FI132" s="26">
        <f t="shared" si="364"/>
        <v>0</v>
      </c>
      <c r="FJ132" s="26">
        <f t="shared" si="365"/>
        <v>0</v>
      </c>
      <c r="FK132" s="26">
        <f t="shared" si="366"/>
        <v>0</v>
      </c>
      <c r="FL132" s="26">
        <f t="shared" si="367"/>
        <v>0</v>
      </c>
      <c r="FM132" s="26">
        <f t="shared" si="368"/>
        <v>0</v>
      </c>
      <c r="FN132" s="26">
        <f t="shared" si="369"/>
        <v>0</v>
      </c>
      <c r="FP132" s="26" t="e">
        <f t="shared" si="370"/>
        <v>#REF!</v>
      </c>
      <c r="FQ132" s="26" t="e">
        <f t="shared" si="371"/>
        <v>#REF!</v>
      </c>
      <c r="FR132" s="26" t="e">
        <f t="shared" si="372"/>
        <v>#REF!</v>
      </c>
      <c r="FS132" s="26" t="e">
        <f t="shared" si="373"/>
        <v>#REF!</v>
      </c>
      <c r="FT132" s="26" t="e">
        <f t="shared" si="374"/>
        <v>#REF!</v>
      </c>
      <c r="FU132" s="26" t="e">
        <f t="shared" si="375"/>
        <v>#REF!</v>
      </c>
      <c r="FV132" s="26" t="e">
        <f t="shared" si="376"/>
        <v>#REF!</v>
      </c>
      <c r="FW132" s="26" t="e">
        <f t="shared" si="377"/>
        <v>#REF!</v>
      </c>
      <c r="FX132" s="26" t="e">
        <f t="shared" si="378"/>
        <v>#REF!</v>
      </c>
      <c r="GB132" s="26" t="e">
        <f>IF(GB$2=InputTable[[#This Row],[Delivery Date]],_xlfn.XLOOKUP(GB$1,$BH$2:$BR$2,$BH132:$BR132,0),0)</f>
        <v>#REF!</v>
      </c>
      <c r="GC132" s="26">
        <f>IF(GC$2=InputTable[[#This Row],[Delivery Date]],_xlfn.XLOOKUP(GC$1,$BH$2:$BR$2,$BH132:$BR132,0),0)</f>
        <v>0</v>
      </c>
      <c r="GD132" s="26">
        <f>IF(GD$2=InputTable[[#This Row],[Delivery Date]],_xlfn.XLOOKUP(GD$1,$BH$2:$BR$2,$BH132:$BR132,0),0)</f>
        <v>0</v>
      </c>
      <c r="GE132" s="26">
        <f>IF(GE$2=InputTable[[#This Row],[Delivery Date]],_xlfn.XLOOKUP(GE$1,$BH$2:$BR$2,$BH132:$BR132,0),0)</f>
        <v>0</v>
      </c>
      <c r="GF132" s="26">
        <f>IF(GF$2=InputTable[[#This Row],[Delivery Date]],_xlfn.XLOOKUP(GF$1,$BH$2:$BR$2,$BH132:$BR132,0),0)</f>
        <v>0</v>
      </c>
      <c r="GG132" s="26">
        <f>IF(GG$2=InputTable[[#This Row],[Delivery Date]],_xlfn.XLOOKUP(GG$1,$BH$2:$BR$2,$BH132:$BR132,0),0)</f>
        <v>0</v>
      </c>
      <c r="GH132" s="26">
        <f>IF(GH$2=InputTable[[#This Row],[Delivery Date]],_xlfn.XLOOKUP(GH$1,$BH$2:$BR$2,$BH132:$BR132,0),0)</f>
        <v>0</v>
      </c>
      <c r="GI132" s="26">
        <f>IF(GI$2=InputTable[[#This Row],[Delivery Date]],_xlfn.XLOOKUP(GI$1,$BH$2:$BR$2,$BH132:$BR132,0),0)</f>
        <v>0</v>
      </c>
      <c r="GJ132" s="26">
        <f>IF(GJ$2=InputTable[[#This Row],[Delivery Date]],_xlfn.XLOOKUP(GJ$1,$BH$2:$BR$2,$BH132:$BR132,0),0)</f>
        <v>0</v>
      </c>
      <c r="GL132" s="26" t="e">
        <f>IF(GL$2=InputTable[[#This Row],[Delivery Date]],_xlfn.XLOOKUP(GL$1,$BH$2:$BR$2,$BH132:$BR132,0),0)</f>
        <v>#REF!</v>
      </c>
      <c r="GM132" s="26">
        <f>IF(GM$2=InputTable[[#This Row],[Delivery Date]],_xlfn.XLOOKUP(GM$1,$BH$2:$BR$2,$BH132:$BR132,0),0)</f>
        <v>0</v>
      </c>
      <c r="GN132" s="26">
        <f>IF(GN$2=InputTable[[#This Row],[Delivery Date]],_xlfn.XLOOKUP(GN$1,$BH$2:$BR$2,$BH132:$BR132,0),0)</f>
        <v>0</v>
      </c>
      <c r="GO132" s="26">
        <f>IF(GO$2=InputTable[[#This Row],[Delivery Date]],_xlfn.XLOOKUP(GO$1,$BH$2:$BR$2,$BH132:$BR132,0),0)</f>
        <v>0</v>
      </c>
      <c r="GP132" s="26">
        <f>IF(GP$2=InputTable[[#This Row],[Delivery Date]],_xlfn.XLOOKUP(GP$1,$BH$2:$BR$2,$BH132:$BR132,0),0)</f>
        <v>0</v>
      </c>
      <c r="GQ132" s="26">
        <f>IF(GQ$2=InputTable[[#This Row],[Delivery Date]],_xlfn.XLOOKUP(GQ$1,$BH$2:$BR$2,$BH132:$BR132,0),0)</f>
        <v>0</v>
      </c>
      <c r="GR132" s="26">
        <f>IF(GR$2=InputTable[[#This Row],[Delivery Date]],_xlfn.XLOOKUP(GR$1,$BH$2:$BR$2,$BH132:$BR132,0),0)</f>
        <v>0</v>
      </c>
      <c r="GS132" s="26">
        <f>IF(GS$2=InputTable[[#This Row],[Delivery Date]],_xlfn.XLOOKUP(GS$1,$BH$2:$BR$2,$BH132:$BR132,0),0)</f>
        <v>0</v>
      </c>
      <c r="GT132" s="26">
        <f>IF(GT$2=InputTable[[#This Row],[Delivery Date]],_xlfn.XLOOKUP(GT$1,$BH$2:$BR$2,$BH132:$BR132,0),0)</f>
        <v>0</v>
      </c>
      <c r="GV132" s="26" t="e">
        <f>IF(GV$2=InputTable[[#This Row],[Delivery Date]],_xlfn.XLOOKUP(GV$1,$BH$2:$BR$2,$BH132:$BR132,0),0)</f>
        <v>#REF!</v>
      </c>
      <c r="GW132" s="26">
        <f>IF(GW$2=InputTable[[#This Row],[Delivery Date]],_xlfn.XLOOKUP(GW$1,$BH$2:$BR$2,$BH132:$BR132,0),0)</f>
        <v>0</v>
      </c>
      <c r="GX132" s="26">
        <f>IF(GX$2=InputTable[[#This Row],[Delivery Date]],_xlfn.XLOOKUP(GX$1,$BH$2:$BR$2,$BH132:$BR132,0),0)</f>
        <v>0</v>
      </c>
      <c r="GY132" s="26">
        <f>IF(GY$2=InputTable[[#This Row],[Delivery Date]],_xlfn.XLOOKUP(GY$1,$BH$2:$BR$2,$BH132:$BR132,0),0)</f>
        <v>0</v>
      </c>
      <c r="GZ132" s="26">
        <f>IF(GZ$2=InputTable[[#This Row],[Delivery Date]],_xlfn.XLOOKUP(GZ$1,$BH$2:$BR$2,$BH132:$BR132,0),0)</f>
        <v>0</v>
      </c>
      <c r="HA132" s="26">
        <f>IF(HA$2=InputTable[[#This Row],[Delivery Date]],_xlfn.XLOOKUP(HA$1,$BH$2:$BR$2,$BH132:$BR132,0),0)</f>
        <v>0</v>
      </c>
      <c r="HB132" s="26">
        <f>IF(HB$2=InputTable[[#This Row],[Delivery Date]],_xlfn.XLOOKUP(HB$1,$BH$2:$BR$2,$BH132:$BR132,0),0)</f>
        <v>0</v>
      </c>
      <c r="HC132" s="26">
        <f>IF(HC$2=InputTable[[#This Row],[Delivery Date]],_xlfn.XLOOKUP(HC$1,$BH$2:$BR$2,$BH132:$BR132,0),0)</f>
        <v>0</v>
      </c>
      <c r="HD132" s="26">
        <f>IF(HD$2=InputTable[[#This Row],[Delivery Date]],_xlfn.XLOOKUP(HD$1,$BH$2:$BR$2,$BH132:$BR132,0),0)</f>
        <v>0</v>
      </c>
      <c r="HF132" s="26" t="e">
        <f>IF(HF$2=InputTable[[#This Row],[Delivery Date]],_xlfn.XLOOKUP(HF$1,$BH$2:$BR$2,$BH132:$BR132,0),0)</f>
        <v>#REF!</v>
      </c>
      <c r="HG132" s="26">
        <f>IF(HG$2=InputTable[[#This Row],[Delivery Date]],_xlfn.XLOOKUP(HG$1,$BH$2:$BR$2,$BH132:$BR132,0),0)</f>
        <v>0</v>
      </c>
      <c r="HH132" s="26">
        <f>IF(HH$2=InputTable[[#This Row],[Delivery Date]],_xlfn.XLOOKUP(HH$1,$BH$2:$BR$2,$BH132:$BR132,0),0)</f>
        <v>0</v>
      </c>
      <c r="HI132" s="26">
        <f>IF(HI$2=InputTable[[#This Row],[Delivery Date]],_xlfn.XLOOKUP(HI$1,$BH$2:$BR$2,$BH132:$BR132,0),0)</f>
        <v>0</v>
      </c>
      <c r="HJ132" s="26">
        <f>IF(HJ$2=InputTable[[#This Row],[Delivery Date]],_xlfn.XLOOKUP(HJ$1,$BH$2:$BR$2,$BH132:$BR132,0),0)</f>
        <v>0</v>
      </c>
      <c r="HK132" s="26">
        <f>IF(HK$2=InputTable[[#This Row],[Delivery Date]],_xlfn.XLOOKUP(HK$1,$BH$2:$BR$2,$BH132:$BR132,0),0)</f>
        <v>0</v>
      </c>
      <c r="HL132" s="26">
        <f>IF(HL$2=InputTable[[#This Row],[Delivery Date]],_xlfn.XLOOKUP(HL$1,$BH$2:$BR$2,$BH132:$BR132,0),0)</f>
        <v>0</v>
      </c>
      <c r="HM132" s="26">
        <f>IF(HM$2=InputTable[[#This Row],[Delivery Date]],_xlfn.XLOOKUP(HM$1,$BH$2:$BR$2,$BH132:$BR132,0),0)</f>
        <v>0</v>
      </c>
      <c r="HN132" s="26">
        <f>IF(HN$2=InputTable[[#This Row],[Delivery Date]],_xlfn.XLOOKUP(HN$1,$BH$2:$BR$2,$BH132:$BR132,0),0)</f>
        <v>0</v>
      </c>
      <c r="HP132" s="26" t="e">
        <f>IF(HP$2=InputTable[[#This Row],[Delivery Date]],_xlfn.XLOOKUP(HP$1,$BH$2:$BR$2,$BH132:$BR132,0),0)</f>
        <v>#REF!</v>
      </c>
      <c r="HQ132" s="26">
        <f>IF(HQ$2=InputTable[[#This Row],[Delivery Date]],_xlfn.XLOOKUP(HQ$1,$BH$2:$BR$2,$BH132:$BR132,0),0)</f>
        <v>0</v>
      </c>
      <c r="HR132" s="26">
        <f>IF(HR$2=InputTable[[#This Row],[Delivery Date]],_xlfn.XLOOKUP(HR$1,$BH$2:$BR$2,$BH132:$BR132,0),0)</f>
        <v>0</v>
      </c>
      <c r="HS132" s="26">
        <f>IF(HS$2=InputTable[[#This Row],[Delivery Date]],_xlfn.XLOOKUP(HS$1,$BH$2:$BR$2,$BH132:$BR132,0),0)</f>
        <v>0</v>
      </c>
      <c r="HT132" s="26">
        <f>IF(HT$2=InputTable[[#This Row],[Delivery Date]],_xlfn.XLOOKUP(HT$1,$BH$2:$BR$2,$BH132:$BR132,0),0)</f>
        <v>0</v>
      </c>
      <c r="HU132" s="26">
        <f>IF(HU$2=InputTable[[#This Row],[Delivery Date]],_xlfn.XLOOKUP(HU$1,$BH$2:$BR$2,$BH132:$BR132,0),0)</f>
        <v>0</v>
      </c>
      <c r="HV132" s="26">
        <f>IF(HV$2=InputTable[[#This Row],[Delivery Date]],_xlfn.XLOOKUP(HV$1,$BH$2:$BR$2,$BH132:$BR132,0),0)</f>
        <v>0</v>
      </c>
      <c r="HW132" s="26">
        <f>IF(HW$2=InputTable[[#This Row],[Delivery Date]],_xlfn.XLOOKUP(HW$1,$BH$2:$BR$2,$BH132:$BR132,0),0)</f>
        <v>0</v>
      </c>
      <c r="HX132" s="26">
        <f>IF(HX$2=InputTable[[#This Row],[Delivery Date]],_xlfn.XLOOKUP(HX$1,$BH$2:$BR$2,$BH132:$BR132,0),0)</f>
        <v>0</v>
      </c>
      <c r="HZ132" s="26" t="e">
        <f>IF(HZ$2=InputTable[[#This Row],[Delivery Date]],_xlfn.XLOOKUP(HZ$1,$BH$2:$BR$2,$BH132:$BR132,0),0)</f>
        <v>#REF!</v>
      </c>
      <c r="IA132" s="26">
        <f>IF(IA$2=InputTable[[#This Row],[Delivery Date]],_xlfn.XLOOKUP(IA$1,$BH$2:$BR$2,$BH132:$BR132,0),0)</f>
        <v>0</v>
      </c>
      <c r="IB132" s="26">
        <f>IF(IB$2=InputTable[[#This Row],[Delivery Date]],_xlfn.XLOOKUP(IB$1,$BH$2:$BR$2,$BH132:$BR132,0),0)</f>
        <v>0</v>
      </c>
      <c r="IC132" s="26">
        <f>IF(IC$2=InputTable[[#This Row],[Delivery Date]],_xlfn.XLOOKUP(IC$1,$BH$2:$BR$2,$BH132:$BR132,0),0)</f>
        <v>0</v>
      </c>
      <c r="ID132" s="26">
        <f>IF(ID$2=InputTable[[#This Row],[Delivery Date]],_xlfn.XLOOKUP(ID$1,$BH$2:$BR$2,$BH132:$BR132,0),0)</f>
        <v>0</v>
      </c>
      <c r="IE132" s="26">
        <f>IF(IE$2=InputTable[[#This Row],[Delivery Date]],_xlfn.XLOOKUP(IE$1,$BH$2:$BR$2,$BH132:$BR132,0),0)</f>
        <v>0</v>
      </c>
      <c r="IF132" s="26">
        <f>IF(IF$2=InputTable[[#This Row],[Delivery Date]],_xlfn.XLOOKUP(IF$1,$BH$2:$BR$2,$BH132:$BR132,0),0)</f>
        <v>0</v>
      </c>
      <c r="IG132" s="26">
        <f>IF(IG$2=InputTable[[#This Row],[Delivery Date]],_xlfn.XLOOKUP(IG$1,$BH$2:$BR$2,$BH132:$BR132,0),0)</f>
        <v>0</v>
      </c>
      <c r="IH132" s="26">
        <f>IF(IH$2=InputTable[[#This Row],[Delivery Date]],_xlfn.XLOOKUP(IH$1,$BH$2:$BR$2,$BH132:$BR132,0),0)</f>
        <v>0</v>
      </c>
      <c r="IJ132" s="26" t="e">
        <f>IF(IJ$2=InputTable[[#This Row],[Delivery Date]],_xlfn.XLOOKUP(IJ$1,$BH$2:$BR$2,$BH132:$BR132,0),0)</f>
        <v>#REF!</v>
      </c>
      <c r="IK132" s="26">
        <f>IF(IK$2=InputTable[[#This Row],[Delivery Date]],_xlfn.XLOOKUP(IK$1,$BH$2:$BR$2,$BH132:$BR132,0),0)</f>
        <v>0</v>
      </c>
      <c r="IL132" s="26">
        <f>IF(IL$2=InputTable[[#This Row],[Delivery Date]],_xlfn.XLOOKUP(IL$1,$BH$2:$BR$2,$BH132:$BR132,0),0)</f>
        <v>0</v>
      </c>
      <c r="IM132" s="26">
        <f>IF(IM$2=InputTable[[#This Row],[Delivery Date]],_xlfn.XLOOKUP(IM$1,$BH$2:$BR$2,$BH132:$BR132,0),0)</f>
        <v>0</v>
      </c>
      <c r="IN132" s="26">
        <f>IF(IN$2=InputTable[[#This Row],[Delivery Date]],_xlfn.XLOOKUP(IN$1,$BH$2:$BR$2,$BH132:$BR132,0),0)</f>
        <v>0</v>
      </c>
      <c r="IO132" s="26">
        <f>IF(IO$2=InputTable[[#This Row],[Delivery Date]],_xlfn.XLOOKUP(IO$1,$BH$2:$BR$2,$BH132:$BR132,0),0)</f>
        <v>0</v>
      </c>
      <c r="IP132" s="26">
        <f>IF(IP$2=InputTable[[#This Row],[Delivery Date]],_xlfn.XLOOKUP(IP$1,$BH$2:$BR$2,$BH132:$BR132,0),0)</f>
        <v>0</v>
      </c>
      <c r="IQ132" s="26">
        <f>IF(IQ$2=InputTable[[#This Row],[Delivery Date]],_xlfn.XLOOKUP(IQ$1,$BH$2:$BR$2,$BH132:$BR132,0),0)</f>
        <v>0</v>
      </c>
      <c r="IR132" s="26">
        <f>IF(IR$2=InputTable[[#This Row],[Delivery Date]],_xlfn.XLOOKUP(IR$1,$BH$2:$BR$2,$BH132:$BR132,0),0)</f>
        <v>0</v>
      </c>
      <c r="IT132" s="26" t="e">
        <f>IF(IT$2=InputTable[[#This Row],[Delivery Date]],_xlfn.XLOOKUP(IT$1,$BH$2:$BR$2,$BH132:$BR132,0),0)</f>
        <v>#REF!</v>
      </c>
      <c r="IU132" s="26">
        <f>IF(IU$2=InputTable[[#This Row],[Delivery Date]],_xlfn.XLOOKUP(IU$1,$BH$2:$BR$2,$BH132:$BR132,0),0)</f>
        <v>0</v>
      </c>
      <c r="IV132" s="26">
        <f>IF(IV$2=InputTable[[#This Row],[Delivery Date]],_xlfn.XLOOKUP(IV$1,$BH$2:$BR$2,$BH132:$BR132,0),0)</f>
        <v>0</v>
      </c>
      <c r="IW132" s="26">
        <f>IF(IW$2=InputTable[[#This Row],[Delivery Date]],_xlfn.XLOOKUP(IW$1,$BH$2:$BR$2,$BH132:$BR132,0),0)</f>
        <v>0</v>
      </c>
      <c r="IX132" s="26">
        <f>IF(IX$2=InputTable[[#This Row],[Delivery Date]],_xlfn.XLOOKUP(IX$1,$BH$2:$BR$2,$BH132:$BR132,0),0)</f>
        <v>0</v>
      </c>
      <c r="IY132" s="26">
        <f>IF(IY$2=InputTable[[#This Row],[Delivery Date]],_xlfn.XLOOKUP(IY$1,$BH$2:$BR$2,$BH132:$BR132,0),0)</f>
        <v>0</v>
      </c>
      <c r="IZ132" s="26">
        <f>IF(IZ$2=InputTable[[#This Row],[Delivery Date]],_xlfn.XLOOKUP(IZ$1,$BH$2:$BR$2,$BH132:$BR132,0),0)</f>
        <v>0</v>
      </c>
      <c r="JA132" s="26">
        <f>IF(JA$2=InputTable[[#This Row],[Delivery Date]],_xlfn.XLOOKUP(JA$1,$BH$2:$BR$2,$BH132:$BR132,0),0)</f>
        <v>0</v>
      </c>
      <c r="JB132" s="26">
        <f>IF(JB$2=InputTable[[#This Row],[Delivery Date]],_xlfn.XLOOKUP(JB$1,$BH$2:$BR$2,$BH132:$BR132,0),0)</f>
        <v>0</v>
      </c>
      <c r="JD132" s="26" t="e">
        <f>IF(JD$2=InputTable[[#This Row],[Delivery Date]],_xlfn.XLOOKUP(JD$1,$BH$2:$BR$2,$BH132:$BR132,0),0)</f>
        <v>#REF!</v>
      </c>
      <c r="JE132" s="26">
        <f>IF(JE$2=InputTable[[#This Row],[Delivery Date]],_xlfn.XLOOKUP(JE$1,$BH$2:$BR$2,$BH132:$BR132,0),0)</f>
        <v>0</v>
      </c>
      <c r="JF132" s="26">
        <f>IF(JF$2=InputTable[[#This Row],[Delivery Date]],_xlfn.XLOOKUP(JF$1,$BH$2:$BR$2,$BH132:$BR132,0),0)</f>
        <v>0</v>
      </c>
      <c r="JG132" s="26">
        <f>IF(JG$2=InputTable[[#This Row],[Delivery Date]],_xlfn.XLOOKUP(JG$1,$BH$2:$BR$2,$BH132:$BR132,0),0)</f>
        <v>0</v>
      </c>
      <c r="JH132" s="26">
        <f>IF(JH$2=InputTable[[#This Row],[Delivery Date]],_xlfn.XLOOKUP(JH$1,$BH$2:$BR$2,$BH132:$BR132,0),0)</f>
        <v>0</v>
      </c>
      <c r="JI132" s="26">
        <f>IF(JI$2=InputTable[[#This Row],[Delivery Date]],_xlfn.XLOOKUP(JI$1,$BH$2:$BR$2,$BH132:$BR132,0),0)</f>
        <v>0</v>
      </c>
      <c r="JJ132" s="26">
        <f>IF(JJ$2=InputTable[[#This Row],[Delivery Date]],_xlfn.XLOOKUP(JJ$1,$BH$2:$BR$2,$BH132:$BR132,0),0)</f>
        <v>0</v>
      </c>
      <c r="JK132" s="26">
        <f>IF(JK$2=InputTable[[#This Row],[Delivery Date]],_xlfn.XLOOKUP(JK$1,$BH$2:$BR$2,$BH132:$BR132,0),0)</f>
        <v>0</v>
      </c>
      <c r="JL132" s="26">
        <f>IF(JL$2=InputTable[[#This Row],[Delivery Date]],_xlfn.XLOOKUP(JL$1,$BH$2:$BR$2,$BH132:$BR132,0),0)</f>
        <v>0</v>
      </c>
      <c r="JN132" s="26" t="e">
        <f>IF(JN$2=InputTable[[#This Row],[Delivery Date]],_xlfn.XLOOKUP(JN$1,$BH$2:$BR$2,$BH132:$BR132,0),0)</f>
        <v>#REF!</v>
      </c>
      <c r="JO132" s="26">
        <f>IF(JO$2=InputTable[[#This Row],[Delivery Date]],_xlfn.XLOOKUP(JO$1,$BH$2:$BR$2,$BH132:$BR132,0),0)</f>
        <v>0</v>
      </c>
      <c r="JP132" s="26">
        <f>IF(JP$2=InputTable[[#This Row],[Delivery Date]],_xlfn.XLOOKUP(JP$1,$BH$2:$BR$2,$BH132:$BR132,0),0)</f>
        <v>0</v>
      </c>
      <c r="JQ132" s="26">
        <f>IF(JQ$2=InputTable[[#This Row],[Delivery Date]],_xlfn.XLOOKUP(JQ$1,$BH$2:$BR$2,$BH132:$BR132,0),0)</f>
        <v>0</v>
      </c>
      <c r="JR132" s="26">
        <f>IF(JR$2=InputTable[[#This Row],[Delivery Date]],_xlfn.XLOOKUP(JR$1,$BH$2:$BR$2,$BH132:$BR132,0),0)</f>
        <v>0</v>
      </c>
      <c r="JS132" s="26">
        <f>IF(JS$2=InputTable[[#This Row],[Delivery Date]],_xlfn.XLOOKUP(JS$1,$BH$2:$BR$2,$BH132:$BR132,0),0)</f>
        <v>0</v>
      </c>
      <c r="JT132" s="26">
        <f>IF(JT$2=InputTable[[#This Row],[Delivery Date]],_xlfn.XLOOKUP(JT$1,$BH$2:$BR$2,$BH132:$BR132,0),0)</f>
        <v>0</v>
      </c>
      <c r="JU132" s="26">
        <f>IF(JU$2=InputTable[[#This Row],[Delivery Date]],_xlfn.XLOOKUP(JU$1,$BH$2:$BR$2,$BH132:$BR132,0),0)</f>
        <v>0</v>
      </c>
      <c r="JV132" s="26">
        <f>IF(JV$2=InputTable[[#This Row],[Delivery Date]],_xlfn.XLOOKUP(JV$1,$BH$2:$BR$2,$BH132:$BR132,0),0)</f>
        <v>0</v>
      </c>
      <c r="JX132" s="26" t="e">
        <f>IF(JX$2=InputTable[[#This Row],[Delivery Date]],_xlfn.XLOOKUP(JX$1,$BH$2:$BR$2,$BH132:$BR132,0),0)</f>
        <v>#REF!</v>
      </c>
      <c r="JY132" s="26">
        <f>IF(JY$2=InputTable[[#This Row],[Delivery Date]],_xlfn.XLOOKUP(JY$1,$BH$2:$BR$2,$BH132:$BR132,0),0)</f>
        <v>0</v>
      </c>
      <c r="JZ132" s="26">
        <f>IF(JZ$2=InputTable[[#This Row],[Delivery Date]],_xlfn.XLOOKUP(JZ$1,$BH$2:$BR$2,$BH132:$BR132,0),0)</f>
        <v>0</v>
      </c>
      <c r="KA132" s="26">
        <f>IF(KA$2=InputTable[[#This Row],[Delivery Date]],_xlfn.XLOOKUP(KA$1,$BH$2:$BR$2,$BH132:$BR132,0),0)</f>
        <v>0</v>
      </c>
      <c r="KB132" s="26">
        <f>IF(KB$2=InputTable[[#This Row],[Delivery Date]],_xlfn.XLOOKUP(KB$1,$BH$2:$BR$2,$BH132:$BR132,0),0)</f>
        <v>0</v>
      </c>
      <c r="KC132" s="26">
        <f>IF(KC$2=InputTable[[#This Row],[Delivery Date]],_xlfn.XLOOKUP(KC$1,$BH$2:$BR$2,$BH132:$BR132,0),0)</f>
        <v>0</v>
      </c>
      <c r="KD132" s="26">
        <f>IF(KD$2=InputTable[[#This Row],[Delivery Date]],_xlfn.XLOOKUP(KD$1,$BH$2:$BR$2,$BH132:$BR132,0),0)</f>
        <v>0</v>
      </c>
      <c r="KE132" s="26">
        <f>IF(KE$2=InputTable[[#This Row],[Delivery Date]],_xlfn.XLOOKUP(KE$1,$BH$2:$BR$2,$BH132:$BR132,0),0)</f>
        <v>0</v>
      </c>
      <c r="KF132" s="26">
        <f>IF(KF$2=InputTable[[#This Row],[Delivery Date]],_xlfn.XLOOKUP(KF$1,$BH$2:$BR$2,$BH132:$BR132,0),0)</f>
        <v>0</v>
      </c>
    </row>
    <row r="133" spans="1:292" ht="17.399999999999999" x14ac:dyDescent="0.25">
      <c r="A133" s="141"/>
      <c r="B133" s="141"/>
      <c r="C133" s="92"/>
      <c r="D133" s="92"/>
      <c r="E133" s="93"/>
      <c r="F133" s="92"/>
      <c r="G133" s="92"/>
      <c r="H133" s="92"/>
      <c r="I133" s="92"/>
      <c r="J133" s="122"/>
      <c r="K133" s="95" t="e">
        <f>VLOOKUP((InputTable[[#This Row],[Starting Date]]&amp; " - " &amp;InputTable[[#This Row],[Delivery Date]]),'System List'!$F$40:$H$83,2,FALSE)</f>
        <v>#N/A</v>
      </c>
      <c r="L133" s="95" t="e">
        <f>VLOOKUP(InputTable[[#This Row],[Duration]],Duration,2,FALSE)</f>
        <v>#N/A</v>
      </c>
      <c r="M133" s="122"/>
      <c r="N133" s="92"/>
      <c r="O133" s="92"/>
      <c r="P133" s="92"/>
      <c r="Q133" s="92"/>
      <c r="R133" s="92"/>
      <c r="S133" s="92"/>
      <c r="T133" s="95"/>
      <c r="U133" s="138"/>
      <c r="V133" s="92"/>
      <c r="W133" s="92"/>
      <c r="X133" s="92"/>
      <c r="Y133" s="92"/>
      <c r="Z133" s="92"/>
      <c r="AA133" s="92"/>
      <c r="AB133" s="92"/>
      <c r="AC133" s="92"/>
      <c r="AD133" s="92">
        <f>COUNTA(InputTable[[#This Row],[CORPHRFIN]:[SALES]])</f>
        <v>0</v>
      </c>
      <c r="AE133" s="88" cm="1">
        <f t="array" ref="AE133">SUM(
_xlfn.XLOOKUP(InputTable[[#This Row],[CORPHRFIN]:[SALES]],'System List'!$F$4:$F$7,'System List'!$H$4:$H$7,0))</f>
        <v>0</v>
      </c>
      <c r="AF133" s="140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88" cm="1">
        <f t="array" ref="AR133">SUM(
_xlfn.XLOOKUP(InputTable[[#This Row],[Impact on - CIAL]:[Impact on - STRAT]],'System List'!$F$4:$F$7,'System List'!$H$4:$H$7,0))</f>
        <v>0</v>
      </c>
      <c r="AS133" s="88" t="e">
        <f>VLOOKUP(InputTable[[#This Row],[Duration]],Duration,2,FALSE)+InputTable[[#This Row],[Resource Score]]</f>
        <v>#N/A</v>
      </c>
      <c r="AT13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3" s="24" t="e">
        <f>InputTable[[#This Row],[Value Score]]/InputTable[[#This Row],[EFFORT SCORE]]*100</f>
        <v>#N/A</v>
      </c>
      <c r="AV133" s="25"/>
      <c r="AW133" s="25"/>
      <c r="AX133" s="208"/>
      <c r="AY133" s="25"/>
      <c r="AZ133" s="209">
        <v>0</v>
      </c>
      <c r="BA133" s="209">
        <v>0</v>
      </c>
      <c r="BB133" s="209"/>
      <c r="BC133" s="189"/>
      <c r="BD133" s="188"/>
      <c r="BE133" s="188"/>
      <c r="BF133" s="70"/>
      <c r="BH133" s="2">
        <f>IFERROR(VLOOKUP(InputTable[[#This Row],[Impact on - CIAL]],'System List'!$F$4:$H$7,3,FALSE),0)</f>
        <v>0</v>
      </c>
      <c r="BI133" s="2">
        <f>IFERROR(VLOOKUP(InputTable[[#This Row],[Impact on - COM]],'System List'!$F$4:$H$7,3,FALSE),0)</f>
        <v>0</v>
      </c>
      <c r="BJ133" s="2">
        <f>IFERROR(VLOOKUP(InputTable[[#This Row],[Impact on - FIN]],'System List'!$F$4:$H$7,3,FALSE),0)</f>
        <v>0</v>
      </c>
      <c r="BK133" s="2">
        <f>IFERROR(VLOOKUP(InputTable[[#This Row],[Impact on - GEN SEC]],'System List'!$F$4:$H$7,3,FALSE),0)</f>
        <v>0</v>
      </c>
      <c r="BL133" s="2">
        <f>IFERROR(VLOOKUP(InputTable[[#This Row],[Impact on - HR]],'System List'!$F$4:$H$7,3,FALSE),0)</f>
        <v>0</v>
      </c>
      <c r="BM133" s="2">
        <f>IFERROR(VLOOKUP(InputTable[[#This Row],[Impact on - IS]],'System List'!$F$4:$H$7,3,FALSE),0)</f>
        <v>0</v>
      </c>
      <c r="BN133" s="2">
        <f>IFERROR(VLOOKUP(InputTable[[#This Row],[Impact on - OPS]],'System List'!$F$4:$H$7,3,FALSE),0)</f>
        <v>0</v>
      </c>
      <c r="BO133" s="2">
        <f>IFERROR(VLOOKUP(InputTable[[#This Row],[Impact on - ROLL STOCK]],'System List'!$F$4:$H$7,3,FALSE),0)</f>
        <v>0</v>
      </c>
      <c r="BP133" s="2">
        <f>IFERROR(VLOOKUP(InputTable[[#This Row],[Impact on - SAFETY]],'System List'!$F$4:$H$7,3,FALSE),0)</f>
        <v>0</v>
      </c>
      <c r="BQ133" s="2">
        <f>IFERROR(VLOOKUP(InputTable[[#This Row],[Impact on - STATION]],'System List'!$F$4:$H$7,3,FALSE),0)</f>
        <v>0</v>
      </c>
      <c r="BR133" s="2">
        <f>IFERROR(VLOOKUP(InputTable[[#This Row],[Impact on - STRAT]],'System List'!$F$4:$H$7,3,FALSE),0)</f>
        <v>0</v>
      </c>
      <c r="BT133" s="2">
        <f>IFERROR(VLOOKUP(InputTable[[#This Row],[CORPHRFIN]],'System List'!$F$4:$H$7,3,FALSE),0)</f>
        <v>0</v>
      </c>
      <c r="BU133" s="2">
        <f>IFERROR(VLOOKUP(InputTable[[#This Row],[CUST]],'System List'!$F$4:$H$7,3,FALSE),0)</f>
        <v>0</v>
      </c>
      <c r="BV133" s="2">
        <f>IFERROR(VLOOKUP(InputTable[[#This Row],[CYBER]],'System List'!$F$4:$H$7,3,FALSE),0)</f>
        <v>0</v>
      </c>
      <c r="BW133" s="2">
        <f>IFERROR(VLOOKUP(InputTable[[#This Row],[DATA]],'System List'!$F$4:$H$7,3,FALSE),0)</f>
        <v>0</v>
      </c>
      <c r="BX133" s="2">
        <f>IFERROR(VLOOKUP(InputTable[[#This Row],[INFRA]],'System List'!$F$4:$H$7,3,FALSE),0)</f>
        <v>0</v>
      </c>
      <c r="BY133" s="2">
        <f>IFERROR(VLOOKUP(InputTable[[#This Row],[OPERATIONS]],'System List'!$F$4:$H$7,3,FALSE),0)</f>
        <v>0</v>
      </c>
      <c r="BZ133" s="2">
        <f>IFERROR(VLOOKUP(InputTable[[#This Row],[PMO]],'System List'!$F$4:$H$7,3,FALSE),0)</f>
        <v>0</v>
      </c>
      <c r="CA133" s="2">
        <f>IFERROR(VLOOKUP(InputTable[[#This Row],[SALES]],'System List'!$F$4:$H$7,3,FALSE),0)</f>
        <v>0</v>
      </c>
      <c r="CC133" s="2" cm="1">
        <f t="array" ref="CC13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3" s="2" cm="1">
        <f t="array" ref="CD13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3" s="2" cm="1">
        <f t="array" ref="CE13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3" s="2" cm="1">
        <f t="array" ref="CF13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3" s="2" cm="1">
        <f t="array" ref="CG13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3" s="2" cm="1">
        <f t="array" ref="CH13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3" s="2" cm="1">
        <f t="array" ref="CI13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3" s="2" cm="1">
        <f t="array" ref="CJ13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3" s="2" cm="1">
        <f t="array" ref="CK13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3" s="26">
        <f t="shared" si="307"/>
        <v>0</v>
      </c>
      <c r="CY133" s="26">
        <f t="shared" si="308"/>
        <v>0</v>
      </c>
      <c r="CZ133" s="26">
        <f t="shared" si="309"/>
        <v>0</v>
      </c>
      <c r="DA133" s="26">
        <f t="shared" si="310"/>
        <v>0</v>
      </c>
      <c r="DB133" s="26">
        <f t="shared" si="311"/>
        <v>0</v>
      </c>
      <c r="DC133" s="26">
        <f t="shared" si="312"/>
        <v>0</v>
      </c>
      <c r="DD133" s="26">
        <f t="shared" si="313"/>
        <v>0</v>
      </c>
      <c r="DE133" s="26">
        <f t="shared" si="314"/>
        <v>0</v>
      </c>
      <c r="DF133" s="26">
        <f t="shared" si="315"/>
        <v>0</v>
      </c>
      <c r="DH133" s="26">
        <f t="shared" si="316"/>
        <v>0</v>
      </c>
      <c r="DI133" s="26">
        <f t="shared" si="317"/>
        <v>0</v>
      </c>
      <c r="DJ133" s="26">
        <f t="shared" si="318"/>
        <v>0</v>
      </c>
      <c r="DK133" s="26">
        <f t="shared" si="319"/>
        <v>0</v>
      </c>
      <c r="DL133" s="26">
        <f t="shared" si="320"/>
        <v>0</v>
      </c>
      <c r="DM133" s="26">
        <f t="shared" si="321"/>
        <v>0</v>
      </c>
      <c r="DN133" s="26">
        <f t="shared" si="322"/>
        <v>0</v>
      </c>
      <c r="DO133" s="26">
        <f t="shared" si="323"/>
        <v>0</v>
      </c>
      <c r="DP133" s="26">
        <f t="shared" si="324"/>
        <v>0</v>
      </c>
      <c r="DR133" s="26">
        <f t="shared" si="325"/>
        <v>0</v>
      </c>
      <c r="DS133" s="26">
        <f t="shared" si="326"/>
        <v>0</v>
      </c>
      <c r="DT133" s="26">
        <f t="shared" si="327"/>
        <v>0</v>
      </c>
      <c r="DU133" s="26">
        <f t="shared" si="328"/>
        <v>0</v>
      </c>
      <c r="DV133" s="26">
        <f t="shared" si="329"/>
        <v>0</v>
      </c>
      <c r="DW133" s="26">
        <f t="shared" si="330"/>
        <v>0</v>
      </c>
      <c r="DX133" s="26">
        <f t="shared" si="331"/>
        <v>0</v>
      </c>
      <c r="DY133" s="26">
        <f t="shared" si="332"/>
        <v>0</v>
      </c>
      <c r="DZ133" s="26">
        <f t="shared" si="333"/>
        <v>0</v>
      </c>
      <c r="EB133" s="26">
        <f t="shared" si="334"/>
        <v>0</v>
      </c>
      <c r="EC133" s="26">
        <f t="shared" si="335"/>
        <v>0</v>
      </c>
      <c r="ED133" s="26">
        <f t="shared" si="336"/>
        <v>0</v>
      </c>
      <c r="EE133" s="26">
        <f t="shared" si="337"/>
        <v>0</v>
      </c>
      <c r="EF133" s="26">
        <f t="shared" si="338"/>
        <v>0</v>
      </c>
      <c r="EG133" s="26">
        <f t="shared" si="339"/>
        <v>0</v>
      </c>
      <c r="EH133" s="26">
        <f t="shared" si="340"/>
        <v>0</v>
      </c>
      <c r="EI133" s="26">
        <f t="shared" si="341"/>
        <v>0</v>
      </c>
      <c r="EJ133" s="26">
        <f t="shared" si="342"/>
        <v>0</v>
      </c>
      <c r="EL133" s="26">
        <f t="shared" si="343"/>
        <v>0</v>
      </c>
      <c r="EM133" s="26">
        <f t="shared" si="344"/>
        <v>0</v>
      </c>
      <c r="EN133" s="26">
        <f t="shared" si="345"/>
        <v>0</v>
      </c>
      <c r="EO133" s="26">
        <f t="shared" si="346"/>
        <v>0</v>
      </c>
      <c r="EP133" s="26">
        <f t="shared" si="347"/>
        <v>0</v>
      </c>
      <c r="EQ133" s="26">
        <f t="shared" si="348"/>
        <v>0</v>
      </c>
      <c r="ER133" s="26">
        <f t="shared" si="349"/>
        <v>0</v>
      </c>
      <c r="ES133" s="26">
        <f t="shared" si="350"/>
        <v>0</v>
      </c>
      <c r="ET133" s="26">
        <f t="shared" si="351"/>
        <v>0</v>
      </c>
      <c r="EV133" s="26">
        <f t="shared" si="352"/>
        <v>0</v>
      </c>
      <c r="EW133" s="26">
        <f t="shared" si="353"/>
        <v>0</v>
      </c>
      <c r="EX133" s="26">
        <f t="shared" si="354"/>
        <v>0</v>
      </c>
      <c r="EY133" s="26">
        <f t="shared" si="355"/>
        <v>0</v>
      </c>
      <c r="EZ133" s="26">
        <f t="shared" si="356"/>
        <v>0</v>
      </c>
      <c r="FA133" s="26">
        <f t="shared" si="357"/>
        <v>0</v>
      </c>
      <c r="FB133" s="26">
        <f t="shared" si="358"/>
        <v>0</v>
      </c>
      <c r="FC133" s="26">
        <f t="shared" si="359"/>
        <v>0</v>
      </c>
      <c r="FD133" s="26">
        <f t="shared" si="360"/>
        <v>0</v>
      </c>
      <c r="FF133" s="26">
        <f t="shared" si="361"/>
        <v>0</v>
      </c>
      <c r="FG133" s="26">
        <f t="shared" si="362"/>
        <v>0</v>
      </c>
      <c r="FH133" s="26">
        <f t="shared" si="363"/>
        <v>0</v>
      </c>
      <c r="FI133" s="26">
        <f t="shared" si="364"/>
        <v>0</v>
      </c>
      <c r="FJ133" s="26">
        <f t="shared" si="365"/>
        <v>0</v>
      </c>
      <c r="FK133" s="26">
        <f t="shared" si="366"/>
        <v>0</v>
      </c>
      <c r="FL133" s="26">
        <f t="shared" si="367"/>
        <v>0</v>
      </c>
      <c r="FM133" s="26">
        <f t="shared" si="368"/>
        <v>0</v>
      </c>
      <c r="FN133" s="26">
        <f t="shared" si="369"/>
        <v>0</v>
      </c>
      <c r="FP133" s="26" t="e">
        <f t="shared" si="370"/>
        <v>#REF!</v>
      </c>
      <c r="FQ133" s="26" t="e">
        <f t="shared" si="371"/>
        <v>#REF!</v>
      </c>
      <c r="FR133" s="26" t="e">
        <f t="shared" si="372"/>
        <v>#REF!</v>
      </c>
      <c r="FS133" s="26" t="e">
        <f t="shared" si="373"/>
        <v>#REF!</v>
      </c>
      <c r="FT133" s="26" t="e">
        <f t="shared" si="374"/>
        <v>#REF!</v>
      </c>
      <c r="FU133" s="26" t="e">
        <f t="shared" si="375"/>
        <v>#REF!</v>
      </c>
      <c r="FV133" s="26" t="e">
        <f t="shared" si="376"/>
        <v>#REF!</v>
      </c>
      <c r="FW133" s="26" t="e">
        <f t="shared" si="377"/>
        <v>#REF!</v>
      </c>
      <c r="FX133" s="26" t="e">
        <f t="shared" si="378"/>
        <v>#REF!</v>
      </c>
      <c r="GB133" s="26" t="e">
        <f>IF(GB$2=InputTable[[#This Row],[Delivery Date]],_xlfn.XLOOKUP(GB$1,$BH$2:$BR$2,$BH133:$BR133,0),0)</f>
        <v>#REF!</v>
      </c>
      <c r="GC133" s="26">
        <f>IF(GC$2=InputTable[[#This Row],[Delivery Date]],_xlfn.XLOOKUP(GC$1,$BH$2:$BR$2,$BH133:$BR133,0),0)</f>
        <v>0</v>
      </c>
      <c r="GD133" s="26">
        <f>IF(GD$2=InputTable[[#This Row],[Delivery Date]],_xlfn.XLOOKUP(GD$1,$BH$2:$BR$2,$BH133:$BR133,0),0)</f>
        <v>0</v>
      </c>
      <c r="GE133" s="26">
        <f>IF(GE$2=InputTable[[#This Row],[Delivery Date]],_xlfn.XLOOKUP(GE$1,$BH$2:$BR$2,$BH133:$BR133,0),0)</f>
        <v>0</v>
      </c>
      <c r="GF133" s="26">
        <f>IF(GF$2=InputTable[[#This Row],[Delivery Date]],_xlfn.XLOOKUP(GF$1,$BH$2:$BR$2,$BH133:$BR133,0),0)</f>
        <v>0</v>
      </c>
      <c r="GG133" s="26">
        <f>IF(GG$2=InputTable[[#This Row],[Delivery Date]],_xlfn.XLOOKUP(GG$1,$BH$2:$BR$2,$BH133:$BR133,0),0)</f>
        <v>0</v>
      </c>
      <c r="GH133" s="26">
        <f>IF(GH$2=InputTable[[#This Row],[Delivery Date]],_xlfn.XLOOKUP(GH$1,$BH$2:$BR$2,$BH133:$BR133,0),0)</f>
        <v>0</v>
      </c>
      <c r="GI133" s="26">
        <f>IF(GI$2=InputTable[[#This Row],[Delivery Date]],_xlfn.XLOOKUP(GI$1,$BH$2:$BR$2,$BH133:$BR133,0),0)</f>
        <v>0</v>
      </c>
      <c r="GJ133" s="26">
        <f>IF(GJ$2=InputTable[[#This Row],[Delivery Date]],_xlfn.XLOOKUP(GJ$1,$BH$2:$BR$2,$BH133:$BR133,0),0)</f>
        <v>0</v>
      </c>
      <c r="GL133" s="26" t="e">
        <f>IF(GL$2=InputTable[[#This Row],[Delivery Date]],_xlfn.XLOOKUP(GL$1,$BH$2:$BR$2,$BH133:$BR133,0),0)</f>
        <v>#REF!</v>
      </c>
      <c r="GM133" s="26">
        <f>IF(GM$2=InputTable[[#This Row],[Delivery Date]],_xlfn.XLOOKUP(GM$1,$BH$2:$BR$2,$BH133:$BR133,0),0)</f>
        <v>0</v>
      </c>
      <c r="GN133" s="26">
        <f>IF(GN$2=InputTable[[#This Row],[Delivery Date]],_xlfn.XLOOKUP(GN$1,$BH$2:$BR$2,$BH133:$BR133,0),0)</f>
        <v>0</v>
      </c>
      <c r="GO133" s="26">
        <f>IF(GO$2=InputTable[[#This Row],[Delivery Date]],_xlfn.XLOOKUP(GO$1,$BH$2:$BR$2,$BH133:$BR133,0),0)</f>
        <v>0</v>
      </c>
      <c r="GP133" s="26">
        <f>IF(GP$2=InputTable[[#This Row],[Delivery Date]],_xlfn.XLOOKUP(GP$1,$BH$2:$BR$2,$BH133:$BR133,0),0)</f>
        <v>0</v>
      </c>
      <c r="GQ133" s="26">
        <f>IF(GQ$2=InputTable[[#This Row],[Delivery Date]],_xlfn.XLOOKUP(GQ$1,$BH$2:$BR$2,$BH133:$BR133,0),0)</f>
        <v>0</v>
      </c>
      <c r="GR133" s="26">
        <f>IF(GR$2=InputTable[[#This Row],[Delivery Date]],_xlfn.XLOOKUP(GR$1,$BH$2:$BR$2,$BH133:$BR133,0),0)</f>
        <v>0</v>
      </c>
      <c r="GS133" s="26">
        <f>IF(GS$2=InputTable[[#This Row],[Delivery Date]],_xlfn.XLOOKUP(GS$1,$BH$2:$BR$2,$BH133:$BR133,0),0)</f>
        <v>0</v>
      </c>
      <c r="GT133" s="26">
        <f>IF(GT$2=InputTable[[#This Row],[Delivery Date]],_xlfn.XLOOKUP(GT$1,$BH$2:$BR$2,$BH133:$BR133,0),0)</f>
        <v>0</v>
      </c>
      <c r="GV133" s="26" t="e">
        <f>IF(GV$2=InputTable[[#This Row],[Delivery Date]],_xlfn.XLOOKUP(GV$1,$BH$2:$BR$2,$BH133:$BR133,0),0)</f>
        <v>#REF!</v>
      </c>
      <c r="GW133" s="26">
        <f>IF(GW$2=InputTable[[#This Row],[Delivery Date]],_xlfn.XLOOKUP(GW$1,$BH$2:$BR$2,$BH133:$BR133,0),0)</f>
        <v>0</v>
      </c>
      <c r="GX133" s="26">
        <f>IF(GX$2=InputTable[[#This Row],[Delivery Date]],_xlfn.XLOOKUP(GX$1,$BH$2:$BR$2,$BH133:$BR133,0),0)</f>
        <v>0</v>
      </c>
      <c r="GY133" s="26">
        <f>IF(GY$2=InputTable[[#This Row],[Delivery Date]],_xlfn.XLOOKUP(GY$1,$BH$2:$BR$2,$BH133:$BR133,0),0)</f>
        <v>0</v>
      </c>
      <c r="GZ133" s="26">
        <f>IF(GZ$2=InputTable[[#This Row],[Delivery Date]],_xlfn.XLOOKUP(GZ$1,$BH$2:$BR$2,$BH133:$BR133,0),0)</f>
        <v>0</v>
      </c>
      <c r="HA133" s="26">
        <f>IF(HA$2=InputTable[[#This Row],[Delivery Date]],_xlfn.XLOOKUP(HA$1,$BH$2:$BR$2,$BH133:$BR133,0),0)</f>
        <v>0</v>
      </c>
      <c r="HB133" s="26">
        <f>IF(HB$2=InputTable[[#This Row],[Delivery Date]],_xlfn.XLOOKUP(HB$1,$BH$2:$BR$2,$BH133:$BR133,0),0)</f>
        <v>0</v>
      </c>
      <c r="HC133" s="26">
        <f>IF(HC$2=InputTable[[#This Row],[Delivery Date]],_xlfn.XLOOKUP(HC$1,$BH$2:$BR$2,$BH133:$BR133,0),0)</f>
        <v>0</v>
      </c>
      <c r="HD133" s="26">
        <f>IF(HD$2=InputTable[[#This Row],[Delivery Date]],_xlfn.XLOOKUP(HD$1,$BH$2:$BR$2,$BH133:$BR133,0),0)</f>
        <v>0</v>
      </c>
      <c r="HF133" s="26" t="e">
        <f>IF(HF$2=InputTable[[#This Row],[Delivery Date]],_xlfn.XLOOKUP(HF$1,$BH$2:$BR$2,$BH133:$BR133,0),0)</f>
        <v>#REF!</v>
      </c>
      <c r="HG133" s="26">
        <f>IF(HG$2=InputTable[[#This Row],[Delivery Date]],_xlfn.XLOOKUP(HG$1,$BH$2:$BR$2,$BH133:$BR133,0),0)</f>
        <v>0</v>
      </c>
      <c r="HH133" s="26">
        <f>IF(HH$2=InputTable[[#This Row],[Delivery Date]],_xlfn.XLOOKUP(HH$1,$BH$2:$BR$2,$BH133:$BR133,0),0)</f>
        <v>0</v>
      </c>
      <c r="HI133" s="26">
        <f>IF(HI$2=InputTable[[#This Row],[Delivery Date]],_xlfn.XLOOKUP(HI$1,$BH$2:$BR$2,$BH133:$BR133,0),0)</f>
        <v>0</v>
      </c>
      <c r="HJ133" s="26">
        <f>IF(HJ$2=InputTable[[#This Row],[Delivery Date]],_xlfn.XLOOKUP(HJ$1,$BH$2:$BR$2,$BH133:$BR133,0),0)</f>
        <v>0</v>
      </c>
      <c r="HK133" s="26">
        <f>IF(HK$2=InputTable[[#This Row],[Delivery Date]],_xlfn.XLOOKUP(HK$1,$BH$2:$BR$2,$BH133:$BR133,0),0)</f>
        <v>0</v>
      </c>
      <c r="HL133" s="26">
        <f>IF(HL$2=InputTable[[#This Row],[Delivery Date]],_xlfn.XLOOKUP(HL$1,$BH$2:$BR$2,$BH133:$BR133,0),0)</f>
        <v>0</v>
      </c>
      <c r="HM133" s="26">
        <f>IF(HM$2=InputTable[[#This Row],[Delivery Date]],_xlfn.XLOOKUP(HM$1,$BH$2:$BR$2,$BH133:$BR133,0),0)</f>
        <v>0</v>
      </c>
      <c r="HN133" s="26">
        <f>IF(HN$2=InputTable[[#This Row],[Delivery Date]],_xlfn.XLOOKUP(HN$1,$BH$2:$BR$2,$BH133:$BR133,0),0)</f>
        <v>0</v>
      </c>
      <c r="HP133" s="26" t="e">
        <f>IF(HP$2=InputTable[[#This Row],[Delivery Date]],_xlfn.XLOOKUP(HP$1,$BH$2:$BR$2,$BH133:$BR133,0),0)</f>
        <v>#REF!</v>
      </c>
      <c r="HQ133" s="26">
        <f>IF(HQ$2=InputTable[[#This Row],[Delivery Date]],_xlfn.XLOOKUP(HQ$1,$BH$2:$BR$2,$BH133:$BR133,0),0)</f>
        <v>0</v>
      </c>
      <c r="HR133" s="26">
        <f>IF(HR$2=InputTable[[#This Row],[Delivery Date]],_xlfn.XLOOKUP(HR$1,$BH$2:$BR$2,$BH133:$BR133,0),0)</f>
        <v>0</v>
      </c>
      <c r="HS133" s="26">
        <f>IF(HS$2=InputTable[[#This Row],[Delivery Date]],_xlfn.XLOOKUP(HS$1,$BH$2:$BR$2,$BH133:$BR133,0),0)</f>
        <v>0</v>
      </c>
      <c r="HT133" s="26">
        <f>IF(HT$2=InputTable[[#This Row],[Delivery Date]],_xlfn.XLOOKUP(HT$1,$BH$2:$BR$2,$BH133:$BR133,0),0)</f>
        <v>0</v>
      </c>
      <c r="HU133" s="26">
        <f>IF(HU$2=InputTable[[#This Row],[Delivery Date]],_xlfn.XLOOKUP(HU$1,$BH$2:$BR$2,$BH133:$BR133,0),0)</f>
        <v>0</v>
      </c>
      <c r="HV133" s="26">
        <f>IF(HV$2=InputTable[[#This Row],[Delivery Date]],_xlfn.XLOOKUP(HV$1,$BH$2:$BR$2,$BH133:$BR133,0),0)</f>
        <v>0</v>
      </c>
      <c r="HW133" s="26">
        <f>IF(HW$2=InputTable[[#This Row],[Delivery Date]],_xlfn.XLOOKUP(HW$1,$BH$2:$BR$2,$BH133:$BR133,0),0)</f>
        <v>0</v>
      </c>
      <c r="HX133" s="26">
        <f>IF(HX$2=InputTable[[#This Row],[Delivery Date]],_xlfn.XLOOKUP(HX$1,$BH$2:$BR$2,$BH133:$BR133,0),0)</f>
        <v>0</v>
      </c>
      <c r="HZ133" s="26" t="e">
        <f>IF(HZ$2=InputTable[[#This Row],[Delivery Date]],_xlfn.XLOOKUP(HZ$1,$BH$2:$BR$2,$BH133:$BR133,0),0)</f>
        <v>#REF!</v>
      </c>
      <c r="IA133" s="26">
        <f>IF(IA$2=InputTable[[#This Row],[Delivery Date]],_xlfn.XLOOKUP(IA$1,$BH$2:$BR$2,$BH133:$BR133,0),0)</f>
        <v>0</v>
      </c>
      <c r="IB133" s="26">
        <f>IF(IB$2=InputTable[[#This Row],[Delivery Date]],_xlfn.XLOOKUP(IB$1,$BH$2:$BR$2,$BH133:$BR133,0),0)</f>
        <v>0</v>
      </c>
      <c r="IC133" s="26">
        <f>IF(IC$2=InputTable[[#This Row],[Delivery Date]],_xlfn.XLOOKUP(IC$1,$BH$2:$BR$2,$BH133:$BR133,0),0)</f>
        <v>0</v>
      </c>
      <c r="ID133" s="26">
        <f>IF(ID$2=InputTable[[#This Row],[Delivery Date]],_xlfn.XLOOKUP(ID$1,$BH$2:$BR$2,$BH133:$BR133,0),0)</f>
        <v>0</v>
      </c>
      <c r="IE133" s="26">
        <f>IF(IE$2=InputTable[[#This Row],[Delivery Date]],_xlfn.XLOOKUP(IE$1,$BH$2:$BR$2,$BH133:$BR133,0),0)</f>
        <v>0</v>
      </c>
      <c r="IF133" s="26">
        <f>IF(IF$2=InputTable[[#This Row],[Delivery Date]],_xlfn.XLOOKUP(IF$1,$BH$2:$BR$2,$BH133:$BR133,0),0)</f>
        <v>0</v>
      </c>
      <c r="IG133" s="26">
        <f>IF(IG$2=InputTable[[#This Row],[Delivery Date]],_xlfn.XLOOKUP(IG$1,$BH$2:$BR$2,$BH133:$BR133,0),0)</f>
        <v>0</v>
      </c>
      <c r="IH133" s="26">
        <f>IF(IH$2=InputTable[[#This Row],[Delivery Date]],_xlfn.XLOOKUP(IH$1,$BH$2:$BR$2,$BH133:$BR133,0),0)</f>
        <v>0</v>
      </c>
      <c r="IJ133" s="26" t="e">
        <f>IF(IJ$2=InputTable[[#This Row],[Delivery Date]],_xlfn.XLOOKUP(IJ$1,$BH$2:$BR$2,$BH133:$BR133,0),0)</f>
        <v>#REF!</v>
      </c>
      <c r="IK133" s="26">
        <f>IF(IK$2=InputTable[[#This Row],[Delivery Date]],_xlfn.XLOOKUP(IK$1,$BH$2:$BR$2,$BH133:$BR133,0),0)</f>
        <v>0</v>
      </c>
      <c r="IL133" s="26">
        <f>IF(IL$2=InputTable[[#This Row],[Delivery Date]],_xlfn.XLOOKUP(IL$1,$BH$2:$BR$2,$BH133:$BR133,0),0)</f>
        <v>0</v>
      </c>
      <c r="IM133" s="26">
        <f>IF(IM$2=InputTable[[#This Row],[Delivery Date]],_xlfn.XLOOKUP(IM$1,$BH$2:$BR$2,$BH133:$BR133,0),0)</f>
        <v>0</v>
      </c>
      <c r="IN133" s="26">
        <f>IF(IN$2=InputTable[[#This Row],[Delivery Date]],_xlfn.XLOOKUP(IN$1,$BH$2:$BR$2,$BH133:$BR133,0),0)</f>
        <v>0</v>
      </c>
      <c r="IO133" s="26">
        <f>IF(IO$2=InputTable[[#This Row],[Delivery Date]],_xlfn.XLOOKUP(IO$1,$BH$2:$BR$2,$BH133:$BR133,0),0)</f>
        <v>0</v>
      </c>
      <c r="IP133" s="26">
        <f>IF(IP$2=InputTable[[#This Row],[Delivery Date]],_xlfn.XLOOKUP(IP$1,$BH$2:$BR$2,$BH133:$BR133,0),0)</f>
        <v>0</v>
      </c>
      <c r="IQ133" s="26">
        <f>IF(IQ$2=InputTable[[#This Row],[Delivery Date]],_xlfn.XLOOKUP(IQ$1,$BH$2:$BR$2,$BH133:$BR133,0),0)</f>
        <v>0</v>
      </c>
      <c r="IR133" s="26">
        <f>IF(IR$2=InputTable[[#This Row],[Delivery Date]],_xlfn.XLOOKUP(IR$1,$BH$2:$BR$2,$BH133:$BR133,0),0)</f>
        <v>0</v>
      </c>
      <c r="IT133" s="26" t="e">
        <f>IF(IT$2=InputTable[[#This Row],[Delivery Date]],_xlfn.XLOOKUP(IT$1,$BH$2:$BR$2,$BH133:$BR133,0),0)</f>
        <v>#REF!</v>
      </c>
      <c r="IU133" s="26">
        <f>IF(IU$2=InputTable[[#This Row],[Delivery Date]],_xlfn.XLOOKUP(IU$1,$BH$2:$BR$2,$BH133:$BR133,0),0)</f>
        <v>0</v>
      </c>
      <c r="IV133" s="26">
        <f>IF(IV$2=InputTable[[#This Row],[Delivery Date]],_xlfn.XLOOKUP(IV$1,$BH$2:$BR$2,$BH133:$BR133,0),0)</f>
        <v>0</v>
      </c>
      <c r="IW133" s="26">
        <f>IF(IW$2=InputTable[[#This Row],[Delivery Date]],_xlfn.XLOOKUP(IW$1,$BH$2:$BR$2,$BH133:$BR133,0),0)</f>
        <v>0</v>
      </c>
      <c r="IX133" s="26">
        <f>IF(IX$2=InputTable[[#This Row],[Delivery Date]],_xlfn.XLOOKUP(IX$1,$BH$2:$BR$2,$BH133:$BR133,0),0)</f>
        <v>0</v>
      </c>
      <c r="IY133" s="26">
        <f>IF(IY$2=InputTable[[#This Row],[Delivery Date]],_xlfn.XLOOKUP(IY$1,$BH$2:$BR$2,$BH133:$BR133,0),0)</f>
        <v>0</v>
      </c>
      <c r="IZ133" s="26">
        <f>IF(IZ$2=InputTable[[#This Row],[Delivery Date]],_xlfn.XLOOKUP(IZ$1,$BH$2:$BR$2,$BH133:$BR133,0),0)</f>
        <v>0</v>
      </c>
      <c r="JA133" s="26">
        <f>IF(JA$2=InputTable[[#This Row],[Delivery Date]],_xlfn.XLOOKUP(JA$1,$BH$2:$BR$2,$BH133:$BR133,0),0)</f>
        <v>0</v>
      </c>
      <c r="JB133" s="26">
        <f>IF(JB$2=InputTable[[#This Row],[Delivery Date]],_xlfn.XLOOKUP(JB$1,$BH$2:$BR$2,$BH133:$BR133,0),0)</f>
        <v>0</v>
      </c>
      <c r="JD133" s="26" t="e">
        <f>IF(JD$2=InputTable[[#This Row],[Delivery Date]],_xlfn.XLOOKUP(JD$1,$BH$2:$BR$2,$BH133:$BR133,0),0)</f>
        <v>#REF!</v>
      </c>
      <c r="JE133" s="26">
        <f>IF(JE$2=InputTable[[#This Row],[Delivery Date]],_xlfn.XLOOKUP(JE$1,$BH$2:$BR$2,$BH133:$BR133,0),0)</f>
        <v>0</v>
      </c>
      <c r="JF133" s="26">
        <f>IF(JF$2=InputTable[[#This Row],[Delivery Date]],_xlfn.XLOOKUP(JF$1,$BH$2:$BR$2,$BH133:$BR133,0),0)</f>
        <v>0</v>
      </c>
      <c r="JG133" s="26">
        <f>IF(JG$2=InputTable[[#This Row],[Delivery Date]],_xlfn.XLOOKUP(JG$1,$BH$2:$BR$2,$BH133:$BR133,0),0)</f>
        <v>0</v>
      </c>
      <c r="JH133" s="26">
        <f>IF(JH$2=InputTable[[#This Row],[Delivery Date]],_xlfn.XLOOKUP(JH$1,$BH$2:$BR$2,$BH133:$BR133,0),0)</f>
        <v>0</v>
      </c>
      <c r="JI133" s="26">
        <f>IF(JI$2=InputTable[[#This Row],[Delivery Date]],_xlfn.XLOOKUP(JI$1,$BH$2:$BR$2,$BH133:$BR133,0),0)</f>
        <v>0</v>
      </c>
      <c r="JJ133" s="26">
        <f>IF(JJ$2=InputTable[[#This Row],[Delivery Date]],_xlfn.XLOOKUP(JJ$1,$BH$2:$BR$2,$BH133:$BR133,0),0)</f>
        <v>0</v>
      </c>
      <c r="JK133" s="26">
        <f>IF(JK$2=InputTable[[#This Row],[Delivery Date]],_xlfn.XLOOKUP(JK$1,$BH$2:$BR$2,$BH133:$BR133,0),0)</f>
        <v>0</v>
      </c>
      <c r="JL133" s="26">
        <f>IF(JL$2=InputTable[[#This Row],[Delivery Date]],_xlfn.XLOOKUP(JL$1,$BH$2:$BR$2,$BH133:$BR133,0),0)</f>
        <v>0</v>
      </c>
      <c r="JN133" s="26" t="e">
        <f>IF(JN$2=InputTable[[#This Row],[Delivery Date]],_xlfn.XLOOKUP(JN$1,$BH$2:$BR$2,$BH133:$BR133,0),0)</f>
        <v>#REF!</v>
      </c>
      <c r="JO133" s="26">
        <f>IF(JO$2=InputTable[[#This Row],[Delivery Date]],_xlfn.XLOOKUP(JO$1,$BH$2:$BR$2,$BH133:$BR133,0),0)</f>
        <v>0</v>
      </c>
      <c r="JP133" s="26">
        <f>IF(JP$2=InputTable[[#This Row],[Delivery Date]],_xlfn.XLOOKUP(JP$1,$BH$2:$BR$2,$BH133:$BR133,0),0)</f>
        <v>0</v>
      </c>
      <c r="JQ133" s="26">
        <f>IF(JQ$2=InputTable[[#This Row],[Delivery Date]],_xlfn.XLOOKUP(JQ$1,$BH$2:$BR$2,$BH133:$BR133,0),0)</f>
        <v>0</v>
      </c>
      <c r="JR133" s="26">
        <f>IF(JR$2=InputTable[[#This Row],[Delivery Date]],_xlfn.XLOOKUP(JR$1,$BH$2:$BR$2,$BH133:$BR133,0),0)</f>
        <v>0</v>
      </c>
      <c r="JS133" s="26">
        <f>IF(JS$2=InputTable[[#This Row],[Delivery Date]],_xlfn.XLOOKUP(JS$1,$BH$2:$BR$2,$BH133:$BR133,0),0)</f>
        <v>0</v>
      </c>
      <c r="JT133" s="26">
        <f>IF(JT$2=InputTable[[#This Row],[Delivery Date]],_xlfn.XLOOKUP(JT$1,$BH$2:$BR$2,$BH133:$BR133,0),0)</f>
        <v>0</v>
      </c>
      <c r="JU133" s="26">
        <f>IF(JU$2=InputTable[[#This Row],[Delivery Date]],_xlfn.XLOOKUP(JU$1,$BH$2:$BR$2,$BH133:$BR133,0),0)</f>
        <v>0</v>
      </c>
      <c r="JV133" s="26">
        <f>IF(JV$2=InputTable[[#This Row],[Delivery Date]],_xlfn.XLOOKUP(JV$1,$BH$2:$BR$2,$BH133:$BR133,0),0)</f>
        <v>0</v>
      </c>
      <c r="JX133" s="26" t="e">
        <f>IF(JX$2=InputTable[[#This Row],[Delivery Date]],_xlfn.XLOOKUP(JX$1,$BH$2:$BR$2,$BH133:$BR133,0),0)</f>
        <v>#REF!</v>
      </c>
      <c r="JY133" s="26">
        <f>IF(JY$2=InputTable[[#This Row],[Delivery Date]],_xlfn.XLOOKUP(JY$1,$BH$2:$BR$2,$BH133:$BR133,0),0)</f>
        <v>0</v>
      </c>
      <c r="JZ133" s="26">
        <f>IF(JZ$2=InputTable[[#This Row],[Delivery Date]],_xlfn.XLOOKUP(JZ$1,$BH$2:$BR$2,$BH133:$BR133,0),0)</f>
        <v>0</v>
      </c>
      <c r="KA133" s="26">
        <f>IF(KA$2=InputTable[[#This Row],[Delivery Date]],_xlfn.XLOOKUP(KA$1,$BH$2:$BR$2,$BH133:$BR133,0),0)</f>
        <v>0</v>
      </c>
      <c r="KB133" s="26">
        <f>IF(KB$2=InputTable[[#This Row],[Delivery Date]],_xlfn.XLOOKUP(KB$1,$BH$2:$BR$2,$BH133:$BR133,0),0)</f>
        <v>0</v>
      </c>
      <c r="KC133" s="26">
        <f>IF(KC$2=InputTable[[#This Row],[Delivery Date]],_xlfn.XLOOKUP(KC$1,$BH$2:$BR$2,$BH133:$BR133,0),0)</f>
        <v>0</v>
      </c>
      <c r="KD133" s="26">
        <f>IF(KD$2=InputTable[[#This Row],[Delivery Date]],_xlfn.XLOOKUP(KD$1,$BH$2:$BR$2,$BH133:$BR133,0),0)</f>
        <v>0</v>
      </c>
      <c r="KE133" s="26">
        <f>IF(KE$2=InputTable[[#This Row],[Delivery Date]],_xlfn.XLOOKUP(KE$1,$BH$2:$BR$2,$BH133:$BR133,0),0)</f>
        <v>0</v>
      </c>
      <c r="KF133" s="26">
        <f>IF(KF$2=InputTable[[#This Row],[Delivery Date]],_xlfn.XLOOKUP(KF$1,$BH$2:$BR$2,$BH133:$BR133,0),0)</f>
        <v>0</v>
      </c>
    </row>
    <row r="134" spans="1:292" ht="17.399999999999999" x14ac:dyDescent="0.25">
      <c r="A134" s="141"/>
      <c r="B134" s="141"/>
      <c r="C134" s="92"/>
      <c r="D134" s="92"/>
      <c r="E134" s="93"/>
      <c r="F134" s="92"/>
      <c r="G134" s="92"/>
      <c r="H134" s="92"/>
      <c r="I134" s="92"/>
      <c r="J134" s="122"/>
      <c r="K134" s="95" t="e">
        <f>VLOOKUP((InputTable[[#This Row],[Starting Date]]&amp; " - " &amp;InputTable[[#This Row],[Delivery Date]]),'System List'!$F$40:$H$83,2,FALSE)</f>
        <v>#N/A</v>
      </c>
      <c r="L134" s="95" t="e">
        <f>VLOOKUP(InputTable[[#This Row],[Duration]],Duration,2,FALSE)</f>
        <v>#N/A</v>
      </c>
      <c r="M134" s="122"/>
      <c r="N134" s="92"/>
      <c r="O134" s="92"/>
      <c r="P134" s="92"/>
      <c r="Q134" s="92"/>
      <c r="R134" s="92"/>
      <c r="S134" s="92"/>
      <c r="T134" s="95"/>
      <c r="U134" s="138"/>
      <c r="V134" s="92"/>
      <c r="W134" s="92"/>
      <c r="X134" s="92"/>
      <c r="Y134" s="92"/>
      <c r="Z134" s="92"/>
      <c r="AA134" s="92"/>
      <c r="AB134" s="92"/>
      <c r="AC134" s="92"/>
      <c r="AD134" s="92">
        <f>COUNTA(InputTable[[#This Row],[CORPHRFIN]:[SALES]])</f>
        <v>0</v>
      </c>
      <c r="AE134" s="88" cm="1">
        <f t="array" ref="AE134">SUM(
_xlfn.XLOOKUP(InputTable[[#This Row],[CORPHRFIN]:[SALES]],'System List'!$F$4:$F$7,'System List'!$H$4:$H$7,0))</f>
        <v>0</v>
      </c>
      <c r="AF134" s="140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88" cm="1">
        <f t="array" ref="AR134">SUM(
_xlfn.XLOOKUP(InputTable[[#This Row],[Impact on - CIAL]:[Impact on - STRAT]],'System List'!$F$4:$F$7,'System List'!$H$4:$H$7,0))</f>
        <v>0</v>
      </c>
      <c r="AS134" s="88" t="e">
        <f>VLOOKUP(InputTable[[#This Row],[Duration]],Duration,2,FALSE)+InputTable[[#This Row],[Resource Score]]</f>
        <v>#N/A</v>
      </c>
      <c r="AT13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4" s="24" t="e">
        <f>InputTable[[#This Row],[Value Score]]/InputTable[[#This Row],[EFFORT SCORE]]*100</f>
        <v>#N/A</v>
      </c>
      <c r="AV134" s="25"/>
      <c r="AW134" s="25"/>
      <c r="AX134" s="208"/>
      <c r="AY134" s="25"/>
      <c r="AZ134" s="209">
        <v>0</v>
      </c>
      <c r="BA134" s="209">
        <v>0</v>
      </c>
      <c r="BB134" s="209"/>
      <c r="BC134" s="189"/>
      <c r="BD134" s="188"/>
      <c r="BE134" s="188"/>
      <c r="BF134" s="70"/>
      <c r="BH134" s="2">
        <f>IFERROR(VLOOKUP(InputTable[[#This Row],[Impact on - CIAL]],'System List'!$F$4:$H$7,3,FALSE),0)</f>
        <v>0</v>
      </c>
      <c r="BI134" s="2">
        <f>IFERROR(VLOOKUP(InputTable[[#This Row],[Impact on - COM]],'System List'!$F$4:$H$7,3,FALSE),0)</f>
        <v>0</v>
      </c>
      <c r="BJ134" s="2">
        <f>IFERROR(VLOOKUP(InputTable[[#This Row],[Impact on - FIN]],'System List'!$F$4:$H$7,3,FALSE),0)</f>
        <v>0</v>
      </c>
      <c r="BK134" s="2">
        <f>IFERROR(VLOOKUP(InputTable[[#This Row],[Impact on - GEN SEC]],'System List'!$F$4:$H$7,3,FALSE),0)</f>
        <v>0</v>
      </c>
      <c r="BL134" s="2">
        <f>IFERROR(VLOOKUP(InputTable[[#This Row],[Impact on - HR]],'System List'!$F$4:$H$7,3,FALSE),0)</f>
        <v>0</v>
      </c>
      <c r="BM134" s="2">
        <f>IFERROR(VLOOKUP(InputTable[[#This Row],[Impact on - IS]],'System List'!$F$4:$H$7,3,FALSE),0)</f>
        <v>0</v>
      </c>
      <c r="BN134" s="2">
        <f>IFERROR(VLOOKUP(InputTable[[#This Row],[Impact on - OPS]],'System List'!$F$4:$H$7,3,FALSE),0)</f>
        <v>0</v>
      </c>
      <c r="BO134" s="2">
        <f>IFERROR(VLOOKUP(InputTable[[#This Row],[Impact on - ROLL STOCK]],'System List'!$F$4:$H$7,3,FALSE),0)</f>
        <v>0</v>
      </c>
      <c r="BP134" s="2">
        <f>IFERROR(VLOOKUP(InputTable[[#This Row],[Impact on - SAFETY]],'System List'!$F$4:$H$7,3,FALSE),0)</f>
        <v>0</v>
      </c>
      <c r="BQ134" s="2">
        <f>IFERROR(VLOOKUP(InputTable[[#This Row],[Impact on - STATION]],'System List'!$F$4:$H$7,3,FALSE),0)</f>
        <v>0</v>
      </c>
      <c r="BR134" s="2">
        <f>IFERROR(VLOOKUP(InputTable[[#This Row],[Impact on - STRAT]],'System List'!$F$4:$H$7,3,FALSE),0)</f>
        <v>0</v>
      </c>
      <c r="BT134" s="2">
        <f>IFERROR(VLOOKUP(InputTable[[#This Row],[CORPHRFIN]],'System List'!$F$4:$H$7,3,FALSE),0)</f>
        <v>0</v>
      </c>
      <c r="BU134" s="2">
        <f>IFERROR(VLOOKUP(InputTable[[#This Row],[CUST]],'System List'!$F$4:$H$7,3,FALSE),0)</f>
        <v>0</v>
      </c>
      <c r="BV134" s="2">
        <f>IFERROR(VLOOKUP(InputTable[[#This Row],[CYBER]],'System List'!$F$4:$H$7,3,FALSE),0)</f>
        <v>0</v>
      </c>
      <c r="BW134" s="2">
        <f>IFERROR(VLOOKUP(InputTable[[#This Row],[DATA]],'System List'!$F$4:$H$7,3,FALSE),0)</f>
        <v>0</v>
      </c>
      <c r="BX134" s="2">
        <f>IFERROR(VLOOKUP(InputTable[[#This Row],[INFRA]],'System List'!$F$4:$H$7,3,FALSE),0)</f>
        <v>0</v>
      </c>
      <c r="BY134" s="2">
        <f>IFERROR(VLOOKUP(InputTable[[#This Row],[OPERATIONS]],'System List'!$F$4:$H$7,3,FALSE),0)</f>
        <v>0</v>
      </c>
      <c r="BZ134" s="2">
        <f>IFERROR(VLOOKUP(InputTable[[#This Row],[PMO]],'System List'!$F$4:$H$7,3,FALSE),0)</f>
        <v>0</v>
      </c>
      <c r="CA134" s="2">
        <f>IFERROR(VLOOKUP(InputTable[[#This Row],[SALES]],'System List'!$F$4:$H$7,3,FALSE),0)</f>
        <v>0</v>
      </c>
      <c r="CC134" s="2" cm="1">
        <f t="array" ref="CC13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4" s="2" cm="1">
        <f t="array" ref="CD13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4" s="2" cm="1">
        <f t="array" ref="CE13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4" s="2" cm="1">
        <f t="array" ref="CF13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4" s="2" cm="1">
        <f t="array" ref="CG13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4" s="2" cm="1">
        <f t="array" ref="CH13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4" s="2" cm="1">
        <f t="array" ref="CI13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4" s="2" cm="1">
        <f t="array" ref="CJ13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4" s="2" cm="1">
        <f t="array" ref="CK13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4" s="26">
        <f t="shared" si="307"/>
        <v>0</v>
      </c>
      <c r="CY134" s="26">
        <f t="shared" si="308"/>
        <v>0</v>
      </c>
      <c r="CZ134" s="26">
        <f t="shared" si="309"/>
        <v>0</v>
      </c>
      <c r="DA134" s="26">
        <f t="shared" si="310"/>
        <v>0</v>
      </c>
      <c r="DB134" s="26">
        <f t="shared" si="311"/>
        <v>0</v>
      </c>
      <c r="DC134" s="26">
        <f t="shared" si="312"/>
        <v>0</v>
      </c>
      <c r="DD134" s="26">
        <f t="shared" si="313"/>
        <v>0</v>
      </c>
      <c r="DE134" s="26">
        <f t="shared" si="314"/>
        <v>0</v>
      </c>
      <c r="DF134" s="26">
        <f t="shared" si="315"/>
        <v>0</v>
      </c>
      <c r="DH134" s="26">
        <f t="shared" si="316"/>
        <v>0</v>
      </c>
      <c r="DI134" s="26">
        <f t="shared" si="317"/>
        <v>0</v>
      </c>
      <c r="DJ134" s="26">
        <f t="shared" si="318"/>
        <v>0</v>
      </c>
      <c r="DK134" s="26">
        <f t="shared" si="319"/>
        <v>0</v>
      </c>
      <c r="DL134" s="26">
        <f t="shared" si="320"/>
        <v>0</v>
      </c>
      <c r="DM134" s="26">
        <f t="shared" si="321"/>
        <v>0</v>
      </c>
      <c r="DN134" s="26">
        <f t="shared" si="322"/>
        <v>0</v>
      </c>
      <c r="DO134" s="26">
        <f t="shared" si="323"/>
        <v>0</v>
      </c>
      <c r="DP134" s="26">
        <f t="shared" si="324"/>
        <v>0</v>
      </c>
      <c r="DR134" s="26">
        <f t="shared" si="325"/>
        <v>0</v>
      </c>
      <c r="DS134" s="26">
        <f t="shared" si="326"/>
        <v>0</v>
      </c>
      <c r="DT134" s="26">
        <f t="shared" si="327"/>
        <v>0</v>
      </c>
      <c r="DU134" s="26">
        <f t="shared" si="328"/>
        <v>0</v>
      </c>
      <c r="DV134" s="26">
        <f t="shared" si="329"/>
        <v>0</v>
      </c>
      <c r="DW134" s="26">
        <f t="shared" si="330"/>
        <v>0</v>
      </c>
      <c r="DX134" s="26">
        <f t="shared" si="331"/>
        <v>0</v>
      </c>
      <c r="DY134" s="26">
        <f t="shared" si="332"/>
        <v>0</v>
      </c>
      <c r="DZ134" s="26">
        <f t="shared" si="333"/>
        <v>0</v>
      </c>
      <c r="EB134" s="26">
        <f t="shared" si="334"/>
        <v>0</v>
      </c>
      <c r="EC134" s="26">
        <f t="shared" si="335"/>
        <v>0</v>
      </c>
      <c r="ED134" s="26">
        <f t="shared" si="336"/>
        <v>0</v>
      </c>
      <c r="EE134" s="26">
        <f t="shared" si="337"/>
        <v>0</v>
      </c>
      <c r="EF134" s="26">
        <f t="shared" si="338"/>
        <v>0</v>
      </c>
      <c r="EG134" s="26">
        <f t="shared" si="339"/>
        <v>0</v>
      </c>
      <c r="EH134" s="26">
        <f t="shared" si="340"/>
        <v>0</v>
      </c>
      <c r="EI134" s="26">
        <f t="shared" si="341"/>
        <v>0</v>
      </c>
      <c r="EJ134" s="26">
        <f t="shared" si="342"/>
        <v>0</v>
      </c>
      <c r="EL134" s="26">
        <f t="shared" si="343"/>
        <v>0</v>
      </c>
      <c r="EM134" s="26">
        <f t="shared" si="344"/>
        <v>0</v>
      </c>
      <c r="EN134" s="26">
        <f t="shared" si="345"/>
        <v>0</v>
      </c>
      <c r="EO134" s="26">
        <f t="shared" si="346"/>
        <v>0</v>
      </c>
      <c r="EP134" s="26">
        <f t="shared" si="347"/>
        <v>0</v>
      </c>
      <c r="EQ134" s="26">
        <f t="shared" si="348"/>
        <v>0</v>
      </c>
      <c r="ER134" s="26">
        <f t="shared" si="349"/>
        <v>0</v>
      </c>
      <c r="ES134" s="26">
        <f t="shared" si="350"/>
        <v>0</v>
      </c>
      <c r="ET134" s="26">
        <f t="shared" si="351"/>
        <v>0</v>
      </c>
      <c r="EV134" s="26">
        <f t="shared" si="352"/>
        <v>0</v>
      </c>
      <c r="EW134" s="26">
        <f t="shared" si="353"/>
        <v>0</v>
      </c>
      <c r="EX134" s="26">
        <f t="shared" si="354"/>
        <v>0</v>
      </c>
      <c r="EY134" s="26">
        <f t="shared" si="355"/>
        <v>0</v>
      </c>
      <c r="EZ134" s="26">
        <f t="shared" si="356"/>
        <v>0</v>
      </c>
      <c r="FA134" s="26">
        <f t="shared" si="357"/>
        <v>0</v>
      </c>
      <c r="FB134" s="26">
        <f t="shared" si="358"/>
        <v>0</v>
      </c>
      <c r="FC134" s="26">
        <f t="shared" si="359"/>
        <v>0</v>
      </c>
      <c r="FD134" s="26">
        <f t="shared" si="360"/>
        <v>0</v>
      </c>
      <c r="FF134" s="26">
        <f t="shared" si="361"/>
        <v>0</v>
      </c>
      <c r="FG134" s="26">
        <f t="shared" si="362"/>
        <v>0</v>
      </c>
      <c r="FH134" s="26">
        <f t="shared" si="363"/>
        <v>0</v>
      </c>
      <c r="FI134" s="26">
        <f t="shared" si="364"/>
        <v>0</v>
      </c>
      <c r="FJ134" s="26">
        <f t="shared" si="365"/>
        <v>0</v>
      </c>
      <c r="FK134" s="26">
        <f t="shared" si="366"/>
        <v>0</v>
      </c>
      <c r="FL134" s="26">
        <f t="shared" si="367"/>
        <v>0</v>
      </c>
      <c r="FM134" s="26">
        <f t="shared" si="368"/>
        <v>0</v>
      </c>
      <c r="FN134" s="26">
        <f t="shared" si="369"/>
        <v>0</v>
      </c>
      <c r="FP134" s="26" t="e">
        <f t="shared" si="370"/>
        <v>#REF!</v>
      </c>
      <c r="FQ134" s="26" t="e">
        <f t="shared" si="371"/>
        <v>#REF!</v>
      </c>
      <c r="FR134" s="26" t="e">
        <f t="shared" si="372"/>
        <v>#REF!</v>
      </c>
      <c r="FS134" s="26" t="e">
        <f t="shared" si="373"/>
        <v>#REF!</v>
      </c>
      <c r="FT134" s="26" t="e">
        <f t="shared" si="374"/>
        <v>#REF!</v>
      </c>
      <c r="FU134" s="26" t="e">
        <f t="shared" si="375"/>
        <v>#REF!</v>
      </c>
      <c r="FV134" s="26" t="e">
        <f t="shared" si="376"/>
        <v>#REF!</v>
      </c>
      <c r="FW134" s="26" t="e">
        <f t="shared" si="377"/>
        <v>#REF!</v>
      </c>
      <c r="FX134" s="26" t="e">
        <f t="shared" si="378"/>
        <v>#REF!</v>
      </c>
      <c r="GB134" s="26" t="e">
        <f>IF(GB$2=InputTable[[#This Row],[Delivery Date]],_xlfn.XLOOKUP(GB$1,$BH$2:$BR$2,$BH134:$BR134,0),0)</f>
        <v>#REF!</v>
      </c>
      <c r="GC134" s="26">
        <f>IF(GC$2=InputTable[[#This Row],[Delivery Date]],_xlfn.XLOOKUP(GC$1,$BH$2:$BR$2,$BH134:$BR134,0),0)</f>
        <v>0</v>
      </c>
      <c r="GD134" s="26">
        <f>IF(GD$2=InputTable[[#This Row],[Delivery Date]],_xlfn.XLOOKUP(GD$1,$BH$2:$BR$2,$BH134:$BR134,0),0)</f>
        <v>0</v>
      </c>
      <c r="GE134" s="26">
        <f>IF(GE$2=InputTable[[#This Row],[Delivery Date]],_xlfn.XLOOKUP(GE$1,$BH$2:$BR$2,$BH134:$BR134,0),0)</f>
        <v>0</v>
      </c>
      <c r="GF134" s="26">
        <f>IF(GF$2=InputTable[[#This Row],[Delivery Date]],_xlfn.XLOOKUP(GF$1,$BH$2:$BR$2,$BH134:$BR134,0),0)</f>
        <v>0</v>
      </c>
      <c r="GG134" s="26">
        <f>IF(GG$2=InputTable[[#This Row],[Delivery Date]],_xlfn.XLOOKUP(GG$1,$BH$2:$BR$2,$BH134:$BR134,0),0)</f>
        <v>0</v>
      </c>
      <c r="GH134" s="26">
        <f>IF(GH$2=InputTable[[#This Row],[Delivery Date]],_xlfn.XLOOKUP(GH$1,$BH$2:$BR$2,$BH134:$BR134,0),0)</f>
        <v>0</v>
      </c>
      <c r="GI134" s="26">
        <f>IF(GI$2=InputTable[[#This Row],[Delivery Date]],_xlfn.XLOOKUP(GI$1,$BH$2:$BR$2,$BH134:$BR134,0),0)</f>
        <v>0</v>
      </c>
      <c r="GJ134" s="26">
        <f>IF(GJ$2=InputTable[[#This Row],[Delivery Date]],_xlfn.XLOOKUP(GJ$1,$BH$2:$BR$2,$BH134:$BR134,0),0)</f>
        <v>0</v>
      </c>
      <c r="GL134" s="26" t="e">
        <f>IF(GL$2=InputTable[[#This Row],[Delivery Date]],_xlfn.XLOOKUP(GL$1,$BH$2:$BR$2,$BH134:$BR134,0),0)</f>
        <v>#REF!</v>
      </c>
      <c r="GM134" s="26">
        <f>IF(GM$2=InputTable[[#This Row],[Delivery Date]],_xlfn.XLOOKUP(GM$1,$BH$2:$BR$2,$BH134:$BR134,0),0)</f>
        <v>0</v>
      </c>
      <c r="GN134" s="26">
        <f>IF(GN$2=InputTable[[#This Row],[Delivery Date]],_xlfn.XLOOKUP(GN$1,$BH$2:$BR$2,$BH134:$BR134,0),0)</f>
        <v>0</v>
      </c>
      <c r="GO134" s="26">
        <f>IF(GO$2=InputTable[[#This Row],[Delivery Date]],_xlfn.XLOOKUP(GO$1,$BH$2:$BR$2,$BH134:$BR134,0),0)</f>
        <v>0</v>
      </c>
      <c r="GP134" s="26">
        <f>IF(GP$2=InputTable[[#This Row],[Delivery Date]],_xlfn.XLOOKUP(GP$1,$BH$2:$BR$2,$BH134:$BR134,0),0)</f>
        <v>0</v>
      </c>
      <c r="GQ134" s="26">
        <f>IF(GQ$2=InputTable[[#This Row],[Delivery Date]],_xlfn.XLOOKUP(GQ$1,$BH$2:$BR$2,$BH134:$BR134,0),0)</f>
        <v>0</v>
      </c>
      <c r="GR134" s="26">
        <f>IF(GR$2=InputTable[[#This Row],[Delivery Date]],_xlfn.XLOOKUP(GR$1,$BH$2:$BR$2,$BH134:$BR134,0),0)</f>
        <v>0</v>
      </c>
      <c r="GS134" s="26">
        <f>IF(GS$2=InputTable[[#This Row],[Delivery Date]],_xlfn.XLOOKUP(GS$1,$BH$2:$BR$2,$BH134:$BR134,0),0)</f>
        <v>0</v>
      </c>
      <c r="GT134" s="26">
        <f>IF(GT$2=InputTable[[#This Row],[Delivery Date]],_xlfn.XLOOKUP(GT$1,$BH$2:$BR$2,$BH134:$BR134,0),0)</f>
        <v>0</v>
      </c>
      <c r="GV134" s="26" t="e">
        <f>IF(GV$2=InputTable[[#This Row],[Delivery Date]],_xlfn.XLOOKUP(GV$1,$BH$2:$BR$2,$BH134:$BR134,0),0)</f>
        <v>#REF!</v>
      </c>
      <c r="GW134" s="26">
        <f>IF(GW$2=InputTable[[#This Row],[Delivery Date]],_xlfn.XLOOKUP(GW$1,$BH$2:$BR$2,$BH134:$BR134,0),0)</f>
        <v>0</v>
      </c>
      <c r="GX134" s="26">
        <f>IF(GX$2=InputTable[[#This Row],[Delivery Date]],_xlfn.XLOOKUP(GX$1,$BH$2:$BR$2,$BH134:$BR134,0),0)</f>
        <v>0</v>
      </c>
      <c r="GY134" s="26">
        <f>IF(GY$2=InputTable[[#This Row],[Delivery Date]],_xlfn.XLOOKUP(GY$1,$BH$2:$BR$2,$BH134:$BR134,0),0)</f>
        <v>0</v>
      </c>
      <c r="GZ134" s="26">
        <f>IF(GZ$2=InputTable[[#This Row],[Delivery Date]],_xlfn.XLOOKUP(GZ$1,$BH$2:$BR$2,$BH134:$BR134,0),0)</f>
        <v>0</v>
      </c>
      <c r="HA134" s="26">
        <f>IF(HA$2=InputTable[[#This Row],[Delivery Date]],_xlfn.XLOOKUP(HA$1,$BH$2:$BR$2,$BH134:$BR134,0),0)</f>
        <v>0</v>
      </c>
      <c r="HB134" s="26">
        <f>IF(HB$2=InputTable[[#This Row],[Delivery Date]],_xlfn.XLOOKUP(HB$1,$BH$2:$BR$2,$BH134:$BR134,0),0)</f>
        <v>0</v>
      </c>
      <c r="HC134" s="26">
        <f>IF(HC$2=InputTable[[#This Row],[Delivery Date]],_xlfn.XLOOKUP(HC$1,$BH$2:$BR$2,$BH134:$BR134,0),0)</f>
        <v>0</v>
      </c>
      <c r="HD134" s="26">
        <f>IF(HD$2=InputTable[[#This Row],[Delivery Date]],_xlfn.XLOOKUP(HD$1,$BH$2:$BR$2,$BH134:$BR134,0),0)</f>
        <v>0</v>
      </c>
      <c r="HF134" s="26" t="e">
        <f>IF(HF$2=InputTable[[#This Row],[Delivery Date]],_xlfn.XLOOKUP(HF$1,$BH$2:$BR$2,$BH134:$BR134,0),0)</f>
        <v>#REF!</v>
      </c>
      <c r="HG134" s="26">
        <f>IF(HG$2=InputTable[[#This Row],[Delivery Date]],_xlfn.XLOOKUP(HG$1,$BH$2:$BR$2,$BH134:$BR134,0),0)</f>
        <v>0</v>
      </c>
      <c r="HH134" s="26">
        <f>IF(HH$2=InputTable[[#This Row],[Delivery Date]],_xlfn.XLOOKUP(HH$1,$BH$2:$BR$2,$BH134:$BR134,0),0)</f>
        <v>0</v>
      </c>
      <c r="HI134" s="26">
        <f>IF(HI$2=InputTable[[#This Row],[Delivery Date]],_xlfn.XLOOKUP(HI$1,$BH$2:$BR$2,$BH134:$BR134,0),0)</f>
        <v>0</v>
      </c>
      <c r="HJ134" s="26">
        <f>IF(HJ$2=InputTable[[#This Row],[Delivery Date]],_xlfn.XLOOKUP(HJ$1,$BH$2:$BR$2,$BH134:$BR134,0),0)</f>
        <v>0</v>
      </c>
      <c r="HK134" s="26">
        <f>IF(HK$2=InputTable[[#This Row],[Delivery Date]],_xlfn.XLOOKUP(HK$1,$BH$2:$BR$2,$BH134:$BR134,0),0)</f>
        <v>0</v>
      </c>
      <c r="HL134" s="26">
        <f>IF(HL$2=InputTable[[#This Row],[Delivery Date]],_xlfn.XLOOKUP(HL$1,$BH$2:$BR$2,$BH134:$BR134,0),0)</f>
        <v>0</v>
      </c>
      <c r="HM134" s="26">
        <f>IF(HM$2=InputTable[[#This Row],[Delivery Date]],_xlfn.XLOOKUP(HM$1,$BH$2:$BR$2,$BH134:$BR134,0),0)</f>
        <v>0</v>
      </c>
      <c r="HN134" s="26">
        <f>IF(HN$2=InputTable[[#This Row],[Delivery Date]],_xlfn.XLOOKUP(HN$1,$BH$2:$BR$2,$BH134:$BR134,0),0)</f>
        <v>0</v>
      </c>
      <c r="HP134" s="26" t="e">
        <f>IF(HP$2=InputTable[[#This Row],[Delivery Date]],_xlfn.XLOOKUP(HP$1,$BH$2:$BR$2,$BH134:$BR134,0),0)</f>
        <v>#REF!</v>
      </c>
      <c r="HQ134" s="26">
        <f>IF(HQ$2=InputTable[[#This Row],[Delivery Date]],_xlfn.XLOOKUP(HQ$1,$BH$2:$BR$2,$BH134:$BR134,0),0)</f>
        <v>0</v>
      </c>
      <c r="HR134" s="26">
        <f>IF(HR$2=InputTable[[#This Row],[Delivery Date]],_xlfn.XLOOKUP(HR$1,$BH$2:$BR$2,$BH134:$BR134,0),0)</f>
        <v>0</v>
      </c>
      <c r="HS134" s="26">
        <f>IF(HS$2=InputTable[[#This Row],[Delivery Date]],_xlfn.XLOOKUP(HS$1,$BH$2:$BR$2,$BH134:$BR134,0),0)</f>
        <v>0</v>
      </c>
      <c r="HT134" s="26">
        <f>IF(HT$2=InputTable[[#This Row],[Delivery Date]],_xlfn.XLOOKUP(HT$1,$BH$2:$BR$2,$BH134:$BR134,0),0)</f>
        <v>0</v>
      </c>
      <c r="HU134" s="26">
        <f>IF(HU$2=InputTable[[#This Row],[Delivery Date]],_xlfn.XLOOKUP(HU$1,$BH$2:$BR$2,$BH134:$BR134,0),0)</f>
        <v>0</v>
      </c>
      <c r="HV134" s="26">
        <f>IF(HV$2=InputTable[[#This Row],[Delivery Date]],_xlfn.XLOOKUP(HV$1,$BH$2:$BR$2,$BH134:$BR134,0),0)</f>
        <v>0</v>
      </c>
      <c r="HW134" s="26">
        <f>IF(HW$2=InputTable[[#This Row],[Delivery Date]],_xlfn.XLOOKUP(HW$1,$BH$2:$BR$2,$BH134:$BR134,0),0)</f>
        <v>0</v>
      </c>
      <c r="HX134" s="26">
        <f>IF(HX$2=InputTable[[#This Row],[Delivery Date]],_xlfn.XLOOKUP(HX$1,$BH$2:$BR$2,$BH134:$BR134,0),0)</f>
        <v>0</v>
      </c>
      <c r="HZ134" s="26" t="e">
        <f>IF(HZ$2=InputTable[[#This Row],[Delivery Date]],_xlfn.XLOOKUP(HZ$1,$BH$2:$BR$2,$BH134:$BR134,0),0)</f>
        <v>#REF!</v>
      </c>
      <c r="IA134" s="26">
        <f>IF(IA$2=InputTable[[#This Row],[Delivery Date]],_xlfn.XLOOKUP(IA$1,$BH$2:$BR$2,$BH134:$BR134,0),0)</f>
        <v>0</v>
      </c>
      <c r="IB134" s="26">
        <f>IF(IB$2=InputTable[[#This Row],[Delivery Date]],_xlfn.XLOOKUP(IB$1,$BH$2:$BR$2,$BH134:$BR134,0),0)</f>
        <v>0</v>
      </c>
      <c r="IC134" s="26">
        <f>IF(IC$2=InputTable[[#This Row],[Delivery Date]],_xlfn.XLOOKUP(IC$1,$BH$2:$BR$2,$BH134:$BR134,0),0)</f>
        <v>0</v>
      </c>
      <c r="ID134" s="26">
        <f>IF(ID$2=InputTable[[#This Row],[Delivery Date]],_xlfn.XLOOKUP(ID$1,$BH$2:$BR$2,$BH134:$BR134,0),0)</f>
        <v>0</v>
      </c>
      <c r="IE134" s="26">
        <f>IF(IE$2=InputTable[[#This Row],[Delivery Date]],_xlfn.XLOOKUP(IE$1,$BH$2:$BR$2,$BH134:$BR134,0),0)</f>
        <v>0</v>
      </c>
      <c r="IF134" s="26">
        <f>IF(IF$2=InputTable[[#This Row],[Delivery Date]],_xlfn.XLOOKUP(IF$1,$BH$2:$BR$2,$BH134:$BR134,0),0)</f>
        <v>0</v>
      </c>
      <c r="IG134" s="26">
        <f>IF(IG$2=InputTable[[#This Row],[Delivery Date]],_xlfn.XLOOKUP(IG$1,$BH$2:$BR$2,$BH134:$BR134,0),0)</f>
        <v>0</v>
      </c>
      <c r="IH134" s="26">
        <f>IF(IH$2=InputTable[[#This Row],[Delivery Date]],_xlfn.XLOOKUP(IH$1,$BH$2:$BR$2,$BH134:$BR134,0),0)</f>
        <v>0</v>
      </c>
      <c r="IJ134" s="26" t="e">
        <f>IF(IJ$2=InputTable[[#This Row],[Delivery Date]],_xlfn.XLOOKUP(IJ$1,$BH$2:$BR$2,$BH134:$BR134,0),0)</f>
        <v>#REF!</v>
      </c>
      <c r="IK134" s="26">
        <f>IF(IK$2=InputTable[[#This Row],[Delivery Date]],_xlfn.XLOOKUP(IK$1,$BH$2:$BR$2,$BH134:$BR134,0),0)</f>
        <v>0</v>
      </c>
      <c r="IL134" s="26">
        <f>IF(IL$2=InputTable[[#This Row],[Delivery Date]],_xlfn.XLOOKUP(IL$1,$BH$2:$BR$2,$BH134:$BR134,0),0)</f>
        <v>0</v>
      </c>
      <c r="IM134" s="26">
        <f>IF(IM$2=InputTable[[#This Row],[Delivery Date]],_xlfn.XLOOKUP(IM$1,$BH$2:$BR$2,$BH134:$BR134,0),0)</f>
        <v>0</v>
      </c>
      <c r="IN134" s="26">
        <f>IF(IN$2=InputTable[[#This Row],[Delivery Date]],_xlfn.XLOOKUP(IN$1,$BH$2:$BR$2,$BH134:$BR134,0),0)</f>
        <v>0</v>
      </c>
      <c r="IO134" s="26">
        <f>IF(IO$2=InputTable[[#This Row],[Delivery Date]],_xlfn.XLOOKUP(IO$1,$BH$2:$BR$2,$BH134:$BR134,0),0)</f>
        <v>0</v>
      </c>
      <c r="IP134" s="26">
        <f>IF(IP$2=InputTable[[#This Row],[Delivery Date]],_xlfn.XLOOKUP(IP$1,$BH$2:$BR$2,$BH134:$BR134,0),0)</f>
        <v>0</v>
      </c>
      <c r="IQ134" s="26">
        <f>IF(IQ$2=InputTable[[#This Row],[Delivery Date]],_xlfn.XLOOKUP(IQ$1,$BH$2:$BR$2,$BH134:$BR134,0),0)</f>
        <v>0</v>
      </c>
      <c r="IR134" s="26">
        <f>IF(IR$2=InputTable[[#This Row],[Delivery Date]],_xlfn.XLOOKUP(IR$1,$BH$2:$BR$2,$BH134:$BR134,0),0)</f>
        <v>0</v>
      </c>
      <c r="IT134" s="26" t="e">
        <f>IF(IT$2=InputTable[[#This Row],[Delivery Date]],_xlfn.XLOOKUP(IT$1,$BH$2:$BR$2,$BH134:$BR134,0),0)</f>
        <v>#REF!</v>
      </c>
      <c r="IU134" s="26">
        <f>IF(IU$2=InputTable[[#This Row],[Delivery Date]],_xlfn.XLOOKUP(IU$1,$BH$2:$BR$2,$BH134:$BR134,0),0)</f>
        <v>0</v>
      </c>
      <c r="IV134" s="26">
        <f>IF(IV$2=InputTable[[#This Row],[Delivery Date]],_xlfn.XLOOKUP(IV$1,$BH$2:$BR$2,$BH134:$BR134,0),0)</f>
        <v>0</v>
      </c>
      <c r="IW134" s="26">
        <f>IF(IW$2=InputTable[[#This Row],[Delivery Date]],_xlfn.XLOOKUP(IW$1,$BH$2:$BR$2,$BH134:$BR134,0),0)</f>
        <v>0</v>
      </c>
      <c r="IX134" s="26">
        <f>IF(IX$2=InputTable[[#This Row],[Delivery Date]],_xlfn.XLOOKUP(IX$1,$BH$2:$BR$2,$BH134:$BR134,0),0)</f>
        <v>0</v>
      </c>
      <c r="IY134" s="26">
        <f>IF(IY$2=InputTable[[#This Row],[Delivery Date]],_xlfn.XLOOKUP(IY$1,$BH$2:$BR$2,$BH134:$BR134,0),0)</f>
        <v>0</v>
      </c>
      <c r="IZ134" s="26">
        <f>IF(IZ$2=InputTable[[#This Row],[Delivery Date]],_xlfn.XLOOKUP(IZ$1,$BH$2:$BR$2,$BH134:$BR134,0),0)</f>
        <v>0</v>
      </c>
      <c r="JA134" s="26">
        <f>IF(JA$2=InputTable[[#This Row],[Delivery Date]],_xlfn.XLOOKUP(JA$1,$BH$2:$BR$2,$BH134:$BR134,0),0)</f>
        <v>0</v>
      </c>
      <c r="JB134" s="26">
        <f>IF(JB$2=InputTable[[#This Row],[Delivery Date]],_xlfn.XLOOKUP(JB$1,$BH$2:$BR$2,$BH134:$BR134,0),0)</f>
        <v>0</v>
      </c>
      <c r="JD134" s="26" t="e">
        <f>IF(JD$2=InputTable[[#This Row],[Delivery Date]],_xlfn.XLOOKUP(JD$1,$BH$2:$BR$2,$BH134:$BR134,0),0)</f>
        <v>#REF!</v>
      </c>
      <c r="JE134" s="26">
        <f>IF(JE$2=InputTable[[#This Row],[Delivery Date]],_xlfn.XLOOKUP(JE$1,$BH$2:$BR$2,$BH134:$BR134,0),0)</f>
        <v>0</v>
      </c>
      <c r="JF134" s="26">
        <f>IF(JF$2=InputTable[[#This Row],[Delivery Date]],_xlfn.XLOOKUP(JF$1,$BH$2:$BR$2,$BH134:$BR134,0),0)</f>
        <v>0</v>
      </c>
      <c r="JG134" s="26">
        <f>IF(JG$2=InputTable[[#This Row],[Delivery Date]],_xlfn.XLOOKUP(JG$1,$BH$2:$BR$2,$BH134:$BR134,0),0)</f>
        <v>0</v>
      </c>
      <c r="JH134" s="26">
        <f>IF(JH$2=InputTable[[#This Row],[Delivery Date]],_xlfn.XLOOKUP(JH$1,$BH$2:$BR$2,$BH134:$BR134,0),0)</f>
        <v>0</v>
      </c>
      <c r="JI134" s="26">
        <f>IF(JI$2=InputTable[[#This Row],[Delivery Date]],_xlfn.XLOOKUP(JI$1,$BH$2:$BR$2,$BH134:$BR134,0),0)</f>
        <v>0</v>
      </c>
      <c r="JJ134" s="26">
        <f>IF(JJ$2=InputTable[[#This Row],[Delivery Date]],_xlfn.XLOOKUP(JJ$1,$BH$2:$BR$2,$BH134:$BR134,0),0)</f>
        <v>0</v>
      </c>
      <c r="JK134" s="26">
        <f>IF(JK$2=InputTable[[#This Row],[Delivery Date]],_xlfn.XLOOKUP(JK$1,$BH$2:$BR$2,$BH134:$BR134,0),0)</f>
        <v>0</v>
      </c>
      <c r="JL134" s="26">
        <f>IF(JL$2=InputTable[[#This Row],[Delivery Date]],_xlfn.XLOOKUP(JL$1,$BH$2:$BR$2,$BH134:$BR134,0),0)</f>
        <v>0</v>
      </c>
      <c r="JN134" s="26" t="e">
        <f>IF(JN$2=InputTable[[#This Row],[Delivery Date]],_xlfn.XLOOKUP(JN$1,$BH$2:$BR$2,$BH134:$BR134,0),0)</f>
        <v>#REF!</v>
      </c>
      <c r="JO134" s="26">
        <f>IF(JO$2=InputTable[[#This Row],[Delivery Date]],_xlfn.XLOOKUP(JO$1,$BH$2:$BR$2,$BH134:$BR134,0),0)</f>
        <v>0</v>
      </c>
      <c r="JP134" s="26">
        <f>IF(JP$2=InputTable[[#This Row],[Delivery Date]],_xlfn.XLOOKUP(JP$1,$BH$2:$BR$2,$BH134:$BR134,0),0)</f>
        <v>0</v>
      </c>
      <c r="JQ134" s="26">
        <f>IF(JQ$2=InputTable[[#This Row],[Delivery Date]],_xlfn.XLOOKUP(JQ$1,$BH$2:$BR$2,$BH134:$BR134,0),0)</f>
        <v>0</v>
      </c>
      <c r="JR134" s="26">
        <f>IF(JR$2=InputTable[[#This Row],[Delivery Date]],_xlfn.XLOOKUP(JR$1,$BH$2:$BR$2,$BH134:$BR134,0),0)</f>
        <v>0</v>
      </c>
      <c r="JS134" s="26">
        <f>IF(JS$2=InputTable[[#This Row],[Delivery Date]],_xlfn.XLOOKUP(JS$1,$BH$2:$BR$2,$BH134:$BR134,0),0)</f>
        <v>0</v>
      </c>
      <c r="JT134" s="26">
        <f>IF(JT$2=InputTable[[#This Row],[Delivery Date]],_xlfn.XLOOKUP(JT$1,$BH$2:$BR$2,$BH134:$BR134,0),0)</f>
        <v>0</v>
      </c>
      <c r="JU134" s="26">
        <f>IF(JU$2=InputTable[[#This Row],[Delivery Date]],_xlfn.XLOOKUP(JU$1,$BH$2:$BR$2,$BH134:$BR134,0),0)</f>
        <v>0</v>
      </c>
      <c r="JV134" s="26">
        <f>IF(JV$2=InputTable[[#This Row],[Delivery Date]],_xlfn.XLOOKUP(JV$1,$BH$2:$BR$2,$BH134:$BR134,0),0)</f>
        <v>0</v>
      </c>
      <c r="JX134" s="26" t="e">
        <f>IF(JX$2=InputTable[[#This Row],[Delivery Date]],_xlfn.XLOOKUP(JX$1,$BH$2:$BR$2,$BH134:$BR134,0),0)</f>
        <v>#REF!</v>
      </c>
      <c r="JY134" s="26">
        <f>IF(JY$2=InputTable[[#This Row],[Delivery Date]],_xlfn.XLOOKUP(JY$1,$BH$2:$BR$2,$BH134:$BR134,0),0)</f>
        <v>0</v>
      </c>
      <c r="JZ134" s="26">
        <f>IF(JZ$2=InputTable[[#This Row],[Delivery Date]],_xlfn.XLOOKUP(JZ$1,$BH$2:$BR$2,$BH134:$BR134,0),0)</f>
        <v>0</v>
      </c>
      <c r="KA134" s="26">
        <f>IF(KA$2=InputTable[[#This Row],[Delivery Date]],_xlfn.XLOOKUP(KA$1,$BH$2:$BR$2,$BH134:$BR134,0),0)</f>
        <v>0</v>
      </c>
      <c r="KB134" s="26">
        <f>IF(KB$2=InputTable[[#This Row],[Delivery Date]],_xlfn.XLOOKUP(KB$1,$BH$2:$BR$2,$BH134:$BR134,0),0)</f>
        <v>0</v>
      </c>
      <c r="KC134" s="26">
        <f>IF(KC$2=InputTable[[#This Row],[Delivery Date]],_xlfn.XLOOKUP(KC$1,$BH$2:$BR$2,$BH134:$BR134,0),0)</f>
        <v>0</v>
      </c>
      <c r="KD134" s="26">
        <f>IF(KD$2=InputTable[[#This Row],[Delivery Date]],_xlfn.XLOOKUP(KD$1,$BH$2:$BR$2,$BH134:$BR134,0),0)</f>
        <v>0</v>
      </c>
      <c r="KE134" s="26">
        <f>IF(KE$2=InputTable[[#This Row],[Delivery Date]],_xlfn.XLOOKUP(KE$1,$BH$2:$BR$2,$BH134:$BR134,0),0)</f>
        <v>0</v>
      </c>
      <c r="KF134" s="26">
        <f>IF(KF$2=InputTable[[#This Row],[Delivery Date]],_xlfn.XLOOKUP(KF$1,$BH$2:$BR$2,$BH134:$BR134,0),0)</f>
        <v>0</v>
      </c>
    </row>
    <row r="135" spans="1:292" ht="17.399999999999999" x14ac:dyDescent="0.25">
      <c r="A135" s="141"/>
      <c r="B135" s="141"/>
      <c r="C135" s="92"/>
      <c r="D135" s="92"/>
      <c r="E135" s="93"/>
      <c r="F135" s="92"/>
      <c r="G135" s="92"/>
      <c r="H135" s="92"/>
      <c r="I135" s="92"/>
      <c r="J135" s="122"/>
      <c r="K135" s="95" t="e">
        <f>VLOOKUP((InputTable[[#This Row],[Starting Date]]&amp; " - " &amp;InputTable[[#This Row],[Delivery Date]]),'System List'!$F$40:$H$83,2,FALSE)</f>
        <v>#N/A</v>
      </c>
      <c r="L135" s="95" t="e">
        <f>VLOOKUP(InputTable[[#This Row],[Duration]],Duration,2,FALSE)</f>
        <v>#N/A</v>
      </c>
      <c r="M135" s="122"/>
      <c r="N135" s="92"/>
      <c r="O135" s="92"/>
      <c r="P135" s="92"/>
      <c r="Q135" s="92"/>
      <c r="R135" s="92"/>
      <c r="S135" s="92"/>
      <c r="T135" s="95"/>
      <c r="U135" s="138"/>
      <c r="V135" s="92"/>
      <c r="W135" s="92"/>
      <c r="X135" s="92"/>
      <c r="Y135" s="92"/>
      <c r="Z135" s="92"/>
      <c r="AA135" s="92"/>
      <c r="AB135" s="92"/>
      <c r="AC135" s="92"/>
      <c r="AD135" s="92">
        <f>COUNTA(InputTable[[#This Row],[CORPHRFIN]:[SALES]])</f>
        <v>0</v>
      </c>
      <c r="AE135" s="88" cm="1">
        <f t="array" ref="AE135">SUM(
_xlfn.XLOOKUP(InputTable[[#This Row],[CORPHRFIN]:[SALES]],'System List'!$F$4:$F$7,'System List'!$H$4:$H$7,0))</f>
        <v>0</v>
      </c>
      <c r="AF135" s="140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88" cm="1">
        <f t="array" ref="AR135">SUM(
_xlfn.XLOOKUP(InputTable[[#This Row],[Impact on - CIAL]:[Impact on - STRAT]],'System List'!$F$4:$F$7,'System List'!$H$4:$H$7,0))</f>
        <v>0</v>
      </c>
      <c r="AS135" s="88" t="e">
        <f>VLOOKUP(InputTable[[#This Row],[Duration]],Duration,2,FALSE)+InputTable[[#This Row],[Resource Score]]</f>
        <v>#N/A</v>
      </c>
      <c r="AT13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5" s="24" t="e">
        <f>InputTable[[#This Row],[Value Score]]/InputTable[[#This Row],[EFFORT SCORE]]*100</f>
        <v>#N/A</v>
      </c>
      <c r="AV135" s="25"/>
      <c r="AW135" s="25"/>
      <c r="AX135" s="208"/>
      <c r="AY135" s="25"/>
      <c r="AZ135" s="209">
        <v>0</v>
      </c>
      <c r="BA135" s="209">
        <v>0</v>
      </c>
      <c r="BB135" s="209"/>
      <c r="BC135" s="189"/>
      <c r="BD135" s="188"/>
      <c r="BE135" s="188"/>
      <c r="BF135" s="70"/>
      <c r="BH135" s="2">
        <f>IFERROR(VLOOKUP(InputTable[[#This Row],[Impact on - CIAL]],'System List'!$F$4:$H$7,3,FALSE),0)</f>
        <v>0</v>
      </c>
      <c r="BI135" s="2">
        <f>IFERROR(VLOOKUP(InputTable[[#This Row],[Impact on - COM]],'System List'!$F$4:$H$7,3,FALSE),0)</f>
        <v>0</v>
      </c>
      <c r="BJ135" s="2">
        <f>IFERROR(VLOOKUP(InputTable[[#This Row],[Impact on - FIN]],'System List'!$F$4:$H$7,3,FALSE),0)</f>
        <v>0</v>
      </c>
      <c r="BK135" s="2">
        <f>IFERROR(VLOOKUP(InputTable[[#This Row],[Impact on - GEN SEC]],'System List'!$F$4:$H$7,3,FALSE),0)</f>
        <v>0</v>
      </c>
      <c r="BL135" s="2">
        <f>IFERROR(VLOOKUP(InputTable[[#This Row],[Impact on - HR]],'System List'!$F$4:$H$7,3,FALSE),0)</f>
        <v>0</v>
      </c>
      <c r="BM135" s="2">
        <f>IFERROR(VLOOKUP(InputTable[[#This Row],[Impact on - IS]],'System List'!$F$4:$H$7,3,FALSE),0)</f>
        <v>0</v>
      </c>
      <c r="BN135" s="2">
        <f>IFERROR(VLOOKUP(InputTable[[#This Row],[Impact on - OPS]],'System List'!$F$4:$H$7,3,FALSE),0)</f>
        <v>0</v>
      </c>
      <c r="BO135" s="2">
        <f>IFERROR(VLOOKUP(InputTable[[#This Row],[Impact on - ROLL STOCK]],'System List'!$F$4:$H$7,3,FALSE),0)</f>
        <v>0</v>
      </c>
      <c r="BP135" s="2">
        <f>IFERROR(VLOOKUP(InputTable[[#This Row],[Impact on - SAFETY]],'System List'!$F$4:$H$7,3,FALSE),0)</f>
        <v>0</v>
      </c>
      <c r="BQ135" s="2">
        <f>IFERROR(VLOOKUP(InputTable[[#This Row],[Impact on - STATION]],'System List'!$F$4:$H$7,3,FALSE),0)</f>
        <v>0</v>
      </c>
      <c r="BR135" s="2">
        <f>IFERROR(VLOOKUP(InputTable[[#This Row],[Impact on - STRAT]],'System List'!$F$4:$H$7,3,FALSE),0)</f>
        <v>0</v>
      </c>
      <c r="BT135" s="2">
        <f>IFERROR(VLOOKUP(InputTable[[#This Row],[CORPHRFIN]],'System List'!$F$4:$H$7,3,FALSE),0)</f>
        <v>0</v>
      </c>
      <c r="BU135" s="2">
        <f>IFERROR(VLOOKUP(InputTable[[#This Row],[CUST]],'System List'!$F$4:$H$7,3,FALSE),0)</f>
        <v>0</v>
      </c>
      <c r="BV135" s="2">
        <f>IFERROR(VLOOKUP(InputTable[[#This Row],[CYBER]],'System List'!$F$4:$H$7,3,FALSE),0)</f>
        <v>0</v>
      </c>
      <c r="BW135" s="2">
        <f>IFERROR(VLOOKUP(InputTable[[#This Row],[DATA]],'System List'!$F$4:$H$7,3,FALSE),0)</f>
        <v>0</v>
      </c>
      <c r="BX135" s="2">
        <f>IFERROR(VLOOKUP(InputTable[[#This Row],[INFRA]],'System List'!$F$4:$H$7,3,FALSE),0)</f>
        <v>0</v>
      </c>
      <c r="BY135" s="2">
        <f>IFERROR(VLOOKUP(InputTable[[#This Row],[OPERATIONS]],'System List'!$F$4:$H$7,3,FALSE),0)</f>
        <v>0</v>
      </c>
      <c r="BZ135" s="2">
        <f>IFERROR(VLOOKUP(InputTable[[#This Row],[PMO]],'System List'!$F$4:$H$7,3,FALSE),0)</f>
        <v>0</v>
      </c>
      <c r="CA135" s="2">
        <f>IFERROR(VLOOKUP(InputTable[[#This Row],[SALES]],'System List'!$F$4:$H$7,3,FALSE),0)</f>
        <v>0</v>
      </c>
      <c r="CC135" s="2" cm="1">
        <f t="array" ref="CC13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5" s="2" cm="1">
        <f t="array" ref="CD13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5" s="2" cm="1">
        <f t="array" ref="CE13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5" s="2" cm="1">
        <f t="array" ref="CF13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5" s="2" cm="1">
        <f t="array" ref="CG13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5" s="2" cm="1">
        <f t="array" ref="CH13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5" s="2" cm="1">
        <f t="array" ref="CI13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5" s="2" cm="1">
        <f t="array" ref="CJ13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5" s="2" cm="1">
        <f t="array" ref="CK13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5" s="26">
        <f t="shared" si="307"/>
        <v>0</v>
      </c>
      <c r="CY135" s="26">
        <f t="shared" si="308"/>
        <v>0</v>
      </c>
      <c r="CZ135" s="26">
        <f t="shared" si="309"/>
        <v>0</v>
      </c>
      <c r="DA135" s="26">
        <f t="shared" si="310"/>
        <v>0</v>
      </c>
      <c r="DB135" s="26">
        <f t="shared" si="311"/>
        <v>0</v>
      </c>
      <c r="DC135" s="26">
        <f t="shared" si="312"/>
        <v>0</v>
      </c>
      <c r="DD135" s="26">
        <f t="shared" si="313"/>
        <v>0</v>
      </c>
      <c r="DE135" s="26">
        <f t="shared" si="314"/>
        <v>0</v>
      </c>
      <c r="DF135" s="26">
        <f t="shared" si="315"/>
        <v>0</v>
      </c>
      <c r="DH135" s="26">
        <f t="shared" si="316"/>
        <v>0</v>
      </c>
      <c r="DI135" s="26">
        <f t="shared" si="317"/>
        <v>0</v>
      </c>
      <c r="DJ135" s="26">
        <f t="shared" si="318"/>
        <v>0</v>
      </c>
      <c r="DK135" s="26">
        <f t="shared" si="319"/>
        <v>0</v>
      </c>
      <c r="DL135" s="26">
        <f t="shared" si="320"/>
        <v>0</v>
      </c>
      <c r="DM135" s="26">
        <f t="shared" si="321"/>
        <v>0</v>
      </c>
      <c r="DN135" s="26">
        <f t="shared" si="322"/>
        <v>0</v>
      </c>
      <c r="DO135" s="26">
        <f t="shared" si="323"/>
        <v>0</v>
      </c>
      <c r="DP135" s="26">
        <f t="shared" si="324"/>
        <v>0</v>
      </c>
      <c r="DR135" s="26">
        <f t="shared" si="325"/>
        <v>0</v>
      </c>
      <c r="DS135" s="26">
        <f t="shared" si="326"/>
        <v>0</v>
      </c>
      <c r="DT135" s="26">
        <f t="shared" si="327"/>
        <v>0</v>
      </c>
      <c r="DU135" s="26">
        <f t="shared" si="328"/>
        <v>0</v>
      </c>
      <c r="DV135" s="26">
        <f t="shared" si="329"/>
        <v>0</v>
      </c>
      <c r="DW135" s="26">
        <f t="shared" si="330"/>
        <v>0</v>
      </c>
      <c r="DX135" s="26">
        <f t="shared" si="331"/>
        <v>0</v>
      </c>
      <c r="DY135" s="26">
        <f t="shared" si="332"/>
        <v>0</v>
      </c>
      <c r="DZ135" s="26">
        <f t="shared" si="333"/>
        <v>0</v>
      </c>
      <c r="EB135" s="26">
        <f t="shared" si="334"/>
        <v>0</v>
      </c>
      <c r="EC135" s="26">
        <f t="shared" si="335"/>
        <v>0</v>
      </c>
      <c r="ED135" s="26">
        <f t="shared" si="336"/>
        <v>0</v>
      </c>
      <c r="EE135" s="26">
        <f t="shared" si="337"/>
        <v>0</v>
      </c>
      <c r="EF135" s="26">
        <f t="shared" si="338"/>
        <v>0</v>
      </c>
      <c r="EG135" s="26">
        <f t="shared" si="339"/>
        <v>0</v>
      </c>
      <c r="EH135" s="26">
        <f t="shared" si="340"/>
        <v>0</v>
      </c>
      <c r="EI135" s="26">
        <f t="shared" si="341"/>
        <v>0</v>
      </c>
      <c r="EJ135" s="26">
        <f t="shared" si="342"/>
        <v>0</v>
      </c>
      <c r="EL135" s="26">
        <f t="shared" si="343"/>
        <v>0</v>
      </c>
      <c r="EM135" s="26">
        <f t="shared" si="344"/>
        <v>0</v>
      </c>
      <c r="EN135" s="26">
        <f t="shared" si="345"/>
        <v>0</v>
      </c>
      <c r="EO135" s="26">
        <f t="shared" si="346"/>
        <v>0</v>
      </c>
      <c r="EP135" s="26">
        <f t="shared" si="347"/>
        <v>0</v>
      </c>
      <c r="EQ135" s="26">
        <f t="shared" si="348"/>
        <v>0</v>
      </c>
      <c r="ER135" s="26">
        <f t="shared" si="349"/>
        <v>0</v>
      </c>
      <c r="ES135" s="26">
        <f t="shared" si="350"/>
        <v>0</v>
      </c>
      <c r="ET135" s="26">
        <f t="shared" si="351"/>
        <v>0</v>
      </c>
      <c r="EV135" s="26">
        <f t="shared" si="352"/>
        <v>0</v>
      </c>
      <c r="EW135" s="26">
        <f t="shared" si="353"/>
        <v>0</v>
      </c>
      <c r="EX135" s="26">
        <f t="shared" si="354"/>
        <v>0</v>
      </c>
      <c r="EY135" s="26">
        <f t="shared" si="355"/>
        <v>0</v>
      </c>
      <c r="EZ135" s="26">
        <f t="shared" si="356"/>
        <v>0</v>
      </c>
      <c r="FA135" s="26">
        <f t="shared" si="357"/>
        <v>0</v>
      </c>
      <c r="FB135" s="26">
        <f t="shared" si="358"/>
        <v>0</v>
      </c>
      <c r="FC135" s="26">
        <f t="shared" si="359"/>
        <v>0</v>
      </c>
      <c r="FD135" s="26">
        <f t="shared" si="360"/>
        <v>0</v>
      </c>
      <c r="FF135" s="26">
        <f t="shared" si="361"/>
        <v>0</v>
      </c>
      <c r="FG135" s="26">
        <f t="shared" si="362"/>
        <v>0</v>
      </c>
      <c r="FH135" s="26">
        <f t="shared" si="363"/>
        <v>0</v>
      </c>
      <c r="FI135" s="26">
        <f t="shared" si="364"/>
        <v>0</v>
      </c>
      <c r="FJ135" s="26">
        <f t="shared" si="365"/>
        <v>0</v>
      </c>
      <c r="FK135" s="26">
        <f t="shared" si="366"/>
        <v>0</v>
      </c>
      <c r="FL135" s="26">
        <f t="shared" si="367"/>
        <v>0</v>
      </c>
      <c r="FM135" s="26">
        <f t="shared" si="368"/>
        <v>0</v>
      </c>
      <c r="FN135" s="26">
        <f t="shared" si="369"/>
        <v>0</v>
      </c>
      <c r="FP135" s="26" t="e">
        <f t="shared" si="370"/>
        <v>#REF!</v>
      </c>
      <c r="FQ135" s="26" t="e">
        <f t="shared" si="371"/>
        <v>#REF!</v>
      </c>
      <c r="FR135" s="26" t="e">
        <f t="shared" si="372"/>
        <v>#REF!</v>
      </c>
      <c r="FS135" s="26" t="e">
        <f t="shared" si="373"/>
        <v>#REF!</v>
      </c>
      <c r="FT135" s="26" t="e">
        <f t="shared" si="374"/>
        <v>#REF!</v>
      </c>
      <c r="FU135" s="26" t="e">
        <f t="shared" si="375"/>
        <v>#REF!</v>
      </c>
      <c r="FV135" s="26" t="e">
        <f t="shared" si="376"/>
        <v>#REF!</v>
      </c>
      <c r="FW135" s="26" t="e">
        <f t="shared" si="377"/>
        <v>#REF!</v>
      </c>
      <c r="FX135" s="26" t="e">
        <f t="shared" si="378"/>
        <v>#REF!</v>
      </c>
      <c r="GB135" s="26" t="e">
        <f>IF(GB$2=InputTable[[#This Row],[Delivery Date]],_xlfn.XLOOKUP(GB$1,$BH$2:$BR$2,$BH135:$BR135,0),0)</f>
        <v>#REF!</v>
      </c>
      <c r="GC135" s="26">
        <f>IF(GC$2=InputTable[[#This Row],[Delivery Date]],_xlfn.XLOOKUP(GC$1,$BH$2:$BR$2,$BH135:$BR135,0),0)</f>
        <v>0</v>
      </c>
      <c r="GD135" s="26">
        <f>IF(GD$2=InputTable[[#This Row],[Delivery Date]],_xlfn.XLOOKUP(GD$1,$BH$2:$BR$2,$BH135:$BR135,0),0)</f>
        <v>0</v>
      </c>
      <c r="GE135" s="26">
        <f>IF(GE$2=InputTable[[#This Row],[Delivery Date]],_xlfn.XLOOKUP(GE$1,$BH$2:$BR$2,$BH135:$BR135,0),0)</f>
        <v>0</v>
      </c>
      <c r="GF135" s="26">
        <f>IF(GF$2=InputTable[[#This Row],[Delivery Date]],_xlfn.XLOOKUP(GF$1,$BH$2:$BR$2,$BH135:$BR135,0),0)</f>
        <v>0</v>
      </c>
      <c r="GG135" s="26">
        <f>IF(GG$2=InputTable[[#This Row],[Delivery Date]],_xlfn.XLOOKUP(GG$1,$BH$2:$BR$2,$BH135:$BR135,0),0)</f>
        <v>0</v>
      </c>
      <c r="GH135" s="26">
        <f>IF(GH$2=InputTable[[#This Row],[Delivery Date]],_xlfn.XLOOKUP(GH$1,$BH$2:$BR$2,$BH135:$BR135,0),0)</f>
        <v>0</v>
      </c>
      <c r="GI135" s="26">
        <f>IF(GI$2=InputTable[[#This Row],[Delivery Date]],_xlfn.XLOOKUP(GI$1,$BH$2:$BR$2,$BH135:$BR135,0),0)</f>
        <v>0</v>
      </c>
      <c r="GJ135" s="26">
        <f>IF(GJ$2=InputTable[[#This Row],[Delivery Date]],_xlfn.XLOOKUP(GJ$1,$BH$2:$BR$2,$BH135:$BR135,0),0)</f>
        <v>0</v>
      </c>
      <c r="GL135" s="26" t="e">
        <f>IF(GL$2=InputTable[[#This Row],[Delivery Date]],_xlfn.XLOOKUP(GL$1,$BH$2:$BR$2,$BH135:$BR135,0),0)</f>
        <v>#REF!</v>
      </c>
      <c r="GM135" s="26">
        <f>IF(GM$2=InputTable[[#This Row],[Delivery Date]],_xlfn.XLOOKUP(GM$1,$BH$2:$BR$2,$BH135:$BR135,0),0)</f>
        <v>0</v>
      </c>
      <c r="GN135" s="26">
        <f>IF(GN$2=InputTable[[#This Row],[Delivery Date]],_xlfn.XLOOKUP(GN$1,$BH$2:$BR$2,$BH135:$BR135,0),0)</f>
        <v>0</v>
      </c>
      <c r="GO135" s="26">
        <f>IF(GO$2=InputTable[[#This Row],[Delivery Date]],_xlfn.XLOOKUP(GO$1,$BH$2:$BR$2,$BH135:$BR135,0),0)</f>
        <v>0</v>
      </c>
      <c r="GP135" s="26">
        <f>IF(GP$2=InputTable[[#This Row],[Delivery Date]],_xlfn.XLOOKUP(GP$1,$BH$2:$BR$2,$BH135:$BR135,0),0)</f>
        <v>0</v>
      </c>
      <c r="GQ135" s="26">
        <f>IF(GQ$2=InputTable[[#This Row],[Delivery Date]],_xlfn.XLOOKUP(GQ$1,$BH$2:$BR$2,$BH135:$BR135,0),0)</f>
        <v>0</v>
      </c>
      <c r="GR135" s="26">
        <f>IF(GR$2=InputTable[[#This Row],[Delivery Date]],_xlfn.XLOOKUP(GR$1,$BH$2:$BR$2,$BH135:$BR135,0),0)</f>
        <v>0</v>
      </c>
      <c r="GS135" s="26">
        <f>IF(GS$2=InputTable[[#This Row],[Delivery Date]],_xlfn.XLOOKUP(GS$1,$BH$2:$BR$2,$BH135:$BR135,0),0)</f>
        <v>0</v>
      </c>
      <c r="GT135" s="26">
        <f>IF(GT$2=InputTable[[#This Row],[Delivery Date]],_xlfn.XLOOKUP(GT$1,$BH$2:$BR$2,$BH135:$BR135,0),0)</f>
        <v>0</v>
      </c>
      <c r="GV135" s="26" t="e">
        <f>IF(GV$2=InputTable[[#This Row],[Delivery Date]],_xlfn.XLOOKUP(GV$1,$BH$2:$BR$2,$BH135:$BR135,0),0)</f>
        <v>#REF!</v>
      </c>
      <c r="GW135" s="26">
        <f>IF(GW$2=InputTable[[#This Row],[Delivery Date]],_xlfn.XLOOKUP(GW$1,$BH$2:$BR$2,$BH135:$BR135,0),0)</f>
        <v>0</v>
      </c>
      <c r="GX135" s="26">
        <f>IF(GX$2=InputTable[[#This Row],[Delivery Date]],_xlfn.XLOOKUP(GX$1,$BH$2:$BR$2,$BH135:$BR135,0),0)</f>
        <v>0</v>
      </c>
      <c r="GY135" s="26">
        <f>IF(GY$2=InputTable[[#This Row],[Delivery Date]],_xlfn.XLOOKUP(GY$1,$BH$2:$BR$2,$BH135:$BR135,0),0)</f>
        <v>0</v>
      </c>
      <c r="GZ135" s="26">
        <f>IF(GZ$2=InputTable[[#This Row],[Delivery Date]],_xlfn.XLOOKUP(GZ$1,$BH$2:$BR$2,$BH135:$BR135,0),0)</f>
        <v>0</v>
      </c>
      <c r="HA135" s="26">
        <f>IF(HA$2=InputTable[[#This Row],[Delivery Date]],_xlfn.XLOOKUP(HA$1,$BH$2:$BR$2,$BH135:$BR135,0),0)</f>
        <v>0</v>
      </c>
      <c r="HB135" s="26">
        <f>IF(HB$2=InputTable[[#This Row],[Delivery Date]],_xlfn.XLOOKUP(HB$1,$BH$2:$BR$2,$BH135:$BR135,0),0)</f>
        <v>0</v>
      </c>
      <c r="HC135" s="26">
        <f>IF(HC$2=InputTable[[#This Row],[Delivery Date]],_xlfn.XLOOKUP(HC$1,$BH$2:$BR$2,$BH135:$BR135,0),0)</f>
        <v>0</v>
      </c>
      <c r="HD135" s="26">
        <f>IF(HD$2=InputTable[[#This Row],[Delivery Date]],_xlfn.XLOOKUP(HD$1,$BH$2:$BR$2,$BH135:$BR135,0),0)</f>
        <v>0</v>
      </c>
      <c r="HF135" s="26" t="e">
        <f>IF(HF$2=InputTable[[#This Row],[Delivery Date]],_xlfn.XLOOKUP(HF$1,$BH$2:$BR$2,$BH135:$BR135,0),0)</f>
        <v>#REF!</v>
      </c>
      <c r="HG135" s="26">
        <f>IF(HG$2=InputTable[[#This Row],[Delivery Date]],_xlfn.XLOOKUP(HG$1,$BH$2:$BR$2,$BH135:$BR135,0),0)</f>
        <v>0</v>
      </c>
      <c r="HH135" s="26">
        <f>IF(HH$2=InputTable[[#This Row],[Delivery Date]],_xlfn.XLOOKUP(HH$1,$BH$2:$BR$2,$BH135:$BR135,0),0)</f>
        <v>0</v>
      </c>
      <c r="HI135" s="26">
        <f>IF(HI$2=InputTable[[#This Row],[Delivery Date]],_xlfn.XLOOKUP(HI$1,$BH$2:$BR$2,$BH135:$BR135,0),0)</f>
        <v>0</v>
      </c>
      <c r="HJ135" s="26">
        <f>IF(HJ$2=InputTable[[#This Row],[Delivery Date]],_xlfn.XLOOKUP(HJ$1,$BH$2:$BR$2,$BH135:$BR135,0),0)</f>
        <v>0</v>
      </c>
      <c r="HK135" s="26">
        <f>IF(HK$2=InputTable[[#This Row],[Delivery Date]],_xlfn.XLOOKUP(HK$1,$BH$2:$BR$2,$BH135:$BR135,0),0)</f>
        <v>0</v>
      </c>
      <c r="HL135" s="26">
        <f>IF(HL$2=InputTable[[#This Row],[Delivery Date]],_xlfn.XLOOKUP(HL$1,$BH$2:$BR$2,$BH135:$BR135,0),0)</f>
        <v>0</v>
      </c>
      <c r="HM135" s="26">
        <f>IF(HM$2=InputTable[[#This Row],[Delivery Date]],_xlfn.XLOOKUP(HM$1,$BH$2:$BR$2,$BH135:$BR135,0),0)</f>
        <v>0</v>
      </c>
      <c r="HN135" s="26">
        <f>IF(HN$2=InputTable[[#This Row],[Delivery Date]],_xlfn.XLOOKUP(HN$1,$BH$2:$BR$2,$BH135:$BR135,0),0)</f>
        <v>0</v>
      </c>
      <c r="HP135" s="26" t="e">
        <f>IF(HP$2=InputTable[[#This Row],[Delivery Date]],_xlfn.XLOOKUP(HP$1,$BH$2:$BR$2,$BH135:$BR135,0),0)</f>
        <v>#REF!</v>
      </c>
      <c r="HQ135" s="26">
        <f>IF(HQ$2=InputTable[[#This Row],[Delivery Date]],_xlfn.XLOOKUP(HQ$1,$BH$2:$BR$2,$BH135:$BR135,0),0)</f>
        <v>0</v>
      </c>
      <c r="HR135" s="26">
        <f>IF(HR$2=InputTable[[#This Row],[Delivery Date]],_xlfn.XLOOKUP(HR$1,$BH$2:$BR$2,$BH135:$BR135,0),0)</f>
        <v>0</v>
      </c>
      <c r="HS135" s="26">
        <f>IF(HS$2=InputTable[[#This Row],[Delivery Date]],_xlfn.XLOOKUP(HS$1,$BH$2:$BR$2,$BH135:$BR135,0),0)</f>
        <v>0</v>
      </c>
      <c r="HT135" s="26">
        <f>IF(HT$2=InputTable[[#This Row],[Delivery Date]],_xlfn.XLOOKUP(HT$1,$BH$2:$BR$2,$BH135:$BR135,0),0)</f>
        <v>0</v>
      </c>
      <c r="HU135" s="26">
        <f>IF(HU$2=InputTable[[#This Row],[Delivery Date]],_xlfn.XLOOKUP(HU$1,$BH$2:$BR$2,$BH135:$BR135,0),0)</f>
        <v>0</v>
      </c>
      <c r="HV135" s="26">
        <f>IF(HV$2=InputTable[[#This Row],[Delivery Date]],_xlfn.XLOOKUP(HV$1,$BH$2:$BR$2,$BH135:$BR135,0),0)</f>
        <v>0</v>
      </c>
      <c r="HW135" s="26">
        <f>IF(HW$2=InputTable[[#This Row],[Delivery Date]],_xlfn.XLOOKUP(HW$1,$BH$2:$BR$2,$BH135:$BR135,0),0)</f>
        <v>0</v>
      </c>
      <c r="HX135" s="26">
        <f>IF(HX$2=InputTable[[#This Row],[Delivery Date]],_xlfn.XLOOKUP(HX$1,$BH$2:$BR$2,$BH135:$BR135,0),0)</f>
        <v>0</v>
      </c>
      <c r="HZ135" s="26" t="e">
        <f>IF(HZ$2=InputTable[[#This Row],[Delivery Date]],_xlfn.XLOOKUP(HZ$1,$BH$2:$BR$2,$BH135:$BR135,0),0)</f>
        <v>#REF!</v>
      </c>
      <c r="IA135" s="26">
        <f>IF(IA$2=InputTable[[#This Row],[Delivery Date]],_xlfn.XLOOKUP(IA$1,$BH$2:$BR$2,$BH135:$BR135,0),0)</f>
        <v>0</v>
      </c>
      <c r="IB135" s="26">
        <f>IF(IB$2=InputTable[[#This Row],[Delivery Date]],_xlfn.XLOOKUP(IB$1,$BH$2:$BR$2,$BH135:$BR135,0),0)</f>
        <v>0</v>
      </c>
      <c r="IC135" s="26">
        <f>IF(IC$2=InputTable[[#This Row],[Delivery Date]],_xlfn.XLOOKUP(IC$1,$BH$2:$BR$2,$BH135:$BR135,0),0)</f>
        <v>0</v>
      </c>
      <c r="ID135" s="26">
        <f>IF(ID$2=InputTable[[#This Row],[Delivery Date]],_xlfn.XLOOKUP(ID$1,$BH$2:$BR$2,$BH135:$BR135,0),0)</f>
        <v>0</v>
      </c>
      <c r="IE135" s="26">
        <f>IF(IE$2=InputTable[[#This Row],[Delivery Date]],_xlfn.XLOOKUP(IE$1,$BH$2:$BR$2,$BH135:$BR135,0),0)</f>
        <v>0</v>
      </c>
      <c r="IF135" s="26">
        <f>IF(IF$2=InputTable[[#This Row],[Delivery Date]],_xlfn.XLOOKUP(IF$1,$BH$2:$BR$2,$BH135:$BR135,0),0)</f>
        <v>0</v>
      </c>
      <c r="IG135" s="26">
        <f>IF(IG$2=InputTable[[#This Row],[Delivery Date]],_xlfn.XLOOKUP(IG$1,$BH$2:$BR$2,$BH135:$BR135,0),0)</f>
        <v>0</v>
      </c>
      <c r="IH135" s="26">
        <f>IF(IH$2=InputTable[[#This Row],[Delivery Date]],_xlfn.XLOOKUP(IH$1,$BH$2:$BR$2,$BH135:$BR135,0),0)</f>
        <v>0</v>
      </c>
      <c r="IJ135" s="26" t="e">
        <f>IF(IJ$2=InputTable[[#This Row],[Delivery Date]],_xlfn.XLOOKUP(IJ$1,$BH$2:$BR$2,$BH135:$BR135,0),0)</f>
        <v>#REF!</v>
      </c>
      <c r="IK135" s="26">
        <f>IF(IK$2=InputTable[[#This Row],[Delivery Date]],_xlfn.XLOOKUP(IK$1,$BH$2:$BR$2,$BH135:$BR135,0),0)</f>
        <v>0</v>
      </c>
      <c r="IL135" s="26">
        <f>IF(IL$2=InputTable[[#This Row],[Delivery Date]],_xlfn.XLOOKUP(IL$1,$BH$2:$BR$2,$BH135:$BR135,0),0)</f>
        <v>0</v>
      </c>
      <c r="IM135" s="26">
        <f>IF(IM$2=InputTable[[#This Row],[Delivery Date]],_xlfn.XLOOKUP(IM$1,$BH$2:$BR$2,$BH135:$BR135,0),0)</f>
        <v>0</v>
      </c>
      <c r="IN135" s="26">
        <f>IF(IN$2=InputTable[[#This Row],[Delivery Date]],_xlfn.XLOOKUP(IN$1,$BH$2:$BR$2,$BH135:$BR135,0),0)</f>
        <v>0</v>
      </c>
      <c r="IO135" s="26">
        <f>IF(IO$2=InputTable[[#This Row],[Delivery Date]],_xlfn.XLOOKUP(IO$1,$BH$2:$BR$2,$BH135:$BR135,0),0)</f>
        <v>0</v>
      </c>
      <c r="IP135" s="26">
        <f>IF(IP$2=InputTable[[#This Row],[Delivery Date]],_xlfn.XLOOKUP(IP$1,$BH$2:$BR$2,$BH135:$BR135,0),0)</f>
        <v>0</v>
      </c>
      <c r="IQ135" s="26">
        <f>IF(IQ$2=InputTable[[#This Row],[Delivery Date]],_xlfn.XLOOKUP(IQ$1,$BH$2:$BR$2,$BH135:$BR135,0),0)</f>
        <v>0</v>
      </c>
      <c r="IR135" s="26">
        <f>IF(IR$2=InputTable[[#This Row],[Delivery Date]],_xlfn.XLOOKUP(IR$1,$BH$2:$BR$2,$BH135:$BR135,0),0)</f>
        <v>0</v>
      </c>
      <c r="IT135" s="26" t="e">
        <f>IF(IT$2=InputTable[[#This Row],[Delivery Date]],_xlfn.XLOOKUP(IT$1,$BH$2:$BR$2,$BH135:$BR135,0),0)</f>
        <v>#REF!</v>
      </c>
      <c r="IU135" s="26">
        <f>IF(IU$2=InputTable[[#This Row],[Delivery Date]],_xlfn.XLOOKUP(IU$1,$BH$2:$BR$2,$BH135:$BR135,0),0)</f>
        <v>0</v>
      </c>
      <c r="IV135" s="26">
        <f>IF(IV$2=InputTable[[#This Row],[Delivery Date]],_xlfn.XLOOKUP(IV$1,$BH$2:$BR$2,$BH135:$BR135,0),0)</f>
        <v>0</v>
      </c>
      <c r="IW135" s="26">
        <f>IF(IW$2=InputTable[[#This Row],[Delivery Date]],_xlfn.XLOOKUP(IW$1,$BH$2:$BR$2,$BH135:$BR135,0),0)</f>
        <v>0</v>
      </c>
      <c r="IX135" s="26">
        <f>IF(IX$2=InputTable[[#This Row],[Delivery Date]],_xlfn.XLOOKUP(IX$1,$BH$2:$BR$2,$BH135:$BR135,0),0)</f>
        <v>0</v>
      </c>
      <c r="IY135" s="26">
        <f>IF(IY$2=InputTable[[#This Row],[Delivery Date]],_xlfn.XLOOKUP(IY$1,$BH$2:$BR$2,$BH135:$BR135,0),0)</f>
        <v>0</v>
      </c>
      <c r="IZ135" s="26">
        <f>IF(IZ$2=InputTable[[#This Row],[Delivery Date]],_xlfn.XLOOKUP(IZ$1,$BH$2:$BR$2,$BH135:$BR135,0),0)</f>
        <v>0</v>
      </c>
      <c r="JA135" s="26">
        <f>IF(JA$2=InputTable[[#This Row],[Delivery Date]],_xlfn.XLOOKUP(JA$1,$BH$2:$BR$2,$BH135:$BR135,0),0)</f>
        <v>0</v>
      </c>
      <c r="JB135" s="26">
        <f>IF(JB$2=InputTable[[#This Row],[Delivery Date]],_xlfn.XLOOKUP(JB$1,$BH$2:$BR$2,$BH135:$BR135,0),0)</f>
        <v>0</v>
      </c>
      <c r="JD135" s="26" t="e">
        <f>IF(JD$2=InputTable[[#This Row],[Delivery Date]],_xlfn.XLOOKUP(JD$1,$BH$2:$BR$2,$BH135:$BR135,0),0)</f>
        <v>#REF!</v>
      </c>
      <c r="JE135" s="26">
        <f>IF(JE$2=InputTable[[#This Row],[Delivery Date]],_xlfn.XLOOKUP(JE$1,$BH$2:$BR$2,$BH135:$BR135,0),0)</f>
        <v>0</v>
      </c>
      <c r="JF135" s="26">
        <f>IF(JF$2=InputTable[[#This Row],[Delivery Date]],_xlfn.XLOOKUP(JF$1,$BH$2:$BR$2,$BH135:$BR135,0),0)</f>
        <v>0</v>
      </c>
      <c r="JG135" s="26">
        <f>IF(JG$2=InputTable[[#This Row],[Delivery Date]],_xlfn.XLOOKUP(JG$1,$BH$2:$BR$2,$BH135:$BR135,0),0)</f>
        <v>0</v>
      </c>
      <c r="JH135" s="26">
        <f>IF(JH$2=InputTable[[#This Row],[Delivery Date]],_xlfn.XLOOKUP(JH$1,$BH$2:$BR$2,$BH135:$BR135,0),0)</f>
        <v>0</v>
      </c>
      <c r="JI135" s="26">
        <f>IF(JI$2=InputTable[[#This Row],[Delivery Date]],_xlfn.XLOOKUP(JI$1,$BH$2:$BR$2,$BH135:$BR135,0),0)</f>
        <v>0</v>
      </c>
      <c r="JJ135" s="26">
        <f>IF(JJ$2=InputTable[[#This Row],[Delivery Date]],_xlfn.XLOOKUP(JJ$1,$BH$2:$BR$2,$BH135:$BR135,0),0)</f>
        <v>0</v>
      </c>
      <c r="JK135" s="26">
        <f>IF(JK$2=InputTable[[#This Row],[Delivery Date]],_xlfn.XLOOKUP(JK$1,$BH$2:$BR$2,$BH135:$BR135,0),0)</f>
        <v>0</v>
      </c>
      <c r="JL135" s="26">
        <f>IF(JL$2=InputTable[[#This Row],[Delivery Date]],_xlfn.XLOOKUP(JL$1,$BH$2:$BR$2,$BH135:$BR135,0),0)</f>
        <v>0</v>
      </c>
      <c r="JN135" s="26" t="e">
        <f>IF(JN$2=InputTable[[#This Row],[Delivery Date]],_xlfn.XLOOKUP(JN$1,$BH$2:$BR$2,$BH135:$BR135,0),0)</f>
        <v>#REF!</v>
      </c>
      <c r="JO135" s="26">
        <f>IF(JO$2=InputTable[[#This Row],[Delivery Date]],_xlfn.XLOOKUP(JO$1,$BH$2:$BR$2,$BH135:$BR135,0),0)</f>
        <v>0</v>
      </c>
      <c r="JP135" s="26">
        <f>IF(JP$2=InputTable[[#This Row],[Delivery Date]],_xlfn.XLOOKUP(JP$1,$BH$2:$BR$2,$BH135:$BR135,0),0)</f>
        <v>0</v>
      </c>
      <c r="JQ135" s="26">
        <f>IF(JQ$2=InputTable[[#This Row],[Delivery Date]],_xlfn.XLOOKUP(JQ$1,$BH$2:$BR$2,$BH135:$BR135,0),0)</f>
        <v>0</v>
      </c>
      <c r="JR135" s="26">
        <f>IF(JR$2=InputTable[[#This Row],[Delivery Date]],_xlfn.XLOOKUP(JR$1,$BH$2:$BR$2,$BH135:$BR135,0),0)</f>
        <v>0</v>
      </c>
      <c r="JS135" s="26">
        <f>IF(JS$2=InputTable[[#This Row],[Delivery Date]],_xlfn.XLOOKUP(JS$1,$BH$2:$BR$2,$BH135:$BR135,0),0)</f>
        <v>0</v>
      </c>
      <c r="JT135" s="26">
        <f>IF(JT$2=InputTable[[#This Row],[Delivery Date]],_xlfn.XLOOKUP(JT$1,$BH$2:$BR$2,$BH135:$BR135,0),0)</f>
        <v>0</v>
      </c>
      <c r="JU135" s="26">
        <f>IF(JU$2=InputTable[[#This Row],[Delivery Date]],_xlfn.XLOOKUP(JU$1,$BH$2:$BR$2,$BH135:$BR135,0),0)</f>
        <v>0</v>
      </c>
      <c r="JV135" s="26">
        <f>IF(JV$2=InputTable[[#This Row],[Delivery Date]],_xlfn.XLOOKUP(JV$1,$BH$2:$BR$2,$BH135:$BR135,0),0)</f>
        <v>0</v>
      </c>
      <c r="JX135" s="26" t="e">
        <f>IF(JX$2=InputTable[[#This Row],[Delivery Date]],_xlfn.XLOOKUP(JX$1,$BH$2:$BR$2,$BH135:$BR135,0),0)</f>
        <v>#REF!</v>
      </c>
      <c r="JY135" s="26">
        <f>IF(JY$2=InputTable[[#This Row],[Delivery Date]],_xlfn.XLOOKUP(JY$1,$BH$2:$BR$2,$BH135:$BR135,0),0)</f>
        <v>0</v>
      </c>
      <c r="JZ135" s="26">
        <f>IF(JZ$2=InputTable[[#This Row],[Delivery Date]],_xlfn.XLOOKUP(JZ$1,$BH$2:$BR$2,$BH135:$BR135,0),0)</f>
        <v>0</v>
      </c>
      <c r="KA135" s="26">
        <f>IF(KA$2=InputTable[[#This Row],[Delivery Date]],_xlfn.XLOOKUP(KA$1,$BH$2:$BR$2,$BH135:$BR135,0),0)</f>
        <v>0</v>
      </c>
      <c r="KB135" s="26">
        <f>IF(KB$2=InputTable[[#This Row],[Delivery Date]],_xlfn.XLOOKUP(KB$1,$BH$2:$BR$2,$BH135:$BR135,0),0)</f>
        <v>0</v>
      </c>
      <c r="KC135" s="26">
        <f>IF(KC$2=InputTable[[#This Row],[Delivery Date]],_xlfn.XLOOKUP(KC$1,$BH$2:$BR$2,$BH135:$BR135,0),0)</f>
        <v>0</v>
      </c>
      <c r="KD135" s="26">
        <f>IF(KD$2=InputTable[[#This Row],[Delivery Date]],_xlfn.XLOOKUP(KD$1,$BH$2:$BR$2,$BH135:$BR135,0),0)</f>
        <v>0</v>
      </c>
      <c r="KE135" s="26">
        <f>IF(KE$2=InputTable[[#This Row],[Delivery Date]],_xlfn.XLOOKUP(KE$1,$BH$2:$BR$2,$BH135:$BR135,0),0)</f>
        <v>0</v>
      </c>
      <c r="KF135" s="26">
        <f>IF(KF$2=InputTable[[#This Row],[Delivery Date]],_xlfn.XLOOKUP(KF$1,$BH$2:$BR$2,$BH135:$BR135,0),0)</f>
        <v>0</v>
      </c>
    </row>
    <row r="136" spans="1:292" ht="37.35" customHeight="1" x14ac:dyDescent="0.25">
      <c r="A136" s="141"/>
      <c r="B136" s="141"/>
      <c r="C136" s="92"/>
      <c r="D136" s="92"/>
      <c r="E136" s="93"/>
      <c r="F136" s="92"/>
      <c r="G136" s="92"/>
      <c r="H136" s="92"/>
      <c r="I136" s="92"/>
      <c r="J136" s="122"/>
      <c r="K136" s="95" t="e">
        <f>VLOOKUP((InputTable[[#This Row],[Starting Date]]&amp; " - " &amp;InputTable[[#This Row],[Delivery Date]]),'System List'!$F$40:$H$83,2,FALSE)</f>
        <v>#N/A</v>
      </c>
      <c r="L136" s="95" t="e">
        <f>VLOOKUP(InputTable[[#This Row],[Duration]],Duration,2,FALSE)</f>
        <v>#N/A</v>
      </c>
      <c r="M136" s="122"/>
      <c r="N136" s="92"/>
      <c r="O136" s="92"/>
      <c r="P136" s="92"/>
      <c r="Q136" s="92"/>
      <c r="R136" s="92"/>
      <c r="S136" s="92"/>
      <c r="T136" s="95"/>
      <c r="U136" s="138"/>
      <c r="V136" s="92"/>
      <c r="W136" s="92"/>
      <c r="X136" s="92"/>
      <c r="Y136" s="92"/>
      <c r="Z136" s="92"/>
      <c r="AA136" s="92"/>
      <c r="AB136" s="92"/>
      <c r="AC136" s="92"/>
      <c r="AD136" s="92">
        <f>COUNTA(InputTable[[#This Row],[CORPHRFIN]:[SALES]])</f>
        <v>0</v>
      </c>
      <c r="AE136" s="88" cm="1">
        <f t="array" ref="AE136">SUM(
_xlfn.XLOOKUP(InputTable[[#This Row],[CORPHRFIN]:[SALES]],'System List'!$F$4:$F$7,'System List'!$H$4:$H$7,0))</f>
        <v>0</v>
      </c>
      <c r="AF136" s="140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88" cm="1">
        <f t="array" ref="AR136">SUM(
_xlfn.XLOOKUP(InputTable[[#This Row],[Impact on - CIAL]:[Impact on - STRAT]],'System List'!$F$4:$F$7,'System List'!$H$4:$H$7,0))</f>
        <v>0</v>
      </c>
      <c r="AS136" s="88" t="e">
        <f>VLOOKUP(InputTable[[#This Row],[Duration]],Duration,2,FALSE)+InputTable[[#This Row],[Resource Score]]</f>
        <v>#N/A</v>
      </c>
      <c r="AT13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6" s="24" t="e">
        <f>InputTable[[#This Row],[Value Score]]/InputTable[[#This Row],[EFFORT SCORE]]*100</f>
        <v>#N/A</v>
      </c>
      <c r="AV136" s="25"/>
      <c r="AW136" s="25"/>
      <c r="AX136" s="208"/>
      <c r="AY136" s="25"/>
      <c r="AZ136" s="209">
        <v>0</v>
      </c>
      <c r="BA136" s="209">
        <v>0</v>
      </c>
      <c r="BB136" s="209"/>
      <c r="BC136" s="189"/>
      <c r="BD136" s="188"/>
      <c r="BE136" s="188"/>
      <c r="BF136" s="70"/>
      <c r="BH136" s="2">
        <f>IFERROR(VLOOKUP(InputTable[[#This Row],[Impact on - CIAL]],'System List'!$F$4:$H$7,3,FALSE),0)</f>
        <v>0</v>
      </c>
      <c r="BI136" s="2">
        <f>IFERROR(VLOOKUP(InputTable[[#This Row],[Impact on - COM]],'System List'!$F$4:$H$7,3,FALSE),0)</f>
        <v>0</v>
      </c>
      <c r="BJ136" s="2">
        <f>IFERROR(VLOOKUP(InputTable[[#This Row],[Impact on - FIN]],'System List'!$F$4:$H$7,3,FALSE),0)</f>
        <v>0</v>
      </c>
      <c r="BK136" s="2">
        <f>IFERROR(VLOOKUP(InputTable[[#This Row],[Impact on - GEN SEC]],'System List'!$F$4:$H$7,3,FALSE),0)</f>
        <v>0</v>
      </c>
      <c r="BL136" s="2">
        <f>IFERROR(VLOOKUP(InputTable[[#This Row],[Impact on - HR]],'System List'!$F$4:$H$7,3,FALSE),0)</f>
        <v>0</v>
      </c>
      <c r="BM136" s="2">
        <f>IFERROR(VLOOKUP(InputTable[[#This Row],[Impact on - IS]],'System List'!$F$4:$H$7,3,FALSE),0)</f>
        <v>0</v>
      </c>
      <c r="BN136" s="2">
        <f>IFERROR(VLOOKUP(InputTable[[#This Row],[Impact on - OPS]],'System List'!$F$4:$H$7,3,FALSE),0)</f>
        <v>0</v>
      </c>
      <c r="BO136" s="2">
        <f>IFERROR(VLOOKUP(InputTable[[#This Row],[Impact on - ROLL STOCK]],'System List'!$F$4:$H$7,3,FALSE),0)</f>
        <v>0</v>
      </c>
      <c r="BP136" s="2">
        <f>IFERROR(VLOOKUP(InputTable[[#This Row],[Impact on - SAFETY]],'System List'!$F$4:$H$7,3,FALSE),0)</f>
        <v>0</v>
      </c>
      <c r="BQ136" s="2">
        <f>IFERROR(VLOOKUP(InputTable[[#This Row],[Impact on - STATION]],'System List'!$F$4:$H$7,3,FALSE),0)</f>
        <v>0</v>
      </c>
      <c r="BR136" s="2">
        <f>IFERROR(VLOOKUP(InputTable[[#This Row],[Impact on - STRAT]],'System List'!$F$4:$H$7,3,FALSE),0)</f>
        <v>0</v>
      </c>
      <c r="BT136" s="2">
        <f>IFERROR(VLOOKUP(InputTable[[#This Row],[CORPHRFIN]],'System List'!$F$4:$H$7,3,FALSE),0)</f>
        <v>0</v>
      </c>
      <c r="BU136" s="2">
        <f>IFERROR(VLOOKUP(InputTable[[#This Row],[CUST]],'System List'!$F$4:$H$7,3,FALSE),0)</f>
        <v>0</v>
      </c>
      <c r="BV136" s="2">
        <f>IFERROR(VLOOKUP(InputTable[[#This Row],[CYBER]],'System List'!$F$4:$H$7,3,FALSE),0)</f>
        <v>0</v>
      </c>
      <c r="BW136" s="2">
        <f>IFERROR(VLOOKUP(InputTable[[#This Row],[DATA]],'System List'!$F$4:$H$7,3,FALSE),0)</f>
        <v>0</v>
      </c>
      <c r="BX136" s="2">
        <f>IFERROR(VLOOKUP(InputTable[[#This Row],[INFRA]],'System List'!$F$4:$H$7,3,FALSE),0)</f>
        <v>0</v>
      </c>
      <c r="BY136" s="2">
        <f>IFERROR(VLOOKUP(InputTable[[#This Row],[OPERATIONS]],'System List'!$F$4:$H$7,3,FALSE),0)</f>
        <v>0</v>
      </c>
      <c r="BZ136" s="2">
        <f>IFERROR(VLOOKUP(InputTable[[#This Row],[PMO]],'System List'!$F$4:$H$7,3,FALSE),0)</f>
        <v>0</v>
      </c>
      <c r="CA136" s="2">
        <f>IFERROR(VLOOKUP(InputTable[[#This Row],[SALES]],'System List'!$F$4:$H$7,3,FALSE),0)</f>
        <v>0</v>
      </c>
      <c r="CC136" s="2" cm="1">
        <f t="array" ref="CC13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6" s="2" cm="1">
        <f t="array" ref="CD13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6" s="2" cm="1">
        <f t="array" ref="CE13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6" s="2" cm="1">
        <f t="array" ref="CF13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6" s="2" cm="1">
        <f t="array" ref="CG13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6" s="2" cm="1">
        <f t="array" ref="CH13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6" s="2" cm="1">
        <f t="array" ref="CI13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6" s="2" cm="1">
        <f t="array" ref="CJ13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6" s="2" cm="1">
        <f t="array" ref="CK13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6" s="26">
        <f t="shared" si="307"/>
        <v>0</v>
      </c>
      <c r="CY136" s="26">
        <f t="shared" si="308"/>
        <v>0</v>
      </c>
      <c r="CZ136" s="26">
        <f t="shared" si="309"/>
        <v>0</v>
      </c>
      <c r="DA136" s="26">
        <f t="shared" si="310"/>
        <v>0</v>
      </c>
      <c r="DB136" s="26">
        <f t="shared" si="311"/>
        <v>0</v>
      </c>
      <c r="DC136" s="26">
        <f t="shared" si="312"/>
        <v>0</v>
      </c>
      <c r="DD136" s="26">
        <f t="shared" si="313"/>
        <v>0</v>
      </c>
      <c r="DE136" s="26">
        <f t="shared" si="314"/>
        <v>0</v>
      </c>
      <c r="DF136" s="26">
        <f t="shared" si="315"/>
        <v>0</v>
      </c>
      <c r="DH136" s="26">
        <f t="shared" si="316"/>
        <v>0</v>
      </c>
      <c r="DI136" s="26">
        <f t="shared" si="317"/>
        <v>0</v>
      </c>
      <c r="DJ136" s="26">
        <f t="shared" si="318"/>
        <v>0</v>
      </c>
      <c r="DK136" s="26">
        <f t="shared" si="319"/>
        <v>0</v>
      </c>
      <c r="DL136" s="26">
        <f t="shared" si="320"/>
        <v>0</v>
      </c>
      <c r="DM136" s="26">
        <f t="shared" si="321"/>
        <v>0</v>
      </c>
      <c r="DN136" s="26">
        <f t="shared" si="322"/>
        <v>0</v>
      </c>
      <c r="DO136" s="26">
        <f t="shared" si="323"/>
        <v>0</v>
      </c>
      <c r="DP136" s="26">
        <f t="shared" si="324"/>
        <v>0</v>
      </c>
      <c r="DR136" s="26">
        <f t="shared" si="325"/>
        <v>0</v>
      </c>
      <c r="DS136" s="26">
        <f t="shared" si="326"/>
        <v>0</v>
      </c>
      <c r="DT136" s="26">
        <f t="shared" si="327"/>
        <v>0</v>
      </c>
      <c r="DU136" s="26">
        <f t="shared" si="328"/>
        <v>0</v>
      </c>
      <c r="DV136" s="26">
        <f t="shared" si="329"/>
        <v>0</v>
      </c>
      <c r="DW136" s="26">
        <f t="shared" si="330"/>
        <v>0</v>
      </c>
      <c r="DX136" s="26">
        <f t="shared" si="331"/>
        <v>0</v>
      </c>
      <c r="DY136" s="26">
        <f t="shared" si="332"/>
        <v>0</v>
      </c>
      <c r="DZ136" s="26">
        <f t="shared" si="333"/>
        <v>0</v>
      </c>
      <c r="EB136" s="26">
        <f t="shared" si="334"/>
        <v>0</v>
      </c>
      <c r="EC136" s="26">
        <f t="shared" si="335"/>
        <v>0</v>
      </c>
      <c r="ED136" s="26">
        <f t="shared" si="336"/>
        <v>0</v>
      </c>
      <c r="EE136" s="26">
        <f t="shared" si="337"/>
        <v>0</v>
      </c>
      <c r="EF136" s="26">
        <f t="shared" si="338"/>
        <v>0</v>
      </c>
      <c r="EG136" s="26">
        <f t="shared" si="339"/>
        <v>0</v>
      </c>
      <c r="EH136" s="26">
        <f t="shared" si="340"/>
        <v>0</v>
      </c>
      <c r="EI136" s="26">
        <f t="shared" si="341"/>
        <v>0</v>
      </c>
      <c r="EJ136" s="26">
        <f t="shared" si="342"/>
        <v>0</v>
      </c>
      <c r="EL136" s="26">
        <f t="shared" si="343"/>
        <v>0</v>
      </c>
      <c r="EM136" s="26">
        <f t="shared" si="344"/>
        <v>0</v>
      </c>
      <c r="EN136" s="26">
        <f t="shared" si="345"/>
        <v>0</v>
      </c>
      <c r="EO136" s="26">
        <f t="shared" si="346"/>
        <v>0</v>
      </c>
      <c r="EP136" s="26">
        <f t="shared" si="347"/>
        <v>0</v>
      </c>
      <c r="EQ136" s="26">
        <f t="shared" si="348"/>
        <v>0</v>
      </c>
      <c r="ER136" s="26">
        <f t="shared" si="349"/>
        <v>0</v>
      </c>
      <c r="ES136" s="26">
        <f t="shared" si="350"/>
        <v>0</v>
      </c>
      <c r="ET136" s="26">
        <f t="shared" si="351"/>
        <v>0</v>
      </c>
      <c r="EV136" s="26">
        <f t="shared" si="352"/>
        <v>0</v>
      </c>
      <c r="EW136" s="26">
        <f t="shared" si="353"/>
        <v>0</v>
      </c>
      <c r="EX136" s="26">
        <f t="shared" si="354"/>
        <v>0</v>
      </c>
      <c r="EY136" s="26">
        <f t="shared" si="355"/>
        <v>0</v>
      </c>
      <c r="EZ136" s="26">
        <f t="shared" si="356"/>
        <v>0</v>
      </c>
      <c r="FA136" s="26">
        <f t="shared" si="357"/>
        <v>0</v>
      </c>
      <c r="FB136" s="26">
        <f t="shared" si="358"/>
        <v>0</v>
      </c>
      <c r="FC136" s="26">
        <f t="shared" si="359"/>
        <v>0</v>
      </c>
      <c r="FD136" s="26">
        <f t="shared" si="360"/>
        <v>0</v>
      </c>
      <c r="FF136" s="26">
        <f t="shared" si="361"/>
        <v>0</v>
      </c>
      <c r="FG136" s="26">
        <f t="shared" si="362"/>
        <v>0</v>
      </c>
      <c r="FH136" s="26">
        <f t="shared" si="363"/>
        <v>0</v>
      </c>
      <c r="FI136" s="26">
        <f t="shared" si="364"/>
        <v>0</v>
      </c>
      <c r="FJ136" s="26">
        <f t="shared" si="365"/>
        <v>0</v>
      </c>
      <c r="FK136" s="26">
        <f t="shared" si="366"/>
        <v>0</v>
      </c>
      <c r="FL136" s="26">
        <f t="shared" si="367"/>
        <v>0</v>
      </c>
      <c r="FM136" s="26">
        <f t="shared" si="368"/>
        <v>0</v>
      </c>
      <c r="FN136" s="26">
        <f t="shared" si="369"/>
        <v>0</v>
      </c>
      <c r="FP136" s="26" t="e">
        <f t="shared" si="370"/>
        <v>#REF!</v>
      </c>
      <c r="FQ136" s="26" t="e">
        <f t="shared" si="371"/>
        <v>#REF!</v>
      </c>
      <c r="FR136" s="26" t="e">
        <f t="shared" si="372"/>
        <v>#REF!</v>
      </c>
      <c r="FS136" s="26" t="e">
        <f t="shared" si="373"/>
        <v>#REF!</v>
      </c>
      <c r="FT136" s="26" t="e">
        <f t="shared" si="374"/>
        <v>#REF!</v>
      </c>
      <c r="FU136" s="26" t="e">
        <f t="shared" si="375"/>
        <v>#REF!</v>
      </c>
      <c r="FV136" s="26" t="e">
        <f t="shared" si="376"/>
        <v>#REF!</v>
      </c>
      <c r="FW136" s="26" t="e">
        <f t="shared" si="377"/>
        <v>#REF!</v>
      </c>
      <c r="FX136" s="26" t="e">
        <f t="shared" si="378"/>
        <v>#REF!</v>
      </c>
      <c r="GB136" s="26" t="e">
        <f>IF(GB$2=InputTable[[#This Row],[Delivery Date]],_xlfn.XLOOKUP(GB$1,$BH$2:$BR$2,$BH136:$BR136,0),0)</f>
        <v>#REF!</v>
      </c>
      <c r="GC136" s="26">
        <f>IF(GC$2=InputTable[[#This Row],[Delivery Date]],_xlfn.XLOOKUP(GC$1,$BH$2:$BR$2,$BH136:$BR136,0),0)</f>
        <v>0</v>
      </c>
      <c r="GD136" s="26">
        <f>IF(GD$2=InputTable[[#This Row],[Delivery Date]],_xlfn.XLOOKUP(GD$1,$BH$2:$BR$2,$BH136:$BR136,0),0)</f>
        <v>0</v>
      </c>
      <c r="GE136" s="26">
        <f>IF(GE$2=InputTable[[#This Row],[Delivery Date]],_xlfn.XLOOKUP(GE$1,$BH$2:$BR$2,$BH136:$BR136,0),0)</f>
        <v>0</v>
      </c>
      <c r="GF136" s="26">
        <f>IF(GF$2=InputTable[[#This Row],[Delivery Date]],_xlfn.XLOOKUP(GF$1,$BH$2:$BR$2,$BH136:$BR136,0),0)</f>
        <v>0</v>
      </c>
      <c r="GG136" s="26">
        <f>IF(GG$2=InputTable[[#This Row],[Delivery Date]],_xlfn.XLOOKUP(GG$1,$BH$2:$BR$2,$BH136:$BR136,0),0)</f>
        <v>0</v>
      </c>
      <c r="GH136" s="26">
        <f>IF(GH$2=InputTable[[#This Row],[Delivery Date]],_xlfn.XLOOKUP(GH$1,$BH$2:$BR$2,$BH136:$BR136,0),0)</f>
        <v>0</v>
      </c>
      <c r="GI136" s="26">
        <f>IF(GI$2=InputTable[[#This Row],[Delivery Date]],_xlfn.XLOOKUP(GI$1,$BH$2:$BR$2,$BH136:$BR136,0),0)</f>
        <v>0</v>
      </c>
      <c r="GJ136" s="26">
        <f>IF(GJ$2=InputTable[[#This Row],[Delivery Date]],_xlfn.XLOOKUP(GJ$1,$BH$2:$BR$2,$BH136:$BR136,0),0)</f>
        <v>0</v>
      </c>
      <c r="GL136" s="26" t="e">
        <f>IF(GL$2=InputTable[[#This Row],[Delivery Date]],_xlfn.XLOOKUP(GL$1,$BH$2:$BR$2,$BH136:$BR136,0),0)</f>
        <v>#REF!</v>
      </c>
      <c r="GM136" s="26">
        <f>IF(GM$2=InputTable[[#This Row],[Delivery Date]],_xlfn.XLOOKUP(GM$1,$BH$2:$BR$2,$BH136:$BR136,0),0)</f>
        <v>0</v>
      </c>
      <c r="GN136" s="26">
        <f>IF(GN$2=InputTable[[#This Row],[Delivery Date]],_xlfn.XLOOKUP(GN$1,$BH$2:$BR$2,$BH136:$BR136,0),0)</f>
        <v>0</v>
      </c>
      <c r="GO136" s="26">
        <f>IF(GO$2=InputTable[[#This Row],[Delivery Date]],_xlfn.XLOOKUP(GO$1,$BH$2:$BR$2,$BH136:$BR136,0),0)</f>
        <v>0</v>
      </c>
      <c r="GP136" s="26">
        <f>IF(GP$2=InputTable[[#This Row],[Delivery Date]],_xlfn.XLOOKUP(GP$1,$BH$2:$BR$2,$BH136:$BR136,0),0)</f>
        <v>0</v>
      </c>
      <c r="GQ136" s="26">
        <f>IF(GQ$2=InputTable[[#This Row],[Delivery Date]],_xlfn.XLOOKUP(GQ$1,$BH$2:$BR$2,$BH136:$BR136,0),0)</f>
        <v>0</v>
      </c>
      <c r="GR136" s="26">
        <f>IF(GR$2=InputTable[[#This Row],[Delivery Date]],_xlfn.XLOOKUP(GR$1,$BH$2:$BR$2,$BH136:$BR136,0),0)</f>
        <v>0</v>
      </c>
      <c r="GS136" s="26">
        <f>IF(GS$2=InputTable[[#This Row],[Delivery Date]],_xlfn.XLOOKUP(GS$1,$BH$2:$BR$2,$BH136:$BR136,0),0)</f>
        <v>0</v>
      </c>
      <c r="GT136" s="26">
        <f>IF(GT$2=InputTable[[#This Row],[Delivery Date]],_xlfn.XLOOKUP(GT$1,$BH$2:$BR$2,$BH136:$BR136,0),0)</f>
        <v>0</v>
      </c>
      <c r="GV136" s="26" t="e">
        <f>IF(GV$2=InputTable[[#This Row],[Delivery Date]],_xlfn.XLOOKUP(GV$1,$BH$2:$BR$2,$BH136:$BR136,0),0)</f>
        <v>#REF!</v>
      </c>
      <c r="GW136" s="26">
        <f>IF(GW$2=InputTable[[#This Row],[Delivery Date]],_xlfn.XLOOKUP(GW$1,$BH$2:$BR$2,$BH136:$BR136,0),0)</f>
        <v>0</v>
      </c>
      <c r="GX136" s="26">
        <f>IF(GX$2=InputTable[[#This Row],[Delivery Date]],_xlfn.XLOOKUP(GX$1,$BH$2:$BR$2,$BH136:$BR136,0),0)</f>
        <v>0</v>
      </c>
      <c r="GY136" s="26">
        <f>IF(GY$2=InputTable[[#This Row],[Delivery Date]],_xlfn.XLOOKUP(GY$1,$BH$2:$BR$2,$BH136:$BR136,0),0)</f>
        <v>0</v>
      </c>
      <c r="GZ136" s="26">
        <f>IF(GZ$2=InputTable[[#This Row],[Delivery Date]],_xlfn.XLOOKUP(GZ$1,$BH$2:$BR$2,$BH136:$BR136,0),0)</f>
        <v>0</v>
      </c>
      <c r="HA136" s="26">
        <f>IF(HA$2=InputTable[[#This Row],[Delivery Date]],_xlfn.XLOOKUP(HA$1,$BH$2:$BR$2,$BH136:$BR136,0),0)</f>
        <v>0</v>
      </c>
      <c r="HB136" s="26">
        <f>IF(HB$2=InputTable[[#This Row],[Delivery Date]],_xlfn.XLOOKUP(HB$1,$BH$2:$BR$2,$BH136:$BR136,0),0)</f>
        <v>0</v>
      </c>
      <c r="HC136" s="26">
        <f>IF(HC$2=InputTable[[#This Row],[Delivery Date]],_xlfn.XLOOKUP(HC$1,$BH$2:$BR$2,$BH136:$BR136,0),0)</f>
        <v>0</v>
      </c>
      <c r="HD136" s="26">
        <f>IF(HD$2=InputTable[[#This Row],[Delivery Date]],_xlfn.XLOOKUP(HD$1,$BH$2:$BR$2,$BH136:$BR136,0),0)</f>
        <v>0</v>
      </c>
      <c r="HF136" s="26" t="e">
        <f>IF(HF$2=InputTable[[#This Row],[Delivery Date]],_xlfn.XLOOKUP(HF$1,$BH$2:$BR$2,$BH136:$BR136,0),0)</f>
        <v>#REF!</v>
      </c>
      <c r="HG136" s="26">
        <f>IF(HG$2=InputTable[[#This Row],[Delivery Date]],_xlfn.XLOOKUP(HG$1,$BH$2:$BR$2,$BH136:$BR136,0),0)</f>
        <v>0</v>
      </c>
      <c r="HH136" s="26">
        <f>IF(HH$2=InputTable[[#This Row],[Delivery Date]],_xlfn.XLOOKUP(HH$1,$BH$2:$BR$2,$BH136:$BR136,0),0)</f>
        <v>0</v>
      </c>
      <c r="HI136" s="26">
        <f>IF(HI$2=InputTable[[#This Row],[Delivery Date]],_xlfn.XLOOKUP(HI$1,$BH$2:$BR$2,$BH136:$BR136,0),0)</f>
        <v>0</v>
      </c>
      <c r="HJ136" s="26">
        <f>IF(HJ$2=InputTable[[#This Row],[Delivery Date]],_xlfn.XLOOKUP(HJ$1,$BH$2:$BR$2,$BH136:$BR136,0),0)</f>
        <v>0</v>
      </c>
      <c r="HK136" s="26">
        <f>IF(HK$2=InputTable[[#This Row],[Delivery Date]],_xlfn.XLOOKUP(HK$1,$BH$2:$BR$2,$BH136:$BR136,0),0)</f>
        <v>0</v>
      </c>
      <c r="HL136" s="26">
        <f>IF(HL$2=InputTable[[#This Row],[Delivery Date]],_xlfn.XLOOKUP(HL$1,$BH$2:$BR$2,$BH136:$BR136,0),0)</f>
        <v>0</v>
      </c>
      <c r="HM136" s="26">
        <f>IF(HM$2=InputTable[[#This Row],[Delivery Date]],_xlfn.XLOOKUP(HM$1,$BH$2:$BR$2,$BH136:$BR136,0),0)</f>
        <v>0</v>
      </c>
      <c r="HN136" s="26">
        <f>IF(HN$2=InputTable[[#This Row],[Delivery Date]],_xlfn.XLOOKUP(HN$1,$BH$2:$BR$2,$BH136:$BR136,0),0)</f>
        <v>0</v>
      </c>
      <c r="HP136" s="26" t="e">
        <f>IF(HP$2=InputTable[[#This Row],[Delivery Date]],_xlfn.XLOOKUP(HP$1,$BH$2:$BR$2,$BH136:$BR136,0),0)</f>
        <v>#REF!</v>
      </c>
      <c r="HQ136" s="26">
        <f>IF(HQ$2=InputTable[[#This Row],[Delivery Date]],_xlfn.XLOOKUP(HQ$1,$BH$2:$BR$2,$BH136:$BR136,0),0)</f>
        <v>0</v>
      </c>
      <c r="HR136" s="26">
        <f>IF(HR$2=InputTable[[#This Row],[Delivery Date]],_xlfn.XLOOKUP(HR$1,$BH$2:$BR$2,$BH136:$BR136,0),0)</f>
        <v>0</v>
      </c>
      <c r="HS136" s="26">
        <f>IF(HS$2=InputTable[[#This Row],[Delivery Date]],_xlfn.XLOOKUP(HS$1,$BH$2:$BR$2,$BH136:$BR136,0),0)</f>
        <v>0</v>
      </c>
      <c r="HT136" s="26">
        <f>IF(HT$2=InputTable[[#This Row],[Delivery Date]],_xlfn.XLOOKUP(HT$1,$BH$2:$BR$2,$BH136:$BR136,0),0)</f>
        <v>0</v>
      </c>
      <c r="HU136" s="26">
        <f>IF(HU$2=InputTable[[#This Row],[Delivery Date]],_xlfn.XLOOKUP(HU$1,$BH$2:$BR$2,$BH136:$BR136,0),0)</f>
        <v>0</v>
      </c>
      <c r="HV136" s="26">
        <f>IF(HV$2=InputTable[[#This Row],[Delivery Date]],_xlfn.XLOOKUP(HV$1,$BH$2:$BR$2,$BH136:$BR136,0),0)</f>
        <v>0</v>
      </c>
      <c r="HW136" s="26">
        <f>IF(HW$2=InputTable[[#This Row],[Delivery Date]],_xlfn.XLOOKUP(HW$1,$BH$2:$BR$2,$BH136:$BR136,0),0)</f>
        <v>0</v>
      </c>
      <c r="HX136" s="26">
        <f>IF(HX$2=InputTable[[#This Row],[Delivery Date]],_xlfn.XLOOKUP(HX$1,$BH$2:$BR$2,$BH136:$BR136,0),0)</f>
        <v>0</v>
      </c>
      <c r="HZ136" s="26" t="e">
        <f>IF(HZ$2=InputTable[[#This Row],[Delivery Date]],_xlfn.XLOOKUP(HZ$1,$BH$2:$BR$2,$BH136:$BR136,0),0)</f>
        <v>#REF!</v>
      </c>
      <c r="IA136" s="26">
        <f>IF(IA$2=InputTable[[#This Row],[Delivery Date]],_xlfn.XLOOKUP(IA$1,$BH$2:$BR$2,$BH136:$BR136,0),0)</f>
        <v>0</v>
      </c>
      <c r="IB136" s="26">
        <f>IF(IB$2=InputTable[[#This Row],[Delivery Date]],_xlfn.XLOOKUP(IB$1,$BH$2:$BR$2,$BH136:$BR136,0),0)</f>
        <v>0</v>
      </c>
      <c r="IC136" s="26">
        <f>IF(IC$2=InputTable[[#This Row],[Delivery Date]],_xlfn.XLOOKUP(IC$1,$BH$2:$BR$2,$BH136:$BR136,0),0)</f>
        <v>0</v>
      </c>
      <c r="ID136" s="26">
        <f>IF(ID$2=InputTable[[#This Row],[Delivery Date]],_xlfn.XLOOKUP(ID$1,$BH$2:$BR$2,$BH136:$BR136,0),0)</f>
        <v>0</v>
      </c>
      <c r="IE136" s="26">
        <f>IF(IE$2=InputTable[[#This Row],[Delivery Date]],_xlfn.XLOOKUP(IE$1,$BH$2:$BR$2,$BH136:$BR136,0),0)</f>
        <v>0</v>
      </c>
      <c r="IF136" s="26">
        <f>IF(IF$2=InputTable[[#This Row],[Delivery Date]],_xlfn.XLOOKUP(IF$1,$BH$2:$BR$2,$BH136:$BR136,0),0)</f>
        <v>0</v>
      </c>
      <c r="IG136" s="26">
        <f>IF(IG$2=InputTable[[#This Row],[Delivery Date]],_xlfn.XLOOKUP(IG$1,$BH$2:$BR$2,$BH136:$BR136,0),0)</f>
        <v>0</v>
      </c>
      <c r="IH136" s="26">
        <f>IF(IH$2=InputTable[[#This Row],[Delivery Date]],_xlfn.XLOOKUP(IH$1,$BH$2:$BR$2,$BH136:$BR136,0),0)</f>
        <v>0</v>
      </c>
      <c r="IJ136" s="26" t="e">
        <f>IF(IJ$2=InputTable[[#This Row],[Delivery Date]],_xlfn.XLOOKUP(IJ$1,$BH$2:$BR$2,$BH136:$BR136,0),0)</f>
        <v>#REF!</v>
      </c>
      <c r="IK136" s="26">
        <f>IF(IK$2=InputTable[[#This Row],[Delivery Date]],_xlfn.XLOOKUP(IK$1,$BH$2:$BR$2,$BH136:$BR136,0),0)</f>
        <v>0</v>
      </c>
      <c r="IL136" s="26">
        <f>IF(IL$2=InputTable[[#This Row],[Delivery Date]],_xlfn.XLOOKUP(IL$1,$BH$2:$BR$2,$BH136:$BR136,0),0)</f>
        <v>0</v>
      </c>
      <c r="IM136" s="26">
        <f>IF(IM$2=InputTable[[#This Row],[Delivery Date]],_xlfn.XLOOKUP(IM$1,$BH$2:$BR$2,$BH136:$BR136,0),0)</f>
        <v>0</v>
      </c>
      <c r="IN136" s="26">
        <f>IF(IN$2=InputTable[[#This Row],[Delivery Date]],_xlfn.XLOOKUP(IN$1,$BH$2:$BR$2,$BH136:$BR136,0),0)</f>
        <v>0</v>
      </c>
      <c r="IO136" s="26">
        <f>IF(IO$2=InputTable[[#This Row],[Delivery Date]],_xlfn.XLOOKUP(IO$1,$BH$2:$BR$2,$BH136:$BR136,0),0)</f>
        <v>0</v>
      </c>
      <c r="IP136" s="26">
        <f>IF(IP$2=InputTable[[#This Row],[Delivery Date]],_xlfn.XLOOKUP(IP$1,$BH$2:$BR$2,$BH136:$BR136,0),0)</f>
        <v>0</v>
      </c>
      <c r="IQ136" s="26">
        <f>IF(IQ$2=InputTable[[#This Row],[Delivery Date]],_xlfn.XLOOKUP(IQ$1,$BH$2:$BR$2,$BH136:$BR136,0),0)</f>
        <v>0</v>
      </c>
      <c r="IR136" s="26">
        <f>IF(IR$2=InputTable[[#This Row],[Delivery Date]],_xlfn.XLOOKUP(IR$1,$BH$2:$BR$2,$BH136:$BR136,0),0)</f>
        <v>0</v>
      </c>
      <c r="IT136" s="26" t="e">
        <f>IF(IT$2=InputTable[[#This Row],[Delivery Date]],_xlfn.XLOOKUP(IT$1,$BH$2:$BR$2,$BH136:$BR136,0),0)</f>
        <v>#REF!</v>
      </c>
      <c r="IU136" s="26">
        <f>IF(IU$2=InputTable[[#This Row],[Delivery Date]],_xlfn.XLOOKUP(IU$1,$BH$2:$BR$2,$BH136:$BR136,0),0)</f>
        <v>0</v>
      </c>
      <c r="IV136" s="26">
        <f>IF(IV$2=InputTable[[#This Row],[Delivery Date]],_xlfn.XLOOKUP(IV$1,$BH$2:$BR$2,$BH136:$BR136,0),0)</f>
        <v>0</v>
      </c>
      <c r="IW136" s="26">
        <f>IF(IW$2=InputTable[[#This Row],[Delivery Date]],_xlfn.XLOOKUP(IW$1,$BH$2:$BR$2,$BH136:$BR136,0),0)</f>
        <v>0</v>
      </c>
      <c r="IX136" s="26">
        <f>IF(IX$2=InputTable[[#This Row],[Delivery Date]],_xlfn.XLOOKUP(IX$1,$BH$2:$BR$2,$BH136:$BR136,0),0)</f>
        <v>0</v>
      </c>
      <c r="IY136" s="26">
        <f>IF(IY$2=InputTable[[#This Row],[Delivery Date]],_xlfn.XLOOKUP(IY$1,$BH$2:$BR$2,$BH136:$BR136,0),0)</f>
        <v>0</v>
      </c>
      <c r="IZ136" s="26">
        <f>IF(IZ$2=InputTable[[#This Row],[Delivery Date]],_xlfn.XLOOKUP(IZ$1,$BH$2:$BR$2,$BH136:$BR136,0),0)</f>
        <v>0</v>
      </c>
      <c r="JA136" s="26">
        <f>IF(JA$2=InputTable[[#This Row],[Delivery Date]],_xlfn.XLOOKUP(JA$1,$BH$2:$BR$2,$BH136:$BR136,0),0)</f>
        <v>0</v>
      </c>
      <c r="JB136" s="26">
        <f>IF(JB$2=InputTable[[#This Row],[Delivery Date]],_xlfn.XLOOKUP(JB$1,$BH$2:$BR$2,$BH136:$BR136,0),0)</f>
        <v>0</v>
      </c>
      <c r="JD136" s="26" t="e">
        <f>IF(JD$2=InputTable[[#This Row],[Delivery Date]],_xlfn.XLOOKUP(JD$1,$BH$2:$BR$2,$BH136:$BR136,0),0)</f>
        <v>#REF!</v>
      </c>
      <c r="JE136" s="26">
        <f>IF(JE$2=InputTable[[#This Row],[Delivery Date]],_xlfn.XLOOKUP(JE$1,$BH$2:$BR$2,$BH136:$BR136,0),0)</f>
        <v>0</v>
      </c>
      <c r="JF136" s="26">
        <f>IF(JF$2=InputTable[[#This Row],[Delivery Date]],_xlfn.XLOOKUP(JF$1,$BH$2:$BR$2,$BH136:$BR136,0),0)</f>
        <v>0</v>
      </c>
      <c r="JG136" s="26">
        <f>IF(JG$2=InputTable[[#This Row],[Delivery Date]],_xlfn.XLOOKUP(JG$1,$BH$2:$BR$2,$BH136:$BR136,0),0)</f>
        <v>0</v>
      </c>
      <c r="JH136" s="26">
        <f>IF(JH$2=InputTable[[#This Row],[Delivery Date]],_xlfn.XLOOKUP(JH$1,$BH$2:$BR$2,$BH136:$BR136,0),0)</f>
        <v>0</v>
      </c>
      <c r="JI136" s="26">
        <f>IF(JI$2=InputTable[[#This Row],[Delivery Date]],_xlfn.XLOOKUP(JI$1,$BH$2:$BR$2,$BH136:$BR136,0),0)</f>
        <v>0</v>
      </c>
      <c r="JJ136" s="26">
        <f>IF(JJ$2=InputTable[[#This Row],[Delivery Date]],_xlfn.XLOOKUP(JJ$1,$BH$2:$BR$2,$BH136:$BR136,0),0)</f>
        <v>0</v>
      </c>
      <c r="JK136" s="26">
        <f>IF(JK$2=InputTable[[#This Row],[Delivery Date]],_xlfn.XLOOKUP(JK$1,$BH$2:$BR$2,$BH136:$BR136,0),0)</f>
        <v>0</v>
      </c>
      <c r="JL136" s="26">
        <f>IF(JL$2=InputTable[[#This Row],[Delivery Date]],_xlfn.XLOOKUP(JL$1,$BH$2:$BR$2,$BH136:$BR136,0),0)</f>
        <v>0</v>
      </c>
      <c r="JN136" s="26" t="e">
        <f>IF(JN$2=InputTable[[#This Row],[Delivery Date]],_xlfn.XLOOKUP(JN$1,$BH$2:$BR$2,$BH136:$BR136,0),0)</f>
        <v>#REF!</v>
      </c>
      <c r="JO136" s="26">
        <f>IF(JO$2=InputTable[[#This Row],[Delivery Date]],_xlfn.XLOOKUP(JO$1,$BH$2:$BR$2,$BH136:$BR136,0),0)</f>
        <v>0</v>
      </c>
      <c r="JP136" s="26">
        <f>IF(JP$2=InputTable[[#This Row],[Delivery Date]],_xlfn.XLOOKUP(JP$1,$BH$2:$BR$2,$BH136:$BR136,0),0)</f>
        <v>0</v>
      </c>
      <c r="JQ136" s="26">
        <f>IF(JQ$2=InputTable[[#This Row],[Delivery Date]],_xlfn.XLOOKUP(JQ$1,$BH$2:$BR$2,$BH136:$BR136,0),0)</f>
        <v>0</v>
      </c>
      <c r="JR136" s="26">
        <f>IF(JR$2=InputTable[[#This Row],[Delivery Date]],_xlfn.XLOOKUP(JR$1,$BH$2:$BR$2,$BH136:$BR136,0),0)</f>
        <v>0</v>
      </c>
      <c r="JS136" s="26">
        <f>IF(JS$2=InputTable[[#This Row],[Delivery Date]],_xlfn.XLOOKUP(JS$1,$BH$2:$BR$2,$BH136:$BR136,0),0)</f>
        <v>0</v>
      </c>
      <c r="JT136" s="26">
        <f>IF(JT$2=InputTable[[#This Row],[Delivery Date]],_xlfn.XLOOKUP(JT$1,$BH$2:$BR$2,$BH136:$BR136,0),0)</f>
        <v>0</v>
      </c>
      <c r="JU136" s="26">
        <f>IF(JU$2=InputTable[[#This Row],[Delivery Date]],_xlfn.XLOOKUP(JU$1,$BH$2:$BR$2,$BH136:$BR136,0),0)</f>
        <v>0</v>
      </c>
      <c r="JV136" s="26">
        <f>IF(JV$2=InputTable[[#This Row],[Delivery Date]],_xlfn.XLOOKUP(JV$1,$BH$2:$BR$2,$BH136:$BR136,0),0)</f>
        <v>0</v>
      </c>
      <c r="JX136" s="26" t="e">
        <f>IF(JX$2=InputTable[[#This Row],[Delivery Date]],_xlfn.XLOOKUP(JX$1,$BH$2:$BR$2,$BH136:$BR136,0),0)</f>
        <v>#REF!</v>
      </c>
      <c r="JY136" s="26">
        <f>IF(JY$2=InputTable[[#This Row],[Delivery Date]],_xlfn.XLOOKUP(JY$1,$BH$2:$BR$2,$BH136:$BR136,0),0)</f>
        <v>0</v>
      </c>
      <c r="JZ136" s="26">
        <f>IF(JZ$2=InputTable[[#This Row],[Delivery Date]],_xlfn.XLOOKUP(JZ$1,$BH$2:$BR$2,$BH136:$BR136,0),0)</f>
        <v>0</v>
      </c>
      <c r="KA136" s="26">
        <f>IF(KA$2=InputTable[[#This Row],[Delivery Date]],_xlfn.XLOOKUP(KA$1,$BH$2:$BR$2,$BH136:$BR136,0),0)</f>
        <v>0</v>
      </c>
      <c r="KB136" s="26">
        <f>IF(KB$2=InputTable[[#This Row],[Delivery Date]],_xlfn.XLOOKUP(KB$1,$BH$2:$BR$2,$BH136:$BR136,0),0)</f>
        <v>0</v>
      </c>
      <c r="KC136" s="26">
        <f>IF(KC$2=InputTable[[#This Row],[Delivery Date]],_xlfn.XLOOKUP(KC$1,$BH$2:$BR$2,$BH136:$BR136,0),0)</f>
        <v>0</v>
      </c>
      <c r="KD136" s="26">
        <f>IF(KD$2=InputTable[[#This Row],[Delivery Date]],_xlfn.XLOOKUP(KD$1,$BH$2:$BR$2,$BH136:$BR136,0),0)</f>
        <v>0</v>
      </c>
      <c r="KE136" s="26">
        <f>IF(KE$2=InputTable[[#This Row],[Delivery Date]],_xlfn.XLOOKUP(KE$1,$BH$2:$BR$2,$BH136:$BR136,0),0)</f>
        <v>0</v>
      </c>
      <c r="KF136" s="26">
        <f>IF(KF$2=InputTable[[#This Row],[Delivery Date]],_xlfn.XLOOKUP(KF$1,$BH$2:$BR$2,$BH136:$BR136,0),0)</f>
        <v>0</v>
      </c>
    </row>
    <row r="137" spans="1:292" ht="17.399999999999999" x14ac:dyDescent="0.25">
      <c r="A137" s="141"/>
      <c r="B137" s="141"/>
      <c r="C137" s="92"/>
      <c r="D137" s="92"/>
      <c r="E137" s="93"/>
      <c r="F137" s="92"/>
      <c r="G137" s="92"/>
      <c r="H137" s="92"/>
      <c r="I137" s="92"/>
      <c r="J137" s="122"/>
      <c r="K137" s="95" t="e">
        <f>VLOOKUP((InputTable[[#This Row],[Starting Date]]&amp; " - " &amp;InputTable[[#This Row],[Delivery Date]]),'System List'!$F$40:$H$83,2,FALSE)</f>
        <v>#N/A</v>
      </c>
      <c r="L137" s="95" t="e">
        <f>VLOOKUP(InputTable[[#This Row],[Duration]],Duration,2,FALSE)</f>
        <v>#N/A</v>
      </c>
      <c r="M137" s="122"/>
      <c r="N137" s="92"/>
      <c r="O137" s="92"/>
      <c r="P137" s="92"/>
      <c r="Q137" s="92"/>
      <c r="R137" s="92"/>
      <c r="S137" s="92"/>
      <c r="T137" s="95"/>
      <c r="U137" s="138"/>
      <c r="V137" s="92"/>
      <c r="W137" s="92"/>
      <c r="X137" s="92"/>
      <c r="Y137" s="92"/>
      <c r="Z137" s="92"/>
      <c r="AA137" s="92"/>
      <c r="AB137" s="92"/>
      <c r="AC137" s="92"/>
      <c r="AD137" s="92">
        <f>COUNTA(InputTable[[#This Row],[CORPHRFIN]:[SALES]])</f>
        <v>0</v>
      </c>
      <c r="AE137" s="88" cm="1">
        <f t="array" ref="AE137">SUM(
_xlfn.XLOOKUP(InputTable[[#This Row],[CORPHRFIN]:[SALES]],'System List'!$F$4:$F$7,'System List'!$H$4:$H$7,0))</f>
        <v>0</v>
      </c>
      <c r="AF137" s="140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88" cm="1">
        <f t="array" ref="AR137">SUM(
_xlfn.XLOOKUP(InputTable[[#This Row],[Impact on - CIAL]:[Impact on - STRAT]],'System List'!$F$4:$F$7,'System List'!$H$4:$H$7,0))</f>
        <v>0</v>
      </c>
      <c r="AS137" s="88" t="e">
        <f>VLOOKUP(InputTable[[#This Row],[Duration]],Duration,2,FALSE)+InputTable[[#This Row],[Resource Score]]</f>
        <v>#N/A</v>
      </c>
      <c r="AT13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7" s="24" t="e">
        <f>InputTable[[#This Row],[Value Score]]/InputTable[[#This Row],[EFFORT SCORE]]*100</f>
        <v>#N/A</v>
      </c>
      <c r="AV137" s="25"/>
      <c r="AW137" s="25"/>
      <c r="AX137" s="208"/>
      <c r="AY137" s="25"/>
      <c r="AZ137" s="209">
        <v>0</v>
      </c>
      <c r="BA137" s="209">
        <v>0</v>
      </c>
      <c r="BB137" s="209"/>
      <c r="BC137" s="189"/>
      <c r="BD137" s="188"/>
      <c r="BE137" s="188"/>
      <c r="BF137" s="70"/>
      <c r="BH137" s="2">
        <f>IFERROR(VLOOKUP(InputTable[[#This Row],[Impact on - CIAL]],'System List'!$F$4:$H$7,3,FALSE),0)</f>
        <v>0</v>
      </c>
      <c r="BI137" s="2">
        <f>IFERROR(VLOOKUP(InputTable[[#This Row],[Impact on - COM]],'System List'!$F$4:$H$7,3,FALSE),0)</f>
        <v>0</v>
      </c>
      <c r="BJ137" s="2">
        <f>IFERROR(VLOOKUP(InputTable[[#This Row],[Impact on - FIN]],'System List'!$F$4:$H$7,3,FALSE),0)</f>
        <v>0</v>
      </c>
      <c r="BK137" s="2">
        <f>IFERROR(VLOOKUP(InputTable[[#This Row],[Impact on - GEN SEC]],'System List'!$F$4:$H$7,3,FALSE),0)</f>
        <v>0</v>
      </c>
      <c r="BL137" s="2">
        <f>IFERROR(VLOOKUP(InputTable[[#This Row],[Impact on - HR]],'System List'!$F$4:$H$7,3,FALSE),0)</f>
        <v>0</v>
      </c>
      <c r="BM137" s="2">
        <f>IFERROR(VLOOKUP(InputTable[[#This Row],[Impact on - IS]],'System List'!$F$4:$H$7,3,FALSE),0)</f>
        <v>0</v>
      </c>
      <c r="BN137" s="2">
        <f>IFERROR(VLOOKUP(InputTable[[#This Row],[Impact on - OPS]],'System List'!$F$4:$H$7,3,FALSE),0)</f>
        <v>0</v>
      </c>
      <c r="BO137" s="2">
        <f>IFERROR(VLOOKUP(InputTable[[#This Row],[Impact on - ROLL STOCK]],'System List'!$F$4:$H$7,3,FALSE),0)</f>
        <v>0</v>
      </c>
      <c r="BP137" s="2">
        <f>IFERROR(VLOOKUP(InputTable[[#This Row],[Impact on - SAFETY]],'System List'!$F$4:$H$7,3,FALSE),0)</f>
        <v>0</v>
      </c>
      <c r="BQ137" s="2">
        <f>IFERROR(VLOOKUP(InputTable[[#This Row],[Impact on - STATION]],'System List'!$F$4:$H$7,3,FALSE),0)</f>
        <v>0</v>
      </c>
      <c r="BR137" s="2">
        <f>IFERROR(VLOOKUP(InputTable[[#This Row],[Impact on - STRAT]],'System List'!$F$4:$H$7,3,FALSE),0)</f>
        <v>0</v>
      </c>
      <c r="BT137" s="2">
        <f>IFERROR(VLOOKUP(InputTable[[#This Row],[CORPHRFIN]],'System List'!$F$4:$H$7,3,FALSE),0)</f>
        <v>0</v>
      </c>
      <c r="BU137" s="2">
        <f>IFERROR(VLOOKUP(InputTable[[#This Row],[CUST]],'System List'!$F$4:$H$7,3,FALSE),0)</f>
        <v>0</v>
      </c>
      <c r="BV137" s="2">
        <f>IFERROR(VLOOKUP(InputTable[[#This Row],[CYBER]],'System List'!$F$4:$H$7,3,FALSE),0)</f>
        <v>0</v>
      </c>
      <c r="BW137" s="2">
        <f>IFERROR(VLOOKUP(InputTable[[#This Row],[DATA]],'System List'!$F$4:$H$7,3,FALSE),0)</f>
        <v>0</v>
      </c>
      <c r="BX137" s="2">
        <f>IFERROR(VLOOKUP(InputTable[[#This Row],[INFRA]],'System List'!$F$4:$H$7,3,FALSE),0)</f>
        <v>0</v>
      </c>
      <c r="BY137" s="2">
        <f>IFERROR(VLOOKUP(InputTable[[#This Row],[OPERATIONS]],'System List'!$F$4:$H$7,3,FALSE),0)</f>
        <v>0</v>
      </c>
      <c r="BZ137" s="2">
        <f>IFERROR(VLOOKUP(InputTable[[#This Row],[PMO]],'System List'!$F$4:$H$7,3,FALSE),0)</f>
        <v>0</v>
      </c>
      <c r="CA137" s="2">
        <f>IFERROR(VLOOKUP(InputTable[[#This Row],[SALES]],'System List'!$F$4:$H$7,3,FALSE),0)</f>
        <v>0</v>
      </c>
      <c r="CC137" s="2" cm="1">
        <f t="array" ref="CC13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7" s="2" cm="1">
        <f t="array" ref="CD13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7" s="2" cm="1">
        <f t="array" ref="CE13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7" s="2" cm="1">
        <f t="array" ref="CF13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7" s="2" cm="1">
        <f t="array" ref="CG13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7" s="2" cm="1">
        <f t="array" ref="CH13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7" s="2" cm="1">
        <f t="array" ref="CI13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7" s="2" cm="1">
        <f t="array" ref="CJ13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7" s="2" cm="1">
        <f t="array" ref="CK13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7" s="26">
        <f t="shared" ref="CX137:CX168" si="379">CN137*_xlfn.XLOOKUP(CX$1,$BT$2:$CA$2,$BT137:$CA137,0)</f>
        <v>0</v>
      </c>
      <c r="CY137" s="26">
        <f t="shared" ref="CY137:CY168" si="380">CO137*_xlfn.XLOOKUP(CY$1,$BT$2:$CA$2,$BT137:$CA137,0)</f>
        <v>0</v>
      </c>
      <c r="CZ137" s="26">
        <f t="shared" ref="CZ137:CZ168" si="381">CP137*_xlfn.XLOOKUP(CZ$1,$BT$2:$CA$2,$BT137:$CA137,0)</f>
        <v>0</v>
      </c>
      <c r="DA137" s="26">
        <f t="shared" ref="DA137:DA168" si="382">CQ137*_xlfn.XLOOKUP(DA$1,$BT$2:$CA$2,$BT137:$CA137,0)</f>
        <v>0</v>
      </c>
      <c r="DB137" s="26">
        <f t="shared" ref="DB137:DB168" si="383">CR137*_xlfn.XLOOKUP(DB$1,$BT$2:$CA$2,$BT137:$CA137,0)</f>
        <v>0</v>
      </c>
      <c r="DC137" s="26">
        <f t="shared" ref="DC137:DC168" si="384">CS137*_xlfn.XLOOKUP(DC$1,$BT$2:$CA$2,$BT137:$CA137,0)</f>
        <v>0</v>
      </c>
      <c r="DD137" s="26">
        <f t="shared" ref="DD137:DD168" si="385">CT137*_xlfn.XLOOKUP(DD$1,$BT$2:$CA$2,$BT137:$CA137,0)</f>
        <v>0</v>
      </c>
      <c r="DE137" s="26">
        <f t="shared" ref="DE137:DE168" si="386">CU137*_xlfn.XLOOKUP(DE$1,$BT$2:$CA$2,$BT137:$CA137,0)</f>
        <v>0</v>
      </c>
      <c r="DF137" s="26">
        <f t="shared" ref="DF137:DF168" si="387">CV137*_xlfn.XLOOKUP(DF$1,$BT$2:$CA$2,$BT137:$CA137,0)</f>
        <v>0</v>
      </c>
      <c r="DH137" s="26">
        <f t="shared" ref="DH137:DH168" si="388">$CN137*_xlfn.XLOOKUP(DH$1,$BT$2:$CA$2,$BT137:$CA137,0)</f>
        <v>0</v>
      </c>
      <c r="DI137" s="26">
        <f t="shared" ref="DI137:DI168" si="389">$CO137*_xlfn.XLOOKUP(DI$1,$BT$2:$CA$2,$BT137:$CA137,0)</f>
        <v>0</v>
      </c>
      <c r="DJ137" s="26">
        <f t="shared" ref="DJ137:DJ168" si="390">$CP137*_xlfn.XLOOKUP(DJ$1,$BT$2:$CA$2,$BT137:$CA137,0)</f>
        <v>0</v>
      </c>
      <c r="DK137" s="26">
        <f t="shared" ref="DK137:DK168" si="391">$CQ137*_xlfn.XLOOKUP(DK$1,$BT$2:$CA$2,$BT137:$CA137,0)</f>
        <v>0</v>
      </c>
      <c r="DL137" s="26">
        <f t="shared" ref="DL137:DL168" si="392">$CR137*_xlfn.XLOOKUP(DL$1,$BT$2:$CA$2,$BT137:$CA137,0)</f>
        <v>0</v>
      </c>
      <c r="DM137" s="26">
        <f t="shared" ref="DM137:DM168" si="393">$CS137*_xlfn.XLOOKUP(DM$1,$BT$2:$CA$2,$BT137:$CA137,0)</f>
        <v>0</v>
      </c>
      <c r="DN137" s="26">
        <f t="shared" ref="DN137:DN168" si="394">$CT137*_xlfn.XLOOKUP(DN$1,$BT$2:$CA$2,$BT137:$CA137,0)</f>
        <v>0</v>
      </c>
      <c r="DO137" s="26">
        <f t="shared" ref="DO137:DO168" si="395">$CU137*_xlfn.XLOOKUP(DO$1,$BT$2:$CA$2,$BT137:$CA137,0)</f>
        <v>0</v>
      </c>
      <c r="DP137" s="26">
        <f t="shared" ref="DP137:DP168" si="396">$CV137*_xlfn.XLOOKUP(DP$1,$BT$2:$CA$2,$BT137:$CA137,0)</f>
        <v>0</v>
      </c>
      <c r="DR137" s="26">
        <f t="shared" ref="DR137:DR168" si="397">$CN137*_xlfn.XLOOKUP(DR$1,$BT$2:$CA$2,$BT137:$CA137,0)</f>
        <v>0</v>
      </c>
      <c r="DS137" s="26">
        <f t="shared" ref="DS137:DS168" si="398">$CO137*_xlfn.XLOOKUP(DS$1,$BT$2:$CA$2,$BT137:$CA137,0)</f>
        <v>0</v>
      </c>
      <c r="DT137" s="26">
        <f t="shared" ref="DT137:DT168" si="399">$CP137*_xlfn.XLOOKUP(DT$1,$BT$2:$CA$2,$BT137:$CA137,0)</f>
        <v>0</v>
      </c>
      <c r="DU137" s="26">
        <f t="shared" ref="DU137:DU168" si="400">$CQ137*_xlfn.XLOOKUP(DU$1,$BT$2:$CA$2,$BT137:$CA137,0)</f>
        <v>0</v>
      </c>
      <c r="DV137" s="26">
        <f t="shared" ref="DV137:DV168" si="401">$CR137*_xlfn.XLOOKUP(DV$1,$BT$2:$CA$2,$BT137:$CA137,0)</f>
        <v>0</v>
      </c>
      <c r="DW137" s="26">
        <f t="shared" ref="DW137:DW168" si="402">$CS137*_xlfn.XLOOKUP(DW$1,$BT$2:$CA$2,$BT137:$CA137,0)</f>
        <v>0</v>
      </c>
      <c r="DX137" s="26">
        <f t="shared" ref="DX137:DX168" si="403">$CT137*_xlfn.XLOOKUP(DX$1,$BT$2:$CA$2,$BT137:$CA137,0)</f>
        <v>0</v>
      </c>
      <c r="DY137" s="26">
        <f t="shared" ref="DY137:DY168" si="404">$CU137*_xlfn.XLOOKUP(DY$1,$BT$2:$CA$2,$BT137:$CA137,0)</f>
        <v>0</v>
      </c>
      <c r="DZ137" s="26">
        <f t="shared" ref="DZ137:DZ168" si="405">$CV137*_xlfn.XLOOKUP(DZ$1,$BT$2:$CA$2,$BT137:$CA137,0)</f>
        <v>0</v>
      </c>
      <c r="EB137" s="26">
        <f t="shared" ref="EB137:EB168" si="406">$CN137*_xlfn.XLOOKUP(EB$1,$BT$2:$CA$2,$BT137:$CA137,0)</f>
        <v>0</v>
      </c>
      <c r="EC137" s="26">
        <f t="shared" ref="EC137:EC168" si="407">$CO137*_xlfn.XLOOKUP(EC$1,$BT$2:$CA$2,$BT137:$CA137,0)</f>
        <v>0</v>
      </c>
      <c r="ED137" s="26">
        <f t="shared" ref="ED137:ED168" si="408">$CP137*_xlfn.XLOOKUP(ED$1,$BT$2:$CA$2,$BT137:$CA137,0)</f>
        <v>0</v>
      </c>
      <c r="EE137" s="26">
        <f t="shared" ref="EE137:EE168" si="409">$CQ137*_xlfn.XLOOKUP(EE$1,$BT$2:$CA$2,$BT137:$CA137,0)</f>
        <v>0</v>
      </c>
      <c r="EF137" s="26">
        <f t="shared" ref="EF137:EF168" si="410">$CR137*_xlfn.XLOOKUP(EF$1,$BT$2:$CA$2,$BT137:$CA137,0)</f>
        <v>0</v>
      </c>
      <c r="EG137" s="26">
        <f t="shared" ref="EG137:EG168" si="411">$CS137*_xlfn.XLOOKUP(EG$1,$BT$2:$CA$2,$BT137:$CA137,0)</f>
        <v>0</v>
      </c>
      <c r="EH137" s="26">
        <f t="shared" ref="EH137:EH168" si="412">$CT137*_xlfn.XLOOKUP(EH$1,$BT$2:$CA$2,$BT137:$CA137,0)</f>
        <v>0</v>
      </c>
      <c r="EI137" s="26">
        <f t="shared" ref="EI137:EI168" si="413">$CU137*_xlfn.XLOOKUP(EI$1,$BT$2:$CA$2,$BT137:$CA137,0)</f>
        <v>0</v>
      </c>
      <c r="EJ137" s="26">
        <f t="shared" ref="EJ137:EJ168" si="414">$CV137*_xlfn.XLOOKUP(EJ$1,$BT$2:$CA$2,$BT137:$CA137,0)</f>
        <v>0</v>
      </c>
      <c r="EL137" s="26">
        <f t="shared" ref="EL137:EL168" si="415">$CN137*_xlfn.XLOOKUP(EL$1,$BT$2:$CA$2,$BT137:$CA137,0)</f>
        <v>0</v>
      </c>
      <c r="EM137" s="26">
        <f t="shared" ref="EM137:EM168" si="416">$CO137*_xlfn.XLOOKUP(EM$1,$BT$2:$CA$2,$BT137:$CA137,0)</f>
        <v>0</v>
      </c>
      <c r="EN137" s="26">
        <f t="shared" ref="EN137:EN168" si="417">$CP137*_xlfn.XLOOKUP(EN$1,$BT$2:$CA$2,$BT137:$CA137,0)</f>
        <v>0</v>
      </c>
      <c r="EO137" s="26">
        <f t="shared" ref="EO137:EO168" si="418">$CQ137*_xlfn.XLOOKUP(EO$1,$BT$2:$CA$2,$BT137:$CA137,0)</f>
        <v>0</v>
      </c>
      <c r="EP137" s="26">
        <f t="shared" ref="EP137:EP168" si="419">$CR137*_xlfn.XLOOKUP(EP$1,$BT$2:$CA$2,$BT137:$CA137,0)</f>
        <v>0</v>
      </c>
      <c r="EQ137" s="26">
        <f t="shared" ref="EQ137:EQ168" si="420">$CS137*_xlfn.XLOOKUP(EQ$1,$BT$2:$CA$2,$BT137:$CA137,0)</f>
        <v>0</v>
      </c>
      <c r="ER137" s="26">
        <f t="shared" ref="ER137:ER168" si="421">$CT137*_xlfn.XLOOKUP(ER$1,$BT$2:$CA$2,$BT137:$CA137,0)</f>
        <v>0</v>
      </c>
      <c r="ES137" s="26">
        <f t="shared" ref="ES137:ES168" si="422">$CU137*_xlfn.XLOOKUP(ES$1,$BT$2:$CA$2,$BT137:$CA137,0)</f>
        <v>0</v>
      </c>
      <c r="ET137" s="26">
        <f t="shared" ref="ET137:ET168" si="423">$CV137*_xlfn.XLOOKUP(ET$1,$BT$2:$CA$2,$BT137:$CA137,0)</f>
        <v>0</v>
      </c>
      <c r="EV137" s="26">
        <f t="shared" ref="EV137:EV168" si="424">$CN137*_xlfn.XLOOKUP(EV$1,$BT$2:$CA$2,$BT137:$CA137,0)</f>
        <v>0</v>
      </c>
      <c r="EW137" s="26">
        <f t="shared" ref="EW137:EW168" si="425">$CO137*_xlfn.XLOOKUP(EW$1,$BT$2:$CA$2,$BT137:$CA137,0)</f>
        <v>0</v>
      </c>
      <c r="EX137" s="26">
        <f t="shared" ref="EX137:EX168" si="426">$CP137*_xlfn.XLOOKUP(EX$1,$BT$2:$CA$2,$BT137:$CA137,0)</f>
        <v>0</v>
      </c>
      <c r="EY137" s="26">
        <f t="shared" ref="EY137:EY168" si="427">$CQ137*_xlfn.XLOOKUP(EY$1,$BT$2:$CA$2,$BT137:$CA137,0)</f>
        <v>0</v>
      </c>
      <c r="EZ137" s="26">
        <f t="shared" ref="EZ137:EZ168" si="428">$CR137*_xlfn.XLOOKUP(EZ$1,$BT$2:$CA$2,$BT137:$CA137,0)</f>
        <v>0</v>
      </c>
      <c r="FA137" s="26">
        <f t="shared" ref="FA137:FA168" si="429">$CS137*_xlfn.XLOOKUP(FA$1,$BT$2:$CA$2,$BT137:$CA137,0)</f>
        <v>0</v>
      </c>
      <c r="FB137" s="26">
        <f t="shared" ref="FB137:FB168" si="430">$CT137*_xlfn.XLOOKUP(FB$1,$BT$2:$CA$2,$BT137:$CA137,0)</f>
        <v>0</v>
      </c>
      <c r="FC137" s="26">
        <f t="shared" ref="FC137:FC168" si="431">$CU137*_xlfn.XLOOKUP(FC$1,$BT$2:$CA$2,$BT137:$CA137,0)</f>
        <v>0</v>
      </c>
      <c r="FD137" s="26">
        <f t="shared" ref="FD137:FD168" si="432">$CV137*_xlfn.XLOOKUP(FD$1,$BT$2:$CA$2,$BT137:$CA137,0)</f>
        <v>0</v>
      </c>
      <c r="FF137" s="26">
        <f t="shared" ref="FF137:FF168" si="433">$CN137*_xlfn.XLOOKUP(FF$1,$BT$2:$CA$2,$BT137:$CA137,0)</f>
        <v>0</v>
      </c>
      <c r="FG137" s="26">
        <f t="shared" ref="FG137:FG168" si="434">$CO137*_xlfn.XLOOKUP(FG$1,$BT$2:$CA$2,$BT137:$CA137,0)</f>
        <v>0</v>
      </c>
      <c r="FH137" s="26">
        <f t="shared" ref="FH137:FH168" si="435">$CP137*_xlfn.XLOOKUP(FH$1,$BT$2:$CA$2,$BT137:$CA137,0)</f>
        <v>0</v>
      </c>
      <c r="FI137" s="26">
        <f t="shared" ref="FI137:FI168" si="436">$CQ137*_xlfn.XLOOKUP(FI$1,$BT$2:$CA$2,$BT137:$CA137,0)</f>
        <v>0</v>
      </c>
      <c r="FJ137" s="26">
        <f t="shared" ref="FJ137:FJ168" si="437">$CR137*_xlfn.XLOOKUP(FJ$1,$BT$2:$CA$2,$BT137:$CA137,0)</f>
        <v>0</v>
      </c>
      <c r="FK137" s="26">
        <f t="shared" ref="FK137:FK168" si="438">$CS137*_xlfn.XLOOKUP(FK$1,$BT$2:$CA$2,$BT137:$CA137,0)</f>
        <v>0</v>
      </c>
      <c r="FL137" s="26">
        <f t="shared" ref="FL137:FL168" si="439">$CT137*_xlfn.XLOOKUP(FL$1,$BT$2:$CA$2,$BT137:$CA137,0)</f>
        <v>0</v>
      </c>
      <c r="FM137" s="26">
        <f t="shared" ref="FM137:FM168" si="440">$CU137*_xlfn.XLOOKUP(FM$1,$BT$2:$CA$2,$BT137:$CA137,0)</f>
        <v>0</v>
      </c>
      <c r="FN137" s="26">
        <f t="shared" ref="FN137:FN168" si="441">$CV137*_xlfn.XLOOKUP(FN$1,$BT$2:$CA$2,$BT137:$CA137,0)</f>
        <v>0</v>
      </c>
      <c r="FP137" s="26" t="e">
        <f t="shared" ref="FP137:FP168" si="442">$CN137*_xlfn.XLOOKUP(FP$1,$BT$2:$CA$2,$BT137:$CA137,0)</f>
        <v>#REF!</v>
      </c>
      <c r="FQ137" s="26" t="e">
        <f t="shared" ref="FQ137:FQ168" si="443">$CO137*_xlfn.XLOOKUP(FQ$1,$BT$2:$CA$2,$BT137:$CA137,0)</f>
        <v>#REF!</v>
      </c>
      <c r="FR137" s="26" t="e">
        <f t="shared" ref="FR137:FR168" si="444">$CP137*_xlfn.XLOOKUP(FR$1,$BT$2:$CA$2,$BT137:$CA137,0)</f>
        <v>#REF!</v>
      </c>
      <c r="FS137" s="26" t="e">
        <f t="shared" ref="FS137:FS168" si="445">$CQ137*_xlfn.XLOOKUP(FS$1,$BT$2:$CA$2,$BT137:$CA137,0)</f>
        <v>#REF!</v>
      </c>
      <c r="FT137" s="26" t="e">
        <f t="shared" ref="FT137:FT168" si="446">$CR137*_xlfn.XLOOKUP(FT$1,$BT$2:$CA$2,$BT137:$CA137,0)</f>
        <v>#REF!</v>
      </c>
      <c r="FU137" s="26" t="e">
        <f t="shared" ref="FU137:FU168" si="447">$CS137*_xlfn.XLOOKUP(FU$1,$BT$2:$CA$2,$BT137:$CA137,0)</f>
        <v>#REF!</v>
      </c>
      <c r="FV137" s="26" t="e">
        <f t="shared" ref="FV137:FV168" si="448">$CT137*_xlfn.XLOOKUP(FV$1,$BT$2:$CA$2,$BT137:$CA137,0)</f>
        <v>#REF!</v>
      </c>
      <c r="FW137" s="26" t="e">
        <f t="shared" ref="FW137:FW168" si="449">$CU137*_xlfn.XLOOKUP(FW$1,$BT$2:$CA$2,$BT137:$CA137,0)</f>
        <v>#REF!</v>
      </c>
      <c r="FX137" s="26" t="e">
        <f t="shared" ref="FX137:FX168" si="450">$CV137*_xlfn.XLOOKUP(FX$1,$BT$2:$CA$2,$BT137:$CA137,0)</f>
        <v>#REF!</v>
      </c>
      <c r="GB137" s="26" t="e">
        <f>IF(GB$2=InputTable[[#This Row],[Delivery Date]],_xlfn.XLOOKUP(GB$1,$BH$2:$BR$2,$BH137:$BR137,0),0)</f>
        <v>#REF!</v>
      </c>
      <c r="GC137" s="26">
        <f>IF(GC$2=InputTable[[#This Row],[Delivery Date]],_xlfn.XLOOKUP(GC$1,$BH$2:$BR$2,$BH137:$BR137,0),0)</f>
        <v>0</v>
      </c>
      <c r="GD137" s="26">
        <f>IF(GD$2=InputTable[[#This Row],[Delivery Date]],_xlfn.XLOOKUP(GD$1,$BH$2:$BR$2,$BH137:$BR137,0),0)</f>
        <v>0</v>
      </c>
      <c r="GE137" s="26">
        <f>IF(GE$2=InputTable[[#This Row],[Delivery Date]],_xlfn.XLOOKUP(GE$1,$BH$2:$BR$2,$BH137:$BR137,0),0)</f>
        <v>0</v>
      </c>
      <c r="GF137" s="26">
        <f>IF(GF$2=InputTable[[#This Row],[Delivery Date]],_xlfn.XLOOKUP(GF$1,$BH$2:$BR$2,$BH137:$BR137,0),0)</f>
        <v>0</v>
      </c>
      <c r="GG137" s="26">
        <f>IF(GG$2=InputTable[[#This Row],[Delivery Date]],_xlfn.XLOOKUP(GG$1,$BH$2:$BR$2,$BH137:$BR137,0),0)</f>
        <v>0</v>
      </c>
      <c r="GH137" s="26">
        <f>IF(GH$2=InputTable[[#This Row],[Delivery Date]],_xlfn.XLOOKUP(GH$1,$BH$2:$BR$2,$BH137:$BR137,0),0)</f>
        <v>0</v>
      </c>
      <c r="GI137" s="26">
        <f>IF(GI$2=InputTable[[#This Row],[Delivery Date]],_xlfn.XLOOKUP(GI$1,$BH$2:$BR$2,$BH137:$BR137,0),0)</f>
        <v>0</v>
      </c>
      <c r="GJ137" s="26">
        <f>IF(GJ$2=InputTable[[#This Row],[Delivery Date]],_xlfn.XLOOKUP(GJ$1,$BH$2:$BR$2,$BH137:$BR137,0),0)</f>
        <v>0</v>
      </c>
      <c r="GL137" s="26" t="e">
        <f>IF(GL$2=InputTable[[#This Row],[Delivery Date]],_xlfn.XLOOKUP(GL$1,$BH$2:$BR$2,$BH137:$BR137,0),0)</f>
        <v>#REF!</v>
      </c>
      <c r="GM137" s="26">
        <f>IF(GM$2=InputTable[[#This Row],[Delivery Date]],_xlfn.XLOOKUP(GM$1,$BH$2:$BR$2,$BH137:$BR137,0),0)</f>
        <v>0</v>
      </c>
      <c r="GN137" s="26">
        <f>IF(GN$2=InputTable[[#This Row],[Delivery Date]],_xlfn.XLOOKUP(GN$1,$BH$2:$BR$2,$BH137:$BR137,0),0)</f>
        <v>0</v>
      </c>
      <c r="GO137" s="26">
        <f>IF(GO$2=InputTable[[#This Row],[Delivery Date]],_xlfn.XLOOKUP(GO$1,$BH$2:$BR$2,$BH137:$BR137,0),0)</f>
        <v>0</v>
      </c>
      <c r="GP137" s="26">
        <f>IF(GP$2=InputTable[[#This Row],[Delivery Date]],_xlfn.XLOOKUP(GP$1,$BH$2:$BR$2,$BH137:$BR137,0),0)</f>
        <v>0</v>
      </c>
      <c r="GQ137" s="26">
        <f>IF(GQ$2=InputTable[[#This Row],[Delivery Date]],_xlfn.XLOOKUP(GQ$1,$BH$2:$BR$2,$BH137:$BR137,0),0)</f>
        <v>0</v>
      </c>
      <c r="GR137" s="26">
        <f>IF(GR$2=InputTable[[#This Row],[Delivery Date]],_xlfn.XLOOKUP(GR$1,$BH$2:$BR$2,$BH137:$BR137,0),0)</f>
        <v>0</v>
      </c>
      <c r="GS137" s="26">
        <f>IF(GS$2=InputTable[[#This Row],[Delivery Date]],_xlfn.XLOOKUP(GS$1,$BH$2:$BR$2,$BH137:$BR137,0),0)</f>
        <v>0</v>
      </c>
      <c r="GT137" s="26">
        <f>IF(GT$2=InputTable[[#This Row],[Delivery Date]],_xlfn.XLOOKUP(GT$1,$BH$2:$BR$2,$BH137:$BR137,0),0)</f>
        <v>0</v>
      </c>
      <c r="GV137" s="26" t="e">
        <f>IF(GV$2=InputTable[[#This Row],[Delivery Date]],_xlfn.XLOOKUP(GV$1,$BH$2:$BR$2,$BH137:$BR137,0),0)</f>
        <v>#REF!</v>
      </c>
      <c r="GW137" s="26">
        <f>IF(GW$2=InputTable[[#This Row],[Delivery Date]],_xlfn.XLOOKUP(GW$1,$BH$2:$BR$2,$BH137:$BR137,0),0)</f>
        <v>0</v>
      </c>
      <c r="GX137" s="26">
        <f>IF(GX$2=InputTable[[#This Row],[Delivery Date]],_xlfn.XLOOKUP(GX$1,$BH$2:$BR$2,$BH137:$BR137,0),0)</f>
        <v>0</v>
      </c>
      <c r="GY137" s="26">
        <f>IF(GY$2=InputTable[[#This Row],[Delivery Date]],_xlfn.XLOOKUP(GY$1,$BH$2:$BR$2,$BH137:$BR137,0),0)</f>
        <v>0</v>
      </c>
      <c r="GZ137" s="26">
        <f>IF(GZ$2=InputTable[[#This Row],[Delivery Date]],_xlfn.XLOOKUP(GZ$1,$BH$2:$BR$2,$BH137:$BR137,0),0)</f>
        <v>0</v>
      </c>
      <c r="HA137" s="26">
        <f>IF(HA$2=InputTable[[#This Row],[Delivery Date]],_xlfn.XLOOKUP(HA$1,$BH$2:$BR$2,$BH137:$BR137,0),0)</f>
        <v>0</v>
      </c>
      <c r="HB137" s="26">
        <f>IF(HB$2=InputTable[[#This Row],[Delivery Date]],_xlfn.XLOOKUP(HB$1,$BH$2:$BR$2,$BH137:$BR137,0),0)</f>
        <v>0</v>
      </c>
      <c r="HC137" s="26">
        <f>IF(HC$2=InputTable[[#This Row],[Delivery Date]],_xlfn.XLOOKUP(HC$1,$BH$2:$BR$2,$BH137:$BR137,0),0)</f>
        <v>0</v>
      </c>
      <c r="HD137" s="26">
        <f>IF(HD$2=InputTable[[#This Row],[Delivery Date]],_xlfn.XLOOKUP(HD$1,$BH$2:$BR$2,$BH137:$BR137,0),0)</f>
        <v>0</v>
      </c>
      <c r="HF137" s="26" t="e">
        <f>IF(HF$2=InputTable[[#This Row],[Delivery Date]],_xlfn.XLOOKUP(HF$1,$BH$2:$BR$2,$BH137:$BR137,0),0)</f>
        <v>#REF!</v>
      </c>
      <c r="HG137" s="26">
        <f>IF(HG$2=InputTable[[#This Row],[Delivery Date]],_xlfn.XLOOKUP(HG$1,$BH$2:$BR$2,$BH137:$BR137,0),0)</f>
        <v>0</v>
      </c>
      <c r="HH137" s="26">
        <f>IF(HH$2=InputTable[[#This Row],[Delivery Date]],_xlfn.XLOOKUP(HH$1,$BH$2:$BR$2,$BH137:$BR137,0),0)</f>
        <v>0</v>
      </c>
      <c r="HI137" s="26">
        <f>IF(HI$2=InputTable[[#This Row],[Delivery Date]],_xlfn.XLOOKUP(HI$1,$BH$2:$BR$2,$BH137:$BR137,0),0)</f>
        <v>0</v>
      </c>
      <c r="HJ137" s="26">
        <f>IF(HJ$2=InputTable[[#This Row],[Delivery Date]],_xlfn.XLOOKUP(HJ$1,$BH$2:$BR$2,$BH137:$BR137,0),0)</f>
        <v>0</v>
      </c>
      <c r="HK137" s="26">
        <f>IF(HK$2=InputTable[[#This Row],[Delivery Date]],_xlfn.XLOOKUP(HK$1,$BH$2:$BR$2,$BH137:$BR137,0),0)</f>
        <v>0</v>
      </c>
      <c r="HL137" s="26">
        <f>IF(HL$2=InputTable[[#This Row],[Delivery Date]],_xlfn.XLOOKUP(HL$1,$BH$2:$BR$2,$BH137:$BR137,0),0)</f>
        <v>0</v>
      </c>
      <c r="HM137" s="26">
        <f>IF(HM$2=InputTable[[#This Row],[Delivery Date]],_xlfn.XLOOKUP(HM$1,$BH$2:$BR$2,$BH137:$BR137,0),0)</f>
        <v>0</v>
      </c>
      <c r="HN137" s="26">
        <f>IF(HN$2=InputTable[[#This Row],[Delivery Date]],_xlfn.XLOOKUP(HN$1,$BH$2:$BR$2,$BH137:$BR137,0),0)</f>
        <v>0</v>
      </c>
      <c r="HP137" s="26" t="e">
        <f>IF(HP$2=InputTable[[#This Row],[Delivery Date]],_xlfn.XLOOKUP(HP$1,$BH$2:$BR$2,$BH137:$BR137,0),0)</f>
        <v>#REF!</v>
      </c>
      <c r="HQ137" s="26">
        <f>IF(HQ$2=InputTable[[#This Row],[Delivery Date]],_xlfn.XLOOKUP(HQ$1,$BH$2:$BR$2,$BH137:$BR137,0),0)</f>
        <v>0</v>
      </c>
      <c r="HR137" s="26">
        <f>IF(HR$2=InputTable[[#This Row],[Delivery Date]],_xlfn.XLOOKUP(HR$1,$BH$2:$BR$2,$BH137:$BR137,0),0)</f>
        <v>0</v>
      </c>
      <c r="HS137" s="26">
        <f>IF(HS$2=InputTable[[#This Row],[Delivery Date]],_xlfn.XLOOKUP(HS$1,$BH$2:$BR$2,$BH137:$BR137,0),0)</f>
        <v>0</v>
      </c>
      <c r="HT137" s="26">
        <f>IF(HT$2=InputTable[[#This Row],[Delivery Date]],_xlfn.XLOOKUP(HT$1,$BH$2:$BR$2,$BH137:$BR137,0),0)</f>
        <v>0</v>
      </c>
      <c r="HU137" s="26">
        <f>IF(HU$2=InputTable[[#This Row],[Delivery Date]],_xlfn.XLOOKUP(HU$1,$BH$2:$BR$2,$BH137:$BR137,0),0)</f>
        <v>0</v>
      </c>
      <c r="HV137" s="26">
        <f>IF(HV$2=InputTable[[#This Row],[Delivery Date]],_xlfn.XLOOKUP(HV$1,$BH$2:$BR$2,$BH137:$BR137,0),0)</f>
        <v>0</v>
      </c>
      <c r="HW137" s="26">
        <f>IF(HW$2=InputTable[[#This Row],[Delivery Date]],_xlfn.XLOOKUP(HW$1,$BH$2:$BR$2,$BH137:$BR137,0),0)</f>
        <v>0</v>
      </c>
      <c r="HX137" s="26">
        <f>IF(HX$2=InputTable[[#This Row],[Delivery Date]],_xlfn.XLOOKUP(HX$1,$BH$2:$BR$2,$BH137:$BR137,0),0)</f>
        <v>0</v>
      </c>
      <c r="HZ137" s="26" t="e">
        <f>IF(HZ$2=InputTable[[#This Row],[Delivery Date]],_xlfn.XLOOKUP(HZ$1,$BH$2:$BR$2,$BH137:$BR137,0),0)</f>
        <v>#REF!</v>
      </c>
      <c r="IA137" s="26">
        <f>IF(IA$2=InputTable[[#This Row],[Delivery Date]],_xlfn.XLOOKUP(IA$1,$BH$2:$BR$2,$BH137:$BR137,0),0)</f>
        <v>0</v>
      </c>
      <c r="IB137" s="26">
        <f>IF(IB$2=InputTable[[#This Row],[Delivery Date]],_xlfn.XLOOKUP(IB$1,$BH$2:$BR$2,$BH137:$BR137,0),0)</f>
        <v>0</v>
      </c>
      <c r="IC137" s="26">
        <f>IF(IC$2=InputTable[[#This Row],[Delivery Date]],_xlfn.XLOOKUP(IC$1,$BH$2:$BR$2,$BH137:$BR137,0),0)</f>
        <v>0</v>
      </c>
      <c r="ID137" s="26">
        <f>IF(ID$2=InputTable[[#This Row],[Delivery Date]],_xlfn.XLOOKUP(ID$1,$BH$2:$BR$2,$BH137:$BR137,0),0)</f>
        <v>0</v>
      </c>
      <c r="IE137" s="26">
        <f>IF(IE$2=InputTable[[#This Row],[Delivery Date]],_xlfn.XLOOKUP(IE$1,$BH$2:$BR$2,$BH137:$BR137,0),0)</f>
        <v>0</v>
      </c>
      <c r="IF137" s="26">
        <f>IF(IF$2=InputTable[[#This Row],[Delivery Date]],_xlfn.XLOOKUP(IF$1,$BH$2:$BR$2,$BH137:$BR137,0),0)</f>
        <v>0</v>
      </c>
      <c r="IG137" s="26">
        <f>IF(IG$2=InputTable[[#This Row],[Delivery Date]],_xlfn.XLOOKUP(IG$1,$BH$2:$BR$2,$BH137:$BR137,0),0)</f>
        <v>0</v>
      </c>
      <c r="IH137" s="26">
        <f>IF(IH$2=InputTable[[#This Row],[Delivery Date]],_xlfn.XLOOKUP(IH$1,$BH$2:$BR$2,$BH137:$BR137,0),0)</f>
        <v>0</v>
      </c>
      <c r="IJ137" s="26" t="e">
        <f>IF(IJ$2=InputTable[[#This Row],[Delivery Date]],_xlfn.XLOOKUP(IJ$1,$BH$2:$BR$2,$BH137:$BR137,0),0)</f>
        <v>#REF!</v>
      </c>
      <c r="IK137" s="26">
        <f>IF(IK$2=InputTable[[#This Row],[Delivery Date]],_xlfn.XLOOKUP(IK$1,$BH$2:$BR$2,$BH137:$BR137,0),0)</f>
        <v>0</v>
      </c>
      <c r="IL137" s="26">
        <f>IF(IL$2=InputTable[[#This Row],[Delivery Date]],_xlfn.XLOOKUP(IL$1,$BH$2:$BR$2,$BH137:$BR137,0),0)</f>
        <v>0</v>
      </c>
      <c r="IM137" s="26">
        <f>IF(IM$2=InputTable[[#This Row],[Delivery Date]],_xlfn.XLOOKUP(IM$1,$BH$2:$BR$2,$BH137:$BR137,0),0)</f>
        <v>0</v>
      </c>
      <c r="IN137" s="26">
        <f>IF(IN$2=InputTable[[#This Row],[Delivery Date]],_xlfn.XLOOKUP(IN$1,$BH$2:$BR$2,$BH137:$BR137,0),0)</f>
        <v>0</v>
      </c>
      <c r="IO137" s="26">
        <f>IF(IO$2=InputTable[[#This Row],[Delivery Date]],_xlfn.XLOOKUP(IO$1,$BH$2:$BR$2,$BH137:$BR137,0),0)</f>
        <v>0</v>
      </c>
      <c r="IP137" s="26">
        <f>IF(IP$2=InputTable[[#This Row],[Delivery Date]],_xlfn.XLOOKUP(IP$1,$BH$2:$BR$2,$BH137:$BR137,0),0)</f>
        <v>0</v>
      </c>
      <c r="IQ137" s="26">
        <f>IF(IQ$2=InputTable[[#This Row],[Delivery Date]],_xlfn.XLOOKUP(IQ$1,$BH$2:$BR$2,$BH137:$BR137,0),0)</f>
        <v>0</v>
      </c>
      <c r="IR137" s="26">
        <f>IF(IR$2=InputTable[[#This Row],[Delivery Date]],_xlfn.XLOOKUP(IR$1,$BH$2:$BR$2,$BH137:$BR137,0),0)</f>
        <v>0</v>
      </c>
      <c r="IT137" s="26" t="e">
        <f>IF(IT$2=InputTable[[#This Row],[Delivery Date]],_xlfn.XLOOKUP(IT$1,$BH$2:$BR$2,$BH137:$BR137,0),0)</f>
        <v>#REF!</v>
      </c>
      <c r="IU137" s="26">
        <f>IF(IU$2=InputTable[[#This Row],[Delivery Date]],_xlfn.XLOOKUP(IU$1,$BH$2:$BR$2,$BH137:$BR137,0),0)</f>
        <v>0</v>
      </c>
      <c r="IV137" s="26">
        <f>IF(IV$2=InputTable[[#This Row],[Delivery Date]],_xlfn.XLOOKUP(IV$1,$BH$2:$BR$2,$BH137:$BR137,0),0)</f>
        <v>0</v>
      </c>
      <c r="IW137" s="26">
        <f>IF(IW$2=InputTable[[#This Row],[Delivery Date]],_xlfn.XLOOKUP(IW$1,$BH$2:$BR$2,$BH137:$BR137,0),0)</f>
        <v>0</v>
      </c>
      <c r="IX137" s="26">
        <f>IF(IX$2=InputTable[[#This Row],[Delivery Date]],_xlfn.XLOOKUP(IX$1,$BH$2:$BR$2,$BH137:$BR137,0),0)</f>
        <v>0</v>
      </c>
      <c r="IY137" s="26">
        <f>IF(IY$2=InputTable[[#This Row],[Delivery Date]],_xlfn.XLOOKUP(IY$1,$BH$2:$BR$2,$BH137:$BR137,0),0)</f>
        <v>0</v>
      </c>
      <c r="IZ137" s="26">
        <f>IF(IZ$2=InputTable[[#This Row],[Delivery Date]],_xlfn.XLOOKUP(IZ$1,$BH$2:$BR$2,$BH137:$BR137,0),0)</f>
        <v>0</v>
      </c>
      <c r="JA137" s="26">
        <f>IF(JA$2=InputTable[[#This Row],[Delivery Date]],_xlfn.XLOOKUP(JA$1,$BH$2:$BR$2,$BH137:$BR137,0),0)</f>
        <v>0</v>
      </c>
      <c r="JB137" s="26">
        <f>IF(JB$2=InputTable[[#This Row],[Delivery Date]],_xlfn.XLOOKUP(JB$1,$BH$2:$BR$2,$BH137:$BR137,0),0)</f>
        <v>0</v>
      </c>
      <c r="JD137" s="26" t="e">
        <f>IF(JD$2=InputTable[[#This Row],[Delivery Date]],_xlfn.XLOOKUP(JD$1,$BH$2:$BR$2,$BH137:$BR137,0),0)</f>
        <v>#REF!</v>
      </c>
      <c r="JE137" s="26">
        <f>IF(JE$2=InputTable[[#This Row],[Delivery Date]],_xlfn.XLOOKUP(JE$1,$BH$2:$BR$2,$BH137:$BR137,0),0)</f>
        <v>0</v>
      </c>
      <c r="JF137" s="26">
        <f>IF(JF$2=InputTable[[#This Row],[Delivery Date]],_xlfn.XLOOKUP(JF$1,$BH$2:$BR$2,$BH137:$BR137,0),0)</f>
        <v>0</v>
      </c>
      <c r="JG137" s="26">
        <f>IF(JG$2=InputTable[[#This Row],[Delivery Date]],_xlfn.XLOOKUP(JG$1,$BH$2:$BR$2,$BH137:$BR137,0),0)</f>
        <v>0</v>
      </c>
      <c r="JH137" s="26">
        <f>IF(JH$2=InputTable[[#This Row],[Delivery Date]],_xlfn.XLOOKUP(JH$1,$BH$2:$BR$2,$BH137:$BR137,0),0)</f>
        <v>0</v>
      </c>
      <c r="JI137" s="26">
        <f>IF(JI$2=InputTable[[#This Row],[Delivery Date]],_xlfn.XLOOKUP(JI$1,$BH$2:$BR$2,$BH137:$BR137,0),0)</f>
        <v>0</v>
      </c>
      <c r="JJ137" s="26">
        <f>IF(JJ$2=InputTable[[#This Row],[Delivery Date]],_xlfn.XLOOKUP(JJ$1,$BH$2:$BR$2,$BH137:$BR137,0),0)</f>
        <v>0</v>
      </c>
      <c r="JK137" s="26">
        <f>IF(JK$2=InputTable[[#This Row],[Delivery Date]],_xlfn.XLOOKUP(JK$1,$BH$2:$BR$2,$BH137:$BR137,0),0)</f>
        <v>0</v>
      </c>
      <c r="JL137" s="26">
        <f>IF(JL$2=InputTable[[#This Row],[Delivery Date]],_xlfn.XLOOKUP(JL$1,$BH$2:$BR$2,$BH137:$BR137,0),0)</f>
        <v>0</v>
      </c>
      <c r="JN137" s="26" t="e">
        <f>IF(JN$2=InputTable[[#This Row],[Delivery Date]],_xlfn.XLOOKUP(JN$1,$BH$2:$BR$2,$BH137:$BR137,0),0)</f>
        <v>#REF!</v>
      </c>
      <c r="JO137" s="26">
        <f>IF(JO$2=InputTable[[#This Row],[Delivery Date]],_xlfn.XLOOKUP(JO$1,$BH$2:$BR$2,$BH137:$BR137,0),0)</f>
        <v>0</v>
      </c>
      <c r="JP137" s="26">
        <f>IF(JP$2=InputTable[[#This Row],[Delivery Date]],_xlfn.XLOOKUP(JP$1,$BH$2:$BR$2,$BH137:$BR137,0),0)</f>
        <v>0</v>
      </c>
      <c r="JQ137" s="26">
        <f>IF(JQ$2=InputTable[[#This Row],[Delivery Date]],_xlfn.XLOOKUP(JQ$1,$BH$2:$BR$2,$BH137:$BR137,0),0)</f>
        <v>0</v>
      </c>
      <c r="JR137" s="26">
        <f>IF(JR$2=InputTable[[#This Row],[Delivery Date]],_xlfn.XLOOKUP(JR$1,$BH$2:$BR$2,$BH137:$BR137,0),0)</f>
        <v>0</v>
      </c>
      <c r="JS137" s="26">
        <f>IF(JS$2=InputTable[[#This Row],[Delivery Date]],_xlfn.XLOOKUP(JS$1,$BH$2:$BR$2,$BH137:$BR137,0),0)</f>
        <v>0</v>
      </c>
      <c r="JT137" s="26">
        <f>IF(JT$2=InputTable[[#This Row],[Delivery Date]],_xlfn.XLOOKUP(JT$1,$BH$2:$BR$2,$BH137:$BR137,0),0)</f>
        <v>0</v>
      </c>
      <c r="JU137" s="26">
        <f>IF(JU$2=InputTable[[#This Row],[Delivery Date]],_xlfn.XLOOKUP(JU$1,$BH$2:$BR$2,$BH137:$BR137,0),0)</f>
        <v>0</v>
      </c>
      <c r="JV137" s="26">
        <f>IF(JV$2=InputTable[[#This Row],[Delivery Date]],_xlfn.XLOOKUP(JV$1,$BH$2:$BR$2,$BH137:$BR137,0),0)</f>
        <v>0</v>
      </c>
      <c r="JX137" s="26" t="e">
        <f>IF(JX$2=InputTable[[#This Row],[Delivery Date]],_xlfn.XLOOKUP(JX$1,$BH$2:$BR$2,$BH137:$BR137,0),0)</f>
        <v>#REF!</v>
      </c>
      <c r="JY137" s="26">
        <f>IF(JY$2=InputTable[[#This Row],[Delivery Date]],_xlfn.XLOOKUP(JY$1,$BH$2:$BR$2,$BH137:$BR137,0),0)</f>
        <v>0</v>
      </c>
      <c r="JZ137" s="26">
        <f>IF(JZ$2=InputTable[[#This Row],[Delivery Date]],_xlfn.XLOOKUP(JZ$1,$BH$2:$BR$2,$BH137:$BR137,0),0)</f>
        <v>0</v>
      </c>
      <c r="KA137" s="26">
        <f>IF(KA$2=InputTable[[#This Row],[Delivery Date]],_xlfn.XLOOKUP(KA$1,$BH$2:$BR$2,$BH137:$BR137,0),0)</f>
        <v>0</v>
      </c>
      <c r="KB137" s="26">
        <f>IF(KB$2=InputTable[[#This Row],[Delivery Date]],_xlfn.XLOOKUP(KB$1,$BH$2:$BR$2,$BH137:$BR137,0),0)</f>
        <v>0</v>
      </c>
      <c r="KC137" s="26">
        <f>IF(KC$2=InputTable[[#This Row],[Delivery Date]],_xlfn.XLOOKUP(KC$1,$BH$2:$BR$2,$BH137:$BR137,0),0)</f>
        <v>0</v>
      </c>
      <c r="KD137" s="26">
        <f>IF(KD$2=InputTable[[#This Row],[Delivery Date]],_xlfn.XLOOKUP(KD$1,$BH$2:$BR$2,$BH137:$BR137,0),0)</f>
        <v>0</v>
      </c>
      <c r="KE137" s="26">
        <f>IF(KE$2=InputTable[[#This Row],[Delivery Date]],_xlfn.XLOOKUP(KE$1,$BH$2:$BR$2,$BH137:$BR137,0),0)</f>
        <v>0</v>
      </c>
      <c r="KF137" s="26">
        <f>IF(KF$2=InputTable[[#This Row],[Delivery Date]],_xlfn.XLOOKUP(KF$1,$BH$2:$BR$2,$BH137:$BR137,0),0)</f>
        <v>0</v>
      </c>
    </row>
    <row r="138" spans="1:292" ht="17.399999999999999" x14ac:dyDescent="0.25">
      <c r="A138" s="141"/>
      <c r="B138" s="141"/>
      <c r="C138" s="92"/>
      <c r="D138" s="92"/>
      <c r="E138" s="93"/>
      <c r="F138" s="92"/>
      <c r="G138" s="92"/>
      <c r="H138" s="92"/>
      <c r="I138" s="92"/>
      <c r="J138" s="122"/>
      <c r="K138" s="95" t="e">
        <f>VLOOKUP((InputTable[[#This Row],[Starting Date]]&amp; " - " &amp;InputTable[[#This Row],[Delivery Date]]),'System List'!$F$40:$H$83,2,FALSE)</f>
        <v>#N/A</v>
      </c>
      <c r="L138" s="95" t="e">
        <f>VLOOKUP(InputTable[[#This Row],[Duration]],Duration,2,FALSE)</f>
        <v>#N/A</v>
      </c>
      <c r="M138" s="122"/>
      <c r="N138" s="92"/>
      <c r="O138" s="92"/>
      <c r="P138" s="92"/>
      <c r="Q138" s="92"/>
      <c r="R138" s="92"/>
      <c r="S138" s="92"/>
      <c r="T138" s="95"/>
      <c r="U138" s="138"/>
      <c r="V138" s="92"/>
      <c r="W138" s="92"/>
      <c r="X138" s="92"/>
      <c r="Y138" s="92"/>
      <c r="Z138" s="92"/>
      <c r="AA138" s="92"/>
      <c r="AB138" s="92"/>
      <c r="AC138" s="92"/>
      <c r="AD138" s="92">
        <f>COUNTA(InputTable[[#This Row],[CORPHRFIN]:[SALES]])</f>
        <v>0</v>
      </c>
      <c r="AE138" s="88" cm="1">
        <f t="array" ref="AE138">SUM(
_xlfn.XLOOKUP(InputTable[[#This Row],[CORPHRFIN]:[SALES]],'System List'!$F$4:$F$7,'System List'!$H$4:$H$7,0))</f>
        <v>0</v>
      </c>
      <c r="AF138" s="140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88" cm="1">
        <f t="array" ref="AR138">SUM(
_xlfn.XLOOKUP(InputTable[[#This Row],[Impact on - CIAL]:[Impact on - STRAT]],'System List'!$F$4:$F$7,'System List'!$H$4:$H$7,0))</f>
        <v>0</v>
      </c>
      <c r="AS138" s="88" t="e">
        <f>VLOOKUP(InputTable[[#This Row],[Duration]],Duration,2,FALSE)+InputTable[[#This Row],[Resource Score]]</f>
        <v>#N/A</v>
      </c>
      <c r="AT13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8" s="24" t="e">
        <f>InputTable[[#This Row],[Value Score]]/InputTable[[#This Row],[EFFORT SCORE]]*100</f>
        <v>#N/A</v>
      </c>
      <c r="AV138" s="25"/>
      <c r="AW138" s="25"/>
      <c r="AX138" s="208"/>
      <c r="AY138" s="25"/>
      <c r="AZ138" s="209">
        <v>0</v>
      </c>
      <c r="BA138" s="209">
        <v>0</v>
      </c>
      <c r="BB138" s="209"/>
      <c r="BC138" s="189"/>
      <c r="BD138" s="188"/>
      <c r="BE138" s="188"/>
      <c r="BF138" s="70"/>
      <c r="BH138" s="2">
        <f>IFERROR(VLOOKUP(InputTable[[#This Row],[Impact on - CIAL]],'System List'!$F$4:$H$7,3,FALSE),0)</f>
        <v>0</v>
      </c>
      <c r="BI138" s="2">
        <f>IFERROR(VLOOKUP(InputTable[[#This Row],[Impact on - COM]],'System List'!$F$4:$H$7,3,FALSE),0)</f>
        <v>0</v>
      </c>
      <c r="BJ138" s="2">
        <f>IFERROR(VLOOKUP(InputTable[[#This Row],[Impact on - FIN]],'System List'!$F$4:$H$7,3,FALSE),0)</f>
        <v>0</v>
      </c>
      <c r="BK138" s="2">
        <f>IFERROR(VLOOKUP(InputTable[[#This Row],[Impact on - GEN SEC]],'System List'!$F$4:$H$7,3,FALSE),0)</f>
        <v>0</v>
      </c>
      <c r="BL138" s="2">
        <f>IFERROR(VLOOKUP(InputTable[[#This Row],[Impact on - HR]],'System List'!$F$4:$H$7,3,FALSE),0)</f>
        <v>0</v>
      </c>
      <c r="BM138" s="2">
        <f>IFERROR(VLOOKUP(InputTable[[#This Row],[Impact on - IS]],'System List'!$F$4:$H$7,3,FALSE),0)</f>
        <v>0</v>
      </c>
      <c r="BN138" s="2">
        <f>IFERROR(VLOOKUP(InputTable[[#This Row],[Impact on - OPS]],'System List'!$F$4:$H$7,3,FALSE),0)</f>
        <v>0</v>
      </c>
      <c r="BO138" s="2">
        <f>IFERROR(VLOOKUP(InputTable[[#This Row],[Impact on - ROLL STOCK]],'System List'!$F$4:$H$7,3,FALSE),0)</f>
        <v>0</v>
      </c>
      <c r="BP138" s="2">
        <f>IFERROR(VLOOKUP(InputTable[[#This Row],[Impact on - SAFETY]],'System List'!$F$4:$H$7,3,FALSE),0)</f>
        <v>0</v>
      </c>
      <c r="BQ138" s="2">
        <f>IFERROR(VLOOKUP(InputTable[[#This Row],[Impact on - STATION]],'System List'!$F$4:$H$7,3,FALSE),0)</f>
        <v>0</v>
      </c>
      <c r="BR138" s="2">
        <f>IFERROR(VLOOKUP(InputTable[[#This Row],[Impact on - STRAT]],'System List'!$F$4:$H$7,3,FALSE),0)</f>
        <v>0</v>
      </c>
      <c r="BT138" s="2">
        <f>IFERROR(VLOOKUP(InputTable[[#This Row],[CORPHRFIN]],'System List'!$F$4:$H$7,3,FALSE),0)</f>
        <v>0</v>
      </c>
      <c r="BU138" s="2">
        <f>IFERROR(VLOOKUP(InputTable[[#This Row],[CUST]],'System List'!$F$4:$H$7,3,FALSE),0)</f>
        <v>0</v>
      </c>
      <c r="BV138" s="2">
        <f>IFERROR(VLOOKUP(InputTable[[#This Row],[CYBER]],'System List'!$F$4:$H$7,3,FALSE),0)</f>
        <v>0</v>
      </c>
      <c r="BW138" s="2">
        <f>IFERROR(VLOOKUP(InputTable[[#This Row],[DATA]],'System List'!$F$4:$H$7,3,FALSE),0)</f>
        <v>0</v>
      </c>
      <c r="BX138" s="2">
        <f>IFERROR(VLOOKUP(InputTable[[#This Row],[INFRA]],'System List'!$F$4:$H$7,3,FALSE),0)</f>
        <v>0</v>
      </c>
      <c r="BY138" s="2">
        <f>IFERROR(VLOOKUP(InputTable[[#This Row],[OPERATIONS]],'System List'!$F$4:$H$7,3,FALSE),0)</f>
        <v>0</v>
      </c>
      <c r="BZ138" s="2">
        <f>IFERROR(VLOOKUP(InputTable[[#This Row],[PMO]],'System List'!$F$4:$H$7,3,FALSE),0)</f>
        <v>0</v>
      </c>
      <c r="CA138" s="2">
        <f>IFERROR(VLOOKUP(InputTable[[#This Row],[SALES]],'System List'!$F$4:$H$7,3,FALSE),0)</f>
        <v>0</v>
      </c>
      <c r="CC138" s="2" cm="1">
        <f t="array" ref="CC13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8" s="2" cm="1">
        <f t="array" ref="CD13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8" s="2" cm="1">
        <f t="array" ref="CE13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8" s="2" cm="1">
        <f t="array" ref="CF13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8" s="2" cm="1">
        <f t="array" ref="CG13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8" s="2" cm="1">
        <f t="array" ref="CH13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8" s="2" cm="1">
        <f t="array" ref="CI13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8" s="2" cm="1">
        <f t="array" ref="CJ13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8" s="2" cm="1">
        <f t="array" ref="CK13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8" s="26">
        <f t="shared" si="379"/>
        <v>0</v>
      </c>
      <c r="CY138" s="26">
        <f t="shared" si="380"/>
        <v>0</v>
      </c>
      <c r="CZ138" s="26">
        <f t="shared" si="381"/>
        <v>0</v>
      </c>
      <c r="DA138" s="26">
        <f t="shared" si="382"/>
        <v>0</v>
      </c>
      <c r="DB138" s="26">
        <f t="shared" si="383"/>
        <v>0</v>
      </c>
      <c r="DC138" s="26">
        <f t="shared" si="384"/>
        <v>0</v>
      </c>
      <c r="DD138" s="26">
        <f t="shared" si="385"/>
        <v>0</v>
      </c>
      <c r="DE138" s="26">
        <f t="shared" si="386"/>
        <v>0</v>
      </c>
      <c r="DF138" s="26">
        <f t="shared" si="387"/>
        <v>0</v>
      </c>
      <c r="DH138" s="26">
        <f t="shared" si="388"/>
        <v>0</v>
      </c>
      <c r="DI138" s="26">
        <f t="shared" si="389"/>
        <v>0</v>
      </c>
      <c r="DJ138" s="26">
        <f t="shared" si="390"/>
        <v>0</v>
      </c>
      <c r="DK138" s="26">
        <f t="shared" si="391"/>
        <v>0</v>
      </c>
      <c r="DL138" s="26">
        <f t="shared" si="392"/>
        <v>0</v>
      </c>
      <c r="DM138" s="26">
        <f t="shared" si="393"/>
        <v>0</v>
      </c>
      <c r="DN138" s="26">
        <f t="shared" si="394"/>
        <v>0</v>
      </c>
      <c r="DO138" s="26">
        <f t="shared" si="395"/>
        <v>0</v>
      </c>
      <c r="DP138" s="26">
        <f t="shared" si="396"/>
        <v>0</v>
      </c>
      <c r="DR138" s="26">
        <f t="shared" si="397"/>
        <v>0</v>
      </c>
      <c r="DS138" s="26">
        <f t="shared" si="398"/>
        <v>0</v>
      </c>
      <c r="DT138" s="26">
        <f t="shared" si="399"/>
        <v>0</v>
      </c>
      <c r="DU138" s="26">
        <f t="shared" si="400"/>
        <v>0</v>
      </c>
      <c r="DV138" s="26">
        <f t="shared" si="401"/>
        <v>0</v>
      </c>
      <c r="DW138" s="26">
        <f t="shared" si="402"/>
        <v>0</v>
      </c>
      <c r="DX138" s="26">
        <f t="shared" si="403"/>
        <v>0</v>
      </c>
      <c r="DY138" s="26">
        <f t="shared" si="404"/>
        <v>0</v>
      </c>
      <c r="DZ138" s="26">
        <f t="shared" si="405"/>
        <v>0</v>
      </c>
      <c r="EB138" s="26">
        <f t="shared" si="406"/>
        <v>0</v>
      </c>
      <c r="EC138" s="26">
        <f t="shared" si="407"/>
        <v>0</v>
      </c>
      <c r="ED138" s="26">
        <f t="shared" si="408"/>
        <v>0</v>
      </c>
      <c r="EE138" s="26">
        <f t="shared" si="409"/>
        <v>0</v>
      </c>
      <c r="EF138" s="26">
        <f t="shared" si="410"/>
        <v>0</v>
      </c>
      <c r="EG138" s="26">
        <f t="shared" si="411"/>
        <v>0</v>
      </c>
      <c r="EH138" s="26">
        <f t="shared" si="412"/>
        <v>0</v>
      </c>
      <c r="EI138" s="26">
        <f t="shared" si="413"/>
        <v>0</v>
      </c>
      <c r="EJ138" s="26">
        <f t="shared" si="414"/>
        <v>0</v>
      </c>
      <c r="EL138" s="26">
        <f t="shared" si="415"/>
        <v>0</v>
      </c>
      <c r="EM138" s="26">
        <f t="shared" si="416"/>
        <v>0</v>
      </c>
      <c r="EN138" s="26">
        <f t="shared" si="417"/>
        <v>0</v>
      </c>
      <c r="EO138" s="26">
        <f t="shared" si="418"/>
        <v>0</v>
      </c>
      <c r="EP138" s="26">
        <f t="shared" si="419"/>
        <v>0</v>
      </c>
      <c r="EQ138" s="26">
        <f t="shared" si="420"/>
        <v>0</v>
      </c>
      <c r="ER138" s="26">
        <f t="shared" si="421"/>
        <v>0</v>
      </c>
      <c r="ES138" s="26">
        <f t="shared" si="422"/>
        <v>0</v>
      </c>
      <c r="ET138" s="26">
        <f t="shared" si="423"/>
        <v>0</v>
      </c>
      <c r="EV138" s="26">
        <f t="shared" si="424"/>
        <v>0</v>
      </c>
      <c r="EW138" s="26">
        <f t="shared" si="425"/>
        <v>0</v>
      </c>
      <c r="EX138" s="26">
        <f t="shared" si="426"/>
        <v>0</v>
      </c>
      <c r="EY138" s="26">
        <f t="shared" si="427"/>
        <v>0</v>
      </c>
      <c r="EZ138" s="26">
        <f t="shared" si="428"/>
        <v>0</v>
      </c>
      <c r="FA138" s="26">
        <f t="shared" si="429"/>
        <v>0</v>
      </c>
      <c r="FB138" s="26">
        <f t="shared" si="430"/>
        <v>0</v>
      </c>
      <c r="FC138" s="26">
        <f t="shared" si="431"/>
        <v>0</v>
      </c>
      <c r="FD138" s="26">
        <f t="shared" si="432"/>
        <v>0</v>
      </c>
      <c r="FF138" s="26">
        <f t="shared" si="433"/>
        <v>0</v>
      </c>
      <c r="FG138" s="26">
        <f t="shared" si="434"/>
        <v>0</v>
      </c>
      <c r="FH138" s="26">
        <f t="shared" si="435"/>
        <v>0</v>
      </c>
      <c r="FI138" s="26">
        <f t="shared" si="436"/>
        <v>0</v>
      </c>
      <c r="FJ138" s="26">
        <f t="shared" si="437"/>
        <v>0</v>
      </c>
      <c r="FK138" s="26">
        <f t="shared" si="438"/>
        <v>0</v>
      </c>
      <c r="FL138" s="26">
        <f t="shared" si="439"/>
        <v>0</v>
      </c>
      <c r="FM138" s="26">
        <f t="shared" si="440"/>
        <v>0</v>
      </c>
      <c r="FN138" s="26">
        <f t="shared" si="441"/>
        <v>0</v>
      </c>
      <c r="FP138" s="26" t="e">
        <f t="shared" si="442"/>
        <v>#REF!</v>
      </c>
      <c r="FQ138" s="26" t="e">
        <f t="shared" si="443"/>
        <v>#REF!</v>
      </c>
      <c r="FR138" s="26" t="e">
        <f t="shared" si="444"/>
        <v>#REF!</v>
      </c>
      <c r="FS138" s="26" t="e">
        <f t="shared" si="445"/>
        <v>#REF!</v>
      </c>
      <c r="FT138" s="26" t="e">
        <f t="shared" si="446"/>
        <v>#REF!</v>
      </c>
      <c r="FU138" s="26" t="e">
        <f t="shared" si="447"/>
        <v>#REF!</v>
      </c>
      <c r="FV138" s="26" t="e">
        <f t="shared" si="448"/>
        <v>#REF!</v>
      </c>
      <c r="FW138" s="26" t="e">
        <f t="shared" si="449"/>
        <v>#REF!</v>
      </c>
      <c r="FX138" s="26" t="e">
        <f t="shared" si="450"/>
        <v>#REF!</v>
      </c>
      <c r="GB138" s="26" t="e">
        <f>IF(GB$2=InputTable[[#This Row],[Delivery Date]],_xlfn.XLOOKUP(GB$1,$BH$2:$BR$2,$BH138:$BR138,0),0)</f>
        <v>#REF!</v>
      </c>
      <c r="GC138" s="26">
        <f>IF(GC$2=InputTable[[#This Row],[Delivery Date]],_xlfn.XLOOKUP(GC$1,$BH$2:$BR$2,$BH138:$BR138,0),0)</f>
        <v>0</v>
      </c>
      <c r="GD138" s="26">
        <f>IF(GD$2=InputTable[[#This Row],[Delivery Date]],_xlfn.XLOOKUP(GD$1,$BH$2:$BR$2,$BH138:$BR138,0),0)</f>
        <v>0</v>
      </c>
      <c r="GE138" s="26">
        <f>IF(GE$2=InputTable[[#This Row],[Delivery Date]],_xlfn.XLOOKUP(GE$1,$BH$2:$BR$2,$BH138:$BR138,0),0)</f>
        <v>0</v>
      </c>
      <c r="GF138" s="26">
        <f>IF(GF$2=InputTable[[#This Row],[Delivery Date]],_xlfn.XLOOKUP(GF$1,$BH$2:$BR$2,$BH138:$BR138,0),0)</f>
        <v>0</v>
      </c>
      <c r="GG138" s="26">
        <f>IF(GG$2=InputTable[[#This Row],[Delivery Date]],_xlfn.XLOOKUP(GG$1,$BH$2:$BR$2,$BH138:$BR138,0),0)</f>
        <v>0</v>
      </c>
      <c r="GH138" s="26">
        <f>IF(GH$2=InputTable[[#This Row],[Delivery Date]],_xlfn.XLOOKUP(GH$1,$BH$2:$BR$2,$BH138:$BR138,0),0)</f>
        <v>0</v>
      </c>
      <c r="GI138" s="26">
        <f>IF(GI$2=InputTable[[#This Row],[Delivery Date]],_xlfn.XLOOKUP(GI$1,$BH$2:$BR$2,$BH138:$BR138,0),0)</f>
        <v>0</v>
      </c>
      <c r="GJ138" s="26">
        <f>IF(GJ$2=InputTable[[#This Row],[Delivery Date]],_xlfn.XLOOKUP(GJ$1,$BH$2:$BR$2,$BH138:$BR138,0),0)</f>
        <v>0</v>
      </c>
      <c r="GL138" s="26" t="e">
        <f>IF(GL$2=InputTable[[#This Row],[Delivery Date]],_xlfn.XLOOKUP(GL$1,$BH$2:$BR$2,$BH138:$BR138,0),0)</f>
        <v>#REF!</v>
      </c>
      <c r="GM138" s="26">
        <f>IF(GM$2=InputTable[[#This Row],[Delivery Date]],_xlfn.XLOOKUP(GM$1,$BH$2:$BR$2,$BH138:$BR138,0),0)</f>
        <v>0</v>
      </c>
      <c r="GN138" s="26">
        <f>IF(GN$2=InputTable[[#This Row],[Delivery Date]],_xlfn.XLOOKUP(GN$1,$BH$2:$BR$2,$BH138:$BR138,0),0)</f>
        <v>0</v>
      </c>
      <c r="GO138" s="26">
        <f>IF(GO$2=InputTable[[#This Row],[Delivery Date]],_xlfn.XLOOKUP(GO$1,$BH$2:$BR$2,$BH138:$BR138,0),0)</f>
        <v>0</v>
      </c>
      <c r="GP138" s="26">
        <f>IF(GP$2=InputTable[[#This Row],[Delivery Date]],_xlfn.XLOOKUP(GP$1,$BH$2:$BR$2,$BH138:$BR138,0),0)</f>
        <v>0</v>
      </c>
      <c r="GQ138" s="26">
        <f>IF(GQ$2=InputTable[[#This Row],[Delivery Date]],_xlfn.XLOOKUP(GQ$1,$BH$2:$BR$2,$BH138:$BR138,0),0)</f>
        <v>0</v>
      </c>
      <c r="GR138" s="26">
        <f>IF(GR$2=InputTable[[#This Row],[Delivery Date]],_xlfn.XLOOKUP(GR$1,$BH$2:$BR$2,$BH138:$BR138,0),0)</f>
        <v>0</v>
      </c>
      <c r="GS138" s="26">
        <f>IF(GS$2=InputTable[[#This Row],[Delivery Date]],_xlfn.XLOOKUP(GS$1,$BH$2:$BR$2,$BH138:$BR138,0),0)</f>
        <v>0</v>
      </c>
      <c r="GT138" s="26">
        <f>IF(GT$2=InputTable[[#This Row],[Delivery Date]],_xlfn.XLOOKUP(GT$1,$BH$2:$BR$2,$BH138:$BR138,0),0)</f>
        <v>0</v>
      </c>
      <c r="GV138" s="26" t="e">
        <f>IF(GV$2=InputTable[[#This Row],[Delivery Date]],_xlfn.XLOOKUP(GV$1,$BH$2:$BR$2,$BH138:$BR138,0),0)</f>
        <v>#REF!</v>
      </c>
      <c r="GW138" s="26">
        <f>IF(GW$2=InputTable[[#This Row],[Delivery Date]],_xlfn.XLOOKUP(GW$1,$BH$2:$BR$2,$BH138:$BR138,0),0)</f>
        <v>0</v>
      </c>
      <c r="GX138" s="26">
        <f>IF(GX$2=InputTable[[#This Row],[Delivery Date]],_xlfn.XLOOKUP(GX$1,$BH$2:$BR$2,$BH138:$BR138,0),0)</f>
        <v>0</v>
      </c>
      <c r="GY138" s="26">
        <f>IF(GY$2=InputTable[[#This Row],[Delivery Date]],_xlfn.XLOOKUP(GY$1,$BH$2:$BR$2,$BH138:$BR138,0),0)</f>
        <v>0</v>
      </c>
      <c r="GZ138" s="26">
        <f>IF(GZ$2=InputTable[[#This Row],[Delivery Date]],_xlfn.XLOOKUP(GZ$1,$BH$2:$BR$2,$BH138:$BR138,0),0)</f>
        <v>0</v>
      </c>
      <c r="HA138" s="26">
        <f>IF(HA$2=InputTable[[#This Row],[Delivery Date]],_xlfn.XLOOKUP(HA$1,$BH$2:$BR$2,$BH138:$BR138,0),0)</f>
        <v>0</v>
      </c>
      <c r="HB138" s="26">
        <f>IF(HB$2=InputTable[[#This Row],[Delivery Date]],_xlfn.XLOOKUP(HB$1,$BH$2:$BR$2,$BH138:$BR138,0),0)</f>
        <v>0</v>
      </c>
      <c r="HC138" s="26">
        <f>IF(HC$2=InputTable[[#This Row],[Delivery Date]],_xlfn.XLOOKUP(HC$1,$BH$2:$BR$2,$BH138:$BR138,0),0)</f>
        <v>0</v>
      </c>
      <c r="HD138" s="26">
        <f>IF(HD$2=InputTable[[#This Row],[Delivery Date]],_xlfn.XLOOKUP(HD$1,$BH$2:$BR$2,$BH138:$BR138,0),0)</f>
        <v>0</v>
      </c>
      <c r="HF138" s="26" t="e">
        <f>IF(HF$2=InputTable[[#This Row],[Delivery Date]],_xlfn.XLOOKUP(HF$1,$BH$2:$BR$2,$BH138:$BR138,0),0)</f>
        <v>#REF!</v>
      </c>
      <c r="HG138" s="26">
        <f>IF(HG$2=InputTable[[#This Row],[Delivery Date]],_xlfn.XLOOKUP(HG$1,$BH$2:$BR$2,$BH138:$BR138,0),0)</f>
        <v>0</v>
      </c>
      <c r="HH138" s="26">
        <f>IF(HH$2=InputTable[[#This Row],[Delivery Date]],_xlfn.XLOOKUP(HH$1,$BH$2:$BR$2,$BH138:$BR138,0),0)</f>
        <v>0</v>
      </c>
      <c r="HI138" s="26">
        <f>IF(HI$2=InputTable[[#This Row],[Delivery Date]],_xlfn.XLOOKUP(HI$1,$BH$2:$BR$2,$BH138:$BR138,0),0)</f>
        <v>0</v>
      </c>
      <c r="HJ138" s="26">
        <f>IF(HJ$2=InputTable[[#This Row],[Delivery Date]],_xlfn.XLOOKUP(HJ$1,$BH$2:$BR$2,$BH138:$BR138,0),0)</f>
        <v>0</v>
      </c>
      <c r="HK138" s="26">
        <f>IF(HK$2=InputTable[[#This Row],[Delivery Date]],_xlfn.XLOOKUP(HK$1,$BH$2:$BR$2,$BH138:$BR138,0),0)</f>
        <v>0</v>
      </c>
      <c r="HL138" s="26">
        <f>IF(HL$2=InputTable[[#This Row],[Delivery Date]],_xlfn.XLOOKUP(HL$1,$BH$2:$BR$2,$BH138:$BR138,0),0)</f>
        <v>0</v>
      </c>
      <c r="HM138" s="26">
        <f>IF(HM$2=InputTable[[#This Row],[Delivery Date]],_xlfn.XLOOKUP(HM$1,$BH$2:$BR$2,$BH138:$BR138,0),0)</f>
        <v>0</v>
      </c>
      <c r="HN138" s="26">
        <f>IF(HN$2=InputTable[[#This Row],[Delivery Date]],_xlfn.XLOOKUP(HN$1,$BH$2:$BR$2,$BH138:$BR138,0),0)</f>
        <v>0</v>
      </c>
      <c r="HP138" s="26" t="e">
        <f>IF(HP$2=InputTable[[#This Row],[Delivery Date]],_xlfn.XLOOKUP(HP$1,$BH$2:$BR$2,$BH138:$BR138,0),0)</f>
        <v>#REF!</v>
      </c>
      <c r="HQ138" s="26">
        <f>IF(HQ$2=InputTable[[#This Row],[Delivery Date]],_xlfn.XLOOKUP(HQ$1,$BH$2:$BR$2,$BH138:$BR138,0),0)</f>
        <v>0</v>
      </c>
      <c r="HR138" s="26">
        <f>IF(HR$2=InputTable[[#This Row],[Delivery Date]],_xlfn.XLOOKUP(HR$1,$BH$2:$BR$2,$BH138:$BR138,0),0)</f>
        <v>0</v>
      </c>
      <c r="HS138" s="26">
        <f>IF(HS$2=InputTable[[#This Row],[Delivery Date]],_xlfn.XLOOKUP(HS$1,$BH$2:$BR$2,$BH138:$BR138,0),0)</f>
        <v>0</v>
      </c>
      <c r="HT138" s="26">
        <f>IF(HT$2=InputTable[[#This Row],[Delivery Date]],_xlfn.XLOOKUP(HT$1,$BH$2:$BR$2,$BH138:$BR138,0),0)</f>
        <v>0</v>
      </c>
      <c r="HU138" s="26">
        <f>IF(HU$2=InputTable[[#This Row],[Delivery Date]],_xlfn.XLOOKUP(HU$1,$BH$2:$BR$2,$BH138:$BR138,0),0)</f>
        <v>0</v>
      </c>
      <c r="HV138" s="26">
        <f>IF(HV$2=InputTable[[#This Row],[Delivery Date]],_xlfn.XLOOKUP(HV$1,$BH$2:$BR$2,$BH138:$BR138,0),0)</f>
        <v>0</v>
      </c>
      <c r="HW138" s="26">
        <f>IF(HW$2=InputTable[[#This Row],[Delivery Date]],_xlfn.XLOOKUP(HW$1,$BH$2:$BR$2,$BH138:$BR138,0),0)</f>
        <v>0</v>
      </c>
      <c r="HX138" s="26">
        <f>IF(HX$2=InputTable[[#This Row],[Delivery Date]],_xlfn.XLOOKUP(HX$1,$BH$2:$BR$2,$BH138:$BR138,0),0)</f>
        <v>0</v>
      </c>
      <c r="HZ138" s="26" t="e">
        <f>IF(HZ$2=InputTable[[#This Row],[Delivery Date]],_xlfn.XLOOKUP(HZ$1,$BH$2:$BR$2,$BH138:$BR138,0),0)</f>
        <v>#REF!</v>
      </c>
      <c r="IA138" s="26">
        <f>IF(IA$2=InputTable[[#This Row],[Delivery Date]],_xlfn.XLOOKUP(IA$1,$BH$2:$BR$2,$BH138:$BR138,0),0)</f>
        <v>0</v>
      </c>
      <c r="IB138" s="26">
        <f>IF(IB$2=InputTable[[#This Row],[Delivery Date]],_xlfn.XLOOKUP(IB$1,$BH$2:$BR$2,$BH138:$BR138,0),0)</f>
        <v>0</v>
      </c>
      <c r="IC138" s="26">
        <f>IF(IC$2=InputTable[[#This Row],[Delivery Date]],_xlfn.XLOOKUP(IC$1,$BH$2:$BR$2,$BH138:$BR138,0),0)</f>
        <v>0</v>
      </c>
      <c r="ID138" s="26">
        <f>IF(ID$2=InputTable[[#This Row],[Delivery Date]],_xlfn.XLOOKUP(ID$1,$BH$2:$BR$2,$BH138:$BR138,0),0)</f>
        <v>0</v>
      </c>
      <c r="IE138" s="26">
        <f>IF(IE$2=InputTable[[#This Row],[Delivery Date]],_xlfn.XLOOKUP(IE$1,$BH$2:$BR$2,$BH138:$BR138,0),0)</f>
        <v>0</v>
      </c>
      <c r="IF138" s="26">
        <f>IF(IF$2=InputTable[[#This Row],[Delivery Date]],_xlfn.XLOOKUP(IF$1,$BH$2:$BR$2,$BH138:$BR138,0),0)</f>
        <v>0</v>
      </c>
      <c r="IG138" s="26">
        <f>IF(IG$2=InputTable[[#This Row],[Delivery Date]],_xlfn.XLOOKUP(IG$1,$BH$2:$BR$2,$BH138:$BR138,0),0)</f>
        <v>0</v>
      </c>
      <c r="IH138" s="26">
        <f>IF(IH$2=InputTable[[#This Row],[Delivery Date]],_xlfn.XLOOKUP(IH$1,$BH$2:$BR$2,$BH138:$BR138,0),0)</f>
        <v>0</v>
      </c>
      <c r="IJ138" s="26" t="e">
        <f>IF(IJ$2=InputTable[[#This Row],[Delivery Date]],_xlfn.XLOOKUP(IJ$1,$BH$2:$BR$2,$BH138:$BR138,0),0)</f>
        <v>#REF!</v>
      </c>
      <c r="IK138" s="26">
        <f>IF(IK$2=InputTable[[#This Row],[Delivery Date]],_xlfn.XLOOKUP(IK$1,$BH$2:$BR$2,$BH138:$BR138,0),0)</f>
        <v>0</v>
      </c>
      <c r="IL138" s="26">
        <f>IF(IL$2=InputTable[[#This Row],[Delivery Date]],_xlfn.XLOOKUP(IL$1,$BH$2:$BR$2,$BH138:$BR138,0),0)</f>
        <v>0</v>
      </c>
      <c r="IM138" s="26">
        <f>IF(IM$2=InputTable[[#This Row],[Delivery Date]],_xlfn.XLOOKUP(IM$1,$BH$2:$BR$2,$BH138:$BR138,0),0)</f>
        <v>0</v>
      </c>
      <c r="IN138" s="26">
        <f>IF(IN$2=InputTable[[#This Row],[Delivery Date]],_xlfn.XLOOKUP(IN$1,$BH$2:$BR$2,$BH138:$BR138,0),0)</f>
        <v>0</v>
      </c>
      <c r="IO138" s="26">
        <f>IF(IO$2=InputTable[[#This Row],[Delivery Date]],_xlfn.XLOOKUP(IO$1,$BH$2:$BR$2,$BH138:$BR138,0),0)</f>
        <v>0</v>
      </c>
      <c r="IP138" s="26">
        <f>IF(IP$2=InputTable[[#This Row],[Delivery Date]],_xlfn.XLOOKUP(IP$1,$BH$2:$BR$2,$BH138:$BR138,0),0)</f>
        <v>0</v>
      </c>
      <c r="IQ138" s="26">
        <f>IF(IQ$2=InputTable[[#This Row],[Delivery Date]],_xlfn.XLOOKUP(IQ$1,$BH$2:$BR$2,$BH138:$BR138,0),0)</f>
        <v>0</v>
      </c>
      <c r="IR138" s="26">
        <f>IF(IR$2=InputTable[[#This Row],[Delivery Date]],_xlfn.XLOOKUP(IR$1,$BH$2:$BR$2,$BH138:$BR138,0),0)</f>
        <v>0</v>
      </c>
      <c r="IT138" s="26" t="e">
        <f>IF(IT$2=InputTable[[#This Row],[Delivery Date]],_xlfn.XLOOKUP(IT$1,$BH$2:$BR$2,$BH138:$BR138,0),0)</f>
        <v>#REF!</v>
      </c>
      <c r="IU138" s="26">
        <f>IF(IU$2=InputTable[[#This Row],[Delivery Date]],_xlfn.XLOOKUP(IU$1,$BH$2:$BR$2,$BH138:$BR138,0),0)</f>
        <v>0</v>
      </c>
      <c r="IV138" s="26">
        <f>IF(IV$2=InputTable[[#This Row],[Delivery Date]],_xlfn.XLOOKUP(IV$1,$BH$2:$BR$2,$BH138:$BR138,0),0)</f>
        <v>0</v>
      </c>
      <c r="IW138" s="26">
        <f>IF(IW$2=InputTable[[#This Row],[Delivery Date]],_xlfn.XLOOKUP(IW$1,$BH$2:$BR$2,$BH138:$BR138,0),0)</f>
        <v>0</v>
      </c>
      <c r="IX138" s="26">
        <f>IF(IX$2=InputTable[[#This Row],[Delivery Date]],_xlfn.XLOOKUP(IX$1,$BH$2:$BR$2,$BH138:$BR138,0),0)</f>
        <v>0</v>
      </c>
      <c r="IY138" s="26">
        <f>IF(IY$2=InputTable[[#This Row],[Delivery Date]],_xlfn.XLOOKUP(IY$1,$BH$2:$BR$2,$BH138:$BR138,0),0)</f>
        <v>0</v>
      </c>
      <c r="IZ138" s="26">
        <f>IF(IZ$2=InputTable[[#This Row],[Delivery Date]],_xlfn.XLOOKUP(IZ$1,$BH$2:$BR$2,$BH138:$BR138,0),0)</f>
        <v>0</v>
      </c>
      <c r="JA138" s="26">
        <f>IF(JA$2=InputTable[[#This Row],[Delivery Date]],_xlfn.XLOOKUP(JA$1,$BH$2:$BR$2,$BH138:$BR138,0),0)</f>
        <v>0</v>
      </c>
      <c r="JB138" s="26">
        <f>IF(JB$2=InputTable[[#This Row],[Delivery Date]],_xlfn.XLOOKUP(JB$1,$BH$2:$BR$2,$BH138:$BR138,0),0)</f>
        <v>0</v>
      </c>
      <c r="JD138" s="26" t="e">
        <f>IF(JD$2=InputTable[[#This Row],[Delivery Date]],_xlfn.XLOOKUP(JD$1,$BH$2:$BR$2,$BH138:$BR138,0),0)</f>
        <v>#REF!</v>
      </c>
      <c r="JE138" s="26">
        <f>IF(JE$2=InputTable[[#This Row],[Delivery Date]],_xlfn.XLOOKUP(JE$1,$BH$2:$BR$2,$BH138:$BR138,0),0)</f>
        <v>0</v>
      </c>
      <c r="JF138" s="26">
        <f>IF(JF$2=InputTable[[#This Row],[Delivery Date]],_xlfn.XLOOKUP(JF$1,$BH$2:$BR$2,$BH138:$BR138,0),0)</f>
        <v>0</v>
      </c>
      <c r="JG138" s="26">
        <f>IF(JG$2=InputTable[[#This Row],[Delivery Date]],_xlfn.XLOOKUP(JG$1,$BH$2:$BR$2,$BH138:$BR138,0),0)</f>
        <v>0</v>
      </c>
      <c r="JH138" s="26">
        <f>IF(JH$2=InputTable[[#This Row],[Delivery Date]],_xlfn.XLOOKUP(JH$1,$BH$2:$BR$2,$BH138:$BR138,0),0)</f>
        <v>0</v>
      </c>
      <c r="JI138" s="26">
        <f>IF(JI$2=InputTable[[#This Row],[Delivery Date]],_xlfn.XLOOKUP(JI$1,$BH$2:$BR$2,$BH138:$BR138,0),0)</f>
        <v>0</v>
      </c>
      <c r="JJ138" s="26">
        <f>IF(JJ$2=InputTable[[#This Row],[Delivery Date]],_xlfn.XLOOKUP(JJ$1,$BH$2:$BR$2,$BH138:$BR138,0),0)</f>
        <v>0</v>
      </c>
      <c r="JK138" s="26">
        <f>IF(JK$2=InputTable[[#This Row],[Delivery Date]],_xlfn.XLOOKUP(JK$1,$BH$2:$BR$2,$BH138:$BR138,0),0)</f>
        <v>0</v>
      </c>
      <c r="JL138" s="26">
        <f>IF(JL$2=InputTable[[#This Row],[Delivery Date]],_xlfn.XLOOKUP(JL$1,$BH$2:$BR$2,$BH138:$BR138,0),0)</f>
        <v>0</v>
      </c>
      <c r="JN138" s="26" t="e">
        <f>IF(JN$2=InputTable[[#This Row],[Delivery Date]],_xlfn.XLOOKUP(JN$1,$BH$2:$BR$2,$BH138:$BR138,0),0)</f>
        <v>#REF!</v>
      </c>
      <c r="JO138" s="26">
        <f>IF(JO$2=InputTable[[#This Row],[Delivery Date]],_xlfn.XLOOKUP(JO$1,$BH$2:$BR$2,$BH138:$BR138,0),0)</f>
        <v>0</v>
      </c>
      <c r="JP138" s="26">
        <f>IF(JP$2=InputTable[[#This Row],[Delivery Date]],_xlfn.XLOOKUP(JP$1,$BH$2:$BR$2,$BH138:$BR138,0),0)</f>
        <v>0</v>
      </c>
      <c r="JQ138" s="26">
        <f>IF(JQ$2=InputTable[[#This Row],[Delivery Date]],_xlfn.XLOOKUP(JQ$1,$BH$2:$BR$2,$BH138:$BR138,0),0)</f>
        <v>0</v>
      </c>
      <c r="JR138" s="26">
        <f>IF(JR$2=InputTable[[#This Row],[Delivery Date]],_xlfn.XLOOKUP(JR$1,$BH$2:$BR$2,$BH138:$BR138,0),0)</f>
        <v>0</v>
      </c>
      <c r="JS138" s="26">
        <f>IF(JS$2=InputTable[[#This Row],[Delivery Date]],_xlfn.XLOOKUP(JS$1,$BH$2:$BR$2,$BH138:$BR138,0),0)</f>
        <v>0</v>
      </c>
      <c r="JT138" s="26">
        <f>IF(JT$2=InputTable[[#This Row],[Delivery Date]],_xlfn.XLOOKUP(JT$1,$BH$2:$BR$2,$BH138:$BR138,0),0)</f>
        <v>0</v>
      </c>
      <c r="JU138" s="26">
        <f>IF(JU$2=InputTable[[#This Row],[Delivery Date]],_xlfn.XLOOKUP(JU$1,$BH$2:$BR$2,$BH138:$BR138,0),0)</f>
        <v>0</v>
      </c>
      <c r="JV138" s="26">
        <f>IF(JV$2=InputTable[[#This Row],[Delivery Date]],_xlfn.XLOOKUP(JV$1,$BH$2:$BR$2,$BH138:$BR138,0),0)</f>
        <v>0</v>
      </c>
      <c r="JX138" s="26" t="e">
        <f>IF(JX$2=InputTable[[#This Row],[Delivery Date]],_xlfn.XLOOKUP(JX$1,$BH$2:$BR$2,$BH138:$BR138,0),0)</f>
        <v>#REF!</v>
      </c>
      <c r="JY138" s="26">
        <f>IF(JY$2=InputTable[[#This Row],[Delivery Date]],_xlfn.XLOOKUP(JY$1,$BH$2:$BR$2,$BH138:$BR138,0),0)</f>
        <v>0</v>
      </c>
      <c r="JZ138" s="26">
        <f>IF(JZ$2=InputTable[[#This Row],[Delivery Date]],_xlfn.XLOOKUP(JZ$1,$BH$2:$BR$2,$BH138:$BR138,0),0)</f>
        <v>0</v>
      </c>
      <c r="KA138" s="26">
        <f>IF(KA$2=InputTable[[#This Row],[Delivery Date]],_xlfn.XLOOKUP(KA$1,$BH$2:$BR$2,$BH138:$BR138,0),0)</f>
        <v>0</v>
      </c>
      <c r="KB138" s="26">
        <f>IF(KB$2=InputTable[[#This Row],[Delivery Date]],_xlfn.XLOOKUP(KB$1,$BH$2:$BR$2,$BH138:$BR138,0),0)</f>
        <v>0</v>
      </c>
      <c r="KC138" s="26">
        <f>IF(KC$2=InputTable[[#This Row],[Delivery Date]],_xlfn.XLOOKUP(KC$1,$BH$2:$BR$2,$BH138:$BR138,0),0)</f>
        <v>0</v>
      </c>
      <c r="KD138" s="26">
        <f>IF(KD$2=InputTable[[#This Row],[Delivery Date]],_xlfn.XLOOKUP(KD$1,$BH$2:$BR$2,$BH138:$BR138,0),0)</f>
        <v>0</v>
      </c>
      <c r="KE138" s="26">
        <f>IF(KE$2=InputTable[[#This Row],[Delivery Date]],_xlfn.XLOOKUP(KE$1,$BH$2:$BR$2,$BH138:$BR138,0),0)</f>
        <v>0</v>
      </c>
      <c r="KF138" s="26">
        <f>IF(KF$2=InputTable[[#This Row],[Delivery Date]],_xlfn.XLOOKUP(KF$1,$BH$2:$BR$2,$BH138:$BR138,0),0)</f>
        <v>0</v>
      </c>
    </row>
    <row r="139" spans="1:292" ht="17.399999999999999" x14ac:dyDescent="0.25">
      <c r="A139" s="141"/>
      <c r="B139" s="141"/>
      <c r="C139" s="92"/>
      <c r="D139" s="92"/>
      <c r="E139" s="93"/>
      <c r="F139" s="92"/>
      <c r="G139" s="92"/>
      <c r="H139" s="92"/>
      <c r="I139" s="92"/>
      <c r="J139" s="122"/>
      <c r="K139" s="95" t="e">
        <f>VLOOKUP((InputTable[[#This Row],[Starting Date]]&amp; " - " &amp;InputTable[[#This Row],[Delivery Date]]),'System List'!$F$40:$H$83,2,FALSE)</f>
        <v>#N/A</v>
      </c>
      <c r="L139" s="95" t="e">
        <f>VLOOKUP(InputTable[[#This Row],[Duration]],Duration,2,FALSE)</f>
        <v>#N/A</v>
      </c>
      <c r="M139" s="122"/>
      <c r="N139" s="92"/>
      <c r="O139" s="92"/>
      <c r="P139" s="92"/>
      <c r="Q139" s="92"/>
      <c r="R139" s="92"/>
      <c r="S139" s="92"/>
      <c r="T139" s="95"/>
      <c r="U139" s="138"/>
      <c r="V139" s="92"/>
      <c r="W139" s="92"/>
      <c r="X139" s="92"/>
      <c r="Y139" s="92"/>
      <c r="Z139" s="92"/>
      <c r="AA139" s="92"/>
      <c r="AB139" s="92"/>
      <c r="AC139" s="92"/>
      <c r="AD139" s="92">
        <f>COUNTA(InputTable[[#This Row],[CORPHRFIN]:[SALES]])</f>
        <v>0</v>
      </c>
      <c r="AE139" s="88" cm="1">
        <f t="array" ref="AE139">SUM(
_xlfn.XLOOKUP(InputTable[[#This Row],[CORPHRFIN]:[SALES]],'System List'!$F$4:$F$7,'System List'!$H$4:$H$7,0))</f>
        <v>0</v>
      </c>
      <c r="AF139" s="140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88" cm="1">
        <f t="array" ref="AR139">SUM(
_xlfn.XLOOKUP(InputTable[[#This Row],[Impact on - CIAL]:[Impact on - STRAT]],'System List'!$F$4:$F$7,'System List'!$H$4:$H$7,0))</f>
        <v>0</v>
      </c>
      <c r="AS139" s="88" t="e">
        <f>VLOOKUP(InputTable[[#This Row],[Duration]],Duration,2,FALSE)+InputTable[[#This Row],[Resource Score]]</f>
        <v>#N/A</v>
      </c>
      <c r="AT13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39" s="24" t="e">
        <f>InputTable[[#This Row],[Value Score]]/InputTable[[#This Row],[EFFORT SCORE]]*100</f>
        <v>#N/A</v>
      </c>
      <c r="AV139" s="25"/>
      <c r="AW139" s="25"/>
      <c r="AX139" s="208"/>
      <c r="AY139" s="25"/>
      <c r="AZ139" s="209">
        <v>0</v>
      </c>
      <c r="BA139" s="209">
        <v>0</v>
      </c>
      <c r="BB139" s="209"/>
      <c r="BC139" s="189"/>
      <c r="BD139" s="188"/>
      <c r="BE139" s="188"/>
      <c r="BF139" s="70"/>
      <c r="BH139" s="2">
        <f>IFERROR(VLOOKUP(InputTable[[#This Row],[Impact on - CIAL]],'System List'!$F$4:$H$7,3,FALSE),0)</f>
        <v>0</v>
      </c>
      <c r="BI139" s="2">
        <f>IFERROR(VLOOKUP(InputTable[[#This Row],[Impact on - COM]],'System List'!$F$4:$H$7,3,FALSE),0)</f>
        <v>0</v>
      </c>
      <c r="BJ139" s="2">
        <f>IFERROR(VLOOKUP(InputTable[[#This Row],[Impact on - FIN]],'System List'!$F$4:$H$7,3,FALSE),0)</f>
        <v>0</v>
      </c>
      <c r="BK139" s="2">
        <f>IFERROR(VLOOKUP(InputTable[[#This Row],[Impact on - GEN SEC]],'System List'!$F$4:$H$7,3,FALSE),0)</f>
        <v>0</v>
      </c>
      <c r="BL139" s="2">
        <f>IFERROR(VLOOKUP(InputTable[[#This Row],[Impact on - HR]],'System List'!$F$4:$H$7,3,FALSE),0)</f>
        <v>0</v>
      </c>
      <c r="BM139" s="2">
        <f>IFERROR(VLOOKUP(InputTable[[#This Row],[Impact on - IS]],'System List'!$F$4:$H$7,3,FALSE),0)</f>
        <v>0</v>
      </c>
      <c r="BN139" s="2">
        <f>IFERROR(VLOOKUP(InputTable[[#This Row],[Impact on - OPS]],'System List'!$F$4:$H$7,3,FALSE),0)</f>
        <v>0</v>
      </c>
      <c r="BO139" s="2">
        <f>IFERROR(VLOOKUP(InputTable[[#This Row],[Impact on - ROLL STOCK]],'System List'!$F$4:$H$7,3,FALSE),0)</f>
        <v>0</v>
      </c>
      <c r="BP139" s="2">
        <f>IFERROR(VLOOKUP(InputTable[[#This Row],[Impact on - SAFETY]],'System List'!$F$4:$H$7,3,FALSE),0)</f>
        <v>0</v>
      </c>
      <c r="BQ139" s="2">
        <f>IFERROR(VLOOKUP(InputTable[[#This Row],[Impact on - STATION]],'System List'!$F$4:$H$7,3,FALSE),0)</f>
        <v>0</v>
      </c>
      <c r="BR139" s="2">
        <f>IFERROR(VLOOKUP(InputTable[[#This Row],[Impact on - STRAT]],'System List'!$F$4:$H$7,3,FALSE),0)</f>
        <v>0</v>
      </c>
      <c r="BT139" s="2">
        <f>IFERROR(VLOOKUP(InputTable[[#This Row],[CORPHRFIN]],'System List'!$F$4:$H$7,3,FALSE),0)</f>
        <v>0</v>
      </c>
      <c r="BU139" s="2">
        <f>IFERROR(VLOOKUP(InputTable[[#This Row],[CUST]],'System List'!$F$4:$H$7,3,FALSE),0)</f>
        <v>0</v>
      </c>
      <c r="BV139" s="2">
        <f>IFERROR(VLOOKUP(InputTable[[#This Row],[CYBER]],'System List'!$F$4:$H$7,3,FALSE),0)</f>
        <v>0</v>
      </c>
      <c r="BW139" s="2">
        <f>IFERROR(VLOOKUP(InputTable[[#This Row],[DATA]],'System List'!$F$4:$H$7,3,FALSE),0)</f>
        <v>0</v>
      </c>
      <c r="BX139" s="2">
        <f>IFERROR(VLOOKUP(InputTable[[#This Row],[INFRA]],'System List'!$F$4:$H$7,3,FALSE),0)</f>
        <v>0</v>
      </c>
      <c r="BY139" s="2">
        <f>IFERROR(VLOOKUP(InputTable[[#This Row],[OPERATIONS]],'System List'!$F$4:$H$7,3,FALSE),0)</f>
        <v>0</v>
      </c>
      <c r="BZ139" s="2">
        <f>IFERROR(VLOOKUP(InputTable[[#This Row],[PMO]],'System List'!$F$4:$H$7,3,FALSE),0)</f>
        <v>0</v>
      </c>
      <c r="CA139" s="2">
        <f>IFERROR(VLOOKUP(InputTable[[#This Row],[SALES]],'System List'!$F$4:$H$7,3,FALSE),0)</f>
        <v>0</v>
      </c>
      <c r="CC139" s="2" cm="1">
        <f t="array" ref="CC13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39" s="2" cm="1">
        <f t="array" ref="CD13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39" s="2" cm="1">
        <f t="array" ref="CE13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39" s="2" cm="1">
        <f t="array" ref="CF13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39" s="2" cm="1">
        <f t="array" ref="CG13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39" s="2" cm="1">
        <f t="array" ref="CH13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39" s="2" cm="1">
        <f t="array" ref="CI13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39" s="2" cm="1">
        <f t="array" ref="CJ13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39" s="2" cm="1">
        <f t="array" ref="CK13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3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3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3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3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3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3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3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3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3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39" s="26">
        <f t="shared" si="379"/>
        <v>0</v>
      </c>
      <c r="CY139" s="26">
        <f t="shared" si="380"/>
        <v>0</v>
      </c>
      <c r="CZ139" s="26">
        <f t="shared" si="381"/>
        <v>0</v>
      </c>
      <c r="DA139" s="26">
        <f t="shared" si="382"/>
        <v>0</v>
      </c>
      <c r="DB139" s="26">
        <f t="shared" si="383"/>
        <v>0</v>
      </c>
      <c r="DC139" s="26">
        <f t="shared" si="384"/>
        <v>0</v>
      </c>
      <c r="DD139" s="26">
        <f t="shared" si="385"/>
        <v>0</v>
      </c>
      <c r="DE139" s="26">
        <f t="shared" si="386"/>
        <v>0</v>
      </c>
      <c r="DF139" s="26">
        <f t="shared" si="387"/>
        <v>0</v>
      </c>
      <c r="DH139" s="26">
        <f t="shared" si="388"/>
        <v>0</v>
      </c>
      <c r="DI139" s="26">
        <f t="shared" si="389"/>
        <v>0</v>
      </c>
      <c r="DJ139" s="26">
        <f t="shared" si="390"/>
        <v>0</v>
      </c>
      <c r="DK139" s="26">
        <f t="shared" si="391"/>
        <v>0</v>
      </c>
      <c r="DL139" s="26">
        <f t="shared" si="392"/>
        <v>0</v>
      </c>
      <c r="DM139" s="26">
        <f t="shared" si="393"/>
        <v>0</v>
      </c>
      <c r="DN139" s="26">
        <f t="shared" si="394"/>
        <v>0</v>
      </c>
      <c r="DO139" s="26">
        <f t="shared" si="395"/>
        <v>0</v>
      </c>
      <c r="DP139" s="26">
        <f t="shared" si="396"/>
        <v>0</v>
      </c>
      <c r="DR139" s="26">
        <f t="shared" si="397"/>
        <v>0</v>
      </c>
      <c r="DS139" s="26">
        <f t="shared" si="398"/>
        <v>0</v>
      </c>
      <c r="DT139" s="26">
        <f t="shared" si="399"/>
        <v>0</v>
      </c>
      <c r="DU139" s="26">
        <f t="shared" si="400"/>
        <v>0</v>
      </c>
      <c r="DV139" s="26">
        <f t="shared" si="401"/>
        <v>0</v>
      </c>
      <c r="DW139" s="26">
        <f t="shared" si="402"/>
        <v>0</v>
      </c>
      <c r="DX139" s="26">
        <f t="shared" si="403"/>
        <v>0</v>
      </c>
      <c r="DY139" s="26">
        <f t="shared" si="404"/>
        <v>0</v>
      </c>
      <c r="DZ139" s="26">
        <f t="shared" si="405"/>
        <v>0</v>
      </c>
      <c r="EB139" s="26">
        <f t="shared" si="406"/>
        <v>0</v>
      </c>
      <c r="EC139" s="26">
        <f t="shared" si="407"/>
        <v>0</v>
      </c>
      <c r="ED139" s="26">
        <f t="shared" si="408"/>
        <v>0</v>
      </c>
      <c r="EE139" s="26">
        <f t="shared" si="409"/>
        <v>0</v>
      </c>
      <c r="EF139" s="26">
        <f t="shared" si="410"/>
        <v>0</v>
      </c>
      <c r="EG139" s="26">
        <f t="shared" si="411"/>
        <v>0</v>
      </c>
      <c r="EH139" s="26">
        <f t="shared" si="412"/>
        <v>0</v>
      </c>
      <c r="EI139" s="26">
        <f t="shared" si="413"/>
        <v>0</v>
      </c>
      <c r="EJ139" s="26">
        <f t="shared" si="414"/>
        <v>0</v>
      </c>
      <c r="EL139" s="26">
        <f t="shared" si="415"/>
        <v>0</v>
      </c>
      <c r="EM139" s="26">
        <f t="shared" si="416"/>
        <v>0</v>
      </c>
      <c r="EN139" s="26">
        <f t="shared" si="417"/>
        <v>0</v>
      </c>
      <c r="EO139" s="26">
        <f t="shared" si="418"/>
        <v>0</v>
      </c>
      <c r="EP139" s="26">
        <f t="shared" si="419"/>
        <v>0</v>
      </c>
      <c r="EQ139" s="26">
        <f t="shared" si="420"/>
        <v>0</v>
      </c>
      <c r="ER139" s="26">
        <f t="shared" si="421"/>
        <v>0</v>
      </c>
      <c r="ES139" s="26">
        <f t="shared" si="422"/>
        <v>0</v>
      </c>
      <c r="ET139" s="26">
        <f t="shared" si="423"/>
        <v>0</v>
      </c>
      <c r="EV139" s="26">
        <f t="shared" si="424"/>
        <v>0</v>
      </c>
      <c r="EW139" s="26">
        <f t="shared" si="425"/>
        <v>0</v>
      </c>
      <c r="EX139" s="26">
        <f t="shared" si="426"/>
        <v>0</v>
      </c>
      <c r="EY139" s="26">
        <f t="shared" si="427"/>
        <v>0</v>
      </c>
      <c r="EZ139" s="26">
        <f t="shared" si="428"/>
        <v>0</v>
      </c>
      <c r="FA139" s="26">
        <f t="shared" si="429"/>
        <v>0</v>
      </c>
      <c r="FB139" s="26">
        <f t="shared" si="430"/>
        <v>0</v>
      </c>
      <c r="FC139" s="26">
        <f t="shared" si="431"/>
        <v>0</v>
      </c>
      <c r="FD139" s="26">
        <f t="shared" si="432"/>
        <v>0</v>
      </c>
      <c r="FF139" s="26">
        <f t="shared" si="433"/>
        <v>0</v>
      </c>
      <c r="FG139" s="26">
        <f t="shared" si="434"/>
        <v>0</v>
      </c>
      <c r="FH139" s="26">
        <f t="shared" si="435"/>
        <v>0</v>
      </c>
      <c r="FI139" s="26">
        <f t="shared" si="436"/>
        <v>0</v>
      </c>
      <c r="FJ139" s="26">
        <f t="shared" si="437"/>
        <v>0</v>
      </c>
      <c r="FK139" s="26">
        <f t="shared" si="438"/>
        <v>0</v>
      </c>
      <c r="FL139" s="26">
        <f t="shared" si="439"/>
        <v>0</v>
      </c>
      <c r="FM139" s="26">
        <f t="shared" si="440"/>
        <v>0</v>
      </c>
      <c r="FN139" s="26">
        <f t="shared" si="441"/>
        <v>0</v>
      </c>
      <c r="FP139" s="26" t="e">
        <f t="shared" si="442"/>
        <v>#REF!</v>
      </c>
      <c r="FQ139" s="26" t="e">
        <f t="shared" si="443"/>
        <v>#REF!</v>
      </c>
      <c r="FR139" s="26" t="e">
        <f t="shared" si="444"/>
        <v>#REF!</v>
      </c>
      <c r="FS139" s="26" t="e">
        <f t="shared" si="445"/>
        <v>#REF!</v>
      </c>
      <c r="FT139" s="26" t="e">
        <f t="shared" si="446"/>
        <v>#REF!</v>
      </c>
      <c r="FU139" s="26" t="e">
        <f t="shared" si="447"/>
        <v>#REF!</v>
      </c>
      <c r="FV139" s="26" t="e">
        <f t="shared" si="448"/>
        <v>#REF!</v>
      </c>
      <c r="FW139" s="26" t="e">
        <f t="shared" si="449"/>
        <v>#REF!</v>
      </c>
      <c r="FX139" s="26" t="e">
        <f t="shared" si="450"/>
        <v>#REF!</v>
      </c>
      <c r="GB139" s="26" t="e">
        <f>IF(GB$2=InputTable[[#This Row],[Delivery Date]],_xlfn.XLOOKUP(GB$1,$BH$2:$BR$2,$BH139:$BR139,0),0)</f>
        <v>#REF!</v>
      </c>
      <c r="GC139" s="26">
        <f>IF(GC$2=InputTable[[#This Row],[Delivery Date]],_xlfn.XLOOKUP(GC$1,$BH$2:$BR$2,$BH139:$BR139,0),0)</f>
        <v>0</v>
      </c>
      <c r="GD139" s="26">
        <f>IF(GD$2=InputTable[[#This Row],[Delivery Date]],_xlfn.XLOOKUP(GD$1,$BH$2:$BR$2,$BH139:$BR139,0),0)</f>
        <v>0</v>
      </c>
      <c r="GE139" s="26">
        <f>IF(GE$2=InputTable[[#This Row],[Delivery Date]],_xlfn.XLOOKUP(GE$1,$BH$2:$BR$2,$BH139:$BR139,0),0)</f>
        <v>0</v>
      </c>
      <c r="GF139" s="26">
        <f>IF(GF$2=InputTable[[#This Row],[Delivery Date]],_xlfn.XLOOKUP(GF$1,$BH$2:$BR$2,$BH139:$BR139,0),0)</f>
        <v>0</v>
      </c>
      <c r="GG139" s="26">
        <f>IF(GG$2=InputTable[[#This Row],[Delivery Date]],_xlfn.XLOOKUP(GG$1,$BH$2:$BR$2,$BH139:$BR139,0),0)</f>
        <v>0</v>
      </c>
      <c r="GH139" s="26">
        <f>IF(GH$2=InputTable[[#This Row],[Delivery Date]],_xlfn.XLOOKUP(GH$1,$BH$2:$BR$2,$BH139:$BR139,0),0)</f>
        <v>0</v>
      </c>
      <c r="GI139" s="26">
        <f>IF(GI$2=InputTable[[#This Row],[Delivery Date]],_xlfn.XLOOKUP(GI$1,$BH$2:$BR$2,$BH139:$BR139,0),0)</f>
        <v>0</v>
      </c>
      <c r="GJ139" s="26">
        <f>IF(GJ$2=InputTable[[#This Row],[Delivery Date]],_xlfn.XLOOKUP(GJ$1,$BH$2:$BR$2,$BH139:$BR139,0),0)</f>
        <v>0</v>
      </c>
      <c r="GL139" s="26" t="e">
        <f>IF(GL$2=InputTable[[#This Row],[Delivery Date]],_xlfn.XLOOKUP(GL$1,$BH$2:$BR$2,$BH139:$BR139,0),0)</f>
        <v>#REF!</v>
      </c>
      <c r="GM139" s="26">
        <f>IF(GM$2=InputTable[[#This Row],[Delivery Date]],_xlfn.XLOOKUP(GM$1,$BH$2:$BR$2,$BH139:$BR139,0),0)</f>
        <v>0</v>
      </c>
      <c r="GN139" s="26">
        <f>IF(GN$2=InputTable[[#This Row],[Delivery Date]],_xlfn.XLOOKUP(GN$1,$BH$2:$BR$2,$BH139:$BR139,0),0)</f>
        <v>0</v>
      </c>
      <c r="GO139" s="26">
        <f>IF(GO$2=InputTable[[#This Row],[Delivery Date]],_xlfn.XLOOKUP(GO$1,$BH$2:$BR$2,$BH139:$BR139,0),0)</f>
        <v>0</v>
      </c>
      <c r="GP139" s="26">
        <f>IF(GP$2=InputTable[[#This Row],[Delivery Date]],_xlfn.XLOOKUP(GP$1,$BH$2:$BR$2,$BH139:$BR139,0),0)</f>
        <v>0</v>
      </c>
      <c r="GQ139" s="26">
        <f>IF(GQ$2=InputTable[[#This Row],[Delivery Date]],_xlfn.XLOOKUP(GQ$1,$BH$2:$BR$2,$BH139:$BR139,0),0)</f>
        <v>0</v>
      </c>
      <c r="GR139" s="26">
        <f>IF(GR$2=InputTable[[#This Row],[Delivery Date]],_xlfn.XLOOKUP(GR$1,$BH$2:$BR$2,$BH139:$BR139,0),0)</f>
        <v>0</v>
      </c>
      <c r="GS139" s="26">
        <f>IF(GS$2=InputTable[[#This Row],[Delivery Date]],_xlfn.XLOOKUP(GS$1,$BH$2:$BR$2,$BH139:$BR139,0),0)</f>
        <v>0</v>
      </c>
      <c r="GT139" s="26">
        <f>IF(GT$2=InputTable[[#This Row],[Delivery Date]],_xlfn.XLOOKUP(GT$1,$BH$2:$BR$2,$BH139:$BR139,0),0)</f>
        <v>0</v>
      </c>
      <c r="GV139" s="26" t="e">
        <f>IF(GV$2=InputTable[[#This Row],[Delivery Date]],_xlfn.XLOOKUP(GV$1,$BH$2:$BR$2,$BH139:$BR139,0),0)</f>
        <v>#REF!</v>
      </c>
      <c r="GW139" s="26">
        <f>IF(GW$2=InputTable[[#This Row],[Delivery Date]],_xlfn.XLOOKUP(GW$1,$BH$2:$BR$2,$BH139:$BR139,0),0)</f>
        <v>0</v>
      </c>
      <c r="GX139" s="26">
        <f>IF(GX$2=InputTable[[#This Row],[Delivery Date]],_xlfn.XLOOKUP(GX$1,$BH$2:$BR$2,$BH139:$BR139,0),0)</f>
        <v>0</v>
      </c>
      <c r="GY139" s="26">
        <f>IF(GY$2=InputTable[[#This Row],[Delivery Date]],_xlfn.XLOOKUP(GY$1,$BH$2:$BR$2,$BH139:$BR139,0),0)</f>
        <v>0</v>
      </c>
      <c r="GZ139" s="26">
        <f>IF(GZ$2=InputTable[[#This Row],[Delivery Date]],_xlfn.XLOOKUP(GZ$1,$BH$2:$BR$2,$BH139:$BR139,0),0)</f>
        <v>0</v>
      </c>
      <c r="HA139" s="26">
        <f>IF(HA$2=InputTable[[#This Row],[Delivery Date]],_xlfn.XLOOKUP(HA$1,$BH$2:$BR$2,$BH139:$BR139,0),0)</f>
        <v>0</v>
      </c>
      <c r="HB139" s="26">
        <f>IF(HB$2=InputTable[[#This Row],[Delivery Date]],_xlfn.XLOOKUP(HB$1,$BH$2:$BR$2,$BH139:$BR139,0),0)</f>
        <v>0</v>
      </c>
      <c r="HC139" s="26">
        <f>IF(HC$2=InputTable[[#This Row],[Delivery Date]],_xlfn.XLOOKUP(HC$1,$BH$2:$BR$2,$BH139:$BR139,0),0)</f>
        <v>0</v>
      </c>
      <c r="HD139" s="26">
        <f>IF(HD$2=InputTable[[#This Row],[Delivery Date]],_xlfn.XLOOKUP(HD$1,$BH$2:$BR$2,$BH139:$BR139,0),0)</f>
        <v>0</v>
      </c>
      <c r="HF139" s="26" t="e">
        <f>IF(HF$2=InputTable[[#This Row],[Delivery Date]],_xlfn.XLOOKUP(HF$1,$BH$2:$BR$2,$BH139:$BR139,0),0)</f>
        <v>#REF!</v>
      </c>
      <c r="HG139" s="26">
        <f>IF(HG$2=InputTable[[#This Row],[Delivery Date]],_xlfn.XLOOKUP(HG$1,$BH$2:$BR$2,$BH139:$BR139,0),0)</f>
        <v>0</v>
      </c>
      <c r="HH139" s="26">
        <f>IF(HH$2=InputTable[[#This Row],[Delivery Date]],_xlfn.XLOOKUP(HH$1,$BH$2:$BR$2,$BH139:$BR139,0),0)</f>
        <v>0</v>
      </c>
      <c r="HI139" s="26">
        <f>IF(HI$2=InputTable[[#This Row],[Delivery Date]],_xlfn.XLOOKUP(HI$1,$BH$2:$BR$2,$BH139:$BR139,0),0)</f>
        <v>0</v>
      </c>
      <c r="HJ139" s="26">
        <f>IF(HJ$2=InputTable[[#This Row],[Delivery Date]],_xlfn.XLOOKUP(HJ$1,$BH$2:$BR$2,$BH139:$BR139,0),0)</f>
        <v>0</v>
      </c>
      <c r="HK139" s="26">
        <f>IF(HK$2=InputTable[[#This Row],[Delivery Date]],_xlfn.XLOOKUP(HK$1,$BH$2:$BR$2,$BH139:$BR139,0),0)</f>
        <v>0</v>
      </c>
      <c r="HL139" s="26">
        <f>IF(HL$2=InputTable[[#This Row],[Delivery Date]],_xlfn.XLOOKUP(HL$1,$BH$2:$BR$2,$BH139:$BR139,0),0)</f>
        <v>0</v>
      </c>
      <c r="HM139" s="26">
        <f>IF(HM$2=InputTable[[#This Row],[Delivery Date]],_xlfn.XLOOKUP(HM$1,$BH$2:$BR$2,$BH139:$BR139,0),0)</f>
        <v>0</v>
      </c>
      <c r="HN139" s="26">
        <f>IF(HN$2=InputTable[[#This Row],[Delivery Date]],_xlfn.XLOOKUP(HN$1,$BH$2:$BR$2,$BH139:$BR139,0),0)</f>
        <v>0</v>
      </c>
      <c r="HP139" s="26" t="e">
        <f>IF(HP$2=InputTable[[#This Row],[Delivery Date]],_xlfn.XLOOKUP(HP$1,$BH$2:$BR$2,$BH139:$BR139,0),0)</f>
        <v>#REF!</v>
      </c>
      <c r="HQ139" s="26">
        <f>IF(HQ$2=InputTable[[#This Row],[Delivery Date]],_xlfn.XLOOKUP(HQ$1,$BH$2:$BR$2,$BH139:$BR139,0),0)</f>
        <v>0</v>
      </c>
      <c r="HR139" s="26">
        <f>IF(HR$2=InputTable[[#This Row],[Delivery Date]],_xlfn.XLOOKUP(HR$1,$BH$2:$BR$2,$BH139:$BR139,0),0)</f>
        <v>0</v>
      </c>
      <c r="HS139" s="26">
        <f>IF(HS$2=InputTable[[#This Row],[Delivery Date]],_xlfn.XLOOKUP(HS$1,$BH$2:$BR$2,$BH139:$BR139,0),0)</f>
        <v>0</v>
      </c>
      <c r="HT139" s="26">
        <f>IF(HT$2=InputTable[[#This Row],[Delivery Date]],_xlfn.XLOOKUP(HT$1,$BH$2:$BR$2,$BH139:$BR139,0),0)</f>
        <v>0</v>
      </c>
      <c r="HU139" s="26">
        <f>IF(HU$2=InputTable[[#This Row],[Delivery Date]],_xlfn.XLOOKUP(HU$1,$BH$2:$BR$2,$BH139:$BR139,0),0)</f>
        <v>0</v>
      </c>
      <c r="HV139" s="26">
        <f>IF(HV$2=InputTable[[#This Row],[Delivery Date]],_xlfn.XLOOKUP(HV$1,$BH$2:$BR$2,$BH139:$BR139,0),0)</f>
        <v>0</v>
      </c>
      <c r="HW139" s="26">
        <f>IF(HW$2=InputTable[[#This Row],[Delivery Date]],_xlfn.XLOOKUP(HW$1,$BH$2:$BR$2,$BH139:$BR139,0),0)</f>
        <v>0</v>
      </c>
      <c r="HX139" s="26">
        <f>IF(HX$2=InputTable[[#This Row],[Delivery Date]],_xlfn.XLOOKUP(HX$1,$BH$2:$BR$2,$BH139:$BR139,0),0)</f>
        <v>0</v>
      </c>
      <c r="HZ139" s="26" t="e">
        <f>IF(HZ$2=InputTable[[#This Row],[Delivery Date]],_xlfn.XLOOKUP(HZ$1,$BH$2:$BR$2,$BH139:$BR139,0),0)</f>
        <v>#REF!</v>
      </c>
      <c r="IA139" s="26">
        <f>IF(IA$2=InputTable[[#This Row],[Delivery Date]],_xlfn.XLOOKUP(IA$1,$BH$2:$BR$2,$BH139:$BR139,0),0)</f>
        <v>0</v>
      </c>
      <c r="IB139" s="26">
        <f>IF(IB$2=InputTable[[#This Row],[Delivery Date]],_xlfn.XLOOKUP(IB$1,$BH$2:$BR$2,$BH139:$BR139,0),0)</f>
        <v>0</v>
      </c>
      <c r="IC139" s="26">
        <f>IF(IC$2=InputTable[[#This Row],[Delivery Date]],_xlfn.XLOOKUP(IC$1,$BH$2:$BR$2,$BH139:$BR139,0),0)</f>
        <v>0</v>
      </c>
      <c r="ID139" s="26">
        <f>IF(ID$2=InputTable[[#This Row],[Delivery Date]],_xlfn.XLOOKUP(ID$1,$BH$2:$BR$2,$BH139:$BR139,0),0)</f>
        <v>0</v>
      </c>
      <c r="IE139" s="26">
        <f>IF(IE$2=InputTable[[#This Row],[Delivery Date]],_xlfn.XLOOKUP(IE$1,$BH$2:$BR$2,$BH139:$BR139,0),0)</f>
        <v>0</v>
      </c>
      <c r="IF139" s="26">
        <f>IF(IF$2=InputTable[[#This Row],[Delivery Date]],_xlfn.XLOOKUP(IF$1,$BH$2:$BR$2,$BH139:$BR139,0),0)</f>
        <v>0</v>
      </c>
      <c r="IG139" s="26">
        <f>IF(IG$2=InputTable[[#This Row],[Delivery Date]],_xlfn.XLOOKUP(IG$1,$BH$2:$BR$2,$BH139:$BR139,0),0)</f>
        <v>0</v>
      </c>
      <c r="IH139" s="26">
        <f>IF(IH$2=InputTable[[#This Row],[Delivery Date]],_xlfn.XLOOKUP(IH$1,$BH$2:$BR$2,$BH139:$BR139,0),0)</f>
        <v>0</v>
      </c>
      <c r="IJ139" s="26" t="e">
        <f>IF(IJ$2=InputTable[[#This Row],[Delivery Date]],_xlfn.XLOOKUP(IJ$1,$BH$2:$BR$2,$BH139:$BR139,0),0)</f>
        <v>#REF!</v>
      </c>
      <c r="IK139" s="26">
        <f>IF(IK$2=InputTable[[#This Row],[Delivery Date]],_xlfn.XLOOKUP(IK$1,$BH$2:$BR$2,$BH139:$BR139,0),0)</f>
        <v>0</v>
      </c>
      <c r="IL139" s="26">
        <f>IF(IL$2=InputTable[[#This Row],[Delivery Date]],_xlfn.XLOOKUP(IL$1,$BH$2:$BR$2,$BH139:$BR139,0),0)</f>
        <v>0</v>
      </c>
      <c r="IM139" s="26">
        <f>IF(IM$2=InputTable[[#This Row],[Delivery Date]],_xlfn.XLOOKUP(IM$1,$BH$2:$BR$2,$BH139:$BR139,0),0)</f>
        <v>0</v>
      </c>
      <c r="IN139" s="26">
        <f>IF(IN$2=InputTable[[#This Row],[Delivery Date]],_xlfn.XLOOKUP(IN$1,$BH$2:$BR$2,$BH139:$BR139,0),0)</f>
        <v>0</v>
      </c>
      <c r="IO139" s="26">
        <f>IF(IO$2=InputTable[[#This Row],[Delivery Date]],_xlfn.XLOOKUP(IO$1,$BH$2:$BR$2,$BH139:$BR139,0),0)</f>
        <v>0</v>
      </c>
      <c r="IP139" s="26">
        <f>IF(IP$2=InputTable[[#This Row],[Delivery Date]],_xlfn.XLOOKUP(IP$1,$BH$2:$BR$2,$BH139:$BR139,0),0)</f>
        <v>0</v>
      </c>
      <c r="IQ139" s="26">
        <f>IF(IQ$2=InputTable[[#This Row],[Delivery Date]],_xlfn.XLOOKUP(IQ$1,$BH$2:$BR$2,$BH139:$BR139,0),0)</f>
        <v>0</v>
      </c>
      <c r="IR139" s="26">
        <f>IF(IR$2=InputTable[[#This Row],[Delivery Date]],_xlfn.XLOOKUP(IR$1,$BH$2:$BR$2,$BH139:$BR139,0),0)</f>
        <v>0</v>
      </c>
      <c r="IT139" s="26" t="e">
        <f>IF(IT$2=InputTable[[#This Row],[Delivery Date]],_xlfn.XLOOKUP(IT$1,$BH$2:$BR$2,$BH139:$BR139,0),0)</f>
        <v>#REF!</v>
      </c>
      <c r="IU139" s="26">
        <f>IF(IU$2=InputTable[[#This Row],[Delivery Date]],_xlfn.XLOOKUP(IU$1,$BH$2:$BR$2,$BH139:$BR139,0),0)</f>
        <v>0</v>
      </c>
      <c r="IV139" s="26">
        <f>IF(IV$2=InputTable[[#This Row],[Delivery Date]],_xlfn.XLOOKUP(IV$1,$BH$2:$BR$2,$BH139:$BR139,0),0)</f>
        <v>0</v>
      </c>
      <c r="IW139" s="26">
        <f>IF(IW$2=InputTable[[#This Row],[Delivery Date]],_xlfn.XLOOKUP(IW$1,$BH$2:$BR$2,$BH139:$BR139,0),0)</f>
        <v>0</v>
      </c>
      <c r="IX139" s="26">
        <f>IF(IX$2=InputTable[[#This Row],[Delivery Date]],_xlfn.XLOOKUP(IX$1,$BH$2:$BR$2,$BH139:$BR139,0),0)</f>
        <v>0</v>
      </c>
      <c r="IY139" s="26">
        <f>IF(IY$2=InputTable[[#This Row],[Delivery Date]],_xlfn.XLOOKUP(IY$1,$BH$2:$BR$2,$BH139:$BR139,0),0)</f>
        <v>0</v>
      </c>
      <c r="IZ139" s="26">
        <f>IF(IZ$2=InputTable[[#This Row],[Delivery Date]],_xlfn.XLOOKUP(IZ$1,$BH$2:$BR$2,$BH139:$BR139,0),0)</f>
        <v>0</v>
      </c>
      <c r="JA139" s="26">
        <f>IF(JA$2=InputTable[[#This Row],[Delivery Date]],_xlfn.XLOOKUP(JA$1,$BH$2:$BR$2,$BH139:$BR139,0),0)</f>
        <v>0</v>
      </c>
      <c r="JB139" s="26">
        <f>IF(JB$2=InputTable[[#This Row],[Delivery Date]],_xlfn.XLOOKUP(JB$1,$BH$2:$BR$2,$BH139:$BR139,0),0)</f>
        <v>0</v>
      </c>
      <c r="JD139" s="26" t="e">
        <f>IF(JD$2=InputTable[[#This Row],[Delivery Date]],_xlfn.XLOOKUP(JD$1,$BH$2:$BR$2,$BH139:$BR139,0),0)</f>
        <v>#REF!</v>
      </c>
      <c r="JE139" s="26">
        <f>IF(JE$2=InputTable[[#This Row],[Delivery Date]],_xlfn.XLOOKUP(JE$1,$BH$2:$BR$2,$BH139:$BR139,0),0)</f>
        <v>0</v>
      </c>
      <c r="JF139" s="26">
        <f>IF(JF$2=InputTable[[#This Row],[Delivery Date]],_xlfn.XLOOKUP(JF$1,$BH$2:$BR$2,$BH139:$BR139,0),0)</f>
        <v>0</v>
      </c>
      <c r="JG139" s="26">
        <f>IF(JG$2=InputTable[[#This Row],[Delivery Date]],_xlfn.XLOOKUP(JG$1,$BH$2:$BR$2,$BH139:$BR139,0),0)</f>
        <v>0</v>
      </c>
      <c r="JH139" s="26">
        <f>IF(JH$2=InputTable[[#This Row],[Delivery Date]],_xlfn.XLOOKUP(JH$1,$BH$2:$BR$2,$BH139:$BR139,0),0)</f>
        <v>0</v>
      </c>
      <c r="JI139" s="26">
        <f>IF(JI$2=InputTable[[#This Row],[Delivery Date]],_xlfn.XLOOKUP(JI$1,$BH$2:$BR$2,$BH139:$BR139,0),0)</f>
        <v>0</v>
      </c>
      <c r="JJ139" s="26">
        <f>IF(JJ$2=InputTable[[#This Row],[Delivery Date]],_xlfn.XLOOKUP(JJ$1,$BH$2:$BR$2,$BH139:$BR139,0),0)</f>
        <v>0</v>
      </c>
      <c r="JK139" s="26">
        <f>IF(JK$2=InputTable[[#This Row],[Delivery Date]],_xlfn.XLOOKUP(JK$1,$BH$2:$BR$2,$BH139:$BR139,0),0)</f>
        <v>0</v>
      </c>
      <c r="JL139" s="26">
        <f>IF(JL$2=InputTable[[#This Row],[Delivery Date]],_xlfn.XLOOKUP(JL$1,$BH$2:$BR$2,$BH139:$BR139,0),0)</f>
        <v>0</v>
      </c>
      <c r="JN139" s="26" t="e">
        <f>IF(JN$2=InputTable[[#This Row],[Delivery Date]],_xlfn.XLOOKUP(JN$1,$BH$2:$BR$2,$BH139:$BR139,0),0)</f>
        <v>#REF!</v>
      </c>
      <c r="JO139" s="26">
        <f>IF(JO$2=InputTable[[#This Row],[Delivery Date]],_xlfn.XLOOKUP(JO$1,$BH$2:$BR$2,$BH139:$BR139,0),0)</f>
        <v>0</v>
      </c>
      <c r="JP139" s="26">
        <f>IF(JP$2=InputTable[[#This Row],[Delivery Date]],_xlfn.XLOOKUP(JP$1,$BH$2:$BR$2,$BH139:$BR139,0),0)</f>
        <v>0</v>
      </c>
      <c r="JQ139" s="26">
        <f>IF(JQ$2=InputTable[[#This Row],[Delivery Date]],_xlfn.XLOOKUP(JQ$1,$BH$2:$BR$2,$BH139:$BR139,0),0)</f>
        <v>0</v>
      </c>
      <c r="JR139" s="26">
        <f>IF(JR$2=InputTable[[#This Row],[Delivery Date]],_xlfn.XLOOKUP(JR$1,$BH$2:$BR$2,$BH139:$BR139,0),0)</f>
        <v>0</v>
      </c>
      <c r="JS139" s="26">
        <f>IF(JS$2=InputTable[[#This Row],[Delivery Date]],_xlfn.XLOOKUP(JS$1,$BH$2:$BR$2,$BH139:$BR139,0),0)</f>
        <v>0</v>
      </c>
      <c r="JT139" s="26">
        <f>IF(JT$2=InputTable[[#This Row],[Delivery Date]],_xlfn.XLOOKUP(JT$1,$BH$2:$BR$2,$BH139:$BR139,0),0)</f>
        <v>0</v>
      </c>
      <c r="JU139" s="26">
        <f>IF(JU$2=InputTable[[#This Row],[Delivery Date]],_xlfn.XLOOKUP(JU$1,$BH$2:$BR$2,$BH139:$BR139,0),0)</f>
        <v>0</v>
      </c>
      <c r="JV139" s="26">
        <f>IF(JV$2=InputTable[[#This Row],[Delivery Date]],_xlfn.XLOOKUP(JV$1,$BH$2:$BR$2,$BH139:$BR139,0),0)</f>
        <v>0</v>
      </c>
      <c r="JX139" s="26" t="e">
        <f>IF(JX$2=InputTable[[#This Row],[Delivery Date]],_xlfn.XLOOKUP(JX$1,$BH$2:$BR$2,$BH139:$BR139,0),0)</f>
        <v>#REF!</v>
      </c>
      <c r="JY139" s="26">
        <f>IF(JY$2=InputTable[[#This Row],[Delivery Date]],_xlfn.XLOOKUP(JY$1,$BH$2:$BR$2,$BH139:$BR139,0),0)</f>
        <v>0</v>
      </c>
      <c r="JZ139" s="26">
        <f>IF(JZ$2=InputTable[[#This Row],[Delivery Date]],_xlfn.XLOOKUP(JZ$1,$BH$2:$BR$2,$BH139:$BR139,0),0)</f>
        <v>0</v>
      </c>
      <c r="KA139" s="26">
        <f>IF(KA$2=InputTable[[#This Row],[Delivery Date]],_xlfn.XLOOKUP(KA$1,$BH$2:$BR$2,$BH139:$BR139,0),0)</f>
        <v>0</v>
      </c>
      <c r="KB139" s="26">
        <f>IF(KB$2=InputTable[[#This Row],[Delivery Date]],_xlfn.XLOOKUP(KB$1,$BH$2:$BR$2,$BH139:$BR139,0),0)</f>
        <v>0</v>
      </c>
      <c r="KC139" s="26">
        <f>IF(KC$2=InputTable[[#This Row],[Delivery Date]],_xlfn.XLOOKUP(KC$1,$BH$2:$BR$2,$BH139:$BR139,0),0)</f>
        <v>0</v>
      </c>
      <c r="KD139" s="26">
        <f>IF(KD$2=InputTable[[#This Row],[Delivery Date]],_xlfn.XLOOKUP(KD$1,$BH$2:$BR$2,$BH139:$BR139,0),0)</f>
        <v>0</v>
      </c>
      <c r="KE139" s="26">
        <f>IF(KE$2=InputTable[[#This Row],[Delivery Date]],_xlfn.XLOOKUP(KE$1,$BH$2:$BR$2,$BH139:$BR139,0),0)</f>
        <v>0</v>
      </c>
      <c r="KF139" s="26">
        <f>IF(KF$2=InputTable[[#This Row],[Delivery Date]],_xlfn.XLOOKUP(KF$1,$BH$2:$BR$2,$BH139:$BR139,0),0)</f>
        <v>0</v>
      </c>
    </row>
    <row r="140" spans="1:292" ht="34.799999999999997" x14ac:dyDescent="0.25">
      <c r="A140" s="141"/>
      <c r="B140" s="141"/>
      <c r="C140" s="92"/>
      <c r="D140" s="92"/>
      <c r="E140" s="93"/>
      <c r="F140" s="92"/>
      <c r="G140" s="92"/>
      <c r="H140" s="92"/>
      <c r="I140" s="92"/>
      <c r="J140" s="122"/>
      <c r="K140" s="95" t="e">
        <f>VLOOKUP((InputTable[[#This Row],[Starting Date]]&amp; " - " &amp;InputTable[[#This Row],[Delivery Date]]),'System List'!$F$40:$H$83,2,FALSE)</f>
        <v>#N/A</v>
      </c>
      <c r="L140" s="95" t="e">
        <f>VLOOKUP(InputTable[[#This Row],[Duration]],Duration,2,FALSE)</f>
        <v>#N/A</v>
      </c>
      <c r="M140" s="122"/>
      <c r="N140" s="92"/>
      <c r="O140" s="92"/>
      <c r="P140" s="92"/>
      <c r="Q140" s="92"/>
      <c r="R140" s="92"/>
      <c r="S140" s="92"/>
      <c r="T140" s="95"/>
      <c r="U140" s="138"/>
      <c r="V140" s="92"/>
      <c r="W140" s="92"/>
      <c r="X140" s="92"/>
      <c r="Y140" s="92"/>
      <c r="Z140" s="92"/>
      <c r="AA140" s="92"/>
      <c r="AB140" s="92"/>
      <c r="AC140" s="92"/>
      <c r="AD140" s="92">
        <f>COUNTA(InputTable[[#This Row],[CORPHRFIN]:[SALES]])</f>
        <v>0</v>
      </c>
      <c r="AE140" s="88" cm="1">
        <f t="array" ref="AE140">SUM(
_xlfn.XLOOKUP(InputTable[[#This Row],[CORPHRFIN]:[SALES]],'System List'!$F$4:$F$7,'System List'!$H$4:$H$7,0))</f>
        <v>0</v>
      </c>
      <c r="AF140" s="140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88" cm="1">
        <f t="array" ref="AR140">SUM(
_xlfn.XLOOKUP(InputTable[[#This Row],[Impact on - CIAL]:[Impact on - STRAT]],'System List'!$F$4:$F$7,'System List'!$H$4:$H$7,0))</f>
        <v>0</v>
      </c>
      <c r="AS140" s="88" t="e">
        <f>VLOOKUP(InputTable[[#This Row],[Duration]],Duration,2,FALSE)+InputTable[[#This Row],[Resource Score]]</f>
        <v>#N/A</v>
      </c>
      <c r="AT14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0" s="24" t="e">
        <f>InputTable[[#This Row],[Value Score]]/InputTable[[#This Row],[EFFORT SCORE]]*100</f>
        <v>#N/A</v>
      </c>
      <c r="AV140" s="25" t="s">
        <v>432</v>
      </c>
      <c r="AW140" s="25"/>
      <c r="AX140" s="208"/>
      <c r="AY140" s="25"/>
      <c r="AZ140" s="209">
        <v>0</v>
      </c>
      <c r="BA140" s="209">
        <v>0</v>
      </c>
      <c r="BB140" s="209"/>
      <c r="BC140" s="189"/>
      <c r="BD140" s="188"/>
      <c r="BE140" s="188"/>
      <c r="BF140" s="70"/>
      <c r="BH140" s="2">
        <f>IFERROR(VLOOKUP(InputTable[[#This Row],[Impact on - CIAL]],'System List'!$F$4:$H$7,3,FALSE),0)</f>
        <v>0</v>
      </c>
      <c r="BI140" s="2">
        <f>IFERROR(VLOOKUP(InputTable[[#This Row],[Impact on - COM]],'System List'!$F$4:$H$7,3,FALSE),0)</f>
        <v>0</v>
      </c>
      <c r="BJ140" s="2">
        <f>IFERROR(VLOOKUP(InputTable[[#This Row],[Impact on - FIN]],'System List'!$F$4:$H$7,3,FALSE),0)</f>
        <v>0</v>
      </c>
      <c r="BK140" s="2">
        <f>IFERROR(VLOOKUP(InputTable[[#This Row],[Impact on - GEN SEC]],'System List'!$F$4:$H$7,3,FALSE),0)</f>
        <v>0</v>
      </c>
      <c r="BL140" s="2">
        <f>IFERROR(VLOOKUP(InputTable[[#This Row],[Impact on - HR]],'System List'!$F$4:$H$7,3,FALSE),0)</f>
        <v>0</v>
      </c>
      <c r="BM140" s="2">
        <f>IFERROR(VLOOKUP(InputTable[[#This Row],[Impact on - IS]],'System List'!$F$4:$H$7,3,FALSE),0)</f>
        <v>0</v>
      </c>
      <c r="BN140" s="2">
        <f>IFERROR(VLOOKUP(InputTable[[#This Row],[Impact on - OPS]],'System List'!$F$4:$H$7,3,FALSE),0)</f>
        <v>0</v>
      </c>
      <c r="BO140" s="2">
        <f>IFERROR(VLOOKUP(InputTable[[#This Row],[Impact on - ROLL STOCK]],'System List'!$F$4:$H$7,3,FALSE),0)</f>
        <v>0</v>
      </c>
      <c r="BP140" s="2">
        <f>IFERROR(VLOOKUP(InputTable[[#This Row],[Impact on - SAFETY]],'System List'!$F$4:$H$7,3,FALSE),0)</f>
        <v>0</v>
      </c>
      <c r="BQ140" s="2">
        <f>IFERROR(VLOOKUP(InputTable[[#This Row],[Impact on - STATION]],'System List'!$F$4:$H$7,3,FALSE),0)</f>
        <v>0</v>
      </c>
      <c r="BR140" s="2">
        <f>IFERROR(VLOOKUP(InputTable[[#This Row],[Impact on - STRAT]],'System List'!$F$4:$H$7,3,FALSE),0)</f>
        <v>0</v>
      </c>
      <c r="BT140" s="2">
        <f>IFERROR(VLOOKUP(InputTable[[#This Row],[CORPHRFIN]],'System List'!$F$4:$H$7,3,FALSE),0)</f>
        <v>0</v>
      </c>
      <c r="BU140" s="2">
        <f>IFERROR(VLOOKUP(InputTable[[#This Row],[CUST]],'System List'!$F$4:$H$7,3,FALSE),0)</f>
        <v>0</v>
      </c>
      <c r="BV140" s="2">
        <f>IFERROR(VLOOKUP(InputTable[[#This Row],[CYBER]],'System List'!$F$4:$H$7,3,FALSE),0)</f>
        <v>0</v>
      </c>
      <c r="BW140" s="2">
        <f>IFERROR(VLOOKUP(InputTable[[#This Row],[DATA]],'System List'!$F$4:$H$7,3,FALSE),0)</f>
        <v>0</v>
      </c>
      <c r="BX140" s="2">
        <f>IFERROR(VLOOKUP(InputTable[[#This Row],[INFRA]],'System List'!$F$4:$H$7,3,FALSE),0)</f>
        <v>0</v>
      </c>
      <c r="BY140" s="2">
        <f>IFERROR(VLOOKUP(InputTable[[#This Row],[OPERATIONS]],'System List'!$F$4:$H$7,3,FALSE),0)</f>
        <v>0</v>
      </c>
      <c r="BZ140" s="2">
        <f>IFERROR(VLOOKUP(InputTable[[#This Row],[PMO]],'System List'!$F$4:$H$7,3,FALSE),0)</f>
        <v>0</v>
      </c>
      <c r="CA140" s="2">
        <f>IFERROR(VLOOKUP(InputTable[[#This Row],[SALES]],'System List'!$F$4:$H$7,3,FALSE),0)</f>
        <v>0</v>
      </c>
      <c r="CC140" s="2" cm="1">
        <f t="array" ref="CC14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0" s="2" cm="1">
        <f t="array" ref="CD14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0" s="2" cm="1">
        <f t="array" ref="CE14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0" s="2" cm="1">
        <f t="array" ref="CF14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0" s="2" cm="1">
        <f t="array" ref="CG14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0" s="2" cm="1">
        <f t="array" ref="CH14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0" s="2" cm="1">
        <f t="array" ref="CI14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0" s="2" cm="1">
        <f t="array" ref="CJ14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0" s="2" cm="1">
        <f t="array" ref="CK14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0" s="26">
        <f t="shared" si="379"/>
        <v>0</v>
      </c>
      <c r="CY140" s="26">
        <f t="shared" si="380"/>
        <v>0</v>
      </c>
      <c r="CZ140" s="26">
        <f t="shared" si="381"/>
        <v>0</v>
      </c>
      <c r="DA140" s="26">
        <f t="shared" si="382"/>
        <v>0</v>
      </c>
      <c r="DB140" s="26">
        <f t="shared" si="383"/>
        <v>0</v>
      </c>
      <c r="DC140" s="26">
        <f t="shared" si="384"/>
        <v>0</v>
      </c>
      <c r="DD140" s="26">
        <f t="shared" si="385"/>
        <v>0</v>
      </c>
      <c r="DE140" s="26">
        <f t="shared" si="386"/>
        <v>0</v>
      </c>
      <c r="DF140" s="26">
        <f t="shared" si="387"/>
        <v>0</v>
      </c>
      <c r="DH140" s="26">
        <f t="shared" si="388"/>
        <v>0</v>
      </c>
      <c r="DI140" s="26">
        <f t="shared" si="389"/>
        <v>0</v>
      </c>
      <c r="DJ140" s="26">
        <f t="shared" si="390"/>
        <v>0</v>
      </c>
      <c r="DK140" s="26">
        <f t="shared" si="391"/>
        <v>0</v>
      </c>
      <c r="DL140" s="26">
        <f t="shared" si="392"/>
        <v>0</v>
      </c>
      <c r="DM140" s="26">
        <f t="shared" si="393"/>
        <v>0</v>
      </c>
      <c r="DN140" s="26">
        <f t="shared" si="394"/>
        <v>0</v>
      </c>
      <c r="DO140" s="26">
        <f t="shared" si="395"/>
        <v>0</v>
      </c>
      <c r="DP140" s="26">
        <f t="shared" si="396"/>
        <v>0</v>
      </c>
      <c r="DR140" s="26">
        <f t="shared" si="397"/>
        <v>0</v>
      </c>
      <c r="DS140" s="26">
        <f t="shared" si="398"/>
        <v>0</v>
      </c>
      <c r="DT140" s="26">
        <f t="shared" si="399"/>
        <v>0</v>
      </c>
      <c r="DU140" s="26">
        <f t="shared" si="400"/>
        <v>0</v>
      </c>
      <c r="DV140" s="26">
        <f t="shared" si="401"/>
        <v>0</v>
      </c>
      <c r="DW140" s="26">
        <f t="shared" si="402"/>
        <v>0</v>
      </c>
      <c r="DX140" s="26">
        <f t="shared" si="403"/>
        <v>0</v>
      </c>
      <c r="DY140" s="26">
        <f t="shared" si="404"/>
        <v>0</v>
      </c>
      <c r="DZ140" s="26">
        <f t="shared" si="405"/>
        <v>0</v>
      </c>
      <c r="EB140" s="26">
        <f t="shared" si="406"/>
        <v>0</v>
      </c>
      <c r="EC140" s="26">
        <f t="shared" si="407"/>
        <v>0</v>
      </c>
      <c r="ED140" s="26">
        <f t="shared" si="408"/>
        <v>0</v>
      </c>
      <c r="EE140" s="26">
        <f t="shared" si="409"/>
        <v>0</v>
      </c>
      <c r="EF140" s="26">
        <f t="shared" si="410"/>
        <v>0</v>
      </c>
      <c r="EG140" s="26">
        <f t="shared" si="411"/>
        <v>0</v>
      </c>
      <c r="EH140" s="26">
        <f t="shared" si="412"/>
        <v>0</v>
      </c>
      <c r="EI140" s="26">
        <f t="shared" si="413"/>
        <v>0</v>
      </c>
      <c r="EJ140" s="26">
        <f t="shared" si="414"/>
        <v>0</v>
      </c>
      <c r="EL140" s="26">
        <f t="shared" si="415"/>
        <v>0</v>
      </c>
      <c r="EM140" s="26">
        <f t="shared" si="416"/>
        <v>0</v>
      </c>
      <c r="EN140" s="26">
        <f t="shared" si="417"/>
        <v>0</v>
      </c>
      <c r="EO140" s="26">
        <f t="shared" si="418"/>
        <v>0</v>
      </c>
      <c r="EP140" s="26">
        <f t="shared" si="419"/>
        <v>0</v>
      </c>
      <c r="EQ140" s="26">
        <f t="shared" si="420"/>
        <v>0</v>
      </c>
      <c r="ER140" s="26">
        <f t="shared" si="421"/>
        <v>0</v>
      </c>
      <c r="ES140" s="26">
        <f t="shared" si="422"/>
        <v>0</v>
      </c>
      <c r="ET140" s="26">
        <f t="shared" si="423"/>
        <v>0</v>
      </c>
      <c r="EV140" s="26">
        <f t="shared" si="424"/>
        <v>0</v>
      </c>
      <c r="EW140" s="26">
        <f t="shared" si="425"/>
        <v>0</v>
      </c>
      <c r="EX140" s="26">
        <f t="shared" si="426"/>
        <v>0</v>
      </c>
      <c r="EY140" s="26">
        <f t="shared" si="427"/>
        <v>0</v>
      </c>
      <c r="EZ140" s="26">
        <f t="shared" si="428"/>
        <v>0</v>
      </c>
      <c r="FA140" s="26">
        <f t="shared" si="429"/>
        <v>0</v>
      </c>
      <c r="FB140" s="26">
        <f t="shared" si="430"/>
        <v>0</v>
      </c>
      <c r="FC140" s="26">
        <f t="shared" si="431"/>
        <v>0</v>
      </c>
      <c r="FD140" s="26">
        <f t="shared" si="432"/>
        <v>0</v>
      </c>
      <c r="FF140" s="26">
        <f t="shared" si="433"/>
        <v>0</v>
      </c>
      <c r="FG140" s="26">
        <f t="shared" si="434"/>
        <v>0</v>
      </c>
      <c r="FH140" s="26">
        <f t="shared" si="435"/>
        <v>0</v>
      </c>
      <c r="FI140" s="26">
        <f t="shared" si="436"/>
        <v>0</v>
      </c>
      <c r="FJ140" s="26">
        <f t="shared" si="437"/>
        <v>0</v>
      </c>
      <c r="FK140" s="26">
        <f t="shared" si="438"/>
        <v>0</v>
      </c>
      <c r="FL140" s="26">
        <f t="shared" si="439"/>
        <v>0</v>
      </c>
      <c r="FM140" s="26">
        <f t="shared" si="440"/>
        <v>0</v>
      </c>
      <c r="FN140" s="26">
        <f t="shared" si="441"/>
        <v>0</v>
      </c>
      <c r="FP140" s="26" t="e">
        <f t="shared" si="442"/>
        <v>#REF!</v>
      </c>
      <c r="FQ140" s="26" t="e">
        <f t="shared" si="443"/>
        <v>#REF!</v>
      </c>
      <c r="FR140" s="26" t="e">
        <f t="shared" si="444"/>
        <v>#REF!</v>
      </c>
      <c r="FS140" s="26" t="e">
        <f t="shared" si="445"/>
        <v>#REF!</v>
      </c>
      <c r="FT140" s="26" t="e">
        <f t="shared" si="446"/>
        <v>#REF!</v>
      </c>
      <c r="FU140" s="26" t="e">
        <f t="shared" si="447"/>
        <v>#REF!</v>
      </c>
      <c r="FV140" s="26" t="e">
        <f t="shared" si="448"/>
        <v>#REF!</v>
      </c>
      <c r="FW140" s="26" t="e">
        <f t="shared" si="449"/>
        <v>#REF!</v>
      </c>
      <c r="FX140" s="26" t="e">
        <f t="shared" si="450"/>
        <v>#REF!</v>
      </c>
      <c r="GB140" s="26" t="e">
        <f>IF(GB$2=InputTable[[#This Row],[Delivery Date]],_xlfn.XLOOKUP(GB$1,$BH$2:$BR$2,$BH140:$BR140,0),0)</f>
        <v>#REF!</v>
      </c>
      <c r="GC140" s="26">
        <f>IF(GC$2=InputTable[[#This Row],[Delivery Date]],_xlfn.XLOOKUP(GC$1,$BH$2:$BR$2,$BH140:$BR140,0),0)</f>
        <v>0</v>
      </c>
      <c r="GD140" s="26">
        <f>IF(GD$2=InputTable[[#This Row],[Delivery Date]],_xlfn.XLOOKUP(GD$1,$BH$2:$BR$2,$BH140:$BR140,0),0)</f>
        <v>0</v>
      </c>
      <c r="GE140" s="26">
        <f>IF(GE$2=InputTable[[#This Row],[Delivery Date]],_xlfn.XLOOKUP(GE$1,$BH$2:$BR$2,$BH140:$BR140,0),0)</f>
        <v>0</v>
      </c>
      <c r="GF140" s="26">
        <f>IF(GF$2=InputTable[[#This Row],[Delivery Date]],_xlfn.XLOOKUP(GF$1,$BH$2:$BR$2,$BH140:$BR140,0),0)</f>
        <v>0</v>
      </c>
      <c r="GG140" s="26">
        <f>IF(GG$2=InputTable[[#This Row],[Delivery Date]],_xlfn.XLOOKUP(GG$1,$BH$2:$BR$2,$BH140:$BR140,0),0)</f>
        <v>0</v>
      </c>
      <c r="GH140" s="26">
        <f>IF(GH$2=InputTable[[#This Row],[Delivery Date]],_xlfn.XLOOKUP(GH$1,$BH$2:$BR$2,$BH140:$BR140,0),0)</f>
        <v>0</v>
      </c>
      <c r="GI140" s="26">
        <f>IF(GI$2=InputTable[[#This Row],[Delivery Date]],_xlfn.XLOOKUP(GI$1,$BH$2:$BR$2,$BH140:$BR140,0),0)</f>
        <v>0</v>
      </c>
      <c r="GJ140" s="26">
        <f>IF(GJ$2=InputTable[[#This Row],[Delivery Date]],_xlfn.XLOOKUP(GJ$1,$BH$2:$BR$2,$BH140:$BR140,0),0)</f>
        <v>0</v>
      </c>
      <c r="GL140" s="26" t="e">
        <f>IF(GL$2=InputTable[[#This Row],[Delivery Date]],_xlfn.XLOOKUP(GL$1,$BH$2:$BR$2,$BH140:$BR140,0),0)</f>
        <v>#REF!</v>
      </c>
      <c r="GM140" s="26">
        <f>IF(GM$2=InputTable[[#This Row],[Delivery Date]],_xlfn.XLOOKUP(GM$1,$BH$2:$BR$2,$BH140:$BR140,0),0)</f>
        <v>0</v>
      </c>
      <c r="GN140" s="26">
        <f>IF(GN$2=InputTable[[#This Row],[Delivery Date]],_xlfn.XLOOKUP(GN$1,$BH$2:$BR$2,$BH140:$BR140,0),0)</f>
        <v>0</v>
      </c>
      <c r="GO140" s="26">
        <f>IF(GO$2=InputTable[[#This Row],[Delivery Date]],_xlfn.XLOOKUP(GO$1,$BH$2:$BR$2,$BH140:$BR140,0),0)</f>
        <v>0</v>
      </c>
      <c r="GP140" s="26">
        <f>IF(GP$2=InputTable[[#This Row],[Delivery Date]],_xlfn.XLOOKUP(GP$1,$BH$2:$BR$2,$BH140:$BR140,0),0)</f>
        <v>0</v>
      </c>
      <c r="GQ140" s="26">
        <f>IF(GQ$2=InputTable[[#This Row],[Delivery Date]],_xlfn.XLOOKUP(GQ$1,$BH$2:$BR$2,$BH140:$BR140,0),0)</f>
        <v>0</v>
      </c>
      <c r="GR140" s="26">
        <f>IF(GR$2=InputTable[[#This Row],[Delivery Date]],_xlfn.XLOOKUP(GR$1,$BH$2:$BR$2,$BH140:$BR140,0),0)</f>
        <v>0</v>
      </c>
      <c r="GS140" s="26">
        <f>IF(GS$2=InputTable[[#This Row],[Delivery Date]],_xlfn.XLOOKUP(GS$1,$BH$2:$BR$2,$BH140:$BR140,0),0)</f>
        <v>0</v>
      </c>
      <c r="GT140" s="26">
        <f>IF(GT$2=InputTable[[#This Row],[Delivery Date]],_xlfn.XLOOKUP(GT$1,$BH$2:$BR$2,$BH140:$BR140,0),0)</f>
        <v>0</v>
      </c>
      <c r="GV140" s="26" t="e">
        <f>IF(GV$2=InputTable[[#This Row],[Delivery Date]],_xlfn.XLOOKUP(GV$1,$BH$2:$BR$2,$BH140:$BR140,0),0)</f>
        <v>#REF!</v>
      </c>
      <c r="GW140" s="26">
        <f>IF(GW$2=InputTable[[#This Row],[Delivery Date]],_xlfn.XLOOKUP(GW$1,$BH$2:$BR$2,$BH140:$BR140,0),0)</f>
        <v>0</v>
      </c>
      <c r="GX140" s="26">
        <f>IF(GX$2=InputTable[[#This Row],[Delivery Date]],_xlfn.XLOOKUP(GX$1,$BH$2:$BR$2,$BH140:$BR140,0),0)</f>
        <v>0</v>
      </c>
      <c r="GY140" s="26">
        <f>IF(GY$2=InputTable[[#This Row],[Delivery Date]],_xlfn.XLOOKUP(GY$1,$BH$2:$BR$2,$BH140:$BR140,0),0)</f>
        <v>0</v>
      </c>
      <c r="GZ140" s="26">
        <f>IF(GZ$2=InputTable[[#This Row],[Delivery Date]],_xlfn.XLOOKUP(GZ$1,$BH$2:$BR$2,$BH140:$BR140,0),0)</f>
        <v>0</v>
      </c>
      <c r="HA140" s="26">
        <f>IF(HA$2=InputTable[[#This Row],[Delivery Date]],_xlfn.XLOOKUP(HA$1,$BH$2:$BR$2,$BH140:$BR140,0),0)</f>
        <v>0</v>
      </c>
      <c r="HB140" s="26">
        <f>IF(HB$2=InputTable[[#This Row],[Delivery Date]],_xlfn.XLOOKUP(HB$1,$BH$2:$BR$2,$BH140:$BR140,0),0)</f>
        <v>0</v>
      </c>
      <c r="HC140" s="26">
        <f>IF(HC$2=InputTable[[#This Row],[Delivery Date]],_xlfn.XLOOKUP(HC$1,$BH$2:$BR$2,$BH140:$BR140,0),0)</f>
        <v>0</v>
      </c>
      <c r="HD140" s="26">
        <f>IF(HD$2=InputTable[[#This Row],[Delivery Date]],_xlfn.XLOOKUP(HD$1,$BH$2:$BR$2,$BH140:$BR140,0),0)</f>
        <v>0</v>
      </c>
      <c r="HF140" s="26" t="e">
        <f>IF(HF$2=InputTable[[#This Row],[Delivery Date]],_xlfn.XLOOKUP(HF$1,$BH$2:$BR$2,$BH140:$BR140,0),0)</f>
        <v>#REF!</v>
      </c>
      <c r="HG140" s="26">
        <f>IF(HG$2=InputTable[[#This Row],[Delivery Date]],_xlfn.XLOOKUP(HG$1,$BH$2:$BR$2,$BH140:$BR140,0),0)</f>
        <v>0</v>
      </c>
      <c r="HH140" s="26">
        <f>IF(HH$2=InputTable[[#This Row],[Delivery Date]],_xlfn.XLOOKUP(HH$1,$BH$2:$BR$2,$BH140:$BR140,0),0)</f>
        <v>0</v>
      </c>
      <c r="HI140" s="26">
        <f>IF(HI$2=InputTable[[#This Row],[Delivery Date]],_xlfn.XLOOKUP(HI$1,$BH$2:$BR$2,$BH140:$BR140,0),0)</f>
        <v>0</v>
      </c>
      <c r="HJ140" s="26">
        <f>IF(HJ$2=InputTable[[#This Row],[Delivery Date]],_xlfn.XLOOKUP(HJ$1,$BH$2:$BR$2,$BH140:$BR140,0),0)</f>
        <v>0</v>
      </c>
      <c r="HK140" s="26">
        <f>IF(HK$2=InputTable[[#This Row],[Delivery Date]],_xlfn.XLOOKUP(HK$1,$BH$2:$BR$2,$BH140:$BR140,0),0)</f>
        <v>0</v>
      </c>
      <c r="HL140" s="26">
        <f>IF(HL$2=InputTable[[#This Row],[Delivery Date]],_xlfn.XLOOKUP(HL$1,$BH$2:$BR$2,$BH140:$BR140,0),0)</f>
        <v>0</v>
      </c>
      <c r="HM140" s="26">
        <f>IF(HM$2=InputTable[[#This Row],[Delivery Date]],_xlfn.XLOOKUP(HM$1,$BH$2:$BR$2,$BH140:$BR140,0),0)</f>
        <v>0</v>
      </c>
      <c r="HN140" s="26">
        <f>IF(HN$2=InputTable[[#This Row],[Delivery Date]],_xlfn.XLOOKUP(HN$1,$BH$2:$BR$2,$BH140:$BR140,0),0)</f>
        <v>0</v>
      </c>
      <c r="HP140" s="26" t="e">
        <f>IF(HP$2=InputTable[[#This Row],[Delivery Date]],_xlfn.XLOOKUP(HP$1,$BH$2:$BR$2,$BH140:$BR140,0),0)</f>
        <v>#REF!</v>
      </c>
      <c r="HQ140" s="26">
        <f>IF(HQ$2=InputTable[[#This Row],[Delivery Date]],_xlfn.XLOOKUP(HQ$1,$BH$2:$BR$2,$BH140:$BR140,0),0)</f>
        <v>0</v>
      </c>
      <c r="HR140" s="26">
        <f>IF(HR$2=InputTable[[#This Row],[Delivery Date]],_xlfn.XLOOKUP(HR$1,$BH$2:$BR$2,$BH140:$BR140,0),0)</f>
        <v>0</v>
      </c>
      <c r="HS140" s="26">
        <f>IF(HS$2=InputTable[[#This Row],[Delivery Date]],_xlfn.XLOOKUP(HS$1,$BH$2:$BR$2,$BH140:$BR140,0),0)</f>
        <v>0</v>
      </c>
      <c r="HT140" s="26">
        <f>IF(HT$2=InputTable[[#This Row],[Delivery Date]],_xlfn.XLOOKUP(HT$1,$BH$2:$BR$2,$BH140:$BR140,0),0)</f>
        <v>0</v>
      </c>
      <c r="HU140" s="26">
        <f>IF(HU$2=InputTable[[#This Row],[Delivery Date]],_xlfn.XLOOKUP(HU$1,$BH$2:$BR$2,$BH140:$BR140,0),0)</f>
        <v>0</v>
      </c>
      <c r="HV140" s="26">
        <f>IF(HV$2=InputTable[[#This Row],[Delivery Date]],_xlfn.XLOOKUP(HV$1,$BH$2:$BR$2,$BH140:$BR140,0),0)</f>
        <v>0</v>
      </c>
      <c r="HW140" s="26">
        <f>IF(HW$2=InputTable[[#This Row],[Delivery Date]],_xlfn.XLOOKUP(HW$1,$BH$2:$BR$2,$BH140:$BR140,0),0)</f>
        <v>0</v>
      </c>
      <c r="HX140" s="26">
        <f>IF(HX$2=InputTable[[#This Row],[Delivery Date]],_xlfn.XLOOKUP(HX$1,$BH$2:$BR$2,$BH140:$BR140,0),0)</f>
        <v>0</v>
      </c>
      <c r="HZ140" s="26" t="e">
        <f>IF(HZ$2=InputTable[[#This Row],[Delivery Date]],_xlfn.XLOOKUP(HZ$1,$BH$2:$BR$2,$BH140:$BR140,0),0)</f>
        <v>#REF!</v>
      </c>
      <c r="IA140" s="26">
        <f>IF(IA$2=InputTable[[#This Row],[Delivery Date]],_xlfn.XLOOKUP(IA$1,$BH$2:$BR$2,$BH140:$BR140,0),0)</f>
        <v>0</v>
      </c>
      <c r="IB140" s="26">
        <f>IF(IB$2=InputTable[[#This Row],[Delivery Date]],_xlfn.XLOOKUP(IB$1,$BH$2:$BR$2,$BH140:$BR140,0),0)</f>
        <v>0</v>
      </c>
      <c r="IC140" s="26">
        <f>IF(IC$2=InputTable[[#This Row],[Delivery Date]],_xlfn.XLOOKUP(IC$1,$BH$2:$BR$2,$BH140:$BR140,0),0)</f>
        <v>0</v>
      </c>
      <c r="ID140" s="26">
        <f>IF(ID$2=InputTable[[#This Row],[Delivery Date]],_xlfn.XLOOKUP(ID$1,$BH$2:$BR$2,$BH140:$BR140,0),0)</f>
        <v>0</v>
      </c>
      <c r="IE140" s="26">
        <f>IF(IE$2=InputTable[[#This Row],[Delivery Date]],_xlfn.XLOOKUP(IE$1,$BH$2:$BR$2,$BH140:$BR140,0),0)</f>
        <v>0</v>
      </c>
      <c r="IF140" s="26">
        <f>IF(IF$2=InputTable[[#This Row],[Delivery Date]],_xlfn.XLOOKUP(IF$1,$BH$2:$BR$2,$BH140:$BR140,0),0)</f>
        <v>0</v>
      </c>
      <c r="IG140" s="26">
        <f>IF(IG$2=InputTable[[#This Row],[Delivery Date]],_xlfn.XLOOKUP(IG$1,$BH$2:$BR$2,$BH140:$BR140,0),0)</f>
        <v>0</v>
      </c>
      <c r="IH140" s="26">
        <f>IF(IH$2=InputTable[[#This Row],[Delivery Date]],_xlfn.XLOOKUP(IH$1,$BH$2:$BR$2,$BH140:$BR140,0),0)</f>
        <v>0</v>
      </c>
      <c r="IJ140" s="26" t="e">
        <f>IF(IJ$2=InputTable[[#This Row],[Delivery Date]],_xlfn.XLOOKUP(IJ$1,$BH$2:$BR$2,$BH140:$BR140,0),0)</f>
        <v>#REF!</v>
      </c>
      <c r="IK140" s="26">
        <f>IF(IK$2=InputTable[[#This Row],[Delivery Date]],_xlfn.XLOOKUP(IK$1,$BH$2:$BR$2,$BH140:$BR140,0),0)</f>
        <v>0</v>
      </c>
      <c r="IL140" s="26">
        <f>IF(IL$2=InputTable[[#This Row],[Delivery Date]],_xlfn.XLOOKUP(IL$1,$BH$2:$BR$2,$BH140:$BR140,0),0)</f>
        <v>0</v>
      </c>
      <c r="IM140" s="26">
        <f>IF(IM$2=InputTable[[#This Row],[Delivery Date]],_xlfn.XLOOKUP(IM$1,$BH$2:$BR$2,$BH140:$BR140,0),0)</f>
        <v>0</v>
      </c>
      <c r="IN140" s="26">
        <f>IF(IN$2=InputTable[[#This Row],[Delivery Date]],_xlfn.XLOOKUP(IN$1,$BH$2:$BR$2,$BH140:$BR140,0),0)</f>
        <v>0</v>
      </c>
      <c r="IO140" s="26">
        <f>IF(IO$2=InputTable[[#This Row],[Delivery Date]],_xlfn.XLOOKUP(IO$1,$BH$2:$BR$2,$BH140:$BR140,0),0)</f>
        <v>0</v>
      </c>
      <c r="IP140" s="26">
        <f>IF(IP$2=InputTable[[#This Row],[Delivery Date]],_xlfn.XLOOKUP(IP$1,$BH$2:$BR$2,$BH140:$BR140,0),0)</f>
        <v>0</v>
      </c>
      <c r="IQ140" s="26">
        <f>IF(IQ$2=InputTable[[#This Row],[Delivery Date]],_xlfn.XLOOKUP(IQ$1,$BH$2:$BR$2,$BH140:$BR140,0),0)</f>
        <v>0</v>
      </c>
      <c r="IR140" s="26">
        <f>IF(IR$2=InputTable[[#This Row],[Delivery Date]],_xlfn.XLOOKUP(IR$1,$BH$2:$BR$2,$BH140:$BR140,0),0)</f>
        <v>0</v>
      </c>
      <c r="IT140" s="26" t="e">
        <f>IF(IT$2=InputTable[[#This Row],[Delivery Date]],_xlfn.XLOOKUP(IT$1,$BH$2:$BR$2,$BH140:$BR140,0),0)</f>
        <v>#REF!</v>
      </c>
      <c r="IU140" s="26">
        <f>IF(IU$2=InputTable[[#This Row],[Delivery Date]],_xlfn.XLOOKUP(IU$1,$BH$2:$BR$2,$BH140:$BR140,0),0)</f>
        <v>0</v>
      </c>
      <c r="IV140" s="26">
        <f>IF(IV$2=InputTable[[#This Row],[Delivery Date]],_xlfn.XLOOKUP(IV$1,$BH$2:$BR$2,$BH140:$BR140,0),0)</f>
        <v>0</v>
      </c>
      <c r="IW140" s="26">
        <f>IF(IW$2=InputTable[[#This Row],[Delivery Date]],_xlfn.XLOOKUP(IW$1,$BH$2:$BR$2,$BH140:$BR140,0),0)</f>
        <v>0</v>
      </c>
      <c r="IX140" s="26">
        <f>IF(IX$2=InputTable[[#This Row],[Delivery Date]],_xlfn.XLOOKUP(IX$1,$BH$2:$BR$2,$BH140:$BR140,0),0)</f>
        <v>0</v>
      </c>
      <c r="IY140" s="26">
        <f>IF(IY$2=InputTable[[#This Row],[Delivery Date]],_xlfn.XLOOKUP(IY$1,$BH$2:$BR$2,$BH140:$BR140,0),0)</f>
        <v>0</v>
      </c>
      <c r="IZ140" s="26">
        <f>IF(IZ$2=InputTable[[#This Row],[Delivery Date]],_xlfn.XLOOKUP(IZ$1,$BH$2:$BR$2,$BH140:$BR140,0),0)</f>
        <v>0</v>
      </c>
      <c r="JA140" s="26">
        <f>IF(JA$2=InputTable[[#This Row],[Delivery Date]],_xlfn.XLOOKUP(JA$1,$BH$2:$BR$2,$BH140:$BR140,0),0)</f>
        <v>0</v>
      </c>
      <c r="JB140" s="26">
        <f>IF(JB$2=InputTable[[#This Row],[Delivery Date]],_xlfn.XLOOKUP(JB$1,$BH$2:$BR$2,$BH140:$BR140,0),0)</f>
        <v>0</v>
      </c>
      <c r="JD140" s="26" t="e">
        <f>IF(JD$2=InputTable[[#This Row],[Delivery Date]],_xlfn.XLOOKUP(JD$1,$BH$2:$BR$2,$BH140:$BR140,0),0)</f>
        <v>#REF!</v>
      </c>
      <c r="JE140" s="26">
        <f>IF(JE$2=InputTable[[#This Row],[Delivery Date]],_xlfn.XLOOKUP(JE$1,$BH$2:$BR$2,$BH140:$BR140,0),0)</f>
        <v>0</v>
      </c>
      <c r="JF140" s="26">
        <f>IF(JF$2=InputTable[[#This Row],[Delivery Date]],_xlfn.XLOOKUP(JF$1,$BH$2:$BR$2,$BH140:$BR140,0),0)</f>
        <v>0</v>
      </c>
      <c r="JG140" s="26">
        <f>IF(JG$2=InputTable[[#This Row],[Delivery Date]],_xlfn.XLOOKUP(JG$1,$BH$2:$BR$2,$BH140:$BR140,0),0)</f>
        <v>0</v>
      </c>
      <c r="JH140" s="26">
        <f>IF(JH$2=InputTable[[#This Row],[Delivery Date]],_xlfn.XLOOKUP(JH$1,$BH$2:$BR$2,$BH140:$BR140,0),0)</f>
        <v>0</v>
      </c>
      <c r="JI140" s="26">
        <f>IF(JI$2=InputTable[[#This Row],[Delivery Date]],_xlfn.XLOOKUP(JI$1,$BH$2:$BR$2,$BH140:$BR140,0),0)</f>
        <v>0</v>
      </c>
      <c r="JJ140" s="26">
        <f>IF(JJ$2=InputTable[[#This Row],[Delivery Date]],_xlfn.XLOOKUP(JJ$1,$BH$2:$BR$2,$BH140:$BR140,0),0)</f>
        <v>0</v>
      </c>
      <c r="JK140" s="26">
        <f>IF(JK$2=InputTable[[#This Row],[Delivery Date]],_xlfn.XLOOKUP(JK$1,$BH$2:$BR$2,$BH140:$BR140,0),0)</f>
        <v>0</v>
      </c>
      <c r="JL140" s="26">
        <f>IF(JL$2=InputTable[[#This Row],[Delivery Date]],_xlfn.XLOOKUP(JL$1,$BH$2:$BR$2,$BH140:$BR140,0),0)</f>
        <v>0</v>
      </c>
      <c r="JN140" s="26" t="e">
        <f>IF(JN$2=InputTable[[#This Row],[Delivery Date]],_xlfn.XLOOKUP(JN$1,$BH$2:$BR$2,$BH140:$BR140,0),0)</f>
        <v>#REF!</v>
      </c>
      <c r="JO140" s="26">
        <f>IF(JO$2=InputTable[[#This Row],[Delivery Date]],_xlfn.XLOOKUP(JO$1,$BH$2:$BR$2,$BH140:$BR140,0),0)</f>
        <v>0</v>
      </c>
      <c r="JP140" s="26">
        <f>IF(JP$2=InputTable[[#This Row],[Delivery Date]],_xlfn.XLOOKUP(JP$1,$BH$2:$BR$2,$BH140:$BR140,0),0)</f>
        <v>0</v>
      </c>
      <c r="JQ140" s="26">
        <f>IF(JQ$2=InputTable[[#This Row],[Delivery Date]],_xlfn.XLOOKUP(JQ$1,$BH$2:$BR$2,$BH140:$BR140,0),0)</f>
        <v>0</v>
      </c>
      <c r="JR140" s="26">
        <f>IF(JR$2=InputTable[[#This Row],[Delivery Date]],_xlfn.XLOOKUP(JR$1,$BH$2:$BR$2,$BH140:$BR140,0),0)</f>
        <v>0</v>
      </c>
      <c r="JS140" s="26">
        <f>IF(JS$2=InputTable[[#This Row],[Delivery Date]],_xlfn.XLOOKUP(JS$1,$BH$2:$BR$2,$BH140:$BR140,0),0)</f>
        <v>0</v>
      </c>
      <c r="JT140" s="26">
        <f>IF(JT$2=InputTable[[#This Row],[Delivery Date]],_xlfn.XLOOKUP(JT$1,$BH$2:$BR$2,$BH140:$BR140,0),0)</f>
        <v>0</v>
      </c>
      <c r="JU140" s="26">
        <f>IF(JU$2=InputTable[[#This Row],[Delivery Date]],_xlfn.XLOOKUP(JU$1,$BH$2:$BR$2,$BH140:$BR140,0),0)</f>
        <v>0</v>
      </c>
      <c r="JV140" s="26">
        <f>IF(JV$2=InputTable[[#This Row],[Delivery Date]],_xlfn.XLOOKUP(JV$1,$BH$2:$BR$2,$BH140:$BR140,0),0)</f>
        <v>0</v>
      </c>
      <c r="JX140" s="26" t="e">
        <f>IF(JX$2=InputTable[[#This Row],[Delivery Date]],_xlfn.XLOOKUP(JX$1,$BH$2:$BR$2,$BH140:$BR140,0),0)</f>
        <v>#REF!</v>
      </c>
      <c r="JY140" s="26">
        <f>IF(JY$2=InputTable[[#This Row],[Delivery Date]],_xlfn.XLOOKUP(JY$1,$BH$2:$BR$2,$BH140:$BR140,0),0)</f>
        <v>0</v>
      </c>
      <c r="JZ140" s="26">
        <f>IF(JZ$2=InputTable[[#This Row],[Delivery Date]],_xlfn.XLOOKUP(JZ$1,$BH$2:$BR$2,$BH140:$BR140,0),0)</f>
        <v>0</v>
      </c>
      <c r="KA140" s="26">
        <f>IF(KA$2=InputTable[[#This Row],[Delivery Date]],_xlfn.XLOOKUP(KA$1,$BH$2:$BR$2,$BH140:$BR140,0),0)</f>
        <v>0</v>
      </c>
      <c r="KB140" s="26">
        <f>IF(KB$2=InputTable[[#This Row],[Delivery Date]],_xlfn.XLOOKUP(KB$1,$BH$2:$BR$2,$BH140:$BR140,0),0)</f>
        <v>0</v>
      </c>
      <c r="KC140" s="26">
        <f>IF(KC$2=InputTable[[#This Row],[Delivery Date]],_xlfn.XLOOKUP(KC$1,$BH$2:$BR$2,$BH140:$BR140,0),0)</f>
        <v>0</v>
      </c>
      <c r="KD140" s="26">
        <f>IF(KD$2=InputTable[[#This Row],[Delivery Date]],_xlfn.XLOOKUP(KD$1,$BH$2:$BR$2,$BH140:$BR140,0),0)</f>
        <v>0</v>
      </c>
      <c r="KE140" s="26">
        <f>IF(KE$2=InputTable[[#This Row],[Delivery Date]],_xlfn.XLOOKUP(KE$1,$BH$2:$BR$2,$BH140:$BR140,0),0)</f>
        <v>0</v>
      </c>
      <c r="KF140" s="26">
        <f>IF(KF$2=InputTable[[#This Row],[Delivery Date]],_xlfn.XLOOKUP(KF$1,$BH$2:$BR$2,$BH140:$BR140,0),0)</f>
        <v>0</v>
      </c>
    </row>
    <row r="141" spans="1:292" ht="34.799999999999997" x14ac:dyDescent="0.25">
      <c r="A141" s="141"/>
      <c r="B141" s="141"/>
      <c r="C141" s="92"/>
      <c r="D141" s="92"/>
      <c r="E141" s="93"/>
      <c r="F141" s="92"/>
      <c r="G141" s="92"/>
      <c r="H141" s="92"/>
      <c r="I141" s="92"/>
      <c r="J141" s="122"/>
      <c r="K141" s="95" t="e">
        <f>VLOOKUP((InputTable[[#This Row],[Starting Date]]&amp; " - " &amp;InputTable[[#This Row],[Delivery Date]]),'System List'!$F$40:$H$83,2,FALSE)</f>
        <v>#N/A</v>
      </c>
      <c r="L141" s="95" t="e">
        <f>VLOOKUP(InputTable[[#This Row],[Duration]],Duration,2,FALSE)</f>
        <v>#N/A</v>
      </c>
      <c r="M141" s="122"/>
      <c r="N141" s="92"/>
      <c r="O141" s="92"/>
      <c r="P141" s="92"/>
      <c r="Q141" s="92"/>
      <c r="R141" s="92"/>
      <c r="S141" s="92"/>
      <c r="T141" s="95"/>
      <c r="U141" s="138"/>
      <c r="V141" s="92"/>
      <c r="W141" s="92"/>
      <c r="X141" s="92"/>
      <c r="Y141" s="92"/>
      <c r="Z141" s="92"/>
      <c r="AA141" s="92"/>
      <c r="AB141" s="92"/>
      <c r="AC141" s="92"/>
      <c r="AD141" s="92">
        <f>COUNTA(InputTable[[#This Row],[CORPHRFIN]:[SALES]])</f>
        <v>0</v>
      </c>
      <c r="AE141" s="88" cm="1">
        <f t="array" ref="AE141">SUM(
_xlfn.XLOOKUP(InputTable[[#This Row],[CORPHRFIN]:[SALES]],'System List'!$F$4:$F$7,'System List'!$H$4:$H$7,0))</f>
        <v>0</v>
      </c>
      <c r="AF141" s="140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88" cm="1">
        <f t="array" ref="AR141">SUM(
_xlfn.XLOOKUP(InputTable[[#This Row],[Impact on - CIAL]:[Impact on - STRAT]],'System List'!$F$4:$F$7,'System List'!$H$4:$H$7,0))</f>
        <v>0</v>
      </c>
      <c r="AS141" s="88" t="e">
        <f>VLOOKUP(InputTable[[#This Row],[Duration]],Duration,2,FALSE)+InputTable[[#This Row],[Resource Score]]</f>
        <v>#N/A</v>
      </c>
      <c r="AT14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1" s="24" t="e">
        <f>InputTable[[#This Row],[Value Score]]/InputTable[[#This Row],[EFFORT SCORE]]*100</f>
        <v>#N/A</v>
      </c>
      <c r="AV141" s="25" t="s">
        <v>433</v>
      </c>
      <c r="AW141" s="25"/>
      <c r="AX141" s="208"/>
      <c r="AY141" s="25"/>
      <c r="AZ141" s="209">
        <v>0</v>
      </c>
      <c r="BA141" s="209">
        <v>0</v>
      </c>
      <c r="BB141" s="209"/>
      <c r="BC141" s="189"/>
      <c r="BD141" s="188"/>
      <c r="BE141" s="188"/>
      <c r="BF141" s="70"/>
      <c r="BH141" s="2">
        <f>IFERROR(VLOOKUP(InputTable[[#This Row],[Impact on - CIAL]],'System List'!$F$4:$H$7,3,FALSE),0)</f>
        <v>0</v>
      </c>
      <c r="BI141" s="2">
        <f>IFERROR(VLOOKUP(InputTable[[#This Row],[Impact on - COM]],'System List'!$F$4:$H$7,3,FALSE),0)</f>
        <v>0</v>
      </c>
      <c r="BJ141" s="2">
        <f>IFERROR(VLOOKUP(InputTable[[#This Row],[Impact on - FIN]],'System List'!$F$4:$H$7,3,FALSE),0)</f>
        <v>0</v>
      </c>
      <c r="BK141" s="2">
        <f>IFERROR(VLOOKUP(InputTable[[#This Row],[Impact on - GEN SEC]],'System List'!$F$4:$H$7,3,FALSE),0)</f>
        <v>0</v>
      </c>
      <c r="BL141" s="2">
        <f>IFERROR(VLOOKUP(InputTable[[#This Row],[Impact on - HR]],'System List'!$F$4:$H$7,3,FALSE),0)</f>
        <v>0</v>
      </c>
      <c r="BM141" s="2">
        <f>IFERROR(VLOOKUP(InputTable[[#This Row],[Impact on - IS]],'System List'!$F$4:$H$7,3,FALSE),0)</f>
        <v>0</v>
      </c>
      <c r="BN141" s="2">
        <f>IFERROR(VLOOKUP(InputTable[[#This Row],[Impact on - OPS]],'System List'!$F$4:$H$7,3,FALSE),0)</f>
        <v>0</v>
      </c>
      <c r="BO141" s="2">
        <f>IFERROR(VLOOKUP(InputTable[[#This Row],[Impact on - ROLL STOCK]],'System List'!$F$4:$H$7,3,FALSE),0)</f>
        <v>0</v>
      </c>
      <c r="BP141" s="2">
        <f>IFERROR(VLOOKUP(InputTable[[#This Row],[Impact on - SAFETY]],'System List'!$F$4:$H$7,3,FALSE),0)</f>
        <v>0</v>
      </c>
      <c r="BQ141" s="2">
        <f>IFERROR(VLOOKUP(InputTable[[#This Row],[Impact on - STATION]],'System List'!$F$4:$H$7,3,FALSE),0)</f>
        <v>0</v>
      </c>
      <c r="BR141" s="2">
        <f>IFERROR(VLOOKUP(InputTable[[#This Row],[Impact on - STRAT]],'System List'!$F$4:$H$7,3,FALSE),0)</f>
        <v>0</v>
      </c>
      <c r="BT141" s="2">
        <f>IFERROR(VLOOKUP(InputTable[[#This Row],[CORPHRFIN]],'System List'!$F$4:$H$7,3,FALSE),0)</f>
        <v>0</v>
      </c>
      <c r="BU141" s="2">
        <f>IFERROR(VLOOKUP(InputTable[[#This Row],[CUST]],'System List'!$F$4:$H$7,3,FALSE),0)</f>
        <v>0</v>
      </c>
      <c r="BV141" s="2">
        <f>IFERROR(VLOOKUP(InputTable[[#This Row],[CYBER]],'System List'!$F$4:$H$7,3,FALSE),0)</f>
        <v>0</v>
      </c>
      <c r="BW141" s="2">
        <f>IFERROR(VLOOKUP(InputTable[[#This Row],[DATA]],'System List'!$F$4:$H$7,3,FALSE),0)</f>
        <v>0</v>
      </c>
      <c r="BX141" s="2">
        <f>IFERROR(VLOOKUP(InputTable[[#This Row],[INFRA]],'System List'!$F$4:$H$7,3,FALSE),0)</f>
        <v>0</v>
      </c>
      <c r="BY141" s="2">
        <f>IFERROR(VLOOKUP(InputTable[[#This Row],[OPERATIONS]],'System List'!$F$4:$H$7,3,FALSE),0)</f>
        <v>0</v>
      </c>
      <c r="BZ141" s="2">
        <f>IFERROR(VLOOKUP(InputTable[[#This Row],[PMO]],'System List'!$F$4:$H$7,3,FALSE),0)</f>
        <v>0</v>
      </c>
      <c r="CA141" s="2">
        <f>IFERROR(VLOOKUP(InputTable[[#This Row],[SALES]],'System List'!$F$4:$H$7,3,FALSE),0)</f>
        <v>0</v>
      </c>
      <c r="CC141" s="2" cm="1">
        <f t="array" ref="CC14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1" s="2" cm="1">
        <f t="array" ref="CD14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1" s="2" cm="1">
        <f t="array" ref="CE14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1" s="2" cm="1">
        <f t="array" ref="CF14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1" s="2" cm="1">
        <f t="array" ref="CG14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1" s="2" cm="1">
        <f t="array" ref="CH14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1" s="2" cm="1">
        <f t="array" ref="CI14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1" s="2" cm="1">
        <f t="array" ref="CJ14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1" s="2" cm="1">
        <f t="array" ref="CK14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1" s="26">
        <f t="shared" si="379"/>
        <v>0</v>
      </c>
      <c r="CY141" s="26">
        <f t="shared" si="380"/>
        <v>0</v>
      </c>
      <c r="CZ141" s="26">
        <f t="shared" si="381"/>
        <v>0</v>
      </c>
      <c r="DA141" s="26">
        <f t="shared" si="382"/>
        <v>0</v>
      </c>
      <c r="DB141" s="26">
        <f t="shared" si="383"/>
        <v>0</v>
      </c>
      <c r="DC141" s="26">
        <f t="shared" si="384"/>
        <v>0</v>
      </c>
      <c r="DD141" s="26">
        <f t="shared" si="385"/>
        <v>0</v>
      </c>
      <c r="DE141" s="26">
        <f t="shared" si="386"/>
        <v>0</v>
      </c>
      <c r="DF141" s="26">
        <f t="shared" si="387"/>
        <v>0</v>
      </c>
      <c r="DH141" s="26">
        <f t="shared" si="388"/>
        <v>0</v>
      </c>
      <c r="DI141" s="26">
        <f t="shared" si="389"/>
        <v>0</v>
      </c>
      <c r="DJ141" s="26">
        <f t="shared" si="390"/>
        <v>0</v>
      </c>
      <c r="DK141" s="26">
        <f t="shared" si="391"/>
        <v>0</v>
      </c>
      <c r="DL141" s="26">
        <f t="shared" si="392"/>
        <v>0</v>
      </c>
      <c r="DM141" s="26">
        <f t="shared" si="393"/>
        <v>0</v>
      </c>
      <c r="DN141" s="26">
        <f t="shared" si="394"/>
        <v>0</v>
      </c>
      <c r="DO141" s="26">
        <f t="shared" si="395"/>
        <v>0</v>
      </c>
      <c r="DP141" s="26">
        <f t="shared" si="396"/>
        <v>0</v>
      </c>
      <c r="DR141" s="26">
        <f t="shared" si="397"/>
        <v>0</v>
      </c>
      <c r="DS141" s="26">
        <f t="shared" si="398"/>
        <v>0</v>
      </c>
      <c r="DT141" s="26">
        <f t="shared" si="399"/>
        <v>0</v>
      </c>
      <c r="DU141" s="26">
        <f t="shared" si="400"/>
        <v>0</v>
      </c>
      <c r="DV141" s="26">
        <f t="shared" si="401"/>
        <v>0</v>
      </c>
      <c r="DW141" s="26">
        <f t="shared" si="402"/>
        <v>0</v>
      </c>
      <c r="DX141" s="26">
        <f t="shared" si="403"/>
        <v>0</v>
      </c>
      <c r="DY141" s="26">
        <f t="shared" si="404"/>
        <v>0</v>
      </c>
      <c r="DZ141" s="26">
        <f t="shared" si="405"/>
        <v>0</v>
      </c>
      <c r="EB141" s="26">
        <f t="shared" si="406"/>
        <v>0</v>
      </c>
      <c r="EC141" s="26">
        <f t="shared" si="407"/>
        <v>0</v>
      </c>
      <c r="ED141" s="26">
        <f t="shared" si="408"/>
        <v>0</v>
      </c>
      <c r="EE141" s="26">
        <f t="shared" si="409"/>
        <v>0</v>
      </c>
      <c r="EF141" s="26">
        <f t="shared" si="410"/>
        <v>0</v>
      </c>
      <c r="EG141" s="26">
        <f t="shared" si="411"/>
        <v>0</v>
      </c>
      <c r="EH141" s="26">
        <f t="shared" si="412"/>
        <v>0</v>
      </c>
      <c r="EI141" s="26">
        <f t="shared" si="413"/>
        <v>0</v>
      </c>
      <c r="EJ141" s="26">
        <f t="shared" si="414"/>
        <v>0</v>
      </c>
      <c r="EL141" s="26">
        <f t="shared" si="415"/>
        <v>0</v>
      </c>
      <c r="EM141" s="26">
        <f t="shared" si="416"/>
        <v>0</v>
      </c>
      <c r="EN141" s="26">
        <f t="shared" si="417"/>
        <v>0</v>
      </c>
      <c r="EO141" s="26">
        <f t="shared" si="418"/>
        <v>0</v>
      </c>
      <c r="EP141" s="26">
        <f t="shared" si="419"/>
        <v>0</v>
      </c>
      <c r="EQ141" s="26">
        <f t="shared" si="420"/>
        <v>0</v>
      </c>
      <c r="ER141" s="26">
        <f t="shared" si="421"/>
        <v>0</v>
      </c>
      <c r="ES141" s="26">
        <f t="shared" si="422"/>
        <v>0</v>
      </c>
      <c r="ET141" s="26">
        <f t="shared" si="423"/>
        <v>0</v>
      </c>
      <c r="EV141" s="26">
        <f t="shared" si="424"/>
        <v>0</v>
      </c>
      <c r="EW141" s="26">
        <f t="shared" si="425"/>
        <v>0</v>
      </c>
      <c r="EX141" s="26">
        <f t="shared" si="426"/>
        <v>0</v>
      </c>
      <c r="EY141" s="26">
        <f t="shared" si="427"/>
        <v>0</v>
      </c>
      <c r="EZ141" s="26">
        <f t="shared" si="428"/>
        <v>0</v>
      </c>
      <c r="FA141" s="26">
        <f t="shared" si="429"/>
        <v>0</v>
      </c>
      <c r="FB141" s="26">
        <f t="shared" si="430"/>
        <v>0</v>
      </c>
      <c r="FC141" s="26">
        <f t="shared" si="431"/>
        <v>0</v>
      </c>
      <c r="FD141" s="26">
        <f t="shared" si="432"/>
        <v>0</v>
      </c>
      <c r="FF141" s="26">
        <f t="shared" si="433"/>
        <v>0</v>
      </c>
      <c r="FG141" s="26">
        <f t="shared" si="434"/>
        <v>0</v>
      </c>
      <c r="FH141" s="26">
        <f t="shared" si="435"/>
        <v>0</v>
      </c>
      <c r="FI141" s="26">
        <f t="shared" si="436"/>
        <v>0</v>
      </c>
      <c r="FJ141" s="26">
        <f t="shared" si="437"/>
        <v>0</v>
      </c>
      <c r="FK141" s="26">
        <f t="shared" si="438"/>
        <v>0</v>
      </c>
      <c r="FL141" s="26">
        <f t="shared" si="439"/>
        <v>0</v>
      </c>
      <c r="FM141" s="26">
        <f t="shared" si="440"/>
        <v>0</v>
      </c>
      <c r="FN141" s="26">
        <f t="shared" si="441"/>
        <v>0</v>
      </c>
      <c r="FP141" s="26" t="e">
        <f t="shared" si="442"/>
        <v>#REF!</v>
      </c>
      <c r="FQ141" s="26" t="e">
        <f t="shared" si="443"/>
        <v>#REF!</v>
      </c>
      <c r="FR141" s="26" t="e">
        <f t="shared" si="444"/>
        <v>#REF!</v>
      </c>
      <c r="FS141" s="26" t="e">
        <f t="shared" si="445"/>
        <v>#REF!</v>
      </c>
      <c r="FT141" s="26" t="e">
        <f t="shared" si="446"/>
        <v>#REF!</v>
      </c>
      <c r="FU141" s="26" t="e">
        <f t="shared" si="447"/>
        <v>#REF!</v>
      </c>
      <c r="FV141" s="26" t="e">
        <f t="shared" si="448"/>
        <v>#REF!</v>
      </c>
      <c r="FW141" s="26" t="e">
        <f t="shared" si="449"/>
        <v>#REF!</v>
      </c>
      <c r="FX141" s="26" t="e">
        <f t="shared" si="450"/>
        <v>#REF!</v>
      </c>
      <c r="GB141" s="26" t="e">
        <f>IF(GB$2=InputTable[[#This Row],[Delivery Date]],_xlfn.XLOOKUP(GB$1,$BH$2:$BR$2,$BH141:$BR141,0),0)</f>
        <v>#REF!</v>
      </c>
      <c r="GC141" s="26">
        <f>IF(GC$2=InputTable[[#This Row],[Delivery Date]],_xlfn.XLOOKUP(GC$1,$BH$2:$BR$2,$BH141:$BR141,0),0)</f>
        <v>0</v>
      </c>
      <c r="GD141" s="26">
        <f>IF(GD$2=InputTable[[#This Row],[Delivery Date]],_xlfn.XLOOKUP(GD$1,$BH$2:$BR$2,$BH141:$BR141,0),0)</f>
        <v>0</v>
      </c>
      <c r="GE141" s="26">
        <f>IF(GE$2=InputTable[[#This Row],[Delivery Date]],_xlfn.XLOOKUP(GE$1,$BH$2:$BR$2,$BH141:$BR141,0),0)</f>
        <v>0</v>
      </c>
      <c r="GF141" s="26">
        <f>IF(GF$2=InputTable[[#This Row],[Delivery Date]],_xlfn.XLOOKUP(GF$1,$BH$2:$BR$2,$BH141:$BR141,0),0)</f>
        <v>0</v>
      </c>
      <c r="GG141" s="26">
        <f>IF(GG$2=InputTable[[#This Row],[Delivery Date]],_xlfn.XLOOKUP(GG$1,$BH$2:$BR$2,$BH141:$BR141,0),0)</f>
        <v>0</v>
      </c>
      <c r="GH141" s="26">
        <f>IF(GH$2=InputTable[[#This Row],[Delivery Date]],_xlfn.XLOOKUP(GH$1,$BH$2:$BR$2,$BH141:$BR141,0),0)</f>
        <v>0</v>
      </c>
      <c r="GI141" s="26">
        <f>IF(GI$2=InputTable[[#This Row],[Delivery Date]],_xlfn.XLOOKUP(GI$1,$BH$2:$BR$2,$BH141:$BR141,0),0)</f>
        <v>0</v>
      </c>
      <c r="GJ141" s="26">
        <f>IF(GJ$2=InputTable[[#This Row],[Delivery Date]],_xlfn.XLOOKUP(GJ$1,$BH$2:$BR$2,$BH141:$BR141,0),0)</f>
        <v>0</v>
      </c>
      <c r="GL141" s="26" t="e">
        <f>IF(GL$2=InputTable[[#This Row],[Delivery Date]],_xlfn.XLOOKUP(GL$1,$BH$2:$BR$2,$BH141:$BR141,0),0)</f>
        <v>#REF!</v>
      </c>
      <c r="GM141" s="26">
        <f>IF(GM$2=InputTable[[#This Row],[Delivery Date]],_xlfn.XLOOKUP(GM$1,$BH$2:$BR$2,$BH141:$BR141,0),0)</f>
        <v>0</v>
      </c>
      <c r="GN141" s="26">
        <f>IF(GN$2=InputTable[[#This Row],[Delivery Date]],_xlfn.XLOOKUP(GN$1,$BH$2:$BR$2,$BH141:$BR141,0),0)</f>
        <v>0</v>
      </c>
      <c r="GO141" s="26">
        <f>IF(GO$2=InputTable[[#This Row],[Delivery Date]],_xlfn.XLOOKUP(GO$1,$BH$2:$BR$2,$BH141:$BR141,0),0)</f>
        <v>0</v>
      </c>
      <c r="GP141" s="26">
        <f>IF(GP$2=InputTable[[#This Row],[Delivery Date]],_xlfn.XLOOKUP(GP$1,$BH$2:$BR$2,$BH141:$BR141,0),0)</f>
        <v>0</v>
      </c>
      <c r="GQ141" s="26">
        <f>IF(GQ$2=InputTable[[#This Row],[Delivery Date]],_xlfn.XLOOKUP(GQ$1,$BH$2:$BR$2,$BH141:$BR141,0),0)</f>
        <v>0</v>
      </c>
      <c r="GR141" s="26">
        <f>IF(GR$2=InputTable[[#This Row],[Delivery Date]],_xlfn.XLOOKUP(GR$1,$BH$2:$BR$2,$BH141:$BR141,0),0)</f>
        <v>0</v>
      </c>
      <c r="GS141" s="26">
        <f>IF(GS$2=InputTable[[#This Row],[Delivery Date]],_xlfn.XLOOKUP(GS$1,$BH$2:$BR$2,$BH141:$BR141,0),0)</f>
        <v>0</v>
      </c>
      <c r="GT141" s="26">
        <f>IF(GT$2=InputTable[[#This Row],[Delivery Date]],_xlfn.XLOOKUP(GT$1,$BH$2:$BR$2,$BH141:$BR141,0),0)</f>
        <v>0</v>
      </c>
      <c r="GV141" s="26" t="e">
        <f>IF(GV$2=InputTable[[#This Row],[Delivery Date]],_xlfn.XLOOKUP(GV$1,$BH$2:$BR$2,$BH141:$BR141,0),0)</f>
        <v>#REF!</v>
      </c>
      <c r="GW141" s="26">
        <f>IF(GW$2=InputTable[[#This Row],[Delivery Date]],_xlfn.XLOOKUP(GW$1,$BH$2:$BR$2,$BH141:$BR141,0),0)</f>
        <v>0</v>
      </c>
      <c r="GX141" s="26">
        <f>IF(GX$2=InputTable[[#This Row],[Delivery Date]],_xlfn.XLOOKUP(GX$1,$BH$2:$BR$2,$BH141:$BR141,0),0)</f>
        <v>0</v>
      </c>
      <c r="GY141" s="26">
        <f>IF(GY$2=InputTable[[#This Row],[Delivery Date]],_xlfn.XLOOKUP(GY$1,$BH$2:$BR$2,$BH141:$BR141,0),0)</f>
        <v>0</v>
      </c>
      <c r="GZ141" s="26">
        <f>IF(GZ$2=InputTable[[#This Row],[Delivery Date]],_xlfn.XLOOKUP(GZ$1,$BH$2:$BR$2,$BH141:$BR141,0),0)</f>
        <v>0</v>
      </c>
      <c r="HA141" s="26">
        <f>IF(HA$2=InputTable[[#This Row],[Delivery Date]],_xlfn.XLOOKUP(HA$1,$BH$2:$BR$2,$BH141:$BR141,0),0)</f>
        <v>0</v>
      </c>
      <c r="HB141" s="26">
        <f>IF(HB$2=InputTable[[#This Row],[Delivery Date]],_xlfn.XLOOKUP(HB$1,$BH$2:$BR$2,$BH141:$BR141,0),0)</f>
        <v>0</v>
      </c>
      <c r="HC141" s="26">
        <f>IF(HC$2=InputTable[[#This Row],[Delivery Date]],_xlfn.XLOOKUP(HC$1,$BH$2:$BR$2,$BH141:$BR141,0),0)</f>
        <v>0</v>
      </c>
      <c r="HD141" s="26">
        <f>IF(HD$2=InputTable[[#This Row],[Delivery Date]],_xlfn.XLOOKUP(HD$1,$BH$2:$BR$2,$BH141:$BR141,0),0)</f>
        <v>0</v>
      </c>
      <c r="HF141" s="26" t="e">
        <f>IF(HF$2=InputTable[[#This Row],[Delivery Date]],_xlfn.XLOOKUP(HF$1,$BH$2:$BR$2,$BH141:$BR141,0),0)</f>
        <v>#REF!</v>
      </c>
      <c r="HG141" s="26">
        <f>IF(HG$2=InputTable[[#This Row],[Delivery Date]],_xlfn.XLOOKUP(HG$1,$BH$2:$BR$2,$BH141:$BR141,0),0)</f>
        <v>0</v>
      </c>
      <c r="HH141" s="26">
        <f>IF(HH$2=InputTable[[#This Row],[Delivery Date]],_xlfn.XLOOKUP(HH$1,$BH$2:$BR$2,$BH141:$BR141,0),0)</f>
        <v>0</v>
      </c>
      <c r="HI141" s="26">
        <f>IF(HI$2=InputTable[[#This Row],[Delivery Date]],_xlfn.XLOOKUP(HI$1,$BH$2:$BR$2,$BH141:$BR141,0),0)</f>
        <v>0</v>
      </c>
      <c r="HJ141" s="26">
        <f>IF(HJ$2=InputTable[[#This Row],[Delivery Date]],_xlfn.XLOOKUP(HJ$1,$BH$2:$BR$2,$BH141:$BR141,0),0)</f>
        <v>0</v>
      </c>
      <c r="HK141" s="26">
        <f>IF(HK$2=InputTable[[#This Row],[Delivery Date]],_xlfn.XLOOKUP(HK$1,$BH$2:$BR$2,$BH141:$BR141,0),0)</f>
        <v>0</v>
      </c>
      <c r="HL141" s="26">
        <f>IF(HL$2=InputTable[[#This Row],[Delivery Date]],_xlfn.XLOOKUP(HL$1,$BH$2:$BR$2,$BH141:$BR141,0),0)</f>
        <v>0</v>
      </c>
      <c r="HM141" s="26">
        <f>IF(HM$2=InputTable[[#This Row],[Delivery Date]],_xlfn.XLOOKUP(HM$1,$BH$2:$BR$2,$BH141:$BR141,0),0)</f>
        <v>0</v>
      </c>
      <c r="HN141" s="26">
        <f>IF(HN$2=InputTable[[#This Row],[Delivery Date]],_xlfn.XLOOKUP(HN$1,$BH$2:$BR$2,$BH141:$BR141,0),0)</f>
        <v>0</v>
      </c>
      <c r="HP141" s="26" t="e">
        <f>IF(HP$2=InputTable[[#This Row],[Delivery Date]],_xlfn.XLOOKUP(HP$1,$BH$2:$BR$2,$BH141:$BR141,0),0)</f>
        <v>#REF!</v>
      </c>
      <c r="HQ141" s="26">
        <f>IF(HQ$2=InputTable[[#This Row],[Delivery Date]],_xlfn.XLOOKUP(HQ$1,$BH$2:$BR$2,$BH141:$BR141,0),0)</f>
        <v>0</v>
      </c>
      <c r="HR141" s="26">
        <f>IF(HR$2=InputTable[[#This Row],[Delivery Date]],_xlfn.XLOOKUP(HR$1,$BH$2:$BR$2,$BH141:$BR141,0),0)</f>
        <v>0</v>
      </c>
      <c r="HS141" s="26">
        <f>IF(HS$2=InputTable[[#This Row],[Delivery Date]],_xlfn.XLOOKUP(HS$1,$BH$2:$BR$2,$BH141:$BR141,0),0)</f>
        <v>0</v>
      </c>
      <c r="HT141" s="26">
        <f>IF(HT$2=InputTable[[#This Row],[Delivery Date]],_xlfn.XLOOKUP(HT$1,$BH$2:$BR$2,$BH141:$BR141,0),0)</f>
        <v>0</v>
      </c>
      <c r="HU141" s="26">
        <f>IF(HU$2=InputTable[[#This Row],[Delivery Date]],_xlfn.XLOOKUP(HU$1,$BH$2:$BR$2,$BH141:$BR141,0),0)</f>
        <v>0</v>
      </c>
      <c r="HV141" s="26">
        <f>IF(HV$2=InputTable[[#This Row],[Delivery Date]],_xlfn.XLOOKUP(HV$1,$BH$2:$BR$2,$BH141:$BR141,0),0)</f>
        <v>0</v>
      </c>
      <c r="HW141" s="26">
        <f>IF(HW$2=InputTable[[#This Row],[Delivery Date]],_xlfn.XLOOKUP(HW$1,$BH$2:$BR$2,$BH141:$BR141,0),0)</f>
        <v>0</v>
      </c>
      <c r="HX141" s="26">
        <f>IF(HX$2=InputTable[[#This Row],[Delivery Date]],_xlfn.XLOOKUP(HX$1,$BH$2:$BR$2,$BH141:$BR141,0),0)</f>
        <v>0</v>
      </c>
      <c r="HZ141" s="26" t="e">
        <f>IF(HZ$2=InputTable[[#This Row],[Delivery Date]],_xlfn.XLOOKUP(HZ$1,$BH$2:$BR$2,$BH141:$BR141,0),0)</f>
        <v>#REF!</v>
      </c>
      <c r="IA141" s="26">
        <f>IF(IA$2=InputTable[[#This Row],[Delivery Date]],_xlfn.XLOOKUP(IA$1,$BH$2:$BR$2,$BH141:$BR141,0),0)</f>
        <v>0</v>
      </c>
      <c r="IB141" s="26">
        <f>IF(IB$2=InputTable[[#This Row],[Delivery Date]],_xlfn.XLOOKUP(IB$1,$BH$2:$BR$2,$BH141:$BR141,0),0)</f>
        <v>0</v>
      </c>
      <c r="IC141" s="26">
        <f>IF(IC$2=InputTable[[#This Row],[Delivery Date]],_xlfn.XLOOKUP(IC$1,$BH$2:$BR$2,$BH141:$BR141,0),0)</f>
        <v>0</v>
      </c>
      <c r="ID141" s="26">
        <f>IF(ID$2=InputTable[[#This Row],[Delivery Date]],_xlfn.XLOOKUP(ID$1,$BH$2:$BR$2,$BH141:$BR141,0),0)</f>
        <v>0</v>
      </c>
      <c r="IE141" s="26">
        <f>IF(IE$2=InputTable[[#This Row],[Delivery Date]],_xlfn.XLOOKUP(IE$1,$BH$2:$BR$2,$BH141:$BR141,0),0)</f>
        <v>0</v>
      </c>
      <c r="IF141" s="26">
        <f>IF(IF$2=InputTable[[#This Row],[Delivery Date]],_xlfn.XLOOKUP(IF$1,$BH$2:$BR$2,$BH141:$BR141,0),0)</f>
        <v>0</v>
      </c>
      <c r="IG141" s="26">
        <f>IF(IG$2=InputTable[[#This Row],[Delivery Date]],_xlfn.XLOOKUP(IG$1,$BH$2:$BR$2,$BH141:$BR141,0),0)</f>
        <v>0</v>
      </c>
      <c r="IH141" s="26">
        <f>IF(IH$2=InputTable[[#This Row],[Delivery Date]],_xlfn.XLOOKUP(IH$1,$BH$2:$BR$2,$BH141:$BR141,0),0)</f>
        <v>0</v>
      </c>
      <c r="IJ141" s="26" t="e">
        <f>IF(IJ$2=InputTable[[#This Row],[Delivery Date]],_xlfn.XLOOKUP(IJ$1,$BH$2:$BR$2,$BH141:$BR141,0),0)</f>
        <v>#REF!</v>
      </c>
      <c r="IK141" s="26">
        <f>IF(IK$2=InputTable[[#This Row],[Delivery Date]],_xlfn.XLOOKUP(IK$1,$BH$2:$BR$2,$BH141:$BR141,0),0)</f>
        <v>0</v>
      </c>
      <c r="IL141" s="26">
        <f>IF(IL$2=InputTable[[#This Row],[Delivery Date]],_xlfn.XLOOKUP(IL$1,$BH$2:$BR$2,$BH141:$BR141,0),0)</f>
        <v>0</v>
      </c>
      <c r="IM141" s="26">
        <f>IF(IM$2=InputTable[[#This Row],[Delivery Date]],_xlfn.XLOOKUP(IM$1,$BH$2:$BR$2,$BH141:$BR141,0),0)</f>
        <v>0</v>
      </c>
      <c r="IN141" s="26">
        <f>IF(IN$2=InputTable[[#This Row],[Delivery Date]],_xlfn.XLOOKUP(IN$1,$BH$2:$BR$2,$BH141:$BR141,0),0)</f>
        <v>0</v>
      </c>
      <c r="IO141" s="26">
        <f>IF(IO$2=InputTable[[#This Row],[Delivery Date]],_xlfn.XLOOKUP(IO$1,$BH$2:$BR$2,$BH141:$BR141,0),0)</f>
        <v>0</v>
      </c>
      <c r="IP141" s="26">
        <f>IF(IP$2=InputTable[[#This Row],[Delivery Date]],_xlfn.XLOOKUP(IP$1,$BH$2:$BR$2,$BH141:$BR141,0),0)</f>
        <v>0</v>
      </c>
      <c r="IQ141" s="26">
        <f>IF(IQ$2=InputTable[[#This Row],[Delivery Date]],_xlfn.XLOOKUP(IQ$1,$BH$2:$BR$2,$BH141:$BR141,0),0)</f>
        <v>0</v>
      </c>
      <c r="IR141" s="26">
        <f>IF(IR$2=InputTable[[#This Row],[Delivery Date]],_xlfn.XLOOKUP(IR$1,$BH$2:$BR$2,$BH141:$BR141,0),0)</f>
        <v>0</v>
      </c>
      <c r="IT141" s="26" t="e">
        <f>IF(IT$2=InputTable[[#This Row],[Delivery Date]],_xlfn.XLOOKUP(IT$1,$BH$2:$BR$2,$BH141:$BR141,0),0)</f>
        <v>#REF!</v>
      </c>
      <c r="IU141" s="26">
        <f>IF(IU$2=InputTable[[#This Row],[Delivery Date]],_xlfn.XLOOKUP(IU$1,$BH$2:$BR$2,$BH141:$BR141,0),0)</f>
        <v>0</v>
      </c>
      <c r="IV141" s="26">
        <f>IF(IV$2=InputTable[[#This Row],[Delivery Date]],_xlfn.XLOOKUP(IV$1,$BH$2:$BR$2,$BH141:$BR141,0),0)</f>
        <v>0</v>
      </c>
      <c r="IW141" s="26">
        <f>IF(IW$2=InputTable[[#This Row],[Delivery Date]],_xlfn.XLOOKUP(IW$1,$BH$2:$BR$2,$BH141:$BR141,0),0)</f>
        <v>0</v>
      </c>
      <c r="IX141" s="26">
        <f>IF(IX$2=InputTable[[#This Row],[Delivery Date]],_xlfn.XLOOKUP(IX$1,$BH$2:$BR$2,$BH141:$BR141,0),0)</f>
        <v>0</v>
      </c>
      <c r="IY141" s="26">
        <f>IF(IY$2=InputTable[[#This Row],[Delivery Date]],_xlfn.XLOOKUP(IY$1,$BH$2:$BR$2,$BH141:$BR141,0),0)</f>
        <v>0</v>
      </c>
      <c r="IZ141" s="26">
        <f>IF(IZ$2=InputTable[[#This Row],[Delivery Date]],_xlfn.XLOOKUP(IZ$1,$BH$2:$BR$2,$BH141:$BR141,0),0)</f>
        <v>0</v>
      </c>
      <c r="JA141" s="26">
        <f>IF(JA$2=InputTable[[#This Row],[Delivery Date]],_xlfn.XLOOKUP(JA$1,$BH$2:$BR$2,$BH141:$BR141,0),0)</f>
        <v>0</v>
      </c>
      <c r="JB141" s="26">
        <f>IF(JB$2=InputTable[[#This Row],[Delivery Date]],_xlfn.XLOOKUP(JB$1,$BH$2:$BR$2,$BH141:$BR141,0),0)</f>
        <v>0</v>
      </c>
      <c r="JD141" s="26" t="e">
        <f>IF(JD$2=InputTable[[#This Row],[Delivery Date]],_xlfn.XLOOKUP(JD$1,$BH$2:$BR$2,$BH141:$BR141,0),0)</f>
        <v>#REF!</v>
      </c>
      <c r="JE141" s="26">
        <f>IF(JE$2=InputTable[[#This Row],[Delivery Date]],_xlfn.XLOOKUP(JE$1,$BH$2:$BR$2,$BH141:$BR141,0),0)</f>
        <v>0</v>
      </c>
      <c r="JF141" s="26">
        <f>IF(JF$2=InputTable[[#This Row],[Delivery Date]],_xlfn.XLOOKUP(JF$1,$BH$2:$BR$2,$BH141:$BR141,0),0)</f>
        <v>0</v>
      </c>
      <c r="JG141" s="26">
        <f>IF(JG$2=InputTable[[#This Row],[Delivery Date]],_xlfn.XLOOKUP(JG$1,$BH$2:$BR$2,$BH141:$BR141,0),0)</f>
        <v>0</v>
      </c>
      <c r="JH141" s="26">
        <f>IF(JH$2=InputTable[[#This Row],[Delivery Date]],_xlfn.XLOOKUP(JH$1,$BH$2:$BR$2,$BH141:$BR141,0),0)</f>
        <v>0</v>
      </c>
      <c r="JI141" s="26">
        <f>IF(JI$2=InputTable[[#This Row],[Delivery Date]],_xlfn.XLOOKUP(JI$1,$BH$2:$BR$2,$BH141:$BR141,0),0)</f>
        <v>0</v>
      </c>
      <c r="JJ141" s="26">
        <f>IF(JJ$2=InputTable[[#This Row],[Delivery Date]],_xlfn.XLOOKUP(JJ$1,$BH$2:$BR$2,$BH141:$BR141,0),0)</f>
        <v>0</v>
      </c>
      <c r="JK141" s="26">
        <f>IF(JK$2=InputTable[[#This Row],[Delivery Date]],_xlfn.XLOOKUP(JK$1,$BH$2:$BR$2,$BH141:$BR141,0),0)</f>
        <v>0</v>
      </c>
      <c r="JL141" s="26">
        <f>IF(JL$2=InputTable[[#This Row],[Delivery Date]],_xlfn.XLOOKUP(JL$1,$BH$2:$BR$2,$BH141:$BR141,0),0)</f>
        <v>0</v>
      </c>
      <c r="JN141" s="26" t="e">
        <f>IF(JN$2=InputTable[[#This Row],[Delivery Date]],_xlfn.XLOOKUP(JN$1,$BH$2:$BR$2,$BH141:$BR141,0),0)</f>
        <v>#REF!</v>
      </c>
      <c r="JO141" s="26">
        <f>IF(JO$2=InputTable[[#This Row],[Delivery Date]],_xlfn.XLOOKUP(JO$1,$BH$2:$BR$2,$BH141:$BR141,0),0)</f>
        <v>0</v>
      </c>
      <c r="JP141" s="26">
        <f>IF(JP$2=InputTable[[#This Row],[Delivery Date]],_xlfn.XLOOKUP(JP$1,$BH$2:$BR$2,$BH141:$BR141,0),0)</f>
        <v>0</v>
      </c>
      <c r="JQ141" s="26">
        <f>IF(JQ$2=InputTable[[#This Row],[Delivery Date]],_xlfn.XLOOKUP(JQ$1,$BH$2:$BR$2,$BH141:$BR141,0),0)</f>
        <v>0</v>
      </c>
      <c r="JR141" s="26">
        <f>IF(JR$2=InputTable[[#This Row],[Delivery Date]],_xlfn.XLOOKUP(JR$1,$BH$2:$BR$2,$BH141:$BR141,0),0)</f>
        <v>0</v>
      </c>
      <c r="JS141" s="26">
        <f>IF(JS$2=InputTable[[#This Row],[Delivery Date]],_xlfn.XLOOKUP(JS$1,$BH$2:$BR$2,$BH141:$BR141,0),0)</f>
        <v>0</v>
      </c>
      <c r="JT141" s="26">
        <f>IF(JT$2=InputTable[[#This Row],[Delivery Date]],_xlfn.XLOOKUP(JT$1,$BH$2:$BR$2,$BH141:$BR141,0),0)</f>
        <v>0</v>
      </c>
      <c r="JU141" s="26">
        <f>IF(JU$2=InputTable[[#This Row],[Delivery Date]],_xlfn.XLOOKUP(JU$1,$BH$2:$BR$2,$BH141:$BR141,0),0)</f>
        <v>0</v>
      </c>
      <c r="JV141" s="26">
        <f>IF(JV$2=InputTable[[#This Row],[Delivery Date]],_xlfn.XLOOKUP(JV$1,$BH$2:$BR$2,$BH141:$BR141,0),0)</f>
        <v>0</v>
      </c>
      <c r="JX141" s="26" t="e">
        <f>IF(JX$2=InputTable[[#This Row],[Delivery Date]],_xlfn.XLOOKUP(JX$1,$BH$2:$BR$2,$BH141:$BR141,0),0)</f>
        <v>#REF!</v>
      </c>
      <c r="JY141" s="26">
        <f>IF(JY$2=InputTable[[#This Row],[Delivery Date]],_xlfn.XLOOKUP(JY$1,$BH$2:$BR$2,$BH141:$BR141,0),0)</f>
        <v>0</v>
      </c>
      <c r="JZ141" s="26">
        <f>IF(JZ$2=InputTable[[#This Row],[Delivery Date]],_xlfn.XLOOKUP(JZ$1,$BH$2:$BR$2,$BH141:$BR141,0),0)</f>
        <v>0</v>
      </c>
      <c r="KA141" s="26">
        <f>IF(KA$2=InputTable[[#This Row],[Delivery Date]],_xlfn.XLOOKUP(KA$1,$BH$2:$BR$2,$BH141:$BR141,0),0)</f>
        <v>0</v>
      </c>
      <c r="KB141" s="26">
        <f>IF(KB$2=InputTable[[#This Row],[Delivery Date]],_xlfn.XLOOKUP(KB$1,$BH$2:$BR$2,$BH141:$BR141,0),0)</f>
        <v>0</v>
      </c>
      <c r="KC141" s="26">
        <f>IF(KC$2=InputTable[[#This Row],[Delivery Date]],_xlfn.XLOOKUP(KC$1,$BH$2:$BR$2,$BH141:$BR141,0),0)</f>
        <v>0</v>
      </c>
      <c r="KD141" s="26">
        <f>IF(KD$2=InputTable[[#This Row],[Delivery Date]],_xlfn.XLOOKUP(KD$1,$BH$2:$BR$2,$BH141:$BR141,0),0)</f>
        <v>0</v>
      </c>
      <c r="KE141" s="26">
        <f>IF(KE$2=InputTable[[#This Row],[Delivery Date]],_xlfn.XLOOKUP(KE$1,$BH$2:$BR$2,$BH141:$BR141,0),0)</f>
        <v>0</v>
      </c>
      <c r="KF141" s="26">
        <f>IF(KF$2=InputTable[[#This Row],[Delivery Date]],_xlfn.XLOOKUP(KF$1,$BH$2:$BR$2,$BH141:$BR141,0),0)</f>
        <v>0</v>
      </c>
    </row>
    <row r="142" spans="1:292" ht="34.799999999999997" x14ac:dyDescent="0.25">
      <c r="A142" s="141"/>
      <c r="B142" s="141"/>
      <c r="C142" s="92"/>
      <c r="D142" s="92"/>
      <c r="E142" s="93"/>
      <c r="F142" s="92"/>
      <c r="G142" s="92"/>
      <c r="H142" s="92"/>
      <c r="I142" s="92"/>
      <c r="J142" s="122"/>
      <c r="K142" s="95" t="e">
        <f>VLOOKUP((InputTable[[#This Row],[Starting Date]]&amp; " - " &amp;InputTable[[#This Row],[Delivery Date]]),'System List'!$F$40:$H$83,2,FALSE)</f>
        <v>#N/A</v>
      </c>
      <c r="L142" s="95" t="e">
        <f>VLOOKUP(InputTable[[#This Row],[Duration]],Duration,2,FALSE)</f>
        <v>#N/A</v>
      </c>
      <c r="M142" s="122"/>
      <c r="N142" s="92"/>
      <c r="O142" s="92"/>
      <c r="P142" s="92"/>
      <c r="Q142" s="92"/>
      <c r="R142" s="92"/>
      <c r="S142" s="92"/>
      <c r="T142" s="95"/>
      <c r="U142" s="138"/>
      <c r="V142" s="92"/>
      <c r="W142" s="92"/>
      <c r="X142" s="92"/>
      <c r="Y142" s="92"/>
      <c r="Z142" s="92"/>
      <c r="AA142" s="92"/>
      <c r="AB142" s="92"/>
      <c r="AC142" s="92"/>
      <c r="AD142" s="92">
        <f>COUNTA(InputTable[[#This Row],[CORPHRFIN]:[SALES]])</f>
        <v>0</v>
      </c>
      <c r="AE142" s="88" cm="1">
        <f t="array" ref="AE142">SUM(
_xlfn.XLOOKUP(InputTable[[#This Row],[CORPHRFIN]:[SALES]],'System List'!$F$4:$F$7,'System List'!$H$4:$H$7,0))</f>
        <v>0</v>
      </c>
      <c r="AF142" s="140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88" cm="1">
        <f t="array" ref="AR142">SUM(
_xlfn.XLOOKUP(InputTable[[#This Row],[Impact on - CIAL]:[Impact on - STRAT]],'System List'!$F$4:$F$7,'System List'!$H$4:$H$7,0))</f>
        <v>0</v>
      </c>
      <c r="AS142" s="88" t="e">
        <f>VLOOKUP(InputTable[[#This Row],[Duration]],Duration,2,FALSE)+InputTable[[#This Row],[Resource Score]]</f>
        <v>#N/A</v>
      </c>
      <c r="AT14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2" s="24" t="e">
        <f>InputTable[[#This Row],[Value Score]]/InputTable[[#This Row],[EFFORT SCORE]]*100</f>
        <v>#N/A</v>
      </c>
      <c r="AV142" s="25" t="s">
        <v>434</v>
      </c>
      <c r="AW142" s="25"/>
      <c r="AX142" s="208"/>
      <c r="AY142" s="25"/>
      <c r="AZ142" s="209">
        <v>0</v>
      </c>
      <c r="BA142" s="209">
        <v>0</v>
      </c>
      <c r="BB142" s="209"/>
      <c r="BC142" s="189"/>
      <c r="BD142" s="188"/>
      <c r="BE142" s="188"/>
      <c r="BF142" s="70"/>
      <c r="BH142" s="2">
        <f>IFERROR(VLOOKUP(InputTable[[#This Row],[Impact on - CIAL]],'System List'!$F$4:$H$7,3,FALSE),0)</f>
        <v>0</v>
      </c>
      <c r="BI142" s="2">
        <f>IFERROR(VLOOKUP(InputTable[[#This Row],[Impact on - COM]],'System List'!$F$4:$H$7,3,FALSE),0)</f>
        <v>0</v>
      </c>
      <c r="BJ142" s="2">
        <f>IFERROR(VLOOKUP(InputTable[[#This Row],[Impact on - FIN]],'System List'!$F$4:$H$7,3,FALSE),0)</f>
        <v>0</v>
      </c>
      <c r="BK142" s="2">
        <f>IFERROR(VLOOKUP(InputTable[[#This Row],[Impact on - GEN SEC]],'System List'!$F$4:$H$7,3,FALSE),0)</f>
        <v>0</v>
      </c>
      <c r="BL142" s="2">
        <f>IFERROR(VLOOKUP(InputTable[[#This Row],[Impact on - HR]],'System List'!$F$4:$H$7,3,FALSE),0)</f>
        <v>0</v>
      </c>
      <c r="BM142" s="2">
        <f>IFERROR(VLOOKUP(InputTable[[#This Row],[Impact on - IS]],'System List'!$F$4:$H$7,3,FALSE),0)</f>
        <v>0</v>
      </c>
      <c r="BN142" s="2">
        <f>IFERROR(VLOOKUP(InputTable[[#This Row],[Impact on - OPS]],'System List'!$F$4:$H$7,3,FALSE),0)</f>
        <v>0</v>
      </c>
      <c r="BO142" s="2">
        <f>IFERROR(VLOOKUP(InputTable[[#This Row],[Impact on - ROLL STOCK]],'System List'!$F$4:$H$7,3,FALSE),0)</f>
        <v>0</v>
      </c>
      <c r="BP142" s="2">
        <f>IFERROR(VLOOKUP(InputTable[[#This Row],[Impact on - SAFETY]],'System List'!$F$4:$H$7,3,FALSE),0)</f>
        <v>0</v>
      </c>
      <c r="BQ142" s="2">
        <f>IFERROR(VLOOKUP(InputTable[[#This Row],[Impact on - STATION]],'System List'!$F$4:$H$7,3,FALSE),0)</f>
        <v>0</v>
      </c>
      <c r="BR142" s="2">
        <f>IFERROR(VLOOKUP(InputTable[[#This Row],[Impact on - STRAT]],'System List'!$F$4:$H$7,3,FALSE),0)</f>
        <v>0</v>
      </c>
      <c r="BT142" s="2">
        <f>IFERROR(VLOOKUP(InputTable[[#This Row],[CORPHRFIN]],'System List'!$F$4:$H$7,3,FALSE),0)</f>
        <v>0</v>
      </c>
      <c r="BU142" s="2">
        <f>IFERROR(VLOOKUP(InputTable[[#This Row],[CUST]],'System List'!$F$4:$H$7,3,FALSE),0)</f>
        <v>0</v>
      </c>
      <c r="BV142" s="2">
        <f>IFERROR(VLOOKUP(InputTable[[#This Row],[CYBER]],'System List'!$F$4:$H$7,3,FALSE),0)</f>
        <v>0</v>
      </c>
      <c r="BW142" s="2">
        <f>IFERROR(VLOOKUP(InputTable[[#This Row],[DATA]],'System List'!$F$4:$H$7,3,FALSE),0)</f>
        <v>0</v>
      </c>
      <c r="BX142" s="2">
        <f>IFERROR(VLOOKUP(InputTable[[#This Row],[INFRA]],'System List'!$F$4:$H$7,3,FALSE),0)</f>
        <v>0</v>
      </c>
      <c r="BY142" s="2">
        <f>IFERROR(VLOOKUP(InputTable[[#This Row],[OPERATIONS]],'System List'!$F$4:$H$7,3,FALSE),0)</f>
        <v>0</v>
      </c>
      <c r="BZ142" s="2">
        <f>IFERROR(VLOOKUP(InputTable[[#This Row],[PMO]],'System List'!$F$4:$H$7,3,FALSE),0)</f>
        <v>0</v>
      </c>
      <c r="CA142" s="2">
        <f>IFERROR(VLOOKUP(InputTable[[#This Row],[SALES]],'System List'!$F$4:$H$7,3,FALSE),0)</f>
        <v>0</v>
      </c>
      <c r="CC142" s="2" cm="1">
        <f t="array" ref="CC14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2" s="2" cm="1">
        <f t="array" ref="CD14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2" s="2" cm="1">
        <f t="array" ref="CE14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2" s="2" cm="1">
        <f t="array" ref="CF14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2" s="2" cm="1">
        <f t="array" ref="CG14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2" s="2" cm="1">
        <f t="array" ref="CH14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2" s="2" cm="1">
        <f t="array" ref="CI14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2" s="2" cm="1">
        <f t="array" ref="CJ14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2" s="2" cm="1">
        <f t="array" ref="CK14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2" s="26">
        <f t="shared" si="379"/>
        <v>0</v>
      </c>
      <c r="CY142" s="26">
        <f t="shared" si="380"/>
        <v>0</v>
      </c>
      <c r="CZ142" s="26">
        <f t="shared" si="381"/>
        <v>0</v>
      </c>
      <c r="DA142" s="26">
        <f t="shared" si="382"/>
        <v>0</v>
      </c>
      <c r="DB142" s="26">
        <f t="shared" si="383"/>
        <v>0</v>
      </c>
      <c r="DC142" s="26">
        <f t="shared" si="384"/>
        <v>0</v>
      </c>
      <c r="DD142" s="26">
        <f t="shared" si="385"/>
        <v>0</v>
      </c>
      <c r="DE142" s="26">
        <f t="shared" si="386"/>
        <v>0</v>
      </c>
      <c r="DF142" s="26">
        <f t="shared" si="387"/>
        <v>0</v>
      </c>
      <c r="DH142" s="26">
        <f t="shared" si="388"/>
        <v>0</v>
      </c>
      <c r="DI142" s="26">
        <f t="shared" si="389"/>
        <v>0</v>
      </c>
      <c r="DJ142" s="26">
        <f t="shared" si="390"/>
        <v>0</v>
      </c>
      <c r="DK142" s="26">
        <f t="shared" si="391"/>
        <v>0</v>
      </c>
      <c r="DL142" s="26">
        <f t="shared" si="392"/>
        <v>0</v>
      </c>
      <c r="DM142" s="26">
        <f t="shared" si="393"/>
        <v>0</v>
      </c>
      <c r="DN142" s="26">
        <f t="shared" si="394"/>
        <v>0</v>
      </c>
      <c r="DO142" s="26">
        <f t="shared" si="395"/>
        <v>0</v>
      </c>
      <c r="DP142" s="26">
        <f t="shared" si="396"/>
        <v>0</v>
      </c>
      <c r="DR142" s="26">
        <f t="shared" si="397"/>
        <v>0</v>
      </c>
      <c r="DS142" s="26">
        <f t="shared" si="398"/>
        <v>0</v>
      </c>
      <c r="DT142" s="26">
        <f t="shared" si="399"/>
        <v>0</v>
      </c>
      <c r="DU142" s="26">
        <f t="shared" si="400"/>
        <v>0</v>
      </c>
      <c r="DV142" s="26">
        <f t="shared" si="401"/>
        <v>0</v>
      </c>
      <c r="DW142" s="26">
        <f t="shared" si="402"/>
        <v>0</v>
      </c>
      <c r="DX142" s="26">
        <f t="shared" si="403"/>
        <v>0</v>
      </c>
      <c r="DY142" s="26">
        <f t="shared" si="404"/>
        <v>0</v>
      </c>
      <c r="DZ142" s="26">
        <f t="shared" si="405"/>
        <v>0</v>
      </c>
      <c r="EB142" s="26">
        <f t="shared" si="406"/>
        <v>0</v>
      </c>
      <c r="EC142" s="26">
        <f t="shared" si="407"/>
        <v>0</v>
      </c>
      <c r="ED142" s="26">
        <f t="shared" si="408"/>
        <v>0</v>
      </c>
      <c r="EE142" s="26">
        <f t="shared" si="409"/>
        <v>0</v>
      </c>
      <c r="EF142" s="26">
        <f t="shared" si="410"/>
        <v>0</v>
      </c>
      <c r="EG142" s="26">
        <f t="shared" si="411"/>
        <v>0</v>
      </c>
      <c r="EH142" s="26">
        <f t="shared" si="412"/>
        <v>0</v>
      </c>
      <c r="EI142" s="26">
        <f t="shared" si="413"/>
        <v>0</v>
      </c>
      <c r="EJ142" s="26">
        <f t="shared" si="414"/>
        <v>0</v>
      </c>
      <c r="EL142" s="26">
        <f t="shared" si="415"/>
        <v>0</v>
      </c>
      <c r="EM142" s="26">
        <f t="shared" si="416"/>
        <v>0</v>
      </c>
      <c r="EN142" s="26">
        <f t="shared" si="417"/>
        <v>0</v>
      </c>
      <c r="EO142" s="26">
        <f t="shared" si="418"/>
        <v>0</v>
      </c>
      <c r="EP142" s="26">
        <f t="shared" si="419"/>
        <v>0</v>
      </c>
      <c r="EQ142" s="26">
        <f t="shared" si="420"/>
        <v>0</v>
      </c>
      <c r="ER142" s="26">
        <f t="shared" si="421"/>
        <v>0</v>
      </c>
      <c r="ES142" s="26">
        <f t="shared" si="422"/>
        <v>0</v>
      </c>
      <c r="ET142" s="26">
        <f t="shared" si="423"/>
        <v>0</v>
      </c>
      <c r="EV142" s="26">
        <f t="shared" si="424"/>
        <v>0</v>
      </c>
      <c r="EW142" s="26">
        <f t="shared" si="425"/>
        <v>0</v>
      </c>
      <c r="EX142" s="26">
        <f t="shared" si="426"/>
        <v>0</v>
      </c>
      <c r="EY142" s="26">
        <f t="shared" si="427"/>
        <v>0</v>
      </c>
      <c r="EZ142" s="26">
        <f t="shared" si="428"/>
        <v>0</v>
      </c>
      <c r="FA142" s="26">
        <f t="shared" si="429"/>
        <v>0</v>
      </c>
      <c r="FB142" s="26">
        <f t="shared" si="430"/>
        <v>0</v>
      </c>
      <c r="FC142" s="26">
        <f t="shared" si="431"/>
        <v>0</v>
      </c>
      <c r="FD142" s="26">
        <f t="shared" si="432"/>
        <v>0</v>
      </c>
      <c r="FF142" s="26">
        <f t="shared" si="433"/>
        <v>0</v>
      </c>
      <c r="FG142" s="26">
        <f t="shared" si="434"/>
        <v>0</v>
      </c>
      <c r="FH142" s="26">
        <f t="shared" si="435"/>
        <v>0</v>
      </c>
      <c r="FI142" s="26">
        <f t="shared" si="436"/>
        <v>0</v>
      </c>
      <c r="FJ142" s="26">
        <f t="shared" si="437"/>
        <v>0</v>
      </c>
      <c r="FK142" s="26">
        <f t="shared" si="438"/>
        <v>0</v>
      </c>
      <c r="FL142" s="26">
        <f t="shared" si="439"/>
        <v>0</v>
      </c>
      <c r="FM142" s="26">
        <f t="shared" si="440"/>
        <v>0</v>
      </c>
      <c r="FN142" s="26">
        <f t="shared" si="441"/>
        <v>0</v>
      </c>
      <c r="FP142" s="26" t="e">
        <f t="shared" si="442"/>
        <v>#REF!</v>
      </c>
      <c r="FQ142" s="26" t="e">
        <f t="shared" si="443"/>
        <v>#REF!</v>
      </c>
      <c r="FR142" s="26" t="e">
        <f t="shared" si="444"/>
        <v>#REF!</v>
      </c>
      <c r="FS142" s="26" t="e">
        <f t="shared" si="445"/>
        <v>#REF!</v>
      </c>
      <c r="FT142" s="26" t="e">
        <f t="shared" si="446"/>
        <v>#REF!</v>
      </c>
      <c r="FU142" s="26" t="e">
        <f t="shared" si="447"/>
        <v>#REF!</v>
      </c>
      <c r="FV142" s="26" t="e">
        <f t="shared" si="448"/>
        <v>#REF!</v>
      </c>
      <c r="FW142" s="26" t="e">
        <f t="shared" si="449"/>
        <v>#REF!</v>
      </c>
      <c r="FX142" s="26" t="e">
        <f t="shared" si="450"/>
        <v>#REF!</v>
      </c>
      <c r="GB142" s="26" t="e">
        <f>IF(GB$2=InputTable[[#This Row],[Delivery Date]],_xlfn.XLOOKUP(GB$1,$BH$2:$BR$2,$BH142:$BR142,0),0)</f>
        <v>#REF!</v>
      </c>
      <c r="GC142" s="26">
        <f>IF(GC$2=InputTable[[#This Row],[Delivery Date]],_xlfn.XLOOKUP(GC$1,$BH$2:$BR$2,$BH142:$BR142,0),0)</f>
        <v>0</v>
      </c>
      <c r="GD142" s="26">
        <f>IF(GD$2=InputTable[[#This Row],[Delivery Date]],_xlfn.XLOOKUP(GD$1,$BH$2:$BR$2,$BH142:$BR142,0),0)</f>
        <v>0</v>
      </c>
      <c r="GE142" s="26">
        <f>IF(GE$2=InputTable[[#This Row],[Delivery Date]],_xlfn.XLOOKUP(GE$1,$BH$2:$BR$2,$BH142:$BR142,0),0)</f>
        <v>0</v>
      </c>
      <c r="GF142" s="26">
        <f>IF(GF$2=InputTable[[#This Row],[Delivery Date]],_xlfn.XLOOKUP(GF$1,$BH$2:$BR$2,$BH142:$BR142,0),0)</f>
        <v>0</v>
      </c>
      <c r="GG142" s="26">
        <f>IF(GG$2=InputTable[[#This Row],[Delivery Date]],_xlfn.XLOOKUP(GG$1,$BH$2:$BR$2,$BH142:$BR142,0),0)</f>
        <v>0</v>
      </c>
      <c r="GH142" s="26">
        <f>IF(GH$2=InputTable[[#This Row],[Delivery Date]],_xlfn.XLOOKUP(GH$1,$BH$2:$BR$2,$BH142:$BR142,0),0)</f>
        <v>0</v>
      </c>
      <c r="GI142" s="26">
        <f>IF(GI$2=InputTable[[#This Row],[Delivery Date]],_xlfn.XLOOKUP(GI$1,$BH$2:$BR$2,$BH142:$BR142,0),0)</f>
        <v>0</v>
      </c>
      <c r="GJ142" s="26">
        <f>IF(GJ$2=InputTable[[#This Row],[Delivery Date]],_xlfn.XLOOKUP(GJ$1,$BH$2:$BR$2,$BH142:$BR142,0),0)</f>
        <v>0</v>
      </c>
      <c r="GL142" s="26" t="e">
        <f>IF(GL$2=InputTable[[#This Row],[Delivery Date]],_xlfn.XLOOKUP(GL$1,$BH$2:$BR$2,$BH142:$BR142,0),0)</f>
        <v>#REF!</v>
      </c>
      <c r="GM142" s="26">
        <f>IF(GM$2=InputTable[[#This Row],[Delivery Date]],_xlfn.XLOOKUP(GM$1,$BH$2:$BR$2,$BH142:$BR142,0),0)</f>
        <v>0</v>
      </c>
      <c r="GN142" s="26">
        <f>IF(GN$2=InputTable[[#This Row],[Delivery Date]],_xlfn.XLOOKUP(GN$1,$BH$2:$BR$2,$BH142:$BR142,0),0)</f>
        <v>0</v>
      </c>
      <c r="GO142" s="26">
        <f>IF(GO$2=InputTable[[#This Row],[Delivery Date]],_xlfn.XLOOKUP(GO$1,$BH$2:$BR$2,$BH142:$BR142,0),0)</f>
        <v>0</v>
      </c>
      <c r="GP142" s="26">
        <f>IF(GP$2=InputTable[[#This Row],[Delivery Date]],_xlfn.XLOOKUP(GP$1,$BH$2:$BR$2,$BH142:$BR142,0),0)</f>
        <v>0</v>
      </c>
      <c r="GQ142" s="26">
        <f>IF(GQ$2=InputTable[[#This Row],[Delivery Date]],_xlfn.XLOOKUP(GQ$1,$BH$2:$BR$2,$BH142:$BR142,0),0)</f>
        <v>0</v>
      </c>
      <c r="GR142" s="26">
        <f>IF(GR$2=InputTable[[#This Row],[Delivery Date]],_xlfn.XLOOKUP(GR$1,$BH$2:$BR$2,$BH142:$BR142,0),0)</f>
        <v>0</v>
      </c>
      <c r="GS142" s="26">
        <f>IF(GS$2=InputTable[[#This Row],[Delivery Date]],_xlfn.XLOOKUP(GS$1,$BH$2:$BR$2,$BH142:$BR142,0),0)</f>
        <v>0</v>
      </c>
      <c r="GT142" s="26">
        <f>IF(GT$2=InputTable[[#This Row],[Delivery Date]],_xlfn.XLOOKUP(GT$1,$BH$2:$BR$2,$BH142:$BR142,0),0)</f>
        <v>0</v>
      </c>
      <c r="GV142" s="26" t="e">
        <f>IF(GV$2=InputTable[[#This Row],[Delivery Date]],_xlfn.XLOOKUP(GV$1,$BH$2:$BR$2,$BH142:$BR142,0),0)</f>
        <v>#REF!</v>
      </c>
      <c r="GW142" s="26">
        <f>IF(GW$2=InputTable[[#This Row],[Delivery Date]],_xlfn.XLOOKUP(GW$1,$BH$2:$BR$2,$BH142:$BR142,0),0)</f>
        <v>0</v>
      </c>
      <c r="GX142" s="26">
        <f>IF(GX$2=InputTable[[#This Row],[Delivery Date]],_xlfn.XLOOKUP(GX$1,$BH$2:$BR$2,$BH142:$BR142,0),0)</f>
        <v>0</v>
      </c>
      <c r="GY142" s="26">
        <f>IF(GY$2=InputTable[[#This Row],[Delivery Date]],_xlfn.XLOOKUP(GY$1,$BH$2:$BR$2,$BH142:$BR142,0),0)</f>
        <v>0</v>
      </c>
      <c r="GZ142" s="26">
        <f>IF(GZ$2=InputTable[[#This Row],[Delivery Date]],_xlfn.XLOOKUP(GZ$1,$BH$2:$BR$2,$BH142:$BR142,0),0)</f>
        <v>0</v>
      </c>
      <c r="HA142" s="26">
        <f>IF(HA$2=InputTable[[#This Row],[Delivery Date]],_xlfn.XLOOKUP(HA$1,$BH$2:$BR$2,$BH142:$BR142,0),0)</f>
        <v>0</v>
      </c>
      <c r="HB142" s="26">
        <f>IF(HB$2=InputTable[[#This Row],[Delivery Date]],_xlfn.XLOOKUP(HB$1,$BH$2:$BR$2,$BH142:$BR142,0),0)</f>
        <v>0</v>
      </c>
      <c r="HC142" s="26">
        <f>IF(HC$2=InputTable[[#This Row],[Delivery Date]],_xlfn.XLOOKUP(HC$1,$BH$2:$BR$2,$BH142:$BR142,0),0)</f>
        <v>0</v>
      </c>
      <c r="HD142" s="26">
        <f>IF(HD$2=InputTable[[#This Row],[Delivery Date]],_xlfn.XLOOKUP(HD$1,$BH$2:$BR$2,$BH142:$BR142,0),0)</f>
        <v>0</v>
      </c>
      <c r="HF142" s="26" t="e">
        <f>IF(HF$2=InputTable[[#This Row],[Delivery Date]],_xlfn.XLOOKUP(HF$1,$BH$2:$BR$2,$BH142:$BR142,0),0)</f>
        <v>#REF!</v>
      </c>
      <c r="HG142" s="26">
        <f>IF(HG$2=InputTable[[#This Row],[Delivery Date]],_xlfn.XLOOKUP(HG$1,$BH$2:$BR$2,$BH142:$BR142,0),0)</f>
        <v>0</v>
      </c>
      <c r="HH142" s="26">
        <f>IF(HH$2=InputTable[[#This Row],[Delivery Date]],_xlfn.XLOOKUP(HH$1,$BH$2:$BR$2,$BH142:$BR142,0),0)</f>
        <v>0</v>
      </c>
      <c r="HI142" s="26">
        <f>IF(HI$2=InputTable[[#This Row],[Delivery Date]],_xlfn.XLOOKUP(HI$1,$BH$2:$BR$2,$BH142:$BR142,0),0)</f>
        <v>0</v>
      </c>
      <c r="HJ142" s="26">
        <f>IF(HJ$2=InputTable[[#This Row],[Delivery Date]],_xlfn.XLOOKUP(HJ$1,$BH$2:$BR$2,$BH142:$BR142,0),0)</f>
        <v>0</v>
      </c>
      <c r="HK142" s="26">
        <f>IF(HK$2=InputTable[[#This Row],[Delivery Date]],_xlfn.XLOOKUP(HK$1,$BH$2:$BR$2,$BH142:$BR142,0),0)</f>
        <v>0</v>
      </c>
      <c r="HL142" s="26">
        <f>IF(HL$2=InputTable[[#This Row],[Delivery Date]],_xlfn.XLOOKUP(HL$1,$BH$2:$BR$2,$BH142:$BR142,0),0)</f>
        <v>0</v>
      </c>
      <c r="HM142" s="26">
        <f>IF(HM$2=InputTable[[#This Row],[Delivery Date]],_xlfn.XLOOKUP(HM$1,$BH$2:$BR$2,$BH142:$BR142,0),0)</f>
        <v>0</v>
      </c>
      <c r="HN142" s="26">
        <f>IF(HN$2=InputTable[[#This Row],[Delivery Date]],_xlfn.XLOOKUP(HN$1,$BH$2:$BR$2,$BH142:$BR142,0),0)</f>
        <v>0</v>
      </c>
      <c r="HP142" s="26" t="e">
        <f>IF(HP$2=InputTable[[#This Row],[Delivery Date]],_xlfn.XLOOKUP(HP$1,$BH$2:$BR$2,$BH142:$BR142,0),0)</f>
        <v>#REF!</v>
      </c>
      <c r="HQ142" s="26">
        <f>IF(HQ$2=InputTable[[#This Row],[Delivery Date]],_xlfn.XLOOKUP(HQ$1,$BH$2:$BR$2,$BH142:$BR142,0),0)</f>
        <v>0</v>
      </c>
      <c r="HR142" s="26">
        <f>IF(HR$2=InputTable[[#This Row],[Delivery Date]],_xlfn.XLOOKUP(HR$1,$BH$2:$BR$2,$BH142:$BR142,0),0)</f>
        <v>0</v>
      </c>
      <c r="HS142" s="26">
        <f>IF(HS$2=InputTable[[#This Row],[Delivery Date]],_xlfn.XLOOKUP(HS$1,$BH$2:$BR$2,$BH142:$BR142,0),0)</f>
        <v>0</v>
      </c>
      <c r="HT142" s="26">
        <f>IF(HT$2=InputTable[[#This Row],[Delivery Date]],_xlfn.XLOOKUP(HT$1,$BH$2:$BR$2,$BH142:$BR142,0),0)</f>
        <v>0</v>
      </c>
      <c r="HU142" s="26">
        <f>IF(HU$2=InputTable[[#This Row],[Delivery Date]],_xlfn.XLOOKUP(HU$1,$BH$2:$BR$2,$BH142:$BR142,0),0)</f>
        <v>0</v>
      </c>
      <c r="HV142" s="26">
        <f>IF(HV$2=InputTable[[#This Row],[Delivery Date]],_xlfn.XLOOKUP(HV$1,$BH$2:$BR$2,$BH142:$BR142,0),0)</f>
        <v>0</v>
      </c>
      <c r="HW142" s="26">
        <f>IF(HW$2=InputTable[[#This Row],[Delivery Date]],_xlfn.XLOOKUP(HW$1,$BH$2:$BR$2,$BH142:$BR142,0),0)</f>
        <v>0</v>
      </c>
      <c r="HX142" s="26">
        <f>IF(HX$2=InputTable[[#This Row],[Delivery Date]],_xlfn.XLOOKUP(HX$1,$BH$2:$BR$2,$BH142:$BR142,0),0)</f>
        <v>0</v>
      </c>
      <c r="HZ142" s="26" t="e">
        <f>IF(HZ$2=InputTable[[#This Row],[Delivery Date]],_xlfn.XLOOKUP(HZ$1,$BH$2:$BR$2,$BH142:$BR142,0),0)</f>
        <v>#REF!</v>
      </c>
      <c r="IA142" s="26">
        <f>IF(IA$2=InputTable[[#This Row],[Delivery Date]],_xlfn.XLOOKUP(IA$1,$BH$2:$BR$2,$BH142:$BR142,0),0)</f>
        <v>0</v>
      </c>
      <c r="IB142" s="26">
        <f>IF(IB$2=InputTable[[#This Row],[Delivery Date]],_xlfn.XLOOKUP(IB$1,$BH$2:$BR$2,$BH142:$BR142,0),0)</f>
        <v>0</v>
      </c>
      <c r="IC142" s="26">
        <f>IF(IC$2=InputTable[[#This Row],[Delivery Date]],_xlfn.XLOOKUP(IC$1,$BH$2:$BR$2,$BH142:$BR142,0),0)</f>
        <v>0</v>
      </c>
      <c r="ID142" s="26">
        <f>IF(ID$2=InputTable[[#This Row],[Delivery Date]],_xlfn.XLOOKUP(ID$1,$BH$2:$BR$2,$BH142:$BR142,0),0)</f>
        <v>0</v>
      </c>
      <c r="IE142" s="26">
        <f>IF(IE$2=InputTable[[#This Row],[Delivery Date]],_xlfn.XLOOKUP(IE$1,$BH$2:$BR$2,$BH142:$BR142,0),0)</f>
        <v>0</v>
      </c>
      <c r="IF142" s="26">
        <f>IF(IF$2=InputTable[[#This Row],[Delivery Date]],_xlfn.XLOOKUP(IF$1,$BH$2:$BR$2,$BH142:$BR142,0),0)</f>
        <v>0</v>
      </c>
      <c r="IG142" s="26">
        <f>IF(IG$2=InputTable[[#This Row],[Delivery Date]],_xlfn.XLOOKUP(IG$1,$BH$2:$BR$2,$BH142:$BR142,0),0)</f>
        <v>0</v>
      </c>
      <c r="IH142" s="26">
        <f>IF(IH$2=InputTable[[#This Row],[Delivery Date]],_xlfn.XLOOKUP(IH$1,$BH$2:$BR$2,$BH142:$BR142,0),0)</f>
        <v>0</v>
      </c>
      <c r="IJ142" s="26" t="e">
        <f>IF(IJ$2=InputTable[[#This Row],[Delivery Date]],_xlfn.XLOOKUP(IJ$1,$BH$2:$BR$2,$BH142:$BR142,0),0)</f>
        <v>#REF!</v>
      </c>
      <c r="IK142" s="26">
        <f>IF(IK$2=InputTable[[#This Row],[Delivery Date]],_xlfn.XLOOKUP(IK$1,$BH$2:$BR$2,$BH142:$BR142,0),0)</f>
        <v>0</v>
      </c>
      <c r="IL142" s="26">
        <f>IF(IL$2=InputTable[[#This Row],[Delivery Date]],_xlfn.XLOOKUP(IL$1,$BH$2:$BR$2,$BH142:$BR142,0),0)</f>
        <v>0</v>
      </c>
      <c r="IM142" s="26">
        <f>IF(IM$2=InputTable[[#This Row],[Delivery Date]],_xlfn.XLOOKUP(IM$1,$BH$2:$BR$2,$BH142:$BR142,0),0)</f>
        <v>0</v>
      </c>
      <c r="IN142" s="26">
        <f>IF(IN$2=InputTable[[#This Row],[Delivery Date]],_xlfn.XLOOKUP(IN$1,$BH$2:$BR$2,$BH142:$BR142,0),0)</f>
        <v>0</v>
      </c>
      <c r="IO142" s="26">
        <f>IF(IO$2=InputTable[[#This Row],[Delivery Date]],_xlfn.XLOOKUP(IO$1,$BH$2:$BR$2,$BH142:$BR142,0),0)</f>
        <v>0</v>
      </c>
      <c r="IP142" s="26">
        <f>IF(IP$2=InputTable[[#This Row],[Delivery Date]],_xlfn.XLOOKUP(IP$1,$BH$2:$BR$2,$BH142:$BR142,0),0)</f>
        <v>0</v>
      </c>
      <c r="IQ142" s="26">
        <f>IF(IQ$2=InputTable[[#This Row],[Delivery Date]],_xlfn.XLOOKUP(IQ$1,$BH$2:$BR$2,$BH142:$BR142,0),0)</f>
        <v>0</v>
      </c>
      <c r="IR142" s="26">
        <f>IF(IR$2=InputTable[[#This Row],[Delivery Date]],_xlfn.XLOOKUP(IR$1,$BH$2:$BR$2,$BH142:$BR142,0),0)</f>
        <v>0</v>
      </c>
      <c r="IT142" s="26" t="e">
        <f>IF(IT$2=InputTable[[#This Row],[Delivery Date]],_xlfn.XLOOKUP(IT$1,$BH$2:$BR$2,$BH142:$BR142,0),0)</f>
        <v>#REF!</v>
      </c>
      <c r="IU142" s="26">
        <f>IF(IU$2=InputTable[[#This Row],[Delivery Date]],_xlfn.XLOOKUP(IU$1,$BH$2:$BR$2,$BH142:$BR142,0),0)</f>
        <v>0</v>
      </c>
      <c r="IV142" s="26">
        <f>IF(IV$2=InputTable[[#This Row],[Delivery Date]],_xlfn.XLOOKUP(IV$1,$BH$2:$BR$2,$BH142:$BR142,0),0)</f>
        <v>0</v>
      </c>
      <c r="IW142" s="26">
        <f>IF(IW$2=InputTable[[#This Row],[Delivery Date]],_xlfn.XLOOKUP(IW$1,$BH$2:$BR$2,$BH142:$BR142,0),0)</f>
        <v>0</v>
      </c>
      <c r="IX142" s="26">
        <f>IF(IX$2=InputTable[[#This Row],[Delivery Date]],_xlfn.XLOOKUP(IX$1,$BH$2:$BR$2,$BH142:$BR142,0),0)</f>
        <v>0</v>
      </c>
      <c r="IY142" s="26">
        <f>IF(IY$2=InputTable[[#This Row],[Delivery Date]],_xlfn.XLOOKUP(IY$1,$BH$2:$BR$2,$BH142:$BR142,0),0)</f>
        <v>0</v>
      </c>
      <c r="IZ142" s="26">
        <f>IF(IZ$2=InputTable[[#This Row],[Delivery Date]],_xlfn.XLOOKUP(IZ$1,$BH$2:$BR$2,$BH142:$BR142,0),0)</f>
        <v>0</v>
      </c>
      <c r="JA142" s="26">
        <f>IF(JA$2=InputTable[[#This Row],[Delivery Date]],_xlfn.XLOOKUP(JA$1,$BH$2:$BR$2,$BH142:$BR142,0),0)</f>
        <v>0</v>
      </c>
      <c r="JB142" s="26">
        <f>IF(JB$2=InputTable[[#This Row],[Delivery Date]],_xlfn.XLOOKUP(JB$1,$BH$2:$BR$2,$BH142:$BR142,0),0)</f>
        <v>0</v>
      </c>
      <c r="JD142" s="26" t="e">
        <f>IF(JD$2=InputTable[[#This Row],[Delivery Date]],_xlfn.XLOOKUP(JD$1,$BH$2:$BR$2,$BH142:$BR142,0),0)</f>
        <v>#REF!</v>
      </c>
      <c r="JE142" s="26">
        <f>IF(JE$2=InputTable[[#This Row],[Delivery Date]],_xlfn.XLOOKUP(JE$1,$BH$2:$BR$2,$BH142:$BR142,0),0)</f>
        <v>0</v>
      </c>
      <c r="JF142" s="26">
        <f>IF(JF$2=InputTable[[#This Row],[Delivery Date]],_xlfn.XLOOKUP(JF$1,$BH$2:$BR$2,$BH142:$BR142,0),0)</f>
        <v>0</v>
      </c>
      <c r="JG142" s="26">
        <f>IF(JG$2=InputTable[[#This Row],[Delivery Date]],_xlfn.XLOOKUP(JG$1,$BH$2:$BR$2,$BH142:$BR142,0),0)</f>
        <v>0</v>
      </c>
      <c r="JH142" s="26">
        <f>IF(JH$2=InputTable[[#This Row],[Delivery Date]],_xlfn.XLOOKUP(JH$1,$BH$2:$BR$2,$BH142:$BR142,0),0)</f>
        <v>0</v>
      </c>
      <c r="JI142" s="26">
        <f>IF(JI$2=InputTable[[#This Row],[Delivery Date]],_xlfn.XLOOKUP(JI$1,$BH$2:$BR$2,$BH142:$BR142,0),0)</f>
        <v>0</v>
      </c>
      <c r="JJ142" s="26">
        <f>IF(JJ$2=InputTable[[#This Row],[Delivery Date]],_xlfn.XLOOKUP(JJ$1,$BH$2:$BR$2,$BH142:$BR142,0),0)</f>
        <v>0</v>
      </c>
      <c r="JK142" s="26">
        <f>IF(JK$2=InputTable[[#This Row],[Delivery Date]],_xlfn.XLOOKUP(JK$1,$BH$2:$BR$2,$BH142:$BR142,0),0)</f>
        <v>0</v>
      </c>
      <c r="JL142" s="26">
        <f>IF(JL$2=InputTable[[#This Row],[Delivery Date]],_xlfn.XLOOKUP(JL$1,$BH$2:$BR$2,$BH142:$BR142,0),0)</f>
        <v>0</v>
      </c>
      <c r="JN142" s="26" t="e">
        <f>IF(JN$2=InputTable[[#This Row],[Delivery Date]],_xlfn.XLOOKUP(JN$1,$BH$2:$BR$2,$BH142:$BR142,0),0)</f>
        <v>#REF!</v>
      </c>
      <c r="JO142" s="26">
        <f>IF(JO$2=InputTable[[#This Row],[Delivery Date]],_xlfn.XLOOKUP(JO$1,$BH$2:$BR$2,$BH142:$BR142,0),0)</f>
        <v>0</v>
      </c>
      <c r="JP142" s="26">
        <f>IF(JP$2=InputTable[[#This Row],[Delivery Date]],_xlfn.XLOOKUP(JP$1,$BH$2:$BR$2,$BH142:$BR142,0),0)</f>
        <v>0</v>
      </c>
      <c r="JQ142" s="26">
        <f>IF(JQ$2=InputTable[[#This Row],[Delivery Date]],_xlfn.XLOOKUP(JQ$1,$BH$2:$BR$2,$BH142:$BR142,0),0)</f>
        <v>0</v>
      </c>
      <c r="JR142" s="26">
        <f>IF(JR$2=InputTable[[#This Row],[Delivery Date]],_xlfn.XLOOKUP(JR$1,$BH$2:$BR$2,$BH142:$BR142,0),0)</f>
        <v>0</v>
      </c>
      <c r="JS142" s="26">
        <f>IF(JS$2=InputTable[[#This Row],[Delivery Date]],_xlfn.XLOOKUP(JS$1,$BH$2:$BR$2,$BH142:$BR142,0),0)</f>
        <v>0</v>
      </c>
      <c r="JT142" s="26">
        <f>IF(JT$2=InputTable[[#This Row],[Delivery Date]],_xlfn.XLOOKUP(JT$1,$BH$2:$BR$2,$BH142:$BR142,0),0)</f>
        <v>0</v>
      </c>
      <c r="JU142" s="26">
        <f>IF(JU$2=InputTable[[#This Row],[Delivery Date]],_xlfn.XLOOKUP(JU$1,$BH$2:$BR$2,$BH142:$BR142,0),0)</f>
        <v>0</v>
      </c>
      <c r="JV142" s="26">
        <f>IF(JV$2=InputTable[[#This Row],[Delivery Date]],_xlfn.XLOOKUP(JV$1,$BH$2:$BR$2,$BH142:$BR142,0),0)</f>
        <v>0</v>
      </c>
      <c r="JX142" s="26" t="e">
        <f>IF(JX$2=InputTable[[#This Row],[Delivery Date]],_xlfn.XLOOKUP(JX$1,$BH$2:$BR$2,$BH142:$BR142,0),0)</f>
        <v>#REF!</v>
      </c>
      <c r="JY142" s="26">
        <f>IF(JY$2=InputTable[[#This Row],[Delivery Date]],_xlfn.XLOOKUP(JY$1,$BH$2:$BR$2,$BH142:$BR142,0),0)</f>
        <v>0</v>
      </c>
      <c r="JZ142" s="26">
        <f>IF(JZ$2=InputTable[[#This Row],[Delivery Date]],_xlfn.XLOOKUP(JZ$1,$BH$2:$BR$2,$BH142:$BR142,0),0)</f>
        <v>0</v>
      </c>
      <c r="KA142" s="26">
        <f>IF(KA$2=InputTable[[#This Row],[Delivery Date]],_xlfn.XLOOKUP(KA$1,$BH$2:$BR$2,$BH142:$BR142,0),0)</f>
        <v>0</v>
      </c>
      <c r="KB142" s="26">
        <f>IF(KB$2=InputTable[[#This Row],[Delivery Date]],_xlfn.XLOOKUP(KB$1,$BH$2:$BR$2,$BH142:$BR142,0),0)</f>
        <v>0</v>
      </c>
      <c r="KC142" s="26">
        <f>IF(KC$2=InputTable[[#This Row],[Delivery Date]],_xlfn.XLOOKUP(KC$1,$BH$2:$BR$2,$BH142:$BR142,0),0)</f>
        <v>0</v>
      </c>
      <c r="KD142" s="26">
        <f>IF(KD$2=InputTable[[#This Row],[Delivery Date]],_xlfn.XLOOKUP(KD$1,$BH$2:$BR$2,$BH142:$BR142,0),0)</f>
        <v>0</v>
      </c>
      <c r="KE142" s="26">
        <f>IF(KE$2=InputTable[[#This Row],[Delivery Date]],_xlfn.XLOOKUP(KE$1,$BH$2:$BR$2,$BH142:$BR142,0),0)</f>
        <v>0</v>
      </c>
      <c r="KF142" s="26">
        <f>IF(KF$2=InputTable[[#This Row],[Delivery Date]],_xlfn.XLOOKUP(KF$1,$BH$2:$BR$2,$BH142:$BR142,0),0)</f>
        <v>0</v>
      </c>
    </row>
    <row r="143" spans="1:292" ht="34.799999999999997" x14ac:dyDescent="0.25">
      <c r="A143" s="141"/>
      <c r="B143" s="141"/>
      <c r="C143" s="92"/>
      <c r="D143" s="92"/>
      <c r="E143" s="97"/>
      <c r="F143" s="98"/>
      <c r="G143" s="102"/>
      <c r="H143" s="102"/>
      <c r="I143" s="98"/>
      <c r="J143" s="123"/>
      <c r="K143" s="95" t="e">
        <f>VLOOKUP((InputTable[[#This Row],[Starting Date]]&amp; " - " &amp;InputTable[[#This Row],[Delivery Date]]),'System List'!$F$40:$H$83,2,FALSE)</f>
        <v>#N/A</v>
      </c>
      <c r="L143" s="95" t="e">
        <f>VLOOKUP(InputTable[[#This Row],[Duration]],Duration,2,FALSE)</f>
        <v>#N/A</v>
      </c>
      <c r="M143" s="123"/>
      <c r="N143" s="98"/>
      <c r="O143" s="98"/>
      <c r="P143" s="98"/>
      <c r="Q143" s="98"/>
      <c r="R143" s="98"/>
      <c r="S143" s="92"/>
      <c r="T143" s="95"/>
      <c r="U143" s="138"/>
      <c r="V143" s="98"/>
      <c r="W143" s="98"/>
      <c r="X143" s="98"/>
      <c r="Y143" s="98"/>
      <c r="Z143" s="98"/>
      <c r="AA143" s="98"/>
      <c r="AB143" s="98"/>
      <c r="AC143" s="98"/>
      <c r="AD143" s="92">
        <f>COUNTA(InputTable[[#This Row],[CORPHRFIN]:[SALES]])</f>
        <v>0</v>
      </c>
      <c r="AE143" s="88" cm="1">
        <f t="array" ref="AE143">SUM(
_xlfn.XLOOKUP(InputTable[[#This Row],[CORPHRFIN]:[SALES]],'System List'!$F$4:$F$7,'System List'!$H$4:$H$7,0))</f>
        <v>0</v>
      </c>
      <c r="AF143" s="140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88" cm="1">
        <f t="array" ref="AR143">SUM(
_xlfn.XLOOKUP(InputTable[[#This Row],[Impact on - CIAL]:[Impact on - STRAT]],'System List'!$F$4:$F$7,'System List'!$H$4:$H$7,0))</f>
        <v>0</v>
      </c>
      <c r="AS143" s="88" t="e">
        <f>VLOOKUP(InputTable[[#This Row],[Duration]],Duration,2,FALSE)+InputTable[[#This Row],[Resource Score]]</f>
        <v>#N/A</v>
      </c>
      <c r="AT14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3" s="24" t="e">
        <f>InputTable[[#This Row],[Value Score]]/InputTable[[#This Row],[EFFORT SCORE]]*100</f>
        <v>#N/A</v>
      </c>
      <c r="AV143" s="25" t="s">
        <v>435</v>
      </c>
      <c r="AW143" s="25"/>
      <c r="AX143" s="208"/>
      <c r="AY143" s="25"/>
      <c r="AZ143" s="209">
        <v>0</v>
      </c>
      <c r="BA143" s="209">
        <v>0</v>
      </c>
      <c r="BB143" s="209"/>
      <c r="BC143" s="189"/>
      <c r="BD143" s="188"/>
      <c r="BE143" s="188"/>
      <c r="BF143" s="70"/>
      <c r="BH143" s="2">
        <f>IFERROR(VLOOKUP(InputTable[[#This Row],[Impact on - CIAL]],'System List'!$F$4:$H$7,3,FALSE),0)</f>
        <v>0</v>
      </c>
      <c r="BI143" s="2">
        <f>IFERROR(VLOOKUP(InputTable[[#This Row],[Impact on - COM]],'System List'!$F$4:$H$7,3,FALSE),0)</f>
        <v>0</v>
      </c>
      <c r="BJ143" s="2">
        <f>IFERROR(VLOOKUP(InputTable[[#This Row],[Impact on - FIN]],'System List'!$F$4:$H$7,3,FALSE),0)</f>
        <v>0</v>
      </c>
      <c r="BK143" s="2">
        <f>IFERROR(VLOOKUP(InputTable[[#This Row],[Impact on - GEN SEC]],'System List'!$F$4:$H$7,3,FALSE),0)</f>
        <v>0</v>
      </c>
      <c r="BL143" s="2">
        <f>IFERROR(VLOOKUP(InputTable[[#This Row],[Impact on - HR]],'System List'!$F$4:$H$7,3,FALSE),0)</f>
        <v>0</v>
      </c>
      <c r="BM143" s="2">
        <f>IFERROR(VLOOKUP(InputTable[[#This Row],[Impact on - IS]],'System List'!$F$4:$H$7,3,FALSE),0)</f>
        <v>0</v>
      </c>
      <c r="BN143" s="2">
        <f>IFERROR(VLOOKUP(InputTable[[#This Row],[Impact on - OPS]],'System List'!$F$4:$H$7,3,FALSE),0)</f>
        <v>0</v>
      </c>
      <c r="BO143" s="2">
        <f>IFERROR(VLOOKUP(InputTable[[#This Row],[Impact on - ROLL STOCK]],'System List'!$F$4:$H$7,3,FALSE),0)</f>
        <v>0</v>
      </c>
      <c r="BP143" s="2">
        <f>IFERROR(VLOOKUP(InputTable[[#This Row],[Impact on - SAFETY]],'System List'!$F$4:$H$7,3,FALSE),0)</f>
        <v>0</v>
      </c>
      <c r="BQ143" s="2">
        <f>IFERROR(VLOOKUP(InputTable[[#This Row],[Impact on - STATION]],'System List'!$F$4:$H$7,3,FALSE),0)</f>
        <v>0</v>
      </c>
      <c r="BR143" s="2">
        <f>IFERROR(VLOOKUP(InputTable[[#This Row],[Impact on - STRAT]],'System List'!$F$4:$H$7,3,FALSE),0)</f>
        <v>0</v>
      </c>
      <c r="BT143" s="2">
        <f>IFERROR(VLOOKUP(InputTable[[#This Row],[CORPHRFIN]],'System List'!$F$4:$H$7,3,FALSE),0)</f>
        <v>0</v>
      </c>
      <c r="BU143" s="2">
        <f>IFERROR(VLOOKUP(InputTable[[#This Row],[CUST]],'System List'!$F$4:$H$7,3,FALSE),0)</f>
        <v>0</v>
      </c>
      <c r="BV143" s="2">
        <f>IFERROR(VLOOKUP(InputTable[[#This Row],[CYBER]],'System List'!$F$4:$H$7,3,FALSE),0)</f>
        <v>0</v>
      </c>
      <c r="BW143" s="2">
        <f>IFERROR(VLOOKUP(InputTable[[#This Row],[DATA]],'System List'!$F$4:$H$7,3,FALSE),0)</f>
        <v>0</v>
      </c>
      <c r="BX143" s="2">
        <f>IFERROR(VLOOKUP(InputTable[[#This Row],[INFRA]],'System List'!$F$4:$H$7,3,FALSE),0)</f>
        <v>0</v>
      </c>
      <c r="BY143" s="2">
        <f>IFERROR(VLOOKUP(InputTable[[#This Row],[OPERATIONS]],'System List'!$F$4:$H$7,3,FALSE),0)</f>
        <v>0</v>
      </c>
      <c r="BZ143" s="2">
        <f>IFERROR(VLOOKUP(InputTable[[#This Row],[PMO]],'System List'!$F$4:$H$7,3,FALSE),0)</f>
        <v>0</v>
      </c>
      <c r="CA143" s="2">
        <f>IFERROR(VLOOKUP(InputTable[[#This Row],[SALES]],'System List'!$F$4:$H$7,3,FALSE),0)</f>
        <v>0</v>
      </c>
      <c r="CC143" s="2" cm="1">
        <f t="array" ref="CC14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3" s="2" cm="1">
        <f t="array" ref="CD14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3" s="2" cm="1">
        <f t="array" ref="CE14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3" s="2" cm="1">
        <f t="array" ref="CF14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3" s="2" cm="1">
        <f t="array" ref="CG14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3" s="2" cm="1">
        <f t="array" ref="CH14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3" s="2" cm="1">
        <f t="array" ref="CI14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3" s="2" cm="1">
        <f t="array" ref="CJ14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3" s="2" cm="1">
        <f t="array" ref="CK14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3" s="26">
        <f t="shared" si="379"/>
        <v>0</v>
      </c>
      <c r="CY143" s="26">
        <f t="shared" si="380"/>
        <v>0</v>
      </c>
      <c r="CZ143" s="26">
        <f t="shared" si="381"/>
        <v>0</v>
      </c>
      <c r="DA143" s="26">
        <f t="shared" si="382"/>
        <v>0</v>
      </c>
      <c r="DB143" s="26">
        <f t="shared" si="383"/>
        <v>0</v>
      </c>
      <c r="DC143" s="26">
        <f t="shared" si="384"/>
        <v>0</v>
      </c>
      <c r="DD143" s="26">
        <f t="shared" si="385"/>
        <v>0</v>
      </c>
      <c r="DE143" s="26">
        <f t="shared" si="386"/>
        <v>0</v>
      </c>
      <c r="DF143" s="26">
        <f t="shared" si="387"/>
        <v>0</v>
      </c>
      <c r="DH143" s="26">
        <f t="shared" si="388"/>
        <v>0</v>
      </c>
      <c r="DI143" s="26">
        <f t="shared" si="389"/>
        <v>0</v>
      </c>
      <c r="DJ143" s="26">
        <f t="shared" si="390"/>
        <v>0</v>
      </c>
      <c r="DK143" s="26">
        <f t="shared" si="391"/>
        <v>0</v>
      </c>
      <c r="DL143" s="26">
        <f t="shared" si="392"/>
        <v>0</v>
      </c>
      <c r="DM143" s="26">
        <f t="shared" si="393"/>
        <v>0</v>
      </c>
      <c r="DN143" s="26">
        <f t="shared" si="394"/>
        <v>0</v>
      </c>
      <c r="DO143" s="26">
        <f t="shared" si="395"/>
        <v>0</v>
      </c>
      <c r="DP143" s="26">
        <f t="shared" si="396"/>
        <v>0</v>
      </c>
      <c r="DR143" s="26">
        <f t="shared" si="397"/>
        <v>0</v>
      </c>
      <c r="DS143" s="26">
        <f t="shared" si="398"/>
        <v>0</v>
      </c>
      <c r="DT143" s="26">
        <f t="shared" si="399"/>
        <v>0</v>
      </c>
      <c r="DU143" s="26">
        <f t="shared" si="400"/>
        <v>0</v>
      </c>
      <c r="DV143" s="26">
        <f t="shared" si="401"/>
        <v>0</v>
      </c>
      <c r="DW143" s="26">
        <f t="shared" si="402"/>
        <v>0</v>
      </c>
      <c r="DX143" s="26">
        <f t="shared" si="403"/>
        <v>0</v>
      </c>
      <c r="DY143" s="26">
        <f t="shared" si="404"/>
        <v>0</v>
      </c>
      <c r="DZ143" s="26">
        <f t="shared" si="405"/>
        <v>0</v>
      </c>
      <c r="EB143" s="26">
        <f t="shared" si="406"/>
        <v>0</v>
      </c>
      <c r="EC143" s="26">
        <f t="shared" si="407"/>
        <v>0</v>
      </c>
      <c r="ED143" s="26">
        <f t="shared" si="408"/>
        <v>0</v>
      </c>
      <c r="EE143" s="26">
        <f t="shared" si="409"/>
        <v>0</v>
      </c>
      <c r="EF143" s="26">
        <f t="shared" si="410"/>
        <v>0</v>
      </c>
      <c r="EG143" s="26">
        <f t="shared" si="411"/>
        <v>0</v>
      </c>
      <c r="EH143" s="26">
        <f t="shared" si="412"/>
        <v>0</v>
      </c>
      <c r="EI143" s="26">
        <f t="shared" si="413"/>
        <v>0</v>
      </c>
      <c r="EJ143" s="26">
        <f t="shared" si="414"/>
        <v>0</v>
      </c>
      <c r="EL143" s="26">
        <f t="shared" si="415"/>
        <v>0</v>
      </c>
      <c r="EM143" s="26">
        <f t="shared" si="416"/>
        <v>0</v>
      </c>
      <c r="EN143" s="26">
        <f t="shared" si="417"/>
        <v>0</v>
      </c>
      <c r="EO143" s="26">
        <f t="shared" si="418"/>
        <v>0</v>
      </c>
      <c r="EP143" s="26">
        <f t="shared" si="419"/>
        <v>0</v>
      </c>
      <c r="EQ143" s="26">
        <f t="shared" si="420"/>
        <v>0</v>
      </c>
      <c r="ER143" s="26">
        <f t="shared" si="421"/>
        <v>0</v>
      </c>
      <c r="ES143" s="26">
        <f t="shared" si="422"/>
        <v>0</v>
      </c>
      <c r="ET143" s="26">
        <f t="shared" si="423"/>
        <v>0</v>
      </c>
      <c r="EV143" s="26">
        <f t="shared" si="424"/>
        <v>0</v>
      </c>
      <c r="EW143" s="26">
        <f t="shared" si="425"/>
        <v>0</v>
      </c>
      <c r="EX143" s="26">
        <f t="shared" si="426"/>
        <v>0</v>
      </c>
      <c r="EY143" s="26">
        <f t="shared" si="427"/>
        <v>0</v>
      </c>
      <c r="EZ143" s="26">
        <f t="shared" si="428"/>
        <v>0</v>
      </c>
      <c r="FA143" s="26">
        <f t="shared" si="429"/>
        <v>0</v>
      </c>
      <c r="FB143" s="26">
        <f t="shared" si="430"/>
        <v>0</v>
      </c>
      <c r="FC143" s="26">
        <f t="shared" si="431"/>
        <v>0</v>
      </c>
      <c r="FD143" s="26">
        <f t="shared" si="432"/>
        <v>0</v>
      </c>
      <c r="FF143" s="26">
        <f t="shared" si="433"/>
        <v>0</v>
      </c>
      <c r="FG143" s="26">
        <f t="shared" si="434"/>
        <v>0</v>
      </c>
      <c r="FH143" s="26">
        <f t="shared" si="435"/>
        <v>0</v>
      </c>
      <c r="FI143" s="26">
        <f t="shared" si="436"/>
        <v>0</v>
      </c>
      <c r="FJ143" s="26">
        <f t="shared" si="437"/>
        <v>0</v>
      </c>
      <c r="FK143" s="26">
        <f t="shared" si="438"/>
        <v>0</v>
      </c>
      <c r="FL143" s="26">
        <f t="shared" si="439"/>
        <v>0</v>
      </c>
      <c r="FM143" s="26">
        <f t="shared" si="440"/>
        <v>0</v>
      </c>
      <c r="FN143" s="26">
        <f t="shared" si="441"/>
        <v>0</v>
      </c>
      <c r="FP143" s="26" t="e">
        <f t="shared" si="442"/>
        <v>#REF!</v>
      </c>
      <c r="FQ143" s="26" t="e">
        <f t="shared" si="443"/>
        <v>#REF!</v>
      </c>
      <c r="FR143" s="26" t="e">
        <f t="shared" si="444"/>
        <v>#REF!</v>
      </c>
      <c r="FS143" s="26" t="e">
        <f t="shared" si="445"/>
        <v>#REF!</v>
      </c>
      <c r="FT143" s="26" t="e">
        <f t="shared" si="446"/>
        <v>#REF!</v>
      </c>
      <c r="FU143" s="26" t="e">
        <f t="shared" si="447"/>
        <v>#REF!</v>
      </c>
      <c r="FV143" s="26" t="e">
        <f t="shared" si="448"/>
        <v>#REF!</v>
      </c>
      <c r="FW143" s="26" t="e">
        <f t="shared" si="449"/>
        <v>#REF!</v>
      </c>
      <c r="FX143" s="26" t="e">
        <f t="shared" si="450"/>
        <v>#REF!</v>
      </c>
      <c r="GB143" s="26" t="e">
        <f>IF(GB$2=InputTable[[#This Row],[Delivery Date]],_xlfn.XLOOKUP(GB$1,$BH$2:$BR$2,$BH143:$BR143,0),0)</f>
        <v>#REF!</v>
      </c>
      <c r="GC143" s="26">
        <f>IF(GC$2=InputTable[[#This Row],[Delivery Date]],_xlfn.XLOOKUP(GC$1,$BH$2:$BR$2,$BH143:$BR143,0),0)</f>
        <v>0</v>
      </c>
      <c r="GD143" s="26">
        <f>IF(GD$2=InputTable[[#This Row],[Delivery Date]],_xlfn.XLOOKUP(GD$1,$BH$2:$BR$2,$BH143:$BR143,0),0)</f>
        <v>0</v>
      </c>
      <c r="GE143" s="26">
        <f>IF(GE$2=InputTable[[#This Row],[Delivery Date]],_xlfn.XLOOKUP(GE$1,$BH$2:$BR$2,$BH143:$BR143,0),0)</f>
        <v>0</v>
      </c>
      <c r="GF143" s="26">
        <f>IF(GF$2=InputTable[[#This Row],[Delivery Date]],_xlfn.XLOOKUP(GF$1,$BH$2:$BR$2,$BH143:$BR143,0),0)</f>
        <v>0</v>
      </c>
      <c r="GG143" s="26">
        <f>IF(GG$2=InputTable[[#This Row],[Delivery Date]],_xlfn.XLOOKUP(GG$1,$BH$2:$BR$2,$BH143:$BR143,0),0)</f>
        <v>0</v>
      </c>
      <c r="GH143" s="26">
        <f>IF(GH$2=InputTable[[#This Row],[Delivery Date]],_xlfn.XLOOKUP(GH$1,$BH$2:$BR$2,$BH143:$BR143,0),0)</f>
        <v>0</v>
      </c>
      <c r="GI143" s="26">
        <f>IF(GI$2=InputTable[[#This Row],[Delivery Date]],_xlfn.XLOOKUP(GI$1,$BH$2:$BR$2,$BH143:$BR143,0),0)</f>
        <v>0</v>
      </c>
      <c r="GJ143" s="26">
        <f>IF(GJ$2=InputTable[[#This Row],[Delivery Date]],_xlfn.XLOOKUP(GJ$1,$BH$2:$BR$2,$BH143:$BR143,0),0)</f>
        <v>0</v>
      </c>
      <c r="GL143" s="26" t="e">
        <f>IF(GL$2=InputTable[[#This Row],[Delivery Date]],_xlfn.XLOOKUP(GL$1,$BH$2:$BR$2,$BH143:$BR143,0),0)</f>
        <v>#REF!</v>
      </c>
      <c r="GM143" s="26">
        <f>IF(GM$2=InputTable[[#This Row],[Delivery Date]],_xlfn.XLOOKUP(GM$1,$BH$2:$BR$2,$BH143:$BR143,0),0)</f>
        <v>0</v>
      </c>
      <c r="GN143" s="26">
        <f>IF(GN$2=InputTable[[#This Row],[Delivery Date]],_xlfn.XLOOKUP(GN$1,$BH$2:$BR$2,$BH143:$BR143,0),0)</f>
        <v>0</v>
      </c>
      <c r="GO143" s="26">
        <f>IF(GO$2=InputTable[[#This Row],[Delivery Date]],_xlfn.XLOOKUP(GO$1,$BH$2:$BR$2,$BH143:$BR143,0),0)</f>
        <v>0</v>
      </c>
      <c r="GP143" s="26">
        <f>IF(GP$2=InputTable[[#This Row],[Delivery Date]],_xlfn.XLOOKUP(GP$1,$BH$2:$BR$2,$BH143:$BR143,0),0)</f>
        <v>0</v>
      </c>
      <c r="GQ143" s="26">
        <f>IF(GQ$2=InputTable[[#This Row],[Delivery Date]],_xlfn.XLOOKUP(GQ$1,$BH$2:$BR$2,$BH143:$BR143,0),0)</f>
        <v>0</v>
      </c>
      <c r="GR143" s="26">
        <f>IF(GR$2=InputTable[[#This Row],[Delivery Date]],_xlfn.XLOOKUP(GR$1,$BH$2:$BR$2,$BH143:$BR143,0),0)</f>
        <v>0</v>
      </c>
      <c r="GS143" s="26">
        <f>IF(GS$2=InputTable[[#This Row],[Delivery Date]],_xlfn.XLOOKUP(GS$1,$BH$2:$BR$2,$BH143:$BR143,0),0)</f>
        <v>0</v>
      </c>
      <c r="GT143" s="26">
        <f>IF(GT$2=InputTable[[#This Row],[Delivery Date]],_xlfn.XLOOKUP(GT$1,$BH$2:$BR$2,$BH143:$BR143,0),0)</f>
        <v>0</v>
      </c>
      <c r="GV143" s="26" t="e">
        <f>IF(GV$2=InputTable[[#This Row],[Delivery Date]],_xlfn.XLOOKUP(GV$1,$BH$2:$BR$2,$BH143:$BR143,0),0)</f>
        <v>#REF!</v>
      </c>
      <c r="GW143" s="26">
        <f>IF(GW$2=InputTable[[#This Row],[Delivery Date]],_xlfn.XLOOKUP(GW$1,$BH$2:$BR$2,$BH143:$BR143,0),0)</f>
        <v>0</v>
      </c>
      <c r="GX143" s="26">
        <f>IF(GX$2=InputTable[[#This Row],[Delivery Date]],_xlfn.XLOOKUP(GX$1,$BH$2:$BR$2,$BH143:$BR143,0),0)</f>
        <v>0</v>
      </c>
      <c r="GY143" s="26">
        <f>IF(GY$2=InputTable[[#This Row],[Delivery Date]],_xlfn.XLOOKUP(GY$1,$BH$2:$BR$2,$BH143:$BR143,0),0)</f>
        <v>0</v>
      </c>
      <c r="GZ143" s="26">
        <f>IF(GZ$2=InputTable[[#This Row],[Delivery Date]],_xlfn.XLOOKUP(GZ$1,$BH$2:$BR$2,$BH143:$BR143,0),0)</f>
        <v>0</v>
      </c>
      <c r="HA143" s="26">
        <f>IF(HA$2=InputTable[[#This Row],[Delivery Date]],_xlfn.XLOOKUP(HA$1,$BH$2:$BR$2,$BH143:$BR143,0),0)</f>
        <v>0</v>
      </c>
      <c r="HB143" s="26">
        <f>IF(HB$2=InputTable[[#This Row],[Delivery Date]],_xlfn.XLOOKUP(HB$1,$BH$2:$BR$2,$BH143:$BR143,0),0)</f>
        <v>0</v>
      </c>
      <c r="HC143" s="26">
        <f>IF(HC$2=InputTable[[#This Row],[Delivery Date]],_xlfn.XLOOKUP(HC$1,$BH$2:$BR$2,$BH143:$BR143,0),0)</f>
        <v>0</v>
      </c>
      <c r="HD143" s="26">
        <f>IF(HD$2=InputTable[[#This Row],[Delivery Date]],_xlfn.XLOOKUP(HD$1,$BH$2:$BR$2,$BH143:$BR143,0),0)</f>
        <v>0</v>
      </c>
      <c r="HF143" s="26" t="e">
        <f>IF(HF$2=InputTable[[#This Row],[Delivery Date]],_xlfn.XLOOKUP(HF$1,$BH$2:$BR$2,$BH143:$BR143,0),0)</f>
        <v>#REF!</v>
      </c>
      <c r="HG143" s="26">
        <f>IF(HG$2=InputTable[[#This Row],[Delivery Date]],_xlfn.XLOOKUP(HG$1,$BH$2:$BR$2,$BH143:$BR143,0),0)</f>
        <v>0</v>
      </c>
      <c r="HH143" s="26">
        <f>IF(HH$2=InputTable[[#This Row],[Delivery Date]],_xlfn.XLOOKUP(HH$1,$BH$2:$BR$2,$BH143:$BR143,0),0)</f>
        <v>0</v>
      </c>
      <c r="HI143" s="26">
        <f>IF(HI$2=InputTable[[#This Row],[Delivery Date]],_xlfn.XLOOKUP(HI$1,$BH$2:$BR$2,$BH143:$BR143,0),0)</f>
        <v>0</v>
      </c>
      <c r="HJ143" s="26">
        <f>IF(HJ$2=InputTable[[#This Row],[Delivery Date]],_xlfn.XLOOKUP(HJ$1,$BH$2:$BR$2,$BH143:$BR143,0),0)</f>
        <v>0</v>
      </c>
      <c r="HK143" s="26">
        <f>IF(HK$2=InputTable[[#This Row],[Delivery Date]],_xlfn.XLOOKUP(HK$1,$BH$2:$BR$2,$BH143:$BR143,0),0)</f>
        <v>0</v>
      </c>
      <c r="HL143" s="26">
        <f>IF(HL$2=InputTable[[#This Row],[Delivery Date]],_xlfn.XLOOKUP(HL$1,$BH$2:$BR$2,$BH143:$BR143,0),0)</f>
        <v>0</v>
      </c>
      <c r="HM143" s="26">
        <f>IF(HM$2=InputTable[[#This Row],[Delivery Date]],_xlfn.XLOOKUP(HM$1,$BH$2:$BR$2,$BH143:$BR143,0),0)</f>
        <v>0</v>
      </c>
      <c r="HN143" s="26">
        <f>IF(HN$2=InputTable[[#This Row],[Delivery Date]],_xlfn.XLOOKUP(HN$1,$BH$2:$BR$2,$BH143:$BR143,0),0)</f>
        <v>0</v>
      </c>
      <c r="HP143" s="26" t="e">
        <f>IF(HP$2=InputTable[[#This Row],[Delivery Date]],_xlfn.XLOOKUP(HP$1,$BH$2:$BR$2,$BH143:$BR143,0),0)</f>
        <v>#REF!</v>
      </c>
      <c r="HQ143" s="26">
        <f>IF(HQ$2=InputTable[[#This Row],[Delivery Date]],_xlfn.XLOOKUP(HQ$1,$BH$2:$BR$2,$BH143:$BR143,0),0)</f>
        <v>0</v>
      </c>
      <c r="HR143" s="26">
        <f>IF(HR$2=InputTable[[#This Row],[Delivery Date]],_xlfn.XLOOKUP(HR$1,$BH$2:$BR$2,$BH143:$BR143,0),0)</f>
        <v>0</v>
      </c>
      <c r="HS143" s="26">
        <f>IF(HS$2=InputTable[[#This Row],[Delivery Date]],_xlfn.XLOOKUP(HS$1,$BH$2:$BR$2,$BH143:$BR143,0),0)</f>
        <v>0</v>
      </c>
      <c r="HT143" s="26">
        <f>IF(HT$2=InputTable[[#This Row],[Delivery Date]],_xlfn.XLOOKUP(HT$1,$BH$2:$BR$2,$BH143:$BR143,0),0)</f>
        <v>0</v>
      </c>
      <c r="HU143" s="26">
        <f>IF(HU$2=InputTable[[#This Row],[Delivery Date]],_xlfn.XLOOKUP(HU$1,$BH$2:$BR$2,$BH143:$BR143,0),0)</f>
        <v>0</v>
      </c>
      <c r="HV143" s="26">
        <f>IF(HV$2=InputTable[[#This Row],[Delivery Date]],_xlfn.XLOOKUP(HV$1,$BH$2:$BR$2,$BH143:$BR143,0),0)</f>
        <v>0</v>
      </c>
      <c r="HW143" s="26">
        <f>IF(HW$2=InputTable[[#This Row],[Delivery Date]],_xlfn.XLOOKUP(HW$1,$BH$2:$BR$2,$BH143:$BR143,0),0)</f>
        <v>0</v>
      </c>
      <c r="HX143" s="26">
        <f>IF(HX$2=InputTable[[#This Row],[Delivery Date]],_xlfn.XLOOKUP(HX$1,$BH$2:$BR$2,$BH143:$BR143,0),0)</f>
        <v>0</v>
      </c>
      <c r="HZ143" s="26" t="e">
        <f>IF(HZ$2=InputTable[[#This Row],[Delivery Date]],_xlfn.XLOOKUP(HZ$1,$BH$2:$BR$2,$BH143:$BR143,0),0)</f>
        <v>#REF!</v>
      </c>
      <c r="IA143" s="26">
        <f>IF(IA$2=InputTable[[#This Row],[Delivery Date]],_xlfn.XLOOKUP(IA$1,$BH$2:$BR$2,$BH143:$BR143,0),0)</f>
        <v>0</v>
      </c>
      <c r="IB143" s="26">
        <f>IF(IB$2=InputTable[[#This Row],[Delivery Date]],_xlfn.XLOOKUP(IB$1,$BH$2:$BR$2,$BH143:$BR143,0),0)</f>
        <v>0</v>
      </c>
      <c r="IC143" s="26">
        <f>IF(IC$2=InputTable[[#This Row],[Delivery Date]],_xlfn.XLOOKUP(IC$1,$BH$2:$BR$2,$BH143:$BR143,0),0)</f>
        <v>0</v>
      </c>
      <c r="ID143" s="26">
        <f>IF(ID$2=InputTable[[#This Row],[Delivery Date]],_xlfn.XLOOKUP(ID$1,$BH$2:$BR$2,$BH143:$BR143,0),0)</f>
        <v>0</v>
      </c>
      <c r="IE143" s="26">
        <f>IF(IE$2=InputTable[[#This Row],[Delivery Date]],_xlfn.XLOOKUP(IE$1,$BH$2:$BR$2,$BH143:$BR143,0),0)</f>
        <v>0</v>
      </c>
      <c r="IF143" s="26">
        <f>IF(IF$2=InputTable[[#This Row],[Delivery Date]],_xlfn.XLOOKUP(IF$1,$BH$2:$BR$2,$BH143:$BR143,0),0)</f>
        <v>0</v>
      </c>
      <c r="IG143" s="26">
        <f>IF(IG$2=InputTable[[#This Row],[Delivery Date]],_xlfn.XLOOKUP(IG$1,$BH$2:$BR$2,$BH143:$BR143,0),0)</f>
        <v>0</v>
      </c>
      <c r="IH143" s="26">
        <f>IF(IH$2=InputTable[[#This Row],[Delivery Date]],_xlfn.XLOOKUP(IH$1,$BH$2:$BR$2,$BH143:$BR143,0),0)</f>
        <v>0</v>
      </c>
      <c r="IJ143" s="26" t="e">
        <f>IF(IJ$2=InputTable[[#This Row],[Delivery Date]],_xlfn.XLOOKUP(IJ$1,$BH$2:$BR$2,$BH143:$BR143,0),0)</f>
        <v>#REF!</v>
      </c>
      <c r="IK143" s="26">
        <f>IF(IK$2=InputTable[[#This Row],[Delivery Date]],_xlfn.XLOOKUP(IK$1,$BH$2:$BR$2,$BH143:$BR143,0),0)</f>
        <v>0</v>
      </c>
      <c r="IL143" s="26">
        <f>IF(IL$2=InputTable[[#This Row],[Delivery Date]],_xlfn.XLOOKUP(IL$1,$BH$2:$BR$2,$BH143:$BR143,0),0)</f>
        <v>0</v>
      </c>
      <c r="IM143" s="26">
        <f>IF(IM$2=InputTable[[#This Row],[Delivery Date]],_xlfn.XLOOKUP(IM$1,$BH$2:$BR$2,$BH143:$BR143,0),0)</f>
        <v>0</v>
      </c>
      <c r="IN143" s="26">
        <f>IF(IN$2=InputTable[[#This Row],[Delivery Date]],_xlfn.XLOOKUP(IN$1,$BH$2:$BR$2,$BH143:$BR143,0),0)</f>
        <v>0</v>
      </c>
      <c r="IO143" s="26">
        <f>IF(IO$2=InputTable[[#This Row],[Delivery Date]],_xlfn.XLOOKUP(IO$1,$BH$2:$BR$2,$BH143:$BR143,0),0)</f>
        <v>0</v>
      </c>
      <c r="IP143" s="26">
        <f>IF(IP$2=InputTable[[#This Row],[Delivery Date]],_xlfn.XLOOKUP(IP$1,$BH$2:$BR$2,$BH143:$BR143,0),0)</f>
        <v>0</v>
      </c>
      <c r="IQ143" s="26">
        <f>IF(IQ$2=InputTable[[#This Row],[Delivery Date]],_xlfn.XLOOKUP(IQ$1,$BH$2:$BR$2,$BH143:$BR143,0),0)</f>
        <v>0</v>
      </c>
      <c r="IR143" s="26">
        <f>IF(IR$2=InputTable[[#This Row],[Delivery Date]],_xlfn.XLOOKUP(IR$1,$BH$2:$BR$2,$BH143:$BR143,0),0)</f>
        <v>0</v>
      </c>
      <c r="IT143" s="26" t="e">
        <f>IF(IT$2=InputTable[[#This Row],[Delivery Date]],_xlfn.XLOOKUP(IT$1,$BH$2:$BR$2,$BH143:$BR143,0),0)</f>
        <v>#REF!</v>
      </c>
      <c r="IU143" s="26">
        <f>IF(IU$2=InputTable[[#This Row],[Delivery Date]],_xlfn.XLOOKUP(IU$1,$BH$2:$BR$2,$BH143:$BR143,0),0)</f>
        <v>0</v>
      </c>
      <c r="IV143" s="26">
        <f>IF(IV$2=InputTable[[#This Row],[Delivery Date]],_xlfn.XLOOKUP(IV$1,$BH$2:$BR$2,$BH143:$BR143,0),0)</f>
        <v>0</v>
      </c>
      <c r="IW143" s="26">
        <f>IF(IW$2=InputTable[[#This Row],[Delivery Date]],_xlfn.XLOOKUP(IW$1,$BH$2:$BR$2,$BH143:$BR143,0),0)</f>
        <v>0</v>
      </c>
      <c r="IX143" s="26">
        <f>IF(IX$2=InputTable[[#This Row],[Delivery Date]],_xlfn.XLOOKUP(IX$1,$BH$2:$BR$2,$BH143:$BR143,0),0)</f>
        <v>0</v>
      </c>
      <c r="IY143" s="26">
        <f>IF(IY$2=InputTable[[#This Row],[Delivery Date]],_xlfn.XLOOKUP(IY$1,$BH$2:$BR$2,$BH143:$BR143,0),0)</f>
        <v>0</v>
      </c>
      <c r="IZ143" s="26">
        <f>IF(IZ$2=InputTable[[#This Row],[Delivery Date]],_xlfn.XLOOKUP(IZ$1,$BH$2:$BR$2,$BH143:$BR143,0),0)</f>
        <v>0</v>
      </c>
      <c r="JA143" s="26">
        <f>IF(JA$2=InputTable[[#This Row],[Delivery Date]],_xlfn.XLOOKUP(JA$1,$BH$2:$BR$2,$BH143:$BR143,0),0)</f>
        <v>0</v>
      </c>
      <c r="JB143" s="26">
        <f>IF(JB$2=InputTable[[#This Row],[Delivery Date]],_xlfn.XLOOKUP(JB$1,$BH$2:$BR$2,$BH143:$BR143,0),0)</f>
        <v>0</v>
      </c>
      <c r="JD143" s="26" t="e">
        <f>IF(JD$2=InputTable[[#This Row],[Delivery Date]],_xlfn.XLOOKUP(JD$1,$BH$2:$BR$2,$BH143:$BR143,0),0)</f>
        <v>#REF!</v>
      </c>
      <c r="JE143" s="26">
        <f>IF(JE$2=InputTable[[#This Row],[Delivery Date]],_xlfn.XLOOKUP(JE$1,$BH$2:$BR$2,$BH143:$BR143,0),0)</f>
        <v>0</v>
      </c>
      <c r="JF143" s="26">
        <f>IF(JF$2=InputTable[[#This Row],[Delivery Date]],_xlfn.XLOOKUP(JF$1,$BH$2:$BR$2,$BH143:$BR143,0),0)</f>
        <v>0</v>
      </c>
      <c r="JG143" s="26">
        <f>IF(JG$2=InputTable[[#This Row],[Delivery Date]],_xlfn.XLOOKUP(JG$1,$BH$2:$BR$2,$BH143:$BR143,0),0)</f>
        <v>0</v>
      </c>
      <c r="JH143" s="26">
        <f>IF(JH$2=InputTable[[#This Row],[Delivery Date]],_xlfn.XLOOKUP(JH$1,$BH$2:$BR$2,$BH143:$BR143,0),0)</f>
        <v>0</v>
      </c>
      <c r="JI143" s="26">
        <f>IF(JI$2=InputTable[[#This Row],[Delivery Date]],_xlfn.XLOOKUP(JI$1,$BH$2:$BR$2,$BH143:$BR143,0),0)</f>
        <v>0</v>
      </c>
      <c r="JJ143" s="26">
        <f>IF(JJ$2=InputTable[[#This Row],[Delivery Date]],_xlfn.XLOOKUP(JJ$1,$BH$2:$BR$2,$BH143:$BR143,0),0)</f>
        <v>0</v>
      </c>
      <c r="JK143" s="26">
        <f>IF(JK$2=InputTable[[#This Row],[Delivery Date]],_xlfn.XLOOKUP(JK$1,$BH$2:$BR$2,$BH143:$BR143,0),0)</f>
        <v>0</v>
      </c>
      <c r="JL143" s="26">
        <f>IF(JL$2=InputTable[[#This Row],[Delivery Date]],_xlfn.XLOOKUP(JL$1,$BH$2:$BR$2,$BH143:$BR143,0),0)</f>
        <v>0</v>
      </c>
      <c r="JN143" s="26" t="e">
        <f>IF(JN$2=InputTable[[#This Row],[Delivery Date]],_xlfn.XLOOKUP(JN$1,$BH$2:$BR$2,$BH143:$BR143,0),0)</f>
        <v>#REF!</v>
      </c>
      <c r="JO143" s="26">
        <f>IF(JO$2=InputTable[[#This Row],[Delivery Date]],_xlfn.XLOOKUP(JO$1,$BH$2:$BR$2,$BH143:$BR143,0),0)</f>
        <v>0</v>
      </c>
      <c r="JP143" s="26">
        <f>IF(JP$2=InputTable[[#This Row],[Delivery Date]],_xlfn.XLOOKUP(JP$1,$BH$2:$BR$2,$BH143:$BR143,0),0)</f>
        <v>0</v>
      </c>
      <c r="JQ143" s="26">
        <f>IF(JQ$2=InputTable[[#This Row],[Delivery Date]],_xlfn.XLOOKUP(JQ$1,$BH$2:$BR$2,$BH143:$BR143,0),0)</f>
        <v>0</v>
      </c>
      <c r="JR143" s="26">
        <f>IF(JR$2=InputTable[[#This Row],[Delivery Date]],_xlfn.XLOOKUP(JR$1,$BH$2:$BR$2,$BH143:$BR143,0),0)</f>
        <v>0</v>
      </c>
      <c r="JS143" s="26">
        <f>IF(JS$2=InputTable[[#This Row],[Delivery Date]],_xlfn.XLOOKUP(JS$1,$BH$2:$BR$2,$BH143:$BR143,0),0)</f>
        <v>0</v>
      </c>
      <c r="JT143" s="26">
        <f>IF(JT$2=InputTable[[#This Row],[Delivery Date]],_xlfn.XLOOKUP(JT$1,$BH$2:$BR$2,$BH143:$BR143,0),0)</f>
        <v>0</v>
      </c>
      <c r="JU143" s="26">
        <f>IF(JU$2=InputTable[[#This Row],[Delivery Date]],_xlfn.XLOOKUP(JU$1,$BH$2:$BR$2,$BH143:$BR143,0),0)</f>
        <v>0</v>
      </c>
      <c r="JV143" s="26">
        <f>IF(JV$2=InputTable[[#This Row],[Delivery Date]],_xlfn.XLOOKUP(JV$1,$BH$2:$BR$2,$BH143:$BR143,0),0)</f>
        <v>0</v>
      </c>
      <c r="JX143" s="26" t="e">
        <f>IF(JX$2=InputTable[[#This Row],[Delivery Date]],_xlfn.XLOOKUP(JX$1,$BH$2:$BR$2,$BH143:$BR143,0),0)</f>
        <v>#REF!</v>
      </c>
      <c r="JY143" s="26">
        <f>IF(JY$2=InputTable[[#This Row],[Delivery Date]],_xlfn.XLOOKUP(JY$1,$BH$2:$BR$2,$BH143:$BR143,0),0)</f>
        <v>0</v>
      </c>
      <c r="JZ143" s="26">
        <f>IF(JZ$2=InputTable[[#This Row],[Delivery Date]],_xlfn.XLOOKUP(JZ$1,$BH$2:$BR$2,$BH143:$BR143,0),0)</f>
        <v>0</v>
      </c>
      <c r="KA143" s="26">
        <f>IF(KA$2=InputTable[[#This Row],[Delivery Date]],_xlfn.XLOOKUP(KA$1,$BH$2:$BR$2,$BH143:$BR143,0),0)</f>
        <v>0</v>
      </c>
      <c r="KB143" s="26">
        <f>IF(KB$2=InputTable[[#This Row],[Delivery Date]],_xlfn.XLOOKUP(KB$1,$BH$2:$BR$2,$BH143:$BR143,0),0)</f>
        <v>0</v>
      </c>
      <c r="KC143" s="26">
        <f>IF(KC$2=InputTable[[#This Row],[Delivery Date]],_xlfn.XLOOKUP(KC$1,$BH$2:$BR$2,$BH143:$BR143,0),0)</f>
        <v>0</v>
      </c>
      <c r="KD143" s="26">
        <f>IF(KD$2=InputTable[[#This Row],[Delivery Date]],_xlfn.XLOOKUP(KD$1,$BH$2:$BR$2,$BH143:$BR143,0),0)</f>
        <v>0</v>
      </c>
      <c r="KE143" s="26">
        <f>IF(KE$2=InputTable[[#This Row],[Delivery Date]],_xlfn.XLOOKUP(KE$1,$BH$2:$BR$2,$BH143:$BR143,0),0)</f>
        <v>0</v>
      </c>
      <c r="KF143" s="26">
        <f>IF(KF$2=InputTable[[#This Row],[Delivery Date]],_xlfn.XLOOKUP(KF$1,$BH$2:$BR$2,$BH143:$BR143,0),0)</f>
        <v>0</v>
      </c>
    </row>
    <row r="144" spans="1:292" ht="34.799999999999997" x14ac:dyDescent="0.25">
      <c r="A144" s="141"/>
      <c r="B144" s="141"/>
      <c r="C144" s="92"/>
      <c r="D144" s="92"/>
      <c r="E144" s="97"/>
      <c r="F144" s="98"/>
      <c r="G144" s="102"/>
      <c r="H144" s="102"/>
      <c r="I144" s="98"/>
      <c r="J144" s="123"/>
      <c r="K144" s="95" t="e">
        <f>VLOOKUP((InputTable[[#This Row],[Starting Date]]&amp; " - " &amp;InputTable[[#This Row],[Delivery Date]]),'System List'!$F$40:$H$83,2,FALSE)</f>
        <v>#N/A</v>
      </c>
      <c r="L144" s="95" t="e">
        <f>VLOOKUP(InputTable[[#This Row],[Duration]],Duration,2,FALSE)</f>
        <v>#N/A</v>
      </c>
      <c r="M144" s="123"/>
      <c r="N144" s="98"/>
      <c r="O144" s="98"/>
      <c r="P144" s="98"/>
      <c r="Q144" s="98"/>
      <c r="R144" s="98"/>
      <c r="S144" s="92"/>
      <c r="T144" s="95"/>
      <c r="U144" s="138"/>
      <c r="V144" s="98"/>
      <c r="W144" s="98"/>
      <c r="X144" s="98"/>
      <c r="Y144" s="98"/>
      <c r="Z144" s="98"/>
      <c r="AA144" s="98"/>
      <c r="AB144" s="98"/>
      <c r="AC144" s="98"/>
      <c r="AD144" s="92">
        <f>COUNTA(InputTable[[#This Row],[CORPHRFIN]:[SALES]])</f>
        <v>0</v>
      </c>
      <c r="AE144" s="88" cm="1">
        <f t="array" ref="AE144">SUM(
_xlfn.XLOOKUP(InputTable[[#This Row],[CORPHRFIN]:[SALES]],'System List'!$F$4:$F$7,'System List'!$H$4:$H$7,0))</f>
        <v>0</v>
      </c>
      <c r="AF144" s="140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88" cm="1">
        <f t="array" ref="AR144">SUM(
_xlfn.XLOOKUP(InputTable[[#This Row],[Impact on - CIAL]:[Impact on - STRAT]],'System List'!$F$4:$F$7,'System List'!$H$4:$H$7,0))</f>
        <v>0</v>
      </c>
      <c r="AS144" s="88" t="e">
        <f>VLOOKUP(InputTable[[#This Row],[Duration]],Duration,2,FALSE)+InputTable[[#This Row],[Resource Score]]</f>
        <v>#N/A</v>
      </c>
      <c r="AT14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4" s="24" t="e">
        <f>InputTable[[#This Row],[Value Score]]/InputTable[[#This Row],[EFFORT SCORE]]*100</f>
        <v>#N/A</v>
      </c>
      <c r="AV144" s="25" t="s">
        <v>436</v>
      </c>
      <c r="AW144" s="25"/>
      <c r="AX144" s="208"/>
      <c r="AY144" s="25"/>
      <c r="AZ144" s="209">
        <v>0</v>
      </c>
      <c r="BA144" s="209">
        <v>0</v>
      </c>
      <c r="BB144" s="209"/>
      <c r="BC144" s="189"/>
      <c r="BD144" s="188"/>
      <c r="BE144" s="188"/>
      <c r="BF144" s="70"/>
      <c r="BH144" s="2">
        <f>IFERROR(VLOOKUP(InputTable[[#This Row],[Impact on - CIAL]],'System List'!$F$4:$H$7,3,FALSE),0)</f>
        <v>0</v>
      </c>
      <c r="BI144" s="2">
        <f>IFERROR(VLOOKUP(InputTable[[#This Row],[Impact on - COM]],'System List'!$F$4:$H$7,3,FALSE),0)</f>
        <v>0</v>
      </c>
      <c r="BJ144" s="2">
        <f>IFERROR(VLOOKUP(InputTable[[#This Row],[Impact on - FIN]],'System List'!$F$4:$H$7,3,FALSE),0)</f>
        <v>0</v>
      </c>
      <c r="BK144" s="2">
        <f>IFERROR(VLOOKUP(InputTable[[#This Row],[Impact on - GEN SEC]],'System List'!$F$4:$H$7,3,FALSE),0)</f>
        <v>0</v>
      </c>
      <c r="BL144" s="2">
        <f>IFERROR(VLOOKUP(InputTable[[#This Row],[Impact on - HR]],'System List'!$F$4:$H$7,3,FALSE),0)</f>
        <v>0</v>
      </c>
      <c r="BM144" s="2">
        <f>IFERROR(VLOOKUP(InputTable[[#This Row],[Impact on - IS]],'System List'!$F$4:$H$7,3,FALSE),0)</f>
        <v>0</v>
      </c>
      <c r="BN144" s="2">
        <f>IFERROR(VLOOKUP(InputTable[[#This Row],[Impact on - OPS]],'System List'!$F$4:$H$7,3,FALSE),0)</f>
        <v>0</v>
      </c>
      <c r="BO144" s="2">
        <f>IFERROR(VLOOKUP(InputTable[[#This Row],[Impact on - ROLL STOCK]],'System List'!$F$4:$H$7,3,FALSE),0)</f>
        <v>0</v>
      </c>
      <c r="BP144" s="2">
        <f>IFERROR(VLOOKUP(InputTable[[#This Row],[Impact on - SAFETY]],'System List'!$F$4:$H$7,3,FALSE),0)</f>
        <v>0</v>
      </c>
      <c r="BQ144" s="2">
        <f>IFERROR(VLOOKUP(InputTable[[#This Row],[Impact on - STATION]],'System List'!$F$4:$H$7,3,FALSE),0)</f>
        <v>0</v>
      </c>
      <c r="BR144" s="2">
        <f>IFERROR(VLOOKUP(InputTable[[#This Row],[Impact on - STRAT]],'System List'!$F$4:$H$7,3,FALSE),0)</f>
        <v>0</v>
      </c>
      <c r="BT144" s="2">
        <f>IFERROR(VLOOKUP(InputTable[[#This Row],[CORPHRFIN]],'System List'!$F$4:$H$7,3,FALSE),0)</f>
        <v>0</v>
      </c>
      <c r="BU144" s="2">
        <f>IFERROR(VLOOKUP(InputTable[[#This Row],[CUST]],'System List'!$F$4:$H$7,3,FALSE),0)</f>
        <v>0</v>
      </c>
      <c r="BV144" s="2">
        <f>IFERROR(VLOOKUP(InputTable[[#This Row],[CYBER]],'System List'!$F$4:$H$7,3,FALSE),0)</f>
        <v>0</v>
      </c>
      <c r="BW144" s="2">
        <f>IFERROR(VLOOKUP(InputTable[[#This Row],[DATA]],'System List'!$F$4:$H$7,3,FALSE),0)</f>
        <v>0</v>
      </c>
      <c r="BX144" s="2">
        <f>IFERROR(VLOOKUP(InputTable[[#This Row],[INFRA]],'System List'!$F$4:$H$7,3,FALSE),0)</f>
        <v>0</v>
      </c>
      <c r="BY144" s="2">
        <f>IFERROR(VLOOKUP(InputTable[[#This Row],[OPERATIONS]],'System List'!$F$4:$H$7,3,FALSE),0)</f>
        <v>0</v>
      </c>
      <c r="BZ144" s="2">
        <f>IFERROR(VLOOKUP(InputTable[[#This Row],[PMO]],'System List'!$F$4:$H$7,3,FALSE),0)</f>
        <v>0</v>
      </c>
      <c r="CA144" s="2">
        <f>IFERROR(VLOOKUP(InputTable[[#This Row],[SALES]],'System List'!$F$4:$H$7,3,FALSE),0)</f>
        <v>0</v>
      </c>
      <c r="CC144" s="2" cm="1">
        <f t="array" ref="CC14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4" s="2" cm="1">
        <f t="array" ref="CD14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4" s="2" cm="1">
        <f t="array" ref="CE14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4" s="2" cm="1">
        <f t="array" ref="CF14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4" s="2" cm="1">
        <f t="array" ref="CG14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4" s="2" cm="1">
        <f t="array" ref="CH14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4" s="2" cm="1">
        <f t="array" ref="CI14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4" s="2" cm="1">
        <f t="array" ref="CJ14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4" s="2" cm="1">
        <f t="array" ref="CK14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4" s="26">
        <f t="shared" si="379"/>
        <v>0</v>
      </c>
      <c r="CY144" s="26">
        <f t="shared" si="380"/>
        <v>0</v>
      </c>
      <c r="CZ144" s="26">
        <f t="shared" si="381"/>
        <v>0</v>
      </c>
      <c r="DA144" s="26">
        <f t="shared" si="382"/>
        <v>0</v>
      </c>
      <c r="DB144" s="26">
        <f t="shared" si="383"/>
        <v>0</v>
      </c>
      <c r="DC144" s="26">
        <f t="shared" si="384"/>
        <v>0</v>
      </c>
      <c r="DD144" s="26">
        <f t="shared" si="385"/>
        <v>0</v>
      </c>
      <c r="DE144" s="26">
        <f t="shared" si="386"/>
        <v>0</v>
      </c>
      <c r="DF144" s="26">
        <f t="shared" si="387"/>
        <v>0</v>
      </c>
      <c r="DH144" s="26">
        <f t="shared" si="388"/>
        <v>0</v>
      </c>
      <c r="DI144" s="26">
        <f t="shared" si="389"/>
        <v>0</v>
      </c>
      <c r="DJ144" s="26">
        <f t="shared" si="390"/>
        <v>0</v>
      </c>
      <c r="DK144" s="26">
        <f t="shared" si="391"/>
        <v>0</v>
      </c>
      <c r="DL144" s="26">
        <f t="shared" si="392"/>
        <v>0</v>
      </c>
      <c r="DM144" s="26">
        <f t="shared" si="393"/>
        <v>0</v>
      </c>
      <c r="DN144" s="26">
        <f t="shared" si="394"/>
        <v>0</v>
      </c>
      <c r="DO144" s="26">
        <f t="shared" si="395"/>
        <v>0</v>
      </c>
      <c r="DP144" s="26">
        <f t="shared" si="396"/>
        <v>0</v>
      </c>
      <c r="DR144" s="26">
        <f t="shared" si="397"/>
        <v>0</v>
      </c>
      <c r="DS144" s="26">
        <f t="shared" si="398"/>
        <v>0</v>
      </c>
      <c r="DT144" s="26">
        <f t="shared" si="399"/>
        <v>0</v>
      </c>
      <c r="DU144" s="26">
        <f t="shared" si="400"/>
        <v>0</v>
      </c>
      <c r="DV144" s="26">
        <f t="shared" si="401"/>
        <v>0</v>
      </c>
      <c r="DW144" s="26">
        <f t="shared" si="402"/>
        <v>0</v>
      </c>
      <c r="DX144" s="26">
        <f t="shared" si="403"/>
        <v>0</v>
      </c>
      <c r="DY144" s="26">
        <f t="shared" si="404"/>
        <v>0</v>
      </c>
      <c r="DZ144" s="26">
        <f t="shared" si="405"/>
        <v>0</v>
      </c>
      <c r="EB144" s="26">
        <f t="shared" si="406"/>
        <v>0</v>
      </c>
      <c r="EC144" s="26">
        <f t="shared" si="407"/>
        <v>0</v>
      </c>
      <c r="ED144" s="26">
        <f t="shared" si="408"/>
        <v>0</v>
      </c>
      <c r="EE144" s="26">
        <f t="shared" si="409"/>
        <v>0</v>
      </c>
      <c r="EF144" s="26">
        <f t="shared" si="410"/>
        <v>0</v>
      </c>
      <c r="EG144" s="26">
        <f t="shared" si="411"/>
        <v>0</v>
      </c>
      <c r="EH144" s="26">
        <f t="shared" si="412"/>
        <v>0</v>
      </c>
      <c r="EI144" s="26">
        <f t="shared" si="413"/>
        <v>0</v>
      </c>
      <c r="EJ144" s="26">
        <f t="shared" si="414"/>
        <v>0</v>
      </c>
      <c r="EL144" s="26">
        <f t="shared" si="415"/>
        <v>0</v>
      </c>
      <c r="EM144" s="26">
        <f t="shared" si="416"/>
        <v>0</v>
      </c>
      <c r="EN144" s="26">
        <f t="shared" si="417"/>
        <v>0</v>
      </c>
      <c r="EO144" s="26">
        <f t="shared" si="418"/>
        <v>0</v>
      </c>
      <c r="EP144" s="26">
        <f t="shared" si="419"/>
        <v>0</v>
      </c>
      <c r="EQ144" s="26">
        <f t="shared" si="420"/>
        <v>0</v>
      </c>
      <c r="ER144" s="26">
        <f t="shared" si="421"/>
        <v>0</v>
      </c>
      <c r="ES144" s="26">
        <f t="shared" si="422"/>
        <v>0</v>
      </c>
      <c r="ET144" s="26">
        <f t="shared" si="423"/>
        <v>0</v>
      </c>
      <c r="EV144" s="26">
        <f t="shared" si="424"/>
        <v>0</v>
      </c>
      <c r="EW144" s="26">
        <f t="shared" si="425"/>
        <v>0</v>
      </c>
      <c r="EX144" s="26">
        <f t="shared" si="426"/>
        <v>0</v>
      </c>
      <c r="EY144" s="26">
        <f t="shared" si="427"/>
        <v>0</v>
      </c>
      <c r="EZ144" s="26">
        <f t="shared" si="428"/>
        <v>0</v>
      </c>
      <c r="FA144" s="26">
        <f t="shared" si="429"/>
        <v>0</v>
      </c>
      <c r="FB144" s="26">
        <f t="shared" si="430"/>
        <v>0</v>
      </c>
      <c r="FC144" s="26">
        <f t="shared" si="431"/>
        <v>0</v>
      </c>
      <c r="FD144" s="26">
        <f t="shared" si="432"/>
        <v>0</v>
      </c>
      <c r="FF144" s="26">
        <f t="shared" si="433"/>
        <v>0</v>
      </c>
      <c r="FG144" s="26">
        <f t="shared" si="434"/>
        <v>0</v>
      </c>
      <c r="FH144" s="26">
        <f t="shared" si="435"/>
        <v>0</v>
      </c>
      <c r="FI144" s="26">
        <f t="shared" si="436"/>
        <v>0</v>
      </c>
      <c r="FJ144" s="26">
        <f t="shared" si="437"/>
        <v>0</v>
      </c>
      <c r="FK144" s="26">
        <f t="shared" si="438"/>
        <v>0</v>
      </c>
      <c r="FL144" s="26">
        <f t="shared" si="439"/>
        <v>0</v>
      </c>
      <c r="FM144" s="26">
        <f t="shared" si="440"/>
        <v>0</v>
      </c>
      <c r="FN144" s="26">
        <f t="shared" si="441"/>
        <v>0</v>
      </c>
      <c r="FP144" s="26" t="e">
        <f t="shared" si="442"/>
        <v>#REF!</v>
      </c>
      <c r="FQ144" s="26" t="e">
        <f t="shared" si="443"/>
        <v>#REF!</v>
      </c>
      <c r="FR144" s="26" t="e">
        <f t="shared" si="444"/>
        <v>#REF!</v>
      </c>
      <c r="FS144" s="26" t="e">
        <f t="shared" si="445"/>
        <v>#REF!</v>
      </c>
      <c r="FT144" s="26" t="e">
        <f t="shared" si="446"/>
        <v>#REF!</v>
      </c>
      <c r="FU144" s="26" t="e">
        <f t="shared" si="447"/>
        <v>#REF!</v>
      </c>
      <c r="FV144" s="26" t="e">
        <f t="shared" si="448"/>
        <v>#REF!</v>
      </c>
      <c r="FW144" s="26" t="e">
        <f t="shared" si="449"/>
        <v>#REF!</v>
      </c>
      <c r="FX144" s="26" t="e">
        <f t="shared" si="450"/>
        <v>#REF!</v>
      </c>
      <c r="GB144" s="26" t="e">
        <f>IF(GB$2=InputTable[[#This Row],[Delivery Date]],_xlfn.XLOOKUP(GB$1,$BH$2:$BR$2,$BH144:$BR144,0),0)</f>
        <v>#REF!</v>
      </c>
      <c r="GC144" s="26">
        <f>IF(GC$2=InputTable[[#This Row],[Delivery Date]],_xlfn.XLOOKUP(GC$1,$BH$2:$BR$2,$BH144:$BR144,0),0)</f>
        <v>0</v>
      </c>
      <c r="GD144" s="26">
        <f>IF(GD$2=InputTable[[#This Row],[Delivery Date]],_xlfn.XLOOKUP(GD$1,$BH$2:$BR$2,$BH144:$BR144,0),0)</f>
        <v>0</v>
      </c>
      <c r="GE144" s="26">
        <f>IF(GE$2=InputTable[[#This Row],[Delivery Date]],_xlfn.XLOOKUP(GE$1,$BH$2:$BR$2,$BH144:$BR144,0),0)</f>
        <v>0</v>
      </c>
      <c r="GF144" s="26">
        <f>IF(GF$2=InputTable[[#This Row],[Delivery Date]],_xlfn.XLOOKUP(GF$1,$BH$2:$BR$2,$BH144:$BR144,0),0)</f>
        <v>0</v>
      </c>
      <c r="GG144" s="26">
        <f>IF(GG$2=InputTable[[#This Row],[Delivery Date]],_xlfn.XLOOKUP(GG$1,$BH$2:$BR$2,$BH144:$BR144,0),0)</f>
        <v>0</v>
      </c>
      <c r="GH144" s="26">
        <f>IF(GH$2=InputTable[[#This Row],[Delivery Date]],_xlfn.XLOOKUP(GH$1,$BH$2:$BR$2,$BH144:$BR144,0),0)</f>
        <v>0</v>
      </c>
      <c r="GI144" s="26">
        <f>IF(GI$2=InputTable[[#This Row],[Delivery Date]],_xlfn.XLOOKUP(GI$1,$BH$2:$BR$2,$BH144:$BR144,0),0)</f>
        <v>0</v>
      </c>
      <c r="GJ144" s="26">
        <f>IF(GJ$2=InputTable[[#This Row],[Delivery Date]],_xlfn.XLOOKUP(GJ$1,$BH$2:$BR$2,$BH144:$BR144,0),0)</f>
        <v>0</v>
      </c>
      <c r="GL144" s="26" t="e">
        <f>IF(GL$2=InputTable[[#This Row],[Delivery Date]],_xlfn.XLOOKUP(GL$1,$BH$2:$BR$2,$BH144:$BR144,0),0)</f>
        <v>#REF!</v>
      </c>
      <c r="GM144" s="26">
        <f>IF(GM$2=InputTable[[#This Row],[Delivery Date]],_xlfn.XLOOKUP(GM$1,$BH$2:$BR$2,$BH144:$BR144,0),0)</f>
        <v>0</v>
      </c>
      <c r="GN144" s="26">
        <f>IF(GN$2=InputTable[[#This Row],[Delivery Date]],_xlfn.XLOOKUP(GN$1,$BH$2:$BR$2,$BH144:$BR144,0),0)</f>
        <v>0</v>
      </c>
      <c r="GO144" s="26">
        <f>IF(GO$2=InputTable[[#This Row],[Delivery Date]],_xlfn.XLOOKUP(GO$1,$BH$2:$BR$2,$BH144:$BR144,0),0)</f>
        <v>0</v>
      </c>
      <c r="GP144" s="26">
        <f>IF(GP$2=InputTable[[#This Row],[Delivery Date]],_xlfn.XLOOKUP(GP$1,$BH$2:$BR$2,$BH144:$BR144,0),0)</f>
        <v>0</v>
      </c>
      <c r="GQ144" s="26">
        <f>IF(GQ$2=InputTable[[#This Row],[Delivery Date]],_xlfn.XLOOKUP(GQ$1,$BH$2:$BR$2,$BH144:$BR144,0),0)</f>
        <v>0</v>
      </c>
      <c r="GR144" s="26">
        <f>IF(GR$2=InputTable[[#This Row],[Delivery Date]],_xlfn.XLOOKUP(GR$1,$BH$2:$BR$2,$BH144:$BR144,0),0)</f>
        <v>0</v>
      </c>
      <c r="GS144" s="26">
        <f>IF(GS$2=InputTable[[#This Row],[Delivery Date]],_xlfn.XLOOKUP(GS$1,$BH$2:$BR$2,$BH144:$BR144,0),0)</f>
        <v>0</v>
      </c>
      <c r="GT144" s="26">
        <f>IF(GT$2=InputTable[[#This Row],[Delivery Date]],_xlfn.XLOOKUP(GT$1,$BH$2:$BR$2,$BH144:$BR144,0),0)</f>
        <v>0</v>
      </c>
      <c r="GV144" s="26" t="e">
        <f>IF(GV$2=InputTable[[#This Row],[Delivery Date]],_xlfn.XLOOKUP(GV$1,$BH$2:$BR$2,$BH144:$BR144,0),0)</f>
        <v>#REF!</v>
      </c>
      <c r="GW144" s="26">
        <f>IF(GW$2=InputTable[[#This Row],[Delivery Date]],_xlfn.XLOOKUP(GW$1,$BH$2:$BR$2,$BH144:$BR144,0),0)</f>
        <v>0</v>
      </c>
      <c r="GX144" s="26">
        <f>IF(GX$2=InputTable[[#This Row],[Delivery Date]],_xlfn.XLOOKUP(GX$1,$BH$2:$BR$2,$BH144:$BR144,0),0)</f>
        <v>0</v>
      </c>
      <c r="GY144" s="26">
        <f>IF(GY$2=InputTable[[#This Row],[Delivery Date]],_xlfn.XLOOKUP(GY$1,$BH$2:$BR$2,$BH144:$BR144,0),0)</f>
        <v>0</v>
      </c>
      <c r="GZ144" s="26">
        <f>IF(GZ$2=InputTable[[#This Row],[Delivery Date]],_xlfn.XLOOKUP(GZ$1,$BH$2:$BR$2,$BH144:$BR144,0),0)</f>
        <v>0</v>
      </c>
      <c r="HA144" s="26">
        <f>IF(HA$2=InputTable[[#This Row],[Delivery Date]],_xlfn.XLOOKUP(HA$1,$BH$2:$BR$2,$BH144:$BR144,0),0)</f>
        <v>0</v>
      </c>
      <c r="HB144" s="26">
        <f>IF(HB$2=InputTable[[#This Row],[Delivery Date]],_xlfn.XLOOKUP(HB$1,$BH$2:$BR$2,$BH144:$BR144,0),0)</f>
        <v>0</v>
      </c>
      <c r="HC144" s="26">
        <f>IF(HC$2=InputTable[[#This Row],[Delivery Date]],_xlfn.XLOOKUP(HC$1,$BH$2:$BR$2,$BH144:$BR144,0),0)</f>
        <v>0</v>
      </c>
      <c r="HD144" s="26">
        <f>IF(HD$2=InputTable[[#This Row],[Delivery Date]],_xlfn.XLOOKUP(HD$1,$BH$2:$BR$2,$BH144:$BR144,0),0)</f>
        <v>0</v>
      </c>
      <c r="HF144" s="26" t="e">
        <f>IF(HF$2=InputTable[[#This Row],[Delivery Date]],_xlfn.XLOOKUP(HF$1,$BH$2:$BR$2,$BH144:$BR144,0),0)</f>
        <v>#REF!</v>
      </c>
      <c r="HG144" s="26">
        <f>IF(HG$2=InputTable[[#This Row],[Delivery Date]],_xlfn.XLOOKUP(HG$1,$BH$2:$BR$2,$BH144:$BR144,0),0)</f>
        <v>0</v>
      </c>
      <c r="HH144" s="26">
        <f>IF(HH$2=InputTable[[#This Row],[Delivery Date]],_xlfn.XLOOKUP(HH$1,$BH$2:$BR$2,$BH144:$BR144,0),0)</f>
        <v>0</v>
      </c>
      <c r="HI144" s="26">
        <f>IF(HI$2=InputTable[[#This Row],[Delivery Date]],_xlfn.XLOOKUP(HI$1,$BH$2:$BR$2,$BH144:$BR144,0),0)</f>
        <v>0</v>
      </c>
      <c r="HJ144" s="26">
        <f>IF(HJ$2=InputTable[[#This Row],[Delivery Date]],_xlfn.XLOOKUP(HJ$1,$BH$2:$BR$2,$BH144:$BR144,0),0)</f>
        <v>0</v>
      </c>
      <c r="HK144" s="26">
        <f>IF(HK$2=InputTable[[#This Row],[Delivery Date]],_xlfn.XLOOKUP(HK$1,$BH$2:$BR$2,$BH144:$BR144,0),0)</f>
        <v>0</v>
      </c>
      <c r="HL144" s="26">
        <f>IF(HL$2=InputTable[[#This Row],[Delivery Date]],_xlfn.XLOOKUP(HL$1,$BH$2:$BR$2,$BH144:$BR144,0),0)</f>
        <v>0</v>
      </c>
      <c r="HM144" s="26">
        <f>IF(HM$2=InputTable[[#This Row],[Delivery Date]],_xlfn.XLOOKUP(HM$1,$BH$2:$BR$2,$BH144:$BR144,0),0)</f>
        <v>0</v>
      </c>
      <c r="HN144" s="26">
        <f>IF(HN$2=InputTable[[#This Row],[Delivery Date]],_xlfn.XLOOKUP(HN$1,$BH$2:$BR$2,$BH144:$BR144,0),0)</f>
        <v>0</v>
      </c>
      <c r="HP144" s="26" t="e">
        <f>IF(HP$2=InputTable[[#This Row],[Delivery Date]],_xlfn.XLOOKUP(HP$1,$BH$2:$BR$2,$BH144:$BR144,0),0)</f>
        <v>#REF!</v>
      </c>
      <c r="HQ144" s="26">
        <f>IF(HQ$2=InputTable[[#This Row],[Delivery Date]],_xlfn.XLOOKUP(HQ$1,$BH$2:$BR$2,$BH144:$BR144,0),0)</f>
        <v>0</v>
      </c>
      <c r="HR144" s="26">
        <f>IF(HR$2=InputTable[[#This Row],[Delivery Date]],_xlfn.XLOOKUP(HR$1,$BH$2:$BR$2,$BH144:$BR144,0),0)</f>
        <v>0</v>
      </c>
      <c r="HS144" s="26">
        <f>IF(HS$2=InputTable[[#This Row],[Delivery Date]],_xlfn.XLOOKUP(HS$1,$BH$2:$BR$2,$BH144:$BR144,0),0)</f>
        <v>0</v>
      </c>
      <c r="HT144" s="26">
        <f>IF(HT$2=InputTable[[#This Row],[Delivery Date]],_xlfn.XLOOKUP(HT$1,$BH$2:$BR$2,$BH144:$BR144,0),0)</f>
        <v>0</v>
      </c>
      <c r="HU144" s="26">
        <f>IF(HU$2=InputTable[[#This Row],[Delivery Date]],_xlfn.XLOOKUP(HU$1,$BH$2:$BR$2,$BH144:$BR144,0),0)</f>
        <v>0</v>
      </c>
      <c r="HV144" s="26">
        <f>IF(HV$2=InputTable[[#This Row],[Delivery Date]],_xlfn.XLOOKUP(HV$1,$BH$2:$BR$2,$BH144:$BR144,0),0)</f>
        <v>0</v>
      </c>
      <c r="HW144" s="26">
        <f>IF(HW$2=InputTable[[#This Row],[Delivery Date]],_xlfn.XLOOKUP(HW$1,$BH$2:$BR$2,$BH144:$BR144,0),0)</f>
        <v>0</v>
      </c>
      <c r="HX144" s="26">
        <f>IF(HX$2=InputTable[[#This Row],[Delivery Date]],_xlfn.XLOOKUP(HX$1,$BH$2:$BR$2,$BH144:$BR144,0),0)</f>
        <v>0</v>
      </c>
      <c r="HZ144" s="26" t="e">
        <f>IF(HZ$2=InputTable[[#This Row],[Delivery Date]],_xlfn.XLOOKUP(HZ$1,$BH$2:$BR$2,$BH144:$BR144,0),0)</f>
        <v>#REF!</v>
      </c>
      <c r="IA144" s="26">
        <f>IF(IA$2=InputTable[[#This Row],[Delivery Date]],_xlfn.XLOOKUP(IA$1,$BH$2:$BR$2,$BH144:$BR144,0),0)</f>
        <v>0</v>
      </c>
      <c r="IB144" s="26">
        <f>IF(IB$2=InputTable[[#This Row],[Delivery Date]],_xlfn.XLOOKUP(IB$1,$BH$2:$BR$2,$BH144:$BR144,0),0)</f>
        <v>0</v>
      </c>
      <c r="IC144" s="26">
        <f>IF(IC$2=InputTable[[#This Row],[Delivery Date]],_xlfn.XLOOKUP(IC$1,$BH$2:$BR$2,$BH144:$BR144,0),0)</f>
        <v>0</v>
      </c>
      <c r="ID144" s="26">
        <f>IF(ID$2=InputTable[[#This Row],[Delivery Date]],_xlfn.XLOOKUP(ID$1,$BH$2:$BR$2,$BH144:$BR144,0),0)</f>
        <v>0</v>
      </c>
      <c r="IE144" s="26">
        <f>IF(IE$2=InputTable[[#This Row],[Delivery Date]],_xlfn.XLOOKUP(IE$1,$BH$2:$BR$2,$BH144:$BR144,0),0)</f>
        <v>0</v>
      </c>
      <c r="IF144" s="26">
        <f>IF(IF$2=InputTable[[#This Row],[Delivery Date]],_xlfn.XLOOKUP(IF$1,$BH$2:$BR$2,$BH144:$BR144,0),0)</f>
        <v>0</v>
      </c>
      <c r="IG144" s="26">
        <f>IF(IG$2=InputTable[[#This Row],[Delivery Date]],_xlfn.XLOOKUP(IG$1,$BH$2:$BR$2,$BH144:$BR144,0),0)</f>
        <v>0</v>
      </c>
      <c r="IH144" s="26">
        <f>IF(IH$2=InputTable[[#This Row],[Delivery Date]],_xlfn.XLOOKUP(IH$1,$BH$2:$BR$2,$BH144:$BR144,0),0)</f>
        <v>0</v>
      </c>
      <c r="IJ144" s="26" t="e">
        <f>IF(IJ$2=InputTable[[#This Row],[Delivery Date]],_xlfn.XLOOKUP(IJ$1,$BH$2:$BR$2,$BH144:$BR144,0),0)</f>
        <v>#REF!</v>
      </c>
      <c r="IK144" s="26">
        <f>IF(IK$2=InputTable[[#This Row],[Delivery Date]],_xlfn.XLOOKUP(IK$1,$BH$2:$BR$2,$BH144:$BR144,0),0)</f>
        <v>0</v>
      </c>
      <c r="IL144" s="26">
        <f>IF(IL$2=InputTable[[#This Row],[Delivery Date]],_xlfn.XLOOKUP(IL$1,$BH$2:$BR$2,$BH144:$BR144,0),0)</f>
        <v>0</v>
      </c>
      <c r="IM144" s="26">
        <f>IF(IM$2=InputTable[[#This Row],[Delivery Date]],_xlfn.XLOOKUP(IM$1,$BH$2:$BR$2,$BH144:$BR144,0),0)</f>
        <v>0</v>
      </c>
      <c r="IN144" s="26">
        <f>IF(IN$2=InputTable[[#This Row],[Delivery Date]],_xlfn.XLOOKUP(IN$1,$BH$2:$BR$2,$BH144:$BR144,0),0)</f>
        <v>0</v>
      </c>
      <c r="IO144" s="26">
        <f>IF(IO$2=InputTable[[#This Row],[Delivery Date]],_xlfn.XLOOKUP(IO$1,$BH$2:$BR$2,$BH144:$BR144,0),0)</f>
        <v>0</v>
      </c>
      <c r="IP144" s="26">
        <f>IF(IP$2=InputTable[[#This Row],[Delivery Date]],_xlfn.XLOOKUP(IP$1,$BH$2:$BR$2,$BH144:$BR144,0),0)</f>
        <v>0</v>
      </c>
      <c r="IQ144" s="26">
        <f>IF(IQ$2=InputTable[[#This Row],[Delivery Date]],_xlfn.XLOOKUP(IQ$1,$BH$2:$BR$2,$BH144:$BR144,0),0)</f>
        <v>0</v>
      </c>
      <c r="IR144" s="26">
        <f>IF(IR$2=InputTable[[#This Row],[Delivery Date]],_xlfn.XLOOKUP(IR$1,$BH$2:$BR$2,$BH144:$BR144,0),0)</f>
        <v>0</v>
      </c>
      <c r="IT144" s="26" t="e">
        <f>IF(IT$2=InputTable[[#This Row],[Delivery Date]],_xlfn.XLOOKUP(IT$1,$BH$2:$BR$2,$BH144:$BR144,0),0)</f>
        <v>#REF!</v>
      </c>
      <c r="IU144" s="26">
        <f>IF(IU$2=InputTable[[#This Row],[Delivery Date]],_xlfn.XLOOKUP(IU$1,$BH$2:$BR$2,$BH144:$BR144,0),0)</f>
        <v>0</v>
      </c>
      <c r="IV144" s="26">
        <f>IF(IV$2=InputTable[[#This Row],[Delivery Date]],_xlfn.XLOOKUP(IV$1,$BH$2:$BR$2,$BH144:$BR144,0),0)</f>
        <v>0</v>
      </c>
      <c r="IW144" s="26">
        <f>IF(IW$2=InputTable[[#This Row],[Delivery Date]],_xlfn.XLOOKUP(IW$1,$BH$2:$BR$2,$BH144:$BR144,0),0)</f>
        <v>0</v>
      </c>
      <c r="IX144" s="26">
        <f>IF(IX$2=InputTable[[#This Row],[Delivery Date]],_xlfn.XLOOKUP(IX$1,$BH$2:$BR$2,$BH144:$BR144,0),0)</f>
        <v>0</v>
      </c>
      <c r="IY144" s="26">
        <f>IF(IY$2=InputTable[[#This Row],[Delivery Date]],_xlfn.XLOOKUP(IY$1,$BH$2:$BR$2,$BH144:$BR144,0),0)</f>
        <v>0</v>
      </c>
      <c r="IZ144" s="26">
        <f>IF(IZ$2=InputTable[[#This Row],[Delivery Date]],_xlfn.XLOOKUP(IZ$1,$BH$2:$BR$2,$BH144:$BR144,0),0)</f>
        <v>0</v>
      </c>
      <c r="JA144" s="26">
        <f>IF(JA$2=InputTable[[#This Row],[Delivery Date]],_xlfn.XLOOKUP(JA$1,$BH$2:$BR$2,$BH144:$BR144,0),0)</f>
        <v>0</v>
      </c>
      <c r="JB144" s="26">
        <f>IF(JB$2=InputTable[[#This Row],[Delivery Date]],_xlfn.XLOOKUP(JB$1,$BH$2:$BR$2,$BH144:$BR144,0),0)</f>
        <v>0</v>
      </c>
      <c r="JD144" s="26" t="e">
        <f>IF(JD$2=InputTable[[#This Row],[Delivery Date]],_xlfn.XLOOKUP(JD$1,$BH$2:$BR$2,$BH144:$BR144,0),0)</f>
        <v>#REF!</v>
      </c>
      <c r="JE144" s="26">
        <f>IF(JE$2=InputTable[[#This Row],[Delivery Date]],_xlfn.XLOOKUP(JE$1,$BH$2:$BR$2,$BH144:$BR144,0),0)</f>
        <v>0</v>
      </c>
      <c r="JF144" s="26">
        <f>IF(JF$2=InputTable[[#This Row],[Delivery Date]],_xlfn.XLOOKUP(JF$1,$BH$2:$BR$2,$BH144:$BR144,0),0)</f>
        <v>0</v>
      </c>
      <c r="JG144" s="26">
        <f>IF(JG$2=InputTable[[#This Row],[Delivery Date]],_xlfn.XLOOKUP(JG$1,$BH$2:$BR$2,$BH144:$BR144,0),0)</f>
        <v>0</v>
      </c>
      <c r="JH144" s="26">
        <f>IF(JH$2=InputTable[[#This Row],[Delivery Date]],_xlfn.XLOOKUP(JH$1,$BH$2:$BR$2,$BH144:$BR144,0),0)</f>
        <v>0</v>
      </c>
      <c r="JI144" s="26">
        <f>IF(JI$2=InputTable[[#This Row],[Delivery Date]],_xlfn.XLOOKUP(JI$1,$BH$2:$BR$2,$BH144:$BR144,0),0)</f>
        <v>0</v>
      </c>
      <c r="JJ144" s="26">
        <f>IF(JJ$2=InputTable[[#This Row],[Delivery Date]],_xlfn.XLOOKUP(JJ$1,$BH$2:$BR$2,$BH144:$BR144,0),0)</f>
        <v>0</v>
      </c>
      <c r="JK144" s="26">
        <f>IF(JK$2=InputTable[[#This Row],[Delivery Date]],_xlfn.XLOOKUP(JK$1,$BH$2:$BR$2,$BH144:$BR144,0),0)</f>
        <v>0</v>
      </c>
      <c r="JL144" s="26">
        <f>IF(JL$2=InputTable[[#This Row],[Delivery Date]],_xlfn.XLOOKUP(JL$1,$BH$2:$BR$2,$BH144:$BR144,0),0)</f>
        <v>0</v>
      </c>
      <c r="JN144" s="26" t="e">
        <f>IF(JN$2=InputTable[[#This Row],[Delivery Date]],_xlfn.XLOOKUP(JN$1,$BH$2:$BR$2,$BH144:$BR144,0),0)</f>
        <v>#REF!</v>
      </c>
      <c r="JO144" s="26">
        <f>IF(JO$2=InputTable[[#This Row],[Delivery Date]],_xlfn.XLOOKUP(JO$1,$BH$2:$BR$2,$BH144:$BR144,0),0)</f>
        <v>0</v>
      </c>
      <c r="JP144" s="26">
        <f>IF(JP$2=InputTable[[#This Row],[Delivery Date]],_xlfn.XLOOKUP(JP$1,$BH$2:$BR$2,$BH144:$BR144,0),0)</f>
        <v>0</v>
      </c>
      <c r="JQ144" s="26">
        <f>IF(JQ$2=InputTable[[#This Row],[Delivery Date]],_xlfn.XLOOKUP(JQ$1,$BH$2:$BR$2,$BH144:$BR144,0),0)</f>
        <v>0</v>
      </c>
      <c r="JR144" s="26">
        <f>IF(JR$2=InputTable[[#This Row],[Delivery Date]],_xlfn.XLOOKUP(JR$1,$BH$2:$BR$2,$BH144:$BR144,0),0)</f>
        <v>0</v>
      </c>
      <c r="JS144" s="26">
        <f>IF(JS$2=InputTable[[#This Row],[Delivery Date]],_xlfn.XLOOKUP(JS$1,$BH$2:$BR$2,$BH144:$BR144,0),0)</f>
        <v>0</v>
      </c>
      <c r="JT144" s="26">
        <f>IF(JT$2=InputTable[[#This Row],[Delivery Date]],_xlfn.XLOOKUP(JT$1,$BH$2:$BR$2,$BH144:$BR144,0),0)</f>
        <v>0</v>
      </c>
      <c r="JU144" s="26">
        <f>IF(JU$2=InputTable[[#This Row],[Delivery Date]],_xlfn.XLOOKUP(JU$1,$BH$2:$BR$2,$BH144:$BR144,0),0)</f>
        <v>0</v>
      </c>
      <c r="JV144" s="26">
        <f>IF(JV$2=InputTable[[#This Row],[Delivery Date]],_xlfn.XLOOKUP(JV$1,$BH$2:$BR$2,$BH144:$BR144,0),0)</f>
        <v>0</v>
      </c>
      <c r="JX144" s="26" t="e">
        <f>IF(JX$2=InputTable[[#This Row],[Delivery Date]],_xlfn.XLOOKUP(JX$1,$BH$2:$BR$2,$BH144:$BR144,0),0)</f>
        <v>#REF!</v>
      </c>
      <c r="JY144" s="26">
        <f>IF(JY$2=InputTable[[#This Row],[Delivery Date]],_xlfn.XLOOKUP(JY$1,$BH$2:$BR$2,$BH144:$BR144,0),0)</f>
        <v>0</v>
      </c>
      <c r="JZ144" s="26">
        <f>IF(JZ$2=InputTable[[#This Row],[Delivery Date]],_xlfn.XLOOKUP(JZ$1,$BH$2:$BR$2,$BH144:$BR144,0),0)</f>
        <v>0</v>
      </c>
      <c r="KA144" s="26">
        <f>IF(KA$2=InputTable[[#This Row],[Delivery Date]],_xlfn.XLOOKUP(KA$1,$BH$2:$BR$2,$BH144:$BR144,0),0)</f>
        <v>0</v>
      </c>
      <c r="KB144" s="26">
        <f>IF(KB$2=InputTable[[#This Row],[Delivery Date]],_xlfn.XLOOKUP(KB$1,$BH$2:$BR$2,$BH144:$BR144,0),0)</f>
        <v>0</v>
      </c>
      <c r="KC144" s="26">
        <f>IF(KC$2=InputTable[[#This Row],[Delivery Date]],_xlfn.XLOOKUP(KC$1,$BH$2:$BR$2,$BH144:$BR144,0),0)</f>
        <v>0</v>
      </c>
      <c r="KD144" s="26">
        <f>IF(KD$2=InputTable[[#This Row],[Delivery Date]],_xlfn.XLOOKUP(KD$1,$BH$2:$BR$2,$BH144:$BR144,0),0)</f>
        <v>0</v>
      </c>
      <c r="KE144" s="26">
        <f>IF(KE$2=InputTable[[#This Row],[Delivery Date]],_xlfn.XLOOKUP(KE$1,$BH$2:$BR$2,$BH144:$BR144,0),0)</f>
        <v>0</v>
      </c>
      <c r="KF144" s="26">
        <f>IF(KF$2=InputTable[[#This Row],[Delivery Date]],_xlfn.XLOOKUP(KF$1,$BH$2:$BR$2,$BH144:$BR144,0),0)</f>
        <v>0</v>
      </c>
    </row>
    <row r="145" spans="1:292" ht="34.799999999999997" x14ac:dyDescent="0.25">
      <c r="A145" s="141"/>
      <c r="B145" s="119"/>
      <c r="C145" s="92"/>
      <c r="D145" s="92"/>
      <c r="E145" s="97"/>
      <c r="F145" s="98"/>
      <c r="G145" s="102"/>
      <c r="H145" s="102"/>
      <c r="I145" s="98"/>
      <c r="J145" s="123"/>
      <c r="K145" s="95" t="e">
        <f>VLOOKUP((InputTable[[#This Row],[Starting Date]]&amp; " - " &amp;InputTable[[#This Row],[Delivery Date]]),'System List'!$F$40:$H$83,2,FALSE)</f>
        <v>#N/A</v>
      </c>
      <c r="L145" s="95" t="e">
        <f>VLOOKUP(InputTable[[#This Row],[Duration]],Duration,2,FALSE)</f>
        <v>#N/A</v>
      </c>
      <c r="M145" s="123"/>
      <c r="N145" s="98"/>
      <c r="O145" s="98"/>
      <c r="P145" s="98"/>
      <c r="Q145" s="98"/>
      <c r="R145" s="98"/>
      <c r="S145" s="92"/>
      <c r="T145" s="95"/>
      <c r="U145" s="138"/>
      <c r="V145" s="98"/>
      <c r="W145" s="98"/>
      <c r="X145" s="98"/>
      <c r="Y145" s="98"/>
      <c r="Z145" s="98"/>
      <c r="AA145" s="98"/>
      <c r="AB145" s="98"/>
      <c r="AC145" s="100"/>
      <c r="AD145" s="92">
        <f>COUNTA(InputTable[[#This Row],[CORPHRFIN]:[SALES]])</f>
        <v>0</v>
      </c>
      <c r="AE145" s="88" cm="1">
        <f t="array" ref="AE145">SUM(
_xlfn.XLOOKUP(InputTable[[#This Row],[CORPHRFIN]:[SALES]],'System List'!$F$4:$F$7,'System List'!$H$4:$H$7,0))</f>
        <v>0</v>
      </c>
      <c r="AF145" s="140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88" cm="1">
        <f t="array" ref="AR145">SUM(
_xlfn.XLOOKUP(InputTable[[#This Row],[Impact on - CIAL]:[Impact on - STRAT]],'System List'!$F$4:$F$7,'System List'!$H$4:$H$7,0))</f>
        <v>0</v>
      </c>
      <c r="AS145" s="88" t="e">
        <f>VLOOKUP(InputTable[[#This Row],[Duration]],Duration,2,FALSE)+InputTable[[#This Row],[Resource Score]]</f>
        <v>#N/A</v>
      </c>
      <c r="AT14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5" s="24" t="e">
        <f>InputTable[[#This Row],[Value Score]]/InputTable[[#This Row],[EFFORT SCORE]]*100</f>
        <v>#N/A</v>
      </c>
      <c r="AV145" s="25" t="s">
        <v>437</v>
      </c>
      <c r="AW145" s="25"/>
      <c r="AX145" s="208"/>
      <c r="AY145" s="25"/>
      <c r="AZ145" s="209">
        <v>0</v>
      </c>
      <c r="BA145" s="209">
        <v>0</v>
      </c>
      <c r="BB145" s="209"/>
      <c r="BC145" s="189"/>
      <c r="BD145" s="188"/>
      <c r="BE145" s="188"/>
      <c r="BF145" s="70"/>
      <c r="BH145" s="2">
        <f>IFERROR(VLOOKUP(InputTable[[#This Row],[Impact on - CIAL]],'System List'!$F$4:$H$7,3,FALSE),0)</f>
        <v>0</v>
      </c>
      <c r="BI145" s="2">
        <f>IFERROR(VLOOKUP(InputTable[[#This Row],[Impact on - COM]],'System List'!$F$4:$H$7,3,FALSE),0)</f>
        <v>0</v>
      </c>
      <c r="BJ145" s="2">
        <f>IFERROR(VLOOKUP(InputTable[[#This Row],[Impact on - FIN]],'System List'!$F$4:$H$7,3,FALSE),0)</f>
        <v>0</v>
      </c>
      <c r="BK145" s="2">
        <f>IFERROR(VLOOKUP(InputTable[[#This Row],[Impact on - GEN SEC]],'System List'!$F$4:$H$7,3,FALSE),0)</f>
        <v>0</v>
      </c>
      <c r="BL145" s="2">
        <f>IFERROR(VLOOKUP(InputTable[[#This Row],[Impact on - HR]],'System List'!$F$4:$H$7,3,FALSE),0)</f>
        <v>0</v>
      </c>
      <c r="BM145" s="2">
        <f>IFERROR(VLOOKUP(InputTable[[#This Row],[Impact on - IS]],'System List'!$F$4:$H$7,3,FALSE),0)</f>
        <v>0</v>
      </c>
      <c r="BN145" s="2">
        <f>IFERROR(VLOOKUP(InputTable[[#This Row],[Impact on - OPS]],'System List'!$F$4:$H$7,3,FALSE),0)</f>
        <v>0</v>
      </c>
      <c r="BO145" s="2">
        <f>IFERROR(VLOOKUP(InputTable[[#This Row],[Impact on - ROLL STOCK]],'System List'!$F$4:$H$7,3,FALSE),0)</f>
        <v>0</v>
      </c>
      <c r="BP145" s="2">
        <f>IFERROR(VLOOKUP(InputTable[[#This Row],[Impact on - SAFETY]],'System List'!$F$4:$H$7,3,FALSE),0)</f>
        <v>0</v>
      </c>
      <c r="BQ145" s="2">
        <f>IFERROR(VLOOKUP(InputTable[[#This Row],[Impact on - STATION]],'System List'!$F$4:$H$7,3,FALSE),0)</f>
        <v>0</v>
      </c>
      <c r="BR145" s="2">
        <f>IFERROR(VLOOKUP(InputTable[[#This Row],[Impact on - STRAT]],'System List'!$F$4:$H$7,3,FALSE),0)</f>
        <v>0</v>
      </c>
      <c r="BT145" s="2">
        <f>IFERROR(VLOOKUP(InputTable[[#This Row],[CORPHRFIN]],'System List'!$F$4:$H$7,3,FALSE),0)</f>
        <v>0</v>
      </c>
      <c r="BU145" s="2">
        <f>IFERROR(VLOOKUP(InputTable[[#This Row],[CUST]],'System List'!$F$4:$H$7,3,FALSE),0)</f>
        <v>0</v>
      </c>
      <c r="BV145" s="2">
        <f>IFERROR(VLOOKUP(InputTable[[#This Row],[CYBER]],'System List'!$F$4:$H$7,3,FALSE),0)</f>
        <v>0</v>
      </c>
      <c r="BW145" s="2">
        <f>IFERROR(VLOOKUP(InputTable[[#This Row],[DATA]],'System List'!$F$4:$H$7,3,FALSE),0)</f>
        <v>0</v>
      </c>
      <c r="BX145" s="2">
        <f>IFERROR(VLOOKUP(InputTable[[#This Row],[INFRA]],'System List'!$F$4:$H$7,3,FALSE),0)</f>
        <v>0</v>
      </c>
      <c r="BY145" s="2">
        <f>IFERROR(VLOOKUP(InputTable[[#This Row],[OPERATIONS]],'System List'!$F$4:$H$7,3,FALSE),0)</f>
        <v>0</v>
      </c>
      <c r="BZ145" s="2">
        <f>IFERROR(VLOOKUP(InputTable[[#This Row],[PMO]],'System List'!$F$4:$H$7,3,FALSE),0)</f>
        <v>0</v>
      </c>
      <c r="CA145" s="2">
        <f>IFERROR(VLOOKUP(InputTable[[#This Row],[SALES]],'System List'!$F$4:$H$7,3,FALSE),0)</f>
        <v>0</v>
      </c>
      <c r="CC145" s="2" cm="1">
        <f t="array" ref="CC14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5" s="2" cm="1">
        <f t="array" ref="CD14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5" s="2" cm="1">
        <f t="array" ref="CE14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5" s="2" cm="1">
        <f t="array" ref="CF14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5" s="2" cm="1">
        <f t="array" ref="CG14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5" s="2" cm="1">
        <f t="array" ref="CH14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5" s="2" cm="1">
        <f t="array" ref="CI14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5" s="2" cm="1">
        <f t="array" ref="CJ14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5" s="2" cm="1">
        <f t="array" ref="CK14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5" s="26">
        <f t="shared" si="379"/>
        <v>0</v>
      </c>
      <c r="CY145" s="26">
        <f t="shared" si="380"/>
        <v>0</v>
      </c>
      <c r="CZ145" s="26">
        <f t="shared" si="381"/>
        <v>0</v>
      </c>
      <c r="DA145" s="26">
        <f t="shared" si="382"/>
        <v>0</v>
      </c>
      <c r="DB145" s="26">
        <f t="shared" si="383"/>
        <v>0</v>
      </c>
      <c r="DC145" s="26">
        <f t="shared" si="384"/>
        <v>0</v>
      </c>
      <c r="DD145" s="26">
        <f t="shared" si="385"/>
        <v>0</v>
      </c>
      <c r="DE145" s="26">
        <f t="shared" si="386"/>
        <v>0</v>
      </c>
      <c r="DF145" s="26">
        <f t="shared" si="387"/>
        <v>0</v>
      </c>
      <c r="DH145" s="26">
        <f t="shared" si="388"/>
        <v>0</v>
      </c>
      <c r="DI145" s="26">
        <f t="shared" si="389"/>
        <v>0</v>
      </c>
      <c r="DJ145" s="26">
        <f t="shared" si="390"/>
        <v>0</v>
      </c>
      <c r="DK145" s="26">
        <f t="shared" si="391"/>
        <v>0</v>
      </c>
      <c r="DL145" s="26">
        <f t="shared" si="392"/>
        <v>0</v>
      </c>
      <c r="DM145" s="26">
        <f t="shared" si="393"/>
        <v>0</v>
      </c>
      <c r="DN145" s="26">
        <f t="shared" si="394"/>
        <v>0</v>
      </c>
      <c r="DO145" s="26">
        <f t="shared" si="395"/>
        <v>0</v>
      </c>
      <c r="DP145" s="26">
        <f t="shared" si="396"/>
        <v>0</v>
      </c>
      <c r="DR145" s="26">
        <f t="shared" si="397"/>
        <v>0</v>
      </c>
      <c r="DS145" s="26">
        <f t="shared" si="398"/>
        <v>0</v>
      </c>
      <c r="DT145" s="26">
        <f t="shared" si="399"/>
        <v>0</v>
      </c>
      <c r="DU145" s="26">
        <f t="shared" si="400"/>
        <v>0</v>
      </c>
      <c r="DV145" s="26">
        <f t="shared" si="401"/>
        <v>0</v>
      </c>
      <c r="DW145" s="26">
        <f t="shared" si="402"/>
        <v>0</v>
      </c>
      <c r="DX145" s="26">
        <f t="shared" si="403"/>
        <v>0</v>
      </c>
      <c r="DY145" s="26">
        <f t="shared" si="404"/>
        <v>0</v>
      </c>
      <c r="DZ145" s="26">
        <f t="shared" si="405"/>
        <v>0</v>
      </c>
      <c r="EB145" s="26">
        <f t="shared" si="406"/>
        <v>0</v>
      </c>
      <c r="EC145" s="26">
        <f t="shared" si="407"/>
        <v>0</v>
      </c>
      <c r="ED145" s="26">
        <f t="shared" si="408"/>
        <v>0</v>
      </c>
      <c r="EE145" s="26">
        <f t="shared" si="409"/>
        <v>0</v>
      </c>
      <c r="EF145" s="26">
        <f t="shared" si="410"/>
        <v>0</v>
      </c>
      <c r="EG145" s="26">
        <f t="shared" si="411"/>
        <v>0</v>
      </c>
      <c r="EH145" s="26">
        <f t="shared" si="412"/>
        <v>0</v>
      </c>
      <c r="EI145" s="26">
        <f t="shared" si="413"/>
        <v>0</v>
      </c>
      <c r="EJ145" s="26">
        <f t="shared" si="414"/>
        <v>0</v>
      </c>
      <c r="EL145" s="26">
        <f t="shared" si="415"/>
        <v>0</v>
      </c>
      <c r="EM145" s="26">
        <f t="shared" si="416"/>
        <v>0</v>
      </c>
      <c r="EN145" s="26">
        <f t="shared" si="417"/>
        <v>0</v>
      </c>
      <c r="EO145" s="26">
        <f t="shared" si="418"/>
        <v>0</v>
      </c>
      <c r="EP145" s="26">
        <f t="shared" si="419"/>
        <v>0</v>
      </c>
      <c r="EQ145" s="26">
        <f t="shared" si="420"/>
        <v>0</v>
      </c>
      <c r="ER145" s="26">
        <f t="shared" si="421"/>
        <v>0</v>
      </c>
      <c r="ES145" s="26">
        <f t="shared" si="422"/>
        <v>0</v>
      </c>
      <c r="ET145" s="26">
        <f t="shared" si="423"/>
        <v>0</v>
      </c>
      <c r="EV145" s="26">
        <f t="shared" si="424"/>
        <v>0</v>
      </c>
      <c r="EW145" s="26">
        <f t="shared" si="425"/>
        <v>0</v>
      </c>
      <c r="EX145" s="26">
        <f t="shared" si="426"/>
        <v>0</v>
      </c>
      <c r="EY145" s="26">
        <f t="shared" si="427"/>
        <v>0</v>
      </c>
      <c r="EZ145" s="26">
        <f t="shared" si="428"/>
        <v>0</v>
      </c>
      <c r="FA145" s="26">
        <f t="shared" si="429"/>
        <v>0</v>
      </c>
      <c r="FB145" s="26">
        <f t="shared" si="430"/>
        <v>0</v>
      </c>
      <c r="FC145" s="26">
        <f t="shared" si="431"/>
        <v>0</v>
      </c>
      <c r="FD145" s="26">
        <f t="shared" si="432"/>
        <v>0</v>
      </c>
      <c r="FF145" s="26">
        <f t="shared" si="433"/>
        <v>0</v>
      </c>
      <c r="FG145" s="26">
        <f t="shared" si="434"/>
        <v>0</v>
      </c>
      <c r="FH145" s="26">
        <f t="shared" si="435"/>
        <v>0</v>
      </c>
      <c r="FI145" s="26">
        <f t="shared" si="436"/>
        <v>0</v>
      </c>
      <c r="FJ145" s="26">
        <f t="shared" si="437"/>
        <v>0</v>
      </c>
      <c r="FK145" s="26">
        <f t="shared" si="438"/>
        <v>0</v>
      </c>
      <c r="FL145" s="26">
        <f t="shared" si="439"/>
        <v>0</v>
      </c>
      <c r="FM145" s="26">
        <f t="shared" si="440"/>
        <v>0</v>
      </c>
      <c r="FN145" s="26">
        <f t="shared" si="441"/>
        <v>0</v>
      </c>
      <c r="FP145" s="26" t="e">
        <f t="shared" si="442"/>
        <v>#REF!</v>
      </c>
      <c r="FQ145" s="26" t="e">
        <f t="shared" si="443"/>
        <v>#REF!</v>
      </c>
      <c r="FR145" s="26" t="e">
        <f t="shared" si="444"/>
        <v>#REF!</v>
      </c>
      <c r="FS145" s="26" t="e">
        <f t="shared" si="445"/>
        <v>#REF!</v>
      </c>
      <c r="FT145" s="26" t="e">
        <f t="shared" si="446"/>
        <v>#REF!</v>
      </c>
      <c r="FU145" s="26" t="e">
        <f t="shared" si="447"/>
        <v>#REF!</v>
      </c>
      <c r="FV145" s="26" t="e">
        <f t="shared" si="448"/>
        <v>#REF!</v>
      </c>
      <c r="FW145" s="26" t="e">
        <f t="shared" si="449"/>
        <v>#REF!</v>
      </c>
      <c r="FX145" s="26" t="e">
        <f t="shared" si="450"/>
        <v>#REF!</v>
      </c>
      <c r="GB145" s="26" t="e">
        <f>IF(GB$2=InputTable[[#This Row],[Delivery Date]],_xlfn.XLOOKUP(GB$1,$BH$2:$BR$2,$BH145:$BR145,0),0)</f>
        <v>#REF!</v>
      </c>
      <c r="GC145" s="26">
        <f>IF(GC$2=InputTable[[#This Row],[Delivery Date]],_xlfn.XLOOKUP(GC$1,$BH$2:$BR$2,$BH145:$BR145,0),0)</f>
        <v>0</v>
      </c>
      <c r="GD145" s="26">
        <f>IF(GD$2=InputTable[[#This Row],[Delivery Date]],_xlfn.XLOOKUP(GD$1,$BH$2:$BR$2,$BH145:$BR145,0),0)</f>
        <v>0</v>
      </c>
      <c r="GE145" s="26">
        <f>IF(GE$2=InputTable[[#This Row],[Delivery Date]],_xlfn.XLOOKUP(GE$1,$BH$2:$BR$2,$BH145:$BR145,0),0)</f>
        <v>0</v>
      </c>
      <c r="GF145" s="26">
        <f>IF(GF$2=InputTable[[#This Row],[Delivery Date]],_xlfn.XLOOKUP(GF$1,$BH$2:$BR$2,$BH145:$BR145,0),0)</f>
        <v>0</v>
      </c>
      <c r="GG145" s="26">
        <f>IF(GG$2=InputTable[[#This Row],[Delivery Date]],_xlfn.XLOOKUP(GG$1,$BH$2:$BR$2,$BH145:$BR145,0),0)</f>
        <v>0</v>
      </c>
      <c r="GH145" s="26">
        <f>IF(GH$2=InputTable[[#This Row],[Delivery Date]],_xlfn.XLOOKUP(GH$1,$BH$2:$BR$2,$BH145:$BR145,0),0)</f>
        <v>0</v>
      </c>
      <c r="GI145" s="26">
        <f>IF(GI$2=InputTable[[#This Row],[Delivery Date]],_xlfn.XLOOKUP(GI$1,$BH$2:$BR$2,$BH145:$BR145,0),0)</f>
        <v>0</v>
      </c>
      <c r="GJ145" s="26">
        <f>IF(GJ$2=InputTable[[#This Row],[Delivery Date]],_xlfn.XLOOKUP(GJ$1,$BH$2:$BR$2,$BH145:$BR145,0),0)</f>
        <v>0</v>
      </c>
      <c r="GL145" s="26" t="e">
        <f>IF(GL$2=InputTable[[#This Row],[Delivery Date]],_xlfn.XLOOKUP(GL$1,$BH$2:$BR$2,$BH145:$BR145,0),0)</f>
        <v>#REF!</v>
      </c>
      <c r="GM145" s="26">
        <f>IF(GM$2=InputTable[[#This Row],[Delivery Date]],_xlfn.XLOOKUP(GM$1,$BH$2:$BR$2,$BH145:$BR145,0),0)</f>
        <v>0</v>
      </c>
      <c r="GN145" s="26">
        <f>IF(GN$2=InputTable[[#This Row],[Delivery Date]],_xlfn.XLOOKUP(GN$1,$BH$2:$BR$2,$BH145:$BR145,0),0)</f>
        <v>0</v>
      </c>
      <c r="GO145" s="26">
        <f>IF(GO$2=InputTable[[#This Row],[Delivery Date]],_xlfn.XLOOKUP(GO$1,$BH$2:$BR$2,$BH145:$BR145,0),0)</f>
        <v>0</v>
      </c>
      <c r="GP145" s="26">
        <f>IF(GP$2=InputTable[[#This Row],[Delivery Date]],_xlfn.XLOOKUP(GP$1,$BH$2:$BR$2,$BH145:$BR145,0),0)</f>
        <v>0</v>
      </c>
      <c r="GQ145" s="26">
        <f>IF(GQ$2=InputTable[[#This Row],[Delivery Date]],_xlfn.XLOOKUP(GQ$1,$BH$2:$BR$2,$BH145:$BR145,0),0)</f>
        <v>0</v>
      </c>
      <c r="GR145" s="26">
        <f>IF(GR$2=InputTable[[#This Row],[Delivery Date]],_xlfn.XLOOKUP(GR$1,$BH$2:$BR$2,$BH145:$BR145,0),0)</f>
        <v>0</v>
      </c>
      <c r="GS145" s="26">
        <f>IF(GS$2=InputTable[[#This Row],[Delivery Date]],_xlfn.XLOOKUP(GS$1,$BH$2:$BR$2,$BH145:$BR145,0),0)</f>
        <v>0</v>
      </c>
      <c r="GT145" s="26">
        <f>IF(GT$2=InputTable[[#This Row],[Delivery Date]],_xlfn.XLOOKUP(GT$1,$BH$2:$BR$2,$BH145:$BR145,0),0)</f>
        <v>0</v>
      </c>
      <c r="GV145" s="26" t="e">
        <f>IF(GV$2=InputTable[[#This Row],[Delivery Date]],_xlfn.XLOOKUP(GV$1,$BH$2:$BR$2,$BH145:$BR145,0),0)</f>
        <v>#REF!</v>
      </c>
      <c r="GW145" s="26">
        <f>IF(GW$2=InputTable[[#This Row],[Delivery Date]],_xlfn.XLOOKUP(GW$1,$BH$2:$BR$2,$BH145:$BR145,0),0)</f>
        <v>0</v>
      </c>
      <c r="GX145" s="26">
        <f>IF(GX$2=InputTable[[#This Row],[Delivery Date]],_xlfn.XLOOKUP(GX$1,$BH$2:$BR$2,$BH145:$BR145,0),0)</f>
        <v>0</v>
      </c>
      <c r="GY145" s="26">
        <f>IF(GY$2=InputTable[[#This Row],[Delivery Date]],_xlfn.XLOOKUP(GY$1,$BH$2:$BR$2,$BH145:$BR145,0),0)</f>
        <v>0</v>
      </c>
      <c r="GZ145" s="26">
        <f>IF(GZ$2=InputTable[[#This Row],[Delivery Date]],_xlfn.XLOOKUP(GZ$1,$BH$2:$BR$2,$BH145:$BR145,0),0)</f>
        <v>0</v>
      </c>
      <c r="HA145" s="26">
        <f>IF(HA$2=InputTable[[#This Row],[Delivery Date]],_xlfn.XLOOKUP(HA$1,$BH$2:$BR$2,$BH145:$BR145,0),0)</f>
        <v>0</v>
      </c>
      <c r="HB145" s="26">
        <f>IF(HB$2=InputTable[[#This Row],[Delivery Date]],_xlfn.XLOOKUP(HB$1,$BH$2:$BR$2,$BH145:$BR145,0),0)</f>
        <v>0</v>
      </c>
      <c r="HC145" s="26">
        <f>IF(HC$2=InputTable[[#This Row],[Delivery Date]],_xlfn.XLOOKUP(HC$1,$BH$2:$BR$2,$BH145:$BR145,0),0)</f>
        <v>0</v>
      </c>
      <c r="HD145" s="26">
        <f>IF(HD$2=InputTable[[#This Row],[Delivery Date]],_xlfn.XLOOKUP(HD$1,$BH$2:$BR$2,$BH145:$BR145,0),0)</f>
        <v>0</v>
      </c>
      <c r="HF145" s="26" t="e">
        <f>IF(HF$2=InputTable[[#This Row],[Delivery Date]],_xlfn.XLOOKUP(HF$1,$BH$2:$BR$2,$BH145:$BR145,0),0)</f>
        <v>#REF!</v>
      </c>
      <c r="HG145" s="26">
        <f>IF(HG$2=InputTable[[#This Row],[Delivery Date]],_xlfn.XLOOKUP(HG$1,$BH$2:$BR$2,$BH145:$BR145,0),0)</f>
        <v>0</v>
      </c>
      <c r="HH145" s="26">
        <f>IF(HH$2=InputTable[[#This Row],[Delivery Date]],_xlfn.XLOOKUP(HH$1,$BH$2:$BR$2,$BH145:$BR145,0),0)</f>
        <v>0</v>
      </c>
      <c r="HI145" s="26">
        <f>IF(HI$2=InputTable[[#This Row],[Delivery Date]],_xlfn.XLOOKUP(HI$1,$BH$2:$BR$2,$BH145:$BR145,0),0)</f>
        <v>0</v>
      </c>
      <c r="HJ145" s="26">
        <f>IF(HJ$2=InputTable[[#This Row],[Delivery Date]],_xlfn.XLOOKUP(HJ$1,$BH$2:$BR$2,$BH145:$BR145,0),0)</f>
        <v>0</v>
      </c>
      <c r="HK145" s="26">
        <f>IF(HK$2=InputTable[[#This Row],[Delivery Date]],_xlfn.XLOOKUP(HK$1,$BH$2:$BR$2,$BH145:$BR145,0),0)</f>
        <v>0</v>
      </c>
      <c r="HL145" s="26">
        <f>IF(HL$2=InputTable[[#This Row],[Delivery Date]],_xlfn.XLOOKUP(HL$1,$BH$2:$BR$2,$BH145:$BR145,0),0)</f>
        <v>0</v>
      </c>
      <c r="HM145" s="26">
        <f>IF(HM$2=InputTable[[#This Row],[Delivery Date]],_xlfn.XLOOKUP(HM$1,$BH$2:$BR$2,$BH145:$BR145,0),0)</f>
        <v>0</v>
      </c>
      <c r="HN145" s="26">
        <f>IF(HN$2=InputTable[[#This Row],[Delivery Date]],_xlfn.XLOOKUP(HN$1,$BH$2:$BR$2,$BH145:$BR145,0),0)</f>
        <v>0</v>
      </c>
      <c r="HP145" s="26" t="e">
        <f>IF(HP$2=InputTable[[#This Row],[Delivery Date]],_xlfn.XLOOKUP(HP$1,$BH$2:$BR$2,$BH145:$BR145,0),0)</f>
        <v>#REF!</v>
      </c>
      <c r="HQ145" s="26">
        <f>IF(HQ$2=InputTable[[#This Row],[Delivery Date]],_xlfn.XLOOKUP(HQ$1,$BH$2:$BR$2,$BH145:$BR145,0),0)</f>
        <v>0</v>
      </c>
      <c r="HR145" s="26">
        <f>IF(HR$2=InputTable[[#This Row],[Delivery Date]],_xlfn.XLOOKUP(HR$1,$BH$2:$BR$2,$BH145:$BR145,0),0)</f>
        <v>0</v>
      </c>
      <c r="HS145" s="26">
        <f>IF(HS$2=InputTable[[#This Row],[Delivery Date]],_xlfn.XLOOKUP(HS$1,$BH$2:$BR$2,$BH145:$BR145,0),0)</f>
        <v>0</v>
      </c>
      <c r="HT145" s="26">
        <f>IF(HT$2=InputTable[[#This Row],[Delivery Date]],_xlfn.XLOOKUP(HT$1,$BH$2:$BR$2,$BH145:$BR145,0),0)</f>
        <v>0</v>
      </c>
      <c r="HU145" s="26">
        <f>IF(HU$2=InputTable[[#This Row],[Delivery Date]],_xlfn.XLOOKUP(HU$1,$BH$2:$BR$2,$BH145:$BR145,0),0)</f>
        <v>0</v>
      </c>
      <c r="HV145" s="26">
        <f>IF(HV$2=InputTable[[#This Row],[Delivery Date]],_xlfn.XLOOKUP(HV$1,$BH$2:$BR$2,$BH145:$BR145,0),0)</f>
        <v>0</v>
      </c>
      <c r="HW145" s="26">
        <f>IF(HW$2=InputTable[[#This Row],[Delivery Date]],_xlfn.XLOOKUP(HW$1,$BH$2:$BR$2,$BH145:$BR145,0),0)</f>
        <v>0</v>
      </c>
      <c r="HX145" s="26">
        <f>IF(HX$2=InputTable[[#This Row],[Delivery Date]],_xlfn.XLOOKUP(HX$1,$BH$2:$BR$2,$BH145:$BR145,0),0)</f>
        <v>0</v>
      </c>
      <c r="HZ145" s="26" t="e">
        <f>IF(HZ$2=InputTable[[#This Row],[Delivery Date]],_xlfn.XLOOKUP(HZ$1,$BH$2:$BR$2,$BH145:$BR145,0),0)</f>
        <v>#REF!</v>
      </c>
      <c r="IA145" s="26">
        <f>IF(IA$2=InputTable[[#This Row],[Delivery Date]],_xlfn.XLOOKUP(IA$1,$BH$2:$BR$2,$BH145:$BR145,0),0)</f>
        <v>0</v>
      </c>
      <c r="IB145" s="26">
        <f>IF(IB$2=InputTable[[#This Row],[Delivery Date]],_xlfn.XLOOKUP(IB$1,$BH$2:$BR$2,$BH145:$BR145,0),0)</f>
        <v>0</v>
      </c>
      <c r="IC145" s="26">
        <f>IF(IC$2=InputTable[[#This Row],[Delivery Date]],_xlfn.XLOOKUP(IC$1,$BH$2:$BR$2,$BH145:$BR145,0),0)</f>
        <v>0</v>
      </c>
      <c r="ID145" s="26">
        <f>IF(ID$2=InputTable[[#This Row],[Delivery Date]],_xlfn.XLOOKUP(ID$1,$BH$2:$BR$2,$BH145:$BR145,0),0)</f>
        <v>0</v>
      </c>
      <c r="IE145" s="26">
        <f>IF(IE$2=InputTable[[#This Row],[Delivery Date]],_xlfn.XLOOKUP(IE$1,$BH$2:$BR$2,$BH145:$BR145,0),0)</f>
        <v>0</v>
      </c>
      <c r="IF145" s="26">
        <f>IF(IF$2=InputTable[[#This Row],[Delivery Date]],_xlfn.XLOOKUP(IF$1,$BH$2:$BR$2,$BH145:$BR145,0),0)</f>
        <v>0</v>
      </c>
      <c r="IG145" s="26">
        <f>IF(IG$2=InputTable[[#This Row],[Delivery Date]],_xlfn.XLOOKUP(IG$1,$BH$2:$BR$2,$BH145:$BR145,0),0)</f>
        <v>0</v>
      </c>
      <c r="IH145" s="26">
        <f>IF(IH$2=InputTable[[#This Row],[Delivery Date]],_xlfn.XLOOKUP(IH$1,$BH$2:$BR$2,$BH145:$BR145,0),0)</f>
        <v>0</v>
      </c>
      <c r="IJ145" s="26" t="e">
        <f>IF(IJ$2=InputTable[[#This Row],[Delivery Date]],_xlfn.XLOOKUP(IJ$1,$BH$2:$BR$2,$BH145:$BR145,0),0)</f>
        <v>#REF!</v>
      </c>
      <c r="IK145" s="26">
        <f>IF(IK$2=InputTable[[#This Row],[Delivery Date]],_xlfn.XLOOKUP(IK$1,$BH$2:$BR$2,$BH145:$BR145,0),0)</f>
        <v>0</v>
      </c>
      <c r="IL145" s="26">
        <f>IF(IL$2=InputTable[[#This Row],[Delivery Date]],_xlfn.XLOOKUP(IL$1,$BH$2:$BR$2,$BH145:$BR145,0),0)</f>
        <v>0</v>
      </c>
      <c r="IM145" s="26">
        <f>IF(IM$2=InputTable[[#This Row],[Delivery Date]],_xlfn.XLOOKUP(IM$1,$BH$2:$BR$2,$BH145:$BR145,0),0)</f>
        <v>0</v>
      </c>
      <c r="IN145" s="26">
        <f>IF(IN$2=InputTable[[#This Row],[Delivery Date]],_xlfn.XLOOKUP(IN$1,$BH$2:$BR$2,$BH145:$BR145,0),0)</f>
        <v>0</v>
      </c>
      <c r="IO145" s="26">
        <f>IF(IO$2=InputTable[[#This Row],[Delivery Date]],_xlfn.XLOOKUP(IO$1,$BH$2:$BR$2,$BH145:$BR145,0),0)</f>
        <v>0</v>
      </c>
      <c r="IP145" s="26">
        <f>IF(IP$2=InputTable[[#This Row],[Delivery Date]],_xlfn.XLOOKUP(IP$1,$BH$2:$BR$2,$BH145:$BR145,0),0)</f>
        <v>0</v>
      </c>
      <c r="IQ145" s="26">
        <f>IF(IQ$2=InputTable[[#This Row],[Delivery Date]],_xlfn.XLOOKUP(IQ$1,$BH$2:$BR$2,$BH145:$BR145,0),0)</f>
        <v>0</v>
      </c>
      <c r="IR145" s="26">
        <f>IF(IR$2=InputTable[[#This Row],[Delivery Date]],_xlfn.XLOOKUP(IR$1,$BH$2:$BR$2,$BH145:$BR145,0),0)</f>
        <v>0</v>
      </c>
      <c r="IT145" s="26" t="e">
        <f>IF(IT$2=InputTable[[#This Row],[Delivery Date]],_xlfn.XLOOKUP(IT$1,$BH$2:$BR$2,$BH145:$BR145,0),0)</f>
        <v>#REF!</v>
      </c>
      <c r="IU145" s="26">
        <f>IF(IU$2=InputTable[[#This Row],[Delivery Date]],_xlfn.XLOOKUP(IU$1,$BH$2:$BR$2,$BH145:$BR145,0),0)</f>
        <v>0</v>
      </c>
      <c r="IV145" s="26">
        <f>IF(IV$2=InputTable[[#This Row],[Delivery Date]],_xlfn.XLOOKUP(IV$1,$BH$2:$BR$2,$BH145:$BR145,0),0)</f>
        <v>0</v>
      </c>
      <c r="IW145" s="26">
        <f>IF(IW$2=InputTable[[#This Row],[Delivery Date]],_xlfn.XLOOKUP(IW$1,$BH$2:$BR$2,$BH145:$BR145,0),0)</f>
        <v>0</v>
      </c>
      <c r="IX145" s="26">
        <f>IF(IX$2=InputTable[[#This Row],[Delivery Date]],_xlfn.XLOOKUP(IX$1,$BH$2:$BR$2,$BH145:$BR145,0),0)</f>
        <v>0</v>
      </c>
      <c r="IY145" s="26">
        <f>IF(IY$2=InputTable[[#This Row],[Delivery Date]],_xlfn.XLOOKUP(IY$1,$BH$2:$BR$2,$BH145:$BR145,0),0)</f>
        <v>0</v>
      </c>
      <c r="IZ145" s="26">
        <f>IF(IZ$2=InputTable[[#This Row],[Delivery Date]],_xlfn.XLOOKUP(IZ$1,$BH$2:$BR$2,$BH145:$BR145,0),0)</f>
        <v>0</v>
      </c>
      <c r="JA145" s="26">
        <f>IF(JA$2=InputTable[[#This Row],[Delivery Date]],_xlfn.XLOOKUP(JA$1,$BH$2:$BR$2,$BH145:$BR145,0),0)</f>
        <v>0</v>
      </c>
      <c r="JB145" s="26">
        <f>IF(JB$2=InputTable[[#This Row],[Delivery Date]],_xlfn.XLOOKUP(JB$1,$BH$2:$BR$2,$BH145:$BR145,0),0)</f>
        <v>0</v>
      </c>
      <c r="JD145" s="26" t="e">
        <f>IF(JD$2=InputTable[[#This Row],[Delivery Date]],_xlfn.XLOOKUP(JD$1,$BH$2:$BR$2,$BH145:$BR145,0),0)</f>
        <v>#REF!</v>
      </c>
      <c r="JE145" s="26">
        <f>IF(JE$2=InputTable[[#This Row],[Delivery Date]],_xlfn.XLOOKUP(JE$1,$BH$2:$BR$2,$BH145:$BR145,0),0)</f>
        <v>0</v>
      </c>
      <c r="JF145" s="26">
        <f>IF(JF$2=InputTable[[#This Row],[Delivery Date]],_xlfn.XLOOKUP(JF$1,$BH$2:$BR$2,$BH145:$BR145,0),0)</f>
        <v>0</v>
      </c>
      <c r="JG145" s="26">
        <f>IF(JG$2=InputTable[[#This Row],[Delivery Date]],_xlfn.XLOOKUP(JG$1,$BH$2:$BR$2,$BH145:$BR145,0),0)</f>
        <v>0</v>
      </c>
      <c r="JH145" s="26">
        <f>IF(JH$2=InputTable[[#This Row],[Delivery Date]],_xlfn.XLOOKUP(JH$1,$BH$2:$BR$2,$BH145:$BR145,0),0)</f>
        <v>0</v>
      </c>
      <c r="JI145" s="26">
        <f>IF(JI$2=InputTable[[#This Row],[Delivery Date]],_xlfn.XLOOKUP(JI$1,$BH$2:$BR$2,$BH145:$BR145,0),0)</f>
        <v>0</v>
      </c>
      <c r="JJ145" s="26">
        <f>IF(JJ$2=InputTable[[#This Row],[Delivery Date]],_xlfn.XLOOKUP(JJ$1,$BH$2:$BR$2,$BH145:$BR145,0),0)</f>
        <v>0</v>
      </c>
      <c r="JK145" s="26">
        <f>IF(JK$2=InputTable[[#This Row],[Delivery Date]],_xlfn.XLOOKUP(JK$1,$BH$2:$BR$2,$BH145:$BR145,0),0)</f>
        <v>0</v>
      </c>
      <c r="JL145" s="26">
        <f>IF(JL$2=InputTable[[#This Row],[Delivery Date]],_xlfn.XLOOKUP(JL$1,$BH$2:$BR$2,$BH145:$BR145,0),0)</f>
        <v>0</v>
      </c>
      <c r="JN145" s="26" t="e">
        <f>IF(JN$2=InputTable[[#This Row],[Delivery Date]],_xlfn.XLOOKUP(JN$1,$BH$2:$BR$2,$BH145:$BR145,0),0)</f>
        <v>#REF!</v>
      </c>
      <c r="JO145" s="26">
        <f>IF(JO$2=InputTable[[#This Row],[Delivery Date]],_xlfn.XLOOKUP(JO$1,$BH$2:$BR$2,$BH145:$BR145,0),0)</f>
        <v>0</v>
      </c>
      <c r="JP145" s="26">
        <f>IF(JP$2=InputTable[[#This Row],[Delivery Date]],_xlfn.XLOOKUP(JP$1,$BH$2:$BR$2,$BH145:$BR145,0),0)</f>
        <v>0</v>
      </c>
      <c r="JQ145" s="26">
        <f>IF(JQ$2=InputTable[[#This Row],[Delivery Date]],_xlfn.XLOOKUP(JQ$1,$BH$2:$BR$2,$BH145:$BR145,0),0)</f>
        <v>0</v>
      </c>
      <c r="JR145" s="26">
        <f>IF(JR$2=InputTable[[#This Row],[Delivery Date]],_xlfn.XLOOKUP(JR$1,$BH$2:$BR$2,$BH145:$BR145,0),0)</f>
        <v>0</v>
      </c>
      <c r="JS145" s="26">
        <f>IF(JS$2=InputTable[[#This Row],[Delivery Date]],_xlfn.XLOOKUP(JS$1,$BH$2:$BR$2,$BH145:$BR145,0),0)</f>
        <v>0</v>
      </c>
      <c r="JT145" s="26">
        <f>IF(JT$2=InputTable[[#This Row],[Delivery Date]],_xlfn.XLOOKUP(JT$1,$BH$2:$BR$2,$BH145:$BR145,0),0)</f>
        <v>0</v>
      </c>
      <c r="JU145" s="26">
        <f>IF(JU$2=InputTable[[#This Row],[Delivery Date]],_xlfn.XLOOKUP(JU$1,$BH$2:$BR$2,$BH145:$BR145,0),0)</f>
        <v>0</v>
      </c>
      <c r="JV145" s="26">
        <f>IF(JV$2=InputTable[[#This Row],[Delivery Date]],_xlfn.XLOOKUP(JV$1,$BH$2:$BR$2,$BH145:$BR145,0),0)</f>
        <v>0</v>
      </c>
      <c r="JX145" s="26" t="e">
        <f>IF(JX$2=InputTable[[#This Row],[Delivery Date]],_xlfn.XLOOKUP(JX$1,$BH$2:$BR$2,$BH145:$BR145,0),0)</f>
        <v>#REF!</v>
      </c>
      <c r="JY145" s="26">
        <f>IF(JY$2=InputTable[[#This Row],[Delivery Date]],_xlfn.XLOOKUP(JY$1,$BH$2:$BR$2,$BH145:$BR145,0),0)</f>
        <v>0</v>
      </c>
      <c r="JZ145" s="26">
        <f>IF(JZ$2=InputTable[[#This Row],[Delivery Date]],_xlfn.XLOOKUP(JZ$1,$BH$2:$BR$2,$BH145:$BR145,0),0)</f>
        <v>0</v>
      </c>
      <c r="KA145" s="26">
        <f>IF(KA$2=InputTable[[#This Row],[Delivery Date]],_xlfn.XLOOKUP(KA$1,$BH$2:$BR$2,$BH145:$BR145,0),0)</f>
        <v>0</v>
      </c>
      <c r="KB145" s="26">
        <f>IF(KB$2=InputTable[[#This Row],[Delivery Date]],_xlfn.XLOOKUP(KB$1,$BH$2:$BR$2,$BH145:$BR145,0),0)</f>
        <v>0</v>
      </c>
      <c r="KC145" s="26">
        <f>IF(KC$2=InputTable[[#This Row],[Delivery Date]],_xlfn.XLOOKUP(KC$1,$BH$2:$BR$2,$BH145:$BR145,0),0)</f>
        <v>0</v>
      </c>
      <c r="KD145" s="26">
        <f>IF(KD$2=InputTable[[#This Row],[Delivery Date]],_xlfn.XLOOKUP(KD$1,$BH$2:$BR$2,$BH145:$BR145,0),0)</f>
        <v>0</v>
      </c>
      <c r="KE145" s="26">
        <f>IF(KE$2=InputTable[[#This Row],[Delivery Date]],_xlfn.XLOOKUP(KE$1,$BH$2:$BR$2,$BH145:$BR145,0),0)</f>
        <v>0</v>
      </c>
      <c r="KF145" s="26">
        <f>IF(KF$2=InputTable[[#This Row],[Delivery Date]],_xlfn.XLOOKUP(KF$1,$BH$2:$BR$2,$BH145:$BR145,0),0)</f>
        <v>0</v>
      </c>
    </row>
    <row r="146" spans="1:292" ht="34.799999999999997" x14ac:dyDescent="0.25">
      <c r="A146" s="141"/>
      <c r="B146" s="119"/>
      <c r="C146" s="92"/>
      <c r="D146" s="92"/>
      <c r="E146" s="93"/>
      <c r="F146" s="92"/>
      <c r="G146" s="92"/>
      <c r="H146" s="92"/>
      <c r="I146" s="92"/>
      <c r="J146" s="122"/>
      <c r="K146" s="95" t="e">
        <f>VLOOKUP((InputTable[[#This Row],[Starting Date]]&amp; " - " &amp;InputTable[[#This Row],[Delivery Date]]),'System List'!$F$40:$H$83,2,FALSE)</f>
        <v>#N/A</v>
      </c>
      <c r="L146" s="95" t="e">
        <f>VLOOKUP(InputTable[[#This Row],[Duration]],Duration,2,FALSE)</f>
        <v>#N/A</v>
      </c>
      <c r="M146" s="122"/>
      <c r="N146" s="92"/>
      <c r="O146" s="92"/>
      <c r="P146" s="92"/>
      <c r="Q146" s="92"/>
      <c r="R146" s="92"/>
      <c r="S146" s="92"/>
      <c r="T146" s="95"/>
      <c r="U146" s="138"/>
      <c r="V146" s="92"/>
      <c r="W146" s="92"/>
      <c r="X146" s="92"/>
      <c r="Y146" s="92"/>
      <c r="Z146" s="92"/>
      <c r="AA146" s="92"/>
      <c r="AB146" s="92"/>
      <c r="AC146" s="92"/>
      <c r="AD146" s="92">
        <f>COUNTA(InputTable[[#This Row],[CORPHRFIN]:[SALES]])</f>
        <v>0</v>
      </c>
      <c r="AE146" s="88" cm="1">
        <f t="array" ref="AE146">SUM(
_xlfn.XLOOKUP(InputTable[[#This Row],[CORPHRFIN]:[SALES]],'System List'!$F$4:$F$7,'System List'!$H$4:$H$7,0))</f>
        <v>0</v>
      </c>
      <c r="AF146" s="140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88" cm="1">
        <f t="array" ref="AR146">SUM(
_xlfn.XLOOKUP(InputTable[[#This Row],[Impact on - CIAL]:[Impact on - STRAT]],'System List'!$F$4:$F$7,'System List'!$H$4:$H$7,0))</f>
        <v>0</v>
      </c>
      <c r="AS146" s="88" t="e">
        <f>VLOOKUP(InputTable[[#This Row],[Duration]],Duration,2,FALSE)+InputTable[[#This Row],[Resource Score]]</f>
        <v>#N/A</v>
      </c>
      <c r="AT14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6" s="24" t="e">
        <f>InputTable[[#This Row],[Value Score]]/InputTable[[#This Row],[EFFORT SCORE]]*100</f>
        <v>#N/A</v>
      </c>
      <c r="AV146" s="25" t="s">
        <v>438</v>
      </c>
      <c r="AW146" s="25"/>
      <c r="AX146" s="208"/>
      <c r="AY146" s="25"/>
      <c r="AZ146" s="209">
        <v>0</v>
      </c>
      <c r="BA146" s="209">
        <v>0</v>
      </c>
      <c r="BB146" s="209"/>
      <c r="BC146" s="189"/>
      <c r="BD146" s="188"/>
      <c r="BE146" s="188"/>
      <c r="BF146" s="70"/>
      <c r="BH146" s="2">
        <f>IFERROR(VLOOKUP(InputTable[[#This Row],[Impact on - CIAL]],'System List'!$F$4:$H$7,3,FALSE),0)</f>
        <v>0</v>
      </c>
      <c r="BI146" s="2">
        <f>IFERROR(VLOOKUP(InputTable[[#This Row],[Impact on - COM]],'System List'!$F$4:$H$7,3,FALSE),0)</f>
        <v>0</v>
      </c>
      <c r="BJ146" s="2">
        <f>IFERROR(VLOOKUP(InputTable[[#This Row],[Impact on - FIN]],'System List'!$F$4:$H$7,3,FALSE),0)</f>
        <v>0</v>
      </c>
      <c r="BK146" s="2">
        <f>IFERROR(VLOOKUP(InputTable[[#This Row],[Impact on - GEN SEC]],'System List'!$F$4:$H$7,3,FALSE),0)</f>
        <v>0</v>
      </c>
      <c r="BL146" s="2">
        <f>IFERROR(VLOOKUP(InputTable[[#This Row],[Impact on - HR]],'System List'!$F$4:$H$7,3,FALSE),0)</f>
        <v>0</v>
      </c>
      <c r="BM146" s="2">
        <f>IFERROR(VLOOKUP(InputTable[[#This Row],[Impact on - IS]],'System List'!$F$4:$H$7,3,FALSE),0)</f>
        <v>0</v>
      </c>
      <c r="BN146" s="2">
        <f>IFERROR(VLOOKUP(InputTable[[#This Row],[Impact on - OPS]],'System List'!$F$4:$H$7,3,FALSE),0)</f>
        <v>0</v>
      </c>
      <c r="BO146" s="2">
        <f>IFERROR(VLOOKUP(InputTable[[#This Row],[Impact on - ROLL STOCK]],'System List'!$F$4:$H$7,3,FALSE),0)</f>
        <v>0</v>
      </c>
      <c r="BP146" s="2">
        <f>IFERROR(VLOOKUP(InputTable[[#This Row],[Impact on - SAFETY]],'System List'!$F$4:$H$7,3,FALSE),0)</f>
        <v>0</v>
      </c>
      <c r="BQ146" s="2">
        <f>IFERROR(VLOOKUP(InputTable[[#This Row],[Impact on - STATION]],'System List'!$F$4:$H$7,3,FALSE),0)</f>
        <v>0</v>
      </c>
      <c r="BR146" s="2">
        <f>IFERROR(VLOOKUP(InputTable[[#This Row],[Impact on - STRAT]],'System List'!$F$4:$H$7,3,FALSE),0)</f>
        <v>0</v>
      </c>
      <c r="BT146" s="2">
        <f>IFERROR(VLOOKUP(InputTable[[#This Row],[CORPHRFIN]],'System List'!$F$4:$H$7,3,FALSE),0)</f>
        <v>0</v>
      </c>
      <c r="BU146" s="2">
        <f>IFERROR(VLOOKUP(InputTable[[#This Row],[CUST]],'System List'!$F$4:$H$7,3,FALSE),0)</f>
        <v>0</v>
      </c>
      <c r="BV146" s="2">
        <f>IFERROR(VLOOKUP(InputTable[[#This Row],[CYBER]],'System List'!$F$4:$H$7,3,FALSE),0)</f>
        <v>0</v>
      </c>
      <c r="BW146" s="2">
        <f>IFERROR(VLOOKUP(InputTable[[#This Row],[DATA]],'System List'!$F$4:$H$7,3,FALSE),0)</f>
        <v>0</v>
      </c>
      <c r="BX146" s="2">
        <f>IFERROR(VLOOKUP(InputTable[[#This Row],[INFRA]],'System List'!$F$4:$H$7,3,FALSE),0)</f>
        <v>0</v>
      </c>
      <c r="BY146" s="2">
        <f>IFERROR(VLOOKUP(InputTable[[#This Row],[OPERATIONS]],'System List'!$F$4:$H$7,3,FALSE),0)</f>
        <v>0</v>
      </c>
      <c r="BZ146" s="2">
        <f>IFERROR(VLOOKUP(InputTable[[#This Row],[PMO]],'System List'!$F$4:$H$7,3,FALSE),0)</f>
        <v>0</v>
      </c>
      <c r="CA146" s="2">
        <f>IFERROR(VLOOKUP(InputTable[[#This Row],[SALES]],'System List'!$F$4:$H$7,3,FALSE),0)</f>
        <v>0</v>
      </c>
      <c r="CC146" s="2" cm="1">
        <f t="array" ref="CC14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6" s="2" cm="1">
        <f t="array" ref="CD14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6" s="2" cm="1">
        <f t="array" ref="CE14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6" s="2" cm="1">
        <f t="array" ref="CF14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6" s="2" cm="1">
        <f t="array" ref="CG14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6" s="2" cm="1">
        <f t="array" ref="CH14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6" s="2" cm="1">
        <f t="array" ref="CI14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6" s="2" cm="1">
        <f t="array" ref="CJ14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6" s="2" cm="1">
        <f t="array" ref="CK14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6" s="26">
        <f t="shared" si="379"/>
        <v>0</v>
      </c>
      <c r="CY146" s="26">
        <f t="shared" si="380"/>
        <v>0</v>
      </c>
      <c r="CZ146" s="26">
        <f t="shared" si="381"/>
        <v>0</v>
      </c>
      <c r="DA146" s="26">
        <f t="shared" si="382"/>
        <v>0</v>
      </c>
      <c r="DB146" s="26">
        <f t="shared" si="383"/>
        <v>0</v>
      </c>
      <c r="DC146" s="26">
        <f t="shared" si="384"/>
        <v>0</v>
      </c>
      <c r="DD146" s="26">
        <f t="shared" si="385"/>
        <v>0</v>
      </c>
      <c r="DE146" s="26">
        <f t="shared" si="386"/>
        <v>0</v>
      </c>
      <c r="DF146" s="26">
        <f t="shared" si="387"/>
        <v>0</v>
      </c>
      <c r="DH146" s="26">
        <f t="shared" si="388"/>
        <v>0</v>
      </c>
      <c r="DI146" s="26">
        <f t="shared" si="389"/>
        <v>0</v>
      </c>
      <c r="DJ146" s="26">
        <f t="shared" si="390"/>
        <v>0</v>
      </c>
      <c r="DK146" s="26">
        <f t="shared" si="391"/>
        <v>0</v>
      </c>
      <c r="DL146" s="26">
        <f t="shared" si="392"/>
        <v>0</v>
      </c>
      <c r="DM146" s="26">
        <f t="shared" si="393"/>
        <v>0</v>
      </c>
      <c r="DN146" s="26">
        <f t="shared" si="394"/>
        <v>0</v>
      </c>
      <c r="DO146" s="26">
        <f t="shared" si="395"/>
        <v>0</v>
      </c>
      <c r="DP146" s="26">
        <f t="shared" si="396"/>
        <v>0</v>
      </c>
      <c r="DR146" s="26">
        <f t="shared" si="397"/>
        <v>0</v>
      </c>
      <c r="DS146" s="26">
        <f t="shared" si="398"/>
        <v>0</v>
      </c>
      <c r="DT146" s="26">
        <f t="shared" si="399"/>
        <v>0</v>
      </c>
      <c r="DU146" s="26">
        <f t="shared" si="400"/>
        <v>0</v>
      </c>
      <c r="DV146" s="26">
        <f t="shared" si="401"/>
        <v>0</v>
      </c>
      <c r="DW146" s="26">
        <f t="shared" si="402"/>
        <v>0</v>
      </c>
      <c r="DX146" s="26">
        <f t="shared" si="403"/>
        <v>0</v>
      </c>
      <c r="DY146" s="26">
        <f t="shared" si="404"/>
        <v>0</v>
      </c>
      <c r="DZ146" s="26">
        <f t="shared" si="405"/>
        <v>0</v>
      </c>
      <c r="EB146" s="26">
        <f t="shared" si="406"/>
        <v>0</v>
      </c>
      <c r="EC146" s="26">
        <f t="shared" si="407"/>
        <v>0</v>
      </c>
      <c r="ED146" s="26">
        <f t="shared" si="408"/>
        <v>0</v>
      </c>
      <c r="EE146" s="26">
        <f t="shared" si="409"/>
        <v>0</v>
      </c>
      <c r="EF146" s="26">
        <f t="shared" si="410"/>
        <v>0</v>
      </c>
      <c r="EG146" s="26">
        <f t="shared" si="411"/>
        <v>0</v>
      </c>
      <c r="EH146" s="26">
        <f t="shared" si="412"/>
        <v>0</v>
      </c>
      <c r="EI146" s="26">
        <f t="shared" si="413"/>
        <v>0</v>
      </c>
      <c r="EJ146" s="26">
        <f t="shared" si="414"/>
        <v>0</v>
      </c>
      <c r="EL146" s="26">
        <f t="shared" si="415"/>
        <v>0</v>
      </c>
      <c r="EM146" s="26">
        <f t="shared" si="416"/>
        <v>0</v>
      </c>
      <c r="EN146" s="26">
        <f t="shared" si="417"/>
        <v>0</v>
      </c>
      <c r="EO146" s="26">
        <f t="shared" si="418"/>
        <v>0</v>
      </c>
      <c r="EP146" s="26">
        <f t="shared" si="419"/>
        <v>0</v>
      </c>
      <c r="EQ146" s="26">
        <f t="shared" si="420"/>
        <v>0</v>
      </c>
      <c r="ER146" s="26">
        <f t="shared" si="421"/>
        <v>0</v>
      </c>
      <c r="ES146" s="26">
        <f t="shared" si="422"/>
        <v>0</v>
      </c>
      <c r="ET146" s="26">
        <f t="shared" si="423"/>
        <v>0</v>
      </c>
      <c r="EV146" s="26">
        <f t="shared" si="424"/>
        <v>0</v>
      </c>
      <c r="EW146" s="26">
        <f t="shared" si="425"/>
        <v>0</v>
      </c>
      <c r="EX146" s="26">
        <f t="shared" si="426"/>
        <v>0</v>
      </c>
      <c r="EY146" s="26">
        <f t="shared" si="427"/>
        <v>0</v>
      </c>
      <c r="EZ146" s="26">
        <f t="shared" si="428"/>
        <v>0</v>
      </c>
      <c r="FA146" s="26">
        <f t="shared" si="429"/>
        <v>0</v>
      </c>
      <c r="FB146" s="26">
        <f t="shared" si="430"/>
        <v>0</v>
      </c>
      <c r="FC146" s="26">
        <f t="shared" si="431"/>
        <v>0</v>
      </c>
      <c r="FD146" s="26">
        <f t="shared" si="432"/>
        <v>0</v>
      </c>
      <c r="FF146" s="26">
        <f t="shared" si="433"/>
        <v>0</v>
      </c>
      <c r="FG146" s="26">
        <f t="shared" si="434"/>
        <v>0</v>
      </c>
      <c r="FH146" s="26">
        <f t="shared" si="435"/>
        <v>0</v>
      </c>
      <c r="FI146" s="26">
        <f t="shared" si="436"/>
        <v>0</v>
      </c>
      <c r="FJ146" s="26">
        <f t="shared" si="437"/>
        <v>0</v>
      </c>
      <c r="FK146" s="26">
        <f t="shared" si="438"/>
        <v>0</v>
      </c>
      <c r="FL146" s="26">
        <f t="shared" si="439"/>
        <v>0</v>
      </c>
      <c r="FM146" s="26">
        <f t="shared" si="440"/>
        <v>0</v>
      </c>
      <c r="FN146" s="26">
        <f t="shared" si="441"/>
        <v>0</v>
      </c>
      <c r="FP146" s="26" t="e">
        <f t="shared" si="442"/>
        <v>#REF!</v>
      </c>
      <c r="FQ146" s="26" t="e">
        <f t="shared" si="443"/>
        <v>#REF!</v>
      </c>
      <c r="FR146" s="26" t="e">
        <f t="shared" si="444"/>
        <v>#REF!</v>
      </c>
      <c r="FS146" s="26" t="e">
        <f t="shared" si="445"/>
        <v>#REF!</v>
      </c>
      <c r="FT146" s="26" t="e">
        <f t="shared" si="446"/>
        <v>#REF!</v>
      </c>
      <c r="FU146" s="26" t="e">
        <f t="shared" si="447"/>
        <v>#REF!</v>
      </c>
      <c r="FV146" s="26" t="e">
        <f t="shared" si="448"/>
        <v>#REF!</v>
      </c>
      <c r="FW146" s="26" t="e">
        <f t="shared" si="449"/>
        <v>#REF!</v>
      </c>
      <c r="FX146" s="26" t="e">
        <f t="shared" si="450"/>
        <v>#REF!</v>
      </c>
      <c r="GB146" s="26" t="e">
        <f>IF(GB$2=InputTable[[#This Row],[Delivery Date]],_xlfn.XLOOKUP(GB$1,$BH$2:$BR$2,$BH146:$BR146,0),0)</f>
        <v>#REF!</v>
      </c>
      <c r="GC146" s="26">
        <f>IF(GC$2=InputTable[[#This Row],[Delivery Date]],_xlfn.XLOOKUP(GC$1,$BH$2:$BR$2,$BH146:$BR146,0),0)</f>
        <v>0</v>
      </c>
      <c r="GD146" s="26">
        <f>IF(GD$2=InputTable[[#This Row],[Delivery Date]],_xlfn.XLOOKUP(GD$1,$BH$2:$BR$2,$BH146:$BR146,0),0)</f>
        <v>0</v>
      </c>
      <c r="GE146" s="26">
        <f>IF(GE$2=InputTable[[#This Row],[Delivery Date]],_xlfn.XLOOKUP(GE$1,$BH$2:$BR$2,$BH146:$BR146,0),0)</f>
        <v>0</v>
      </c>
      <c r="GF146" s="26">
        <f>IF(GF$2=InputTable[[#This Row],[Delivery Date]],_xlfn.XLOOKUP(GF$1,$BH$2:$BR$2,$BH146:$BR146,0),0)</f>
        <v>0</v>
      </c>
      <c r="GG146" s="26">
        <f>IF(GG$2=InputTable[[#This Row],[Delivery Date]],_xlfn.XLOOKUP(GG$1,$BH$2:$BR$2,$BH146:$BR146,0),0)</f>
        <v>0</v>
      </c>
      <c r="GH146" s="26">
        <f>IF(GH$2=InputTable[[#This Row],[Delivery Date]],_xlfn.XLOOKUP(GH$1,$BH$2:$BR$2,$BH146:$BR146,0),0)</f>
        <v>0</v>
      </c>
      <c r="GI146" s="26">
        <f>IF(GI$2=InputTable[[#This Row],[Delivery Date]],_xlfn.XLOOKUP(GI$1,$BH$2:$BR$2,$BH146:$BR146,0),0)</f>
        <v>0</v>
      </c>
      <c r="GJ146" s="26">
        <f>IF(GJ$2=InputTable[[#This Row],[Delivery Date]],_xlfn.XLOOKUP(GJ$1,$BH$2:$BR$2,$BH146:$BR146,0),0)</f>
        <v>0</v>
      </c>
      <c r="GL146" s="26" t="e">
        <f>IF(GL$2=InputTable[[#This Row],[Delivery Date]],_xlfn.XLOOKUP(GL$1,$BH$2:$BR$2,$BH146:$BR146,0),0)</f>
        <v>#REF!</v>
      </c>
      <c r="GM146" s="26">
        <f>IF(GM$2=InputTable[[#This Row],[Delivery Date]],_xlfn.XLOOKUP(GM$1,$BH$2:$BR$2,$BH146:$BR146,0),0)</f>
        <v>0</v>
      </c>
      <c r="GN146" s="26">
        <f>IF(GN$2=InputTable[[#This Row],[Delivery Date]],_xlfn.XLOOKUP(GN$1,$BH$2:$BR$2,$BH146:$BR146,0),0)</f>
        <v>0</v>
      </c>
      <c r="GO146" s="26">
        <f>IF(GO$2=InputTable[[#This Row],[Delivery Date]],_xlfn.XLOOKUP(GO$1,$BH$2:$BR$2,$BH146:$BR146,0),0)</f>
        <v>0</v>
      </c>
      <c r="GP146" s="26">
        <f>IF(GP$2=InputTable[[#This Row],[Delivery Date]],_xlfn.XLOOKUP(GP$1,$BH$2:$BR$2,$BH146:$BR146,0),0)</f>
        <v>0</v>
      </c>
      <c r="GQ146" s="26">
        <f>IF(GQ$2=InputTable[[#This Row],[Delivery Date]],_xlfn.XLOOKUP(GQ$1,$BH$2:$BR$2,$BH146:$BR146,0),0)</f>
        <v>0</v>
      </c>
      <c r="GR146" s="26">
        <f>IF(GR$2=InputTable[[#This Row],[Delivery Date]],_xlfn.XLOOKUP(GR$1,$BH$2:$BR$2,$BH146:$BR146,0),0)</f>
        <v>0</v>
      </c>
      <c r="GS146" s="26">
        <f>IF(GS$2=InputTable[[#This Row],[Delivery Date]],_xlfn.XLOOKUP(GS$1,$BH$2:$BR$2,$BH146:$BR146,0),0)</f>
        <v>0</v>
      </c>
      <c r="GT146" s="26">
        <f>IF(GT$2=InputTable[[#This Row],[Delivery Date]],_xlfn.XLOOKUP(GT$1,$BH$2:$BR$2,$BH146:$BR146,0),0)</f>
        <v>0</v>
      </c>
      <c r="GV146" s="26" t="e">
        <f>IF(GV$2=InputTable[[#This Row],[Delivery Date]],_xlfn.XLOOKUP(GV$1,$BH$2:$BR$2,$BH146:$BR146,0),0)</f>
        <v>#REF!</v>
      </c>
      <c r="GW146" s="26">
        <f>IF(GW$2=InputTable[[#This Row],[Delivery Date]],_xlfn.XLOOKUP(GW$1,$BH$2:$BR$2,$BH146:$BR146,0),0)</f>
        <v>0</v>
      </c>
      <c r="GX146" s="26">
        <f>IF(GX$2=InputTable[[#This Row],[Delivery Date]],_xlfn.XLOOKUP(GX$1,$BH$2:$BR$2,$BH146:$BR146,0),0)</f>
        <v>0</v>
      </c>
      <c r="GY146" s="26">
        <f>IF(GY$2=InputTable[[#This Row],[Delivery Date]],_xlfn.XLOOKUP(GY$1,$BH$2:$BR$2,$BH146:$BR146,0),0)</f>
        <v>0</v>
      </c>
      <c r="GZ146" s="26">
        <f>IF(GZ$2=InputTable[[#This Row],[Delivery Date]],_xlfn.XLOOKUP(GZ$1,$BH$2:$BR$2,$BH146:$BR146,0),0)</f>
        <v>0</v>
      </c>
      <c r="HA146" s="26">
        <f>IF(HA$2=InputTable[[#This Row],[Delivery Date]],_xlfn.XLOOKUP(HA$1,$BH$2:$BR$2,$BH146:$BR146,0),0)</f>
        <v>0</v>
      </c>
      <c r="HB146" s="26">
        <f>IF(HB$2=InputTable[[#This Row],[Delivery Date]],_xlfn.XLOOKUP(HB$1,$BH$2:$BR$2,$BH146:$BR146,0),0)</f>
        <v>0</v>
      </c>
      <c r="HC146" s="26">
        <f>IF(HC$2=InputTable[[#This Row],[Delivery Date]],_xlfn.XLOOKUP(HC$1,$BH$2:$BR$2,$BH146:$BR146,0),0)</f>
        <v>0</v>
      </c>
      <c r="HD146" s="26">
        <f>IF(HD$2=InputTable[[#This Row],[Delivery Date]],_xlfn.XLOOKUP(HD$1,$BH$2:$BR$2,$BH146:$BR146,0),0)</f>
        <v>0</v>
      </c>
      <c r="HF146" s="26" t="e">
        <f>IF(HF$2=InputTable[[#This Row],[Delivery Date]],_xlfn.XLOOKUP(HF$1,$BH$2:$BR$2,$BH146:$BR146,0),0)</f>
        <v>#REF!</v>
      </c>
      <c r="HG146" s="26">
        <f>IF(HG$2=InputTable[[#This Row],[Delivery Date]],_xlfn.XLOOKUP(HG$1,$BH$2:$BR$2,$BH146:$BR146,0),0)</f>
        <v>0</v>
      </c>
      <c r="HH146" s="26">
        <f>IF(HH$2=InputTable[[#This Row],[Delivery Date]],_xlfn.XLOOKUP(HH$1,$BH$2:$BR$2,$BH146:$BR146,0),0)</f>
        <v>0</v>
      </c>
      <c r="HI146" s="26">
        <f>IF(HI$2=InputTable[[#This Row],[Delivery Date]],_xlfn.XLOOKUP(HI$1,$BH$2:$BR$2,$BH146:$BR146,0),0)</f>
        <v>0</v>
      </c>
      <c r="HJ146" s="26">
        <f>IF(HJ$2=InputTable[[#This Row],[Delivery Date]],_xlfn.XLOOKUP(HJ$1,$BH$2:$BR$2,$BH146:$BR146,0),0)</f>
        <v>0</v>
      </c>
      <c r="HK146" s="26">
        <f>IF(HK$2=InputTable[[#This Row],[Delivery Date]],_xlfn.XLOOKUP(HK$1,$BH$2:$BR$2,$BH146:$BR146,0),0)</f>
        <v>0</v>
      </c>
      <c r="HL146" s="26">
        <f>IF(HL$2=InputTable[[#This Row],[Delivery Date]],_xlfn.XLOOKUP(HL$1,$BH$2:$BR$2,$BH146:$BR146,0),0)</f>
        <v>0</v>
      </c>
      <c r="HM146" s="26">
        <f>IF(HM$2=InputTable[[#This Row],[Delivery Date]],_xlfn.XLOOKUP(HM$1,$BH$2:$BR$2,$BH146:$BR146,0),0)</f>
        <v>0</v>
      </c>
      <c r="HN146" s="26">
        <f>IF(HN$2=InputTable[[#This Row],[Delivery Date]],_xlfn.XLOOKUP(HN$1,$BH$2:$BR$2,$BH146:$BR146,0),0)</f>
        <v>0</v>
      </c>
      <c r="HP146" s="26" t="e">
        <f>IF(HP$2=InputTable[[#This Row],[Delivery Date]],_xlfn.XLOOKUP(HP$1,$BH$2:$BR$2,$BH146:$BR146,0),0)</f>
        <v>#REF!</v>
      </c>
      <c r="HQ146" s="26">
        <f>IF(HQ$2=InputTable[[#This Row],[Delivery Date]],_xlfn.XLOOKUP(HQ$1,$BH$2:$BR$2,$BH146:$BR146,0),0)</f>
        <v>0</v>
      </c>
      <c r="HR146" s="26">
        <f>IF(HR$2=InputTable[[#This Row],[Delivery Date]],_xlfn.XLOOKUP(HR$1,$BH$2:$BR$2,$BH146:$BR146,0),0)</f>
        <v>0</v>
      </c>
      <c r="HS146" s="26">
        <f>IF(HS$2=InputTable[[#This Row],[Delivery Date]],_xlfn.XLOOKUP(HS$1,$BH$2:$BR$2,$BH146:$BR146,0),0)</f>
        <v>0</v>
      </c>
      <c r="HT146" s="26">
        <f>IF(HT$2=InputTable[[#This Row],[Delivery Date]],_xlfn.XLOOKUP(HT$1,$BH$2:$BR$2,$BH146:$BR146,0),0)</f>
        <v>0</v>
      </c>
      <c r="HU146" s="26">
        <f>IF(HU$2=InputTable[[#This Row],[Delivery Date]],_xlfn.XLOOKUP(HU$1,$BH$2:$BR$2,$BH146:$BR146,0),0)</f>
        <v>0</v>
      </c>
      <c r="HV146" s="26">
        <f>IF(HV$2=InputTable[[#This Row],[Delivery Date]],_xlfn.XLOOKUP(HV$1,$BH$2:$BR$2,$BH146:$BR146,0),0)</f>
        <v>0</v>
      </c>
      <c r="HW146" s="26">
        <f>IF(HW$2=InputTable[[#This Row],[Delivery Date]],_xlfn.XLOOKUP(HW$1,$BH$2:$BR$2,$BH146:$BR146,0),0)</f>
        <v>0</v>
      </c>
      <c r="HX146" s="26">
        <f>IF(HX$2=InputTable[[#This Row],[Delivery Date]],_xlfn.XLOOKUP(HX$1,$BH$2:$BR$2,$BH146:$BR146,0),0)</f>
        <v>0</v>
      </c>
      <c r="HZ146" s="26" t="e">
        <f>IF(HZ$2=InputTable[[#This Row],[Delivery Date]],_xlfn.XLOOKUP(HZ$1,$BH$2:$BR$2,$BH146:$BR146,0),0)</f>
        <v>#REF!</v>
      </c>
      <c r="IA146" s="26">
        <f>IF(IA$2=InputTable[[#This Row],[Delivery Date]],_xlfn.XLOOKUP(IA$1,$BH$2:$BR$2,$BH146:$BR146,0),0)</f>
        <v>0</v>
      </c>
      <c r="IB146" s="26">
        <f>IF(IB$2=InputTable[[#This Row],[Delivery Date]],_xlfn.XLOOKUP(IB$1,$BH$2:$BR$2,$BH146:$BR146,0),0)</f>
        <v>0</v>
      </c>
      <c r="IC146" s="26">
        <f>IF(IC$2=InputTable[[#This Row],[Delivery Date]],_xlfn.XLOOKUP(IC$1,$BH$2:$BR$2,$BH146:$BR146,0),0)</f>
        <v>0</v>
      </c>
      <c r="ID146" s="26">
        <f>IF(ID$2=InputTable[[#This Row],[Delivery Date]],_xlfn.XLOOKUP(ID$1,$BH$2:$BR$2,$BH146:$BR146,0),0)</f>
        <v>0</v>
      </c>
      <c r="IE146" s="26">
        <f>IF(IE$2=InputTable[[#This Row],[Delivery Date]],_xlfn.XLOOKUP(IE$1,$BH$2:$BR$2,$BH146:$BR146,0),0)</f>
        <v>0</v>
      </c>
      <c r="IF146" s="26">
        <f>IF(IF$2=InputTable[[#This Row],[Delivery Date]],_xlfn.XLOOKUP(IF$1,$BH$2:$BR$2,$BH146:$BR146,0),0)</f>
        <v>0</v>
      </c>
      <c r="IG146" s="26">
        <f>IF(IG$2=InputTable[[#This Row],[Delivery Date]],_xlfn.XLOOKUP(IG$1,$BH$2:$BR$2,$BH146:$BR146,0),0)</f>
        <v>0</v>
      </c>
      <c r="IH146" s="26">
        <f>IF(IH$2=InputTable[[#This Row],[Delivery Date]],_xlfn.XLOOKUP(IH$1,$BH$2:$BR$2,$BH146:$BR146,0),0)</f>
        <v>0</v>
      </c>
      <c r="IJ146" s="26" t="e">
        <f>IF(IJ$2=InputTable[[#This Row],[Delivery Date]],_xlfn.XLOOKUP(IJ$1,$BH$2:$BR$2,$BH146:$BR146,0),0)</f>
        <v>#REF!</v>
      </c>
      <c r="IK146" s="26">
        <f>IF(IK$2=InputTable[[#This Row],[Delivery Date]],_xlfn.XLOOKUP(IK$1,$BH$2:$BR$2,$BH146:$BR146,0),0)</f>
        <v>0</v>
      </c>
      <c r="IL146" s="26">
        <f>IF(IL$2=InputTable[[#This Row],[Delivery Date]],_xlfn.XLOOKUP(IL$1,$BH$2:$BR$2,$BH146:$BR146,0),0)</f>
        <v>0</v>
      </c>
      <c r="IM146" s="26">
        <f>IF(IM$2=InputTable[[#This Row],[Delivery Date]],_xlfn.XLOOKUP(IM$1,$BH$2:$BR$2,$BH146:$BR146,0),0)</f>
        <v>0</v>
      </c>
      <c r="IN146" s="26">
        <f>IF(IN$2=InputTable[[#This Row],[Delivery Date]],_xlfn.XLOOKUP(IN$1,$BH$2:$BR$2,$BH146:$BR146,0),0)</f>
        <v>0</v>
      </c>
      <c r="IO146" s="26">
        <f>IF(IO$2=InputTable[[#This Row],[Delivery Date]],_xlfn.XLOOKUP(IO$1,$BH$2:$BR$2,$BH146:$BR146,0),0)</f>
        <v>0</v>
      </c>
      <c r="IP146" s="26">
        <f>IF(IP$2=InputTable[[#This Row],[Delivery Date]],_xlfn.XLOOKUP(IP$1,$BH$2:$BR$2,$BH146:$BR146,0),0)</f>
        <v>0</v>
      </c>
      <c r="IQ146" s="26">
        <f>IF(IQ$2=InputTable[[#This Row],[Delivery Date]],_xlfn.XLOOKUP(IQ$1,$BH$2:$BR$2,$BH146:$BR146,0),0)</f>
        <v>0</v>
      </c>
      <c r="IR146" s="26">
        <f>IF(IR$2=InputTable[[#This Row],[Delivery Date]],_xlfn.XLOOKUP(IR$1,$BH$2:$BR$2,$BH146:$BR146,0),0)</f>
        <v>0</v>
      </c>
      <c r="IT146" s="26" t="e">
        <f>IF(IT$2=InputTable[[#This Row],[Delivery Date]],_xlfn.XLOOKUP(IT$1,$BH$2:$BR$2,$BH146:$BR146,0),0)</f>
        <v>#REF!</v>
      </c>
      <c r="IU146" s="26">
        <f>IF(IU$2=InputTable[[#This Row],[Delivery Date]],_xlfn.XLOOKUP(IU$1,$BH$2:$BR$2,$BH146:$BR146,0),0)</f>
        <v>0</v>
      </c>
      <c r="IV146" s="26">
        <f>IF(IV$2=InputTable[[#This Row],[Delivery Date]],_xlfn.XLOOKUP(IV$1,$BH$2:$BR$2,$BH146:$BR146,0),0)</f>
        <v>0</v>
      </c>
      <c r="IW146" s="26">
        <f>IF(IW$2=InputTable[[#This Row],[Delivery Date]],_xlfn.XLOOKUP(IW$1,$BH$2:$BR$2,$BH146:$BR146,0),0)</f>
        <v>0</v>
      </c>
      <c r="IX146" s="26">
        <f>IF(IX$2=InputTable[[#This Row],[Delivery Date]],_xlfn.XLOOKUP(IX$1,$BH$2:$BR$2,$BH146:$BR146,0),0)</f>
        <v>0</v>
      </c>
      <c r="IY146" s="26">
        <f>IF(IY$2=InputTable[[#This Row],[Delivery Date]],_xlfn.XLOOKUP(IY$1,$BH$2:$BR$2,$BH146:$BR146,0),0)</f>
        <v>0</v>
      </c>
      <c r="IZ146" s="26">
        <f>IF(IZ$2=InputTable[[#This Row],[Delivery Date]],_xlfn.XLOOKUP(IZ$1,$BH$2:$BR$2,$BH146:$BR146,0),0)</f>
        <v>0</v>
      </c>
      <c r="JA146" s="26">
        <f>IF(JA$2=InputTable[[#This Row],[Delivery Date]],_xlfn.XLOOKUP(JA$1,$BH$2:$BR$2,$BH146:$BR146,0),0)</f>
        <v>0</v>
      </c>
      <c r="JB146" s="26">
        <f>IF(JB$2=InputTable[[#This Row],[Delivery Date]],_xlfn.XLOOKUP(JB$1,$BH$2:$BR$2,$BH146:$BR146,0),0)</f>
        <v>0</v>
      </c>
      <c r="JD146" s="26" t="e">
        <f>IF(JD$2=InputTable[[#This Row],[Delivery Date]],_xlfn.XLOOKUP(JD$1,$BH$2:$BR$2,$BH146:$BR146,0),0)</f>
        <v>#REF!</v>
      </c>
      <c r="JE146" s="26">
        <f>IF(JE$2=InputTable[[#This Row],[Delivery Date]],_xlfn.XLOOKUP(JE$1,$BH$2:$BR$2,$BH146:$BR146,0),0)</f>
        <v>0</v>
      </c>
      <c r="JF146" s="26">
        <f>IF(JF$2=InputTable[[#This Row],[Delivery Date]],_xlfn.XLOOKUP(JF$1,$BH$2:$BR$2,$BH146:$BR146,0),0)</f>
        <v>0</v>
      </c>
      <c r="JG146" s="26">
        <f>IF(JG$2=InputTable[[#This Row],[Delivery Date]],_xlfn.XLOOKUP(JG$1,$BH$2:$BR$2,$BH146:$BR146,0),0)</f>
        <v>0</v>
      </c>
      <c r="JH146" s="26">
        <f>IF(JH$2=InputTable[[#This Row],[Delivery Date]],_xlfn.XLOOKUP(JH$1,$BH$2:$BR$2,$BH146:$BR146,0),0)</f>
        <v>0</v>
      </c>
      <c r="JI146" s="26">
        <f>IF(JI$2=InputTable[[#This Row],[Delivery Date]],_xlfn.XLOOKUP(JI$1,$BH$2:$BR$2,$BH146:$BR146,0),0)</f>
        <v>0</v>
      </c>
      <c r="JJ146" s="26">
        <f>IF(JJ$2=InputTable[[#This Row],[Delivery Date]],_xlfn.XLOOKUP(JJ$1,$BH$2:$BR$2,$BH146:$BR146,0),0)</f>
        <v>0</v>
      </c>
      <c r="JK146" s="26">
        <f>IF(JK$2=InputTable[[#This Row],[Delivery Date]],_xlfn.XLOOKUP(JK$1,$BH$2:$BR$2,$BH146:$BR146,0),0)</f>
        <v>0</v>
      </c>
      <c r="JL146" s="26">
        <f>IF(JL$2=InputTable[[#This Row],[Delivery Date]],_xlfn.XLOOKUP(JL$1,$BH$2:$BR$2,$BH146:$BR146,0),0)</f>
        <v>0</v>
      </c>
      <c r="JN146" s="26" t="e">
        <f>IF(JN$2=InputTable[[#This Row],[Delivery Date]],_xlfn.XLOOKUP(JN$1,$BH$2:$BR$2,$BH146:$BR146,0),0)</f>
        <v>#REF!</v>
      </c>
      <c r="JO146" s="26">
        <f>IF(JO$2=InputTable[[#This Row],[Delivery Date]],_xlfn.XLOOKUP(JO$1,$BH$2:$BR$2,$BH146:$BR146,0),0)</f>
        <v>0</v>
      </c>
      <c r="JP146" s="26">
        <f>IF(JP$2=InputTable[[#This Row],[Delivery Date]],_xlfn.XLOOKUP(JP$1,$BH$2:$BR$2,$BH146:$BR146,0),0)</f>
        <v>0</v>
      </c>
      <c r="JQ146" s="26">
        <f>IF(JQ$2=InputTable[[#This Row],[Delivery Date]],_xlfn.XLOOKUP(JQ$1,$BH$2:$BR$2,$BH146:$BR146,0),0)</f>
        <v>0</v>
      </c>
      <c r="JR146" s="26">
        <f>IF(JR$2=InputTable[[#This Row],[Delivery Date]],_xlfn.XLOOKUP(JR$1,$BH$2:$BR$2,$BH146:$BR146,0),0)</f>
        <v>0</v>
      </c>
      <c r="JS146" s="26">
        <f>IF(JS$2=InputTable[[#This Row],[Delivery Date]],_xlfn.XLOOKUP(JS$1,$BH$2:$BR$2,$BH146:$BR146,0),0)</f>
        <v>0</v>
      </c>
      <c r="JT146" s="26">
        <f>IF(JT$2=InputTable[[#This Row],[Delivery Date]],_xlfn.XLOOKUP(JT$1,$BH$2:$BR$2,$BH146:$BR146,0),0)</f>
        <v>0</v>
      </c>
      <c r="JU146" s="26">
        <f>IF(JU$2=InputTable[[#This Row],[Delivery Date]],_xlfn.XLOOKUP(JU$1,$BH$2:$BR$2,$BH146:$BR146,0),0)</f>
        <v>0</v>
      </c>
      <c r="JV146" s="26">
        <f>IF(JV$2=InputTable[[#This Row],[Delivery Date]],_xlfn.XLOOKUP(JV$1,$BH$2:$BR$2,$BH146:$BR146,0),0)</f>
        <v>0</v>
      </c>
      <c r="JX146" s="26" t="e">
        <f>IF(JX$2=InputTable[[#This Row],[Delivery Date]],_xlfn.XLOOKUP(JX$1,$BH$2:$BR$2,$BH146:$BR146,0),0)</f>
        <v>#REF!</v>
      </c>
      <c r="JY146" s="26">
        <f>IF(JY$2=InputTable[[#This Row],[Delivery Date]],_xlfn.XLOOKUP(JY$1,$BH$2:$BR$2,$BH146:$BR146,0),0)</f>
        <v>0</v>
      </c>
      <c r="JZ146" s="26">
        <f>IF(JZ$2=InputTable[[#This Row],[Delivery Date]],_xlfn.XLOOKUP(JZ$1,$BH$2:$BR$2,$BH146:$BR146,0),0)</f>
        <v>0</v>
      </c>
      <c r="KA146" s="26">
        <f>IF(KA$2=InputTable[[#This Row],[Delivery Date]],_xlfn.XLOOKUP(KA$1,$BH$2:$BR$2,$BH146:$BR146,0),0)</f>
        <v>0</v>
      </c>
      <c r="KB146" s="26">
        <f>IF(KB$2=InputTable[[#This Row],[Delivery Date]],_xlfn.XLOOKUP(KB$1,$BH$2:$BR$2,$BH146:$BR146,0),0)</f>
        <v>0</v>
      </c>
      <c r="KC146" s="26">
        <f>IF(KC$2=InputTable[[#This Row],[Delivery Date]],_xlfn.XLOOKUP(KC$1,$BH$2:$BR$2,$BH146:$BR146,0),0)</f>
        <v>0</v>
      </c>
      <c r="KD146" s="26">
        <f>IF(KD$2=InputTable[[#This Row],[Delivery Date]],_xlfn.XLOOKUP(KD$1,$BH$2:$BR$2,$BH146:$BR146,0),0)</f>
        <v>0</v>
      </c>
      <c r="KE146" s="26">
        <f>IF(KE$2=InputTable[[#This Row],[Delivery Date]],_xlfn.XLOOKUP(KE$1,$BH$2:$BR$2,$BH146:$BR146,0),0)</f>
        <v>0</v>
      </c>
      <c r="KF146" s="26">
        <f>IF(KF$2=InputTable[[#This Row],[Delivery Date]],_xlfn.XLOOKUP(KF$1,$BH$2:$BR$2,$BH146:$BR146,0),0)</f>
        <v>0</v>
      </c>
    </row>
    <row r="147" spans="1:292" ht="34.799999999999997" x14ac:dyDescent="0.25">
      <c r="A147" s="141"/>
      <c r="B147" s="119"/>
      <c r="C147" s="92"/>
      <c r="D147" s="92"/>
      <c r="E147" s="93"/>
      <c r="F147" s="92"/>
      <c r="G147" s="92"/>
      <c r="H147" s="92"/>
      <c r="I147" s="92"/>
      <c r="J147" s="122"/>
      <c r="K147" s="95" t="e">
        <f>VLOOKUP((InputTable[[#This Row],[Starting Date]]&amp; " - " &amp;InputTable[[#This Row],[Delivery Date]]),'System List'!$F$40:$H$83,2,FALSE)</f>
        <v>#N/A</v>
      </c>
      <c r="L147" s="95" t="e">
        <f>VLOOKUP(InputTable[[#This Row],[Duration]],Duration,2,FALSE)</f>
        <v>#N/A</v>
      </c>
      <c r="M147" s="122"/>
      <c r="N147" s="92"/>
      <c r="O147" s="92"/>
      <c r="P147" s="92"/>
      <c r="Q147" s="92"/>
      <c r="R147" s="92"/>
      <c r="S147" s="92"/>
      <c r="T147" s="95"/>
      <c r="U147" s="138"/>
      <c r="V147" s="92"/>
      <c r="W147" s="92"/>
      <c r="X147" s="92"/>
      <c r="Y147" s="92"/>
      <c r="Z147" s="92"/>
      <c r="AA147" s="92"/>
      <c r="AB147" s="92"/>
      <c r="AC147" s="92"/>
      <c r="AD147" s="92">
        <f>COUNTA(InputTable[[#This Row],[CORPHRFIN]:[SALES]])</f>
        <v>0</v>
      </c>
      <c r="AE147" s="88" cm="1">
        <f t="array" ref="AE147">SUM(
_xlfn.XLOOKUP(InputTable[[#This Row],[CORPHRFIN]:[SALES]],'System List'!$F$4:$F$7,'System List'!$H$4:$H$7,0))</f>
        <v>0</v>
      </c>
      <c r="AF147" s="140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88" cm="1">
        <f t="array" ref="AR147">SUM(
_xlfn.XLOOKUP(InputTable[[#This Row],[Impact on - CIAL]:[Impact on - STRAT]],'System List'!$F$4:$F$7,'System List'!$H$4:$H$7,0))</f>
        <v>0</v>
      </c>
      <c r="AS147" s="88" t="e">
        <f>VLOOKUP(InputTable[[#This Row],[Duration]],Duration,2,FALSE)+InputTable[[#This Row],[Resource Score]]</f>
        <v>#N/A</v>
      </c>
      <c r="AT14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7" s="24" t="e">
        <f>InputTable[[#This Row],[Value Score]]/InputTable[[#This Row],[EFFORT SCORE]]*100</f>
        <v>#N/A</v>
      </c>
      <c r="AV147" s="25" t="s">
        <v>439</v>
      </c>
      <c r="AW147" s="25"/>
      <c r="AX147" s="208"/>
      <c r="AY147" s="25"/>
      <c r="AZ147" s="209">
        <v>0</v>
      </c>
      <c r="BA147" s="209">
        <v>0</v>
      </c>
      <c r="BB147" s="209"/>
      <c r="BC147" s="189"/>
      <c r="BD147" s="188"/>
      <c r="BE147" s="188"/>
      <c r="BF147" s="70"/>
      <c r="BH147" s="2">
        <f>IFERROR(VLOOKUP(InputTable[[#This Row],[Impact on - CIAL]],'System List'!$F$4:$H$7,3,FALSE),0)</f>
        <v>0</v>
      </c>
      <c r="BI147" s="2">
        <f>IFERROR(VLOOKUP(InputTable[[#This Row],[Impact on - COM]],'System List'!$F$4:$H$7,3,FALSE),0)</f>
        <v>0</v>
      </c>
      <c r="BJ147" s="2">
        <f>IFERROR(VLOOKUP(InputTable[[#This Row],[Impact on - FIN]],'System List'!$F$4:$H$7,3,FALSE),0)</f>
        <v>0</v>
      </c>
      <c r="BK147" s="2">
        <f>IFERROR(VLOOKUP(InputTable[[#This Row],[Impact on - GEN SEC]],'System List'!$F$4:$H$7,3,FALSE),0)</f>
        <v>0</v>
      </c>
      <c r="BL147" s="2">
        <f>IFERROR(VLOOKUP(InputTable[[#This Row],[Impact on - HR]],'System List'!$F$4:$H$7,3,FALSE),0)</f>
        <v>0</v>
      </c>
      <c r="BM147" s="2">
        <f>IFERROR(VLOOKUP(InputTable[[#This Row],[Impact on - IS]],'System List'!$F$4:$H$7,3,FALSE),0)</f>
        <v>0</v>
      </c>
      <c r="BN147" s="2">
        <f>IFERROR(VLOOKUP(InputTable[[#This Row],[Impact on - OPS]],'System List'!$F$4:$H$7,3,FALSE),0)</f>
        <v>0</v>
      </c>
      <c r="BO147" s="2">
        <f>IFERROR(VLOOKUP(InputTable[[#This Row],[Impact on - ROLL STOCK]],'System List'!$F$4:$H$7,3,FALSE),0)</f>
        <v>0</v>
      </c>
      <c r="BP147" s="2">
        <f>IFERROR(VLOOKUP(InputTable[[#This Row],[Impact on - SAFETY]],'System List'!$F$4:$H$7,3,FALSE),0)</f>
        <v>0</v>
      </c>
      <c r="BQ147" s="2">
        <f>IFERROR(VLOOKUP(InputTable[[#This Row],[Impact on - STATION]],'System List'!$F$4:$H$7,3,FALSE),0)</f>
        <v>0</v>
      </c>
      <c r="BR147" s="2">
        <f>IFERROR(VLOOKUP(InputTable[[#This Row],[Impact on - STRAT]],'System List'!$F$4:$H$7,3,FALSE),0)</f>
        <v>0</v>
      </c>
      <c r="BT147" s="2">
        <f>IFERROR(VLOOKUP(InputTable[[#This Row],[CORPHRFIN]],'System List'!$F$4:$H$7,3,FALSE),0)</f>
        <v>0</v>
      </c>
      <c r="BU147" s="2">
        <f>IFERROR(VLOOKUP(InputTable[[#This Row],[CUST]],'System List'!$F$4:$H$7,3,FALSE),0)</f>
        <v>0</v>
      </c>
      <c r="BV147" s="2">
        <f>IFERROR(VLOOKUP(InputTable[[#This Row],[CYBER]],'System List'!$F$4:$H$7,3,FALSE),0)</f>
        <v>0</v>
      </c>
      <c r="BW147" s="2">
        <f>IFERROR(VLOOKUP(InputTable[[#This Row],[DATA]],'System List'!$F$4:$H$7,3,FALSE),0)</f>
        <v>0</v>
      </c>
      <c r="BX147" s="2">
        <f>IFERROR(VLOOKUP(InputTable[[#This Row],[INFRA]],'System List'!$F$4:$H$7,3,FALSE),0)</f>
        <v>0</v>
      </c>
      <c r="BY147" s="2">
        <f>IFERROR(VLOOKUP(InputTable[[#This Row],[OPERATIONS]],'System List'!$F$4:$H$7,3,FALSE),0)</f>
        <v>0</v>
      </c>
      <c r="BZ147" s="2">
        <f>IFERROR(VLOOKUP(InputTable[[#This Row],[PMO]],'System List'!$F$4:$H$7,3,FALSE),0)</f>
        <v>0</v>
      </c>
      <c r="CA147" s="2">
        <f>IFERROR(VLOOKUP(InputTable[[#This Row],[SALES]],'System List'!$F$4:$H$7,3,FALSE),0)</f>
        <v>0</v>
      </c>
      <c r="CC147" s="2" cm="1">
        <f t="array" ref="CC14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7" s="2" cm="1">
        <f t="array" ref="CD14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7" s="2" cm="1">
        <f t="array" ref="CE14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7" s="2" cm="1">
        <f t="array" ref="CF14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7" s="2" cm="1">
        <f t="array" ref="CG14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7" s="2" cm="1">
        <f t="array" ref="CH14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7" s="2" cm="1">
        <f t="array" ref="CI14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7" s="2" cm="1">
        <f t="array" ref="CJ14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7" s="2" cm="1">
        <f t="array" ref="CK14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7" s="26">
        <f t="shared" si="379"/>
        <v>0</v>
      </c>
      <c r="CY147" s="26">
        <f t="shared" si="380"/>
        <v>0</v>
      </c>
      <c r="CZ147" s="26">
        <f t="shared" si="381"/>
        <v>0</v>
      </c>
      <c r="DA147" s="26">
        <f t="shared" si="382"/>
        <v>0</v>
      </c>
      <c r="DB147" s="26">
        <f t="shared" si="383"/>
        <v>0</v>
      </c>
      <c r="DC147" s="26">
        <f t="shared" si="384"/>
        <v>0</v>
      </c>
      <c r="DD147" s="26">
        <f t="shared" si="385"/>
        <v>0</v>
      </c>
      <c r="DE147" s="26">
        <f t="shared" si="386"/>
        <v>0</v>
      </c>
      <c r="DF147" s="26">
        <f t="shared" si="387"/>
        <v>0</v>
      </c>
      <c r="DH147" s="26">
        <f t="shared" si="388"/>
        <v>0</v>
      </c>
      <c r="DI147" s="26">
        <f t="shared" si="389"/>
        <v>0</v>
      </c>
      <c r="DJ147" s="26">
        <f t="shared" si="390"/>
        <v>0</v>
      </c>
      <c r="DK147" s="26">
        <f t="shared" si="391"/>
        <v>0</v>
      </c>
      <c r="DL147" s="26">
        <f t="shared" si="392"/>
        <v>0</v>
      </c>
      <c r="DM147" s="26">
        <f t="shared" si="393"/>
        <v>0</v>
      </c>
      <c r="DN147" s="26">
        <f t="shared" si="394"/>
        <v>0</v>
      </c>
      <c r="DO147" s="26">
        <f t="shared" si="395"/>
        <v>0</v>
      </c>
      <c r="DP147" s="26">
        <f t="shared" si="396"/>
        <v>0</v>
      </c>
      <c r="DR147" s="26">
        <f t="shared" si="397"/>
        <v>0</v>
      </c>
      <c r="DS147" s="26">
        <f t="shared" si="398"/>
        <v>0</v>
      </c>
      <c r="DT147" s="26">
        <f t="shared" si="399"/>
        <v>0</v>
      </c>
      <c r="DU147" s="26">
        <f t="shared" si="400"/>
        <v>0</v>
      </c>
      <c r="DV147" s="26">
        <f t="shared" si="401"/>
        <v>0</v>
      </c>
      <c r="DW147" s="26">
        <f t="shared" si="402"/>
        <v>0</v>
      </c>
      <c r="DX147" s="26">
        <f t="shared" si="403"/>
        <v>0</v>
      </c>
      <c r="DY147" s="26">
        <f t="shared" si="404"/>
        <v>0</v>
      </c>
      <c r="DZ147" s="26">
        <f t="shared" si="405"/>
        <v>0</v>
      </c>
      <c r="EB147" s="26">
        <f t="shared" si="406"/>
        <v>0</v>
      </c>
      <c r="EC147" s="26">
        <f t="shared" si="407"/>
        <v>0</v>
      </c>
      <c r="ED147" s="26">
        <f t="shared" si="408"/>
        <v>0</v>
      </c>
      <c r="EE147" s="26">
        <f t="shared" si="409"/>
        <v>0</v>
      </c>
      <c r="EF147" s="26">
        <f t="shared" si="410"/>
        <v>0</v>
      </c>
      <c r="EG147" s="26">
        <f t="shared" si="411"/>
        <v>0</v>
      </c>
      <c r="EH147" s="26">
        <f t="shared" si="412"/>
        <v>0</v>
      </c>
      <c r="EI147" s="26">
        <f t="shared" si="413"/>
        <v>0</v>
      </c>
      <c r="EJ147" s="26">
        <f t="shared" si="414"/>
        <v>0</v>
      </c>
      <c r="EL147" s="26">
        <f t="shared" si="415"/>
        <v>0</v>
      </c>
      <c r="EM147" s="26">
        <f t="shared" si="416"/>
        <v>0</v>
      </c>
      <c r="EN147" s="26">
        <f t="shared" si="417"/>
        <v>0</v>
      </c>
      <c r="EO147" s="26">
        <f t="shared" si="418"/>
        <v>0</v>
      </c>
      <c r="EP147" s="26">
        <f t="shared" si="419"/>
        <v>0</v>
      </c>
      <c r="EQ147" s="26">
        <f t="shared" si="420"/>
        <v>0</v>
      </c>
      <c r="ER147" s="26">
        <f t="shared" si="421"/>
        <v>0</v>
      </c>
      <c r="ES147" s="26">
        <f t="shared" si="422"/>
        <v>0</v>
      </c>
      <c r="ET147" s="26">
        <f t="shared" si="423"/>
        <v>0</v>
      </c>
      <c r="EV147" s="26">
        <f t="shared" si="424"/>
        <v>0</v>
      </c>
      <c r="EW147" s="26">
        <f t="shared" si="425"/>
        <v>0</v>
      </c>
      <c r="EX147" s="26">
        <f t="shared" si="426"/>
        <v>0</v>
      </c>
      <c r="EY147" s="26">
        <f t="shared" si="427"/>
        <v>0</v>
      </c>
      <c r="EZ147" s="26">
        <f t="shared" si="428"/>
        <v>0</v>
      </c>
      <c r="FA147" s="26">
        <f t="shared" si="429"/>
        <v>0</v>
      </c>
      <c r="FB147" s="26">
        <f t="shared" si="430"/>
        <v>0</v>
      </c>
      <c r="FC147" s="26">
        <f t="shared" si="431"/>
        <v>0</v>
      </c>
      <c r="FD147" s="26">
        <f t="shared" si="432"/>
        <v>0</v>
      </c>
      <c r="FF147" s="26">
        <f t="shared" si="433"/>
        <v>0</v>
      </c>
      <c r="FG147" s="26">
        <f t="shared" si="434"/>
        <v>0</v>
      </c>
      <c r="FH147" s="26">
        <f t="shared" si="435"/>
        <v>0</v>
      </c>
      <c r="FI147" s="26">
        <f t="shared" si="436"/>
        <v>0</v>
      </c>
      <c r="FJ147" s="26">
        <f t="shared" si="437"/>
        <v>0</v>
      </c>
      <c r="FK147" s="26">
        <f t="shared" si="438"/>
        <v>0</v>
      </c>
      <c r="FL147" s="26">
        <f t="shared" si="439"/>
        <v>0</v>
      </c>
      <c r="FM147" s="26">
        <f t="shared" si="440"/>
        <v>0</v>
      </c>
      <c r="FN147" s="26">
        <f t="shared" si="441"/>
        <v>0</v>
      </c>
      <c r="FP147" s="26" t="e">
        <f t="shared" si="442"/>
        <v>#REF!</v>
      </c>
      <c r="FQ147" s="26" t="e">
        <f t="shared" si="443"/>
        <v>#REF!</v>
      </c>
      <c r="FR147" s="26" t="e">
        <f t="shared" si="444"/>
        <v>#REF!</v>
      </c>
      <c r="FS147" s="26" t="e">
        <f t="shared" si="445"/>
        <v>#REF!</v>
      </c>
      <c r="FT147" s="26" t="e">
        <f t="shared" si="446"/>
        <v>#REF!</v>
      </c>
      <c r="FU147" s="26" t="e">
        <f t="shared" si="447"/>
        <v>#REF!</v>
      </c>
      <c r="FV147" s="26" t="e">
        <f t="shared" si="448"/>
        <v>#REF!</v>
      </c>
      <c r="FW147" s="26" t="e">
        <f t="shared" si="449"/>
        <v>#REF!</v>
      </c>
      <c r="FX147" s="26" t="e">
        <f t="shared" si="450"/>
        <v>#REF!</v>
      </c>
      <c r="GB147" s="26" t="e">
        <f>IF(GB$2=InputTable[[#This Row],[Delivery Date]],_xlfn.XLOOKUP(GB$1,$BH$2:$BR$2,$BH147:$BR147,0),0)</f>
        <v>#REF!</v>
      </c>
      <c r="GC147" s="26">
        <f>IF(GC$2=InputTable[[#This Row],[Delivery Date]],_xlfn.XLOOKUP(GC$1,$BH$2:$BR$2,$BH147:$BR147,0),0)</f>
        <v>0</v>
      </c>
      <c r="GD147" s="26">
        <f>IF(GD$2=InputTable[[#This Row],[Delivery Date]],_xlfn.XLOOKUP(GD$1,$BH$2:$BR$2,$BH147:$BR147,0),0)</f>
        <v>0</v>
      </c>
      <c r="GE147" s="26">
        <f>IF(GE$2=InputTable[[#This Row],[Delivery Date]],_xlfn.XLOOKUP(GE$1,$BH$2:$BR$2,$BH147:$BR147,0),0)</f>
        <v>0</v>
      </c>
      <c r="GF147" s="26">
        <f>IF(GF$2=InputTable[[#This Row],[Delivery Date]],_xlfn.XLOOKUP(GF$1,$BH$2:$BR$2,$BH147:$BR147,0),0)</f>
        <v>0</v>
      </c>
      <c r="GG147" s="26">
        <f>IF(GG$2=InputTable[[#This Row],[Delivery Date]],_xlfn.XLOOKUP(GG$1,$BH$2:$BR$2,$BH147:$BR147,0),0)</f>
        <v>0</v>
      </c>
      <c r="GH147" s="26">
        <f>IF(GH$2=InputTable[[#This Row],[Delivery Date]],_xlfn.XLOOKUP(GH$1,$BH$2:$BR$2,$BH147:$BR147,0),0)</f>
        <v>0</v>
      </c>
      <c r="GI147" s="26">
        <f>IF(GI$2=InputTable[[#This Row],[Delivery Date]],_xlfn.XLOOKUP(GI$1,$BH$2:$BR$2,$BH147:$BR147,0),0)</f>
        <v>0</v>
      </c>
      <c r="GJ147" s="26">
        <f>IF(GJ$2=InputTable[[#This Row],[Delivery Date]],_xlfn.XLOOKUP(GJ$1,$BH$2:$BR$2,$BH147:$BR147,0),0)</f>
        <v>0</v>
      </c>
      <c r="GL147" s="26" t="e">
        <f>IF(GL$2=InputTable[[#This Row],[Delivery Date]],_xlfn.XLOOKUP(GL$1,$BH$2:$BR$2,$BH147:$BR147,0),0)</f>
        <v>#REF!</v>
      </c>
      <c r="GM147" s="26">
        <f>IF(GM$2=InputTable[[#This Row],[Delivery Date]],_xlfn.XLOOKUP(GM$1,$BH$2:$BR$2,$BH147:$BR147,0),0)</f>
        <v>0</v>
      </c>
      <c r="GN147" s="26">
        <f>IF(GN$2=InputTable[[#This Row],[Delivery Date]],_xlfn.XLOOKUP(GN$1,$BH$2:$BR$2,$BH147:$BR147,0),0)</f>
        <v>0</v>
      </c>
      <c r="GO147" s="26">
        <f>IF(GO$2=InputTable[[#This Row],[Delivery Date]],_xlfn.XLOOKUP(GO$1,$BH$2:$BR$2,$BH147:$BR147,0),0)</f>
        <v>0</v>
      </c>
      <c r="GP147" s="26">
        <f>IF(GP$2=InputTable[[#This Row],[Delivery Date]],_xlfn.XLOOKUP(GP$1,$BH$2:$BR$2,$BH147:$BR147,0),0)</f>
        <v>0</v>
      </c>
      <c r="GQ147" s="26">
        <f>IF(GQ$2=InputTable[[#This Row],[Delivery Date]],_xlfn.XLOOKUP(GQ$1,$BH$2:$BR$2,$BH147:$BR147,0),0)</f>
        <v>0</v>
      </c>
      <c r="GR147" s="26">
        <f>IF(GR$2=InputTable[[#This Row],[Delivery Date]],_xlfn.XLOOKUP(GR$1,$BH$2:$BR$2,$BH147:$BR147,0),0)</f>
        <v>0</v>
      </c>
      <c r="GS147" s="26">
        <f>IF(GS$2=InputTable[[#This Row],[Delivery Date]],_xlfn.XLOOKUP(GS$1,$BH$2:$BR$2,$BH147:$BR147,0),0)</f>
        <v>0</v>
      </c>
      <c r="GT147" s="26">
        <f>IF(GT$2=InputTable[[#This Row],[Delivery Date]],_xlfn.XLOOKUP(GT$1,$BH$2:$BR$2,$BH147:$BR147,0),0)</f>
        <v>0</v>
      </c>
      <c r="GV147" s="26" t="e">
        <f>IF(GV$2=InputTable[[#This Row],[Delivery Date]],_xlfn.XLOOKUP(GV$1,$BH$2:$BR$2,$BH147:$BR147,0),0)</f>
        <v>#REF!</v>
      </c>
      <c r="GW147" s="26">
        <f>IF(GW$2=InputTable[[#This Row],[Delivery Date]],_xlfn.XLOOKUP(GW$1,$BH$2:$BR$2,$BH147:$BR147,0),0)</f>
        <v>0</v>
      </c>
      <c r="GX147" s="26">
        <f>IF(GX$2=InputTable[[#This Row],[Delivery Date]],_xlfn.XLOOKUP(GX$1,$BH$2:$BR$2,$BH147:$BR147,0),0)</f>
        <v>0</v>
      </c>
      <c r="GY147" s="26">
        <f>IF(GY$2=InputTable[[#This Row],[Delivery Date]],_xlfn.XLOOKUP(GY$1,$BH$2:$BR$2,$BH147:$BR147,0),0)</f>
        <v>0</v>
      </c>
      <c r="GZ147" s="26">
        <f>IF(GZ$2=InputTable[[#This Row],[Delivery Date]],_xlfn.XLOOKUP(GZ$1,$BH$2:$BR$2,$BH147:$BR147,0),0)</f>
        <v>0</v>
      </c>
      <c r="HA147" s="26">
        <f>IF(HA$2=InputTable[[#This Row],[Delivery Date]],_xlfn.XLOOKUP(HA$1,$BH$2:$BR$2,$BH147:$BR147,0),0)</f>
        <v>0</v>
      </c>
      <c r="HB147" s="26">
        <f>IF(HB$2=InputTable[[#This Row],[Delivery Date]],_xlfn.XLOOKUP(HB$1,$BH$2:$BR$2,$BH147:$BR147,0),0)</f>
        <v>0</v>
      </c>
      <c r="HC147" s="26">
        <f>IF(HC$2=InputTable[[#This Row],[Delivery Date]],_xlfn.XLOOKUP(HC$1,$BH$2:$BR$2,$BH147:$BR147,0),0)</f>
        <v>0</v>
      </c>
      <c r="HD147" s="26">
        <f>IF(HD$2=InputTable[[#This Row],[Delivery Date]],_xlfn.XLOOKUP(HD$1,$BH$2:$BR$2,$BH147:$BR147,0),0)</f>
        <v>0</v>
      </c>
      <c r="HF147" s="26" t="e">
        <f>IF(HF$2=InputTable[[#This Row],[Delivery Date]],_xlfn.XLOOKUP(HF$1,$BH$2:$BR$2,$BH147:$BR147,0),0)</f>
        <v>#REF!</v>
      </c>
      <c r="HG147" s="26">
        <f>IF(HG$2=InputTable[[#This Row],[Delivery Date]],_xlfn.XLOOKUP(HG$1,$BH$2:$BR$2,$BH147:$BR147,0),0)</f>
        <v>0</v>
      </c>
      <c r="HH147" s="26">
        <f>IF(HH$2=InputTable[[#This Row],[Delivery Date]],_xlfn.XLOOKUP(HH$1,$BH$2:$BR$2,$BH147:$BR147,0),0)</f>
        <v>0</v>
      </c>
      <c r="HI147" s="26">
        <f>IF(HI$2=InputTable[[#This Row],[Delivery Date]],_xlfn.XLOOKUP(HI$1,$BH$2:$BR$2,$BH147:$BR147,0),0)</f>
        <v>0</v>
      </c>
      <c r="HJ147" s="26">
        <f>IF(HJ$2=InputTable[[#This Row],[Delivery Date]],_xlfn.XLOOKUP(HJ$1,$BH$2:$BR$2,$BH147:$BR147,0),0)</f>
        <v>0</v>
      </c>
      <c r="HK147" s="26">
        <f>IF(HK$2=InputTable[[#This Row],[Delivery Date]],_xlfn.XLOOKUP(HK$1,$BH$2:$BR$2,$BH147:$BR147,0),0)</f>
        <v>0</v>
      </c>
      <c r="HL147" s="26">
        <f>IF(HL$2=InputTable[[#This Row],[Delivery Date]],_xlfn.XLOOKUP(HL$1,$BH$2:$BR$2,$BH147:$BR147,0),0)</f>
        <v>0</v>
      </c>
      <c r="HM147" s="26">
        <f>IF(HM$2=InputTable[[#This Row],[Delivery Date]],_xlfn.XLOOKUP(HM$1,$BH$2:$BR$2,$BH147:$BR147,0),0)</f>
        <v>0</v>
      </c>
      <c r="HN147" s="26">
        <f>IF(HN$2=InputTable[[#This Row],[Delivery Date]],_xlfn.XLOOKUP(HN$1,$BH$2:$BR$2,$BH147:$BR147,0),0)</f>
        <v>0</v>
      </c>
      <c r="HP147" s="26" t="e">
        <f>IF(HP$2=InputTable[[#This Row],[Delivery Date]],_xlfn.XLOOKUP(HP$1,$BH$2:$BR$2,$BH147:$BR147,0),0)</f>
        <v>#REF!</v>
      </c>
      <c r="HQ147" s="26">
        <f>IF(HQ$2=InputTable[[#This Row],[Delivery Date]],_xlfn.XLOOKUP(HQ$1,$BH$2:$BR$2,$BH147:$BR147,0),0)</f>
        <v>0</v>
      </c>
      <c r="HR147" s="26">
        <f>IF(HR$2=InputTable[[#This Row],[Delivery Date]],_xlfn.XLOOKUP(HR$1,$BH$2:$BR$2,$BH147:$BR147,0),0)</f>
        <v>0</v>
      </c>
      <c r="HS147" s="26">
        <f>IF(HS$2=InputTable[[#This Row],[Delivery Date]],_xlfn.XLOOKUP(HS$1,$BH$2:$BR$2,$BH147:$BR147,0),0)</f>
        <v>0</v>
      </c>
      <c r="HT147" s="26">
        <f>IF(HT$2=InputTable[[#This Row],[Delivery Date]],_xlfn.XLOOKUP(HT$1,$BH$2:$BR$2,$BH147:$BR147,0),0)</f>
        <v>0</v>
      </c>
      <c r="HU147" s="26">
        <f>IF(HU$2=InputTable[[#This Row],[Delivery Date]],_xlfn.XLOOKUP(HU$1,$BH$2:$BR$2,$BH147:$BR147,0),0)</f>
        <v>0</v>
      </c>
      <c r="HV147" s="26">
        <f>IF(HV$2=InputTable[[#This Row],[Delivery Date]],_xlfn.XLOOKUP(HV$1,$BH$2:$BR$2,$BH147:$BR147,0),0)</f>
        <v>0</v>
      </c>
      <c r="HW147" s="26">
        <f>IF(HW$2=InputTable[[#This Row],[Delivery Date]],_xlfn.XLOOKUP(HW$1,$BH$2:$BR$2,$BH147:$BR147,0),0)</f>
        <v>0</v>
      </c>
      <c r="HX147" s="26">
        <f>IF(HX$2=InputTable[[#This Row],[Delivery Date]],_xlfn.XLOOKUP(HX$1,$BH$2:$BR$2,$BH147:$BR147,0),0)</f>
        <v>0</v>
      </c>
      <c r="HZ147" s="26" t="e">
        <f>IF(HZ$2=InputTable[[#This Row],[Delivery Date]],_xlfn.XLOOKUP(HZ$1,$BH$2:$BR$2,$BH147:$BR147,0),0)</f>
        <v>#REF!</v>
      </c>
      <c r="IA147" s="26">
        <f>IF(IA$2=InputTable[[#This Row],[Delivery Date]],_xlfn.XLOOKUP(IA$1,$BH$2:$BR$2,$BH147:$BR147,0),0)</f>
        <v>0</v>
      </c>
      <c r="IB147" s="26">
        <f>IF(IB$2=InputTable[[#This Row],[Delivery Date]],_xlfn.XLOOKUP(IB$1,$BH$2:$BR$2,$BH147:$BR147,0),0)</f>
        <v>0</v>
      </c>
      <c r="IC147" s="26">
        <f>IF(IC$2=InputTable[[#This Row],[Delivery Date]],_xlfn.XLOOKUP(IC$1,$BH$2:$BR$2,$BH147:$BR147,0),0)</f>
        <v>0</v>
      </c>
      <c r="ID147" s="26">
        <f>IF(ID$2=InputTable[[#This Row],[Delivery Date]],_xlfn.XLOOKUP(ID$1,$BH$2:$BR$2,$BH147:$BR147,0),0)</f>
        <v>0</v>
      </c>
      <c r="IE147" s="26">
        <f>IF(IE$2=InputTable[[#This Row],[Delivery Date]],_xlfn.XLOOKUP(IE$1,$BH$2:$BR$2,$BH147:$BR147,0),0)</f>
        <v>0</v>
      </c>
      <c r="IF147" s="26">
        <f>IF(IF$2=InputTable[[#This Row],[Delivery Date]],_xlfn.XLOOKUP(IF$1,$BH$2:$BR$2,$BH147:$BR147,0),0)</f>
        <v>0</v>
      </c>
      <c r="IG147" s="26">
        <f>IF(IG$2=InputTable[[#This Row],[Delivery Date]],_xlfn.XLOOKUP(IG$1,$BH$2:$BR$2,$BH147:$BR147,0),0)</f>
        <v>0</v>
      </c>
      <c r="IH147" s="26">
        <f>IF(IH$2=InputTable[[#This Row],[Delivery Date]],_xlfn.XLOOKUP(IH$1,$BH$2:$BR$2,$BH147:$BR147,0),0)</f>
        <v>0</v>
      </c>
      <c r="IJ147" s="26" t="e">
        <f>IF(IJ$2=InputTable[[#This Row],[Delivery Date]],_xlfn.XLOOKUP(IJ$1,$BH$2:$BR$2,$BH147:$BR147,0),0)</f>
        <v>#REF!</v>
      </c>
      <c r="IK147" s="26">
        <f>IF(IK$2=InputTable[[#This Row],[Delivery Date]],_xlfn.XLOOKUP(IK$1,$BH$2:$BR$2,$BH147:$BR147,0),0)</f>
        <v>0</v>
      </c>
      <c r="IL147" s="26">
        <f>IF(IL$2=InputTable[[#This Row],[Delivery Date]],_xlfn.XLOOKUP(IL$1,$BH$2:$BR$2,$BH147:$BR147,0),0)</f>
        <v>0</v>
      </c>
      <c r="IM147" s="26">
        <f>IF(IM$2=InputTable[[#This Row],[Delivery Date]],_xlfn.XLOOKUP(IM$1,$BH$2:$BR$2,$BH147:$BR147,0),0)</f>
        <v>0</v>
      </c>
      <c r="IN147" s="26">
        <f>IF(IN$2=InputTable[[#This Row],[Delivery Date]],_xlfn.XLOOKUP(IN$1,$BH$2:$BR$2,$BH147:$BR147,0),0)</f>
        <v>0</v>
      </c>
      <c r="IO147" s="26">
        <f>IF(IO$2=InputTable[[#This Row],[Delivery Date]],_xlfn.XLOOKUP(IO$1,$BH$2:$BR$2,$BH147:$BR147,0),0)</f>
        <v>0</v>
      </c>
      <c r="IP147" s="26">
        <f>IF(IP$2=InputTable[[#This Row],[Delivery Date]],_xlfn.XLOOKUP(IP$1,$BH$2:$BR$2,$BH147:$BR147,0),0)</f>
        <v>0</v>
      </c>
      <c r="IQ147" s="26">
        <f>IF(IQ$2=InputTable[[#This Row],[Delivery Date]],_xlfn.XLOOKUP(IQ$1,$BH$2:$BR$2,$BH147:$BR147,0),0)</f>
        <v>0</v>
      </c>
      <c r="IR147" s="26">
        <f>IF(IR$2=InputTable[[#This Row],[Delivery Date]],_xlfn.XLOOKUP(IR$1,$BH$2:$BR$2,$BH147:$BR147,0),0)</f>
        <v>0</v>
      </c>
      <c r="IT147" s="26" t="e">
        <f>IF(IT$2=InputTable[[#This Row],[Delivery Date]],_xlfn.XLOOKUP(IT$1,$BH$2:$BR$2,$BH147:$BR147,0),0)</f>
        <v>#REF!</v>
      </c>
      <c r="IU147" s="26">
        <f>IF(IU$2=InputTable[[#This Row],[Delivery Date]],_xlfn.XLOOKUP(IU$1,$BH$2:$BR$2,$BH147:$BR147,0),0)</f>
        <v>0</v>
      </c>
      <c r="IV147" s="26">
        <f>IF(IV$2=InputTable[[#This Row],[Delivery Date]],_xlfn.XLOOKUP(IV$1,$BH$2:$BR$2,$BH147:$BR147,0),0)</f>
        <v>0</v>
      </c>
      <c r="IW147" s="26">
        <f>IF(IW$2=InputTable[[#This Row],[Delivery Date]],_xlfn.XLOOKUP(IW$1,$BH$2:$BR$2,$BH147:$BR147,0),0)</f>
        <v>0</v>
      </c>
      <c r="IX147" s="26">
        <f>IF(IX$2=InputTable[[#This Row],[Delivery Date]],_xlfn.XLOOKUP(IX$1,$BH$2:$BR$2,$BH147:$BR147,0),0)</f>
        <v>0</v>
      </c>
      <c r="IY147" s="26">
        <f>IF(IY$2=InputTable[[#This Row],[Delivery Date]],_xlfn.XLOOKUP(IY$1,$BH$2:$BR$2,$BH147:$BR147,0),0)</f>
        <v>0</v>
      </c>
      <c r="IZ147" s="26">
        <f>IF(IZ$2=InputTable[[#This Row],[Delivery Date]],_xlfn.XLOOKUP(IZ$1,$BH$2:$BR$2,$BH147:$BR147,0),0)</f>
        <v>0</v>
      </c>
      <c r="JA147" s="26">
        <f>IF(JA$2=InputTable[[#This Row],[Delivery Date]],_xlfn.XLOOKUP(JA$1,$BH$2:$BR$2,$BH147:$BR147,0),0)</f>
        <v>0</v>
      </c>
      <c r="JB147" s="26">
        <f>IF(JB$2=InputTable[[#This Row],[Delivery Date]],_xlfn.XLOOKUP(JB$1,$BH$2:$BR$2,$BH147:$BR147,0),0)</f>
        <v>0</v>
      </c>
      <c r="JD147" s="26" t="e">
        <f>IF(JD$2=InputTable[[#This Row],[Delivery Date]],_xlfn.XLOOKUP(JD$1,$BH$2:$BR$2,$BH147:$BR147,0),0)</f>
        <v>#REF!</v>
      </c>
      <c r="JE147" s="26">
        <f>IF(JE$2=InputTable[[#This Row],[Delivery Date]],_xlfn.XLOOKUP(JE$1,$BH$2:$BR$2,$BH147:$BR147,0),0)</f>
        <v>0</v>
      </c>
      <c r="JF147" s="26">
        <f>IF(JF$2=InputTable[[#This Row],[Delivery Date]],_xlfn.XLOOKUP(JF$1,$BH$2:$BR$2,$BH147:$BR147,0),0)</f>
        <v>0</v>
      </c>
      <c r="JG147" s="26">
        <f>IF(JG$2=InputTable[[#This Row],[Delivery Date]],_xlfn.XLOOKUP(JG$1,$BH$2:$BR$2,$BH147:$BR147,0),0)</f>
        <v>0</v>
      </c>
      <c r="JH147" s="26">
        <f>IF(JH$2=InputTable[[#This Row],[Delivery Date]],_xlfn.XLOOKUP(JH$1,$BH$2:$BR$2,$BH147:$BR147,0),0)</f>
        <v>0</v>
      </c>
      <c r="JI147" s="26">
        <f>IF(JI$2=InputTable[[#This Row],[Delivery Date]],_xlfn.XLOOKUP(JI$1,$BH$2:$BR$2,$BH147:$BR147,0),0)</f>
        <v>0</v>
      </c>
      <c r="JJ147" s="26">
        <f>IF(JJ$2=InputTable[[#This Row],[Delivery Date]],_xlfn.XLOOKUP(JJ$1,$BH$2:$BR$2,$BH147:$BR147,0),0)</f>
        <v>0</v>
      </c>
      <c r="JK147" s="26">
        <f>IF(JK$2=InputTable[[#This Row],[Delivery Date]],_xlfn.XLOOKUP(JK$1,$BH$2:$BR$2,$BH147:$BR147,0),0)</f>
        <v>0</v>
      </c>
      <c r="JL147" s="26">
        <f>IF(JL$2=InputTable[[#This Row],[Delivery Date]],_xlfn.XLOOKUP(JL$1,$BH$2:$BR$2,$BH147:$BR147,0),0)</f>
        <v>0</v>
      </c>
      <c r="JN147" s="26" t="e">
        <f>IF(JN$2=InputTable[[#This Row],[Delivery Date]],_xlfn.XLOOKUP(JN$1,$BH$2:$BR$2,$BH147:$BR147,0),0)</f>
        <v>#REF!</v>
      </c>
      <c r="JO147" s="26">
        <f>IF(JO$2=InputTable[[#This Row],[Delivery Date]],_xlfn.XLOOKUP(JO$1,$BH$2:$BR$2,$BH147:$BR147,0),0)</f>
        <v>0</v>
      </c>
      <c r="JP147" s="26">
        <f>IF(JP$2=InputTable[[#This Row],[Delivery Date]],_xlfn.XLOOKUP(JP$1,$BH$2:$BR$2,$BH147:$BR147,0),0)</f>
        <v>0</v>
      </c>
      <c r="JQ147" s="26">
        <f>IF(JQ$2=InputTable[[#This Row],[Delivery Date]],_xlfn.XLOOKUP(JQ$1,$BH$2:$BR$2,$BH147:$BR147,0),0)</f>
        <v>0</v>
      </c>
      <c r="JR147" s="26">
        <f>IF(JR$2=InputTable[[#This Row],[Delivery Date]],_xlfn.XLOOKUP(JR$1,$BH$2:$BR$2,$BH147:$BR147,0),0)</f>
        <v>0</v>
      </c>
      <c r="JS147" s="26">
        <f>IF(JS$2=InputTable[[#This Row],[Delivery Date]],_xlfn.XLOOKUP(JS$1,$BH$2:$BR$2,$BH147:$BR147,0),0)</f>
        <v>0</v>
      </c>
      <c r="JT147" s="26">
        <f>IF(JT$2=InputTable[[#This Row],[Delivery Date]],_xlfn.XLOOKUP(JT$1,$BH$2:$BR$2,$BH147:$BR147,0),0)</f>
        <v>0</v>
      </c>
      <c r="JU147" s="26">
        <f>IF(JU$2=InputTable[[#This Row],[Delivery Date]],_xlfn.XLOOKUP(JU$1,$BH$2:$BR$2,$BH147:$BR147,0),0)</f>
        <v>0</v>
      </c>
      <c r="JV147" s="26">
        <f>IF(JV$2=InputTable[[#This Row],[Delivery Date]],_xlfn.XLOOKUP(JV$1,$BH$2:$BR$2,$BH147:$BR147,0),0)</f>
        <v>0</v>
      </c>
      <c r="JX147" s="26" t="e">
        <f>IF(JX$2=InputTable[[#This Row],[Delivery Date]],_xlfn.XLOOKUP(JX$1,$BH$2:$BR$2,$BH147:$BR147,0),0)</f>
        <v>#REF!</v>
      </c>
      <c r="JY147" s="26">
        <f>IF(JY$2=InputTable[[#This Row],[Delivery Date]],_xlfn.XLOOKUP(JY$1,$BH$2:$BR$2,$BH147:$BR147,0),0)</f>
        <v>0</v>
      </c>
      <c r="JZ147" s="26">
        <f>IF(JZ$2=InputTable[[#This Row],[Delivery Date]],_xlfn.XLOOKUP(JZ$1,$BH$2:$BR$2,$BH147:$BR147,0),0)</f>
        <v>0</v>
      </c>
      <c r="KA147" s="26">
        <f>IF(KA$2=InputTable[[#This Row],[Delivery Date]],_xlfn.XLOOKUP(KA$1,$BH$2:$BR$2,$BH147:$BR147,0),0)</f>
        <v>0</v>
      </c>
      <c r="KB147" s="26">
        <f>IF(KB$2=InputTable[[#This Row],[Delivery Date]],_xlfn.XLOOKUP(KB$1,$BH$2:$BR$2,$BH147:$BR147,0),0)</f>
        <v>0</v>
      </c>
      <c r="KC147" s="26">
        <f>IF(KC$2=InputTable[[#This Row],[Delivery Date]],_xlfn.XLOOKUP(KC$1,$BH$2:$BR$2,$BH147:$BR147,0),0)</f>
        <v>0</v>
      </c>
      <c r="KD147" s="26">
        <f>IF(KD$2=InputTable[[#This Row],[Delivery Date]],_xlfn.XLOOKUP(KD$1,$BH$2:$BR$2,$BH147:$BR147,0),0)</f>
        <v>0</v>
      </c>
      <c r="KE147" s="26">
        <f>IF(KE$2=InputTable[[#This Row],[Delivery Date]],_xlfn.XLOOKUP(KE$1,$BH$2:$BR$2,$BH147:$BR147,0),0)</f>
        <v>0</v>
      </c>
      <c r="KF147" s="26">
        <f>IF(KF$2=InputTable[[#This Row],[Delivery Date]],_xlfn.XLOOKUP(KF$1,$BH$2:$BR$2,$BH147:$BR147,0),0)</f>
        <v>0</v>
      </c>
    </row>
    <row r="148" spans="1:292" ht="34.799999999999997" x14ac:dyDescent="0.25">
      <c r="A148" s="141"/>
      <c r="B148" s="119"/>
      <c r="C148" s="92"/>
      <c r="D148" s="92"/>
      <c r="E148" s="93"/>
      <c r="F148" s="92"/>
      <c r="G148" s="92"/>
      <c r="H148" s="92"/>
      <c r="I148" s="92"/>
      <c r="J148" s="124"/>
      <c r="K148" s="95" t="e">
        <f>VLOOKUP((InputTable[[#This Row],[Starting Date]]&amp; " - " &amp;InputTable[[#This Row],[Delivery Date]]),'System List'!$F$40:$H$83,2,FALSE)</f>
        <v>#N/A</v>
      </c>
      <c r="L148" s="95" t="e">
        <f>VLOOKUP(InputTable[[#This Row],[Duration]],Duration,2,FALSE)</f>
        <v>#N/A</v>
      </c>
      <c r="M148" s="124"/>
      <c r="N148" s="92"/>
      <c r="O148" s="92"/>
      <c r="P148" s="92"/>
      <c r="Q148" s="92"/>
      <c r="R148" s="92"/>
      <c r="S148" s="92"/>
      <c r="T148" s="95"/>
      <c r="U148" s="138"/>
      <c r="V148" s="92"/>
      <c r="W148" s="92"/>
      <c r="X148" s="92"/>
      <c r="Y148" s="92"/>
      <c r="Z148" s="92"/>
      <c r="AA148" s="92"/>
      <c r="AB148" s="92"/>
      <c r="AC148" s="92"/>
      <c r="AD148" s="92">
        <f>COUNTA(InputTable[[#This Row],[CORPHRFIN]:[SALES]])</f>
        <v>0</v>
      </c>
      <c r="AE148" s="88" cm="1">
        <f t="array" ref="AE148">SUM(
_xlfn.XLOOKUP(InputTable[[#This Row],[CORPHRFIN]:[SALES]],'System List'!$F$4:$F$7,'System List'!$H$4:$H$7,0))</f>
        <v>0</v>
      </c>
      <c r="AF148" s="140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88" cm="1">
        <f t="array" ref="AR148">SUM(
_xlfn.XLOOKUP(InputTable[[#This Row],[Impact on - CIAL]:[Impact on - STRAT]],'System List'!$F$4:$F$7,'System List'!$H$4:$H$7,0))</f>
        <v>0</v>
      </c>
      <c r="AS148" s="88" t="e">
        <f>VLOOKUP(InputTable[[#This Row],[Duration]],Duration,2,FALSE)+InputTable[[#This Row],[Resource Score]]</f>
        <v>#N/A</v>
      </c>
      <c r="AT14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8" s="24" t="e">
        <f>InputTable[[#This Row],[Value Score]]/InputTable[[#This Row],[EFFORT SCORE]]*100</f>
        <v>#N/A</v>
      </c>
      <c r="AV148" s="25" t="s">
        <v>440</v>
      </c>
      <c r="AW148" s="25"/>
      <c r="AX148" s="208"/>
      <c r="AY148" s="25"/>
      <c r="AZ148" s="209">
        <v>0</v>
      </c>
      <c r="BA148" s="209">
        <v>0</v>
      </c>
      <c r="BB148" s="209"/>
      <c r="BC148" s="189"/>
      <c r="BD148" s="188"/>
      <c r="BE148" s="188"/>
      <c r="BF148" s="70"/>
      <c r="BH148" s="2">
        <f>IFERROR(VLOOKUP(InputTable[[#This Row],[Impact on - CIAL]],'System List'!$F$4:$H$7,3,FALSE),0)</f>
        <v>0</v>
      </c>
      <c r="BI148" s="2">
        <f>IFERROR(VLOOKUP(InputTable[[#This Row],[Impact on - COM]],'System List'!$F$4:$H$7,3,FALSE),0)</f>
        <v>0</v>
      </c>
      <c r="BJ148" s="2">
        <f>IFERROR(VLOOKUP(InputTable[[#This Row],[Impact on - FIN]],'System List'!$F$4:$H$7,3,FALSE),0)</f>
        <v>0</v>
      </c>
      <c r="BK148" s="2">
        <f>IFERROR(VLOOKUP(InputTable[[#This Row],[Impact on - GEN SEC]],'System List'!$F$4:$H$7,3,FALSE),0)</f>
        <v>0</v>
      </c>
      <c r="BL148" s="2">
        <f>IFERROR(VLOOKUP(InputTable[[#This Row],[Impact on - HR]],'System List'!$F$4:$H$7,3,FALSE),0)</f>
        <v>0</v>
      </c>
      <c r="BM148" s="2">
        <f>IFERROR(VLOOKUP(InputTable[[#This Row],[Impact on - IS]],'System List'!$F$4:$H$7,3,FALSE),0)</f>
        <v>0</v>
      </c>
      <c r="BN148" s="2">
        <f>IFERROR(VLOOKUP(InputTable[[#This Row],[Impact on - OPS]],'System List'!$F$4:$H$7,3,FALSE),0)</f>
        <v>0</v>
      </c>
      <c r="BO148" s="2">
        <f>IFERROR(VLOOKUP(InputTable[[#This Row],[Impact on - ROLL STOCK]],'System List'!$F$4:$H$7,3,FALSE),0)</f>
        <v>0</v>
      </c>
      <c r="BP148" s="2">
        <f>IFERROR(VLOOKUP(InputTable[[#This Row],[Impact on - SAFETY]],'System List'!$F$4:$H$7,3,FALSE),0)</f>
        <v>0</v>
      </c>
      <c r="BQ148" s="2">
        <f>IFERROR(VLOOKUP(InputTable[[#This Row],[Impact on - STATION]],'System List'!$F$4:$H$7,3,FALSE),0)</f>
        <v>0</v>
      </c>
      <c r="BR148" s="2">
        <f>IFERROR(VLOOKUP(InputTable[[#This Row],[Impact on - STRAT]],'System List'!$F$4:$H$7,3,FALSE),0)</f>
        <v>0</v>
      </c>
      <c r="BT148" s="2">
        <f>IFERROR(VLOOKUP(InputTable[[#This Row],[CORPHRFIN]],'System List'!$F$4:$H$7,3,FALSE),0)</f>
        <v>0</v>
      </c>
      <c r="BU148" s="2">
        <f>IFERROR(VLOOKUP(InputTable[[#This Row],[CUST]],'System List'!$F$4:$H$7,3,FALSE),0)</f>
        <v>0</v>
      </c>
      <c r="BV148" s="2">
        <f>IFERROR(VLOOKUP(InputTable[[#This Row],[CYBER]],'System List'!$F$4:$H$7,3,FALSE),0)</f>
        <v>0</v>
      </c>
      <c r="BW148" s="2">
        <f>IFERROR(VLOOKUP(InputTable[[#This Row],[DATA]],'System List'!$F$4:$H$7,3,FALSE),0)</f>
        <v>0</v>
      </c>
      <c r="BX148" s="2">
        <f>IFERROR(VLOOKUP(InputTable[[#This Row],[INFRA]],'System List'!$F$4:$H$7,3,FALSE),0)</f>
        <v>0</v>
      </c>
      <c r="BY148" s="2">
        <f>IFERROR(VLOOKUP(InputTable[[#This Row],[OPERATIONS]],'System List'!$F$4:$H$7,3,FALSE),0)</f>
        <v>0</v>
      </c>
      <c r="BZ148" s="2">
        <f>IFERROR(VLOOKUP(InputTable[[#This Row],[PMO]],'System List'!$F$4:$H$7,3,FALSE),0)</f>
        <v>0</v>
      </c>
      <c r="CA148" s="2">
        <f>IFERROR(VLOOKUP(InputTable[[#This Row],[SALES]],'System List'!$F$4:$H$7,3,FALSE),0)</f>
        <v>0</v>
      </c>
      <c r="CC148" s="2" cm="1">
        <f t="array" ref="CC14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8" s="2" cm="1">
        <f t="array" ref="CD14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8" s="2" cm="1">
        <f t="array" ref="CE14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8" s="2" cm="1">
        <f t="array" ref="CF14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8" s="2" cm="1">
        <f t="array" ref="CG14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8" s="2" cm="1">
        <f t="array" ref="CH14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8" s="2" cm="1">
        <f t="array" ref="CI14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8" s="2" cm="1">
        <f t="array" ref="CJ14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8" s="2" cm="1">
        <f t="array" ref="CK14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8" s="26">
        <f t="shared" si="379"/>
        <v>0</v>
      </c>
      <c r="CY148" s="26">
        <f t="shared" si="380"/>
        <v>0</v>
      </c>
      <c r="CZ148" s="26">
        <f t="shared" si="381"/>
        <v>0</v>
      </c>
      <c r="DA148" s="26">
        <f t="shared" si="382"/>
        <v>0</v>
      </c>
      <c r="DB148" s="26">
        <f t="shared" si="383"/>
        <v>0</v>
      </c>
      <c r="DC148" s="26">
        <f t="shared" si="384"/>
        <v>0</v>
      </c>
      <c r="DD148" s="26">
        <f t="shared" si="385"/>
        <v>0</v>
      </c>
      <c r="DE148" s="26">
        <f t="shared" si="386"/>
        <v>0</v>
      </c>
      <c r="DF148" s="26">
        <f t="shared" si="387"/>
        <v>0</v>
      </c>
      <c r="DH148" s="26">
        <f t="shared" si="388"/>
        <v>0</v>
      </c>
      <c r="DI148" s="26">
        <f t="shared" si="389"/>
        <v>0</v>
      </c>
      <c r="DJ148" s="26">
        <f t="shared" si="390"/>
        <v>0</v>
      </c>
      <c r="DK148" s="26">
        <f t="shared" si="391"/>
        <v>0</v>
      </c>
      <c r="DL148" s="26">
        <f t="shared" si="392"/>
        <v>0</v>
      </c>
      <c r="DM148" s="26">
        <f t="shared" si="393"/>
        <v>0</v>
      </c>
      <c r="DN148" s="26">
        <f t="shared" si="394"/>
        <v>0</v>
      </c>
      <c r="DO148" s="26">
        <f t="shared" si="395"/>
        <v>0</v>
      </c>
      <c r="DP148" s="26">
        <f t="shared" si="396"/>
        <v>0</v>
      </c>
      <c r="DR148" s="26">
        <f t="shared" si="397"/>
        <v>0</v>
      </c>
      <c r="DS148" s="26">
        <f t="shared" si="398"/>
        <v>0</v>
      </c>
      <c r="DT148" s="26">
        <f t="shared" si="399"/>
        <v>0</v>
      </c>
      <c r="DU148" s="26">
        <f t="shared" si="400"/>
        <v>0</v>
      </c>
      <c r="DV148" s="26">
        <f t="shared" si="401"/>
        <v>0</v>
      </c>
      <c r="DW148" s="26">
        <f t="shared" si="402"/>
        <v>0</v>
      </c>
      <c r="DX148" s="26">
        <f t="shared" si="403"/>
        <v>0</v>
      </c>
      <c r="DY148" s="26">
        <f t="shared" si="404"/>
        <v>0</v>
      </c>
      <c r="DZ148" s="26">
        <f t="shared" si="405"/>
        <v>0</v>
      </c>
      <c r="EB148" s="26">
        <f t="shared" si="406"/>
        <v>0</v>
      </c>
      <c r="EC148" s="26">
        <f t="shared" si="407"/>
        <v>0</v>
      </c>
      <c r="ED148" s="26">
        <f t="shared" si="408"/>
        <v>0</v>
      </c>
      <c r="EE148" s="26">
        <f t="shared" si="409"/>
        <v>0</v>
      </c>
      <c r="EF148" s="26">
        <f t="shared" si="410"/>
        <v>0</v>
      </c>
      <c r="EG148" s="26">
        <f t="shared" si="411"/>
        <v>0</v>
      </c>
      <c r="EH148" s="26">
        <f t="shared" si="412"/>
        <v>0</v>
      </c>
      <c r="EI148" s="26">
        <f t="shared" si="413"/>
        <v>0</v>
      </c>
      <c r="EJ148" s="26">
        <f t="shared" si="414"/>
        <v>0</v>
      </c>
      <c r="EL148" s="26">
        <f t="shared" si="415"/>
        <v>0</v>
      </c>
      <c r="EM148" s="26">
        <f t="shared" si="416"/>
        <v>0</v>
      </c>
      <c r="EN148" s="26">
        <f t="shared" si="417"/>
        <v>0</v>
      </c>
      <c r="EO148" s="26">
        <f t="shared" si="418"/>
        <v>0</v>
      </c>
      <c r="EP148" s="26">
        <f t="shared" si="419"/>
        <v>0</v>
      </c>
      <c r="EQ148" s="26">
        <f t="shared" si="420"/>
        <v>0</v>
      </c>
      <c r="ER148" s="26">
        <f t="shared" si="421"/>
        <v>0</v>
      </c>
      <c r="ES148" s="26">
        <f t="shared" si="422"/>
        <v>0</v>
      </c>
      <c r="ET148" s="26">
        <f t="shared" si="423"/>
        <v>0</v>
      </c>
      <c r="EV148" s="26">
        <f t="shared" si="424"/>
        <v>0</v>
      </c>
      <c r="EW148" s="26">
        <f t="shared" si="425"/>
        <v>0</v>
      </c>
      <c r="EX148" s="26">
        <f t="shared" si="426"/>
        <v>0</v>
      </c>
      <c r="EY148" s="26">
        <f t="shared" si="427"/>
        <v>0</v>
      </c>
      <c r="EZ148" s="26">
        <f t="shared" si="428"/>
        <v>0</v>
      </c>
      <c r="FA148" s="26">
        <f t="shared" si="429"/>
        <v>0</v>
      </c>
      <c r="FB148" s="26">
        <f t="shared" si="430"/>
        <v>0</v>
      </c>
      <c r="FC148" s="26">
        <f t="shared" si="431"/>
        <v>0</v>
      </c>
      <c r="FD148" s="26">
        <f t="shared" si="432"/>
        <v>0</v>
      </c>
      <c r="FF148" s="26">
        <f t="shared" si="433"/>
        <v>0</v>
      </c>
      <c r="FG148" s="26">
        <f t="shared" si="434"/>
        <v>0</v>
      </c>
      <c r="FH148" s="26">
        <f t="shared" si="435"/>
        <v>0</v>
      </c>
      <c r="FI148" s="26">
        <f t="shared" si="436"/>
        <v>0</v>
      </c>
      <c r="FJ148" s="26">
        <f t="shared" si="437"/>
        <v>0</v>
      </c>
      <c r="FK148" s="26">
        <f t="shared" si="438"/>
        <v>0</v>
      </c>
      <c r="FL148" s="26">
        <f t="shared" si="439"/>
        <v>0</v>
      </c>
      <c r="FM148" s="26">
        <f t="shared" si="440"/>
        <v>0</v>
      </c>
      <c r="FN148" s="26">
        <f t="shared" si="441"/>
        <v>0</v>
      </c>
      <c r="FP148" s="26" t="e">
        <f t="shared" si="442"/>
        <v>#REF!</v>
      </c>
      <c r="FQ148" s="26" t="e">
        <f t="shared" si="443"/>
        <v>#REF!</v>
      </c>
      <c r="FR148" s="26" t="e">
        <f t="shared" si="444"/>
        <v>#REF!</v>
      </c>
      <c r="FS148" s="26" t="e">
        <f t="shared" si="445"/>
        <v>#REF!</v>
      </c>
      <c r="FT148" s="26" t="e">
        <f t="shared" si="446"/>
        <v>#REF!</v>
      </c>
      <c r="FU148" s="26" t="e">
        <f t="shared" si="447"/>
        <v>#REF!</v>
      </c>
      <c r="FV148" s="26" t="e">
        <f t="shared" si="448"/>
        <v>#REF!</v>
      </c>
      <c r="FW148" s="26" t="e">
        <f t="shared" si="449"/>
        <v>#REF!</v>
      </c>
      <c r="FX148" s="26" t="e">
        <f t="shared" si="450"/>
        <v>#REF!</v>
      </c>
      <c r="GB148" s="26" t="e">
        <f>IF(GB$2=InputTable[[#This Row],[Delivery Date]],_xlfn.XLOOKUP(GB$1,$BH$2:$BR$2,$BH148:$BR148,0),0)</f>
        <v>#REF!</v>
      </c>
      <c r="GC148" s="26">
        <f>IF(GC$2=InputTable[[#This Row],[Delivery Date]],_xlfn.XLOOKUP(GC$1,$BH$2:$BR$2,$BH148:$BR148,0),0)</f>
        <v>0</v>
      </c>
      <c r="GD148" s="26">
        <f>IF(GD$2=InputTable[[#This Row],[Delivery Date]],_xlfn.XLOOKUP(GD$1,$BH$2:$BR$2,$BH148:$BR148,0),0)</f>
        <v>0</v>
      </c>
      <c r="GE148" s="26">
        <f>IF(GE$2=InputTable[[#This Row],[Delivery Date]],_xlfn.XLOOKUP(GE$1,$BH$2:$BR$2,$BH148:$BR148,0),0)</f>
        <v>0</v>
      </c>
      <c r="GF148" s="26">
        <f>IF(GF$2=InputTable[[#This Row],[Delivery Date]],_xlfn.XLOOKUP(GF$1,$BH$2:$BR$2,$BH148:$BR148,0),0)</f>
        <v>0</v>
      </c>
      <c r="GG148" s="26">
        <f>IF(GG$2=InputTable[[#This Row],[Delivery Date]],_xlfn.XLOOKUP(GG$1,$BH$2:$BR$2,$BH148:$BR148,0),0)</f>
        <v>0</v>
      </c>
      <c r="GH148" s="26">
        <f>IF(GH$2=InputTable[[#This Row],[Delivery Date]],_xlfn.XLOOKUP(GH$1,$BH$2:$BR$2,$BH148:$BR148,0),0)</f>
        <v>0</v>
      </c>
      <c r="GI148" s="26">
        <f>IF(GI$2=InputTable[[#This Row],[Delivery Date]],_xlfn.XLOOKUP(GI$1,$BH$2:$BR$2,$BH148:$BR148,0),0)</f>
        <v>0</v>
      </c>
      <c r="GJ148" s="26">
        <f>IF(GJ$2=InputTable[[#This Row],[Delivery Date]],_xlfn.XLOOKUP(GJ$1,$BH$2:$BR$2,$BH148:$BR148,0),0)</f>
        <v>0</v>
      </c>
      <c r="GL148" s="26" t="e">
        <f>IF(GL$2=InputTable[[#This Row],[Delivery Date]],_xlfn.XLOOKUP(GL$1,$BH$2:$BR$2,$BH148:$BR148,0),0)</f>
        <v>#REF!</v>
      </c>
      <c r="GM148" s="26">
        <f>IF(GM$2=InputTable[[#This Row],[Delivery Date]],_xlfn.XLOOKUP(GM$1,$BH$2:$BR$2,$BH148:$BR148,0),0)</f>
        <v>0</v>
      </c>
      <c r="GN148" s="26">
        <f>IF(GN$2=InputTable[[#This Row],[Delivery Date]],_xlfn.XLOOKUP(GN$1,$BH$2:$BR$2,$BH148:$BR148,0),0)</f>
        <v>0</v>
      </c>
      <c r="GO148" s="26">
        <f>IF(GO$2=InputTable[[#This Row],[Delivery Date]],_xlfn.XLOOKUP(GO$1,$BH$2:$BR$2,$BH148:$BR148,0),0)</f>
        <v>0</v>
      </c>
      <c r="GP148" s="26">
        <f>IF(GP$2=InputTable[[#This Row],[Delivery Date]],_xlfn.XLOOKUP(GP$1,$BH$2:$BR$2,$BH148:$BR148,0),0)</f>
        <v>0</v>
      </c>
      <c r="GQ148" s="26">
        <f>IF(GQ$2=InputTable[[#This Row],[Delivery Date]],_xlfn.XLOOKUP(GQ$1,$BH$2:$BR$2,$BH148:$BR148,0),0)</f>
        <v>0</v>
      </c>
      <c r="GR148" s="26">
        <f>IF(GR$2=InputTable[[#This Row],[Delivery Date]],_xlfn.XLOOKUP(GR$1,$BH$2:$BR$2,$BH148:$BR148,0),0)</f>
        <v>0</v>
      </c>
      <c r="GS148" s="26">
        <f>IF(GS$2=InputTable[[#This Row],[Delivery Date]],_xlfn.XLOOKUP(GS$1,$BH$2:$BR$2,$BH148:$BR148,0),0)</f>
        <v>0</v>
      </c>
      <c r="GT148" s="26">
        <f>IF(GT$2=InputTable[[#This Row],[Delivery Date]],_xlfn.XLOOKUP(GT$1,$BH$2:$BR$2,$BH148:$BR148,0),0)</f>
        <v>0</v>
      </c>
      <c r="GV148" s="26" t="e">
        <f>IF(GV$2=InputTable[[#This Row],[Delivery Date]],_xlfn.XLOOKUP(GV$1,$BH$2:$BR$2,$BH148:$BR148,0),0)</f>
        <v>#REF!</v>
      </c>
      <c r="GW148" s="26">
        <f>IF(GW$2=InputTable[[#This Row],[Delivery Date]],_xlfn.XLOOKUP(GW$1,$BH$2:$BR$2,$BH148:$BR148,0),0)</f>
        <v>0</v>
      </c>
      <c r="GX148" s="26">
        <f>IF(GX$2=InputTable[[#This Row],[Delivery Date]],_xlfn.XLOOKUP(GX$1,$BH$2:$BR$2,$BH148:$BR148,0),0)</f>
        <v>0</v>
      </c>
      <c r="GY148" s="26">
        <f>IF(GY$2=InputTable[[#This Row],[Delivery Date]],_xlfn.XLOOKUP(GY$1,$BH$2:$BR$2,$BH148:$BR148,0),0)</f>
        <v>0</v>
      </c>
      <c r="GZ148" s="26">
        <f>IF(GZ$2=InputTable[[#This Row],[Delivery Date]],_xlfn.XLOOKUP(GZ$1,$BH$2:$BR$2,$BH148:$BR148,0),0)</f>
        <v>0</v>
      </c>
      <c r="HA148" s="26">
        <f>IF(HA$2=InputTable[[#This Row],[Delivery Date]],_xlfn.XLOOKUP(HA$1,$BH$2:$BR$2,$BH148:$BR148,0),0)</f>
        <v>0</v>
      </c>
      <c r="HB148" s="26">
        <f>IF(HB$2=InputTable[[#This Row],[Delivery Date]],_xlfn.XLOOKUP(HB$1,$BH$2:$BR$2,$BH148:$BR148,0),0)</f>
        <v>0</v>
      </c>
      <c r="HC148" s="26">
        <f>IF(HC$2=InputTable[[#This Row],[Delivery Date]],_xlfn.XLOOKUP(HC$1,$BH$2:$BR$2,$BH148:$BR148,0),0)</f>
        <v>0</v>
      </c>
      <c r="HD148" s="26">
        <f>IF(HD$2=InputTable[[#This Row],[Delivery Date]],_xlfn.XLOOKUP(HD$1,$BH$2:$BR$2,$BH148:$BR148,0),0)</f>
        <v>0</v>
      </c>
      <c r="HF148" s="26" t="e">
        <f>IF(HF$2=InputTable[[#This Row],[Delivery Date]],_xlfn.XLOOKUP(HF$1,$BH$2:$BR$2,$BH148:$BR148,0),0)</f>
        <v>#REF!</v>
      </c>
      <c r="HG148" s="26">
        <f>IF(HG$2=InputTable[[#This Row],[Delivery Date]],_xlfn.XLOOKUP(HG$1,$BH$2:$BR$2,$BH148:$BR148,0),0)</f>
        <v>0</v>
      </c>
      <c r="HH148" s="26">
        <f>IF(HH$2=InputTable[[#This Row],[Delivery Date]],_xlfn.XLOOKUP(HH$1,$BH$2:$BR$2,$BH148:$BR148,0),0)</f>
        <v>0</v>
      </c>
      <c r="HI148" s="26">
        <f>IF(HI$2=InputTable[[#This Row],[Delivery Date]],_xlfn.XLOOKUP(HI$1,$BH$2:$BR$2,$BH148:$BR148,0),0)</f>
        <v>0</v>
      </c>
      <c r="HJ148" s="26">
        <f>IF(HJ$2=InputTable[[#This Row],[Delivery Date]],_xlfn.XLOOKUP(HJ$1,$BH$2:$BR$2,$BH148:$BR148,0),0)</f>
        <v>0</v>
      </c>
      <c r="HK148" s="26">
        <f>IF(HK$2=InputTable[[#This Row],[Delivery Date]],_xlfn.XLOOKUP(HK$1,$BH$2:$BR$2,$BH148:$BR148,0),0)</f>
        <v>0</v>
      </c>
      <c r="HL148" s="26">
        <f>IF(HL$2=InputTable[[#This Row],[Delivery Date]],_xlfn.XLOOKUP(HL$1,$BH$2:$BR$2,$BH148:$BR148,0),0)</f>
        <v>0</v>
      </c>
      <c r="HM148" s="26">
        <f>IF(HM$2=InputTable[[#This Row],[Delivery Date]],_xlfn.XLOOKUP(HM$1,$BH$2:$BR$2,$BH148:$BR148,0),0)</f>
        <v>0</v>
      </c>
      <c r="HN148" s="26">
        <f>IF(HN$2=InputTable[[#This Row],[Delivery Date]],_xlfn.XLOOKUP(HN$1,$BH$2:$BR$2,$BH148:$BR148,0),0)</f>
        <v>0</v>
      </c>
      <c r="HP148" s="26" t="e">
        <f>IF(HP$2=InputTable[[#This Row],[Delivery Date]],_xlfn.XLOOKUP(HP$1,$BH$2:$BR$2,$BH148:$BR148,0),0)</f>
        <v>#REF!</v>
      </c>
      <c r="HQ148" s="26">
        <f>IF(HQ$2=InputTable[[#This Row],[Delivery Date]],_xlfn.XLOOKUP(HQ$1,$BH$2:$BR$2,$BH148:$BR148,0),0)</f>
        <v>0</v>
      </c>
      <c r="HR148" s="26">
        <f>IF(HR$2=InputTable[[#This Row],[Delivery Date]],_xlfn.XLOOKUP(HR$1,$BH$2:$BR$2,$BH148:$BR148,0),0)</f>
        <v>0</v>
      </c>
      <c r="HS148" s="26">
        <f>IF(HS$2=InputTable[[#This Row],[Delivery Date]],_xlfn.XLOOKUP(HS$1,$BH$2:$BR$2,$BH148:$BR148,0),0)</f>
        <v>0</v>
      </c>
      <c r="HT148" s="26">
        <f>IF(HT$2=InputTable[[#This Row],[Delivery Date]],_xlfn.XLOOKUP(HT$1,$BH$2:$BR$2,$BH148:$BR148,0),0)</f>
        <v>0</v>
      </c>
      <c r="HU148" s="26">
        <f>IF(HU$2=InputTable[[#This Row],[Delivery Date]],_xlfn.XLOOKUP(HU$1,$BH$2:$BR$2,$BH148:$BR148,0),0)</f>
        <v>0</v>
      </c>
      <c r="HV148" s="26">
        <f>IF(HV$2=InputTable[[#This Row],[Delivery Date]],_xlfn.XLOOKUP(HV$1,$BH$2:$BR$2,$BH148:$BR148,0),0)</f>
        <v>0</v>
      </c>
      <c r="HW148" s="26">
        <f>IF(HW$2=InputTable[[#This Row],[Delivery Date]],_xlfn.XLOOKUP(HW$1,$BH$2:$BR$2,$BH148:$BR148,0),0)</f>
        <v>0</v>
      </c>
      <c r="HX148" s="26">
        <f>IF(HX$2=InputTable[[#This Row],[Delivery Date]],_xlfn.XLOOKUP(HX$1,$BH$2:$BR$2,$BH148:$BR148,0),0)</f>
        <v>0</v>
      </c>
      <c r="HZ148" s="26" t="e">
        <f>IF(HZ$2=InputTable[[#This Row],[Delivery Date]],_xlfn.XLOOKUP(HZ$1,$BH$2:$BR$2,$BH148:$BR148,0),0)</f>
        <v>#REF!</v>
      </c>
      <c r="IA148" s="26">
        <f>IF(IA$2=InputTable[[#This Row],[Delivery Date]],_xlfn.XLOOKUP(IA$1,$BH$2:$BR$2,$BH148:$BR148,0),0)</f>
        <v>0</v>
      </c>
      <c r="IB148" s="26">
        <f>IF(IB$2=InputTable[[#This Row],[Delivery Date]],_xlfn.XLOOKUP(IB$1,$BH$2:$BR$2,$BH148:$BR148,0),0)</f>
        <v>0</v>
      </c>
      <c r="IC148" s="26">
        <f>IF(IC$2=InputTable[[#This Row],[Delivery Date]],_xlfn.XLOOKUP(IC$1,$BH$2:$BR$2,$BH148:$BR148,0),0)</f>
        <v>0</v>
      </c>
      <c r="ID148" s="26">
        <f>IF(ID$2=InputTable[[#This Row],[Delivery Date]],_xlfn.XLOOKUP(ID$1,$BH$2:$BR$2,$BH148:$BR148,0),0)</f>
        <v>0</v>
      </c>
      <c r="IE148" s="26">
        <f>IF(IE$2=InputTable[[#This Row],[Delivery Date]],_xlfn.XLOOKUP(IE$1,$BH$2:$BR$2,$BH148:$BR148,0),0)</f>
        <v>0</v>
      </c>
      <c r="IF148" s="26">
        <f>IF(IF$2=InputTable[[#This Row],[Delivery Date]],_xlfn.XLOOKUP(IF$1,$BH$2:$BR$2,$BH148:$BR148,0),0)</f>
        <v>0</v>
      </c>
      <c r="IG148" s="26">
        <f>IF(IG$2=InputTable[[#This Row],[Delivery Date]],_xlfn.XLOOKUP(IG$1,$BH$2:$BR$2,$BH148:$BR148,0),0)</f>
        <v>0</v>
      </c>
      <c r="IH148" s="26">
        <f>IF(IH$2=InputTable[[#This Row],[Delivery Date]],_xlfn.XLOOKUP(IH$1,$BH$2:$BR$2,$BH148:$BR148,0),0)</f>
        <v>0</v>
      </c>
      <c r="IJ148" s="26" t="e">
        <f>IF(IJ$2=InputTable[[#This Row],[Delivery Date]],_xlfn.XLOOKUP(IJ$1,$BH$2:$BR$2,$BH148:$BR148,0),0)</f>
        <v>#REF!</v>
      </c>
      <c r="IK148" s="26">
        <f>IF(IK$2=InputTable[[#This Row],[Delivery Date]],_xlfn.XLOOKUP(IK$1,$BH$2:$BR$2,$BH148:$BR148,0),0)</f>
        <v>0</v>
      </c>
      <c r="IL148" s="26">
        <f>IF(IL$2=InputTable[[#This Row],[Delivery Date]],_xlfn.XLOOKUP(IL$1,$BH$2:$BR$2,$BH148:$BR148,0),0)</f>
        <v>0</v>
      </c>
      <c r="IM148" s="26">
        <f>IF(IM$2=InputTable[[#This Row],[Delivery Date]],_xlfn.XLOOKUP(IM$1,$BH$2:$BR$2,$BH148:$BR148,0),0)</f>
        <v>0</v>
      </c>
      <c r="IN148" s="26">
        <f>IF(IN$2=InputTable[[#This Row],[Delivery Date]],_xlfn.XLOOKUP(IN$1,$BH$2:$BR$2,$BH148:$BR148,0),0)</f>
        <v>0</v>
      </c>
      <c r="IO148" s="26">
        <f>IF(IO$2=InputTable[[#This Row],[Delivery Date]],_xlfn.XLOOKUP(IO$1,$BH$2:$BR$2,$BH148:$BR148,0),0)</f>
        <v>0</v>
      </c>
      <c r="IP148" s="26">
        <f>IF(IP$2=InputTable[[#This Row],[Delivery Date]],_xlfn.XLOOKUP(IP$1,$BH$2:$BR$2,$BH148:$BR148,0),0)</f>
        <v>0</v>
      </c>
      <c r="IQ148" s="26">
        <f>IF(IQ$2=InputTable[[#This Row],[Delivery Date]],_xlfn.XLOOKUP(IQ$1,$BH$2:$BR$2,$BH148:$BR148,0),0)</f>
        <v>0</v>
      </c>
      <c r="IR148" s="26">
        <f>IF(IR$2=InputTable[[#This Row],[Delivery Date]],_xlfn.XLOOKUP(IR$1,$BH$2:$BR$2,$BH148:$BR148,0),0)</f>
        <v>0</v>
      </c>
      <c r="IT148" s="26" t="e">
        <f>IF(IT$2=InputTable[[#This Row],[Delivery Date]],_xlfn.XLOOKUP(IT$1,$BH$2:$BR$2,$BH148:$BR148,0),0)</f>
        <v>#REF!</v>
      </c>
      <c r="IU148" s="26">
        <f>IF(IU$2=InputTable[[#This Row],[Delivery Date]],_xlfn.XLOOKUP(IU$1,$BH$2:$BR$2,$BH148:$BR148,0),0)</f>
        <v>0</v>
      </c>
      <c r="IV148" s="26">
        <f>IF(IV$2=InputTable[[#This Row],[Delivery Date]],_xlfn.XLOOKUP(IV$1,$BH$2:$BR$2,$BH148:$BR148,0),0)</f>
        <v>0</v>
      </c>
      <c r="IW148" s="26">
        <f>IF(IW$2=InputTable[[#This Row],[Delivery Date]],_xlfn.XLOOKUP(IW$1,$BH$2:$BR$2,$BH148:$BR148,0),0)</f>
        <v>0</v>
      </c>
      <c r="IX148" s="26">
        <f>IF(IX$2=InputTable[[#This Row],[Delivery Date]],_xlfn.XLOOKUP(IX$1,$BH$2:$BR$2,$BH148:$BR148,0),0)</f>
        <v>0</v>
      </c>
      <c r="IY148" s="26">
        <f>IF(IY$2=InputTable[[#This Row],[Delivery Date]],_xlfn.XLOOKUP(IY$1,$BH$2:$BR$2,$BH148:$BR148,0),0)</f>
        <v>0</v>
      </c>
      <c r="IZ148" s="26">
        <f>IF(IZ$2=InputTable[[#This Row],[Delivery Date]],_xlfn.XLOOKUP(IZ$1,$BH$2:$BR$2,$BH148:$BR148,0),0)</f>
        <v>0</v>
      </c>
      <c r="JA148" s="26">
        <f>IF(JA$2=InputTable[[#This Row],[Delivery Date]],_xlfn.XLOOKUP(JA$1,$BH$2:$BR$2,$BH148:$BR148,0),0)</f>
        <v>0</v>
      </c>
      <c r="JB148" s="26">
        <f>IF(JB$2=InputTable[[#This Row],[Delivery Date]],_xlfn.XLOOKUP(JB$1,$BH$2:$BR$2,$BH148:$BR148,0),0)</f>
        <v>0</v>
      </c>
      <c r="JD148" s="26" t="e">
        <f>IF(JD$2=InputTable[[#This Row],[Delivery Date]],_xlfn.XLOOKUP(JD$1,$BH$2:$BR$2,$BH148:$BR148,0),0)</f>
        <v>#REF!</v>
      </c>
      <c r="JE148" s="26">
        <f>IF(JE$2=InputTable[[#This Row],[Delivery Date]],_xlfn.XLOOKUP(JE$1,$BH$2:$BR$2,$BH148:$BR148,0),0)</f>
        <v>0</v>
      </c>
      <c r="JF148" s="26">
        <f>IF(JF$2=InputTable[[#This Row],[Delivery Date]],_xlfn.XLOOKUP(JF$1,$BH$2:$BR$2,$BH148:$BR148,0),0)</f>
        <v>0</v>
      </c>
      <c r="JG148" s="26">
        <f>IF(JG$2=InputTable[[#This Row],[Delivery Date]],_xlfn.XLOOKUP(JG$1,$BH$2:$BR$2,$BH148:$BR148,0),0)</f>
        <v>0</v>
      </c>
      <c r="JH148" s="26">
        <f>IF(JH$2=InputTable[[#This Row],[Delivery Date]],_xlfn.XLOOKUP(JH$1,$BH$2:$BR$2,$BH148:$BR148,0),0)</f>
        <v>0</v>
      </c>
      <c r="JI148" s="26">
        <f>IF(JI$2=InputTable[[#This Row],[Delivery Date]],_xlfn.XLOOKUP(JI$1,$BH$2:$BR$2,$BH148:$BR148,0),0)</f>
        <v>0</v>
      </c>
      <c r="JJ148" s="26">
        <f>IF(JJ$2=InputTable[[#This Row],[Delivery Date]],_xlfn.XLOOKUP(JJ$1,$BH$2:$BR$2,$BH148:$BR148,0),0)</f>
        <v>0</v>
      </c>
      <c r="JK148" s="26">
        <f>IF(JK$2=InputTable[[#This Row],[Delivery Date]],_xlfn.XLOOKUP(JK$1,$BH$2:$BR$2,$BH148:$BR148,0),0)</f>
        <v>0</v>
      </c>
      <c r="JL148" s="26">
        <f>IF(JL$2=InputTable[[#This Row],[Delivery Date]],_xlfn.XLOOKUP(JL$1,$BH$2:$BR$2,$BH148:$BR148,0),0)</f>
        <v>0</v>
      </c>
      <c r="JN148" s="26" t="e">
        <f>IF(JN$2=InputTable[[#This Row],[Delivery Date]],_xlfn.XLOOKUP(JN$1,$BH$2:$BR$2,$BH148:$BR148,0),0)</f>
        <v>#REF!</v>
      </c>
      <c r="JO148" s="26">
        <f>IF(JO$2=InputTable[[#This Row],[Delivery Date]],_xlfn.XLOOKUP(JO$1,$BH$2:$BR$2,$BH148:$BR148,0),0)</f>
        <v>0</v>
      </c>
      <c r="JP148" s="26">
        <f>IF(JP$2=InputTable[[#This Row],[Delivery Date]],_xlfn.XLOOKUP(JP$1,$BH$2:$BR$2,$BH148:$BR148,0),0)</f>
        <v>0</v>
      </c>
      <c r="JQ148" s="26">
        <f>IF(JQ$2=InputTable[[#This Row],[Delivery Date]],_xlfn.XLOOKUP(JQ$1,$BH$2:$BR$2,$BH148:$BR148,0),0)</f>
        <v>0</v>
      </c>
      <c r="JR148" s="26">
        <f>IF(JR$2=InputTable[[#This Row],[Delivery Date]],_xlfn.XLOOKUP(JR$1,$BH$2:$BR$2,$BH148:$BR148,0),0)</f>
        <v>0</v>
      </c>
      <c r="JS148" s="26">
        <f>IF(JS$2=InputTable[[#This Row],[Delivery Date]],_xlfn.XLOOKUP(JS$1,$BH$2:$BR$2,$BH148:$BR148,0),0)</f>
        <v>0</v>
      </c>
      <c r="JT148" s="26">
        <f>IF(JT$2=InputTable[[#This Row],[Delivery Date]],_xlfn.XLOOKUP(JT$1,$BH$2:$BR$2,$BH148:$BR148,0),0)</f>
        <v>0</v>
      </c>
      <c r="JU148" s="26">
        <f>IF(JU$2=InputTable[[#This Row],[Delivery Date]],_xlfn.XLOOKUP(JU$1,$BH$2:$BR$2,$BH148:$BR148,0),0)</f>
        <v>0</v>
      </c>
      <c r="JV148" s="26">
        <f>IF(JV$2=InputTable[[#This Row],[Delivery Date]],_xlfn.XLOOKUP(JV$1,$BH$2:$BR$2,$BH148:$BR148,0),0)</f>
        <v>0</v>
      </c>
      <c r="JX148" s="26" t="e">
        <f>IF(JX$2=InputTable[[#This Row],[Delivery Date]],_xlfn.XLOOKUP(JX$1,$BH$2:$BR$2,$BH148:$BR148,0),0)</f>
        <v>#REF!</v>
      </c>
      <c r="JY148" s="26">
        <f>IF(JY$2=InputTable[[#This Row],[Delivery Date]],_xlfn.XLOOKUP(JY$1,$BH$2:$BR$2,$BH148:$BR148,0),0)</f>
        <v>0</v>
      </c>
      <c r="JZ148" s="26">
        <f>IF(JZ$2=InputTable[[#This Row],[Delivery Date]],_xlfn.XLOOKUP(JZ$1,$BH$2:$BR$2,$BH148:$BR148,0),0)</f>
        <v>0</v>
      </c>
      <c r="KA148" s="26">
        <f>IF(KA$2=InputTable[[#This Row],[Delivery Date]],_xlfn.XLOOKUP(KA$1,$BH$2:$BR$2,$BH148:$BR148,0),0)</f>
        <v>0</v>
      </c>
      <c r="KB148" s="26">
        <f>IF(KB$2=InputTable[[#This Row],[Delivery Date]],_xlfn.XLOOKUP(KB$1,$BH$2:$BR$2,$BH148:$BR148,0),0)</f>
        <v>0</v>
      </c>
      <c r="KC148" s="26">
        <f>IF(KC$2=InputTable[[#This Row],[Delivery Date]],_xlfn.XLOOKUP(KC$1,$BH$2:$BR$2,$BH148:$BR148,0),0)</f>
        <v>0</v>
      </c>
      <c r="KD148" s="26">
        <f>IF(KD$2=InputTable[[#This Row],[Delivery Date]],_xlfn.XLOOKUP(KD$1,$BH$2:$BR$2,$BH148:$BR148,0),0)</f>
        <v>0</v>
      </c>
      <c r="KE148" s="26">
        <f>IF(KE$2=InputTable[[#This Row],[Delivery Date]],_xlfn.XLOOKUP(KE$1,$BH$2:$BR$2,$BH148:$BR148,0),0)</f>
        <v>0</v>
      </c>
      <c r="KF148" s="26">
        <f>IF(KF$2=InputTable[[#This Row],[Delivery Date]],_xlfn.XLOOKUP(KF$1,$BH$2:$BR$2,$BH148:$BR148,0),0)</f>
        <v>0</v>
      </c>
    </row>
    <row r="149" spans="1:292" ht="17.399999999999999" x14ac:dyDescent="0.25">
      <c r="A149" s="141"/>
      <c r="B149" s="119"/>
      <c r="C149" s="92"/>
      <c r="D149" s="92"/>
      <c r="E149" s="93"/>
      <c r="F149" s="92"/>
      <c r="G149" s="92"/>
      <c r="H149" s="92"/>
      <c r="I149" s="92"/>
      <c r="J149" s="122"/>
      <c r="K149" s="95" t="e">
        <f>VLOOKUP((InputTable[[#This Row],[Starting Date]]&amp; " - " &amp;InputTable[[#This Row],[Delivery Date]]),'System List'!$F$40:$H$83,2,FALSE)</f>
        <v>#N/A</v>
      </c>
      <c r="L149" s="95" t="e">
        <f>VLOOKUP(InputTable[[#This Row],[Duration]],Duration,2,FALSE)</f>
        <v>#N/A</v>
      </c>
      <c r="M149" s="122"/>
      <c r="N149" s="92"/>
      <c r="O149" s="92"/>
      <c r="P149" s="92"/>
      <c r="Q149" s="92"/>
      <c r="R149" s="92"/>
      <c r="S149" s="92"/>
      <c r="T149" s="95"/>
      <c r="U149" s="138"/>
      <c r="V149" s="92"/>
      <c r="W149" s="92"/>
      <c r="X149" s="92"/>
      <c r="Y149" s="92"/>
      <c r="Z149" s="92"/>
      <c r="AA149" s="92"/>
      <c r="AB149" s="92"/>
      <c r="AC149" s="92"/>
      <c r="AD149" s="92">
        <f>COUNTA(InputTable[[#This Row],[CORPHRFIN]:[SALES]])</f>
        <v>0</v>
      </c>
      <c r="AE149" s="88" cm="1">
        <f t="array" ref="AE149">SUM(
_xlfn.XLOOKUP(InputTable[[#This Row],[CORPHRFIN]:[SALES]],'System List'!$F$4:$F$7,'System List'!$H$4:$H$7,0))</f>
        <v>0</v>
      </c>
      <c r="AF149" s="140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88" cm="1">
        <f t="array" ref="AR149">SUM(
_xlfn.XLOOKUP(InputTable[[#This Row],[Impact on - CIAL]:[Impact on - STRAT]],'System List'!$F$4:$F$7,'System List'!$H$4:$H$7,0))</f>
        <v>0</v>
      </c>
      <c r="AS149" s="88" t="e">
        <f>VLOOKUP(InputTable[[#This Row],[Duration]],Duration,2,FALSE)+InputTable[[#This Row],[Resource Score]]</f>
        <v>#N/A</v>
      </c>
      <c r="AT14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49" s="24" t="e">
        <f>InputTable[[#This Row],[Value Score]]/InputTable[[#This Row],[EFFORT SCORE]]*100</f>
        <v>#N/A</v>
      </c>
      <c r="AV149" s="25" t="s">
        <v>441</v>
      </c>
      <c r="AW149" s="25"/>
      <c r="AX149" s="208"/>
      <c r="AY149" s="25"/>
      <c r="AZ149" s="209">
        <v>0</v>
      </c>
      <c r="BA149" s="209">
        <v>0</v>
      </c>
      <c r="BB149" s="209"/>
      <c r="BC149" s="189"/>
      <c r="BD149" s="188"/>
      <c r="BE149" s="188"/>
      <c r="BF149" s="70"/>
      <c r="BH149" s="2">
        <f>IFERROR(VLOOKUP(InputTable[[#This Row],[Impact on - CIAL]],'System List'!$F$4:$H$7,3,FALSE),0)</f>
        <v>0</v>
      </c>
      <c r="BI149" s="2">
        <f>IFERROR(VLOOKUP(InputTable[[#This Row],[Impact on - COM]],'System List'!$F$4:$H$7,3,FALSE),0)</f>
        <v>0</v>
      </c>
      <c r="BJ149" s="2">
        <f>IFERROR(VLOOKUP(InputTable[[#This Row],[Impact on - FIN]],'System List'!$F$4:$H$7,3,FALSE),0)</f>
        <v>0</v>
      </c>
      <c r="BK149" s="2">
        <f>IFERROR(VLOOKUP(InputTable[[#This Row],[Impact on - GEN SEC]],'System List'!$F$4:$H$7,3,FALSE),0)</f>
        <v>0</v>
      </c>
      <c r="BL149" s="2">
        <f>IFERROR(VLOOKUP(InputTable[[#This Row],[Impact on - HR]],'System List'!$F$4:$H$7,3,FALSE),0)</f>
        <v>0</v>
      </c>
      <c r="BM149" s="2">
        <f>IFERROR(VLOOKUP(InputTable[[#This Row],[Impact on - IS]],'System List'!$F$4:$H$7,3,FALSE),0)</f>
        <v>0</v>
      </c>
      <c r="BN149" s="2">
        <f>IFERROR(VLOOKUP(InputTable[[#This Row],[Impact on - OPS]],'System List'!$F$4:$H$7,3,FALSE),0)</f>
        <v>0</v>
      </c>
      <c r="BO149" s="2">
        <f>IFERROR(VLOOKUP(InputTable[[#This Row],[Impact on - ROLL STOCK]],'System List'!$F$4:$H$7,3,FALSE),0)</f>
        <v>0</v>
      </c>
      <c r="BP149" s="2">
        <f>IFERROR(VLOOKUP(InputTable[[#This Row],[Impact on - SAFETY]],'System List'!$F$4:$H$7,3,FALSE),0)</f>
        <v>0</v>
      </c>
      <c r="BQ149" s="2">
        <f>IFERROR(VLOOKUP(InputTable[[#This Row],[Impact on - STATION]],'System List'!$F$4:$H$7,3,FALSE),0)</f>
        <v>0</v>
      </c>
      <c r="BR149" s="2">
        <f>IFERROR(VLOOKUP(InputTable[[#This Row],[Impact on - STRAT]],'System List'!$F$4:$H$7,3,FALSE),0)</f>
        <v>0</v>
      </c>
      <c r="BT149" s="2">
        <f>IFERROR(VLOOKUP(InputTable[[#This Row],[CORPHRFIN]],'System List'!$F$4:$H$7,3,FALSE),0)</f>
        <v>0</v>
      </c>
      <c r="BU149" s="2">
        <f>IFERROR(VLOOKUP(InputTable[[#This Row],[CUST]],'System List'!$F$4:$H$7,3,FALSE),0)</f>
        <v>0</v>
      </c>
      <c r="BV149" s="2">
        <f>IFERROR(VLOOKUP(InputTable[[#This Row],[CYBER]],'System List'!$F$4:$H$7,3,FALSE),0)</f>
        <v>0</v>
      </c>
      <c r="BW149" s="2">
        <f>IFERROR(VLOOKUP(InputTable[[#This Row],[DATA]],'System List'!$F$4:$H$7,3,FALSE),0)</f>
        <v>0</v>
      </c>
      <c r="BX149" s="2">
        <f>IFERROR(VLOOKUP(InputTable[[#This Row],[INFRA]],'System List'!$F$4:$H$7,3,FALSE),0)</f>
        <v>0</v>
      </c>
      <c r="BY149" s="2">
        <f>IFERROR(VLOOKUP(InputTable[[#This Row],[OPERATIONS]],'System List'!$F$4:$H$7,3,FALSE),0)</f>
        <v>0</v>
      </c>
      <c r="BZ149" s="2">
        <f>IFERROR(VLOOKUP(InputTable[[#This Row],[PMO]],'System List'!$F$4:$H$7,3,FALSE),0)</f>
        <v>0</v>
      </c>
      <c r="CA149" s="2">
        <f>IFERROR(VLOOKUP(InputTable[[#This Row],[SALES]],'System List'!$F$4:$H$7,3,FALSE),0)</f>
        <v>0</v>
      </c>
      <c r="CC149" s="2" cm="1">
        <f t="array" ref="CC14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49" s="2" cm="1">
        <f t="array" ref="CD14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49" s="2" cm="1">
        <f t="array" ref="CE14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49" s="2" cm="1">
        <f t="array" ref="CF14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49" s="2" cm="1">
        <f t="array" ref="CG14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49" s="2" cm="1">
        <f t="array" ref="CH14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49" s="2" cm="1">
        <f t="array" ref="CI14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49" s="2" cm="1">
        <f t="array" ref="CJ14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49" s="2" cm="1">
        <f t="array" ref="CK14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4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4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4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4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4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4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4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4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4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49" s="26">
        <f t="shared" si="379"/>
        <v>0</v>
      </c>
      <c r="CY149" s="26">
        <f t="shared" si="380"/>
        <v>0</v>
      </c>
      <c r="CZ149" s="26">
        <f t="shared" si="381"/>
        <v>0</v>
      </c>
      <c r="DA149" s="26">
        <f t="shared" si="382"/>
        <v>0</v>
      </c>
      <c r="DB149" s="26">
        <f t="shared" si="383"/>
        <v>0</v>
      </c>
      <c r="DC149" s="26">
        <f t="shared" si="384"/>
        <v>0</v>
      </c>
      <c r="DD149" s="26">
        <f t="shared" si="385"/>
        <v>0</v>
      </c>
      <c r="DE149" s="26">
        <f t="shared" si="386"/>
        <v>0</v>
      </c>
      <c r="DF149" s="26">
        <f t="shared" si="387"/>
        <v>0</v>
      </c>
      <c r="DH149" s="26">
        <f t="shared" si="388"/>
        <v>0</v>
      </c>
      <c r="DI149" s="26">
        <f t="shared" si="389"/>
        <v>0</v>
      </c>
      <c r="DJ149" s="26">
        <f t="shared" si="390"/>
        <v>0</v>
      </c>
      <c r="DK149" s="26">
        <f t="shared" si="391"/>
        <v>0</v>
      </c>
      <c r="DL149" s="26">
        <f t="shared" si="392"/>
        <v>0</v>
      </c>
      <c r="DM149" s="26">
        <f t="shared" si="393"/>
        <v>0</v>
      </c>
      <c r="DN149" s="26">
        <f t="shared" si="394"/>
        <v>0</v>
      </c>
      <c r="DO149" s="26">
        <f t="shared" si="395"/>
        <v>0</v>
      </c>
      <c r="DP149" s="26">
        <f t="shared" si="396"/>
        <v>0</v>
      </c>
      <c r="DR149" s="26">
        <f t="shared" si="397"/>
        <v>0</v>
      </c>
      <c r="DS149" s="26">
        <f t="shared" si="398"/>
        <v>0</v>
      </c>
      <c r="DT149" s="26">
        <f t="shared" si="399"/>
        <v>0</v>
      </c>
      <c r="DU149" s="26">
        <f t="shared" si="400"/>
        <v>0</v>
      </c>
      <c r="DV149" s="26">
        <f t="shared" si="401"/>
        <v>0</v>
      </c>
      <c r="DW149" s="26">
        <f t="shared" si="402"/>
        <v>0</v>
      </c>
      <c r="DX149" s="26">
        <f t="shared" si="403"/>
        <v>0</v>
      </c>
      <c r="DY149" s="26">
        <f t="shared" si="404"/>
        <v>0</v>
      </c>
      <c r="DZ149" s="26">
        <f t="shared" si="405"/>
        <v>0</v>
      </c>
      <c r="EB149" s="26">
        <f t="shared" si="406"/>
        <v>0</v>
      </c>
      <c r="EC149" s="26">
        <f t="shared" si="407"/>
        <v>0</v>
      </c>
      <c r="ED149" s="26">
        <f t="shared" si="408"/>
        <v>0</v>
      </c>
      <c r="EE149" s="26">
        <f t="shared" si="409"/>
        <v>0</v>
      </c>
      <c r="EF149" s="26">
        <f t="shared" si="410"/>
        <v>0</v>
      </c>
      <c r="EG149" s="26">
        <f t="shared" si="411"/>
        <v>0</v>
      </c>
      <c r="EH149" s="26">
        <f t="shared" si="412"/>
        <v>0</v>
      </c>
      <c r="EI149" s="26">
        <f t="shared" si="413"/>
        <v>0</v>
      </c>
      <c r="EJ149" s="26">
        <f t="shared" si="414"/>
        <v>0</v>
      </c>
      <c r="EL149" s="26">
        <f t="shared" si="415"/>
        <v>0</v>
      </c>
      <c r="EM149" s="26">
        <f t="shared" si="416"/>
        <v>0</v>
      </c>
      <c r="EN149" s="26">
        <f t="shared" si="417"/>
        <v>0</v>
      </c>
      <c r="EO149" s="26">
        <f t="shared" si="418"/>
        <v>0</v>
      </c>
      <c r="EP149" s="26">
        <f t="shared" si="419"/>
        <v>0</v>
      </c>
      <c r="EQ149" s="26">
        <f t="shared" si="420"/>
        <v>0</v>
      </c>
      <c r="ER149" s="26">
        <f t="shared" si="421"/>
        <v>0</v>
      </c>
      <c r="ES149" s="26">
        <f t="shared" si="422"/>
        <v>0</v>
      </c>
      <c r="ET149" s="26">
        <f t="shared" si="423"/>
        <v>0</v>
      </c>
      <c r="EV149" s="26">
        <f t="shared" si="424"/>
        <v>0</v>
      </c>
      <c r="EW149" s="26">
        <f t="shared" si="425"/>
        <v>0</v>
      </c>
      <c r="EX149" s="26">
        <f t="shared" si="426"/>
        <v>0</v>
      </c>
      <c r="EY149" s="26">
        <f t="shared" si="427"/>
        <v>0</v>
      </c>
      <c r="EZ149" s="26">
        <f t="shared" si="428"/>
        <v>0</v>
      </c>
      <c r="FA149" s="26">
        <f t="shared" si="429"/>
        <v>0</v>
      </c>
      <c r="FB149" s="26">
        <f t="shared" si="430"/>
        <v>0</v>
      </c>
      <c r="FC149" s="26">
        <f t="shared" si="431"/>
        <v>0</v>
      </c>
      <c r="FD149" s="26">
        <f t="shared" si="432"/>
        <v>0</v>
      </c>
      <c r="FF149" s="26">
        <f t="shared" si="433"/>
        <v>0</v>
      </c>
      <c r="FG149" s="26">
        <f t="shared" si="434"/>
        <v>0</v>
      </c>
      <c r="FH149" s="26">
        <f t="shared" si="435"/>
        <v>0</v>
      </c>
      <c r="FI149" s="26">
        <f t="shared" si="436"/>
        <v>0</v>
      </c>
      <c r="FJ149" s="26">
        <f t="shared" si="437"/>
        <v>0</v>
      </c>
      <c r="FK149" s="26">
        <f t="shared" si="438"/>
        <v>0</v>
      </c>
      <c r="FL149" s="26">
        <f t="shared" si="439"/>
        <v>0</v>
      </c>
      <c r="FM149" s="26">
        <f t="shared" si="440"/>
        <v>0</v>
      </c>
      <c r="FN149" s="26">
        <f t="shared" si="441"/>
        <v>0</v>
      </c>
      <c r="FP149" s="26" t="e">
        <f t="shared" si="442"/>
        <v>#REF!</v>
      </c>
      <c r="FQ149" s="26" t="e">
        <f t="shared" si="443"/>
        <v>#REF!</v>
      </c>
      <c r="FR149" s="26" t="e">
        <f t="shared" si="444"/>
        <v>#REF!</v>
      </c>
      <c r="FS149" s="26" t="e">
        <f t="shared" si="445"/>
        <v>#REF!</v>
      </c>
      <c r="FT149" s="26" t="e">
        <f t="shared" si="446"/>
        <v>#REF!</v>
      </c>
      <c r="FU149" s="26" t="e">
        <f t="shared" si="447"/>
        <v>#REF!</v>
      </c>
      <c r="FV149" s="26" t="e">
        <f t="shared" si="448"/>
        <v>#REF!</v>
      </c>
      <c r="FW149" s="26" t="e">
        <f t="shared" si="449"/>
        <v>#REF!</v>
      </c>
      <c r="FX149" s="26" t="e">
        <f t="shared" si="450"/>
        <v>#REF!</v>
      </c>
      <c r="GB149" s="26" t="e">
        <f>IF(GB$2=InputTable[[#This Row],[Delivery Date]],_xlfn.XLOOKUP(GB$1,$BH$2:$BR$2,$BH149:$BR149,0),0)</f>
        <v>#REF!</v>
      </c>
      <c r="GC149" s="26">
        <f>IF(GC$2=InputTable[[#This Row],[Delivery Date]],_xlfn.XLOOKUP(GC$1,$BH$2:$BR$2,$BH149:$BR149,0),0)</f>
        <v>0</v>
      </c>
      <c r="GD149" s="26">
        <f>IF(GD$2=InputTable[[#This Row],[Delivery Date]],_xlfn.XLOOKUP(GD$1,$BH$2:$BR$2,$BH149:$BR149,0),0)</f>
        <v>0</v>
      </c>
      <c r="GE149" s="26">
        <f>IF(GE$2=InputTable[[#This Row],[Delivery Date]],_xlfn.XLOOKUP(GE$1,$BH$2:$BR$2,$BH149:$BR149,0),0)</f>
        <v>0</v>
      </c>
      <c r="GF149" s="26">
        <f>IF(GF$2=InputTable[[#This Row],[Delivery Date]],_xlfn.XLOOKUP(GF$1,$BH$2:$BR$2,$BH149:$BR149,0),0)</f>
        <v>0</v>
      </c>
      <c r="GG149" s="26">
        <f>IF(GG$2=InputTable[[#This Row],[Delivery Date]],_xlfn.XLOOKUP(GG$1,$BH$2:$BR$2,$BH149:$BR149,0),0)</f>
        <v>0</v>
      </c>
      <c r="GH149" s="26">
        <f>IF(GH$2=InputTable[[#This Row],[Delivery Date]],_xlfn.XLOOKUP(GH$1,$BH$2:$BR$2,$BH149:$BR149,0),0)</f>
        <v>0</v>
      </c>
      <c r="GI149" s="26">
        <f>IF(GI$2=InputTable[[#This Row],[Delivery Date]],_xlfn.XLOOKUP(GI$1,$BH$2:$BR$2,$BH149:$BR149,0),0)</f>
        <v>0</v>
      </c>
      <c r="GJ149" s="26">
        <f>IF(GJ$2=InputTable[[#This Row],[Delivery Date]],_xlfn.XLOOKUP(GJ$1,$BH$2:$BR$2,$BH149:$BR149,0),0)</f>
        <v>0</v>
      </c>
      <c r="GL149" s="26" t="e">
        <f>IF(GL$2=InputTable[[#This Row],[Delivery Date]],_xlfn.XLOOKUP(GL$1,$BH$2:$BR$2,$BH149:$BR149,0),0)</f>
        <v>#REF!</v>
      </c>
      <c r="GM149" s="26">
        <f>IF(GM$2=InputTable[[#This Row],[Delivery Date]],_xlfn.XLOOKUP(GM$1,$BH$2:$BR$2,$BH149:$BR149,0),0)</f>
        <v>0</v>
      </c>
      <c r="GN149" s="26">
        <f>IF(GN$2=InputTable[[#This Row],[Delivery Date]],_xlfn.XLOOKUP(GN$1,$BH$2:$BR$2,$BH149:$BR149,0),0)</f>
        <v>0</v>
      </c>
      <c r="GO149" s="26">
        <f>IF(GO$2=InputTable[[#This Row],[Delivery Date]],_xlfn.XLOOKUP(GO$1,$BH$2:$BR$2,$BH149:$BR149,0),0)</f>
        <v>0</v>
      </c>
      <c r="GP149" s="26">
        <f>IF(GP$2=InputTable[[#This Row],[Delivery Date]],_xlfn.XLOOKUP(GP$1,$BH$2:$BR$2,$BH149:$BR149,0),0)</f>
        <v>0</v>
      </c>
      <c r="GQ149" s="26">
        <f>IF(GQ$2=InputTable[[#This Row],[Delivery Date]],_xlfn.XLOOKUP(GQ$1,$BH$2:$BR$2,$BH149:$BR149,0),0)</f>
        <v>0</v>
      </c>
      <c r="GR149" s="26">
        <f>IF(GR$2=InputTable[[#This Row],[Delivery Date]],_xlfn.XLOOKUP(GR$1,$BH$2:$BR$2,$BH149:$BR149,0),0)</f>
        <v>0</v>
      </c>
      <c r="GS149" s="26">
        <f>IF(GS$2=InputTable[[#This Row],[Delivery Date]],_xlfn.XLOOKUP(GS$1,$BH$2:$BR$2,$BH149:$BR149,0),0)</f>
        <v>0</v>
      </c>
      <c r="GT149" s="26">
        <f>IF(GT$2=InputTable[[#This Row],[Delivery Date]],_xlfn.XLOOKUP(GT$1,$BH$2:$BR$2,$BH149:$BR149,0),0)</f>
        <v>0</v>
      </c>
      <c r="GV149" s="26" t="e">
        <f>IF(GV$2=InputTable[[#This Row],[Delivery Date]],_xlfn.XLOOKUP(GV$1,$BH$2:$BR$2,$BH149:$BR149,0),0)</f>
        <v>#REF!</v>
      </c>
      <c r="GW149" s="26">
        <f>IF(GW$2=InputTable[[#This Row],[Delivery Date]],_xlfn.XLOOKUP(GW$1,$BH$2:$BR$2,$BH149:$BR149,0),0)</f>
        <v>0</v>
      </c>
      <c r="GX149" s="26">
        <f>IF(GX$2=InputTable[[#This Row],[Delivery Date]],_xlfn.XLOOKUP(GX$1,$BH$2:$BR$2,$BH149:$BR149,0),0)</f>
        <v>0</v>
      </c>
      <c r="GY149" s="26">
        <f>IF(GY$2=InputTable[[#This Row],[Delivery Date]],_xlfn.XLOOKUP(GY$1,$BH$2:$BR$2,$BH149:$BR149,0),0)</f>
        <v>0</v>
      </c>
      <c r="GZ149" s="26">
        <f>IF(GZ$2=InputTable[[#This Row],[Delivery Date]],_xlfn.XLOOKUP(GZ$1,$BH$2:$BR$2,$BH149:$BR149,0),0)</f>
        <v>0</v>
      </c>
      <c r="HA149" s="26">
        <f>IF(HA$2=InputTable[[#This Row],[Delivery Date]],_xlfn.XLOOKUP(HA$1,$BH$2:$BR$2,$BH149:$BR149,0),0)</f>
        <v>0</v>
      </c>
      <c r="HB149" s="26">
        <f>IF(HB$2=InputTable[[#This Row],[Delivery Date]],_xlfn.XLOOKUP(HB$1,$BH$2:$BR$2,$BH149:$BR149,0),0)</f>
        <v>0</v>
      </c>
      <c r="HC149" s="26">
        <f>IF(HC$2=InputTable[[#This Row],[Delivery Date]],_xlfn.XLOOKUP(HC$1,$BH$2:$BR$2,$BH149:$BR149,0),0)</f>
        <v>0</v>
      </c>
      <c r="HD149" s="26">
        <f>IF(HD$2=InputTable[[#This Row],[Delivery Date]],_xlfn.XLOOKUP(HD$1,$BH$2:$BR$2,$BH149:$BR149,0),0)</f>
        <v>0</v>
      </c>
      <c r="HF149" s="26" t="e">
        <f>IF(HF$2=InputTable[[#This Row],[Delivery Date]],_xlfn.XLOOKUP(HF$1,$BH$2:$BR$2,$BH149:$BR149,0),0)</f>
        <v>#REF!</v>
      </c>
      <c r="HG149" s="26">
        <f>IF(HG$2=InputTable[[#This Row],[Delivery Date]],_xlfn.XLOOKUP(HG$1,$BH$2:$BR$2,$BH149:$BR149,0),0)</f>
        <v>0</v>
      </c>
      <c r="HH149" s="26">
        <f>IF(HH$2=InputTable[[#This Row],[Delivery Date]],_xlfn.XLOOKUP(HH$1,$BH$2:$BR$2,$BH149:$BR149,0),0)</f>
        <v>0</v>
      </c>
      <c r="HI149" s="26">
        <f>IF(HI$2=InputTable[[#This Row],[Delivery Date]],_xlfn.XLOOKUP(HI$1,$BH$2:$BR$2,$BH149:$BR149,0),0)</f>
        <v>0</v>
      </c>
      <c r="HJ149" s="26">
        <f>IF(HJ$2=InputTable[[#This Row],[Delivery Date]],_xlfn.XLOOKUP(HJ$1,$BH$2:$BR$2,$BH149:$BR149,0),0)</f>
        <v>0</v>
      </c>
      <c r="HK149" s="26">
        <f>IF(HK$2=InputTable[[#This Row],[Delivery Date]],_xlfn.XLOOKUP(HK$1,$BH$2:$BR$2,$BH149:$BR149,0),0)</f>
        <v>0</v>
      </c>
      <c r="HL149" s="26">
        <f>IF(HL$2=InputTable[[#This Row],[Delivery Date]],_xlfn.XLOOKUP(HL$1,$BH$2:$BR$2,$BH149:$BR149,0),0)</f>
        <v>0</v>
      </c>
      <c r="HM149" s="26">
        <f>IF(HM$2=InputTable[[#This Row],[Delivery Date]],_xlfn.XLOOKUP(HM$1,$BH$2:$BR$2,$BH149:$BR149,0),0)</f>
        <v>0</v>
      </c>
      <c r="HN149" s="26">
        <f>IF(HN$2=InputTable[[#This Row],[Delivery Date]],_xlfn.XLOOKUP(HN$1,$BH$2:$BR$2,$BH149:$BR149,0),0)</f>
        <v>0</v>
      </c>
      <c r="HP149" s="26" t="e">
        <f>IF(HP$2=InputTable[[#This Row],[Delivery Date]],_xlfn.XLOOKUP(HP$1,$BH$2:$BR$2,$BH149:$BR149,0),0)</f>
        <v>#REF!</v>
      </c>
      <c r="HQ149" s="26">
        <f>IF(HQ$2=InputTable[[#This Row],[Delivery Date]],_xlfn.XLOOKUP(HQ$1,$BH$2:$BR$2,$BH149:$BR149,0),0)</f>
        <v>0</v>
      </c>
      <c r="HR149" s="26">
        <f>IF(HR$2=InputTable[[#This Row],[Delivery Date]],_xlfn.XLOOKUP(HR$1,$BH$2:$BR$2,$BH149:$BR149,0),0)</f>
        <v>0</v>
      </c>
      <c r="HS149" s="26">
        <f>IF(HS$2=InputTable[[#This Row],[Delivery Date]],_xlfn.XLOOKUP(HS$1,$BH$2:$BR$2,$BH149:$BR149,0),0)</f>
        <v>0</v>
      </c>
      <c r="HT149" s="26">
        <f>IF(HT$2=InputTable[[#This Row],[Delivery Date]],_xlfn.XLOOKUP(HT$1,$BH$2:$BR$2,$BH149:$BR149,0),0)</f>
        <v>0</v>
      </c>
      <c r="HU149" s="26">
        <f>IF(HU$2=InputTable[[#This Row],[Delivery Date]],_xlfn.XLOOKUP(HU$1,$BH$2:$BR$2,$BH149:$BR149,0),0)</f>
        <v>0</v>
      </c>
      <c r="HV149" s="26">
        <f>IF(HV$2=InputTable[[#This Row],[Delivery Date]],_xlfn.XLOOKUP(HV$1,$BH$2:$BR$2,$BH149:$BR149,0),0)</f>
        <v>0</v>
      </c>
      <c r="HW149" s="26">
        <f>IF(HW$2=InputTable[[#This Row],[Delivery Date]],_xlfn.XLOOKUP(HW$1,$BH$2:$BR$2,$BH149:$BR149,0),0)</f>
        <v>0</v>
      </c>
      <c r="HX149" s="26">
        <f>IF(HX$2=InputTable[[#This Row],[Delivery Date]],_xlfn.XLOOKUP(HX$1,$BH$2:$BR$2,$BH149:$BR149,0),0)</f>
        <v>0</v>
      </c>
      <c r="HZ149" s="26" t="e">
        <f>IF(HZ$2=InputTable[[#This Row],[Delivery Date]],_xlfn.XLOOKUP(HZ$1,$BH$2:$BR$2,$BH149:$BR149,0),0)</f>
        <v>#REF!</v>
      </c>
      <c r="IA149" s="26">
        <f>IF(IA$2=InputTable[[#This Row],[Delivery Date]],_xlfn.XLOOKUP(IA$1,$BH$2:$BR$2,$BH149:$BR149,0),0)</f>
        <v>0</v>
      </c>
      <c r="IB149" s="26">
        <f>IF(IB$2=InputTable[[#This Row],[Delivery Date]],_xlfn.XLOOKUP(IB$1,$BH$2:$BR$2,$BH149:$BR149,0),0)</f>
        <v>0</v>
      </c>
      <c r="IC149" s="26">
        <f>IF(IC$2=InputTable[[#This Row],[Delivery Date]],_xlfn.XLOOKUP(IC$1,$BH$2:$BR$2,$BH149:$BR149,0),0)</f>
        <v>0</v>
      </c>
      <c r="ID149" s="26">
        <f>IF(ID$2=InputTable[[#This Row],[Delivery Date]],_xlfn.XLOOKUP(ID$1,$BH$2:$BR$2,$BH149:$BR149,0),0)</f>
        <v>0</v>
      </c>
      <c r="IE149" s="26">
        <f>IF(IE$2=InputTable[[#This Row],[Delivery Date]],_xlfn.XLOOKUP(IE$1,$BH$2:$BR$2,$BH149:$BR149,0),0)</f>
        <v>0</v>
      </c>
      <c r="IF149" s="26">
        <f>IF(IF$2=InputTable[[#This Row],[Delivery Date]],_xlfn.XLOOKUP(IF$1,$BH$2:$BR$2,$BH149:$BR149,0),0)</f>
        <v>0</v>
      </c>
      <c r="IG149" s="26">
        <f>IF(IG$2=InputTable[[#This Row],[Delivery Date]],_xlfn.XLOOKUP(IG$1,$BH$2:$BR$2,$BH149:$BR149,0),0)</f>
        <v>0</v>
      </c>
      <c r="IH149" s="26">
        <f>IF(IH$2=InputTable[[#This Row],[Delivery Date]],_xlfn.XLOOKUP(IH$1,$BH$2:$BR$2,$BH149:$BR149,0),0)</f>
        <v>0</v>
      </c>
      <c r="IJ149" s="26" t="e">
        <f>IF(IJ$2=InputTable[[#This Row],[Delivery Date]],_xlfn.XLOOKUP(IJ$1,$BH$2:$BR$2,$BH149:$BR149,0),0)</f>
        <v>#REF!</v>
      </c>
      <c r="IK149" s="26">
        <f>IF(IK$2=InputTable[[#This Row],[Delivery Date]],_xlfn.XLOOKUP(IK$1,$BH$2:$BR$2,$BH149:$BR149,0),0)</f>
        <v>0</v>
      </c>
      <c r="IL149" s="26">
        <f>IF(IL$2=InputTable[[#This Row],[Delivery Date]],_xlfn.XLOOKUP(IL$1,$BH$2:$BR$2,$BH149:$BR149,0),0)</f>
        <v>0</v>
      </c>
      <c r="IM149" s="26">
        <f>IF(IM$2=InputTable[[#This Row],[Delivery Date]],_xlfn.XLOOKUP(IM$1,$BH$2:$BR$2,$BH149:$BR149,0),0)</f>
        <v>0</v>
      </c>
      <c r="IN149" s="26">
        <f>IF(IN$2=InputTable[[#This Row],[Delivery Date]],_xlfn.XLOOKUP(IN$1,$BH$2:$BR$2,$BH149:$BR149,0),0)</f>
        <v>0</v>
      </c>
      <c r="IO149" s="26">
        <f>IF(IO$2=InputTable[[#This Row],[Delivery Date]],_xlfn.XLOOKUP(IO$1,$BH$2:$BR$2,$BH149:$BR149,0),0)</f>
        <v>0</v>
      </c>
      <c r="IP149" s="26">
        <f>IF(IP$2=InputTable[[#This Row],[Delivery Date]],_xlfn.XLOOKUP(IP$1,$BH$2:$BR$2,$BH149:$BR149,0),0)</f>
        <v>0</v>
      </c>
      <c r="IQ149" s="26">
        <f>IF(IQ$2=InputTable[[#This Row],[Delivery Date]],_xlfn.XLOOKUP(IQ$1,$BH$2:$BR$2,$BH149:$BR149,0),0)</f>
        <v>0</v>
      </c>
      <c r="IR149" s="26">
        <f>IF(IR$2=InputTable[[#This Row],[Delivery Date]],_xlfn.XLOOKUP(IR$1,$BH$2:$BR$2,$BH149:$BR149,0),0)</f>
        <v>0</v>
      </c>
      <c r="IT149" s="26" t="e">
        <f>IF(IT$2=InputTable[[#This Row],[Delivery Date]],_xlfn.XLOOKUP(IT$1,$BH$2:$BR$2,$BH149:$BR149,0),0)</f>
        <v>#REF!</v>
      </c>
      <c r="IU149" s="26">
        <f>IF(IU$2=InputTable[[#This Row],[Delivery Date]],_xlfn.XLOOKUP(IU$1,$BH$2:$BR$2,$BH149:$BR149,0),0)</f>
        <v>0</v>
      </c>
      <c r="IV149" s="26">
        <f>IF(IV$2=InputTable[[#This Row],[Delivery Date]],_xlfn.XLOOKUP(IV$1,$BH$2:$BR$2,$BH149:$BR149,0),0)</f>
        <v>0</v>
      </c>
      <c r="IW149" s="26">
        <f>IF(IW$2=InputTable[[#This Row],[Delivery Date]],_xlfn.XLOOKUP(IW$1,$BH$2:$BR$2,$BH149:$BR149,0),0)</f>
        <v>0</v>
      </c>
      <c r="IX149" s="26">
        <f>IF(IX$2=InputTable[[#This Row],[Delivery Date]],_xlfn.XLOOKUP(IX$1,$BH$2:$BR$2,$BH149:$BR149,0),0)</f>
        <v>0</v>
      </c>
      <c r="IY149" s="26">
        <f>IF(IY$2=InputTable[[#This Row],[Delivery Date]],_xlfn.XLOOKUP(IY$1,$BH$2:$BR$2,$BH149:$BR149,0),0)</f>
        <v>0</v>
      </c>
      <c r="IZ149" s="26">
        <f>IF(IZ$2=InputTable[[#This Row],[Delivery Date]],_xlfn.XLOOKUP(IZ$1,$BH$2:$BR$2,$BH149:$BR149,0),0)</f>
        <v>0</v>
      </c>
      <c r="JA149" s="26">
        <f>IF(JA$2=InputTable[[#This Row],[Delivery Date]],_xlfn.XLOOKUP(JA$1,$BH$2:$BR$2,$BH149:$BR149,0),0)</f>
        <v>0</v>
      </c>
      <c r="JB149" s="26">
        <f>IF(JB$2=InputTable[[#This Row],[Delivery Date]],_xlfn.XLOOKUP(JB$1,$BH$2:$BR$2,$BH149:$BR149,0),0)</f>
        <v>0</v>
      </c>
      <c r="JD149" s="26" t="e">
        <f>IF(JD$2=InputTable[[#This Row],[Delivery Date]],_xlfn.XLOOKUP(JD$1,$BH$2:$BR$2,$BH149:$BR149,0),0)</f>
        <v>#REF!</v>
      </c>
      <c r="JE149" s="26">
        <f>IF(JE$2=InputTable[[#This Row],[Delivery Date]],_xlfn.XLOOKUP(JE$1,$BH$2:$BR$2,$BH149:$BR149,0),0)</f>
        <v>0</v>
      </c>
      <c r="JF149" s="26">
        <f>IF(JF$2=InputTable[[#This Row],[Delivery Date]],_xlfn.XLOOKUP(JF$1,$BH$2:$BR$2,$BH149:$BR149,0),0)</f>
        <v>0</v>
      </c>
      <c r="JG149" s="26">
        <f>IF(JG$2=InputTable[[#This Row],[Delivery Date]],_xlfn.XLOOKUP(JG$1,$BH$2:$BR$2,$BH149:$BR149,0),0)</f>
        <v>0</v>
      </c>
      <c r="JH149" s="26">
        <f>IF(JH$2=InputTable[[#This Row],[Delivery Date]],_xlfn.XLOOKUP(JH$1,$BH$2:$BR$2,$BH149:$BR149,0),0)</f>
        <v>0</v>
      </c>
      <c r="JI149" s="26">
        <f>IF(JI$2=InputTable[[#This Row],[Delivery Date]],_xlfn.XLOOKUP(JI$1,$BH$2:$BR$2,$BH149:$BR149,0),0)</f>
        <v>0</v>
      </c>
      <c r="JJ149" s="26">
        <f>IF(JJ$2=InputTable[[#This Row],[Delivery Date]],_xlfn.XLOOKUP(JJ$1,$BH$2:$BR$2,$BH149:$BR149,0),0)</f>
        <v>0</v>
      </c>
      <c r="JK149" s="26">
        <f>IF(JK$2=InputTable[[#This Row],[Delivery Date]],_xlfn.XLOOKUP(JK$1,$BH$2:$BR$2,$BH149:$BR149,0),0)</f>
        <v>0</v>
      </c>
      <c r="JL149" s="26">
        <f>IF(JL$2=InputTable[[#This Row],[Delivery Date]],_xlfn.XLOOKUP(JL$1,$BH$2:$BR$2,$BH149:$BR149,0),0)</f>
        <v>0</v>
      </c>
      <c r="JN149" s="26" t="e">
        <f>IF(JN$2=InputTable[[#This Row],[Delivery Date]],_xlfn.XLOOKUP(JN$1,$BH$2:$BR$2,$BH149:$BR149,0),0)</f>
        <v>#REF!</v>
      </c>
      <c r="JO149" s="26">
        <f>IF(JO$2=InputTable[[#This Row],[Delivery Date]],_xlfn.XLOOKUP(JO$1,$BH$2:$BR$2,$BH149:$BR149,0),0)</f>
        <v>0</v>
      </c>
      <c r="JP149" s="26">
        <f>IF(JP$2=InputTable[[#This Row],[Delivery Date]],_xlfn.XLOOKUP(JP$1,$BH$2:$BR$2,$BH149:$BR149,0),0)</f>
        <v>0</v>
      </c>
      <c r="JQ149" s="26">
        <f>IF(JQ$2=InputTable[[#This Row],[Delivery Date]],_xlfn.XLOOKUP(JQ$1,$BH$2:$BR$2,$BH149:$BR149,0),0)</f>
        <v>0</v>
      </c>
      <c r="JR149" s="26">
        <f>IF(JR$2=InputTable[[#This Row],[Delivery Date]],_xlfn.XLOOKUP(JR$1,$BH$2:$BR$2,$BH149:$BR149,0),0)</f>
        <v>0</v>
      </c>
      <c r="JS149" s="26">
        <f>IF(JS$2=InputTable[[#This Row],[Delivery Date]],_xlfn.XLOOKUP(JS$1,$BH$2:$BR$2,$BH149:$BR149,0),0)</f>
        <v>0</v>
      </c>
      <c r="JT149" s="26">
        <f>IF(JT$2=InputTable[[#This Row],[Delivery Date]],_xlfn.XLOOKUP(JT$1,$BH$2:$BR$2,$BH149:$BR149,0),0)</f>
        <v>0</v>
      </c>
      <c r="JU149" s="26">
        <f>IF(JU$2=InputTable[[#This Row],[Delivery Date]],_xlfn.XLOOKUP(JU$1,$BH$2:$BR$2,$BH149:$BR149,0),0)</f>
        <v>0</v>
      </c>
      <c r="JV149" s="26">
        <f>IF(JV$2=InputTable[[#This Row],[Delivery Date]],_xlfn.XLOOKUP(JV$1,$BH$2:$BR$2,$BH149:$BR149,0),0)</f>
        <v>0</v>
      </c>
      <c r="JX149" s="26" t="e">
        <f>IF(JX$2=InputTable[[#This Row],[Delivery Date]],_xlfn.XLOOKUP(JX$1,$BH$2:$BR$2,$BH149:$BR149,0),0)</f>
        <v>#REF!</v>
      </c>
      <c r="JY149" s="26">
        <f>IF(JY$2=InputTable[[#This Row],[Delivery Date]],_xlfn.XLOOKUP(JY$1,$BH$2:$BR$2,$BH149:$BR149,0),0)</f>
        <v>0</v>
      </c>
      <c r="JZ149" s="26">
        <f>IF(JZ$2=InputTable[[#This Row],[Delivery Date]],_xlfn.XLOOKUP(JZ$1,$BH$2:$BR$2,$BH149:$BR149,0),0)</f>
        <v>0</v>
      </c>
      <c r="KA149" s="26">
        <f>IF(KA$2=InputTable[[#This Row],[Delivery Date]],_xlfn.XLOOKUP(KA$1,$BH$2:$BR$2,$BH149:$BR149,0),0)</f>
        <v>0</v>
      </c>
      <c r="KB149" s="26">
        <f>IF(KB$2=InputTable[[#This Row],[Delivery Date]],_xlfn.XLOOKUP(KB$1,$BH$2:$BR$2,$BH149:$BR149,0),0)</f>
        <v>0</v>
      </c>
      <c r="KC149" s="26">
        <f>IF(KC$2=InputTable[[#This Row],[Delivery Date]],_xlfn.XLOOKUP(KC$1,$BH$2:$BR$2,$BH149:$BR149,0),0)</f>
        <v>0</v>
      </c>
      <c r="KD149" s="26">
        <f>IF(KD$2=InputTable[[#This Row],[Delivery Date]],_xlfn.XLOOKUP(KD$1,$BH$2:$BR$2,$BH149:$BR149,0),0)</f>
        <v>0</v>
      </c>
      <c r="KE149" s="26">
        <f>IF(KE$2=InputTable[[#This Row],[Delivery Date]],_xlfn.XLOOKUP(KE$1,$BH$2:$BR$2,$BH149:$BR149,0),0)</f>
        <v>0</v>
      </c>
      <c r="KF149" s="26">
        <f>IF(KF$2=InputTable[[#This Row],[Delivery Date]],_xlfn.XLOOKUP(KF$1,$BH$2:$BR$2,$BH149:$BR149,0),0)</f>
        <v>0</v>
      </c>
    </row>
    <row r="150" spans="1:292" ht="17.399999999999999" x14ac:dyDescent="0.25">
      <c r="A150" s="141"/>
      <c r="B150" s="119"/>
      <c r="C150" s="92"/>
      <c r="D150" s="92"/>
      <c r="E150" s="93"/>
      <c r="F150" s="92"/>
      <c r="G150" s="92"/>
      <c r="H150" s="92"/>
      <c r="I150" s="92"/>
      <c r="J150" s="122"/>
      <c r="K150" s="95" t="e">
        <f>VLOOKUP((InputTable[[#This Row],[Starting Date]]&amp; " - " &amp;InputTable[[#This Row],[Delivery Date]]),'System List'!$F$40:$H$83,2,FALSE)</f>
        <v>#N/A</v>
      </c>
      <c r="L150" s="95" t="e">
        <f>VLOOKUP(InputTable[[#This Row],[Duration]],Duration,2,FALSE)</f>
        <v>#N/A</v>
      </c>
      <c r="M150" s="122"/>
      <c r="N150" s="92"/>
      <c r="O150" s="92"/>
      <c r="P150" s="92"/>
      <c r="Q150" s="92"/>
      <c r="R150" s="92"/>
      <c r="S150" s="92"/>
      <c r="T150" s="95"/>
      <c r="U150" s="138"/>
      <c r="V150" s="92"/>
      <c r="W150" s="92"/>
      <c r="X150" s="92"/>
      <c r="Y150" s="92"/>
      <c r="Z150" s="92"/>
      <c r="AA150" s="92"/>
      <c r="AB150" s="92"/>
      <c r="AC150" s="92"/>
      <c r="AD150" s="92">
        <f>COUNTA(InputTable[[#This Row],[CORPHRFIN]:[SALES]])</f>
        <v>0</v>
      </c>
      <c r="AE150" s="88" cm="1">
        <f t="array" ref="AE150">SUM(
_xlfn.XLOOKUP(InputTable[[#This Row],[CORPHRFIN]:[SALES]],'System List'!$F$4:$F$7,'System List'!$H$4:$H$7,0))</f>
        <v>0</v>
      </c>
      <c r="AF150" s="140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88" cm="1">
        <f t="array" ref="AR150">SUM(
_xlfn.XLOOKUP(InputTable[[#This Row],[Impact on - CIAL]:[Impact on - STRAT]],'System List'!$F$4:$F$7,'System List'!$H$4:$H$7,0))</f>
        <v>0</v>
      </c>
      <c r="AS150" s="88" t="e">
        <f>VLOOKUP(InputTable[[#This Row],[Duration]],Duration,2,FALSE)+InputTable[[#This Row],[Resource Score]]</f>
        <v>#N/A</v>
      </c>
      <c r="AT15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0" s="24" t="e">
        <f>InputTable[[#This Row],[Value Score]]/InputTable[[#This Row],[EFFORT SCORE]]*100</f>
        <v>#N/A</v>
      </c>
      <c r="AV150" s="25"/>
      <c r="AW150" s="25"/>
      <c r="AX150" s="208"/>
      <c r="AY150" s="25"/>
      <c r="AZ150" s="209">
        <v>0</v>
      </c>
      <c r="BA150" s="209">
        <v>0</v>
      </c>
      <c r="BB150" s="209"/>
      <c r="BC150" s="189"/>
      <c r="BD150" s="188"/>
      <c r="BE150" s="188"/>
      <c r="BF150" s="70"/>
      <c r="BH150" s="2">
        <f>IFERROR(VLOOKUP(InputTable[[#This Row],[Impact on - CIAL]],'System List'!$F$4:$H$7,3,FALSE),0)</f>
        <v>0</v>
      </c>
      <c r="BI150" s="2">
        <f>IFERROR(VLOOKUP(InputTable[[#This Row],[Impact on - COM]],'System List'!$F$4:$H$7,3,FALSE),0)</f>
        <v>0</v>
      </c>
      <c r="BJ150" s="2">
        <f>IFERROR(VLOOKUP(InputTable[[#This Row],[Impact on - FIN]],'System List'!$F$4:$H$7,3,FALSE),0)</f>
        <v>0</v>
      </c>
      <c r="BK150" s="2">
        <f>IFERROR(VLOOKUP(InputTable[[#This Row],[Impact on - GEN SEC]],'System List'!$F$4:$H$7,3,FALSE),0)</f>
        <v>0</v>
      </c>
      <c r="BL150" s="2">
        <f>IFERROR(VLOOKUP(InputTable[[#This Row],[Impact on - HR]],'System List'!$F$4:$H$7,3,FALSE),0)</f>
        <v>0</v>
      </c>
      <c r="BM150" s="2">
        <f>IFERROR(VLOOKUP(InputTable[[#This Row],[Impact on - IS]],'System List'!$F$4:$H$7,3,FALSE),0)</f>
        <v>0</v>
      </c>
      <c r="BN150" s="2">
        <f>IFERROR(VLOOKUP(InputTable[[#This Row],[Impact on - OPS]],'System List'!$F$4:$H$7,3,FALSE),0)</f>
        <v>0</v>
      </c>
      <c r="BO150" s="2">
        <f>IFERROR(VLOOKUP(InputTable[[#This Row],[Impact on - ROLL STOCK]],'System List'!$F$4:$H$7,3,FALSE),0)</f>
        <v>0</v>
      </c>
      <c r="BP150" s="2">
        <f>IFERROR(VLOOKUP(InputTable[[#This Row],[Impact on - SAFETY]],'System List'!$F$4:$H$7,3,FALSE),0)</f>
        <v>0</v>
      </c>
      <c r="BQ150" s="2">
        <f>IFERROR(VLOOKUP(InputTable[[#This Row],[Impact on - STATION]],'System List'!$F$4:$H$7,3,FALSE),0)</f>
        <v>0</v>
      </c>
      <c r="BR150" s="2">
        <f>IFERROR(VLOOKUP(InputTable[[#This Row],[Impact on - STRAT]],'System List'!$F$4:$H$7,3,FALSE),0)</f>
        <v>0</v>
      </c>
      <c r="BT150" s="2">
        <f>IFERROR(VLOOKUP(InputTable[[#This Row],[CORPHRFIN]],'System List'!$F$4:$H$7,3,FALSE),0)</f>
        <v>0</v>
      </c>
      <c r="BU150" s="2">
        <f>IFERROR(VLOOKUP(InputTable[[#This Row],[CUST]],'System List'!$F$4:$H$7,3,FALSE),0)</f>
        <v>0</v>
      </c>
      <c r="BV150" s="2">
        <f>IFERROR(VLOOKUP(InputTable[[#This Row],[CYBER]],'System List'!$F$4:$H$7,3,FALSE),0)</f>
        <v>0</v>
      </c>
      <c r="BW150" s="2">
        <f>IFERROR(VLOOKUP(InputTable[[#This Row],[DATA]],'System List'!$F$4:$H$7,3,FALSE),0)</f>
        <v>0</v>
      </c>
      <c r="BX150" s="2">
        <f>IFERROR(VLOOKUP(InputTable[[#This Row],[INFRA]],'System List'!$F$4:$H$7,3,FALSE),0)</f>
        <v>0</v>
      </c>
      <c r="BY150" s="2">
        <f>IFERROR(VLOOKUP(InputTable[[#This Row],[OPERATIONS]],'System List'!$F$4:$H$7,3,FALSE),0)</f>
        <v>0</v>
      </c>
      <c r="BZ150" s="2">
        <f>IFERROR(VLOOKUP(InputTable[[#This Row],[PMO]],'System List'!$F$4:$H$7,3,FALSE),0)</f>
        <v>0</v>
      </c>
      <c r="CA150" s="2">
        <f>IFERROR(VLOOKUP(InputTable[[#This Row],[SALES]],'System List'!$F$4:$H$7,3,FALSE),0)</f>
        <v>0</v>
      </c>
      <c r="CC150" s="2" cm="1">
        <f t="array" ref="CC15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0" s="2" cm="1">
        <f t="array" ref="CD15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0" s="2" cm="1">
        <f t="array" ref="CE15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0" s="2" cm="1">
        <f t="array" ref="CF15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0" s="2" cm="1">
        <f t="array" ref="CG15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0" s="2" cm="1">
        <f t="array" ref="CH15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0" s="2" cm="1">
        <f t="array" ref="CI15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0" s="2" cm="1">
        <f t="array" ref="CJ15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0" s="2" cm="1">
        <f t="array" ref="CK15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0" s="26">
        <f t="shared" si="379"/>
        <v>0</v>
      </c>
      <c r="CY150" s="26">
        <f t="shared" si="380"/>
        <v>0</v>
      </c>
      <c r="CZ150" s="26">
        <f t="shared" si="381"/>
        <v>0</v>
      </c>
      <c r="DA150" s="26">
        <f t="shared" si="382"/>
        <v>0</v>
      </c>
      <c r="DB150" s="26">
        <f t="shared" si="383"/>
        <v>0</v>
      </c>
      <c r="DC150" s="26">
        <f t="shared" si="384"/>
        <v>0</v>
      </c>
      <c r="DD150" s="26">
        <f t="shared" si="385"/>
        <v>0</v>
      </c>
      <c r="DE150" s="26">
        <f t="shared" si="386"/>
        <v>0</v>
      </c>
      <c r="DF150" s="26">
        <f t="shared" si="387"/>
        <v>0</v>
      </c>
      <c r="DH150" s="26">
        <f t="shared" si="388"/>
        <v>0</v>
      </c>
      <c r="DI150" s="26">
        <f t="shared" si="389"/>
        <v>0</v>
      </c>
      <c r="DJ150" s="26">
        <f t="shared" si="390"/>
        <v>0</v>
      </c>
      <c r="DK150" s="26">
        <f t="shared" si="391"/>
        <v>0</v>
      </c>
      <c r="DL150" s="26">
        <f t="shared" si="392"/>
        <v>0</v>
      </c>
      <c r="DM150" s="26">
        <f t="shared" si="393"/>
        <v>0</v>
      </c>
      <c r="DN150" s="26">
        <f t="shared" si="394"/>
        <v>0</v>
      </c>
      <c r="DO150" s="26">
        <f t="shared" si="395"/>
        <v>0</v>
      </c>
      <c r="DP150" s="26">
        <f t="shared" si="396"/>
        <v>0</v>
      </c>
      <c r="DR150" s="26">
        <f t="shared" si="397"/>
        <v>0</v>
      </c>
      <c r="DS150" s="26">
        <f t="shared" si="398"/>
        <v>0</v>
      </c>
      <c r="DT150" s="26">
        <f t="shared" si="399"/>
        <v>0</v>
      </c>
      <c r="DU150" s="26">
        <f t="shared" si="400"/>
        <v>0</v>
      </c>
      <c r="DV150" s="26">
        <f t="shared" si="401"/>
        <v>0</v>
      </c>
      <c r="DW150" s="26">
        <f t="shared" si="402"/>
        <v>0</v>
      </c>
      <c r="DX150" s="26">
        <f t="shared" si="403"/>
        <v>0</v>
      </c>
      <c r="DY150" s="26">
        <f t="shared" si="404"/>
        <v>0</v>
      </c>
      <c r="DZ150" s="26">
        <f t="shared" si="405"/>
        <v>0</v>
      </c>
      <c r="EB150" s="26">
        <f t="shared" si="406"/>
        <v>0</v>
      </c>
      <c r="EC150" s="26">
        <f t="shared" si="407"/>
        <v>0</v>
      </c>
      <c r="ED150" s="26">
        <f t="shared" si="408"/>
        <v>0</v>
      </c>
      <c r="EE150" s="26">
        <f t="shared" si="409"/>
        <v>0</v>
      </c>
      <c r="EF150" s="26">
        <f t="shared" si="410"/>
        <v>0</v>
      </c>
      <c r="EG150" s="26">
        <f t="shared" si="411"/>
        <v>0</v>
      </c>
      <c r="EH150" s="26">
        <f t="shared" si="412"/>
        <v>0</v>
      </c>
      <c r="EI150" s="26">
        <f t="shared" si="413"/>
        <v>0</v>
      </c>
      <c r="EJ150" s="26">
        <f t="shared" si="414"/>
        <v>0</v>
      </c>
      <c r="EL150" s="26">
        <f t="shared" si="415"/>
        <v>0</v>
      </c>
      <c r="EM150" s="26">
        <f t="shared" si="416"/>
        <v>0</v>
      </c>
      <c r="EN150" s="26">
        <f t="shared" si="417"/>
        <v>0</v>
      </c>
      <c r="EO150" s="26">
        <f t="shared" si="418"/>
        <v>0</v>
      </c>
      <c r="EP150" s="26">
        <f t="shared" si="419"/>
        <v>0</v>
      </c>
      <c r="EQ150" s="26">
        <f t="shared" si="420"/>
        <v>0</v>
      </c>
      <c r="ER150" s="26">
        <f t="shared" si="421"/>
        <v>0</v>
      </c>
      <c r="ES150" s="26">
        <f t="shared" si="422"/>
        <v>0</v>
      </c>
      <c r="ET150" s="26">
        <f t="shared" si="423"/>
        <v>0</v>
      </c>
      <c r="EV150" s="26">
        <f t="shared" si="424"/>
        <v>0</v>
      </c>
      <c r="EW150" s="26">
        <f t="shared" si="425"/>
        <v>0</v>
      </c>
      <c r="EX150" s="26">
        <f t="shared" si="426"/>
        <v>0</v>
      </c>
      <c r="EY150" s="26">
        <f t="shared" si="427"/>
        <v>0</v>
      </c>
      <c r="EZ150" s="26">
        <f t="shared" si="428"/>
        <v>0</v>
      </c>
      <c r="FA150" s="26">
        <f t="shared" si="429"/>
        <v>0</v>
      </c>
      <c r="FB150" s="26">
        <f t="shared" si="430"/>
        <v>0</v>
      </c>
      <c r="FC150" s="26">
        <f t="shared" si="431"/>
        <v>0</v>
      </c>
      <c r="FD150" s="26">
        <f t="shared" si="432"/>
        <v>0</v>
      </c>
      <c r="FF150" s="26">
        <f t="shared" si="433"/>
        <v>0</v>
      </c>
      <c r="FG150" s="26">
        <f t="shared" si="434"/>
        <v>0</v>
      </c>
      <c r="FH150" s="26">
        <f t="shared" si="435"/>
        <v>0</v>
      </c>
      <c r="FI150" s="26">
        <f t="shared" si="436"/>
        <v>0</v>
      </c>
      <c r="FJ150" s="26">
        <f t="shared" si="437"/>
        <v>0</v>
      </c>
      <c r="FK150" s="26">
        <f t="shared" si="438"/>
        <v>0</v>
      </c>
      <c r="FL150" s="26">
        <f t="shared" si="439"/>
        <v>0</v>
      </c>
      <c r="FM150" s="26">
        <f t="shared" si="440"/>
        <v>0</v>
      </c>
      <c r="FN150" s="26">
        <f t="shared" si="441"/>
        <v>0</v>
      </c>
      <c r="FP150" s="26" t="e">
        <f t="shared" si="442"/>
        <v>#REF!</v>
      </c>
      <c r="FQ150" s="26" t="e">
        <f t="shared" si="443"/>
        <v>#REF!</v>
      </c>
      <c r="FR150" s="26" t="e">
        <f t="shared" si="444"/>
        <v>#REF!</v>
      </c>
      <c r="FS150" s="26" t="e">
        <f t="shared" si="445"/>
        <v>#REF!</v>
      </c>
      <c r="FT150" s="26" t="e">
        <f t="shared" si="446"/>
        <v>#REF!</v>
      </c>
      <c r="FU150" s="26" t="e">
        <f t="shared" si="447"/>
        <v>#REF!</v>
      </c>
      <c r="FV150" s="26" t="e">
        <f t="shared" si="448"/>
        <v>#REF!</v>
      </c>
      <c r="FW150" s="26" t="e">
        <f t="shared" si="449"/>
        <v>#REF!</v>
      </c>
      <c r="FX150" s="26" t="e">
        <f t="shared" si="450"/>
        <v>#REF!</v>
      </c>
      <c r="GB150" s="26" t="e">
        <f>IF(GB$2=InputTable[[#This Row],[Delivery Date]],_xlfn.XLOOKUP(GB$1,$BH$2:$BR$2,$BH150:$BR150,0),0)</f>
        <v>#REF!</v>
      </c>
      <c r="GC150" s="26">
        <f>IF(GC$2=InputTable[[#This Row],[Delivery Date]],_xlfn.XLOOKUP(GC$1,$BH$2:$BR$2,$BH150:$BR150,0),0)</f>
        <v>0</v>
      </c>
      <c r="GD150" s="26">
        <f>IF(GD$2=InputTable[[#This Row],[Delivery Date]],_xlfn.XLOOKUP(GD$1,$BH$2:$BR$2,$BH150:$BR150,0),0)</f>
        <v>0</v>
      </c>
      <c r="GE150" s="26">
        <f>IF(GE$2=InputTable[[#This Row],[Delivery Date]],_xlfn.XLOOKUP(GE$1,$BH$2:$BR$2,$BH150:$BR150,0),0)</f>
        <v>0</v>
      </c>
      <c r="GF150" s="26">
        <f>IF(GF$2=InputTable[[#This Row],[Delivery Date]],_xlfn.XLOOKUP(GF$1,$BH$2:$BR$2,$BH150:$BR150,0),0)</f>
        <v>0</v>
      </c>
      <c r="GG150" s="26">
        <f>IF(GG$2=InputTable[[#This Row],[Delivery Date]],_xlfn.XLOOKUP(GG$1,$BH$2:$BR$2,$BH150:$BR150,0),0)</f>
        <v>0</v>
      </c>
      <c r="GH150" s="26">
        <f>IF(GH$2=InputTable[[#This Row],[Delivery Date]],_xlfn.XLOOKUP(GH$1,$BH$2:$BR$2,$BH150:$BR150,0),0)</f>
        <v>0</v>
      </c>
      <c r="GI150" s="26">
        <f>IF(GI$2=InputTable[[#This Row],[Delivery Date]],_xlfn.XLOOKUP(GI$1,$BH$2:$BR$2,$BH150:$BR150,0),0)</f>
        <v>0</v>
      </c>
      <c r="GJ150" s="26">
        <f>IF(GJ$2=InputTable[[#This Row],[Delivery Date]],_xlfn.XLOOKUP(GJ$1,$BH$2:$BR$2,$BH150:$BR150,0),0)</f>
        <v>0</v>
      </c>
      <c r="GL150" s="26" t="e">
        <f>IF(GL$2=InputTable[[#This Row],[Delivery Date]],_xlfn.XLOOKUP(GL$1,$BH$2:$BR$2,$BH150:$BR150,0),0)</f>
        <v>#REF!</v>
      </c>
      <c r="GM150" s="26">
        <f>IF(GM$2=InputTable[[#This Row],[Delivery Date]],_xlfn.XLOOKUP(GM$1,$BH$2:$BR$2,$BH150:$BR150,0),0)</f>
        <v>0</v>
      </c>
      <c r="GN150" s="26">
        <f>IF(GN$2=InputTable[[#This Row],[Delivery Date]],_xlfn.XLOOKUP(GN$1,$BH$2:$BR$2,$BH150:$BR150,0),0)</f>
        <v>0</v>
      </c>
      <c r="GO150" s="26">
        <f>IF(GO$2=InputTable[[#This Row],[Delivery Date]],_xlfn.XLOOKUP(GO$1,$BH$2:$BR$2,$BH150:$BR150,0),0)</f>
        <v>0</v>
      </c>
      <c r="GP150" s="26">
        <f>IF(GP$2=InputTable[[#This Row],[Delivery Date]],_xlfn.XLOOKUP(GP$1,$BH$2:$BR$2,$BH150:$BR150,0),0)</f>
        <v>0</v>
      </c>
      <c r="GQ150" s="26">
        <f>IF(GQ$2=InputTable[[#This Row],[Delivery Date]],_xlfn.XLOOKUP(GQ$1,$BH$2:$BR$2,$BH150:$BR150,0),0)</f>
        <v>0</v>
      </c>
      <c r="GR150" s="26">
        <f>IF(GR$2=InputTable[[#This Row],[Delivery Date]],_xlfn.XLOOKUP(GR$1,$BH$2:$BR$2,$BH150:$BR150,0),0)</f>
        <v>0</v>
      </c>
      <c r="GS150" s="26">
        <f>IF(GS$2=InputTable[[#This Row],[Delivery Date]],_xlfn.XLOOKUP(GS$1,$BH$2:$BR$2,$BH150:$BR150,0),0)</f>
        <v>0</v>
      </c>
      <c r="GT150" s="26">
        <f>IF(GT$2=InputTable[[#This Row],[Delivery Date]],_xlfn.XLOOKUP(GT$1,$BH$2:$BR$2,$BH150:$BR150,0),0)</f>
        <v>0</v>
      </c>
      <c r="GV150" s="26" t="e">
        <f>IF(GV$2=InputTable[[#This Row],[Delivery Date]],_xlfn.XLOOKUP(GV$1,$BH$2:$BR$2,$BH150:$BR150,0),0)</f>
        <v>#REF!</v>
      </c>
      <c r="GW150" s="26">
        <f>IF(GW$2=InputTable[[#This Row],[Delivery Date]],_xlfn.XLOOKUP(GW$1,$BH$2:$BR$2,$BH150:$BR150,0),0)</f>
        <v>0</v>
      </c>
      <c r="GX150" s="26">
        <f>IF(GX$2=InputTable[[#This Row],[Delivery Date]],_xlfn.XLOOKUP(GX$1,$BH$2:$BR$2,$BH150:$BR150,0),0)</f>
        <v>0</v>
      </c>
      <c r="GY150" s="26">
        <f>IF(GY$2=InputTable[[#This Row],[Delivery Date]],_xlfn.XLOOKUP(GY$1,$BH$2:$BR$2,$BH150:$BR150,0),0)</f>
        <v>0</v>
      </c>
      <c r="GZ150" s="26">
        <f>IF(GZ$2=InputTable[[#This Row],[Delivery Date]],_xlfn.XLOOKUP(GZ$1,$BH$2:$BR$2,$BH150:$BR150,0),0)</f>
        <v>0</v>
      </c>
      <c r="HA150" s="26">
        <f>IF(HA$2=InputTable[[#This Row],[Delivery Date]],_xlfn.XLOOKUP(HA$1,$BH$2:$BR$2,$BH150:$BR150,0),0)</f>
        <v>0</v>
      </c>
      <c r="HB150" s="26">
        <f>IF(HB$2=InputTable[[#This Row],[Delivery Date]],_xlfn.XLOOKUP(HB$1,$BH$2:$BR$2,$BH150:$BR150,0),0)</f>
        <v>0</v>
      </c>
      <c r="HC150" s="26">
        <f>IF(HC$2=InputTable[[#This Row],[Delivery Date]],_xlfn.XLOOKUP(HC$1,$BH$2:$BR$2,$BH150:$BR150,0),0)</f>
        <v>0</v>
      </c>
      <c r="HD150" s="26">
        <f>IF(HD$2=InputTable[[#This Row],[Delivery Date]],_xlfn.XLOOKUP(HD$1,$BH$2:$BR$2,$BH150:$BR150,0),0)</f>
        <v>0</v>
      </c>
      <c r="HF150" s="26" t="e">
        <f>IF(HF$2=InputTable[[#This Row],[Delivery Date]],_xlfn.XLOOKUP(HF$1,$BH$2:$BR$2,$BH150:$BR150,0),0)</f>
        <v>#REF!</v>
      </c>
      <c r="HG150" s="26">
        <f>IF(HG$2=InputTable[[#This Row],[Delivery Date]],_xlfn.XLOOKUP(HG$1,$BH$2:$BR$2,$BH150:$BR150,0),0)</f>
        <v>0</v>
      </c>
      <c r="HH150" s="26">
        <f>IF(HH$2=InputTable[[#This Row],[Delivery Date]],_xlfn.XLOOKUP(HH$1,$BH$2:$BR$2,$BH150:$BR150,0),0)</f>
        <v>0</v>
      </c>
      <c r="HI150" s="26">
        <f>IF(HI$2=InputTable[[#This Row],[Delivery Date]],_xlfn.XLOOKUP(HI$1,$BH$2:$BR$2,$BH150:$BR150,0),0)</f>
        <v>0</v>
      </c>
      <c r="HJ150" s="26">
        <f>IF(HJ$2=InputTable[[#This Row],[Delivery Date]],_xlfn.XLOOKUP(HJ$1,$BH$2:$BR$2,$BH150:$BR150,0),0)</f>
        <v>0</v>
      </c>
      <c r="HK150" s="26">
        <f>IF(HK$2=InputTable[[#This Row],[Delivery Date]],_xlfn.XLOOKUP(HK$1,$BH$2:$BR$2,$BH150:$BR150,0),0)</f>
        <v>0</v>
      </c>
      <c r="HL150" s="26">
        <f>IF(HL$2=InputTable[[#This Row],[Delivery Date]],_xlfn.XLOOKUP(HL$1,$BH$2:$BR$2,$BH150:$BR150,0),0)</f>
        <v>0</v>
      </c>
      <c r="HM150" s="26">
        <f>IF(HM$2=InputTable[[#This Row],[Delivery Date]],_xlfn.XLOOKUP(HM$1,$BH$2:$BR$2,$BH150:$BR150,0),0)</f>
        <v>0</v>
      </c>
      <c r="HN150" s="26">
        <f>IF(HN$2=InputTable[[#This Row],[Delivery Date]],_xlfn.XLOOKUP(HN$1,$BH$2:$BR$2,$BH150:$BR150,0),0)</f>
        <v>0</v>
      </c>
      <c r="HP150" s="26" t="e">
        <f>IF(HP$2=InputTable[[#This Row],[Delivery Date]],_xlfn.XLOOKUP(HP$1,$BH$2:$BR$2,$BH150:$BR150,0),0)</f>
        <v>#REF!</v>
      </c>
      <c r="HQ150" s="26">
        <f>IF(HQ$2=InputTable[[#This Row],[Delivery Date]],_xlfn.XLOOKUP(HQ$1,$BH$2:$BR$2,$BH150:$BR150,0),0)</f>
        <v>0</v>
      </c>
      <c r="HR150" s="26">
        <f>IF(HR$2=InputTable[[#This Row],[Delivery Date]],_xlfn.XLOOKUP(HR$1,$BH$2:$BR$2,$BH150:$BR150,0),0)</f>
        <v>0</v>
      </c>
      <c r="HS150" s="26">
        <f>IF(HS$2=InputTable[[#This Row],[Delivery Date]],_xlfn.XLOOKUP(HS$1,$BH$2:$BR$2,$BH150:$BR150,0),0)</f>
        <v>0</v>
      </c>
      <c r="HT150" s="26">
        <f>IF(HT$2=InputTable[[#This Row],[Delivery Date]],_xlfn.XLOOKUP(HT$1,$BH$2:$BR$2,$BH150:$BR150,0),0)</f>
        <v>0</v>
      </c>
      <c r="HU150" s="26">
        <f>IF(HU$2=InputTable[[#This Row],[Delivery Date]],_xlfn.XLOOKUP(HU$1,$BH$2:$BR$2,$BH150:$BR150,0),0)</f>
        <v>0</v>
      </c>
      <c r="HV150" s="26">
        <f>IF(HV$2=InputTable[[#This Row],[Delivery Date]],_xlfn.XLOOKUP(HV$1,$BH$2:$BR$2,$BH150:$BR150,0),0)</f>
        <v>0</v>
      </c>
      <c r="HW150" s="26">
        <f>IF(HW$2=InputTable[[#This Row],[Delivery Date]],_xlfn.XLOOKUP(HW$1,$BH$2:$BR$2,$BH150:$BR150,0),0)</f>
        <v>0</v>
      </c>
      <c r="HX150" s="26">
        <f>IF(HX$2=InputTable[[#This Row],[Delivery Date]],_xlfn.XLOOKUP(HX$1,$BH$2:$BR$2,$BH150:$BR150,0),0)</f>
        <v>0</v>
      </c>
      <c r="HZ150" s="26" t="e">
        <f>IF(HZ$2=InputTable[[#This Row],[Delivery Date]],_xlfn.XLOOKUP(HZ$1,$BH$2:$BR$2,$BH150:$BR150,0),0)</f>
        <v>#REF!</v>
      </c>
      <c r="IA150" s="26">
        <f>IF(IA$2=InputTable[[#This Row],[Delivery Date]],_xlfn.XLOOKUP(IA$1,$BH$2:$BR$2,$BH150:$BR150,0),0)</f>
        <v>0</v>
      </c>
      <c r="IB150" s="26">
        <f>IF(IB$2=InputTable[[#This Row],[Delivery Date]],_xlfn.XLOOKUP(IB$1,$BH$2:$BR$2,$BH150:$BR150,0),0)</f>
        <v>0</v>
      </c>
      <c r="IC150" s="26">
        <f>IF(IC$2=InputTable[[#This Row],[Delivery Date]],_xlfn.XLOOKUP(IC$1,$BH$2:$BR$2,$BH150:$BR150,0),0)</f>
        <v>0</v>
      </c>
      <c r="ID150" s="26">
        <f>IF(ID$2=InputTable[[#This Row],[Delivery Date]],_xlfn.XLOOKUP(ID$1,$BH$2:$BR$2,$BH150:$BR150,0),0)</f>
        <v>0</v>
      </c>
      <c r="IE150" s="26">
        <f>IF(IE$2=InputTable[[#This Row],[Delivery Date]],_xlfn.XLOOKUP(IE$1,$BH$2:$BR$2,$BH150:$BR150,0),0)</f>
        <v>0</v>
      </c>
      <c r="IF150" s="26">
        <f>IF(IF$2=InputTable[[#This Row],[Delivery Date]],_xlfn.XLOOKUP(IF$1,$BH$2:$BR$2,$BH150:$BR150,0),0)</f>
        <v>0</v>
      </c>
      <c r="IG150" s="26">
        <f>IF(IG$2=InputTable[[#This Row],[Delivery Date]],_xlfn.XLOOKUP(IG$1,$BH$2:$BR$2,$BH150:$BR150,0),0)</f>
        <v>0</v>
      </c>
      <c r="IH150" s="26">
        <f>IF(IH$2=InputTable[[#This Row],[Delivery Date]],_xlfn.XLOOKUP(IH$1,$BH$2:$BR$2,$BH150:$BR150,0),0)</f>
        <v>0</v>
      </c>
      <c r="IJ150" s="26" t="e">
        <f>IF(IJ$2=InputTable[[#This Row],[Delivery Date]],_xlfn.XLOOKUP(IJ$1,$BH$2:$BR$2,$BH150:$BR150,0),0)</f>
        <v>#REF!</v>
      </c>
      <c r="IK150" s="26">
        <f>IF(IK$2=InputTable[[#This Row],[Delivery Date]],_xlfn.XLOOKUP(IK$1,$BH$2:$BR$2,$BH150:$BR150,0),0)</f>
        <v>0</v>
      </c>
      <c r="IL150" s="26">
        <f>IF(IL$2=InputTable[[#This Row],[Delivery Date]],_xlfn.XLOOKUP(IL$1,$BH$2:$BR$2,$BH150:$BR150,0),0)</f>
        <v>0</v>
      </c>
      <c r="IM150" s="26">
        <f>IF(IM$2=InputTable[[#This Row],[Delivery Date]],_xlfn.XLOOKUP(IM$1,$BH$2:$BR$2,$BH150:$BR150,0),0)</f>
        <v>0</v>
      </c>
      <c r="IN150" s="26">
        <f>IF(IN$2=InputTable[[#This Row],[Delivery Date]],_xlfn.XLOOKUP(IN$1,$BH$2:$BR$2,$BH150:$BR150,0),0)</f>
        <v>0</v>
      </c>
      <c r="IO150" s="26">
        <f>IF(IO$2=InputTable[[#This Row],[Delivery Date]],_xlfn.XLOOKUP(IO$1,$BH$2:$BR$2,$BH150:$BR150,0),0)</f>
        <v>0</v>
      </c>
      <c r="IP150" s="26">
        <f>IF(IP$2=InputTable[[#This Row],[Delivery Date]],_xlfn.XLOOKUP(IP$1,$BH$2:$BR$2,$BH150:$BR150,0),0)</f>
        <v>0</v>
      </c>
      <c r="IQ150" s="26">
        <f>IF(IQ$2=InputTable[[#This Row],[Delivery Date]],_xlfn.XLOOKUP(IQ$1,$BH$2:$BR$2,$BH150:$BR150,0),0)</f>
        <v>0</v>
      </c>
      <c r="IR150" s="26">
        <f>IF(IR$2=InputTable[[#This Row],[Delivery Date]],_xlfn.XLOOKUP(IR$1,$BH$2:$BR$2,$BH150:$BR150,0),0)</f>
        <v>0</v>
      </c>
      <c r="IT150" s="26" t="e">
        <f>IF(IT$2=InputTable[[#This Row],[Delivery Date]],_xlfn.XLOOKUP(IT$1,$BH$2:$BR$2,$BH150:$BR150,0),0)</f>
        <v>#REF!</v>
      </c>
      <c r="IU150" s="26">
        <f>IF(IU$2=InputTable[[#This Row],[Delivery Date]],_xlfn.XLOOKUP(IU$1,$BH$2:$BR$2,$BH150:$BR150,0),0)</f>
        <v>0</v>
      </c>
      <c r="IV150" s="26">
        <f>IF(IV$2=InputTable[[#This Row],[Delivery Date]],_xlfn.XLOOKUP(IV$1,$BH$2:$BR$2,$BH150:$BR150,0),0)</f>
        <v>0</v>
      </c>
      <c r="IW150" s="26">
        <f>IF(IW$2=InputTable[[#This Row],[Delivery Date]],_xlfn.XLOOKUP(IW$1,$BH$2:$BR$2,$BH150:$BR150,0),0)</f>
        <v>0</v>
      </c>
      <c r="IX150" s="26">
        <f>IF(IX$2=InputTable[[#This Row],[Delivery Date]],_xlfn.XLOOKUP(IX$1,$BH$2:$BR$2,$BH150:$BR150,0),0)</f>
        <v>0</v>
      </c>
      <c r="IY150" s="26">
        <f>IF(IY$2=InputTable[[#This Row],[Delivery Date]],_xlfn.XLOOKUP(IY$1,$BH$2:$BR$2,$BH150:$BR150,0),0)</f>
        <v>0</v>
      </c>
      <c r="IZ150" s="26">
        <f>IF(IZ$2=InputTable[[#This Row],[Delivery Date]],_xlfn.XLOOKUP(IZ$1,$BH$2:$BR$2,$BH150:$BR150,0),0)</f>
        <v>0</v>
      </c>
      <c r="JA150" s="26">
        <f>IF(JA$2=InputTable[[#This Row],[Delivery Date]],_xlfn.XLOOKUP(JA$1,$BH$2:$BR$2,$BH150:$BR150,0),0)</f>
        <v>0</v>
      </c>
      <c r="JB150" s="26">
        <f>IF(JB$2=InputTable[[#This Row],[Delivery Date]],_xlfn.XLOOKUP(JB$1,$BH$2:$BR$2,$BH150:$BR150,0),0)</f>
        <v>0</v>
      </c>
      <c r="JD150" s="26" t="e">
        <f>IF(JD$2=InputTable[[#This Row],[Delivery Date]],_xlfn.XLOOKUP(JD$1,$BH$2:$BR$2,$BH150:$BR150,0),0)</f>
        <v>#REF!</v>
      </c>
      <c r="JE150" s="26">
        <f>IF(JE$2=InputTable[[#This Row],[Delivery Date]],_xlfn.XLOOKUP(JE$1,$BH$2:$BR$2,$BH150:$BR150,0),0)</f>
        <v>0</v>
      </c>
      <c r="JF150" s="26">
        <f>IF(JF$2=InputTable[[#This Row],[Delivery Date]],_xlfn.XLOOKUP(JF$1,$BH$2:$BR$2,$BH150:$BR150,0),0)</f>
        <v>0</v>
      </c>
      <c r="JG150" s="26">
        <f>IF(JG$2=InputTable[[#This Row],[Delivery Date]],_xlfn.XLOOKUP(JG$1,$BH$2:$BR$2,$BH150:$BR150,0),0)</f>
        <v>0</v>
      </c>
      <c r="JH150" s="26">
        <f>IF(JH$2=InputTable[[#This Row],[Delivery Date]],_xlfn.XLOOKUP(JH$1,$BH$2:$BR$2,$BH150:$BR150,0),0)</f>
        <v>0</v>
      </c>
      <c r="JI150" s="26">
        <f>IF(JI$2=InputTable[[#This Row],[Delivery Date]],_xlfn.XLOOKUP(JI$1,$BH$2:$BR$2,$BH150:$BR150,0),0)</f>
        <v>0</v>
      </c>
      <c r="JJ150" s="26">
        <f>IF(JJ$2=InputTable[[#This Row],[Delivery Date]],_xlfn.XLOOKUP(JJ$1,$BH$2:$BR$2,$BH150:$BR150,0),0)</f>
        <v>0</v>
      </c>
      <c r="JK150" s="26">
        <f>IF(JK$2=InputTable[[#This Row],[Delivery Date]],_xlfn.XLOOKUP(JK$1,$BH$2:$BR$2,$BH150:$BR150,0),0)</f>
        <v>0</v>
      </c>
      <c r="JL150" s="26">
        <f>IF(JL$2=InputTable[[#This Row],[Delivery Date]],_xlfn.XLOOKUP(JL$1,$BH$2:$BR$2,$BH150:$BR150,0),0)</f>
        <v>0</v>
      </c>
      <c r="JN150" s="26" t="e">
        <f>IF(JN$2=InputTable[[#This Row],[Delivery Date]],_xlfn.XLOOKUP(JN$1,$BH$2:$BR$2,$BH150:$BR150,0),0)</f>
        <v>#REF!</v>
      </c>
      <c r="JO150" s="26">
        <f>IF(JO$2=InputTable[[#This Row],[Delivery Date]],_xlfn.XLOOKUP(JO$1,$BH$2:$BR$2,$BH150:$BR150,0),0)</f>
        <v>0</v>
      </c>
      <c r="JP150" s="26">
        <f>IF(JP$2=InputTable[[#This Row],[Delivery Date]],_xlfn.XLOOKUP(JP$1,$BH$2:$BR$2,$BH150:$BR150,0),0)</f>
        <v>0</v>
      </c>
      <c r="JQ150" s="26">
        <f>IF(JQ$2=InputTable[[#This Row],[Delivery Date]],_xlfn.XLOOKUP(JQ$1,$BH$2:$BR$2,$BH150:$BR150,0),0)</f>
        <v>0</v>
      </c>
      <c r="JR150" s="26">
        <f>IF(JR$2=InputTable[[#This Row],[Delivery Date]],_xlfn.XLOOKUP(JR$1,$BH$2:$BR$2,$BH150:$BR150,0),0)</f>
        <v>0</v>
      </c>
      <c r="JS150" s="26">
        <f>IF(JS$2=InputTable[[#This Row],[Delivery Date]],_xlfn.XLOOKUP(JS$1,$BH$2:$BR$2,$BH150:$BR150,0),0)</f>
        <v>0</v>
      </c>
      <c r="JT150" s="26">
        <f>IF(JT$2=InputTable[[#This Row],[Delivery Date]],_xlfn.XLOOKUP(JT$1,$BH$2:$BR$2,$BH150:$BR150,0),0)</f>
        <v>0</v>
      </c>
      <c r="JU150" s="26">
        <f>IF(JU$2=InputTable[[#This Row],[Delivery Date]],_xlfn.XLOOKUP(JU$1,$BH$2:$BR$2,$BH150:$BR150,0),0)</f>
        <v>0</v>
      </c>
      <c r="JV150" s="26">
        <f>IF(JV$2=InputTable[[#This Row],[Delivery Date]],_xlfn.XLOOKUP(JV$1,$BH$2:$BR$2,$BH150:$BR150,0),0)</f>
        <v>0</v>
      </c>
      <c r="JX150" s="26" t="e">
        <f>IF(JX$2=InputTable[[#This Row],[Delivery Date]],_xlfn.XLOOKUP(JX$1,$BH$2:$BR$2,$BH150:$BR150,0),0)</f>
        <v>#REF!</v>
      </c>
      <c r="JY150" s="26">
        <f>IF(JY$2=InputTable[[#This Row],[Delivery Date]],_xlfn.XLOOKUP(JY$1,$BH$2:$BR$2,$BH150:$BR150,0),0)</f>
        <v>0</v>
      </c>
      <c r="JZ150" s="26">
        <f>IF(JZ$2=InputTable[[#This Row],[Delivery Date]],_xlfn.XLOOKUP(JZ$1,$BH$2:$BR$2,$BH150:$BR150,0),0)</f>
        <v>0</v>
      </c>
      <c r="KA150" s="26">
        <f>IF(KA$2=InputTable[[#This Row],[Delivery Date]],_xlfn.XLOOKUP(KA$1,$BH$2:$BR$2,$BH150:$BR150,0),0)</f>
        <v>0</v>
      </c>
      <c r="KB150" s="26">
        <f>IF(KB$2=InputTable[[#This Row],[Delivery Date]],_xlfn.XLOOKUP(KB$1,$BH$2:$BR$2,$BH150:$BR150,0),0)</f>
        <v>0</v>
      </c>
      <c r="KC150" s="26">
        <f>IF(KC$2=InputTable[[#This Row],[Delivery Date]],_xlfn.XLOOKUP(KC$1,$BH$2:$BR$2,$BH150:$BR150,0),0)</f>
        <v>0</v>
      </c>
      <c r="KD150" s="26">
        <f>IF(KD$2=InputTable[[#This Row],[Delivery Date]],_xlfn.XLOOKUP(KD$1,$BH$2:$BR$2,$BH150:$BR150,0),0)</f>
        <v>0</v>
      </c>
      <c r="KE150" s="26">
        <f>IF(KE$2=InputTable[[#This Row],[Delivery Date]],_xlfn.XLOOKUP(KE$1,$BH$2:$BR$2,$BH150:$BR150,0),0)</f>
        <v>0</v>
      </c>
      <c r="KF150" s="26">
        <f>IF(KF$2=InputTable[[#This Row],[Delivery Date]],_xlfn.XLOOKUP(KF$1,$BH$2:$BR$2,$BH150:$BR150,0),0)</f>
        <v>0</v>
      </c>
    </row>
    <row r="151" spans="1:292" ht="17.399999999999999" x14ac:dyDescent="0.25">
      <c r="A151" s="141"/>
      <c r="B151" s="119"/>
      <c r="C151" s="92"/>
      <c r="D151" s="92"/>
      <c r="E151" s="93"/>
      <c r="F151" s="92"/>
      <c r="G151" s="92"/>
      <c r="H151" s="92"/>
      <c r="I151" s="92"/>
      <c r="J151" s="122"/>
      <c r="K151" s="95" t="e">
        <f>VLOOKUP((InputTable[[#This Row],[Starting Date]]&amp; " - " &amp;InputTable[[#This Row],[Delivery Date]]),'System List'!$F$40:$H$83,2,FALSE)</f>
        <v>#N/A</v>
      </c>
      <c r="L151" s="95" t="e">
        <f>VLOOKUP(InputTable[[#This Row],[Duration]],Duration,2,FALSE)</f>
        <v>#N/A</v>
      </c>
      <c r="M151" s="122"/>
      <c r="N151" s="92"/>
      <c r="O151" s="92"/>
      <c r="P151" s="92"/>
      <c r="Q151" s="92"/>
      <c r="R151" s="92"/>
      <c r="S151" s="92"/>
      <c r="T151" s="95"/>
      <c r="U151" s="138"/>
      <c r="V151" s="92"/>
      <c r="W151" s="92"/>
      <c r="X151" s="92"/>
      <c r="Y151" s="92"/>
      <c r="Z151" s="92"/>
      <c r="AA151" s="92"/>
      <c r="AB151" s="92"/>
      <c r="AC151" s="92"/>
      <c r="AD151" s="92">
        <f>COUNTA(InputTable[[#This Row],[CORPHRFIN]:[SALES]])</f>
        <v>0</v>
      </c>
      <c r="AE151" s="88" cm="1">
        <f t="array" ref="AE151">SUM(
_xlfn.XLOOKUP(InputTable[[#This Row],[CORPHRFIN]:[SALES]],'System List'!$F$4:$F$7,'System List'!$H$4:$H$7,0))</f>
        <v>0</v>
      </c>
      <c r="AF151" s="140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88" cm="1">
        <f t="array" ref="AR151">SUM(
_xlfn.XLOOKUP(InputTable[[#This Row],[Impact on - CIAL]:[Impact on - STRAT]],'System List'!$F$4:$F$7,'System List'!$H$4:$H$7,0))</f>
        <v>0</v>
      </c>
      <c r="AS151" s="88" t="e">
        <f>VLOOKUP(InputTable[[#This Row],[Duration]],Duration,2,FALSE)+InputTable[[#This Row],[Resource Score]]</f>
        <v>#N/A</v>
      </c>
      <c r="AT15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1" s="24" t="e">
        <f>InputTable[[#This Row],[Value Score]]/InputTable[[#This Row],[EFFORT SCORE]]*100</f>
        <v>#N/A</v>
      </c>
      <c r="AV151" s="25" t="s">
        <v>442</v>
      </c>
      <c r="AW151" s="25"/>
      <c r="AX151" s="208"/>
      <c r="AY151" s="25"/>
      <c r="AZ151" s="209">
        <v>0</v>
      </c>
      <c r="BA151" s="209">
        <v>0</v>
      </c>
      <c r="BB151" s="209"/>
      <c r="BC151" s="189"/>
      <c r="BD151" s="188"/>
      <c r="BE151" s="188"/>
      <c r="BF151" s="70"/>
      <c r="BH151" s="2">
        <f>IFERROR(VLOOKUP(InputTable[[#This Row],[Impact on - CIAL]],'System List'!$F$4:$H$7,3,FALSE),0)</f>
        <v>0</v>
      </c>
      <c r="BI151" s="2">
        <f>IFERROR(VLOOKUP(InputTable[[#This Row],[Impact on - COM]],'System List'!$F$4:$H$7,3,FALSE),0)</f>
        <v>0</v>
      </c>
      <c r="BJ151" s="2">
        <f>IFERROR(VLOOKUP(InputTable[[#This Row],[Impact on - FIN]],'System List'!$F$4:$H$7,3,FALSE),0)</f>
        <v>0</v>
      </c>
      <c r="BK151" s="2">
        <f>IFERROR(VLOOKUP(InputTable[[#This Row],[Impact on - GEN SEC]],'System List'!$F$4:$H$7,3,FALSE),0)</f>
        <v>0</v>
      </c>
      <c r="BL151" s="2">
        <f>IFERROR(VLOOKUP(InputTable[[#This Row],[Impact on - HR]],'System List'!$F$4:$H$7,3,FALSE),0)</f>
        <v>0</v>
      </c>
      <c r="BM151" s="2">
        <f>IFERROR(VLOOKUP(InputTable[[#This Row],[Impact on - IS]],'System List'!$F$4:$H$7,3,FALSE),0)</f>
        <v>0</v>
      </c>
      <c r="BN151" s="2">
        <f>IFERROR(VLOOKUP(InputTable[[#This Row],[Impact on - OPS]],'System List'!$F$4:$H$7,3,FALSE),0)</f>
        <v>0</v>
      </c>
      <c r="BO151" s="2">
        <f>IFERROR(VLOOKUP(InputTable[[#This Row],[Impact on - ROLL STOCK]],'System List'!$F$4:$H$7,3,FALSE),0)</f>
        <v>0</v>
      </c>
      <c r="BP151" s="2">
        <f>IFERROR(VLOOKUP(InputTable[[#This Row],[Impact on - SAFETY]],'System List'!$F$4:$H$7,3,FALSE),0)</f>
        <v>0</v>
      </c>
      <c r="BQ151" s="2">
        <f>IFERROR(VLOOKUP(InputTable[[#This Row],[Impact on - STATION]],'System List'!$F$4:$H$7,3,FALSE),0)</f>
        <v>0</v>
      </c>
      <c r="BR151" s="2">
        <f>IFERROR(VLOOKUP(InputTable[[#This Row],[Impact on - STRAT]],'System List'!$F$4:$H$7,3,FALSE),0)</f>
        <v>0</v>
      </c>
      <c r="BT151" s="2">
        <f>IFERROR(VLOOKUP(InputTable[[#This Row],[CORPHRFIN]],'System List'!$F$4:$H$7,3,FALSE),0)</f>
        <v>0</v>
      </c>
      <c r="BU151" s="2">
        <f>IFERROR(VLOOKUP(InputTable[[#This Row],[CUST]],'System List'!$F$4:$H$7,3,FALSE),0)</f>
        <v>0</v>
      </c>
      <c r="BV151" s="2">
        <f>IFERROR(VLOOKUP(InputTable[[#This Row],[CYBER]],'System List'!$F$4:$H$7,3,FALSE),0)</f>
        <v>0</v>
      </c>
      <c r="BW151" s="2">
        <f>IFERROR(VLOOKUP(InputTable[[#This Row],[DATA]],'System List'!$F$4:$H$7,3,FALSE),0)</f>
        <v>0</v>
      </c>
      <c r="BX151" s="2">
        <f>IFERROR(VLOOKUP(InputTable[[#This Row],[INFRA]],'System List'!$F$4:$H$7,3,FALSE),0)</f>
        <v>0</v>
      </c>
      <c r="BY151" s="2">
        <f>IFERROR(VLOOKUP(InputTable[[#This Row],[OPERATIONS]],'System List'!$F$4:$H$7,3,FALSE),0)</f>
        <v>0</v>
      </c>
      <c r="BZ151" s="2">
        <f>IFERROR(VLOOKUP(InputTable[[#This Row],[PMO]],'System List'!$F$4:$H$7,3,FALSE),0)</f>
        <v>0</v>
      </c>
      <c r="CA151" s="2">
        <f>IFERROR(VLOOKUP(InputTable[[#This Row],[SALES]],'System List'!$F$4:$H$7,3,FALSE),0)</f>
        <v>0</v>
      </c>
      <c r="CC151" s="2" cm="1">
        <f t="array" ref="CC15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1" s="2" cm="1">
        <f t="array" ref="CD15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1" s="2" cm="1">
        <f t="array" ref="CE15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1" s="2" cm="1">
        <f t="array" ref="CF15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1" s="2" cm="1">
        <f t="array" ref="CG15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1" s="2" cm="1">
        <f t="array" ref="CH15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1" s="2" cm="1">
        <f t="array" ref="CI15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1" s="2" cm="1">
        <f t="array" ref="CJ15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1" s="2" cm="1">
        <f t="array" ref="CK15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1" s="26">
        <f t="shared" si="379"/>
        <v>0</v>
      </c>
      <c r="CY151" s="26">
        <f t="shared" si="380"/>
        <v>0</v>
      </c>
      <c r="CZ151" s="26">
        <f t="shared" si="381"/>
        <v>0</v>
      </c>
      <c r="DA151" s="26">
        <f t="shared" si="382"/>
        <v>0</v>
      </c>
      <c r="DB151" s="26">
        <f t="shared" si="383"/>
        <v>0</v>
      </c>
      <c r="DC151" s="26">
        <f t="shared" si="384"/>
        <v>0</v>
      </c>
      <c r="DD151" s="26">
        <f t="shared" si="385"/>
        <v>0</v>
      </c>
      <c r="DE151" s="26">
        <f t="shared" si="386"/>
        <v>0</v>
      </c>
      <c r="DF151" s="26">
        <f t="shared" si="387"/>
        <v>0</v>
      </c>
      <c r="DH151" s="26">
        <f t="shared" si="388"/>
        <v>0</v>
      </c>
      <c r="DI151" s="26">
        <f t="shared" si="389"/>
        <v>0</v>
      </c>
      <c r="DJ151" s="26">
        <f t="shared" si="390"/>
        <v>0</v>
      </c>
      <c r="DK151" s="26">
        <f t="shared" si="391"/>
        <v>0</v>
      </c>
      <c r="DL151" s="26">
        <f t="shared" si="392"/>
        <v>0</v>
      </c>
      <c r="DM151" s="26">
        <f t="shared" si="393"/>
        <v>0</v>
      </c>
      <c r="DN151" s="26">
        <f t="shared" si="394"/>
        <v>0</v>
      </c>
      <c r="DO151" s="26">
        <f t="shared" si="395"/>
        <v>0</v>
      </c>
      <c r="DP151" s="26">
        <f t="shared" si="396"/>
        <v>0</v>
      </c>
      <c r="DR151" s="26">
        <f t="shared" si="397"/>
        <v>0</v>
      </c>
      <c r="DS151" s="26">
        <f t="shared" si="398"/>
        <v>0</v>
      </c>
      <c r="DT151" s="26">
        <f t="shared" si="399"/>
        <v>0</v>
      </c>
      <c r="DU151" s="26">
        <f t="shared" si="400"/>
        <v>0</v>
      </c>
      <c r="DV151" s="26">
        <f t="shared" si="401"/>
        <v>0</v>
      </c>
      <c r="DW151" s="26">
        <f t="shared" si="402"/>
        <v>0</v>
      </c>
      <c r="DX151" s="26">
        <f t="shared" si="403"/>
        <v>0</v>
      </c>
      <c r="DY151" s="26">
        <f t="shared" si="404"/>
        <v>0</v>
      </c>
      <c r="DZ151" s="26">
        <f t="shared" si="405"/>
        <v>0</v>
      </c>
      <c r="EB151" s="26">
        <f t="shared" si="406"/>
        <v>0</v>
      </c>
      <c r="EC151" s="26">
        <f t="shared" si="407"/>
        <v>0</v>
      </c>
      <c r="ED151" s="26">
        <f t="shared" si="408"/>
        <v>0</v>
      </c>
      <c r="EE151" s="26">
        <f t="shared" si="409"/>
        <v>0</v>
      </c>
      <c r="EF151" s="26">
        <f t="shared" si="410"/>
        <v>0</v>
      </c>
      <c r="EG151" s="26">
        <f t="shared" si="411"/>
        <v>0</v>
      </c>
      <c r="EH151" s="26">
        <f t="shared" si="412"/>
        <v>0</v>
      </c>
      <c r="EI151" s="26">
        <f t="shared" si="413"/>
        <v>0</v>
      </c>
      <c r="EJ151" s="26">
        <f t="shared" si="414"/>
        <v>0</v>
      </c>
      <c r="EL151" s="26">
        <f t="shared" si="415"/>
        <v>0</v>
      </c>
      <c r="EM151" s="26">
        <f t="shared" si="416"/>
        <v>0</v>
      </c>
      <c r="EN151" s="26">
        <f t="shared" si="417"/>
        <v>0</v>
      </c>
      <c r="EO151" s="26">
        <f t="shared" si="418"/>
        <v>0</v>
      </c>
      <c r="EP151" s="26">
        <f t="shared" si="419"/>
        <v>0</v>
      </c>
      <c r="EQ151" s="26">
        <f t="shared" si="420"/>
        <v>0</v>
      </c>
      <c r="ER151" s="26">
        <f t="shared" si="421"/>
        <v>0</v>
      </c>
      <c r="ES151" s="26">
        <f t="shared" si="422"/>
        <v>0</v>
      </c>
      <c r="ET151" s="26">
        <f t="shared" si="423"/>
        <v>0</v>
      </c>
      <c r="EV151" s="26">
        <f t="shared" si="424"/>
        <v>0</v>
      </c>
      <c r="EW151" s="26">
        <f t="shared" si="425"/>
        <v>0</v>
      </c>
      <c r="EX151" s="26">
        <f t="shared" si="426"/>
        <v>0</v>
      </c>
      <c r="EY151" s="26">
        <f t="shared" si="427"/>
        <v>0</v>
      </c>
      <c r="EZ151" s="26">
        <f t="shared" si="428"/>
        <v>0</v>
      </c>
      <c r="FA151" s="26">
        <f t="shared" si="429"/>
        <v>0</v>
      </c>
      <c r="FB151" s="26">
        <f t="shared" si="430"/>
        <v>0</v>
      </c>
      <c r="FC151" s="26">
        <f t="shared" si="431"/>
        <v>0</v>
      </c>
      <c r="FD151" s="26">
        <f t="shared" si="432"/>
        <v>0</v>
      </c>
      <c r="FF151" s="26">
        <f t="shared" si="433"/>
        <v>0</v>
      </c>
      <c r="FG151" s="26">
        <f t="shared" si="434"/>
        <v>0</v>
      </c>
      <c r="FH151" s="26">
        <f t="shared" si="435"/>
        <v>0</v>
      </c>
      <c r="FI151" s="26">
        <f t="shared" si="436"/>
        <v>0</v>
      </c>
      <c r="FJ151" s="26">
        <f t="shared" si="437"/>
        <v>0</v>
      </c>
      <c r="FK151" s="26">
        <f t="shared" si="438"/>
        <v>0</v>
      </c>
      <c r="FL151" s="26">
        <f t="shared" si="439"/>
        <v>0</v>
      </c>
      <c r="FM151" s="26">
        <f t="shared" si="440"/>
        <v>0</v>
      </c>
      <c r="FN151" s="26">
        <f t="shared" si="441"/>
        <v>0</v>
      </c>
      <c r="FP151" s="26" t="e">
        <f t="shared" si="442"/>
        <v>#REF!</v>
      </c>
      <c r="FQ151" s="26" t="e">
        <f t="shared" si="443"/>
        <v>#REF!</v>
      </c>
      <c r="FR151" s="26" t="e">
        <f t="shared" si="444"/>
        <v>#REF!</v>
      </c>
      <c r="FS151" s="26" t="e">
        <f t="shared" si="445"/>
        <v>#REF!</v>
      </c>
      <c r="FT151" s="26" t="e">
        <f t="shared" si="446"/>
        <v>#REF!</v>
      </c>
      <c r="FU151" s="26" t="e">
        <f t="shared" si="447"/>
        <v>#REF!</v>
      </c>
      <c r="FV151" s="26" t="e">
        <f t="shared" si="448"/>
        <v>#REF!</v>
      </c>
      <c r="FW151" s="26" t="e">
        <f t="shared" si="449"/>
        <v>#REF!</v>
      </c>
      <c r="FX151" s="26" t="e">
        <f t="shared" si="450"/>
        <v>#REF!</v>
      </c>
      <c r="GB151" s="26" t="e">
        <f>IF(GB$2=InputTable[[#This Row],[Delivery Date]],_xlfn.XLOOKUP(GB$1,$BH$2:$BR$2,$BH151:$BR151,0),0)</f>
        <v>#REF!</v>
      </c>
      <c r="GC151" s="26">
        <f>IF(GC$2=InputTable[[#This Row],[Delivery Date]],_xlfn.XLOOKUP(GC$1,$BH$2:$BR$2,$BH151:$BR151,0),0)</f>
        <v>0</v>
      </c>
      <c r="GD151" s="26">
        <f>IF(GD$2=InputTable[[#This Row],[Delivery Date]],_xlfn.XLOOKUP(GD$1,$BH$2:$BR$2,$BH151:$BR151,0),0)</f>
        <v>0</v>
      </c>
      <c r="GE151" s="26">
        <f>IF(GE$2=InputTable[[#This Row],[Delivery Date]],_xlfn.XLOOKUP(GE$1,$BH$2:$BR$2,$BH151:$BR151,0),0)</f>
        <v>0</v>
      </c>
      <c r="GF151" s="26">
        <f>IF(GF$2=InputTable[[#This Row],[Delivery Date]],_xlfn.XLOOKUP(GF$1,$BH$2:$BR$2,$BH151:$BR151,0),0)</f>
        <v>0</v>
      </c>
      <c r="GG151" s="26">
        <f>IF(GG$2=InputTable[[#This Row],[Delivery Date]],_xlfn.XLOOKUP(GG$1,$BH$2:$BR$2,$BH151:$BR151,0),0)</f>
        <v>0</v>
      </c>
      <c r="GH151" s="26">
        <f>IF(GH$2=InputTable[[#This Row],[Delivery Date]],_xlfn.XLOOKUP(GH$1,$BH$2:$BR$2,$BH151:$BR151,0),0)</f>
        <v>0</v>
      </c>
      <c r="GI151" s="26">
        <f>IF(GI$2=InputTable[[#This Row],[Delivery Date]],_xlfn.XLOOKUP(GI$1,$BH$2:$BR$2,$BH151:$BR151,0),0)</f>
        <v>0</v>
      </c>
      <c r="GJ151" s="26">
        <f>IF(GJ$2=InputTable[[#This Row],[Delivery Date]],_xlfn.XLOOKUP(GJ$1,$BH$2:$BR$2,$BH151:$BR151,0),0)</f>
        <v>0</v>
      </c>
      <c r="GL151" s="26" t="e">
        <f>IF(GL$2=InputTable[[#This Row],[Delivery Date]],_xlfn.XLOOKUP(GL$1,$BH$2:$BR$2,$BH151:$BR151,0),0)</f>
        <v>#REF!</v>
      </c>
      <c r="GM151" s="26">
        <f>IF(GM$2=InputTable[[#This Row],[Delivery Date]],_xlfn.XLOOKUP(GM$1,$BH$2:$BR$2,$BH151:$BR151,0),0)</f>
        <v>0</v>
      </c>
      <c r="GN151" s="26">
        <f>IF(GN$2=InputTable[[#This Row],[Delivery Date]],_xlfn.XLOOKUP(GN$1,$BH$2:$BR$2,$BH151:$BR151,0),0)</f>
        <v>0</v>
      </c>
      <c r="GO151" s="26">
        <f>IF(GO$2=InputTable[[#This Row],[Delivery Date]],_xlfn.XLOOKUP(GO$1,$BH$2:$BR$2,$BH151:$BR151,0),0)</f>
        <v>0</v>
      </c>
      <c r="GP151" s="26">
        <f>IF(GP$2=InputTable[[#This Row],[Delivery Date]],_xlfn.XLOOKUP(GP$1,$BH$2:$BR$2,$BH151:$BR151,0),0)</f>
        <v>0</v>
      </c>
      <c r="GQ151" s="26">
        <f>IF(GQ$2=InputTable[[#This Row],[Delivery Date]],_xlfn.XLOOKUP(GQ$1,$BH$2:$BR$2,$BH151:$BR151,0),0)</f>
        <v>0</v>
      </c>
      <c r="GR151" s="26">
        <f>IF(GR$2=InputTable[[#This Row],[Delivery Date]],_xlfn.XLOOKUP(GR$1,$BH$2:$BR$2,$BH151:$BR151,0),0)</f>
        <v>0</v>
      </c>
      <c r="GS151" s="26">
        <f>IF(GS$2=InputTable[[#This Row],[Delivery Date]],_xlfn.XLOOKUP(GS$1,$BH$2:$BR$2,$BH151:$BR151,0),0)</f>
        <v>0</v>
      </c>
      <c r="GT151" s="26">
        <f>IF(GT$2=InputTable[[#This Row],[Delivery Date]],_xlfn.XLOOKUP(GT$1,$BH$2:$BR$2,$BH151:$BR151,0),0)</f>
        <v>0</v>
      </c>
      <c r="GV151" s="26" t="e">
        <f>IF(GV$2=InputTable[[#This Row],[Delivery Date]],_xlfn.XLOOKUP(GV$1,$BH$2:$BR$2,$BH151:$BR151,0),0)</f>
        <v>#REF!</v>
      </c>
      <c r="GW151" s="26">
        <f>IF(GW$2=InputTable[[#This Row],[Delivery Date]],_xlfn.XLOOKUP(GW$1,$BH$2:$BR$2,$BH151:$BR151,0),0)</f>
        <v>0</v>
      </c>
      <c r="GX151" s="26">
        <f>IF(GX$2=InputTable[[#This Row],[Delivery Date]],_xlfn.XLOOKUP(GX$1,$BH$2:$BR$2,$BH151:$BR151,0),0)</f>
        <v>0</v>
      </c>
      <c r="GY151" s="26">
        <f>IF(GY$2=InputTable[[#This Row],[Delivery Date]],_xlfn.XLOOKUP(GY$1,$BH$2:$BR$2,$BH151:$BR151,0),0)</f>
        <v>0</v>
      </c>
      <c r="GZ151" s="26">
        <f>IF(GZ$2=InputTable[[#This Row],[Delivery Date]],_xlfn.XLOOKUP(GZ$1,$BH$2:$BR$2,$BH151:$BR151,0),0)</f>
        <v>0</v>
      </c>
      <c r="HA151" s="26">
        <f>IF(HA$2=InputTable[[#This Row],[Delivery Date]],_xlfn.XLOOKUP(HA$1,$BH$2:$BR$2,$BH151:$BR151,0),0)</f>
        <v>0</v>
      </c>
      <c r="HB151" s="26">
        <f>IF(HB$2=InputTable[[#This Row],[Delivery Date]],_xlfn.XLOOKUP(HB$1,$BH$2:$BR$2,$BH151:$BR151,0),0)</f>
        <v>0</v>
      </c>
      <c r="HC151" s="26">
        <f>IF(HC$2=InputTable[[#This Row],[Delivery Date]],_xlfn.XLOOKUP(HC$1,$BH$2:$BR$2,$BH151:$BR151,0),0)</f>
        <v>0</v>
      </c>
      <c r="HD151" s="26">
        <f>IF(HD$2=InputTable[[#This Row],[Delivery Date]],_xlfn.XLOOKUP(HD$1,$BH$2:$BR$2,$BH151:$BR151,0),0)</f>
        <v>0</v>
      </c>
      <c r="HF151" s="26" t="e">
        <f>IF(HF$2=InputTable[[#This Row],[Delivery Date]],_xlfn.XLOOKUP(HF$1,$BH$2:$BR$2,$BH151:$BR151,0),0)</f>
        <v>#REF!</v>
      </c>
      <c r="HG151" s="26">
        <f>IF(HG$2=InputTable[[#This Row],[Delivery Date]],_xlfn.XLOOKUP(HG$1,$BH$2:$BR$2,$BH151:$BR151,0),0)</f>
        <v>0</v>
      </c>
      <c r="HH151" s="26">
        <f>IF(HH$2=InputTable[[#This Row],[Delivery Date]],_xlfn.XLOOKUP(HH$1,$BH$2:$BR$2,$BH151:$BR151,0),0)</f>
        <v>0</v>
      </c>
      <c r="HI151" s="26">
        <f>IF(HI$2=InputTable[[#This Row],[Delivery Date]],_xlfn.XLOOKUP(HI$1,$BH$2:$BR$2,$BH151:$BR151,0),0)</f>
        <v>0</v>
      </c>
      <c r="HJ151" s="26">
        <f>IF(HJ$2=InputTable[[#This Row],[Delivery Date]],_xlfn.XLOOKUP(HJ$1,$BH$2:$BR$2,$BH151:$BR151,0),0)</f>
        <v>0</v>
      </c>
      <c r="HK151" s="26">
        <f>IF(HK$2=InputTable[[#This Row],[Delivery Date]],_xlfn.XLOOKUP(HK$1,$BH$2:$BR$2,$BH151:$BR151,0),0)</f>
        <v>0</v>
      </c>
      <c r="HL151" s="26">
        <f>IF(HL$2=InputTable[[#This Row],[Delivery Date]],_xlfn.XLOOKUP(HL$1,$BH$2:$BR$2,$BH151:$BR151,0),0)</f>
        <v>0</v>
      </c>
      <c r="HM151" s="26">
        <f>IF(HM$2=InputTable[[#This Row],[Delivery Date]],_xlfn.XLOOKUP(HM$1,$BH$2:$BR$2,$BH151:$BR151,0),0)</f>
        <v>0</v>
      </c>
      <c r="HN151" s="26">
        <f>IF(HN$2=InputTable[[#This Row],[Delivery Date]],_xlfn.XLOOKUP(HN$1,$BH$2:$BR$2,$BH151:$BR151,0),0)</f>
        <v>0</v>
      </c>
      <c r="HP151" s="26" t="e">
        <f>IF(HP$2=InputTable[[#This Row],[Delivery Date]],_xlfn.XLOOKUP(HP$1,$BH$2:$BR$2,$BH151:$BR151,0),0)</f>
        <v>#REF!</v>
      </c>
      <c r="HQ151" s="26">
        <f>IF(HQ$2=InputTable[[#This Row],[Delivery Date]],_xlfn.XLOOKUP(HQ$1,$BH$2:$BR$2,$BH151:$BR151,0),0)</f>
        <v>0</v>
      </c>
      <c r="HR151" s="26">
        <f>IF(HR$2=InputTable[[#This Row],[Delivery Date]],_xlfn.XLOOKUP(HR$1,$BH$2:$BR$2,$BH151:$BR151,0),0)</f>
        <v>0</v>
      </c>
      <c r="HS151" s="26">
        <f>IF(HS$2=InputTable[[#This Row],[Delivery Date]],_xlfn.XLOOKUP(HS$1,$BH$2:$BR$2,$BH151:$BR151,0),0)</f>
        <v>0</v>
      </c>
      <c r="HT151" s="26">
        <f>IF(HT$2=InputTable[[#This Row],[Delivery Date]],_xlfn.XLOOKUP(HT$1,$BH$2:$BR$2,$BH151:$BR151,0),0)</f>
        <v>0</v>
      </c>
      <c r="HU151" s="26">
        <f>IF(HU$2=InputTable[[#This Row],[Delivery Date]],_xlfn.XLOOKUP(HU$1,$BH$2:$BR$2,$BH151:$BR151,0),0)</f>
        <v>0</v>
      </c>
      <c r="HV151" s="26">
        <f>IF(HV$2=InputTable[[#This Row],[Delivery Date]],_xlfn.XLOOKUP(HV$1,$BH$2:$BR$2,$BH151:$BR151,0),0)</f>
        <v>0</v>
      </c>
      <c r="HW151" s="26">
        <f>IF(HW$2=InputTable[[#This Row],[Delivery Date]],_xlfn.XLOOKUP(HW$1,$BH$2:$BR$2,$BH151:$BR151,0),0)</f>
        <v>0</v>
      </c>
      <c r="HX151" s="26">
        <f>IF(HX$2=InputTable[[#This Row],[Delivery Date]],_xlfn.XLOOKUP(HX$1,$BH$2:$BR$2,$BH151:$BR151,0),0)</f>
        <v>0</v>
      </c>
      <c r="HZ151" s="26" t="e">
        <f>IF(HZ$2=InputTable[[#This Row],[Delivery Date]],_xlfn.XLOOKUP(HZ$1,$BH$2:$BR$2,$BH151:$BR151,0),0)</f>
        <v>#REF!</v>
      </c>
      <c r="IA151" s="26">
        <f>IF(IA$2=InputTable[[#This Row],[Delivery Date]],_xlfn.XLOOKUP(IA$1,$BH$2:$BR$2,$BH151:$BR151,0),0)</f>
        <v>0</v>
      </c>
      <c r="IB151" s="26">
        <f>IF(IB$2=InputTable[[#This Row],[Delivery Date]],_xlfn.XLOOKUP(IB$1,$BH$2:$BR$2,$BH151:$BR151,0),0)</f>
        <v>0</v>
      </c>
      <c r="IC151" s="26">
        <f>IF(IC$2=InputTable[[#This Row],[Delivery Date]],_xlfn.XLOOKUP(IC$1,$BH$2:$BR$2,$BH151:$BR151,0),0)</f>
        <v>0</v>
      </c>
      <c r="ID151" s="26">
        <f>IF(ID$2=InputTable[[#This Row],[Delivery Date]],_xlfn.XLOOKUP(ID$1,$BH$2:$BR$2,$BH151:$BR151,0),0)</f>
        <v>0</v>
      </c>
      <c r="IE151" s="26">
        <f>IF(IE$2=InputTable[[#This Row],[Delivery Date]],_xlfn.XLOOKUP(IE$1,$BH$2:$BR$2,$BH151:$BR151,0),0)</f>
        <v>0</v>
      </c>
      <c r="IF151" s="26">
        <f>IF(IF$2=InputTable[[#This Row],[Delivery Date]],_xlfn.XLOOKUP(IF$1,$BH$2:$BR$2,$BH151:$BR151,0),0)</f>
        <v>0</v>
      </c>
      <c r="IG151" s="26">
        <f>IF(IG$2=InputTable[[#This Row],[Delivery Date]],_xlfn.XLOOKUP(IG$1,$BH$2:$BR$2,$BH151:$BR151,0),0)</f>
        <v>0</v>
      </c>
      <c r="IH151" s="26">
        <f>IF(IH$2=InputTable[[#This Row],[Delivery Date]],_xlfn.XLOOKUP(IH$1,$BH$2:$BR$2,$BH151:$BR151,0),0)</f>
        <v>0</v>
      </c>
      <c r="IJ151" s="26" t="e">
        <f>IF(IJ$2=InputTable[[#This Row],[Delivery Date]],_xlfn.XLOOKUP(IJ$1,$BH$2:$BR$2,$BH151:$BR151,0),0)</f>
        <v>#REF!</v>
      </c>
      <c r="IK151" s="26">
        <f>IF(IK$2=InputTable[[#This Row],[Delivery Date]],_xlfn.XLOOKUP(IK$1,$BH$2:$BR$2,$BH151:$BR151,0),0)</f>
        <v>0</v>
      </c>
      <c r="IL151" s="26">
        <f>IF(IL$2=InputTable[[#This Row],[Delivery Date]],_xlfn.XLOOKUP(IL$1,$BH$2:$BR$2,$BH151:$BR151,0),0)</f>
        <v>0</v>
      </c>
      <c r="IM151" s="26">
        <f>IF(IM$2=InputTable[[#This Row],[Delivery Date]],_xlfn.XLOOKUP(IM$1,$BH$2:$BR$2,$BH151:$BR151,0),0)</f>
        <v>0</v>
      </c>
      <c r="IN151" s="26">
        <f>IF(IN$2=InputTable[[#This Row],[Delivery Date]],_xlfn.XLOOKUP(IN$1,$BH$2:$BR$2,$BH151:$BR151,0),0)</f>
        <v>0</v>
      </c>
      <c r="IO151" s="26">
        <f>IF(IO$2=InputTable[[#This Row],[Delivery Date]],_xlfn.XLOOKUP(IO$1,$BH$2:$BR$2,$BH151:$BR151,0),0)</f>
        <v>0</v>
      </c>
      <c r="IP151" s="26">
        <f>IF(IP$2=InputTable[[#This Row],[Delivery Date]],_xlfn.XLOOKUP(IP$1,$BH$2:$BR$2,$BH151:$BR151,0),0)</f>
        <v>0</v>
      </c>
      <c r="IQ151" s="26">
        <f>IF(IQ$2=InputTable[[#This Row],[Delivery Date]],_xlfn.XLOOKUP(IQ$1,$BH$2:$BR$2,$BH151:$BR151,0),0)</f>
        <v>0</v>
      </c>
      <c r="IR151" s="26">
        <f>IF(IR$2=InputTable[[#This Row],[Delivery Date]],_xlfn.XLOOKUP(IR$1,$BH$2:$BR$2,$BH151:$BR151,0),0)</f>
        <v>0</v>
      </c>
      <c r="IT151" s="26" t="e">
        <f>IF(IT$2=InputTable[[#This Row],[Delivery Date]],_xlfn.XLOOKUP(IT$1,$BH$2:$BR$2,$BH151:$BR151,0),0)</f>
        <v>#REF!</v>
      </c>
      <c r="IU151" s="26">
        <f>IF(IU$2=InputTable[[#This Row],[Delivery Date]],_xlfn.XLOOKUP(IU$1,$BH$2:$BR$2,$BH151:$BR151,0),0)</f>
        <v>0</v>
      </c>
      <c r="IV151" s="26">
        <f>IF(IV$2=InputTable[[#This Row],[Delivery Date]],_xlfn.XLOOKUP(IV$1,$BH$2:$BR$2,$BH151:$BR151,0),0)</f>
        <v>0</v>
      </c>
      <c r="IW151" s="26">
        <f>IF(IW$2=InputTable[[#This Row],[Delivery Date]],_xlfn.XLOOKUP(IW$1,$BH$2:$BR$2,$BH151:$BR151,0),0)</f>
        <v>0</v>
      </c>
      <c r="IX151" s="26">
        <f>IF(IX$2=InputTable[[#This Row],[Delivery Date]],_xlfn.XLOOKUP(IX$1,$BH$2:$BR$2,$BH151:$BR151,0),0)</f>
        <v>0</v>
      </c>
      <c r="IY151" s="26">
        <f>IF(IY$2=InputTable[[#This Row],[Delivery Date]],_xlfn.XLOOKUP(IY$1,$BH$2:$BR$2,$BH151:$BR151,0),0)</f>
        <v>0</v>
      </c>
      <c r="IZ151" s="26">
        <f>IF(IZ$2=InputTable[[#This Row],[Delivery Date]],_xlfn.XLOOKUP(IZ$1,$BH$2:$BR$2,$BH151:$BR151,0),0)</f>
        <v>0</v>
      </c>
      <c r="JA151" s="26">
        <f>IF(JA$2=InputTable[[#This Row],[Delivery Date]],_xlfn.XLOOKUP(JA$1,$BH$2:$BR$2,$BH151:$BR151,0),0)</f>
        <v>0</v>
      </c>
      <c r="JB151" s="26">
        <f>IF(JB$2=InputTable[[#This Row],[Delivery Date]],_xlfn.XLOOKUP(JB$1,$BH$2:$BR$2,$BH151:$BR151,0),0)</f>
        <v>0</v>
      </c>
      <c r="JD151" s="26" t="e">
        <f>IF(JD$2=InputTable[[#This Row],[Delivery Date]],_xlfn.XLOOKUP(JD$1,$BH$2:$BR$2,$BH151:$BR151,0),0)</f>
        <v>#REF!</v>
      </c>
      <c r="JE151" s="26">
        <f>IF(JE$2=InputTable[[#This Row],[Delivery Date]],_xlfn.XLOOKUP(JE$1,$BH$2:$BR$2,$BH151:$BR151,0),0)</f>
        <v>0</v>
      </c>
      <c r="JF151" s="26">
        <f>IF(JF$2=InputTable[[#This Row],[Delivery Date]],_xlfn.XLOOKUP(JF$1,$BH$2:$BR$2,$BH151:$BR151,0),0)</f>
        <v>0</v>
      </c>
      <c r="JG151" s="26">
        <f>IF(JG$2=InputTable[[#This Row],[Delivery Date]],_xlfn.XLOOKUP(JG$1,$BH$2:$BR$2,$BH151:$BR151,0),0)</f>
        <v>0</v>
      </c>
      <c r="JH151" s="26">
        <f>IF(JH$2=InputTable[[#This Row],[Delivery Date]],_xlfn.XLOOKUP(JH$1,$BH$2:$BR$2,$BH151:$BR151,0),0)</f>
        <v>0</v>
      </c>
      <c r="JI151" s="26">
        <f>IF(JI$2=InputTable[[#This Row],[Delivery Date]],_xlfn.XLOOKUP(JI$1,$BH$2:$BR$2,$BH151:$BR151,0),0)</f>
        <v>0</v>
      </c>
      <c r="JJ151" s="26">
        <f>IF(JJ$2=InputTable[[#This Row],[Delivery Date]],_xlfn.XLOOKUP(JJ$1,$BH$2:$BR$2,$BH151:$BR151,0),0)</f>
        <v>0</v>
      </c>
      <c r="JK151" s="26">
        <f>IF(JK$2=InputTable[[#This Row],[Delivery Date]],_xlfn.XLOOKUP(JK$1,$BH$2:$BR$2,$BH151:$BR151,0),0)</f>
        <v>0</v>
      </c>
      <c r="JL151" s="26">
        <f>IF(JL$2=InputTable[[#This Row],[Delivery Date]],_xlfn.XLOOKUP(JL$1,$BH$2:$BR$2,$BH151:$BR151,0),0)</f>
        <v>0</v>
      </c>
      <c r="JN151" s="26" t="e">
        <f>IF(JN$2=InputTable[[#This Row],[Delivery Date]],_xlfn.XLOOKUP(JN$1,$BH$2:$BR$2,$BH151:$BR151,0),0)</f>
        <v>#REF!</v>
      </c>
      <c r="JO151" s="26">
        <f>IF(JO$2=InputTable[[#This Row],[Delivery Date]],_xlfn.XLOOKUP(JO$1,$BH$2:$BR$2,$BH151:$BR151,0),0)</f>
        <v>0</v>
      </c>
      <c r="JP151" s="26">
        <f>IF(JP$2=InputTable[[#This Row],[Delivery Date]],_xlfn.XLOOKUP(JP$1,$BH$2:$BR$2,$BH151:$BR151,0),0)</f>
        <v>0</v>
      </c>
      <c r="JQ151" s="26">
        <f>IF(JQ$2=InputTable[[#This Row],[Delivery Date]],_xlfn.XLOOKUP(JQ$1,$BH$2:$BR$2,$BH151:$BR151,0),0)</f>
        <v>0</v>
      </c>
      <c r="JR151" s="26">
        <f>IF(JR$2=InputTable[[#This Row],[Delivery Date]],_xlfn.XLOOKUP(JR$1,$BH$2:$BR$2,$BH151:$BR151,0),0)</f>
        <v>0</v>
      </c>
      <c r="JS151" s="26">
        <f>IF(JS$2=InputTable[[#This Row],[Delivery Date]],_xlfn.XLOOKUP(JS$1,$BH$2:$BR$2,$BH151:$BR151,0),0)</f>
        <v>0</v>
      </c>
      <c r="JT151" s="26">
        <f>IF(JT$2=InputTable[[#This Row],[Delivery Date]],_xlfn.XLOOKUP(JT$1,$BH$2:$BR$2,$BH151:$BR151,0),0)</f>
        <v>0</v>
      </c>
      <c r="JU151" s="26">
        <f>IF(JU$2=InputTable[[#This Row],[Delivery Date]],_xlfn.XLOOKUP(JU$1,$BH$2:$BR$2,$BH151:$BR151,0),0)</f>
        <v>0</v>
      </c>
      <c r="JV151" s="26">
        <f>IF(JV$2=InputTable[[#This Row],[Delivery Date]],_xlfn.XLOOKUP(JV$1,$BH$2:$BR$2,$BH151:$BR151,0),0)</f>
        <v>0</v>
      </c>
      <c r="JX151" s="26" t="e">
        <f>IF(JX$2=InputTable[[#This Row],[Delivery Date]],_xlfn.XLOOKUP(JX$1,$BH$2:$BR$2,$BH151:$BR151,0),0)</f>
        <v>#REF!</v>
      </c>
      <c r="JY151" s="26">
        <f>IF(JY$2=InputTable[[#This Row],[Delivery Date]],_xlfn.XLOOKUP(JY$1,$BH$2:$BR$2,$BH151:$BR151,0),0)</f>
        <v>0</v>
      </c>
      <c r="JZ151" s="26">
        <f>IF(JZ$2=InputTable[[#This Row],[Delivery Date]],_xlfn.XLOOKUP(JZ$1,$BH$2:$BR$2,$BH151:$BR151,0),0)</f>
        <v>0</v>
      </c>
      <c r="KA151" s="26">
        <f>IF(KA$2=InputTable[[#This Row],[Delivery Date]],_xlfn.XLOOKUP(KA$1,$BH$2:$BR$2,$BH151:$BR151,0),0)</f>
        <v>0</v>
      </c>
      <c r="KB151" s="26">
        <f>IF(KB$2=InputTable[[#This Row],[Delivery Date]],_xlfn.XLOOKUP(KB$1,$BH$2:$BR$2,$BH151:$BR151,0),0)</f>
        <v>0</v>
      </c>
      <c r="KC151" s="26">
        <f>IF(KC$2=InputTable[[#This Row],[Delivery Date]],_xlfn.XLOOKUP(KC$1,$BH$2:$BR$2,$BH151:$BR151,0),0)</f>
        <v>0</v>
      </c>
      <c r="KD151" s="26">
        <f>IF(KD$2=InputTable[[#This Row],[Delivery Date]],_xlfn.XLOOKUP(KD$1,$BH$2:$BR$2,$BH151:$BR151,0),0)</f>
        <v>0</v>
      </c>
      <c r="KE151" s="26">
        <f>IF(KE$2=InputTable[[#This Row],[Delivery Date]],_xlfn.XLOOKUP(KE$1,$BH$2:$BR$2,$BH151:$BR151,0),0)</f>
        <v>0</v>
      </c>
      <c r="KF151" s="26">
        <f>IF(KF$2=InputTable[[#This Row],[Delivery Date]],_xlfn.XLOOKUP(KF$1,$BH$2:$BR$2,$BH151:$BR151,0),0)</f>
        <v>0</v>
      </c>
    </row>
    <row r="152" spans="1:292" ht="34.799999999999997" x14ac:dyDescent="0.25">
      <c r="A152" s="141"/>
      <c r="B152" s="119"/>
      <c r="C152" s="92"/>
      <c r="D152" s="92"/>
      <c r="E152" s="93"/>
      <c r="F152" s="92"/>
      <c r="G152" s="92"/>
      <c r="H152" s="92"/>
      <c r="I152" s="92"/>
      <c r="J152" s="122"/>
      <c r="K152" s="95" t="e">
        <f>VLOOKUP((InputTable[[#This Row],[Starting Date]]&amp; " - " &amp;InputTable[[#This Row],[Delivery Date]]),'System List'!$F$40:$H$83,2,FALSE)</f>
        <v>#N/A</v>
      </c>
      <c r="L152" s="95" t="e">
        <f>VLOOKUP(InputTable[[#This Row],[Duration]],Duration,2,FALSE)</f>
        <v>#N/A</v>
      </c>
      <c r="M152" s="122"/>
      <c r="N152" s="92"/>
      <c r="O152" s="92"/>
      <c r="P152" s="92"/>
      <c r="Q152" s="92"/>
      <c r="R152" s="92"/>
      <c r="S152" s="92"/>
      <c r="T152" s="95"/>
      <c r="U152" s="138"/>
      <c r="V152" s="92"/>
      <c r="W152" s="92"/>
      <c r="X152" s="92"/>
      <c r="Y152" s="92"/>
      <c r="Z152" s="92"/>
      <c r="AA152" s="92"/>
      <c r="AB152" s="92"/>
      <c r="AC152" s="92"/>
      <c r="AD152" s="92">
        <f>COUNTA(InputTable[[#This Row],[CORPHRFIN]:[SALES]])</f>
        <v>0</v>
      </c>
      <c r="AE152" s="88" cm="1">
        <f t="array" ref="AE152">SUM(
_xlfn.XLOOKUP(InputTable[[#This Row],[CORPHRFIN]:[SALES]],'System List'!$F$4:$F$7,'System List'!$H$4:$H$7,0))</f>
        <v>0</v>
      </c>
      <c r="AF152" s="140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88" cm="1">
        <f t="array" ref="AR152">SUM(
_xlfn.XLOOKUP(InputTable[[#This Row],[Impact on - CIAL]:[Impact on - STRAT]],'System List'!$F$4:$F$7,'System List'!$H$4:$H$7,0))</f>
        <v>0</v>
      </c>
      <c r="AS152" s="88" t="e">
        <f>VLOOKUP(InputTable[[#This Row],[Duration]],Duration,2,FALSE)+InputTable[[#This Row],[Resource Score]]</f>
        <v>#N/A</v>
      </c>
      <c r="AT15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2" s="24" t="e">
        <f>InputTable[[#This Row],[Value Score]]/InputTable[[#This Row],[EFFORT SCORE]]*100</f>
        <v>#N/A</v>
      </c>
      <c r="AV152" s="25" t="s">
        <v>443</v>
      </c>
      <c r="AW152" s="25"/>
      <c r="AX152" s="208"/>
      <c r="AY152" s="25"/>
      <c r="AZ152" s="209">
        <v>0</v>
      </c>
      <c r="BA152" s="209">
        <v>0</v>
      </c>
      <c r="BB152" s="209"/>
      <c r="BC152" s="189"/>
      <c r="BD152" s="188"/>
      <c r="BE152" s="188"/>
      <c r="BF152" s="70"/>
      <c r="BH152" s="2">
        <f>IFERROR(VLOOKUP(InputTable[[#This Row],[Impact on - CIAL]],'System List'!$F$4:$H$7,3,FALSE),0)</f>
        <v>0</v>
      </c>
      <c r="BI152" s="2">
        <f>IFERROR(VLOOKUP(InputTable[[#This Row],[Impact on - COM]],'System List'!$F$4:$H$7,3,FALSE),0)</f>
        <v>0</v>
      </c>
      <c r="BJ152" s="2">
        <f>IFERROR(VLOOKUP(InputTable[[#This Row],[Impact on - FIN]],'System List'!$F$4:$H$7,3,FALSE),0)</f>
        <v>0</v>
      </c>
      <c r="BK152" s="2">
        <f>IFERROR(VLOOKUP(InputTable[[#This Row],[Impact on - GEN SEC]],'System List'!$F$4:$H$7,3,FALSE),0)</f>
        <v>0</v>
      </c>
      <c r="BL152" s="2">
        <f>IFERROR(VLOOKUP(InputTable[[#This Row],[Impact on - HR]],'System List'!$F$4:$H$7,3,FALSE),0)</f>
        <v>0</v>
      </c>
      <c r="BM152" s="2">
        <f>IFERROR(VLOOKUP(InputTable[[#This Row],[Impact on - IS]],'System List'!$F$4:$H$7,3,FALSE),0)</f>
        <v>0</v>
      </c>
      <c r="BN152" s="2">
        <f>IFERROR(VLOOKUP(InputTable[[#This Row],[Impact on - OPS]],'System List'!$F$4:$H$7,3,FALSE),0)</f>
        <v>0</v>
      </c>
      <c r="BO152" s="2">
        <f>IFERROR(VLOOKUP(InputTable[[#This Row],[Impact on - ROLL STOCK]],'System List'!$F$4:$H$7,3,FALSE),0)</f>
        <v>0</v>
      </c>
      <c r="BP152" s="2">
        <f>IFERROR(VLOOKUP(InputTable[[#This Row],[Impact on - SAFETY]],'System List'!$F$4:$H$7,3,FALSE),0)</f>
        <v>0</v>
      </c>
      <c r="BQ152" s="2">
        <f>IFERROR(VLOOKUP(InputTable[[#This Row],[Impact on - STATION]],'System List'!$F$4:$H$7,3,FALSE),0)</f>
        <v>0</v>
      </c>
      <c r="BR152" s="2">
        <f>IFERROR(VLOOKUP(InputTable[[#This Row],[Impact on - STRAT]],'System List'!$F$4:$H$7,3,FALSE),0)</f>
        <v>0</v>
      </c>
      <c r="BT152" s="2">
        <f>IFERROR(VLOOKUP(InputTable[[#This Row],[CORPHRFIN]],'System List'!$F$4:$H$7,3,FALSE),0)</f>
        <v>0</v>
      </c>
      <c r="BU152" s="2">
        <f>IFERROR(VLOOKUP(InputTable[[#This Row],[CUST]],'System List'!$F$4:$H$7,3,FALSE),0)</f>
        <v>0</v>
      </c>
      <c r="BV152" s="2">
        <f>IFERROR(VLOOKUP(InputTable[[#This Row],[CYBER]],'System List'!$F$4:$H$7,3,FALSE),0)</f>
        <v>0</v>
      </c>
      <c r="BW152" s="2">
        <f>IFERROR(VLOOKUP(InputTable[[#This Row],[DATA]],'System List'!$F$4:$H$7,3,FALSE),0)</f>
        <v>0</v>
      </c>
      <c r="BX152" s="2">
        <f>IFERROR(VLOOKUP(InputTable[[#This Row],[INFRA]],'System List'!$F$4:$H$7,3,FALSE),0)</f>
        <v>0</v>
      </c>
      <c r="BY152" s="2">
        <f>IFERROR(VLOOKUP(InputTable[[#This Row],[OPERATIONS]],'System List'!$F$4:$H$7,3,FALSE),0)</f>
        <v>0</v>
      </c>
      <c r="BZ152" s="2">
        <f>IFERROR(VLOOKUP(InputTable[[#This Row],[PMO]],'System List'!$F$4:$H$7,3,FALSE),0)</f>
        <v>0</v>
      </c>
      <c r="CA152" s="2">
        <f>IFERROR(VLOOKUP(InputTable[[#This Row],[SALES]],'System List'!$F$4:$H$7,3,FALSE),0)</f>
        <v>0</v>
      </c>
      <c r="CC152" s="2" cm="1">
        <f t="array" ref="CC15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2" s="2" cm="1">
        <f t="array" ref="CD15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2" s="2" cm="1">
        <f t="array" ref="CE15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2" s="2" cm="1">
        <f t="array" ref="CF15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2" s="2" cm="1">
        <f t="array" ref="CG15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2" s="2" cm="1">
        <f t="array" ref="CH15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2" s="2" cm="1">
        <f t="array" ref="CI15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2" s="2" cm="1">
        <f t="array" ref="CJ15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2" s="2" cm="1">
        <f t="array" ref="CK15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2" s="26">
        <f t="shared" si="379"/>
        <v>0</v>
      </c>
      <c r="CY152" s="26">
        <f t="shared" si="380"/>
        <v>0</v>
      </c>
      <c r="CZ152" s="26">
        <f t="shared" si="381"/>
        <v>0</v>
      </c>
      <c r="DA152" s="26">
        <f t="shared" si="382"/>
        <v>0</v>
      </c>
      <c r="DB152" s="26">
        <f t="shared" si="383"/>
        <v>0</v>
      </c>
      <c r="DC152" s="26">
        <f t="shared" si="384"/>
        <v>0</v>
      </c>
      <c r="DD152" s="26">
        <f t="shared" si="385"/>
        <v>0</v>
      </c>
      <c r="DE152" s="26">
        <f t="shared" si="386"/>
        <v>0</v>
      </c>
      <c r="DF152" s="26">
        <f t="shared" si="387"/>
        <v>0</v>
      </c>
      <c r="DH152" s="26">
        <f t="shared" si="388"/>
        <v>0</v>
      </c>
      <c r="DI152" s="26">
        <f t="shared" si="389"/>
        <v>0</v>
      </c>
      <c r="DJ152" s="26">
        <f t="shared" si="390"/>
        <v>0</v>
      </c>
      <c r="DK152" s="26">
        <f t="shared" si="391"/>
        <v>0</v>
      </c>
      <c r="DL152" s="26">
        <f t="shared" si="392"/>
        <v>0</v>
      </c>
      <c r="DM152" s="26">
        <f t="shared" si="393"/>
        <v>0</v>
      </c>
      <c r="DN152" s="26">
        <f t="shared" si="394"/>
        <v>0</v>
      </c>
      <c r="DO152" s="26">
        <f t="shared" si="395"/>
        <v>0</v>
      </c>
      <c r="DP152" s="26">
        <f t="shared" si="396"/>
        <v>0</v>
      </c>
      <c r="DR152" s="26">
        <f t="shared" si="397"/>
        <v>0</v>
      </c>
      <c r="DS152" s="26">
        <f t="shared" si="398"/>
        <v>0</v>
      </c>
      <c r="DT152" s="26">
        <f t="shared" si="399"/>
        <v>0</v>
      </c>
      <c r="DU152" s="26">
        <f t="shared" si="400"/>
        <v>0</v>
      </c>
      <c r="DV152" s="26">
        <f t="shared" si="401"/>
        <v>0</v>
      </c>
      <c r="DW152" s="26">
        <f t="shared" si="402"/>
        <v>0</v>
      </c>
      <c r="DX152" s="26">
        <f t="shared" si="403"/>
        <v>0</v>
      </c>
      <c r="DY152" s="26">
        <f t="shared" si="404"/>
        <v>0</v>
      </c>
      <c r="DZ152" s="26">
        <f t="shared" si="405"/>
        <v>0</v>
      </c>
      <c r="EB152" s="26">
        <f t="shared" si="406"/>
        <v>0</v>
      </c>
      <c r="EC152" s="26">
        <f t="shared" si="407"/>
        <v>0</v>
      </c>
      <c r="ED152" s="26">
        <f t="shared" si="408"/>
        <v>0</v>
      </c>
      <c r="EE152" s="26">
        <f t="shared" si="409"/>
        <v>0</v>
      </c>
      <c r="EF152" s="26">
        <f t="shared" si="410"/>
        <v>0</v>
      </c>
      <c r="EG152" s="26">
        <f t="shared" si="411"/>
        <v>0</v>
      </c>
      <c r="EH152" s="26">
        <f t="shared" si="412"/>
        <v>0</v>
      </c>
      <c r="EI152" s="26">
        <f t="shared" si="413"/>
        <v>0</v>
      </c>
      <c r="EJ152" s="26">
        <f t="shared" si="414"/>
        <v>0</v>
      </c>
      <c r="EL152" s="26">
        <f t="shared" si="415"/>
        <v>0</v>
      </c>
      <c r="EM152" s="26">
        <f t="shared" si="416"/>
        <v>0</v>
      </c>
      <c r="EN152" s="26">
        <f t="shared" si="417"/>
        <v>0</v>
      </c>
      <c r="EO152" s="26">
        <f t="shared" si="418"/>
        <v>0</v>
      </c>
      <c r="EP152" s="26">
        <f t="shared" si="419"/>
        <v>0</v>
      </c>
      <c r="EQ152" s="26">
        <f t="shared" si="420"/>
        <v>0</v>
      </c>
      <c r="ER152" s="26">
        <f t="shared" si="421"/>
        <v>0</v>
      </c>
      <c r="ES152" s="26">
        <f t="shared" si="422"/>
        <v>0</v>
      </c>
      <c r="ET152" s="26">
        <f t="shared" si="423"/>
        <v>0</v>
      </c>
      <c r="EV152" s="26">
        <f t="shared" si="424"/>
        <v>0</v>
      </c>
      <c r="EW152" s="26">
        <f t="shared" si="425"/>
        <v>0</v>
      </c>
      <c r="EX152" s="26">
        <f t="shared" si="426"/>
        <v>0</v>
      </c>
      <c r="EY152" s="26">
        <f t="shared" si="427"/>
        <v>0</v>
      </c>
      <c r="EZ152" s="26">
        <f t="shared" si="428"/>
        <v>0</v>
      </c>
      <c r="FA152" s="26">
        <f t="shared" si="429"/>
        <v>0</v>
      </c>
      <c r="FB152" s="26">
        <f t="shared" si="430"/>
        <v>0</v>
      </c>
      <c r="FC152" s="26">
        <f t="shared" si="431"/>
        <v>0</v>
      </c>
      <c r="FD152" s="26">
        <f t="shared" si="432"/>
        <v>0</v>
      </c>
      <c r="FF152" s="26">
        <f t="shared" si="433"/>
        <v>0</v>
      </c>
      <c r="FG152" s="26">
        <f t="shared" si="434"/>
        <v>0</v>
      </c>
      <c r="FH152" s="26">
        <f t="shared" si="435"/>
        <v>0</v>
      </c>
      <c r="FI152" s="26">
        <f t="shared" si="436"/>
        <v>0</v>
      </c>
      <c r="FJ152" s="26">
        <f t="shared" si="437"/>
        <v>0</v>
      </c>
      <c r="FK152" s="26">
        <f t="shared" si="438"/>
        <v>0</v>
      </c>
      <c r="FL152" s="26">
        <f t="shared" si="439"/>
        <v>0</v>
      </c>
      <c r="FM152" s="26">
        <f t="shared" si="440"/>
        <v>0</v>
      </c>
      <c r="FN152" s="26">
        <f t="shared" si="441"/>
        <v>0</v>
      </c>
      <c r="FP152" s="26" t="e">
        <f t="shared" si="442"/>
        <v>#REF!</v>
      </c>
      <c r="FQ152" s="26" t="e">
        <f t="shared" si="443"/>
        <v>#REF!</v>
      </c>
      <c r="FR152" s="26" t="e">
        <f t="shared" si="444"/>
        <v>#REF!</v>
      </c>
      <c r="FS152" s="26" t="e">
        <f t="shared" si="445"/>
        <v>#REF!</v>
      </c>
      <c r="FT152" s="26" t="e">
        <f t="shared" si="446"/>
        <v>#REF!</v>
      </c>
      <c r="FU152" s="26" t="e">
        <f t="shared" si="447"/>
        <v>#REF!</v>
      </c>
      <c r="FV152" s="26" t="e">
        <f t="shared" si="448"/>
        <v>#REF!</v>
      </c>
      <c r="FW152" s="26" t="e">
        <f t="shared" si="449"/>
        <v>#REF!</v>
      </c>
      <c r="FX152" s="26" t="e">
        <f t="shared" si="450"/>
        <v>#REF!</v>
      </c>
      <c r="GB152" s="26" t="e">
        <f>IF(GB$2=InputTable[[#This Row],[Delivery Date]],_xlfn.XLOOKUP(GB$1,$BH$2:$BR$2,$BH152:$BR152,0),0)</f>
        <v>#REF!</v>
      </c>
      <c r="GC152" s="26">
        <f>IF(GC$2=InputTable[[#This Row],[Delivery Date]],_xlfn.XLOOKUP(GC$1,$BH$2:$BR$2,$BH152:$BR152,0),0)</f>
        <v>0</v>
      </c>
      <c r="GD152" s="26">
        <f>IF(GD$2=InputTable[[#This Row],[Delivery Date]],_xlfn.XLOOKUP(GD$1,$BH$2:$BR$2,$BH152:$BR152,0),0)</f>
        <v>0</v>
      </c>
      <c r="GE152" s="26">
        <f>IF(GE$2=InputTable[[#This Row],[Delivery Date]],_xlfn.XLOOKUP(GE$1,$BH$2:$BR$2,$BH152:$BR152,0),0)</f>
        <v>0</v>
      </c>
      <c r="GF152" s="26">
        <f>IF(GF$2=InputTable[[#This Row],[Delivery Date]],_xlfn.XLOOKUP(GF$1,$BH$2:$BR$2,$BH152:$BR152,0),0)</f>
        <v>0</v>
      </c>
      <c r="GG152" s="26">
        <f>IF(GG$2=InputTable[[#This Row],[Delivery Date]],_xlfn.XLOOKUP(GG$1,$BH$2:$BR$2,$BH152:$BR152,0),0)</f>
        <v>0</v>
      </c>
      <c r="GH152" s="26">
        <f>IF(GH$2=InputTable[[#This Row],[Delivery Date]],_xlfn.XLOOKUP(GH$1,$BH$2:$BR$2,$BH152:$BR152,0),0)</f>
        <v>0</v>
      </c>
      <c r="GI152" s="26">
        <f>IF(GI$2=InputTable[[#This Row],[Delivery Date]],_xlfn.XLOOKUP(GI$1,$BH$2:$BR$2,$BH152:$BR152,0),0)</f>
        <v>0</v>
      </c>
      <c r="GJ152" s="26">
        <f>IF(GJ$2=InputTable[[#This Row],[Delivery Date]],_xlfn.XLOOKUP(GJ$1,$BH$2:$BR$2,$BH152:$BR152,0),0)</f>
        <v>0</v>
      </c>
      <c r="GL152" s="26" t="e">
        <f>IF(GL$2=InputTable[[#This Row],[Delivery Date]],_xlfn.XLOOKUP(GL$1,$BH$2:$BR$2,$BH152:$BR152,0),0)</f>
        <v>#REF!</v>
      </c>
      <c r="GM152" s="26">
        <f>IF(GM$2=InputTable[[#This Row],[Delivery Date]],_xlfn.XLOOKUP(GM$1,$BH$2:$BR$2,$BH152:$BR152,0),0)</f>
        <v>0</v>
      </c>
      <c r="GN152" s="26">
        <f>IF(GN$2=InputTable[[#This Row],[Delivery Date]],_xlfn.XLOOKUP(GN$1,$BH$2:$BR$2,$BH152:$BR152,0),0)</f>
        <v>0</v>
      </c>
      <c r="GO152" s="26">
        <f>IF(GO$2=InputTable[[#This Row],[Delivery Date]],_xlfn.XLOOKUP(GO$1,$BH$2:$BR$2,$BH152:$BR152,0),0)</f>
        <v>0</v>
      </c>
      <c r="GP152" s="26">
        <f>IF(GP$2=InputTable[[#This Row],[Delivery Date]],_xlfn.XLOOKUP(GP$1,$BH$2:$BR$2,$BH152:$BR152,0),0)</f>
        <v>0</v>
      </c>
      <c r="GQ152" s="26">
        <f>IF(GQ$2=InputTable[[#This Row],[Delivery Date]],_xlfn.XLOOKUP(GQ$1,$BH$2:$BR$2,$BH152:$BR152,0),0)</f>
        <v>0</v>
      </c>
      <c r="GR152" s="26">
        <f>IF(GR$2=InputTable[[#This Row],[Delivery Date]],_xlfn.XLOOKUP(GR$1,$BH$2:$BR$2,$BH152:$BR152,0),0)</f>
        <v>0</v>
      </c>
      <c r="GS152" s="26">
        <f>IF(GS$2=InputTable[[#This Row],[Delivery Date]],_xlfn.XLOOKUP(GS$1,$BH$2:$BR$2,$BH152:$BR152,0),0)</f>
        <v>0</v>
      </c>
      <c r="GT152" s="26">
        <f>IF(GT$2=InputTable[[#This Row],[Delivery Date]],_xlfn.XLOOKUP(GT$1,$BH$2:$BR$2,$BH152:$BR152,0),0)</f>
        <v>0</v>
      </c>
      <c r="GV152" s="26" t="e">
        <f>IF(GV$2=InputTable[[#This Row],[Delivery Date]],_xlfn.XLOOKUP(GV$1,$BH$2:$BR$2,$BH152:$BR152,0),0)</f>
        <v>#REF!</v>
      </c>
      <c r="GW152" s="26">
        <f>IF(GW$2=InputTable[[#This Row],[Delivery Date]],_xlfn.XLOOKUP(GW$1,$BH$2:$BR$2,$BH152:$BR152,0),0)</f>
        <v>0</v>
      </c>
      <c r="GX152" s="26">
        <f>IF(GX$2=InputTable[[#This Row],[Delivery Date]],_xlfn.XLOOKUP(GX$1,$BH$2:$BR$2,$BH152:$BR152,0),0)</f>
        <v>0</v>
      </c>
      <c r="GY152" s="26">
        <f>IF(GY$2=InputTable[[#This Row],[Delivery Date]],_xlfn.XLOOKUP(GY$1,$BH$2:$BR$2,$BH152:$BR152,0),0)</f>
        <v>0</v>
      </c>
      <c r="GZ152" s="26">
        <f>IF(GZ$2=InputTable[[#This Row],[Delivery Date]],_xlfn.XLOOKUP(GZ$1,$BH$2:$BR$2,$BH152:$BR152,0),0)</f>
        <v>0</v>
      </c>
      <c r="HA152" s="26">
        <f>IF(HA$2=InputTable[[#This Row],[Delivery Date]],_xlfn.XLOOKUP(HA$1,$BH$2:$BR$2,$BH152:$BR152,0),0)</f>
        <v>0</v>
      </c>
      <c r="HB152" s="26">
        <f>IF(HB$2=InputTable[[#This Row],[Delivery Date]],_xlfn.XLOOKUP(HB$1,$BH$2:$BR$2,$BH152:$BR152,0),0)</f>
        <v>0</v>
      </c>
      <c r="HC152" s="26">
        <f>IF(HC$2=InputTable[[#This Row],[Delivery Date]],_xlfn.XLOOKUP(HC$1,$BH$2:$BR$2,$BH152:$BR152,0),0)</f>
        <v>0</v>
      </c>
      <c r="HD152" s="26">
        <f>IF(HD$2=InputTable[[#This Row],[Delivery Date]],_xlfn.XLOOKUP(HD$1,$BH$2:$BR$2,$BH152:$BR152,0),0)</f>
        <v>0</v>
      </c>
      <c r="HF152" s="26" t="e">
        <f>IF(HF$2=InputTable[[#This Row],[Delivery Date]],_xlfn.XLOOKUP(HF$1,$BH$2:$BR$2,$BH152:$BR152,0),0)</f>
        <v>#REF!</v>
      </c>
      <c r="HG152" s="26">
        <f>IF(HG$2=InputTable[[#This Row],[Delivery Date]],_xlfn.XLOOKUP(HG$1,$BH$2:$BR$2,$BH152:$BR152,0),0)</f>
        <v>0</v>
      </c>
      <c r="HH152" s="26">
        <f>IF(HH$2=InputTable[[#This Row],[Delivery Date]],_xlfn.XLOOKUP(HH$1,$BH$2:$BR$2,$BH152:$BR152,0),0)</f>
        <v>0</v>
      </c>
      <c r="HI152" s="26">
        <f>IF(HI$2=InputTable[[#This Row],[Delivery Date]],_xlfn.XLOOKUP(HI$1,$BH$2:$BR$2,$BH152:$BR152,0),0)</f>
        <v>0</v>
      </c>
      <c r="HJ152" s="26">
        <f>IF(HJ$2=InputTable[[#This Row],[Delivery Date]],_xlfn.XLOOKUP(HJ$1,$BH$2:$BR$2,$BH152:$BR152,0),0)</f>
        <v>0</v>
      </c>
      <c r="HK152" s="26">
        <f>IF(HK$2=InputTable[[#This Row],[Delivery Date]],_xlfn.XLOOKUP(HK$1,$BH$2:$BR$2,$BH152:$BR152,0),0)</f>
        <v>0</v>
      </c>
      <c r="HL152" s="26">
        <f>IF(HL$2=InputTable[[#This Row],[Delivery Date]],_xlfn.XLOOKUP(HL$1,$BH$2:$BR$2,$BH152:$BR152,0),0)</f>
        <v>0</v>
      </c>
      <c r="HM152" s="26">
        <f>IF(HM$2=InputTable[[#This Row],[Delivery Date]],_xlfn.XLOOKUP(HM$1,$BH$2:$BR$2,$BH152:$BR152,0),0)</f>
        <v>0</v>
      </c>
      <c r="HN152" s="26">
        <f>IF(HN$2=InputTable[[#This Row],[Delivery Date]],_xlfn.XLOOKUP(HN$1,$BH$2:$BR$2,$BH152:$BR152,0),0)</f>
        <v>0</v>
      </c>
      <c r="HP152" s="26" t="e">
        <f>IF(HP$2=InputTable[[#This Row],[Delivery Date]],_xlfn.XLOOKUP(HP$1,$BH$2:$BR$2,$BH152:$BR152,0),0)</f>
        <v>#REF!</v>
      </c>
      <c r="HQ152" s="26">
        <f>IF(HQ$2=InputTable[[#This Row],[Delivery Date]],_xlfn.XLOOKUP(HQ$1,$BH$2:$BR$2,$BH152:$BR152,0),0)</f>
        <v>0</v>
      </c>
      <c r="HR152" s="26">
        <f>IF(HR$2=InputTable[[#This Row],[Delivery Date]],_xlfn.XLOOKUP(HR$1,$BH$2:$BR$2,$BH152:$BR152,0),0)</f>
        <v>0</v>
      </c>
      <c r="HS152" s="26">
        <f>IF(HS$2=InputTable[[#This Row],[Delivery Date]],_xlfn.XLOOKUP(HS$1,$BH$2:$BR$2,$BH152:$BR152,0),0)</f>
        <v>0</v>
      </c>
      <c r="HT152" s="26">
        <f>IF(HT$2=InputTable[[#This Row],[Delivery Date]],_xlfn.XLOOKUP(HT$1,$BH$2:$BR$2,$BH152:$BR152,0),0)</f>
        <v>0</v>
      </c>
      <c r="HU152" s="26">
        <f>IF(HU$2=InputTable[[#This Row],[Delivery Date]],_xlfn.XLOOKUP(HU$1,$BH$2:$BR$2,$BH152:$BR152,0),0)</f>
        <v>0</v>
      </c>
      <c r="HV152" s="26">
        <f>IF(HV$2=InputTable[[#This Row],[Delivery Date]],_xlfn.XLOOKUP(HV$1,$BH$2:$BR$2,$BH152:$BR152,0),0)</f>
        <v>0</v>
      </c>
      <c r="HW152" s="26">
        <f>IF(HW$2=InputTable[[#This Row],[Delivery Date]],_xlfn.XLOOKUP(HW$1,$BH$2:$BR$2,$BH152:$BR152,0),0)</f>
        <v>0</v>
      </c>
      <c r="HX152" s="26">
        <f>IF(HX$2=InputTable[[#This Row],[Delivery Date]],_xlfn.XLOOKUP(HX$1,$BH$2:$BR$2,$BH152:$BR152,0),0)</f>
        <v>0</v>
      </c>
      <c r="HZ152" s="26" t="e">
        <f>IF(HZ$2=InputTable[[#This Row],[Delivery Date]],_xlfn.XLOOKUP(HZ$1,$BH$2:$BR$2,$BH152:$BR152,0),0)</f>
        <v>#REF!</v>
      </c>
      <c r="IA152" s="26">
        <f>IF(IA$2=InputTable[[#This Row],[Delivery Date]],_xlfn.XLOOKUP(IA$1,$BH$2:$BR$2,$BH152:$BR152,0),0)</f>
        <v>0</v>
      </c>
      <c r="IB152" s="26">
        <f>IF(IB$2=InputTable[[#This Row],[Delivery Date]],_xlfn.XLOOKUP(IB$1,$BH$2:$BR$2,$BH152:$BR152,0),0)</f>
        <v>0</v>
      </c>
      <c r="IC152" s="26">
        <f>IF(IC$2=InputTable[[#This Row],[Delivery Date]],_xlfn.XLOOKUP(IC$1,$BH$2:$BR$2,$BH152:$BR152,0),0)</f>
        <v>0</v>
      </c>
      <c r="ID152" s="26">
        <f>IF(ID$2=InputTable[[#This Row],[Delivery Date]],_xlfn.XLOOKUP(ID$1,$BH$2:$BR$2,$BH152:$BR152,0),0)</f>
        <v>0</v>
      </c>
      <c r="IE152" s="26">
        <f>IF(IE$2=InputTable[[#This Row],[Delivery Date]],_xlfn.XLOOKUP(IE$1,$BH$2:$BR$2,$BH152:$BR152,0),0)</f>
        <v>0</v>
      </c>
      <c r="IF152" s="26">
        <f>IF(IF$2=InputTable[[#This Row],[Delivery Date]],_xlfn.XLOOKUP(IF$1,$BH$2:$BR$2,$BH152:$BR152,0),0)</f>
        <v>0</v>
      </c>
      <c r="IG152" s="26">
        <f>IF(IG$2=InputTable[[#This Row],[Delivery Date]],_xlfn.XLOOKUP(IG$1,$BH$2:$BR$2,$BH152:$BR152,0),0)</f>
        <v>0</v>
      </c>
      <c r="IH152" s="26">
        <f>IF(IH$2=InputTable[[#This Row],[Delivery Date]],_xlfn.XLOOKUP(IH$1,$BH$2:$BR$2,$BH152:$BR152,0),0)</f>
        <v>0</v>
      </c>
      <c r="IJ152" s="26" t="e">
        <f>IF(IJ$2=InputTable[[#This Row],[Delivery Date]],_xlfn.XLOOKUP(IJ$1,$BH$2:$BR$2,$BH152:$BR152,0),0)</f>
        <v>#REF!</v>
      </c>
      <c r="IK152" s="26">
        <f>IF(IK$2=InputTable[[#This Row],[Delivery Date]],_xlfn.XLOOKUP(IK$1,$BH$2:$BR$2,$BH152:$BR152,0),0)</f>
        <v>0</v>
      </c>
      <c r="IL152" s="26">
        <f>IF(IL$2=InputTable[[#This Row],[Delivery Date]],_xlfn.XLOOKUP(IL$1,$BH$2:$BR$2,$BH152:$BR152,0),0)</f>
        <v>0</v>
      </c>
      <c r="IM152" s="26">
        <f>IF(IM$2=InputTable[[#This Row],[Delivery Date]],_xlfn.XLOOKUP(IM$1,$BH$2:$BR$2,$BH152:$BR152,0),0)</f>
        <v>0</v>
      </c>
      <c r="IN152" s="26">
        <f>IF(IN$2=InputTable[[#This Row],[Delivery Date]],_xlfn.XLOOKUP(IN$1,$BH$2:$BR$2,$BH152:$BR152,0),0)</f>
        <v>0</v>
      </c>
      <c r="IO152" s="26">
        <f>IF(IO$2=InputTable[[#This Row],[Delivery Date]],_xlfn.XLOOKUP(IO$1,$BH$2:$BR$2,$BH152:$BR152,0),0)</f>
        <v>0</v>
      </c>
      <c r="IP152" s="26">
        <f>IF(IP$2=InputTable[[#This Row],[Delivery Date]],_xlfn.XLOOKUP(IP$1,$BH$2:$BR$2,$BH152:$BR152,0),0)</f>
        <v>0</v>
      </c>
      <c r="IQ152" s="26">
        <f>IF(IQ$2=InputTable[[#This Row],[Delivery Date]],_xlfn.XLOOKUP(IQ$1,$BH$2:$BR$2,$BH152:$BR152,0),0)</f>
        <v>0</v>
      </c>
      <c r="IR152" s="26">
        <f>IF(IR$2=InputTable[[#This Row],[Delivery Date]],_xlfn.XLOOKUP(IR$1,$BH$2:$BR$2,$BH152:$BR152,0),0)</f>
        <v>0</v>
      </c>
      <c r="IT152" s="26" t="e">
        <f>IF(IT$2=InputTable[[#This Row],[Delivery Date]],_xlfn.XLOOKUP(IT$1,$BH$2:$BR$2,$BH152:$BR152,0),0)</f>
        <v>#REF!</v>
      </c>
      <c r="IU152" s="26">
        <f>IF(IU$2=InputTable[[#This Row],[Delivery Date]],_xlfn.XLOOKUP(IU$1,$BH$2:$BR$2,$BH152:$BR152,0),0)</f>
        <v>0</v>
      </c>
      <c r="IV152" s="26">
        <f>IF(IV$2=InputTable[[#This Row],[Delivery Date]],_xlfn.XLOOKUP(IV$1,$BH$2:$BR$2,$BH152:$BR152,0),0)</f>
        <v>0</v>
      </c>
      <c r="IW152" s="26">
        <f>IF(IW$2=InputTable[[#This Row],[Delivery Date]],_xlfn.XLOOKUP(IW$1,$BH$2:$BR$2,$BH152:$BR152,0),0)</f>
        <v>0</v>
      </c>
      <c r="IX152" s="26">
        <f>IF(IX$2=InputTable[[#This Row],[Delivery Date]],_xlfn.XLOOKUP(IX$1,$BH$2:$BR$2,$BH152:$BR152,0),0)</f>
        <v>0</v>
      </c>
      <c r="IY152" s="26">
        <f>IF(IY$2=InputTable[[#This Row],[Delivery Date]],_xlfn.XLOOKUP(IY$1,$BH$2:$BR$2,$BH152:$BR152,0),0)</f>
        <v>0</v>
      </c>
      <c r="IZ152" s="26">
        <f>IF(IZ$2=InputTable[[#This Row],[Delivery Date]],_xlfn.XLOOKUP(IZ$1,$BH$2:$BR$2,$BH152:$BR152,0),0)</f>
        <v>0</v>
      </c>
      <c r="JA152" s="26">
        <f>IF(JA$2=InputTable[[#This Row],[Delivery Date]],_xlfn.XLOOKUP(JA$1,$BH$2:$BR$2,$BH152:$BR152,0),0)</f>
        <v>0</v>
      </c>
      <c r="JB152" s="26">
        <f>IF(JB$2=InputTable[[#This Row],[Delivery Date]],_xlfn.XLOOKUP(JB$1,$BH$2:$BR$2,$BH152:$BR152,0),0)</f>
        <v>0</v>
      </c>
      <c r="JD152" s="26" t="e">
        <f>IF(JD$2=InputTable[[#This Row],[Delivery Date]],_xlfn.XLOOKUP(JD$1,$BH$2:$BR$2,$BH152:$BR152,0),0)</f>
        <v>#REF!</v>
      </c>
      <c r="JE152" s="26">
        <f>IF(JE$2=InputTable[[#This Row],[Delivery Date]],_xlfn.XLOOKUP(JE$1,$BH$2:$BR$2,$BH152:$BR152,0),0)</f>
        <v>0</v>
      </c>
      <c r="JF152" s="26">
        <f>IF(JF$2=InputTable[[#This Row],[Delivery Date]],_xlfn.XLOOKUP(JF$1,$BH$2:$BR$2,$BH152:$BR152,0),0)</f>
        <v>0</v>
      </c>
      <c r="JG152" s="26">
        <f>IF(JG$2=InputTable[[#This Row],[Delivery Date]],_xlfn.XLOOKUP(JG$1,$BH$2:$BR$2,$BH152:$BR152,0),0)</f>
        <v>0</v>
      </c>
      <c r="JH152" s="26">
        <f>IF(JH$2=InputTable[[#This Row],[Delivery Date]],_xlfn.XLOOKUP(JH$1,$BH$2:$BR$2,$BH152:$BR152,0),0)</f>
        <v>0</v>
      </c>
      <c r="JI152" s="26">
        <f>IF(JI$2=InputTable[[#This Row],[Delivery Date]],_xlfn.XLOOKUP(JI$1,$BH$2:$BR$2,$BH152:$BR152,0),0)</f>
        <v>0</v>
      </c>
      <c r="JJ152" s="26">
        <f>IF(JJ$2=InputTable[[#This Row],[Delivery Date]],_xlfn.XLOOKUP(JJ$1,$BH$2:$BR$2,$BH152:$BR152,0),0)</f>
        <v>0</v>
      </c>
      <c r="JK152" s="26">
        <f>IF(JK$2=InputTable[[#This Row],[Delivery Date]],_xlfn.XLOOKUP(JK$1,$BH$2:$BR$2,$BH152:$BR152,0),0)</f>
        <v>0</v>
      </c>
      <c r="JL152" s="26">
        <f>IF(JL$2=InputTable[[#This Row],[Delivery Date]],_xlfn.XLOOKUP(JL$1,$BH$2:$BR$2,$BH152:$BR152,0),0)</f>
        <v>0</v>
      </c>
      <c r="JN152" s="26" t="e">
        <f>IF(JN$2=InputTable[[#This Row],[Delivery Date]],_xlfn.XLOOKUP(JN$1,$BH$2:$BR$2,$BH152:$BR152,0),0)</f>
        <v>#REF!</v>
      </c>
      <c r="JO152" s="26">
        <f>IF(JO$2=InputTable[[#This Row],[Delivery Date]],_xlfn.XLOOKUP(JO$1,$BH$2:$BR$2,$BH152:$BR152,0),0)</f>
        <v>0</v>
      </c>
      <c r="JP152" s="26">
        <f>IF(JP$2=InputTable[[#This Row],[Delivery Date]],_xlfn.XLOOKUP(JP$1,$BH$2:$BR$2,$BH152:$BR152,0),0)</f>
        <v>0</v>
      </c>
      <c r="JQ152" s="26">
        <f>IF(JQ$2=InputTable[[#This Row],[Delivery Date]],_xlfn.XLOOKUP(JQ$1,$BH$2:$BR$2,$BH152:$BR152,0),0)</f>
        <v>0</v>
      </c>
      <c r="JR152" s="26">
        <f>IF(JR$2=InputTable[[#This Row],[Delivery Date]],_xlfn.XLOOKUP(JR$1,$BH$2:$BR$2,$BH152:$BR152,0),0)</f>
        <v>0</v>
      </c>
      <c r="JS152" s="26">
        <f>IF(JS$2=InputTable[[#This Row],[Delivery Date]],_xlfn.XLOOKUP(JS$1,$BH$2:$BR$2,$BH152:$BR152,0),0)</f>
        <v>0</v>
      </c>
      <c r="JT152" s="26">
        <f>IF(JT$2=InputTable[[#This Row],[Delivery Date]],_xlfn.XLOOKUP(JT$1,$BH$2:$BR$2,$BH152:$BR152,0),0)</f>
        <v>0</v>
      </c>
      <c r="JU152" s="26">
        <f>IF(JU$2=InputTable[[#This Row],[Delivery Date]],_xlfn.XLOOKUP(JU$1,$BH$2:$BR$2,$BH152:$BR152,0),0)</f>
        <v>0</v>
      </c>
      <c r="JV152" s="26">
        <f>IF(JV$2=InputTable[[#This Row],[Delivery Date]],_xlfn.XLOOKUP(JV$1,$BH$2:$BR$2,$BH152:$BR152,0),0)</f>
        <v>0</v>
      </c>
      <c r="JX152" s="26" t="e">
        <f>IF(JX$2=InputTable[[#This Row],[Delivery Date]],_xlfn.XLOOKUP(JX$1,$BH$2:$BR$2,$BH152:$BR152,0),0)</f>
        <v>#REF!</v>
      </c>
      <c r="JY152" s="26">
        <f>IF(JY$2=InputTable[[#This Row],[Delivery Date]],_xlfn.XLOOKUP(JY$1,$BH$2:$BR$2,$BH152:$BR152,0),0)</f>
        <v>0</v>
      </c>
      <c r="JZ152" s="26">
        <f>IF(JZ$2=InputTable[[#This Row],[Delivery Date]],_xlfn.XLOOKUP(JZ$1,$BH$2:$BR$2,$BH152:$BR152,0),0)</f>
        <v>0</v>
      </c>
      <c r="KA152" s="26">
        <f>IF(KA$2=InputTable[[#This Row],[Delivery Date]],_xlfn.XLOOKUP(KA$1,$BH$2:$BR$2,$BH152:$BR152,0),0)</f>
        <v>0</v>
      </c>
      <c r="KB152" s="26">
        <f>IF(KB$2=InputTable[[#This Row],[Delivery Date]],_xlfn.XLOOKUP(KB$1,$BH$2:$BR$2,$BH152:$BR152,0),0)</f>
        <v>0</v>
      </c>
      <c r="KC152" s="26">
        <f>IF(KC$2=InputTable[[#This Row],[Delivery Date]],_xlfn.XLOOKUP(KC$1,$BH$2:$BR$2,$BH152:$BR152,0),0)</f>
        <v>0</v>
      </c>
      <c r="KD152" s="26">
        <f>IF(KD$2=InputTable[[#This Row],[Delivery Date]],_xlfn.XLOOKUP(KD$1,$BH$2:$BR$2,$BH152:$BR152,0),0)</f>
        <v>0</v>
      </c>
      <c r="KE152" s="26">
        <f>IF(KE$2=InputTable[[#This Row],[Delivery Date]],_xlfn.XLOOKUP(KE$1,$BH$2:$BR$2,$BH152:$BR152,0),0)</f>
        <v>0</v>
      </c>
      <c r="KF152" s="26">
        <f>IF(KF$2=InputTable[[#This Row],[Delivery Date]],_xlfn.XLOOKUP(KF$1,$BH$2:$BR$2,$BH152:$BR152,0),0)</f>
        <v>0</v>
      </c>
    </row>
    <row r="153" spans="1:292" ht="34.799999999999997" x14ac:dyDescent="0.25">
      <c r="A153" s="141"/>
      <c r="B153" s="119"/>
      <c r="C153" s="92"/>
      <c r="D153" s="92"/>
      <c r="E153" s="93"/>
      <c r="F153" s="92"/>
      <c r="G153" s="92"/>
      <c r="H153" s="92"/>
      <c r="I153" s="92"/>
      <c r="J153" s="18"/>
      <c r="K153" s="95" t="e">
        <f>VLOOKUP((InputTable[[#This Row],[Starting Date]]&amp; " - " &amp;InputTable[[#This Row],[Delivery Date]]),'System List'!$F$40:$H$83,2,FALSE)</f>
        <v>#N/A</v>
      </c>
      <c r="L153" s="95" t="e">
        <f>VLOOKUP(InputTable[[#This Row],[Duration]],Duration,2,FALSE)</f>
        <v>#N/A</v>
      </c>
      <c r="M153" s="18"/>
      <c r="N153" s="92"/>
      <c r="O153" s="92"/>
      <c r="P153" s="92"/>
      <c r="Q153" s="92"/>
      <c r="R153" s="92"/>
      <c r="S153" s="92"/>
      <c r="T153" s="95"/>
      <c r="U153" s="138"/>
      <c r="V153" s="92"/>
      <c r="W153" s="92"/>
      <c r="X153" s="92"/>
      <c r="Y153" s="92"/>
      <c r="Z153" s="92"/>
      <c r="AA153" s="92"/>
      <c r="AB153" s="92"/>
      <c r="AC153" s="92"/>
      <c r="AD153" s="92">
        <f>COUNTA(InputTable[[#This Row],[CORPHRFIN]:[SALES]])</f>
        <v>0</v>
      </c>
      <c r="AE153" s="88" cm="1">
        <f t="array" ref="AE153">SUM(
_xlfn.XLOOKUP(InputTable[[#This Row],[CORPHRFIN]:[SALES]],'System List'!$F$4:$F$7,'System List'!$H$4:$H$7,0))</f>
        <v>0</v>
      </c>
      <c r="AF153" s="140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88" cm="1">
        <f t="array" ref="AR153">SUM(
_xlfn.XLOOKUP(InputTable[[#This Row],[Impact on - CIAL]:[Impact on - STRAT]],'System List'!$F$4:$F$7,'System List'!$H$4:$H$7,0))</f>
        <v>0</v>
      </c>
      <c r="AS153" s="88" t="e">
        <f>VLOOKUP(InputTable[[#This Row],[Duration]],Duration,2,FALSE)+InputTable[[#This Row],[Resource Score]]</f>
        <v>#N/A</v>
      </c>
      <c r="AT15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3" s="24" t="e">
        <f>InputTable[[#This Row],[Value Score]]/InputTable[[#This Row],[EFFORT SCORE]]*100</f>
        <v>#N/A</v>
      </c>
      <c r="AV153" s="25" t="s">
        <v>444</v>
      </c>
      <c r="AW153" s="25"/>
      <c r="AX153" s="208"/>
      <c r="AY153" s="25"/>
      <c r="AZ153" s="209">
        <v>0</v>
      </c>
      <c r="BA153" s="209">
        <v>0</v>
      </c>
      <c r="BB153" s="209"/>
      <c r="BC153" s="189"/>
      <c r="BD153" s="188"/>
      <c r="BE153" s="188"/>
      <c r="BF153" s="70"/>
      <c r="BH153" s="2">
        <f>IFERROR(VLOOKUP(InputTable[[#This Row],[Impact on - CIAL]],'System List'!$F$4:$H$7,3,FALSE),0)</f>
        <v>0</v>
      </c>
      <c r="BI153" s="2">
        <f>IFERROR(VLOOKUP(InputTable[[#This Row],[Impact on - COM]],'System List'!$F$4:$H$7,3,FALSE),0)</f>
        <v>0</v>
      </c>
      <c r="BJ153" s="2">
        <f>IFERROR(VLOOKUP(InputTable[[#This Row],[Impact on - FIN]],'System List'!$F$4:$H$7,3,FALSE),0)</f>
        <v>0</v>
      </c>
      <c r="BK153" s="2">
        <f>IFERROR(VLOOKUP(InputTable[[#This Row],[Impact on - GEN SEC]],'System List'!$F$4:$H$7,3,FALSE),0)</f>
        <v>0</v>
      </c>
      <c r="BL153" s="2">
        <f>IFERROR(VLOOKUP(InputTable[[#This Row],[Impact on - HR]],'System List'!$F$4:$H$7,3,FALSE),0)</f>
        <v>0</v>
      </c>
      <c r="BM153" s="2">
        <f>IFERROR(VLOOKUP(InputTable[[#This Row],[Impact on - IS]],'System List'!$F$4:$H$7,3,FALSE),0)</f>
        <v>0</v>
      </c>
      <c r="BN153" s="2">
        <f>IFERROR(VLOOKUP(InputTable[[#This Row],[Impact on - OPS]],'System List'!$F$4:$H$7,3,FALSE),0)</f>
        <v>0</v>
      </c>
      <c r="BO153" s="2">
        <f>IFERROR(VLOOKUP(InputTable[[#This Row],[Impact on - ROLL STOCK]],'System List'!$F$4:$H$7,3,FALSE),0)</f>
        <v>0</v>
      </c>
      <c r="BP153" s="2">
        <f>IFERROR(VLOOKUP(InputTable[[#This Row],[Impact on - SAFETY]],'System List'!$F$4:$H$7,3,FALSE),0)</f>
        <v>0</v>
      </c>
      <c r="BQ153" s="2">
        <f>IFERROR(VLOOKUP(InputTable[[#This Row],[Impact on - STATION]],'System List'!$F$4:$H$7,3,FALSE),0)</f>
        <v>0</v>
      </c>
      <c r="BR153" s="2">
        <f>IFERROR(VLOOKUP(InputTable[[#This Row],[Impact on - STRAT]],'System List'!$F$4:$H$7,3,FALSE),0)</f>
        <v>0</v>
      </c>
      <c r="BT153" s="2">
        <f>IFERROR(VLOOKUP(InputTable[[#This Row],[CORPHRFIN]],'System List'!$F$4:$H$7,3,FALSE),0)</f>
        <v>0</v>
      </c>
      <c r="BU153" s="2">
        <f>IFERROR(VLOOKUP(InputTable[[#This Row],[CUST]],'System List'!$F$4:$H$7,3,FALSE),0)</f>
        <v>0</v>
      </c>
      <c r="BV153" s="2">
        <f>IFERROR(VLOOKUP(InputTable[[#This Row],[CYBER]],'System List'!$F$4:$H$7,3,FALSE),0)</f>
        <v>0</v>
      </c>
      <c r="BW153" s="2">
        <f>IFERROR(VLOOKUP(InputTable[[#This Row],[DATA]],'System List'!$F$4:$H$7,3,FALSE),0)</f>
        <v>0</v>
      </c>
      <c r="BX153" s="2">
        <f>IFERROR(VLOOKUP(InputTable[[#This Row],[INFRA]],'System List'!$F$4:$H$7,3,FALSE),0)</f>
        <v>0</v>
      </c>
      <c r="BY153" s="2">
        <f>IFERROR(VLOOKUP(InputTable[[#This Row],[OPERATIONS]],'System List'!$F$4:$H$7,3,FALSE),0)</f>
        <v>0</v>
      </c>
      <c r="BZ153" s="2">
        <f>IFERROR(VLOOKUP(InputTable[[#This Row],[PMO]],'System List'!$F$4:$H$7,3,FALSE),0)</f>
        <v>0</v>
      </c>
      <c r="CA153" s="2">
        <f>IFERROR(VLOOKUP(InputTable[[#This Row],[SALES]],'System List'!$F$4:$H$7,3,FALSE),0)</f>
        <v>0</v>
      </c>
      <c r="CC153" s="2" cm="1">
        <f t="array" ref="CC15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3" s="2" cm="1">
        <f t="array" ref="CD15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3" s="2" cm="1">
        <f t="array" ref="CE15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3" s="2" cm="1">
        <f t="array" ref="CF15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3" s="2" cm="1">
        <f t="array" ref="CG15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3" s="2" cm="1">
        <f t="array" ref="CH15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3" s="2" cm="1">
        <f t="array" ref="CI15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3" s="2" cm="1">
        <f t="array" ref="CJ15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3" s="2" cm="1">
        <f t="array" ref="CK15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3" s="26">
        <f t="shared" si="379"/>
        <v>0</v>
      </c>
      <c r="CY153" s="26">
        <f t="shared" si="380"/>
        <v>0</v>
      </c>
      <c r="CZ153" s="26">
        <f t="shared" si="381"/>
        <v>0</v>
      </c>
      <c r="DA153" s="26">
        <f t="shared" si="382"/>
        <v>0</v>
      </c>
      <c r="DB153" s="26">
        <f t="shared" si="383"/>
        <v>0</v>
      </c>
      <c r="DC153" s="26">
        <f t="shared" si="384"/>
        <v>0</v>
      </c>
      <c r="DD153" s="26">
        <f t="shared" si="385"/>
        <v>0</v>
      </c>
      <c r="DE153" s="26">
        <f t="shared" si="386"/>
        <v>0</v>
      </c>
      <c r="DF153" s="26">
        <f t="shared" si="387"/>
        <v>0</v>
      </c>
      <c r="DH153" s="26">
        <f t="shared" si="388"/>
        <v>0</v>
      </c>
      <c r="DI153" s="26">
        <f t="shared" si="389"/>
        <v>0</v>
      </c>
      <c r="DJ153" s="26">
        <f t="shared" si="390"/>
        <v>0</v>
      </c>
      <c r="DK153" s="26">
        <f t="shared" si="391"/>
        <v>0</v>
      </c>
      <c r="DL153" s="26">
        <f t="shared" si="392"/>
        <v>0</v>
      </c>
      <c r="DM153" s="26">
        <f t="shared" si="393"/>
        <v>0</v>
      </c>
      <c r="DN153" s="26">
        <f t="shared" si="394"/>
        <v>0</v>
      </c>
      <c r="DO153" s="26">
        <f t="shared" si="395"/>
        <v>0</v>
      </c>
      <c r="DP153" s="26">
        <f t="shared" si="396"/>
        <v>0</v>
      </c>
      <c r="DR153" s="26">
        <f t="shared" si="397"/>
        <v>0</v>
      </c>
      <c r="DS153" s="26">
        <f t="shared" si="398"/>
        <v>0</v>
      </c>
      <c r="DT153" s="26">
        <f t="shared" si="399"/>
        <v>0</v>
      </c>
      <c r="DU153" s="26">
        <f t="shared" si="400"/>
        <v>0</v>
      </c>
      <c r="DV153" s="26">
        <f t="shared" si="401"/>
        <v>0</v>
      </c>
      <c r="DW153" s="26">
        <f t="shared" si="402"/>
        <v>0</v>
      </c>
      <c r="DX153" s="26">
        <f t="shared" si="403"/>
        <v>0</v>
      </c>
      <c r="DY153" s="26">
        <f t="shared" si="404"/>
        <v>0</v>
      </c>
      <c r="DZ153" s="26">
        <f t="shared" si="405"/>
        <v>0</v>
      </c>
      <c r="EB153" s="26">
        <f t="shared" si="406"/>
        <v>0</v>
      </c>
      <c r="EC153" s="26">
        <f t="shared" si="407"/>
        <v>0</v>
      </c>
      <c r="ED153" s="26">
        <f t="shared" si="408"/>
        <v>0</v>
      </c>
      <c r="EE153" s="26">
        <f t="shared" si="409"/>
        <v>0</v>
      </c>
      <c r="EF153" s="26">
        <f t="shared" si="410"/>
        <v>0</v>
      </c>
      <c r="EG153" s="26">
        <f t="shared" si="411"/>
        <v>0</v>
      </c>
      <c r="EH153" s="26">
        <f t="shared" si="412"/>
        <v>0</v>
      </c>
      <c r="EI153" s="26">
        <f t="shared" si="413"/>
        <v>0</v>
      </c>
      <c r="EJ153" s="26">
        <f t="shared" si="414"/>
        <v>0</v>
      </c>
      <c r="EL153" s="26">
        <f t="shared" si="415"/>
        <v>0</v>
      </c>
      <c r="EM153" s="26">
        <f t="shared" si="416"/>
        <v>0</v>
      </c>
      <c r="EN153" s="26">
        <f t="shared" si="417"/>
        <v>0</v>
      </c>
      <c r="EO153" s="26">
        <f t="shared" si="418"/>
        <v>0</v>
      </c>
      <c r="EP153" s="26">
        <f t="shared" si="419"/>
        <v>0</v>
      </c>
      <c r="EQ153" s="26">
        <f t="shared" si="420"/>
        <v>0</v>
      </c>
      <c r="ER153" s="26">
        <f t="shared" si="421"/>
        <v>0</v>
      </c>
      <c r="ES153" s="26">
        <f t="shared" si="422"/>
        <v>0</v>
      </c>
      <c r="ET153" s="26">
        <f t="shared" si="423"/>
        <v>0</v>
      </c>
      <c r="EV153" s="26">
        <f t="shared" si="424"/>
        <v>0</v>
      </c>
      <c r="EW153" s="26">
        <f t="shared" si="425"/>
        <v>0</v>
      </c>
      <c r="EX153" s="26">
        <f t="shared" si="426"/>
        <v>0</v>
      </c>
      <c r="EY153" s="26">
        <f t="shared" si="427"/>
        <v>0</v>
      </c>
      <c r="EZ153" s="26">
        <f t="shared" si="428"/>
        <v>0</v>
      </c>
      <c r="FA153" s="26">
        <f t="shared" si="429"/>
        <v>0</v>
      </c>
      <c r="FB153" s="26">
        <f t="shared" si="430"/>
        <v>0</v>
      </c>
      <c r="FC153" s="26">
        <f t="shared" si="431"/>
        <v>0</v>
      </c>
      <c r="FD153" s="26">
        <f t="shared" si="432"/>
        <v>0</v>
      </c>
      <c r="FF153" s="26">
        <f t="shared" si="433"/>
        <v>0</v>
      </c>
      <c r="FG153" s="26">
        <f t="shared" si="434"/>
        <v>0</v>
      </c>
      <c r="FH153" s="26">
        <f t="shared" si="435"/>
        <v>0</v>
      </c>
      <c r="FI153" s="26">
        <f t="shared" si="436"/>
        <v>0</v>
      </c>
      <c r="FJ153" s="26">
        <f t="shared" si="437"/>
        <v>0</v>
      </c>
      <c r="FK153" s="26">
        <f t="shared" si="438"/>
        <v>0</v>
      </c>
      <c r="FL153" s="26">
        <f t="shared" si="439"/>
        <v>0</v>
      </c>
      <c r="FM153" s="26">
        <f t="shared" si="440"/>
        <v>0</v>
      </c>
      <c r="FN153" s="26">
        <f t="shared" si="441"/>
        <v>0</v>
      </c>
      <c r="FP153" s="26" t="e">
        <f t="shared" si="442"/>
        <v>#REF!</v>
      </c>
      <c r="FQ153" s="26" t="e">
        <f t="shared" si="443"/>
        <v>#REF!</v>
      </c>
      <c r="FR153" s="26" t="e">
        <f t="shared" si="444"/>
        <v>#REF!</v>
      </c>
      <c r="FS153" s="26" t="e">
        <f t="shared" si="445"/>
        <v>#REF!</v>
      </c>
      <c r="FT153" s="26" t="e">
        <f t="shared" si="446"/>
        <v>#REF!</v>
      </c>
      <c r="FU153" s="26" t="e">
        <f t="shared" si="447"/>
        <v>#REF!</v>
      </c>
      <c r="FV153" s="26" t="e">
        <f t="shared" si="448"/>
        <v>#REF!</v>
      </c>
      <c r="FW153" s="26" t="e">
        <f t="shared" si="449"/>
        <v>#REF!</v>
      </c>
      <c r="FX153" s="26" t="e">
        <f t="shared" si="450"/>
        <v>#REF!</v>
      </c>
      <c r="GB153" s="26" t="e">
        <f>IF(GB$2=InputTable[[#This Row],[Delivery Date]],_xlfn.XLOOKUP(GB$1,$BH$2:$BR$2,$BH153:$BR153,0),0)</f>
        <v>#REF!</v>
      </c>
      <c r="GC153" s="26">
        <f>IF(GC$2=InputTable[[#This Row],[Delivery Date]],_xlfn.XLOOKUP(GC$1,$BH$2:$BR$2,$BH153:$BR153,0),0)</f>
        <v>0</v>
      </c>
      <c r="GD153" s="26">
        <f>IF(GD$2=InputTable[[#This Row],[Delivery Date]],_xlfn.XLOOKUP(GD$1,$BH$2:$BR$2,$BH153:$BR153,0),0)</f>
        <v>0</v>
      </c>
      <c r="GE153" s="26">
        <f>IF(GE$2=InputTable[[#This Row],[Delivery Date]],_xlfn.XLOOKUP(GE$1,$BH$2:$BR$2,$BH153:$BR153,0),0)</f>
        <v>0</v>
      </c>
      <c r="GF153" s="26">
        <f>IF(GF$2=InputTable[[#This Row],[Delivery Date]],_xlfn.XLOOKUP(GF$1,$BH$2:$BR$2,$BH153:$BR153,0),0)</f>
        <v>0</v>
      </c>
      <c r="GG153" s="26">
        <f>IF(GG$2=InputTable[[#This Row],[Delivery Date]],_xlfn.XLOOKUP(GG$1,$BH$2:$BR$2,$BH153:$BR153,0),0)</f>
        <v>0</v>
      </c>
      <c r="GH153" s="26">
        <f>IF(GH$2=InputTable[[#This Row],[Delivery Date]],_xlfn.XLOOKUP(GH$1,$BH$2:$BR$2,$BH153:$BR153,0),0)</f>
        <v>0</v>
      </c>
      <c r="GI153" s="26">
        <f>IF(GI$2=InputTable[[#This Row],[Delivery Date]],_xlfn.XLOOKUP(GI$1,$BH$2:$BR$2,$BH153:$BR153,0),0)</f>
        <v>0</v>
      </c>
      <c r="GJ153" s="26">
        <f>IF(GJ$2=InputTable[[#This Row],[Delivery Date]],_xlfn.XLOOKUP(GJ$1,$BH$2:$BR$2,$BH153:$BR153,0),0)</f>
        <v>0</v>
      </c>
      <c r="GL153" s="26" t="e">
        <f>IF(GL$2=InputTable[[#This Row],[Delivery Date]],_xlfn.XLOOKUP(GL$1,$BH$2:$BR$2,$BH153:$BR153,0),0)</f>
        <v>#REF!</v>
      </c>
      <c r="GM153" s="26">
        <f>IF(GM$2=InputTable[[#This Row],[Delivery Date]],_xlfn.XLOOKUP(GM$1,$BH$2:$BR$2,$BH153:$BR153,0),0)</f>
        <v>0</v>
      </c>
      <c r="GN153" s="26">
        <f>IF(GN$2=InputTable[[#This Row],[Delivery Date]],_xlfn.XLOOKUP(GN$1,$BH$2:$BR$2,$BH153:$BR153,0),0)</f>
        <v>0</v>
      </c>
      <c r="GO153" s="26">
        <f>IF(GO$2=InputTable[[#This Row],[Delivery Date]],_xlfn.XLOOKUP(GO$1,$BH$2:$BR$2,$BH153:$BR153,0),0)</f>
        <v>0</v>
      </c>
      <c r="GP153" s="26">
        <f>IF(GP$2=InputTable[[#This Row],[Delivery Date]],_xlfn.XLOOKUP(GP$1,$BH$2:$BR$2,$BH153:$BR153,0),0)</f>
        <v>0</v>
      </c>
      <c r="GQ153" s="26">
        <f>IF(GQ$2=InputTable[[#This Row],[Delivery Date]],_xlfn.XLOOKUP(GQ$1,$BH$2:$BR$2,$BH153:$BR153,0),0)</f>
        <v>0</v>
      </c>
      <c r="GR153" s="26">
        <f>IF(GR$2=InputTable[[#This Row],[Delivery Date]],_xlfn.XLOOKUP(GR$1,$BH$2:$BR$2,$BH153:$BR153,0),0)</f>
        <v>0</v>
      </c>
      <c r="GS153" s="26">
        <f>IF(GS$2=InputTable[[#This Row],[Delivery Date]],_xlfn.XLOOKUP(GS$1,$BH$2:$BR$2,$BH153:$BR153,0),0)</f>
        <v>0</v>
      </c>
      <c r="GT153" s="26">
        <f>IF(GT$2=InputTable[[#This Row],[Delivery Date]],_xlfn.XLOOKUP(GT$1,$BH$2:$BR$2,$BH153:$BR153,0),0)</f>
        <v>0</v>
      </c>
      <c r="GV153" s="26" t="e">
        <f>IF(GV$2=InputTable[[#This Row],[Delivery Date]],_xlfn.XLOOKUP(GV$1,$BH$2:$BR$2,$BH153:$BR153,0),0)</f>
        <v>#REF!</v>
      </c>
      <c r="GW153" s="26">
        <f>IF(GW$2=InputTable[[#This Row],[Delivery Date]],_xlfn.XLOOKUP(GW$1,$BH$2:$BR$2,$BH153:$BR153,0),0)</f>
        <v>0</v>
      </c>
      <c r="GX153" s="26">
        <f>IF(GX$2=InputTable[[#This Row],[Delivery Date]],_xlfn.XLOOKUP(GX$1,$BH$2:$BR$2,$BH153:$BR153,0),0)</f>
        <v>0</v>
      </c>
      <c r="GY153" s="26">
        <f>IF(GY$2=InputTable[[#This Row],[Delivery Date]],_xlfn.XLOOKUP(GY$1,$BH$2:$BR$2,$BH153:$BR153,0),0)</f>
        <v>0</v>
      </c>
      <c r="GZ153" s="26">
        <f>IF(GZ$2=InputTable[[#This Row],[Delivery Date]],_xlfn.XLOOKUP(GZ$1,$BH$2:$BR$2,$BH153:$BR153,0),0)</f>
        <v>0</v>
      </c>
      <c r="HA153" s="26">
        <f>IF(HA$2=InputTable[[#This Row],[Delivery Date]],_xlfn.XLOOKUP(HA$1,$BH$2:$BR$2,$BH153:$BR153,0),0)</f>
        <v>0</v>
      </c>
      <c r="HB153" s="26">
        <f>IF(HB$2=InputTable[[#This Row],[Delivery Date]],_xlfn.XLOOKUP(HB$1,$BH$2:$BR$2,$BH153:$BR153,0),0)</f>
        <v>0</v>
      </c>
      <c r="HC153" s="26">
        <f>IF(HC$2=InputTable[[#This Row],[Delivery Date]],_xlfn.XLOOKUP(HC$1,$BH$2:$BR$2,$BH153:$BR153,0),0)</f>
        <v>0</v>
      </c>
      <c r="HD153" s="26">
        <f>IF(HD$2=InputTable[[#This Row],[Delivery Date]],_xlfn.XLOOKUP(HD$1,$BH$2:$BR$2,$BH153:$BR153,0),0)</f>
        <v>0</v>
      </c>
      <c r="HF153" s="26" t="e">
        <f>IF(HF$2=InputTable[[#This Row],[Delivery Date]],_xlfn.XLOOKUP(HF$1,$BH$2:$BR$2,$BH153:$BR153,0),0)</f>
        <v>#REF!</v>
      </c>
      <c r="HG153" s="26">
        <f>IF(HG$2=InputTable[[#This Row],[Delivery Date]],_xlfn.XLOOKUP(HG$1,$BH$2:$BR$2,$BH153:$BR153,0),0)</f>
        <v>0</v>
      </c>
      <c r="HH153" s="26">
        <f>IF(HH$2=InputTable[[#This Row],[Delivery Date]],_xlfn.XLOOKUP(HH$1,$BH$2:$BR$2,$BH153:$BR153,0),0)</f>
        <v>0</v>
      </c>
      <c r="HI153" s="26">
        <f>IF(HI$2=InputTable[[#This Row],[Delivery Date]],_xlfn.XLOOKUP(HI$1,$BH$2:$BR$2,$BH153:$BR153,0),0)</f>
        <v>0</v>
      </c>
      <c r="HJ153" s="26">
        <f>IF(HJ$2=InputTable[[#This Row],[Delivery Date]],_xlfn.XLOOKUP(HJ$1,$BH$2:$BR$2,$BH153:$BR153,0),0)</f>
        <v>0</v>
      </c>
      <c r="HK153" s="26">
        <f>IF(HK$2=InputTable[[#This Row],[Delivery Date]],_xlfn.XLOOKUP(HK$1,$BH$2:$BR$2,$BH153:$BR153,0),0)</f>
        <v>0</v>
      </c>
      <c r="HL153" s="26">
        <f>IF(HL$2=InputTable[[#This Row],[Delivery Date]],_xlfn.XLOOKUP(HL$1,$BH$2:$BR$2,$BH153:$BR153,0),0)</f>
        <v>0</v>
      </c>
      <c r="HM153" s="26">
        <f>IF(HM$2=InputTable[[#This Row],[Delivery Date]],_xlfn.XLOOKUP(HM$1,$BH$2:$BR$2,$BH153:$BR153,0),0)</f>
        <v>0</v>
      </c>
      <c r="HN153" s="26">
        <f>IF(HN$2=InputTable[[#This Row],[Delivery Date]],_xlfn.XLOOKUP(HN$1,$BH$2:$BR$2,$BH153:$BR153,0),0)</f>
        <v>0</v>
      </c>
      <c r="HP153" s="26" t="e">
        <f>IF(HP$2=InputTable[[#This Row],[Delivery Date]],_xlfn.XLOOKUP(HP$1,$BH$2:$BR$2,$BH153:$BR153,0),0)</f>
        <v>#REF!</v>
      </c>
      <c r="HQ153" s="26">
        <f>IF(HQ$2=InputTable[[#This Row],[Delivery Date]],_xlfn.XLOOKUP(HQ$1,$BH$2:$BR$2,$BH153:$BR153,0),0)</f>
        <v>0</v>
      </c>
      <c r="HR153" s="26">
        <f>IF(HR$2=InputTable[[#This Row],[Delivery Date]],_xlfn.XLOOKUP(HR$1,$BH$2:$BR$2,$BH153:$BR153,0),0)</f>
        <v>0</v>
      </c>
      <c r="HS153" s="26">
        <f>IF(HS$2=InputTable[[#This Row],[Delivery Date]],_xlfn.XLOOKUP(HS$1,$BH$2:$BR$2,$BH153:$BR153,0),0)</f>
        <v>0</v>
      </c>
      <c r="HT153" s="26">
        <f>IF(HT$2=InputTable[[#This Row],[Delivery Date]],_xlfn.XLOOKUP(HT$1,$BH$2:$BR$2,$BH153:$BR153,0),0)</f>
        <v>0</v>
      </c>
      <c r="HU153" s="26">
        <f>IF(HU$2=InputTable[[#This Row],[Delivery Date]],_xlfn.XLOOKUP(HU$1,$BH$2:$BR$2,$BH153:$BR153,0),0)</f>
        <v>0</v>
      </c>
      <c r="HV153" s="26">
        <f>IF(HV$2=InputTable[[#This Row],[Delivery Date]],_xlfn.XLOOKUP(HV$1,$BH$2:$BR$2,$BH153:$BR153,0),0)</f>
        <v>0</v>
      </c>
      <c r="HW153" s="26">
        <f>IF(HW$2=InputTable[[#This Row],[Delivery Date]],_xlfn.XLOOKUP(HW$1,$BH$2:$BR$2,$BH153:$BR153,0),0)</f>
        <v>0</v>
      </c>
      <c r="HX153" s="26">
        <f>IF(HX$2=InputTable[[#This Row],[Delivery Date]],_xlfn.XLOOKUP(HX$1,$BH$2:$BR$2,$BH153:$BR153,0),0)</f>
        <v>0</v>
      </c>
      <c r="HZ153" s="26" t="e">
        <f>IF(HZ$2=InputTable[[#This Row],[Delivery Date]],_xlfn.XLOOKUP(HZ$1,$BH$2:$BR$2,$BH153:$BR153,0),0)</f>
        <v>#REF!</v>
      </c>
      <c r="IA153" s="26">
        <f>IF(IA$2=InputTable[[#This Row],[Delivery Date]],_xlfn.XLOOKUP(IA$1,$BH$2:$BR$2,$BH153:$BR153,0),0)</f>
        <v>0</v>
      </c>
      <c r="IB153" s="26">
        <f>IF(IB$2=InputTable[[#This Row],[Delivery Date]],_xlfn.XLOOKUP(IB$1,$BH$2:$BR$2,$BH153:$BR153,0),0)</f>
        <v>0</v>
      </c>
      <c r="IC153" s="26">
        <f>IF(IC$2=InputTable[[#This Row],[Delivery Date]],_xlfn.XLOOKUP(IC$1,$BH$2:$BR$2,$BH153:$BR153,0),0)</f>
        <v>0</v>
      </c>
      <c r="ID153" s="26">
        <f>IF(ID$2=InputTable[[#This Row],[Delivery Date]],_xlfn.XLOOKUP(ID$1,$BH$2:$BR$2,$BH153:$BR153,0),0)</f>
        <v>0</v>
      </c>
      <c r="IE153" s="26">
        <f>IF(IE$2=InputTable[[#This Row],[Delivery Date]],_xlfn.XLOOKUP(IE$1,$BH$2:$BR$2,$BH153:$BR153,0),0)</f>
        <v>0</v>
      </c>
      <c r="IF153" s="26">
        <f>IF(IF$2=InputTable[[#This Row],[Delivery Date]],_xlfn.XLOOKUP(IF$1,$BH$2:$BR$2,$BH153:$BR153,0),0)</f>
        <v>0</v>
      </c>
      <c r="IG153" s="26">
        <f>IF(IG$2=InputTable[[#This Row],[Delivery Date]],_xlfn.XLOOKUP(IG$1,$BH$2:$BR$2,$BH153:$BR153,0),0)</f>
        <v>0</v>
      </c>
      <c r="IH153" s="26">
        <f>IF(IH$2=InputTable[[#This Row],[Delivery Date]],_xlfn.XLOOKUP(IH$1,$BH$2:$BR$2,$BH153:$BR153,0),0)</f>
        <v>0</v>
      </c>
      <c r="IJ153" s="26" t="e">
        <f>IF(IJ$2=InputTable[[#This Row],[Delivery Date]],_xlfn.XLOOKUP(IJ$1,$BH$2:$BR$2,$BH153:$BR153,0),0)</f>
        <v>#REF!</v>
      </c>
      <c r="IK153" s="26">
        <f>IF(IK$2=InputTable[[#This Row],[Delivery Date]],_xlfn.XLOOKUP(IK$1,$BH$2:$BR$2,$BH153:$BR153,0),0)</f>
        <v>0</v>
      </c>
      <c r="IL153" s="26">
        <f>IF(IL$2=InputTable[[#This Row],[Delivery Date]],_xlfn.XLOOKUP(IL$1,$BH$2:$BR$2,$BH153:$BR153,0),0)</f>
        <v>0</v>
      </c>
      <c r="IM153" s="26">
        <f>IF(IM$2=InputTable[[#This Row],[Delivery Date]],_xlfn.XLOOKUP(IM$1,$BH$2:$BR$2,$BH153:$BR153,0),0)</f>
        <v>0</v>
      </c>
      <c r="IN153" s="26">
        <f>IF(IN$2=InputTable[[#This Row],[Delivery Date]],_xlfn.XLOOKUP(IN$1,$BH$2:$BR$2,$BH153:$BR153,0),0)</f>
        <v>0</v>
      </c>
      <c r="IO153" s="26">
        <f>IF(IO$2=InputTable[[#This Row],[Delivery Date]],_xlfn.XLOOKUP(IO$1,$BH$2:$BR$2,$BH153:$BR153,0),0)</f>
        <v>0</v>
      </c>
      <c r="IP153" s="26">
        <f>IF(IP$2=InputTable[[#This Row],[Delivery Date]],_xlfn.XLOOKUP(IP$1,$BH$2:$BR$2,$BH153:$BR153,0),0)</f>
        <v>0</v>
      </c>
      <c r="IQ153" s="26">
        <f>IF(IQ$2=InputTable[[#This Row],[Delivery Date]],_xlfn.XLOOKUP(IQ$1,$BH$2:$BR$2,$BH153:$BR153,0),0)</f>
        <v>0</v>
      </c>
      <c r="IR153" s="26">
        <f>IF(IR$2=InputTable[[#This Row],[Delivery Date]],_xlfn.XLOOKUP(IR$1,$BH$2:$BR$2,$BH153:$BR153,0),0)</f>
        <v>0</v>
      </c>
      <c r="IT153" s="26" t="e">
        <f>IF(IT$2=InputTable[[#This Row],[Delivery Date]],_xlfn.XLOOKUP(IT$1,$BH$2:$BR$2,$BH153:$BR153,0),0)</f>
        <v>#REF!</v>
      </c>
      <c r="IU153" s="26">
        <f>IF(IU$2=InputTable[[#This Row],[Delivery Date]],_xlfn.XLOOKUP(IU$1,$BH$2:$BR$2,$BH153:$BR153,0),0)</f>
        <v>0</v>
      </c>
      <c r="IV153" s="26">
        <f>IF(IV$2=InputTable[[#This Row],[Delivery Date]],_xlfn.XLOOKUP(IV$1,$BH$2:$BR$2,$BH153:$BR153,0),0)</f>
        <v>0</v>
      </c>
      <c r="IW153" s="26">
        <f>IF(IW$2=InputTable[[#This Row],[Delivery Date]],_xlfn.XLOOKUP(IW$1,$BH$2:$BR$2,$BH153:$BR153,0),0)</f>
        <v>0</v>
      </c>
      <c r="IX153" s="26">
        <f>IF(IX$2=InputTable[[#This Row],[Delivery Date]],_xlfn.XLOOKUP(IX$1,$BH$2:$BR$2,$BH153:$BR153,0),0)</f>
        <v>0</v>
      </c>
      <c r="IY153" s="26">
        <f>IF(IY$2=InputTable[[#This Row],[Delivery Date]],_xlfn.XLOOKUP(IY$1,$BH$2:$BR$2,$BH153:$BR153,0),0)</f>
        <v>0</v>
      </c>
      <c r="IZ153" s="26">
        <f>IF(IZ$2=InputTable[[#This Row],[Delivery Date]],_xlfn.XLOOKUP(IZ$1,$BH$2:$BR$2,$BH153:$BR153,0),0)</f>
        <v>0</v>
      </c>
      <c r="JA153" s="26">
        <f>IF(JA$2=InputTable[[#This Row],[Delivery Date]],_xlfn.XLOOKUP(JA$1,$BH$2:$BR$2,$BH153:$BR153,0),0)</f>
        <v>0</v>
      </c>
      <c r="JB153" s="26">
        <f>IF(JB$2=InputTable[[#This Row],[Delivery Date]],_xlfn.XLOOKUP(JB$1,$BH$2:$BR$2,$BH153:$BR153,0),0)</f>
        <v>0</v>
      </c>
      <c r="JD153" s="26" t="e">
        <f>IF(JD$2=InputTable[[#This Row],[Delivery Date]],_xlfn.XLOOKUP(JD$1,$BH$2:$BR$2,$BH153:$BR153,0),0)</f>
        <v>#REF!</v>
      </c>
      <c r="JE153" s="26">
        <f>IF(JE$2=InputTable[[#This Row],[Delivery Date]],_xlfn.XLOOKUP(JE$1,$BH$2:$BR$2,$BH153:$BR153,0),0)</f>
        <v>0</v>
      </c>
      <c r="JF153" s="26">
        <f>IF(JF$2=InputTable[[#This Row],[Delivery Date]],_xlfn.XLOOKUP(JF$1,$BH$2:$BR$2,$BH153:$BR153,0),0)</f>
        <v>0</v>
      </c>
      <c r="JG153" s="26">
        <f>IF(JG$2=InputTable[[#This Row],[Delivery Date]],_xlfn.XLOOKUP(JG$1,$BH$2:$BR$2,$BH153:$BR153,0),0)</f>
        <v>0</v>
      </c>
      <c r="JH153" s="26">
        <f>IF(JH$2=InputTable[[#This Row],[Delivery Date]],_xlfn.XLOOKUP(JH$1,$BH$2:$BR$2,$BH153:$BR153,0),0)</f>
        <v>0</v>
      </c>
      <c r="JI153" s="26">
        <f>IF(JI$2=InputTable[[#This Row],[Delivery Date]],_xlfn.XLOOKUP(JI$1,$BH$2:$BR$2,$BH153:$BR153,0),0)</f>
        <v>0</v>
      </c>
      <c r="JJ153" s="26">
        <f>IF(JJ$2=InputTable[[#This Row],[Delivery Date]],_xlfn.XLOOKUP(JJ$1,$BH$2:$BR$2,$BH153:$BR153,0),0)</f>
        <v>0</v>
      </c>
      <c r="JK153" s="26">
        <f>IF(JK$2=InputTable[[#This Row],[Delivery Date]],_xlfn.XLOOKUP(JK$1,$BH$2:$BR$2,$BH153:$BR153,0),0)</f>
        <v>0</v>
      </c>
      <c r="JL153" s="26">
        <f>IF(JL$2=InputTable[[#This Row],[Delivery Date]],_xlfn.XLOOKUP(JL$1,$BH$2:$BR$2,$BH153:$BR153,0),0)</f>
        <v>0</v>
      </c>
      <c r="JN153" s="26" t="e">
        <f>IF(JN$2=InputTable[[#This Row],[Delivery Date]],_xlfn.XLOOKUP(JN$1,$BH$2:$BR$2,$BH153:$BR153,0),0)</f>
        <v>#REF!</v>
      </c>
      <c r="JO153" s="26">
        <f>IF(JO$2=InputTable[[#This Row],[Delivery Date]],_xlfn.XLOOKUP(JO$1,$BH$2:$BR$2,$BH153:$BR153,0),0)</f>
        <v>0</v>
      </c>
      <c r="JP153" s="26">
        <f>IF(JP$2=InputTable[[#This Row],[Delivery Date]],_xlfn.XLOOKUP(JP$1,$BH$2:$BR$2,$BH153:$BR153,0),0)</f>
        <v>0</v>
      </c>
      <c r="JQ153" s="26">
        <f>IF(JQ$2=InputTable[[#This Row],[Delivery Date]],_xlfn.XLOOKUP(JQ$1,$BH$2:$BR$2,$BH153:$BR153,0),0)</f>
        <v>0</v>
      </c>
      <c r="JR153" s="26">
        <f>IF(JR$2=InputTable[[#This Row],[Delivery Date]],_xlfn.XLOOKUP(JR$1,$BH$2:$BR$2,$BH153:$BR153,0),0)</f>
        <v>0</v>
      </c>
      <c r="JS153" s="26">
        <f>IF(JS$2=InputTable[[#This Row],[Delivery Date]],_xlfn.XLOOKUP(JS$1,$BH$2:$BR$2,$BH153:$BR153,0),0)</f>
        <v>0</v>
      </c>
      <c r="JT153" s="26">
        <f>IF(JT$2=InputTable[[#This Row],[Delivery Date]],_xlfn.XLOOKUP(JT$1,$BH$2:$BR$2,$BH153:$BR153,0),0)</f>
        <v>0</v>
      </c>
      <c r="JU153" s="26">
        <f>IF(JU$2=InputTable[[#This Row],[Delivery Date]],_xlfn.XLOOKUP(JU$1,$BH$2:$BR$2,$BH153:$BR153,0),0)</f>
        <v>0</v>
      </c>
      <c r="JV153" s="26">
        <f>IF(JV$2=InputTable[[#This Row],[Delivery Date]],_xlfn.XLOOKUP(JV$1,$BH$2:$BR$2,$BH153:$BR153,0),0)</f>
        <v>0</v>
      </c>
      <c r="JX153" s="26" t="e">
        <f>IF(JX$2=InputTable[[#This Row],[Delivery Date]],_xlfn.XLOOKUP(JX$1,$BH$2:$BR$2,$BH153:$BR153,0),0)</f>
        <v>#REF!</v>
      </c>
      <c r="JY153" s="26">
        <f>IF(JY$2=InputTable[[#This Row],[Delivery Date]],_xlfn.XLOOKUP(JY$1,$BH$2:$BR$2,$BH153:$BR153,0),0)</f>
        <v>0</v>
      </c>
      <c r="JZ153" s="26">
        <f>IF(JZ$2=InputTable[[#This Row],[Delivery Date]],_xlfn.XLOOKUP(JZ$1,$BH$2:$BR$2,$BH153:$BR153,0),0)</f>
        <v>0</v>
      </c>
      <c r="KA153" s="26">
        <f>IF(KA$2=InputTable[[#This Row],[Delivery Date]],_xlfn.XLOOKUP(KA$1,$BH$2:$BR$2,$BH153:$BR153,0),0)</f>
        <v>0</v>
      </c>
      <c r="KB153" s="26">
        <f>IF(KB$2=InputTable[[#This Row],[Delivery Date]],_xlfn.XLOOKUP(KB$1,$BH$2:$BR$2,$BH153:$BR153,0),0)</f>
        <v>0</v>
      </c>
      <c r="KC153" s="26">
        <f>IF(KC$2=InputTable[[#This Row],[Delivery Date]],_xlfn.XLOOKUP(KC$1,$BH$2:$BR$2,$BH153:$BR153,0),0)</f>
        <v>0</v>
      </c>
      <c r="KD153" s="26">
        <f>IF(KD$2=InputTable[[#This Row],[Delivery Date]],_xlfn.XLOOKUP(KD$1,$BH$2:$BR$2,$BH153:$BR153,0),0)</f>
        <v>0</v>
      </c>
      <c r="KE153" s="26">
        <f>IF(KE$2=InputTable[[#This Row],[Delivery Date]],_xlfn.XLOOKUP(KE$1,$BH$2:$BR$2,$BH153:$BR153,0),0)</f>
        <v>0</v>
      </c>
      <c r="KF153" s="26">
        <f>IF(KF$2=InputTable[[#This Row],[Delivery Date]],_xlfn.XLOOKUP(KF$1,$BH$2:$BR$2,$BH153:$BR153,0),0)</f>
        <v>0</v>
      </c>
    </row>
    <row r="154" spans="1:292" ht="17.399999999999999" x14ac:dyDescent="0.25">
      <c r="A154" s="141"/>
      <c r="B154" s="119"/>
      <c r="C154" s="92"/>
      <c r="D154" s="92"/>
      <c r="E154" s="93"/>
      <c r="F154" s="92"/>
      <c r="G154" s="92"/>
      <c r="H154" s="92"/>
      <c r="I154" s="92"/>
      <c r="J154" s="122"/>
      <c r="K154" s="95" t="e">
        <f>VLOOKUP((InputTable[[#This Row],[Starting Date]]&amp; " - " &amp;InputTable[[#This Row],[Delivery Date]]),'System List'!$F$40:$H$83,2,FALSE)</f>
        <v>#N/A</v>
      </c>
      <c r="L154" s="95" t="e">
        <f>VLOOKUP(InputTable[[#This Row],[Duration]],Duration,2,FALSE)</f>
        <v>#N/A</v>
      </c>
      <c r="M154" s="122"/>
      <c r="N154" s="92"/>
      <c r="O154" s="92"/>
      <c r="P154" s="92"/>
      <c r="Q154" s="92"/>
      <c r="R154" s="92"/>
      <c r="S154" s="92"/>
      <c r="T154" s="95"/>
      <c r="U154" s="138"/>
      <c r="V154" s="92"/>
      <c r="W154" s="92"/>
      <c r="X154" s="92"/>
      <c r="Y154" s="92"/>
      <c r="Z154" s="92"/>
      <c r="AA154" s="92"/>
      <c r="AB154" s="92"/>
      <c r="AC154" s="92"/>
      <c r="AD154" s="92">
        <f>COUNTA(InputTable[[#This Row],[CORPHRFIN]:[SALES]])</f>
        <v>0</v>
      </c>
      <c r="AE154" s="88" cm="1">
        <f t="array" ref="AE154">SUM(
_xlfn.XLOOKUP(InputTable[[#This Row],[CORPHRFIN]:[SALES]],'System List'!$F$4:$F$7,'System List'!$H$4:$H$7,0))</f>
        <v>0</v>
      </c>
      <c r="AF154" s="140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88" cm="1">
        <f t="array" ref="AR154">SUM(
_xlfn.XLOOKUP(InputTable[[#This Row],[Impact on - CIAL]:[Impact on - STRAT]],'System List'!$F$4:$F$7,'System List'!$H$4:$H$7,0))</f>
        <v>0</v>
      </c>
      <c r="AS154" s="88" t="e">
        <f>VLOOKUP(InputTable[[#This Row],[Duration]],Duration,2,FALSE)+InputTable[[#This Row],[Resource Score]]</f>
        <v>#N/A</v>
      </c>
      <c r="AT15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4" s="69" t="e">
        <f>InputTable[[#This Row],[Value Score]]/InputTable[[#This Row],[EFFORT SCORE]]*100</f>
        <v>#N/A</v>
      </c>
      <c r="AV154" s="25" t="s">
        <v>445</v>
      </c>
      <c r="AW154" s="25"/>
      <c r="AX154" s="208"/>
      <c r="AY154" s="25"/>
      <c r="AZ154" s="189">
        <v>0</v>
      </c>
      <c r="BA154" s="189">
        <v>0</v>
      </c>
      <c r="BB154" s="189"/>
      <c r="BC154" s="189"/>
      <c r="BD154" s="188"/>
      <c r="BE154" s="188"/>
      <c r="BF154" s="70"/>
      <c r="BH154" s="2">
        <f>IFERROR(VLOOKUP(InputTable[[#This Row],[Impact on - CIAL]],'System List'!$F$4:$H$7,3,FALSE),0)</f>
        <v>0</v>
      </c>
      <c r="BI154" s="2">
        <f>IFERROR(VLOOKUP(InputTable[[#This Row],[Impact on - COM]],'System List'!$F$4:$H$7,3,FALSE),0)</f>
        <v>0</v>
      </c>
      <c r="BJ154" s="2">
        <f>IFERROR(VLOOKUP(InputTable[[#This Row],[Impact on - FIN]],'System List'!$F$4:$H$7,3,FALSE),0)</f>
        <v>0</v>
      </c>
      <c r="BK154" s="2">
        <f>IFERROR(VLOOKUP(InputTable[[#This Row],[Impact on - GEN SEC]],'System List'!$F$4:$H$7,3,FALSE),0)</f>
        <v>0</v>
      </c>
      <c r="BL154" s="2">
        <f>IFERROR(VLOOKUP(InputTable[[#This Row],[Impact on - HR]],'System List'!$F$4:$H$7,3,FALSE),0)</f>
        <v>0</v>
      </c>
      <c r="BM154" s="2">
        <f>IFERROR(VLOOKUP(InputTable[[#This Row],[Impact on - IS]],'System List'!$F$4:$H$7,3,FALSE),0)</f>
        <v>0</v>
      </c>
      <c r="BN154" s="2">
        <f>IFERROR(VLOOKUP(InputTable[[#This Row],[Impact on - OPS]],'System List'!$F$4:$H$7,3,FALSE),0)</f>
        <v>0</v>
      </c>
      <c r="BO154" s="2">
        <f>IFERROR(VLOOKUP(InputTable[[#This Row],[Impact on - ROLL STOCK]],'System List'!$F$4:$H$7,3,FALSE),0)</f>
        <v>0</v>
      </c>
      <c r="BP154" s="2">
        <f>IFERROR(VLOOKUP(InputTable[[#This Row],[Impact on - SAFETY]],'System List'!$F$4:$H$7,3,FALSE),0)</f>
        <v>0</v>
      </c>
      <c r="BQ154" s="2">
        <f>IFERROR(VLOOKUP(InputTable[[#This Row],[Impact on - STATION]],'System List'!$F$4:$H$7,3,FALSE),0)</f>
        <v>0</v>
      </c>
      <c r="BR154" s="2">
        <f>IFERROR(VLOOKUP(InputTable[[#This Row],[Impact on - STRAT]],'System List'!$F$4:$H$7,3,FALSE),0)</f>
        <v>0</v>
      </c>
      <c r="BT154" s="2">
        <f>IFERROR(VLOOKUP(InputTable[[#This Row],[CORPHRFIN]],'System List'!$F$4:$H$7,3,FALSE),0)</f>
        <v>0</v>
      </c>
      <c r="BU154" s="2">
        <f>IFERROR(VLOOKUP(InputTable[[#This Row],[CUST]],'System List'!$F$4:$H$7,3,FALSE),0)</f>
        <v>0</v>
      </c>
      <c r="BV154" s="2">
        <f>IFERROR(VLOOKUP(InputTable[[#This Row],[CYBER]],'System List'!$F$4:$H$7,3,FALSE),0)</f>
        <v>0</v>
      </c>
      <c r="BW154" s="2">
        <f>IFERROR(VLOOKUP(InputTable[[#This Row],[DATA]],'System List'!$F$4:$H$7,3,FALSE),0)</f>
        <v>0</v>
      </c>
      <c r="BX154" s="2">
        <f>IFERROR(VLOOKUP(InputTable[[#This Row],[INFRA]],'System List'!$F$4:$H$7,3,FALSE),0)</f>
        <v>0</v>
      </c>
      <c r="BY154" s="2">
        <f>IFERROR(VLOOKUP(InputTable[[#This Row],[OPERATIONS]],'System List'!$F$4:$H$7,3,FALSE),0)</f>
        <v>0</v>
      </c>
      <c r="BZ154" s="2">
        <f>IFERROR(VLOOKUP(InputTable[[#This Row],[PMO]],'System List'!$F$4:$H$7,3,FALSE),0)</f>
        <v>0</v>
      </c>
      <c r="CA154" s="2">
        <f>IFERROR(VLOOKUP(InputTable[[#This Row],[SALES]],'System List'!$F$4:$H$7,3,FALSE),0)</f>
        <v>0</v>
      </c>
      <c r="CC154" s="2" cm="1">
        <f t="array" ref="CC15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4" s="2" cm="1">
        <f t="array" ref="CD15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4" s="2" cm="1">
        <f t="array" ref="CE15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4" s="2" cm="1">
        <f t="array" ref="CF15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4" s="2" cm="1">
        <f t="array" ref="CG15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4" s="2" cm="1">
        <f t="array" ref="CH15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4" s="2" cm="1">
        <f t="array" ref="CI15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4" s="2" cm="1">
        <f t="array" ref="CJ15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4" s="2" cm="1">
        <f t="array" ref="CK15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4" s="26">
        <f t="shared" si="379"/>
        <v>0</v>
      </c>
      <c r="CY154" s="26">
        <f t="shared" si="380"/>
        <v>0</v>
      </c>
      <c r="CZ154" s="26">
        <f t="shared" si="381"/>
        <v>0</v>
      </c>
      <c r="DA154" s="26">
        <f t="shared" si="382"/>
        <v>0</v>
      </c>
      <c r="DB154" s="26">
        <f t="shared" si="383"/>
        <v>0</v>
      </c>
      <c r="DC154" s="26">
        <f t="shared" si="384"/>
        <v>0</v>
      </c>
      <c r="DD154" s="26">
        <f t="shared" si="385"/>
        <v>0</v>
      </c>
      <c r="DE154" s="26">
        <f t="shared" si="386"/>
        <v>0</v>
      </c>
      <c r="DF154" s="26">
        <f t="shared" si="387"/>
        <v>0</v>
      </c>
      <c r="DH154" s="26">
        <f t="shared" si="388"/>
        <v>0</v>
      </c>
      <c r="DI154" s="26">
        <f t="shared" si="389"/>
        <v>0</v>
      </c>
      <c r="DJ154" s="26">
        <f t="shared" si="390"/>
        <v>0</v>
      </c>
      <c r="DK154" s="26">
        <f t="shared" si="391"/>
        <v>0</v>
      </c>
      <c r="DL154" s="26">
        <f t="shared" si="392"/>
        <v>0</v>
      </c>
      <c r="DM154" s="26">
        <f t="shared" si="393"/>
        <v>0</v>
      </c>
      <c r="DN154" s="26">
        <f t="shared" si="394"/>
        <v>0</v>
      </c>
      <c r="DO154" s="26">
        <f t="shared" si="395"/>
        <v>0</v>
      </c>
      <c r="DP154" s="26">
        <f t="shared" si="396"/>
        <v>0</v>
      </c>
      <c r="DR154" s="26">
        <f t="shared" si="397"/>
        <v>0</v>
      </c>
      <c r="DS154" s="26">
        <f t="shared" si="398"/>
        <v>0</v>
      </c>
      <c r="DT154" s="26">
        <f t="shared" si="399"/>
        <v>0</v>
      </c>
      <c r="DU154" s="26">
        <f t="shared" si="400"/>
        <v>0</v>
      </c>
      <c r="DV154" s="26">
        <f t="shared" si="401"/>
        <v>0</v>
      </c>
      <c r="DW154" s="26">
        <f t="shared" si="402"/>
        <v>0</v>
      </c>
      <c r="DX154" s="26">
        <f t="shared" si="403"/>
        <v>0</v>
      </c>
      <c r="DY154" s="26">
        <f t="shared" si="404"/>
        <v>0</v>
      </c>
      <c r="DZ154" s="26">
        <f t="shared" si="405"/>
        <v>0</v>
      </c>
      <c r="EB154" s="26">
        <f t="shared" si="406"/>
        <v>0</v>
      </c>
      <c r="EC154" s="26">
        <f t="shared" si="407"/>
        <v>0</v>
      </c>
      <c r="ED154" s="26">
        <f t="shared" si="408"/>
        <v>0</v>
      </c>
      <c r="EE154" s="26">
        <f t="shared" si="409"/>
        <v>0</v>
      </c>
      <c r="EF154" s="26">
        <f t="shared" si="410"/>
        <v>0</v>
      </c>
      <c r="EG154" s="26">
        <f t="shared" si="411"/>
        <v>0</v>
      </c>
      <c r="EH154" s="26">
        <f t="shared" si="412"/>
        <v>0</v>
      </c>
      <c r="EI154" s="26">
        <f t="shared" si="413"/>
        <v>0</v>
      </c>
      <c r="EJ154" s="26">
        <f t="shared" si="414"/>
        <v>0</v>
      </c>
      <c r="EL154" s="26">
        <f t="shared" si="415"/>
        <v>0</v>
      </c>
      <c r="EM154" s="26">
        <f t="shared" si="416"/>
        <v>0</v>
      </c>
      <c r="EN154" s="26">
        <f t="shared" si="417"/>
        <v>0</v>
      </c>
      <c r="EO154" s="26">
        <f t="shared" si="418"/>
        <v>0</v>
      </c>
      <c r="EP154" s="26">
        <f t="shared" si="419"/>
        <v>0</v>
      </c>
      <c r="EQ154" s="26">
        <f t="shared" si="420"/>
        <v>0</v>
      </c>
      <c r="ER154" s="26">
        <f t="shared" si="421"/>
        <v>0</v>
      </c>
      <c r="ES154" s="26">
        <f t="shared" si="422"/>
        <v>0</v>
      </c>
      <c r="ET154" s="26">
        <f t="shared" si="423"/>
        <v>0</v>
      </c>
      <c r="EV154" s="26">
        <f t="shared" si="424"/>
        <v>0</v>
      </c>
      <c r="EW154" s="26">
        <f t="shared" si="425"/>
        <v>0</v>
      </c>
      <c r="EX154" s="26">
        <f t="shared" si="426"/>
        <v>0</v>
      </c>
      <c r="EY154" s="26">
        <f t="shared" si="427"/>
        <v>0</v>
      </c>
      <c r="EZ154" s="26">
        <f t="shared" si="428"/>
        <v>0</v>
      </c>
      <c r="FA154" s="26">
        <f t="shared" si="429"/>
        <v>0</v>
      </c>
      <c r="FB154" s="26">
        <f t="shared" si="430"/>
        <v>0</v>
      </c>
      <c r="FC154" s="26">
        <f t="shared" si="431"/>
        <v>0</v>
      </c>
      <c r="FD154" s="26">
        <f t="shared" si="432"/>
        <v>0</v>
      </c>
      <c r="FF154" s="26">
        <f t="shared" si="433"/>
        <v>0</v>
      </c>
      <c r="FG154" s="26">
        <f t="shared" si="434"/>
        <v>0</v>
      </c>
      <c r="FH154" s="26">
        <f t="shared" si="435"/>
        <v>0</v>
      </c>
      <c r="FI154" s="26">
        <f t="shared" si="436"/>
        <v>0</v>
      </c>
      <c r="FJ154" s="26">
        <f t="shared" si="437"/>
        <v>0</v>
      </c>
      <c r="FK154" s="26">
        <f t="shared" si="438"/>
        <v>0</v>
      </c>
      <c r="FL154" s="26">
        <f t="shared" si="439"/>
        <v>0</v>
      </c>
      <c r="FM154" s="26">
        <f t="shared" si="440"/>
        <v>0</v>
      </c>
      <c r="FN154" s="26">
        <f t="shared" si="441"/>
        <v>0</v>
      </c>
      <c r="FP154" s="26" t="e">
        <f t="shared" si="442"/>
        <v>#REF!</v>
      </c>
      <c r="FQ154" s="26" t="e">
        <f t="shared" si="443"/>
        <v>#REF!</v>
      </c>
      <c r="FR154" s="26" t="e">
        <f t="shared" si="444"/>
        <v>#REF!</v>
      </c>
      <c r="FS154" s="26" t="e">
        <f t="shared" si="445"/>
        <v>#REF!</v>
      </c>
      <c r="FT154" s="26" t="e">
        <f t="shared" si="446"/>
        <v>#REF!</v>
      </c>
      <c r="FU154" s="26" t="e">
        <f t="shared" si="447"/>
        <v>#REF!</v>
      </c>
      <c r="FV154" s="26" t="e">
        <f t="shared" si="448"/>
        <v>#REF!</v>
      </c>
      <c r="FW154" s="26" t="e">
        <f t="shared" si="449"/>
        <v>#REF!</v>
      </c>
      <c r="FX154" s="26" t="e">
        <f t="shared" si="450"/>
        <v>#REF!</v>
      </c>
      <c r="GB154" s="26" t="e">
        <f>IF(GB$2=InputTable[[#This Row],[Delivery Date]],_xlfn.XLOOKUP(GB$1,$BH$2:$BR$2,$BH154:$BR154,0),0)</f>
        <v>#REF!</v>
      </c>
      <c r="GC154" s="26">
        <f>IF(GC$2=InputTable[[#This Row],[Delivery Date]],_xlfn.XLOOKUP(GC$1,$BH$2:$BR$2,$BH154:$BR154,0),0)</f>
        <v>0</v>
      </c>
      <c r="GD154" s="26">
        <f>IF(GD$2=InputTable[[#This Row],[Delivery Date]],_xlfn.XLOOKUP(GD$1,$BH$2:$BR$2,$BH154:$BR154,0),0)</f>
        <v>0</v>
      </c>
      <c r="GE154" s="26">
        <f>IF(GE$2=InputTable[[#This Row],[Delivery Date]],_xlfn.XLOOKUP(GE$1,$BH$2:$BR$2,$BH154:$BR154,0),0)</f>
        <v>0</v>
      </c>
      <c r="GF154" s="26">
        <f>IF(GF$2=InputTable[[#This Row],[Delivery Date]],_xlfn.XLOOKUP(GF$1,$BH$2:$BR$2,$BH154:$BR154,0),0)</f>
        <v>0</v>
      </c>
      <c r="GG154" s="26">
        <f>IF(GG$2=InputTable[[#This Row],[Delivery Date]],_xlfn.XLOOKUP(GG$1,$BH$2:$BR$2,$BH154:$BR154,0),0)</f>
        <v>0</v>
      </c>
      <c r="GH154" s="26">
        <f>IF(GH$2=InputTable[[#This Row],[Delivery Date]],_xlfn.XLOOKUP(GH$1,$BH$2:$BR$2,$BH154:$BR154,0),0)</f>
        <v>0</v>
      </c>
      <c r="GI154" s="26">
        <f>IF(GI$2=InputTable[[#This Row],[Delivery Date]],_xlfn.XLOOKUP(GI$1,$BH$2:$BR$2,$BH154:$BR154,0),0)</f>
        <v>0</v>
      </c>
      <c r="GJ154" s="26">
        <f>IF(GJ$2=InputTable[[#This Row],[Delivery Date]],_xlfn.XLOOKUP(GJ$1,$BH$2:$BR$2,$BH154:$BR154,0),0)</f>
        <v>0</v>
      </c>
      <c r="GL154" s="26" t="e">
        <f>IF(GL$2=InputTable[[#This Row],[Delivery Date]],_xlfn.XLOOKUP(GL$1,$BH$2:$BR$2,$BH154:$BR154,0),0)</f>
        <v>#REF!</v>
      </c>
      <c r="GM154" s="26">
        <f>IF(GM$2=InputTable[[#This Row],[Delivery Date]],_xlfn.XLOOKUP(GM$1,$BH$2:$BR$2,$BH154:$BR154,0),0)</f>
        <v>0</v>
      </c>
      <c r="GN154" s="26">
        <f>IF(GN$2=InputTable[[#This Row],[Delivery Date]],_xlfn.XLOOKUP(GN$1,$BH$2:$BR$2,$BH154:$BR154,0),0)</f>
        <v>0</v>
      </c>
      <c r="GO154" s="26">
        <f>IF(GO$2=InputTable[[#This Row],[Delivery Date]],_xlfn.XLOOKUP(GO$1,$BH$2:$BR$2,$BH154:$BR154,0),0)</f>
        <v>0</v>
      </c>
      <c r="GP154" s="26">
        <f>IF(GP$2=InputTable[[#This Row],[Delivery Date]],_xlfn.XLOOKUP(GP$1,$BH$2:$BR$2,$BH154:$BR154,0),0)</f>
        <v>0</v>
      </c>
      <c r="GQ154" s="26">
        <f>IF(GQ$2=InputTable[[#This Row],[Delivery Date]],_xlfn.XLOOKUP(GQ$1,$BH$2:$BR$2,$BH154:$BR154,0),0)</f>
        <v>0</v>
      </c>
      <c r="GR154" s="26">
        <f>IF(GR$2=InputTable[[#This Row],[Delivery Date]],_xlfn.XLOOKUP(GR$1,$BH$2:$BR$2,$BH154:$BR154,0),0)</f>
        <v>0</v>
      </c>
      <c r="GS154" s="26">
        <f>IF(GS$2=InputTable[[#This Row],[Delivery Date]],_xlfn.XLOOKUP(GS$1,$BH$2:$BR$2,$BH154:$BR154,0),0)</f>
        <v>0</v>
      </c>
      <c r="GT154" s="26">
        <f>IF(GT$2=InputTable[[#This Row],[Delivery Date]],_xlfn.XLOOKUP(GT$1,$BH$2:$BR$2,$BH154:$BR154,0),0)</f>
        <v>0</v>
      </c>
      <c r="GV154" s="26" t="e">
        <f>IF(GV$2=InputTable[[#This Row],[Delivery Date]],_xlfn.XLOOKUP(GV$1,$BH$2:$BR$2,$BH154:$BR154,0),0)</f>
        <v>#REF!</v>
      </c>
      <c r="GW154" s="26">
        <f>IF(GW$2=InputTable[[#This Row],[Delivery Date]],_xlfn.XLOOKUP(GW$1,$BH$2:$BR$2,$BH154:$BR154,0),0)</f>
        <v>0</v>
      </c>
      <c r="GX154" s="26">
        <f>IF(GX$2=InputTable[[#This Row],[Delivery Date]],_xlfn.XLOOKUP(GX$1,$BH$2:$BR$2,$BH154:$BR154,0),0)</f>
        <v>0</v>
      </c>
      <c r="GY154" s="26">
        <f>IF(GY$2=InputTable[[#This Row],[Delivery Date]],_xlfn.XLOOKUP(GY$1,$BH$2:$BR$2,$BH154:$BR154,0),0)</f>
        <v>0</v>
      </c>
      <c r="GZ154" s="26">
        <f>IF(GZ$2=InputTable[[#This Row],[Delivery Date]],_xlfn.XLOOKUP(GZ$1,$BH$2:$BR$2,$BH154:$BR154,0),0)</f>
        <v>0</v>
      </c>
      <c r="HA154" s="26">
        <f>IF(HA$2=InputTable[[#This Row],[Delivery Date]],_xlfn.XLOOKUP(HA$1,$BH$2:$BR$2,$BH154:$BR154,0),0)</f>
        <v>0</v>
      </c>
      <c r="HB154" s="26">
        <f>IF(HB$2=InputTable[[#This Row],[Delivery Date]],_xlfn.XLOOKUP(HB$1,$BH$2:$BR$2,$BH154:$BR154,0),0)</f>
        <v>0</v>
      </c>
      <c r="HC154" s="26">
        <f>IF(HC$2=InputTable[[#This Row],[Delivery Date]],_xlfn.XLOOKUP(HC$1,$BH$2:$BR$2,$BH154:$BR154,0),0)</f>
        <v>0</v>
      </c>
      <c r="HD154" s="26">
        <f>IF(HD$2=InputTable[[#This Row],[Delivery Date]],_xlfn.XLOOKUP(HD$1,$BH$2:$BR$2,$BH154:$BR154,0),0)</f>
        <v>0</v>
      </c>
      <c r="HF154" s="26" t="e">
        <f>IF(HF$2=InputTable[[#This Row],[Delivery Date]],_xlfn.XLOOKUP(HF$1,$BH$2:$BR$2,$BH154:$BR154,0),0)</f>
        <v>#REF!</v>
      </c>
      <c r="HG154" s="26">
        <f>IF(HG$2=InputTable[[#This Row],[Delivery Date]],_xlfn.XLOOKUP(HG$1,$BH$2:$BR$2,$BH154:$BR154,0),0)</f>
        <v>0</v>
      </c>
      <c r="HH154" s="26">
        <f>IF(HH$2=InputTable[[#This Row],[Delivery Date]],_xlfn.XLOOKUP(HH$1,$BH$2:$BR$2,$BH154:$BR154,0),0)</f>
        <v>0</v>
      </c>
      <c r="HI154" s="26">
        <f>IF(HI$2=InputTable[[#This Row],[Delivery Date]],_xlfn.XLOOKUP(HI$1,$BH$2:$BR$2,$BH154:$BR154,0),0)</f>
        <v>0</v>
      </c>
      <c r="HJ154" s="26">
        <f>IF(HJ$2=InputTable[[#This Row],[Delivery Date]],_xlfn.XLOOKUP(HJ$1,$BH$2:$BR$2,$BH154:$BR154,0),0)</f>
        <v>0</v>
      </c>
      <c r="HK154" s="26">
        <f>IF(HK$2=InputTable[[#This Row],[Delivery Date]],_xlfn.XLOOKUP(HK$1,$BH$2:$BR$2,$BH154:$BR154,0),0)</f>
        <v>0</v>
      </c>
      <c r="HL154" s="26">
        <f>IF(HL$2=InputTable[[#This Row],[Delivery Date]],_xlfn.XLOOKUP(HL$1,$BH$2:$BR$2,$BH154:$BR154,0),0)</f>
        <v>0</v>
      </c>
      <c r="HM154" s="26">
        <f>IF(HM$2=InputTable[[#This Row],[Delivery Date]],_xlfn.XLOOKUP(HM$1,$BH$2:$BR$2,$BH154:$BR154,0),0)</f>
        <v>0</v>
      </c>
      <c r="HN154" s="26">
        <f>IF(HN$2=InputTable[[#This Row],[Delivery Date]],_xlfn.XLOOKUP(HN$1,$BH$2:$BR$2,$BH154:$BR154,0),0)</f>
        <v>0</v>
      </c>
      <c r="HP154" s="26" t="e">
        <f>IF(HP$2=InputTable[[#This Row],[Delivery Date]],_xlfn.XLOOKUP(HP$1,$BH$2:$BR$2,$BH154:$BR154,0),0)</f>
        <v>#REF!</v>
      </c>
      <c r="HQ154" s="26">
        <f>IF(HQ$2=InputTable[[#This Row],[Delivery Date]],_xlfn.XLOOKUP(HQ$1,$BH$2:$BR$2,$BH154:$BR154,0),0)</f>
        <v>0</v>
      </c>
      <c r="HR154" s="26">
        <f>IF(HR$2=InputTable[[#This Row],[Delivery Date]],_xlfn.XLOOKUP(HR$1,$BH$2:$BR$2,$BH154:$BR154,0),0)</f>
        <v>0</v>
      </c>
      <c r="HS154" s="26">
        <f>IF(HS$2=InputTable[[#This Row],[Delivery Date]],_xlfn.XLOOKUP(HS$1,$BH$2:$BR$2,$BH154:$BR154,0),0)</f>
        <v>0</v>
      </c>
      <c r="HT154" s="26">
        <f>IF(HT$2=InputTable[[#This Row],[Delivery Date]],_xlfn.XLOOKUP(HT$1,$BH$2:$BR$2,$BH154:$BR154,0),0)</f>
        <v>0</v>
      </c>
      <c r="HU154" s="26">
        <f>IF(HU$2=InputTable[[#This Row],[Delivery Date]],_xlfn.XLOOKUP(HU$1,$BH$2:$BR$2,$BH154:$BR154,0),0)</f>
        <v>0</v>
      </c>
      <c r="HV154" s="26">
        <f>IF(HV$2=InputTable[[#This Row],[Delivery Date]],_xlfn.XLOOKUP(HV$1,$BH$2:$BR$2,$BH154:$BR154,0),0)</f>
        <v>0</v>
      </c>
      <c r="HW154" s="26">
        <f>IF(HW$2=InputTable[[#This Row],[Delivery Date]],_xlfn.XLOOKUP(HW$1,$BH$2:$BR$2,$BH154:$BR154,0),0)</f>
        <v>0</v>
      </c>
      <c r="HX154" s="26">
        <f>IF(HX$2=InputTable[[#This Row],[Delivery Date]],_xlfn.XLOOKUP(HX$1,$BH$2:$BR$2,$BH154:$BR154,0),0)</f>
        <v>0</v>
      </c>
      <c r="HZ154" s="26" t="e">
        <f>IF(HZ$2=InputTable[[#This Row],[Delivery Date]],_xlfn.XLOOKUP(HZ$1,$BH$2:$BR$2,$BH154:$BR154,0),0)</f>
        <v>#REF!</v>
      </c>
      <c r="IA154" s="26">
        <f>IF(IA$2=InputTable[[#This Row],[Delivery Date]],_xlfn.XLOOKUP(IA$1,$BH$2:$BR$2,$BH154:$BR154,0),0)</f>
        <v>0</v>
      </c>
      <c r="IB154" s="26">
        <f>IF(IB$2=InputTable[[#This Row],[Delivery Date]],_xlfn.XLOOKUP(IB$1,$BH$2:$BR$2,$BH154:$BR154,0),0)</f>
        <v>0</v>
      </c>
      <c r="IC154" s="26">
        <f>IF(IC$2=InputTable[[#This Row],[Delivery Date]],_xlfn.XLOOKUP(IC$1,$BH$2:$BR$2,$BH154:$BR154,0),0)</f>
        <v>0</v>
      </c>
      <c r="ID154" s="26">
        <f>IF(ID$2=InputTable[[#This Row],[Delivery Date]],_xlfn.XLOOKUP(ID$1,$BH$2:$BR$2,$BH154:$BR154,0),0)</f>
        <v>0</v>
      </c>
      <c r="IE154" s="26">
        <f>IF(IE$2=InputTable[[#This Row],[Delivery Date]],_xlfn.XLOOKUP(IE$1,$BH$2:$BR$2,$BH154:$BR154,0),0)</f>
        <v>0</v>
      </c>
      <c r="IF154" s="26">
        <f>IF(IF$2=InputTable[[#This Row],[Delivery Date]],_xlfn.XLOOKUP(IF$1,$BH$2:$BR$2,$BH154:$BR154,0),0)</f>
        <v>0</v>
      </c>
      <c r="IG154" s="26">
        <f>IF(IG$2=InputTable[[#This Row],[Delivery Date]],_xlfn.XLOOKUP(IG$1,$BH$2:$BR$2,$BH154:$BR154,0),0)</f>
        <v>0</v>
      </c>
      <c r="IH154" s="26">
        <f>IF(IH$2=InputTable[[#This Row],[Delivery Date]],_xlfn.XLOOKUP(IH$1,$BH$2:$BR$2,$BH154:$BR154,0),0)</f>
        <v>0</v>
      </c>
      <c r="IJ154" s="26" t="e">
        <f>IF(IJ$2=InputTable[[#This Row],[Delivery Date]],_xlfn.XLOOKUP(IJ$1,$BH$2:$BR$2,$BH154:$BR154,0),0)</f>
        <v>#REF!</v>
      </c>
      <c r="IK154" s="26">
        <f>IF(IK$2=InputTable[[#This Row],[Delivery Date]],_xlfn.XLOOKUP(IK$1,$BH$2:$BR$2,$BH154:$BR154,0),0)</f>
        <v>0</v>
      </c>
      <c r="IL154" s="26">
        <f>IF(IL$2=InputTable[[#This Row],[Delivery Date]],_xlfn.XLOOKUP(IL$1,$BH$2:$BR$2,$BH154:$BR154,0),0)</f>
        <v>0</v>
      </c>
      <c r="IM154" s="26">
        <f>IF(IM$2=InputTable[[#This Row],[Delivery Date]],_xlfn.XLOOKUP(IM$1,$BH$2:$BR$2,$BH154:$BR154,0),0)</f>
        <v>0</v>
      </c>
      <c r="IN154" s="26">
        <f>IF(IN$2=InputTable[[#This Row],[Delivery Date]],_xlfn.XLOOKUP(IN$1,$BH$2:$BR$2,$BH154:$BR154,0),0)</f>
        <v>0</v>
      </c>
      <c r="IO154" s="26">
        <f>IF(IO$2=InputTable[[#This Row],[Delivery Date]],_xlfn.XLOOKUP(IO$1,$BH$2:$BR$2,$BH154:$BR154,0),0)</f>
        <v>0</v>
      </c>
      <c r="IP154" s="26">
        <f>IF(IP$2=InputTable[[#This Row],[Delivery Date]],_xlfn.XLOOKUP(IP$1,$BH$2:$BR$2,$BH154:$BR154,0),0)</f>
        <v>0</v>
      </c>
      <c r="IQ154" s="26">
        <f>IF(IQ$2=InputTable[[#This Row],[Delivery Date]],_xlfn.XLOOKUP(IQ$1,$BH$2:$BR$2,$BH154:$BR154,0),0)</f>
        <v>0</v>
      </c>
      <c r="IR154" s="26">
        <f>IF(IR$2=InputTable[[#This Row],[Delivery Date]],_xlfn.XLOOKUP(IR$1,$BH$2:$BR$2,$BH154:$BR154,0),0)</f>
        <v>0</v>
      </c>
      <c r="IT154" s="26" t="e">
        <f>IF(IT$2=InputTable[[#This Row],[Delivery Date]],_xlfn.XLOOKUP(IT$1,$BH$2:$BR$2,$BH154:$BR154,0),0)</f>
        <v>#REF!</v>
      </c>
      <c r="IU154" s="26">
        <f>IF(IU$2=InputTable[[#This Row],[Delivery Date]],_xlfn.XLOOKUP(IU$1,$BH$2:$BR$2,$BH154:$BR154,0),0)</f>
        <v>0</v>
      </c>
      <c r="IV154" s="26">
        <f>IF(IV$2=InputTable[[#This Row],[Delivery Date]],_xlfn.XLOOKUP(IV$1,$BH$2:$BR$2,$BH154:$BR154,0),0)</f>
        <v>0</v>
      </c>
      <c r="IW154" s="26">
        <f>IF(IW$2=InputTable[[#This Row],[Delivery Date]],_xlfn.XLOOKUP(IW$1,$BH$2:$BR$2,$BH154:$BR154,0),0)</f>
        <v>0</v>
      </c>
      <c r="IX154" s="26">
        <f>IF(IX$2=InputTable[[#This Row],[Delivery Date]],_xlfn.XLOOKUP(IX$1,$BH$2:$BR$2,$BH154:$BR154,0),0)</f>
        <v>0</v>
      </c>
      <c r="IY154" s="26">
        <f>IF(IY$2=InputTable[[#This Row],[Delivery Date]],_xlfn.XLOOKUP(IY$1,$BH$2:$BR$2,$BH154:$BR154,0),0)</f>
        <v>0</v>
      </c>
      <c r="IZ154" s="26">
        <f>IF(IZ$2=InputTable[[#This Row],[Delivery Date]],_xlfn.XLOOKUP(IZ$1,$BH$2:$BR$2,$BH154:$BR154,0),0)</f>
        <v>0</v>
      </c>
      <c r="JA154" s="26">
        <f>IF(JA$2=InputTable[[#This Row],[Delivery Date]],_xlfn.XLOOKUP(JA$1,$BH$2:$BR$2,$BH154:$BR154,0),0)</f>
        <v>0</v>
      </c>
      <c r="JB154" s="26">
        <f>IF(JB$2=InputTable[[#This Row],[Delivery Date]],_xlfn.XLOOKUP(JB$1,$BH$2:$BR$2,$BH154:$BR154,0),0)</f>
        <v>0</v>
      </c>
      <c r="JD154" s="26" t="e">
        <f>IF(JD$2=InputTable[[#This Row],[Delivery Date]],_xlfn.XLOOKUP(JD$1,$BH$2:$BR$2,$BH154:$BR154,0),0)</f>
        <v>#REF!</v>
      </c>
      <c r="JE154" s="26">
        <f>IF(JE$2=InputTable[[#This Row],[Delivery Date]],_xlfn.XLOOKUP(JE$1,$BH$2:$BR$2,$BH154:$BR154,0),0)</f>
        <v>0</v>
      </c>
      <c r="JF154" s="26">
        <f>IF(JF$2=InputTable[[#This Row],[Delivery Date]],_xlfn.XLOOKUP(JF$1,$BH$2:$BR$2,$BH154:$BR154,0),0)</f>
        <v>0</v>
      </c>
      <c r="JG154" s="26">
        <f>IF(JG$2=InputTable[[#This Row],[Delivery Date]],_xlfn.XLOOKUP(JG$1,$BH$2:$BR$2,$BH154:$BR154,0),0)</f>
        <v>0</v>
      </c>
      <c r="JH154" s="26">
        <f>IF(JH$2=InputTable[[#This Row],[Delivery Date]],_xlfn.XLOOKUP(JH$1,$BH$2:$BR$2,$BH154:$BR154,0),0)</f>
        <v>0</v>
      </c>
      <c r="JI154" s="26">
        <f>IF(JI$2=InputTable[[#This Row],[Delivery Date]],_xlfn.XLOOKUP(JI$1,$BH$2:$BR$2,$BH154:$BR154,0),0)</f>
        <v>0</v>
      </c>
      <c r="JJ154" s="26">
        <f>IF(JJ$2=InputTable[[#This Row],[Delivery Date]],_xlfn.XLOOKUP(JJ$1,$BH$2:$BR$2,$BH154:$BR154,0),0)</f>
        <v>0</v>
      </c>
      <c r="JK154" s="26">
        <f>IF(JK$2=InputTable[[#This Row],[Delivery Date]],_xlfn.XLOOKUP(JK$1,$BH$2:$BR$2,$BH154:$BR154,0),0)</f>
        <v>0</v>
      </c>
      <c r="JL154" s="26">
        <f>IF(JL$2=InputTable[[#This Row],[Delivery Date]],_xlfn.XLOOKUP(JL$1,$BH$2:$BR$2,$BH154:$BR154,0),0)</f>
        <v>0</v>
      </c>
      <c r="JN154" s="26" t="e">
        <f>IF(JN$2=InputTable[[#This Row],[Delivery Date]],_xlfn.XLOOKUP(JN$1,$BH$2:$BR$2,$BH154:$BR154,0),0)</f>
        <v>#REF!</v>
      </c>
      <c r="JO154" s="26">
        <f>IF(JO$2=InputTable[[#This Row],[Delivery Date]],_xlfn.XLOOKUP(JO$1,$BH$2:$BR$2,$BH154:$BR154,0),0)</f>
        <v>0</v>
      </c>
      <c r="JP154" s="26">
        <f>IF(JP$2=InputTable[[#This Row],[Delivery Date]],_xlfn.XLOOKUP(JP$1,$BH$2:$BR$2,$BH154:$BR154,0),0)</f>
        <v>0</v>
      </c>
      <c r="JQ154" s="26">
        <f>IF(JQ$2=InputTable[[#This Row],[Delivery Date]],_xlfn.XLOOKUP(JQ$1,$BH$2:$BR$2,$BH154:$BR154,0),0)</f>
        <v>0</v>
      </c>
      <c r="JR154" s="26">
        <f>IF(JR$2=InputTable[[#This Row],[Delivery Date]],_xlfn.XLOOKUP(JR$1,$BH$2:$BR$2,$BH154:$BR154,0),0)</f>
        <v>0</v>
      </c>
      <c r="JS154" s="26">
        <f>IF(JS$2=InputTable[[#This Row],[Delivery Date]],_xlfn.XLOOKUP(JS$1,$BH$2:$BR$2,$BH154:$BR154,0),0)</f>
        <v>0</v>
      </c>
      <c r="JT154" s="26">
        <f>IF(JT$2=InputTable[[#This Row],[Delivery Date]],_xlfn.XLOOKUP(JT$1,$BH$2:$BR$2,$BH154:$BR154,0),0)</f>
        <v>0</v>
      </c>
      <c r="JU154" s="26">
        <f>IF(JU$2=InputTable[[#This Row],[Delivery Date]],_xlfn.XLOOKUP(JU$1,$BH$2:$BR$2,$BH154:$BR154,0),0)</f>
        <v>0</v>
      </c>
      <c r="JV154" s="26">
        <f>IF(JV$2=InputTable[[#This Row],[Delivery Date]],_xlfn.XLOOKUP(JV$1,$BH$2:$BR$2,$BH154:$BR154,0),0)</f>
        <v>0</v>
      </c>
      <c r="JX154" s="26" t="e">
        <f>IF(JX$2=InputTable[[#This Row],[Delivery Date]],_xlfn.XLOOKUP(JX$1,$BH$2:$BR$2,$BH154:$BR154,0),0)</f>
        <v>#REF!</v>
      </c>
      <c r="JY154" s="26">
        <f>IF(JY$2=InputTable[[#This Row],[Delivery Date]],_xlfn.XLOOKUP(JY$1,$BH$2:$BR$2,$BH154:$BR154,0),0)</f>
        <v>0</v>
      </c>
      <c r="JZ154" s="26">
        <f>IF(JZ$2=InputTable[[#This Row],[Delivery Date]],_xlfn.XLOOKUP(JZ$1,$BH$2:$BR$2,$BH154:$BR154,0),0)</f>
        <v>0</v>
      </c>
      <c r="KA154" s="26">
        <f>IF(KA$2=InputTable[[#This Row],[Delivery Date]],_xlfn.XLOOKUP(KA$1,$BH$2:$BR$2,$BH154:$BR154,0),0)</f>
        <v>0</v>
      </c>
      <c r="KB154" s="26">
        <f>IF(KB$2=InputTable[[#This Row],[Delivery Date]],_xlfn.XLOOKUP(KB$1,$BH$2:$BR$2,$BH154:$BR154,0),0)</f>
        <v>0</v>
      </c>
      <c r="KC154" s="26">
        <f>IF(KC$2=InputTable[[#This Row],[Delivery Date]],_xlfn.XLOOKUP(KC$1,$BH$2:$BR$2,$BH154:$BR154,0),0)</f>
        <v>0</v>
      </c>
      <c r="KD154" s="26">
        <f>IF(KD$2=InputTable[[#This Row],[Delivery Date]],_xlfn.XLOOKUP(KD$1,$BH$2:$BR$2,$BH154:$BR154,0),0)</f>
        <v>0</v>
      </c>
      <c r="KE154" s="26">
        <f>IF(KE$2=InputTable[[#This Row],[Delivery Date]],_xlfn.XLOOKUP(KE$1,$BH$2:$BR$2,$BH154:$BR154,0),0)</f>
        <v>0</v>
      </c>
      <c r="KF154" s="26">
        <f>IF(KF$2=InputTable[[#This Row],[Delivery Date]],_xlfn.XLOOKUP(KF$1,$BH$2:$BR$2,$BH154:$BR154,0),0)</f>
        <v>0</v>
      </c>
    </row>
    <row r="155" spans="1:292" ht="17.399999999999999" x14ac:dyDescent="0.25">
      <c r="A155" s="141"/>
      <c r="B155" s="119"/>
      <c r="C155" s="92"/>
      <c r="D155" s="92"/>
      <c r="E155" s="93"/>
      <c r="F155" s="92"/>
      <c r="G155" s="92"/>
      <c r="H155" s="92"/>
      <c r="I155" s="92"/>
      <c r="J155" s="122"/>
      <c r="K155" s="95" t="e">
        <f>VLOOKUP((InputTable[[#This Row],[Starting Date]]&amp; " - " &amp;InputTable[[#This Row],[Delivery Date]]),'System List'!$F$40:$H$83,2,FALSE)</f>
        <v>#N/A</v>
      </c>
      <c r="L155" s="95" t="e">
        <f>VLOOKUP(InputTable[[#This Row],[Duration]],Duration,2,FALSE)</f>
        <v>#N/A</v>
      </c>
      <c r="M155" s="122"/>
      <c r="N155" s="92"/>
      <c r="O155" s="92"/>
      <c r="P155" s="92"/>
      <c r="Q155" s="92"/>
      <c r="R155" s="92"/>
      <c r="S155" s="92"/>
      <c r="T155" s="95"/>
      <c r="U155" s="138"/>
      <c r="V155" s="92"/>
      <c r="W155" s="92"/>
      <c r="X155" s="92"/>
      <c r="Y155" s="92"/>
      <c r="Z155" s="92"/>
      <c r="AA155" s="92"/>
      <c r="AB155" s="92"/>
      <c r="AC155" s="92"/>
      <c r="AD155" s="92">
        <f>COUNTA(InputTable[[#This Row],[CORPHRFIN]:[SALES]])</f>
        <v>0</v>
      </c>
      <c r="AE155" s="88" cm="1">
        <f t="array" ref="AE155">SUM(
_xlfn.XLOOKUP(InputTable[[#This Row],[CORPHRFIN]:[SALES]],'System List'!$F$4:$F$7,'System List'!$H$4:$H$7,0))</f>
        <v>0</v>
      </c>
      <c r="AF155" s="140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88" cm="1">
        <f t="array" ref="AR155">SUM(
_xlfn.XLOOKUP(InputTable[[#This Row],[Impact on - CIAL]:[Impact on - STRAT]],'System List'!$F$4:$F$7,'System List'!$H$4:$H$7,0))</f>
        <v>0</v>
      </c>
      <c r="AS155" s="88" t="e">
        <f>VLOOKUP(InputTable[[#This Row],[Duration]],Duration,2,FALSE)+InputTable[[#This Row],[Resource Score]]</f>
        <v>#N/A</v>
      </c>
      <c r="AT15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5" s="24" t="e">
        <f>InputTable[[#This Row],[Value Score]]/InputTable[[#This Row],[EFFORT SCORE]]*100</f>
        <v>#N/A</v>
      </c>
      <c r="AV155" s="25" t="s">
        <v>446</v>
      </c>
      <c r="AW155" s="25"/>
      <c r="AX155" s="208"/>
      <c r="AY155" s="25"/>
      <c r="AZ155" s="189">
        <v>0</v>
      </c>
      <c r="BA155" s="189">
        <v>0</v>
      </c>
      <c r="BB155" s="189"/>
      <c r="BC155" s="189"/>
      <c r="BD155" s="188"/>
      <c r="BE155" s="188"/>
      <c r="BF155" s="70"/>
      <c r="BH155" s="2">
        <f>IFERROR(VLOOKUP(InputTable[[#This Row],[Impact on - CIAL]],'System List'!$F$4:$H$7,3,FALSE),0)</f>
        <v>0</v>
      </c>
      <c r="BI155" s="2">
        <f>IFERROR(VLOOKUP(InputTable[[#This Row],[Impact on - COM]],'System List'!$F$4:$H$7,3,FALSE),0)</f>
        <v>0</v>
      </c>
      <c r="BJ155" s="2">
        <f>IFERROR(VLOOKUP(InputTable[[#This Row],[Impact on - FIN]],'System List'!$F$4:$H$7,3,FALSE),0)</f>
        <v>0</v>
      </c>
      <c r="BK155" s="2">
        <f>IFERROR(VLOOKUP(InputTable[[#This Row],[Impact on - GEN SEC]],'System List'!$F$4:$H$7,3,FALSE),0)</f>
        <v>0</v>
      </c>
      <c r="BL155" s="2">
        <f>IFERROR(VLOOKUP(InputTable[[#This Row],[Impact on - HR]],'System List'!$F$4:$H$7,3,FALSE),0)</f>
        <v>0</v>
      </c>
      <c r="BM155" s="2">
        <f>IFERROR(VLOOKUP(InputTable[[#This Row],[Impact on - IS]],'System List'!$F$4:$H$7,3,FALSE),0)</f>
        <v>0</v>
      </c>
      <c r="BN155" s="2">
        <f>IFERROR(VLOOKUP(InputTable[[#This Row],[Impact on - OPS]],'System List'!$F$4:$H$7,3,FALSE),0)</f>
        <v>0</v>
      </c>
      <c r="BO155" s="2">
        <f>IFERROR(VLOOKUP(InputTable[[#This Row],[Impact on - ROLL STOCK]],'System List'!$F$4:$H$7,3,FALSE),0)</f>
        <v>0</v>
      </c>
      <c r="BP155" s="2">
        <f>IFERROR(VLOOKUP(InputTable[[#This Row],[Impact on - SAFETY]],'System List'!$F$4:$H$7,3,FALSE),0)</f>
        <v>0</v>
      </c>
      <c r="BQ155" s="2">
        <f>IFERROR(VLOOKUP(InputTable[[#This Row],[Impact on - STATION]],'System List'!$F$4:$H$7,3,FALSE),0)</f>
        <v>0</v>
      </c>
      <c r="BR155" s="2">
        <f>IFERROR(VLOOKUP(InputTable[[#This Row],[Impact on - STRAT]],'System List'!$F$4:$H$7,3,FALSE),0)</f>
        <v>0</v>
      </c>
      <c r="BT155" s="2">
        <f>IFERROR(VLOOKUP(InputTable[[#This Row],[CORPHRFIN]],'System List'!$F$4:$H$7,3,FALSE),0)</f>
        <v>0</v>
      </c>
      <c r="BU155" s="2">
        <f>IFERROR(VLOOKUP(InputTable[[#This Row],[CUST]],'System List'!$F$4:$H$7,3,FALSE),0)</f>
        <v>0</v>
      </c>
      <c r="BV155" s="2">
        <f>IFERROR(VLOOKUP(InputTable[[#This Row],[CYBER]],'System List'!$F$4:$H$7,3,FALSE),0)</f>
        <v>0</v>
      </c>
      <c r="BW155" s="2">
        <f>IFERROR(VLOOKUP(InputTable[[#This Row],[DATA]],'System List'!$F$4:$H$7,3,FALSE),0)</f>
        <v>0</v>
      </c>
      <c r="BX155" s="2">
        <f>IFERROR(VLOOKUP(InputTable[[#This Row],[INFRA]],'System List'!$F$4:$H$7,3,FALSE),0)</f>
        <v>0</v>
      </c>
      <c r="BY155" s="2">
        <f>IFERROR(VLOOKUP(InputTable[[#This Row],[OPERATIONS]],'System List'!$F$4:$H$7,3,FALSE),0)</f>
        <v>0</v>
      </c>
      <c r="BZ155" s="2">
        <f>IFERROR(VLOOKUP(InputTable[[#This Row],[PMO]],'System List'!$F$4:$H$7,3,FALSE),0)</f>
        <v>0</v>
      </c>
      <c r="CA155" s="2">
        <f>IFERROR(VLOOKUP(InputTable[[#This Row],[SALES]],'System List'!$F$4:$H$7,3,FALSE),0)</f>
        <v>0</v>
      </c>
      <c r="CC155" s="2" cm="1">
        <f t="array" ref="CC15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5" s="2" cm="1">
        <f t="array" ref="CD15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5" s="2" cm="1">
        <f t="array" ref="CE15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5" s="2" cm="1">
        <f t="array" ref="CF15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5" s="2" cm="1">
        <f t="array" ref="CG15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5" s="2" cm="1">
        <f t="array" ref="CH15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5" s="2" cm="1">
        <f t="array" ref="CI15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5" s="2" cm="1">
        <f t="array" ref="CJ15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5" s="2" cm="1">
        <f t="array" ref="CK15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5" s="26">
        <f t="shared" si="379"/>
        <v>0</v>
      </c>
      <c r="CY155" s="26">
        <f t="shared" si="380"/>
        <v>0</v>
      </c>
      <c r="CZ155" s="26">
        <f t="shared" si="381"/>
        <v>0</v>
      </c>
      <c r="DA155" s="26">
        <f t="shared" si="382"/>
        <v>0</v>
      </c>
      <c r="DB155" s="26">
        <f t="shared" si="383"/>
        <v>0</v>
      </c>
      <c r="DC155" s="26">
        <f t="shared" si="384"/>
        <v>0</v>
      </c>
      <c r="DD155" s="26">
        <f t="shared" si="385"/>
        <v>0</v>
      </c>
      <c r="DE155" s="26">
        <f t="shared" si="386"/>
        <v>0</v>
      </c>
      <c r="DF155" s="26">
        <f t="shared" si="387"/>
        <v>0</v>
      </c>
      <c r="DH155" s="26">
        <f t="shared" si="388"/>
        <v>0</v>
      </c>
      <c r="DI155" s="26">
        <f t="shared" si="389"/>
        <v>0</v>
      </c>
      <c r="DJ155" s="26">
        <f t="shared" si="390"/>
        <v>0</v>
      </c>
      <c r="DK155" s="26">
        <f t="shared" si="391"/>
        <v>0</v>
      </c>
      <c r="DL155" s="26">
        <f t="shared" si="392"/>
        <v>0</v>
      </c>
      <c r="DM155" s="26">
        <f t="shared" si="393"/>
        <v>0</v>
      </c>
      <c r="DN155" s="26">
        <f t="shared" si="394"/>
        <v>0</v>
      </c>
      <c r="DO155" s="26">
        <f t="shared" si="395"/>
        <v>0</v>
      </c>
      <c r="DP155" s="26">
        <f t="shared" si="396"/>
        <v>0</v>
      </c>
      <c r="DR155" s="26">
        <f t="shared" si="397"/>
        <v>0</v>
      </c>
      <c r="DS155" s="26">
        <f t="shared" si="398"/>
        <v>0</v>
      </c>
      <c r="DT155" s="26">
        <f t="shared" si="399"/>
        <v>0</v>
      </c>
      <c r="DU155" s="26">
        <f t="shared" si="400"/>
        <v>0</v>
      </c>
      <c r="DV155" s="26">
        <f t="shared" si="401"/>
        <v>0</v>
      </c>
      <c r="DW155" s="26">
        <f t="shared" si="402"/>
        <v>0</v>
      </c>
      <c r="DX155" s="26">
        <f t="shared" si="403"/>
        <v>0</v>
      </c>
      <c r="DY155" s="26">
        <f t="shared" si="404"/>
        <v>0</v>
      </c>
      <c r="DZ155" s="26">
        <f t="shared" si="405"/>
        <v>0</v>
      </c>
      <c r="EB155" s="26">
        <f t="shared" si="406"/>
        <v>0</v>
      </c>
      <c r="EC155" s="26">
        <f t="shared" si="407"/>
        <v>0</v>
      </c>
      <c r="ED155" s="26">
        <f t="shared" si="408"/>
        <v>0</v>
      </c>
      <c r="EE155" s="26">
        <f t="shared" si="409"/>
        <v>0</v>
      </c>
      <c r="EF155" s="26">
        <f t="shared" si="410"/>
        <v>0</v>
      </c>
      <c r="EG155" s="26">
        <f t="shared" si="411"/>
        <v>0</v>
      </c>
      <c r="EH155" s="26">
        <f t="shared" si="412"/>
        <v>0</v>
      </c>
      <c r="EI155" s="26">
        <f t="shared" si="413"/>
        <v>0</v>
      </c>
      <c r="EJ155" s="26">
        <f t="shared" si="414"/>
        <v>0</v>
      </c>
      <c r="EL155" s="26">
        <f t="shared" si="415"/>
        <v>0</v>
      </c>
      <c r="EM155" s="26">
        <f t="shared" si="416"/>
        <v>0</v>
      </c>
      <c r="EN155" s="26">
        <f t="shared" si="417"/>
        <v>0</v>
      </c>
      <c r="EO155" s="26">
        <f t="shared" si="418"/>
        <v>0</v>
      </c>
      <c r="EP155" s="26">
        <f t="shared" si="419"/>
        <v>0</v>
      </c>
      <c r="EQ155" s="26">
        <f t="shared" si="420"/>
        <v>0</v>
      </c>
      <c r="ER155" s="26">
        <f t="shared" si="421"/>
        <v>0</v>
      </c>
      <c r="ES155" s="26">
        <f t="shared" si="422"/>
        <v>0</v>
      </c>
      <c r="ET155" s="26">
        <f t="shared" si="423"/>
        <v>0</v>
      </c>
      <c r="EV155" s="26">
        <f t="shared" si="424"/>
        <v>0</v>
      </c>
      <c r="EW155" s="26">
        <f t="shared" si="425"/>
        <v>0</v>
      </c>
      <c r="EX155" s="26">
        <f t="shared" si="426"/>
        <v>0</v>
      </c>
      <c r="EY155" s="26">
        <f t="shared" si="427"/>
        <v>0</v>
      </c>
      <c r="EZ155" s="26">
        <f t="shared" si="428"/>
        <v>0</v>
      </c>
      <c r="FA155" s="26">
        <f t="shared" si="429"/>
        <v>0</v>
      </c>
      <c r="FB155" s="26">
        <f t="shared" si="430"/>
        <v>0</v>
      </c>
      <c r="FC155" s="26">
        <f t="shared" si="431"/>
        <v>0</v>
      </c>
      <c r="FD155" s="26">
        <f t="shared" si="432"/>
        <v>0</v>
      </c>
      <c r="FF155" s="26">
        <f t="shared" si="433"/>
        <v>0</v>
      </c>
      <c r="FG155" s="26">
        <f t="shared" si="434"/>
        <v>0</v>
      </c>
      <c r="FH155" s="26">
        <f t="shared" si="435"/>
        <v>0</v>
      </c>
      <c r="FI155" s="26">
        <f t="shared" si="436"/>
        <v>0</v>
      </c>
      <c r="FJ155" s="26">
        <f t="shared" si="437"/>
        <v>0</v>
      </c>
      <c r="FK155" s="26">
        <f t="shared" si="438"/>
        <v>0</v>
      </c>
      <c r="FL155" s="26">
        <f t="shared" si="439"/>
        <v>0</v>
      </c>
      <c r="FM155" s="26">
        <f t="shared" si="440"/>
        <v>0</v>
      </c>
      <c r="FN155" s="26">
        <f t="shared" si="441"/>
        <v>0</v>
      </c>
      <c r="FP155" s="26" t="e">
        <f t="shared" si="442"/>
        <v>#REF!</v>
      </c>
      <c r="FQ155" s="26" t="e">
        <f t="shared" si="443"/>
        <v>#REF!</v>
      </c>
      <c r="FR155" s="26" t="e">
        <f t="shared" si="444"/>
        <v>#REF!</v>
      </c>
      <c r="FS155" s="26" t="e">
        <f t="shared" si="445"/>
        <v>#REF!</v>
      </c>
      <c r="FT155" s="26" t="e">
        <f t="shared" si="446"/>
        <v>#REF!</v>
      </c>
      <c r="FU155" s="26" t="e">
        <f t="shared" si="447"/>
        <v>#REF!</v>
      </c>
      <c r="FV155" s="26" t="e">
        <f t="shared" si="448"/>
        <v>#REF!</v>
      </c>
      <c r="FW155" s="26" t="e">
        <f t="shared" si="449"/>
        <v>#REF!</v>
      </c>
      <c r="FX155" s="26" t="e">
        <f t="shared" si="450"/>
        <v>#REF!</v>
      </c>
      <c r="GB155" s="26" t="e">
        <f>IF(GB$2=InputTable[[#This Row],[Delivery Date]],_xlfn.XLOOKUP(GB$1,$BH$2:$BR$2,$BH155:$BR155,0),0)</f>
        <v>#REF!</v>
      </c>
      <c r="GC155" s="26">
        <f>IF(GC$2=InputTable[[#This Row],[Delivery Date]],_xlfn.XLOOKUP(GC$1,$BH$2:$BR$2,$BH155:$BR155,0),0)</f>
        <v>0</v>
      </c>
      <c r="GD155" s="26">
        <f>IF(GD$2=InputTable[[#This Row],[Delivery Date]],_xlfn.XLOOKUP(GD$1,$BH$2:$BR$2,$BH155:$BR155,0),0)</f>
        <v>0</v>
      </c>
      <c r="GE155" s="26">
        <f>IF(GE$2=InputTable[[#This Row],[Delivery Date]],_xlfn.XLOOKUP(GE$1,$BH$2:$BR$2,$BH155:$BR155,0),0)</f>
        <v>0</v>
      </c>
      <c r="GF155" s="26">
        <f>IF(GF$2=InputTable[[#This Row],[Delivery Date]],_xlfn.XLOOKUP(GF$1,$BH$2:$BR$2,$BH155:$BR155,0),0)</f>
        <v>0</v>
      </c>
      <c r="GG155" s="26">
        <f>IF(GG$2=InputTable[[#This Row],[Delivery Date]],_xlfn.XLOOKUP(GG$1,$BH$2:$BR$2,$BH155:$BR155,0),0)</f>
        <v>0</v>
      </c>
      <c r="GH155" s="26">
        <f>IF(GH$2=InputTable[[#This Row],[Delivery Date]],_xlfn.XLOOKUP(GH$1,$BH$2:$BR$2,$BH155:$BR155,0),0)</f>
        <v>0</v>
      </c>
      <c r="GI155" s="26">
        <f>IF(GI$2=InputTable[[#This Row],[Delivery Date]],_xlfn.XLOOKUP(GI$1,$BH$2:$BR$2,$BH155:$BR155,0),0)</f>
        <v>0</v>
      </c>
      <c r="GJ155" s="26">
        <f>IF(GJ$2=InputTable[[#This Row],[Delivery Date]],_xlfn.XLOOKUP(GJ$1,$BH$2:$BR$2,$BH155:$BR155,0),0)</f>
        <v>0</v>
      </c>
      <c r="GL155" s="26" t="e">
        <f>IF(GL$2=InputTable[[#This Row],[Delivery Date]],_xlfn.XLOOKUP(GL$1,$BH$2:$BR$2,$BH155:$BR155,0),0)</f>
        <v>#REF!</v>
      </c>
      <c r="GM155" s="26">
        <f>IF(GM$2=InputTable[[#This Row],[Delivery Date]],_xlfn.XLOOKUP(GM$1,$BH$2:$BR$2,$BH155:$BR155,0),0)</f>
        <v>0</v>
      </c>
      <c r="GN155" s="26">
        <f>IF(GN$2=InputTable[[#This Row],[Delivery Date]],_xlfn.XLOOKUP(GN$1,$BH$2:$BR$2,$BH155:$BR155,0),0)</f>
        <v>0</v>
      </c>
      <c r="GO155" s="26">
        <f>IF(GO$2=InputTable[[#This Row],[Delivery Date]],_xlfn.XLOOKUP(GO$1,$BH$2:$BR$2,$BH155:$BR155,0),0)</f>
        <v>0</v>
      </c>
      <c r="GP155" s="26">
        <f>IF(GP$2=InputTable[[#This Row],[Delivery Date]],_xlfn.XLOOKUP(GP$1,$BH$2:$BR$2,$BH155:$BR155,0),0)</f>
        <v>0</v>
      </c>
      <c r="GQ155" s="26">
        <f>IF(GQ$2=InputTable[[#This Row],[Delivery Date]],_xlfn.XLOOKUP(GQ$1,$BH$2:$BR$2,$BH155:$BR155,0),0)</f>
        <v>0</v>
      </c>
      <c r="GR155" s="26">
        <f>IF(GR$2=InputTable[[#This Row],[Delivery Date]],_xlfn.XLOOKUP(GR$1,$BH$2:$BR$2,$BH155:$BR155,0),0)</f>
        <v>0</v>
      </c>
      <c r="GS155" s="26">
        <f>IF(GS$2=InputTable[[#This Row],[Delivery Date]],_xlfn.XLOOKUP(GS$1,$BH$2:$BR$2,$BH155:$BR155,0),0)</f>
        <v>0</v>
      </c>
      <c r="GT155" s="26">
        <f>IF(GT$2=InputTable[[#This Row],[Delivery Date]],_xlfn.XLOOKUP(GT$1,$BH$2:$BR$2,$BH155:$BR155,0),0)</f>
        <v>0</v>
      </c>
      <c r="GV155" s="26" t="e">
        <f>IF(GV$2=InputTable[[#This Row],[Delivery Date]],_xlfn.XLOOKUP(GV$1,$BH$2:$BR$2,$BH155:$BR155,0),0)</f>
        <v>#REF!</v>
      </c>
      <c r="GW155" s="26">
        <f>IF(GW$2=InputTable[[#This Row],[Delivery Date]],_xlfn.XLOOKUP(GW$1,$BH$2:$BR$2,$BH155:$BR155,0),0)</f>
        <v>0</v>
      </c>
      <c r="GX155" s="26">
        <f>IF(GX$2=InputTable[[#This Row],[Delivery Date]],_xlfn.XLOOKUP(GX$1,$BH$2:$BR$2,$BH155:$BR155,0),0)</f>
        <v>0</v>
      </c>
      <c r="GY155" s="26">
        <f>IF(GY$2=InputTable[[#This Row],[Delivery Date]],_xlfn.XLOOKUP(GY$1,$BH$2:$BR$2,$BH155:$BR155,0),0)</f>
        <v>0</v>
      </c>
      <c r="GZ155" s="26">
        <f>IF(GZ$2=InputTable[[#This Row],[Delivery Date]],_xlfn.XLOOKUP(GZ$1,$BH$2:$BR$2,$BH155:$BR155,0),0)</f>
        <v>0</v>
      </c>
      <c r="HA155" s="26">
        <f>IF(HA$2=InputTable[[#This Row],[Delivery Date]],_xlfn.XLOOKUP(HA$1,$BH$2:$BR$2,$BH155:$BR155,0),0)</f>
        <v>0</v>
      </c>
      <c r="HB155" s="26">
        <f>IF(HB$2=InputTable[[#This Row],[Delivery Date]],_xlfn.XLOOKUP(HB$1,$BH$2:$BR$2,$BH155:$BR155,0),0)</f>
        <v>0</v>
      </c>
      <c r="HC155" s="26">
        <f>IF(HC$2=InputTable[[#This Row],[Delivery Date]],_xlfn.XLOOKUP(HC$1,$BH$2:$BR$2,$BH155:$BR155,0),0)</f>
        <v>0</v>
      </c>
      <c r="HD155" s="26">
        <f>IF(HD$2=InputTable[[#This Row],[Delivery Date]],_xlfn.XLOOKUP(HD$1,$BH$2:$BR$2,$BH155:$BR155,0),0)</f>
        <v>0</v>
      </c>
      <c r="HF155" s="26" t="e">
        <f>IF(HF$2=InputTable[[#This Row],[Delivery Date]],_xlfn.XLOOKUP(HF$1,$BH$2:$BR$2,$BH155:$BR155,0),0)</f>
        <v>#REF!</v>
      </c>
      <c r="HG155" s="26">
        <f>IF(HG$2=InputTable[[#This Row],[Delivery Date]],_xlfn.XLOOKUP(HG$1,$BH$2:$BR$2,$BH155:$BR155,0),0)</f>
        <v>0</v>
      </c>
      <c r="HH155" s="26">
        <f>IF(HH$2=InputTable[[#This Row],[Delivery Date]],_xlfn.XLOOKUP(HH$1,$BH$2:$BR$2,$BH155:$BR155,0),0)</f>
        <v>0</v>
      </c>
      <c r="HI155" s="26">
        <f>IF(HI$2=InputTable[[#This Row],[Delivery Date]],_xlfn.XLOOKUP(HI$1,$BH$2:$BR$2,$BH155:$BR155,0),0)</f>
        <v>0</v>
      </c>
      <c r="HJ155" s="26">
        <f>IF(HJ$2=InputTable[[#This Row],[Delivery Date]],_xlfn.XLOOKUP(HJ$1,$BH$2:$BR$2,$BH155:$BR155,0),0)</f>
        <v>0</v>
      </c>
      <c r="HK155" s="26">
        <f>IF(HK$2=InputTable[[#This Row],[Delivery Date]],_xlfn.XLOOKUP(HK$1,$BH$2:$BR$2,$BH155:$BR155,0),0)</f>
        <v>0</v>
      </c>
      <c r="HL155" s="26">
        <f>IF(HL$2=InputTable[[#This Row],[Delivery Date]],_xlfn.XLOOKUP(HL$1,$BH$2:$BR$2,$BH155:$BR155,0),0)</f>
        <v>0</v>
      </c>
      <c r="HM155" s="26">
        <f>IF(HM$2=InputTable[[#This Row],[Delivery Date]],_xlfn.XLOOKUP(HM$1,$BH$2:$BR$2,$BH155:$BR155,0),0)</f>
        <v>0</v>
      </c>
      <c r="HN155" s="26">
        <f>IF(HN$2=InputTable[[#This Row],[Delivery Date]],_xlfn.XLOOKUP(HN$1,$BH$2:$BR$2,$BH155:$BR155,0),0)</f>
        <v>0</v>
      </c>
      <c r="HP155" s="26" t="e">
        <f>IF(HP$2=InputTable[[#This Row],[Delivery Date]],_xlfn.XLOOKUP(HP$1,$BH$2:$BR$2,$BH155:$BR155,0),0)</f>
        <v>#REF!</v>
      </c>
      <c r="HQ155" s="26">
        <f>IF(HQ$2=InputTable[[#This Row],[Delivery Date]],_xlfn.XLOOKUP(HQ$1,$BH$2:$BR$2,$BH155:$BR155,0),0)</f>
        <v>0</v>
      </c>
      <c r="HR155" s="26">
        <f>IF(HR$2=InputTable[[#This Row],[Delivery Date]],_xlfn.XLOOKUP(HR$1,$BH$2:$BR$2,$BH155:$BR155,0),0)</f>
        <v>0</v>
      </c>
      <c r="HS155" s="26">
        <f>IF(HS$2=InputTable[[#This Row],[Delivery Date]],_xlfn.XLOOKUP(HS$1,$BH$2:$BR$2,$BH155:$BR155,0),0)</f>
        <v>0</v>
      </c>
      <c r="HT155" s="26">
        <f>IF(HT$2=InputTable[[#This Row],[Delivery Date]],_xlfn.XLOOKUP(HT$1,$BH$2:$BR$2,$BH155:$BR155,0),0)</f>
        <v>0</v>
      </c>
      <c r="HU155" s="26">
        <f>IF(HU$2=InputTable[[#This Row],[Delivery Date]],_xlfn.XLOOKUP(HU$1,$BH$2:$BR$2,$BH155:$BR155,0),0)</f>
        <v>0</v>
      </c>
      <c r="HV155" s="26">
        <f>IF(HV$2=InputTable[[#This Row],[Delivery Date]],_xlfn.XLOOKUP(HV$1,$BH$2:$BR$2,$BH155:$BR155,0),0)</f>
        <v>0</v>
      </c>
      <c r="HW155" s="26">
        <f>IF(HW$2=InputTable[[#This Row],[Delivery Date]],_xlfn.XLOOKUP(HW$1,$BH$2:$BR$2,$BH155:$BR155,0),0)</f>
        <v>0</v>
      </c>
      <c r="HX155" s="26">
        <f>IF(HX$2=InputTable[[#This Row],[Delivery Date]],_xlfn.XLOOKUP(HX$1,$BH$2:$BR$2,$BH155:$BR155,0),0)</f>
        <v>0</v>
      </c>
      <c r="HZ155" s="26" t="e">
        <f>IF(HZ$2=InputTable[[#This Row],[Delivery Date]],_xlfn.XLOOKUP(HZ$1,$BH$2:$BR$2,$BH155:$BR155,0),0)</f>
        <v>#REF!</v>
      </c>
      <c r="IA155" s="26">
        <f>IF(IA$2=InputTable[[#This Row],[Delivery Date]],_xlfn.XLOOKUP(IA$1,$BH$2:$BR$2,$BH155:$BR155,0),0)</f>
        <v>0</v>
      </c>
      <c r="IB155" s="26">
        <f>IF(IB$2=InputTable[[#This Row],[Delivery Date]],_xlfn.XLOOKUP(IB$1,$BH$2:$BR$2,$BH155:$BR155,0),0)</f>
        <v>0</v>
      </c>
      <c r="IC155" s="26">
        <f>IF(IC$2=InputTable[[#This Row],[Delivery Date]],_xlfn.XLOOKUP(IC$1,$BH$2:$BR$2,$BH155:$BR155,0),0)</f>
        <v>0</v>
      </c>
      <c r="ID155" s="26">
        <f>IF(ID$2=InputTable[[#This Row],[Delivery Date]],_xlfn.XLOOKUP(ID$1,$BH$2:$BR$2,$BH155:$BR155,0),0)</f>
        <v>0</v>
      </c>
      <c r="IE155" s="26">
        <f>IF(IE$2=InputTable[[#This Row],[Delivery Date]],_xlfn.XLOOKUP(IE$1,$BH$2:$BR$2,$BH155:$BR155,0),0)</f>
        <v>0</v>
      </c>
      <c r="IF155" s="26">
        <f>IF(IF$2=InputTable[[#This Row],[Delivery Date]],_xlfn.XLOOKUP(IF$1,$BH$2:$BR$2,$BH155:$BR155,0),0)</f>
        <v>0</v>
      </c>
      <c r="IG155" s="26">
        <f>IF(IG$2=InputTable[[#This Row],[Delivery Date]],_xlfn.XLOOKUP(IG$1,$BH$2:$BR$2,$BH155:$BR155,0),0)</f>
        <v>0</v>
      </c>
      <c r="IH155" s="26">
        <f>IF(IH$2=InputTable[[#This Row],[Delivery Date]],_xlfn.XLOOKUP(IH$1,$BH$2:$BR$2,$BH155:$BR155,0),0)</f>
        <v>0</v>
      </c>
      <c r="IJ155" s="26" t="e">
        <f>IF(IJ$2=InputTable[[#This Row],[Delivery Date]],_xlfn.XLOOKUP(IJ$1,$BH$2:$BR$2,$BH155:$BR155,0),0)</f>
        <v>#REF!</v>
      </c>
      <c r="IK155" s="26">
        <f>IF(IK$2=InputTable[[#This Row],[Delivery Date]],_xlfn.XLOOKUP(IK$1,$BH$2:$BR$2,$BH155:$BR155,0),0)</f>
        <v>0</v>
      </c>
      <c r="IL155" s="26">
        <f>IF(IL$2=InputTable[[#This Row],[Delivery Date]],_xlfn.XLOOKUP(IL$1,$BH$2:$BR$2,$BH155:$BR155,0),0)</f>
        <v>0</v>
      </c>
      <c r="IM155" s="26">
        <f>IF(IM$2=InputTable[[#This Row],[Delivery Date]],_xlfn.XLOOKUP(IM$1,$BH$2:$BR$2,$BH155:$BR155,0),0)</f>
        <v>0</v>
      </c>
      <c r="IN155" s="26">
        <f>IF(IN$2=InputTable[[#This Row],[Delivery Date]],_xlfn.XLOOKUP(IN$1,$BH$2:$BR$2,$BH155:$BR155,0),0)</f>
        <v>0</v>
      </c>
      <c r="IO155" s="26">
        <f>IF(IO$2=InputTable[[#This Row],[Delivery Date]],_xlfn.XLOOKUP(IO$1,$BH$2:$BR$2,$BH155:$BR155,0),0)</f>
        <v>0</v>
      </c>
      <c r="IP155" s="26">
        <f>IF(IP$2=InputTable[[#This Row],[Delivery Date]],_xlfn.XLOOKUP(IP$1,$BH$2:$BR$2,$BH155:$BR155,0),0)</f>
        <v>0</v>
      </c>
      <c r="IQ155" s="26">
        <f>IF(IQ$2=InputTable[[#This Row],[Delivery Date]],_xlfn.XLOOKUP(IQ$1,$BH$2:$BR$2,$BH155:$BR155,0),0)</f>
        <v>0</v>
      </c>
      <c r="IR155" s="26">
        <f>IF(IR$2=InputTable[[#This Row],[Delivery Date]],_xlfn.XLOOKUP(IR$1,$BH$2:$BR$2,$BH155:$BR155,0),0)</f>
        <v>0</v>
      </c>
      <c r="IT155" s="26" t="e">
        <f>IF(IT$2=InputTable[[#This Row],[Delivery Date]],_xlfn.XLOOKUP(IT$1,$BH$2:$BR$2,$BH155:$BR155,0),0)</f>
        <v>#REF!</v>
      </c>
      <c r="IU155" s="26">
        <f>IF(IU$2=InputTable[[#This Row],[Delivery Date]],_xlfn.XLOOKUP(IU$1,$BH$2:$BR$2,$BH155:$BR155,0),0)</f>
        <v>0</v>
      </c>
      <c r="IV155" s="26">
        <f>IF(IV$2=InputTable[[#This Row],[Delivery Date]],_xlfn.XLOOKUP(IV$1,$BH$2:$BR$2,$BH155:$BR155,0),0)</f>
        <v>0</v>
      </c>
      <c r="IW155" s="26">
        <f>IF(IW$2=InputTable[[#This Row],[Delivery Date]],_xlfn.XLOOKUP(IW$1,$BH$2:$BR$2,$BH155:$BR155,0),0)</f>
        <v>0</v>
      </c>
      <c r="IX155" s="26">
        <f>IF(IX$2=InputTable[[#This Row],[Delivery Date]],_xlfn.XLOOKUP(IX$1,$BH$2:$BR$2,$BH155:$BR155,0),0)</f>
        <v>0</v>
      </c>
      <c r="IY155" s="26">
        <f>IF(IY$2=InputTable[[#This Row],[Delivery Date]],_xlfn.XLOOKUP(IY$1,$BH$2:$BR$2,$BH155:$BR155,0),0)</f>
        <v>0</v>
      </c>
      <c r="IZ155" s="26">
        <f>IF(IZ$2=InputTable[[#This Row],[Delivery Date]],_xlfn.XLOOKUP(IZ$1,$BH$2:$BR$2,$BH155:$BR155,0),0)</f>
        <v>0</v>
      </c>
      <c r="JA155" s="26">
        <f>IF(JA$2=InputTable[[#This Row],[Delivery Date]],_xlfn.XLOOKUP(JA$1,$BH$2:$BR$2,$BH155:$BR155,0),0)</f>
        <v>0</v>
      </c>
      <c r="JB155" s="26">
        <f>IF(JB$2=InputTable[[#This Row],[Delivery Date]],_xlfn.XLOOKUP(JB$1,$BH$2:$BR$2,$BH155:$BR155,0),0)</f>
        <v>0</v>
      </c>
      <c r="JD155" s="26" t="e">
        <f>IF(JD$2=InputTable[[#This Row],[Delivery Date]],_xlfn.XLOOKUP(JD$1,$BH$2:$BR$2,$BH155:$BR155,0),0)</f>
        <v>#REF!</v>
      </c>
      <c r="JE155" s="26">
        <f>IF(JE$2=InputTable[[#This Row],[Delivery Date]],_xlfn.XLOOKUP(JE$1,$BH$2:$BR$2,$BH155:$BR155,0),0)</f>
        <v>0</v>
      </c>
      <c r="JF155" s="26">
        <f>IF(JF$2=InputTable[[#This Row],[Delivery Date]],_xlfn.XLOOKUP(JF$1,$BH$2:$BR$2,$BH155:$BR155,0),0)</f>
        <v>0</v>
      </c>
      <c r="JG155" s="26">
        <f>IF(JG$2=InputTable[[#This Row],[Delivery Date]],_xlfn.XLOOKUP(JG$1,$BH$2:$BR$2,$BH155:$BR155,0),0)</f>
        <v>0</v>
      </c>
      <c r="JH155" s="26">
        <f>IF(JH$2=InputTable[[#This Row],[Delivery Date]],_xlfn.XLOOKUP(JH$1,$BH$2:$BR$2,$BH155:$BR155,0),0)</f>
        <v>0</v>
      </c>
      <c r="JI155" s="26">
        <f>IF(JI$2=InputTable[[#This Row],[Delivery Date]],_xlfn.XLOOKUP(JI$1,$BH$2:$BR$2,$BH155:$BR155,0),0)</f>
        <v>0</v>
      </c>
      <c r="JJ155" s="26">
        <f>IF(JJ$2=InputTable[[#This Row],[Delivery Date]],_xlfn.XLOOKUP(JJ$1,$BH$2:$BR$2,$BH155:$BR155,0),0)</f>
        <v>0</v>
      </c>
      <c r="JK155" s="26">
        <f>IF(JK$2=InputTable[[#This Row],[Delivery Date]],_xlfn.XLOOKUP(JK$1,$BH$2:$BR$2,$BH155:$BR155,0),0)</f>
        <v>0</v>
      </c>
      <c r="JL155" s="26">
        <f>IF(JL$2=InputTable[[#This Row],[Delivery Date]],_xlfn.XLOOKUP(JL$1,$BH$2:$BR$2,$BH155:$BR155,0),0)</f>
        <v>0</v>
      </c>
      <c r="JN155" s="26" t="e">
        <f>IF(JN$2=InputTable[[#This Row],[Delivery Date]],_xlfn.XLOOKUP(JN$1,$BH$2:$BR$2,$BH155:$BR155,0),0)</f>
        <v>#REF!</v>
      </c>
      <c r="JO155" s="26">
        <f>IF(JO$2=InputTable[[#This Row],[Delivery Date]],_xlfn.XLOOKUP(JO$1,$BH$2:$BR$2,$BH155:$BR155,0),0)</f>
        <v>0</v>
      </c>
      <c r="JP155" s="26">
        <f>IF(JP$2=InputTable[[#This Row],[Delivery Date]],_xlfn.XLOOKUP(JP$1,$BH$2:$BR$2,$BH155:$BR155,0),0)</f>
        <v>0</v>
      </c>
      <c r="JQ155" s="26">
        <f>IF(JQ$2=InputTable[[#This Row],[Delivery Date]],_xlfn.XLOOKUP(JQ$1,$BH$2:$BR$2,$BH155:$BR155,0),0)</f>
        <v>0</v>
      </c>
      <c r="JR155" s="26">
        <f>IF(JR$2=InputTable[[#This Row],[Delivery Date]],_xlfn.XLOOKUP(JR$1,$BH$2:$BR$2,$BH155:$BR155,0),0)</f>
        <v>0</v>
      </c>
      <c r="JS155" s="26">
        <f>IF(JS$2=InputTable[[#This Row],[Delivery Date]],_xlfn.XLOOKUP(JS$1,$BH$2:$BR$2,$BH155:$BR155,0),0)</f>
        <v>0</v>
      </c>
      <c r="JT155" s="26">
        <f>IF(JT$2=InputTable[[#This Row],[Delivery Date]],_xlfn.XLOOKUP(JT$1,$BH$2:$BR$2,$BH155:$BR155,0),0)</f>
        <v>0</v>
      </c>
      <c r="JU155" s="26">
        <f>IF(JU$2=InputTable[[#This Row],[Delivery Date]],_xlfn.XLOOKUP(JU$1,$BH$2:$BR$2,$BH155:$BR155,0),0)</f>
        <v>0</v>
      </c>
      <c r="JV155" s="26">
        <f>IF(JV$2=InputTable[[#This Row],[Delivery Date]],_xlfn.XLOOKUP(JV$1,$BH$2:$BR$2,$BH155:$BR155,0),0)</f>
        <v>0</v>
      </c>
      <c r="JX155" s="26" t="e">
        <f>IF(JX$2=InputTable[[#This Row],[Delivery Date]],_xlfn.XLOOKUP(JX$1,$BH$2:$BR$2,$BH155:$BR155,0),0)</f>
        <v>#REF!</v>
      </c>
      <c r="JY155" s="26">
        <f>IF(JY$2=InputTable[[#This Row],[Delivery Date]],_xlfn.XLOOKUP(JY$1,$BH$2:$BR$2,$BH155:$BR155,0),0)</f>
        <v>0</v>
      </c>
      <c r="JZ155" s="26">
        <f>IF(JZ$2=InputTable[[#This Row],[Delivery Date]],_xlfn.XLOOKUP(JZ$1,$BH$2:$BR$2,$BH155:$BR155,0),0)</f>
        <v>0</v>
      </c>
      <c r="KA155" s="26">
        <f>IF(KA$2=InputTable[[#This Row],[Delivery Date]],_xlfn.XLOOKUP(KA$1,$BH$2:$BR$2,$BH155:$BR155,0),0)</f>
        <v>0</v>
      </c>
      <c r="KB155" s="26">
        <f>IF(KB$2=InputTable[[#This Row],[Delivery Date]],_xlfn.XLOOKUP(KB$1,$BH$2:$BR$2,$BH155:$BR155,0),0)</f>
        <v>0</v>
      </c>
      <c r="KC155" s="26">
        <f>IF(KC$2=InputTable[[#This Row],[Delivery Date]],_xlfn.XLOOKUP(KC$1,$BH$2:$BR$2,$BH155:$BR155,0),0)</f>
        <v>0</v>
      </c>
      <c r="KD155" s="26">
        <f>IF(KD$2=InputTable[[#This Row],[Delivery Date]],_xlfn.XLOOKUP(KD$1,$BH$2:$BR$2,$BH155:$BR155,0),0)</f>
        <v>0</v>
      </c>
      <c r="KE155" s="26">
        <f>IF(KE$2=InputTable[[#This Row],[Delivery Date]],_xlfn.XLOOKUP(KE$1,$BH$2:$BR$2,$BH155:$BR155,0),0)</f>
        <v>0</v>
      </c>
      <c r="KF155" s="26">
        <f>IF(KF$2=InputTable[[#This Row],[Delivery Date]],_xlfn.XLOOKUP(KF$1,$BH$2:$BR$2,$BH155:$BR155,0),0)</f>
        <v>0</v>
      </c>
    </row>
    <row r="156" spans="1:292" ht="17.399999999999999" x14ac:dyDescent="0.25">
      <c r="A156" s="141"/>
      <c r="B156" s="119"/>
      <c r="C156" s="92"/>
      <c r="D156" s="92"/>
      <c r="E156" s="93"/>
      <c r="F156" s="92"/>
      <c r="G156" s="92"/>
      <c r="H156" s="92"/>
      <c r="I156" s="92"/>
      <c r="J156" s="122"/>
      <c r="K156" s="95" t="e">
        <f>VLOOKUP((InputTable[[#This Row],[Starting Date]]&amp; " - " &amp;InputTable[[#This Row],[Delivery Date]]),'System List'!$F$40:$H$83,2,FALSE)</f>
        <v>#N/A</v>
      </c>
      <c r="L156" s="95" t="e">
        <f>VLOOKUP(InputTable[[#This Row],[Duration]],Duration,2,FALSE)</f>
        <v>#N/A</v>
      </c>
      <c r="M156" s="122"/>
      <c r="N156" s="92"/>
      <c r="O156" s="92"/>
      <c r="P156" s="92"/>
      <c r="Q156" s="92"/>
      <c r="R156" s="92"/>
      <c r="S156" s="92"/>
      <c r="T156" s="95"/>
      <c r="U156" s="138"/>
      <c r="V156" s="92"/>
      <c r="W156" s="92"/>
      <c r="X156" s="92"/>
      <c r="Y156" s="92"/>
      <c r="Z156" s="92"/>
      <c r="AA156" s="92"/>
      <c r="AB156" s="92"/>
      <c r="AC156" s="92"/>
      <c r="AD156" s="92">
        <f>COUNTA(InputTable[[#This Row],[CORPHRFIN]:[SALES]])</f>
        <v>0</v>
      </c>
      <c r="AE156" s="88" cm="1">
        <f t="array" ref="AE156">SUM(
_xlfn.XLOOKUP(InputTable[[#This Row],[CORPHRFIN]:[SALES]],'System List'!$F$4:$F$7,'System List'!$H$4:$H$7,0))</f>
        <v>0</v>
      </c>
      <c r="AF156" s="140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88" cm="1">
        <f t="array" ref="AR156">SUM(
_xlfn.XLOOKUP(InputTable[[#This Row],[Impact on - CIAL]:[Impact on - STRAT]],'System List'!$F$4:$F$7,'System List'!$H$4:$H$7,0))</f>
        <v>0</v>
      </c>
      <c r="AS156" s="88" t="e">
        <f>VLOOKUP(InputTable[[#This Row],[Duration]],Duration,2,FALSE)+InputTable[[#This Row],[Resource Score]]</f>
        <v>#N/A</v>
      </c>
      <c r="AT15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6" s="69" t="e">
        <f>InputTable[[#This Row],[Value Score]]/InputTable[[#This Row],[EFFORT SCORE]]*100</f>
        <v>#N/A</v>
      </c>
      <c r="AV156" s="25" t="s">
        <v>447</v>
      </c>
      <c r="AW156" s="25"/>
      <c r="AX156" s="208"/>
      <c r="AY156" s="25"/>
      <c r="AZ156" s="189">
        <v>0</v>
      </c>
      <c r="BA156" s="189">
        <v>0</v>
      </c>
      <c r="BB156" s="189"/>
      <c r="BC156" s="189"/>
      <c r="BD156" s="188"/>
      <c r="BE156" s="188"/>
      <c r="BF156" s="70"/>
      <c r="BH156" s="2">
        <f>IFERROR(VLOOKUP(InputTable[[#This Row],[Impact on - CIAL]],'System List'!$F$4:$H$7,3,FALSE),0)</f>
        <v>0</v>
      </c>
      <c r="BI156" s="2">
        <f>IFERROR(VLOOKUP(InputTable[[#This Row],[Impact on - COM]],'System List'!$F$4:$H$7,3,FALSE),0)</f>
        <v>0</v>
      </c>
      <c r="BJ156" s="2">
        <f>IFERROR(VLOOKUP(InputTable[[#This Row],[Impact on - FIN]],'System List'!$F$4:$H$7,3,FALSE),0)</f>
        <v>0</v>
      </c>
      <c r="BK156" s="2">
        <f>IFERROR(VLOOKUP(InputTable[[#This Row],[Impact on - GEN SEC]],'System List'!$F$4:$H$7,3,FALSE),0)</f>
        <v>0</v>
      </c>
      <c r="BL156" s="2">
        <f>IFERROR(VLOOKUP(InputTable[[#This Row],[Impact on - HR]],'System List'!$F$4:$H$7,3,FALSE),0)</f>
        <v>0</v>
      </c>
      <c r="BM156" s="2">
        <f>IFERROR(VLOOKUP(InputTable[[#This Row],[Impact on - IS]],'System List'!$F$4:$H$7,3,FALSE),0)</f>
        <v>0</v>
      </c>
      <c r="BN156" s="2">
        <f>IFERROR(VLOOKUP(InputTable[[#This Row],[Impact on - OPS]],'System List'!$F$4:$H$7,3,FALSE),0)</f>
        <v>0</v>
      </c>
      <c r="BO156" s="2">
        <f>IFERROR(VLOOKUP(InputTable[[#This Row],[Impact on - ROLL STOCK]],'System List'!$F$4:$H$7,3,FALSE),0)</f>
        <v>0</v>
      </c>
      <c r="BP156" s="2">
        <f>IFERROR(VLOOKUP(InputTable[[#This Row],[Impact on - SAFETY]],'System List'!$F$4:$H$7,3,FALSE),0)</f>
        <v>0</v>
      </c>
      <c r="BQ156" s="2">
        <f>IFERROR(VLOOKUP(InputTable[[#This Row],[Impact on - STATION]],'System List'!$F$4:$H$7,3,FALSE),0)</f>
        <v>0</v>
      </c>
      <c r="BR156" s="2">
        <f>IFERROR(VLOOKUP(InputTable[[#This Row],[Impact on - STRAT]],'System List'!$F$4:$H$7,3,FALSE),0)</f>
        <v>0</v>
      </c>
      <c r="BT156" s="2">
        <f>IFERROR(VLOOKUP(InputTable[[#This Row],[CORPHRFIN]],'System List'!$F$4:$H$7,3,FALSE),0)</f>
        <v>0</v>
      </c>
      <c r="BU156" s="2">
        <f>IFERROR(VLOOKUP(InputTable[[#This Row],[CUST]],'System List'!$F$4:$H$7,3,FALSE),0)</f>
        <v>0</v>
      </c>
      <c r="BV156" s="2">
        <f>IFERROR(VLOOKUP(InputTable[[#This Row],[CYBER]],'System List'!$F$4:$H$7,3,FALSE),0)</f>
        <v>0</v>
      </c>
      <c r="BW156" s="2">
        <f>IFERROR(VLOOKUP(InputTable[[#This Row],[DATA]],'System List'!$F$4:$H$7,3,FALSE),0)</f>
        <v>0</v>
      </c>
      <c r="BX156" s="2">
        <f>IFERROR(VLOOKUP(InputTable[[#This Row],[INFRA]],'System List'!$F$4:$H$7,3,FALSE),0)</f>
        <v>0</v>
      </c>
      <c r="BY156" s="2">
        <f>IFERROR(VLOOKUP(InputTable[[#This Row],[OPERATIONS]],'System List'!$F$4:$H$7,3,FALSE),0)</f>
        <v>0</v>
      </c>
      <c r="BZ156" s="2">
        <f>IFERROR(VLOOKUP(InputTable[[#This Row],[PMO]],'System List'!$F$4:$H$7,3,FALSE),0)</f>
        <v>0</v>
      </c>
      <c r="CA156" s="2">
        <f>IFERROR(VLOOKUP(InputTable[[#This Row],[SALES]],'System List'!$F$4:$H$7,3,FALSE),0)</f>
        <v>0</v>
      </c>
      <c r="CC156" s="2" cm="1">
        <f t="array" ref="CC15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6" s="2" cm="1">
        <f t="array" ref="CD15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6" s="2" cm="1">
        <f t="array" ref="CE15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6" s="2" cm="1">
        <f t="array" ref="CF15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6" s="2" cm="1">
        <f t="array" ref="CG15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6" s="2" cm="1">
        <f t="array" ref="CH15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6" s="2" cm="1">
        <f t="array" ref="CI15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6" s="2" cm="1">
        <f t="array" ref="CJ15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6" s="2" cm="1">
        <f t="array" ref="CK15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6" s="26">
        <f t="shared" si="379"/>
        <v>0</v>
      </c>
      <c r="CY156" s="26">
        <f t="shared" si="380"/>
        <v>0</v>
      </c>
      <c r="CZ156" s="26">
        <f t="shared" si="381"/>
        <v>0</v>
      </c>
      <c r="DA156" s="26">
        <f t="shared" si="382"/>
        <v>0</v>
      </c>
      <c r="DB156" s="26">
        <f t="shared" si="383"/>
        <v>0</v>
      </c>
      <c r="DC156" s="26">
        <f t="shared" si="384"/>
        <v>0</v>
      </c>
      <c r="DD156" s="26">
        <f t="shared" si="385"/>
        <v>0</v>
      </c>
      <c r="DE156" s="26">
        <f t="shared" si="386"/>
        <v>0</v>
      </c>
      <c r="DF156" s="26">
        <f t="shared" si="387"/>
        <v>0</v>
      </c>
      <c r="DH156" s="26">
        <f t="shared" si="388"/>
        <v>0</v>
      </c>
      <c r="DI156" s="26">
        <f t="shared" si="389"/>
        <v>0</v>
      </c>
      <c r="DJ156" s="26">
        <f t="shared" si="390"/>
        <v>0</v>
      </c>
      <c r="DK156" s="26">
        <f t="shared" si="391"/>
        <v>0</v>
      </c>
      <c r="DL156" s="26">
        <f t="shared" si="392"/>
        <v>0</v>
      </c>
      <c r="DM156" s="26">
        <f t="shared" si="393"/>
        <v>0</v>
      </c>
      <c r="DN156" s="26">
        <f t="shared" si="394"/>
        <v>0</v>
      </c>
      <c r="DO156" s="26">
        <f t="shared" si="395"/>
        <v>0</v>
      </c>
      <c r="DP156" s="26">
        <f t="shared" si="396"/>
        <v>0</v>
      </c>
      <c r="DR156" s="26">
        <f t="shared" si="397"/>
        <v>0</v>
      </c>
      <c r="DS156" s="26">
        <f t="shared" si="398"/>
        <v>0</v>
      </c>
      <c r="DT156" s="26">
        <f t="shared" si="399"/>
        <v>0</v>
      </c>
      <c r="DU156" s="26">
        <f t="shared" si="400"/>
        <v>0</v>
      </c>
      <c r="DV156" s="26">
        <f t="shared" si="401"/>
        <v>0</v>
      </c>
      <c r="DW156" s="26">
        <f t="shared" si="402"/>
        <v>0</v>
      </c>
      <c r="DX156" s="26">
        <f t="shared" si="403"/>
        <v>0</v>
      </c>
      <c r="DY156" s="26">
        <f t="shared" si="404"/>
        <v>0</v>
      </c>
      <c r="DZ156" s="26">
        <f t="shared" si="405"/>
        <v>0</v>
      </c>
      <c r="EB156" s="26">
        <f t="shared" si="406"/>
        <v>0</v>
      </c>
      <c r="EC156" s="26">
        <f t="shared" si="407"/>
        <v>0</v>
      </c>
      <c r="ED156" s="26">
        <f t="shared" si="408"/>
        <v>0</v>
      </c>
      <c r="EE156" s="26">
        <f t="shared" si="409"/>
        <v>0</v>
      </c>
      <c r="EF156" s="26">
        <f t="shared" si="410"/>
        <v>0</v>
      </c>
      <c r="EG156" s="26">
        <f t="shared" si="411"/>
        <v>0</v>
      </c>
      <c r="EH156" s="26">
        <f t="shared" si="412"/>
        <v>0</v>
      </c>
      <c r="EI156" s="26">
        <f t="shared" si="413"/>
        <v>0</v>
      </c>
      <c r="EJ156" s="26">
        <f t="shared" si="414"/>
        <v>0</v>
      </c>
      <c r="EL156" s="26">
        <f t="shared" si="415"/>
        <v>0</v>
      </c>
      <c r="EM156" s="26">
        <f t="shared" si="416"/>
        <v>0</v>
      </c>
      <c r="EN156" s="26">
        <f t="shared" si="417"/>
        <v>0</v>
      </c>
      <c r="EO156" s="26">
        <f t="shared" si="418"/>
        <v>0</v>
      </c>
      <c r="EP156" s="26">
        <f t="shared" si="419"/>
        <v>0</v>
      </c>
      <c r="EQ156" s="26">
        <f t="shared" si="420"/>
        <v>0</v>
      </c>
      <c r="ER156" s="26">
        <f t="shared" si="421"/>
        <v>0</v>
      </c>
      <c r="ES156" s="26">
        <f t="shared" si="422"/>
        <v>0</v>
      </c>
      <c r="ET156" s="26">
        <f t="shared" si="423"/>
        <v>0</v>
      </c>
      <c r="EV156" s="26">
        <f t="shared" si="424"/>
        <v>0</v>
      </c>
      <c r="EW156" s="26">
        <f t="shared" si="425"/>
        <v>0</v>
      </c>
      <c r="EX156" s="26">
        <f t="shared" si="426"/>
        <v>0</v>
      </c>
      <c r="EY156" s="26">
        <f t="shared" si="427"/>
        <v>0</v>
      </c>
      <c r="EZ156" s="26">
        <f t="shared" si="428"/>
        <v>0</v>
      </c>
      <c r="FA156" s="26">
        <f t="shared" si="429"/>
        <v>0</v>
      </c>
      <c r="FB156" s="26">
        <f t="shared" si="430"/>
        <v>0</v>
      </c>
      <c r="FC156" s="26">
        <f t="shared" si="431"/>
        <v>0</v>
      </c>
      <c r="FD156" s="26">
        <f t="shared" si="432"/>
        <v>0</v>
      </c>
      <c r="FF156" s="26">
        <f t="shared" si="433"/>
        <v>0</v>
      </c>
      <c r="FG156" s="26">
        <f t="shared" si="434"/>
        <v>0</v>
      </c>
      <c r="FH156" s="26">
        <f t="shared" si="435"/>
        <v>0</v>
      </c>
      <c r="FI156" s="26">
        <f t="shared" si="436"/>
        <v>0</v>
      </c>
      <c r="FJ156" s="26">
        <f t="shared" si="437"/>
        <v>0</v>
      </c>
      <c r="FK156" s="26">
        <f t="shared" si="438"/>
        <v>0</v>
      </c>
      <c r="FL156" s="26">
        <f t="shared" si="439"/>
        <v>0</v>
      </c>
      <c r="FM156" s="26">
        <f t="shared" si="440"/>
        <v>0</v>
      </c>
      <c r="FN156" s="26">
        <f t="shared" si="441"/>
        <v>0</v>
      </c>
      <c r="FP156" s="26" t="e">
        <f t="shared" si="442"/>
        <v>#REF!</v>
      </c>
      <c r="FQ156" s="26" t="e">
        <f t="shared" si="443"/>
        <v>#REF!</v>
      </c>
      <c r="FR156" s="26" t="e">
        <f t="shared" si="444"/>
        <v>#REF!</v>
      </c>
      <c r="FS156" s="26" t="e">
        <f t="shared" si="445"/>
        <v>#REF!</v>
      </c>
      <c r="FT156" s="26" t="e">
        <f t="shared" si="446"/>
        <v>#REF!</v>
      </c>
      <c r="FU156" s="26" t="e">
        <f t="shared" si="447"/>
        <v>#REF!</v>
      </c>
      <c r="FV156" s="26" t="e">
        <f t="shared" si="448"/>
        <v>#REF!</v>
      </c>
      <c r="FW156" s="26" t="e">
        <f t="shared" si="449"/>
        <v>#REF!</v>
      </c>
      <c r="FX156" s="26" t="e">
        <f t="shared" si="450"/>
        <v>#REF!</v>
      </c>
      <c r="GB156" s="26" t="e">
        <f>IF(GB$2=InputTable[[#This Row],[Delivery Date]],_xlfn.XLOOKUP(GB$1,$BH$2:$BR$2,$BH156:$BR156,0),0)</f>
        <v>#REF!</v>
      </c>
      <c r="GC156" s="26">
        <f>IF(GC$2=InputTable[[#This Row],[Delivery Date]],_xlfn.XLOOKUP(GC$1,$BH$2:$BR$2,$BH156:$BR156,0),0)</f>
        <v>0</v>
      </c>
      <c r="GD156" s="26">
        <f>IF(GD$2=InputTable[[#This Row],[Delivery Date]],_xlfn.XLOOKUP(GD$1,$BH$2:$BR$2,$BH156:$BR156,0),0)</f>
        <v>0</v>
      </c>
      <c r="GE156" s="26">
        <f>IF(GE$2=InputTable[[#This Row],[Delivery Date]],_xlfn.XLOOKUP(GE$1,$BH$2:$BR$2,$BH156:$BR156,0),0)</f>
        <v>0</v>
      </c>
      <c r="GF156" s="26">
        <f>IF(GF$2=InputTable[[#This Row],[Delivery Date]],_xlfn.XLOOKUP(GF$1,$BH$2:$BR$2,$BH156:$BR156,0),0)</f>
        <v>0</v>
      </c>
      <c r="GG156" s="26">
        <f>IF(GG$2=InputTable[[#This Row],[Delivery Date]],_xlfn.XLOOKUP(GG$1,$BH$2:$BR$2,$BH156:$BR156,0),0)</f>
        <v>0</v>
      </c>
      <c r="GH156" s="26">
        <f>IF(GH$2=InputTable[[#This Row],[Delivery Date]],_xlfn.XLOOKUP(GH$1,$BH$2:$BR$2,$BH156:$BR156,0),0)</f>
        <v>0</v>
      </c>
      <c r="GI156" s="26">
        <f>IF(GI$2=InputTable[[#This Row],[Delivery Date]],_xlfn.XLOOKUP(GI$1,$BH$2:$BR$2,$BH156:$BR156,0),0)</f>
        <v>0</v>
      </c>
      <c r="GJ156" s="26">
        <f>IF(GJ$2=InputTable[[#This Row],[Delivery Date]],_xlfn.XLOOKUP(GJ$1,$BH$2:$BR$2,$BH156:$BR156,0),0)</f>
        <v>0</v>
      </c>
      <c r="GL156" s="26" t="e">
        <f>IF(GL$2=InputTable[[#This Row],[Delivery Date]],_xlfn.XLOOKUP(GL$1,$BH$2:$BR$2,$BH156:$BR156,0),0)</f>
        <v>#REF!</v>
      </c>
      <c r="GM156" s="26">
        <f>IF(GM$2=InputTable[[#This Row],[Delivery Date]],_xlfn.XLOOKUP(GM$1,$BH$2:$BR$2,$BH156:$BR156,0),0)</f>
        <v>0</v>
      </c>
      <c r="GN156" s="26">
        <f>IF(GN$2=InputTable[[#This Row],[Delivery Date]],_xlfn.XLOOKUP(GN$1,$BH$2:$BR$2,$BH156:$BR156,0),0)</f>
        <v>0</v>
      </c>
      <c r="GO156" s="26">
        <f>IF(GO$2=InputTable[[#This Row],[Delivery Date]],_xlfn.XLOOKUP(GO$1,$BH$2:$BR$2,$BH156:$BR156,0),0)</f>
        <v>0</v>
      </c>
      <c r="GP156" s="26">
        <f>IF(GP$2=InputTable[[#This Row],[Delivery Date]],_xlfn.XLOOKUP(GP$1,$BH$2:$BR$2,$BH156:$BR156,0),0)</f>
        <v>0</v>
      </c>
      <c r="GQ156" s="26">
        <f>IF(GQ$2=InputTable[[#This Row],[Delivery Date]],_xlfn.XLOOKUP(GQ$1,$BH$2:$BR$2,$BH156:$BR156,0),0)</f>
        <v>0</v>
      </c>
      <c r="GR156" s="26">
        <f>IF(GR$2=InputTable[[#This Row],[Delivery Date]],_xlfn.XLOOKUP(GR$1,$BH$2:$BR$2,$BH156:$BR156,0),0)</f>
        <v>0</v>
      </c>
      <c r="GS156" s="26">
        <f>IF(GS$2=InputTable[[#This Row],[Delivery Date]],_xlfn.XLOOKUP(GS$1,$BH$2:$BR$2,$BH156:$BR156,0),0)</f>
        <v>0</v>
      </c>
      <c r="GT156" s="26">
        <f>IF(GT$2=InputTable[[#This Row],[Delivery Date]],_xlfn.XLOOKUP(GT$1,$BH$2:$BR$2,$BH156:$BR156,0),0)</f>
        <v>0</v>
      </c>
      <c r="GV156" s="26" t="e">
        <f>IF(GV$2=InputTable[[#This Row],[Delivery Date]],_xlfn.XLOOKUP(GV$1,$BH$2:$BR$2,$BH156:$BR156,0),0)</f>
        <v>#REF!</v>
      </c>
      <c r="GW156" s="26">
        <f>IF(GW$2=InputTable[[#This Row],[Delivery Date]],_xlfn.XLOOKUP(GW$1,$BH$2:$BR$2,$BH156:$BR156,0),0)</f>
        <v>0</v>
      </c>
      <c r="GX156" s="26">
        <f>IF(GX$2=InputTable[[#This Row],[Delivery Date]],_xlfn.XLOOKUP(GX$1,$BH$2:$BR$2,$BH156:$BR156,0),0)</f>
        <v>0</v>
      </c>
      <c r="GY156" s="26">
        <f>IF(GY$2=InputTable[[#This Row],[Delivery Date]],_xlfn.XLOOKUP(GY$1,$BH$2:$BR$2,$BH156:$BR156,0),0)</f>
        <v>0</v>
      </c>
      <c r="GZ156" s="26">
        <f>IF(GZ$2=InputTable[[#This Row],[Delivery Date]],_xlfn.XLOOKUP(GZ$1,$BH$2:$BR$2,$BH156:$BR156,0),0)</f>
        <v>0</v>
      </c>
      <c r="HA156" s="26">
        <f>IF(HA$2=InputTable[[#This Row],[Delivery Date]],_xlfn.XLOOKUP(HA$1,$BH$2:$BR$2,$BH156:$BR156,0),0)</f>
        <v>0</v>
      </c>
      <c r="HB156" s="26">
        <f>IF(HB$2=InputTable[[#This Row],[Delivery Date]],_xlfn.XLOOKUP(HB$1,$BH$2:$BR$2,$BH156:$BR156,0),0)</f>
        <v>0</v>
      </c>
      <c r="HC156" s="26">
        <f>IF(HC$2=InputTable[[#This Row],[Delivery Date]],_xlfn.XLOOKUP(HC$1,$BH$2:$BR$2,$BH156:$BR156,0),0)</f>
        <v>0</v>
      </c>
      <c r="HD156" s="26">
        <f>IF(HD$2=InputTable[[#This Row],[Delivery Date]],_xlfn.XLOOKUP(HD$1,$BH$2:$BR$2,$BH156:$BR156,0),0)</f>
        <v>0</v>
      </c>
      <c r="HF156" s="26" t="e">
        <f>IF(HF$2=InputTable[[#This Row],[Delivery Date]],_xlfn.XLOOKUP(HF$1,$BH$2:$BR$2,$BH156:$BR156,0),0)</f>
        <v>#REF!</v>
      </c>
      <c r="HG156" s="26">
        <f>IF(HG$2=InputTable[[#This Row],[Delivery Date]],_xlfn.XLOOKUP(HG$1,$BH$2:$BR$2,$BH156:$BR156,0),0)</f>
        <v>0</v>
      </c>
      <c r="HH156" s="26">
        <f>IF(HH$2=InputTable[[#This Row],[Delivery Date]],_xlfn.XLOOKUP(HH$1,$BH$2:$BR$2,$BH156:$BR156,0),0)</f>
        <v>0</v>
      </c>
      <c r="HI156" s="26">
        <f>IF(HI$2=InputTable[[#This Row],[Delivery Date]],_xlfn.XLOOKUP(HI$1,$BH$2:$BR$2,$BH156:$BR156,0),0)</f>
        <v>0</v>
      </c>
      <c r="HJ156" s="26">
        <f>IF(HJ$2=InputTable[[#This Row],[Delivery Date]],_xlfn.XLOOKUP(HJ$1,$BH$2:$BR$2,$BH156:$BR156,0),0)</f>
        <v>0</v>
      </c>
      <c r="HK156" s="26">
        <f>IF(HK$2=InputTable[[#This Row],[Delivery Date]],_xlfn.XLOOKUP(HK$1,$BH$2:$BR$2,$BH156:$BR156,0),0)</f>
        <v>0</v>
      </c>
      <c r="HL156" s="26">
        <f>IF(HL$2=InputTable[[#This Row],[Delivery Date]],_xlfn.XLOOKUP(HL$1,$BH$2:$BR$2,$BH156:$BR156,0),0)</f>
        <v>0</v>
      </c>
      <c r="HM156" s="26">
        <f>IF(HM$2=InputTable[[#This Row],[Delivery Date]],_xlfn.XLOOKUP(HM$1,$BH$2:$BR$2,$BH156:$BR156,0),0)</f>
        <v>0</v>
      </c>
      <c r="HN156" s="26">
        <f>IF(HN$2=InputTable[[#This Row],[Delivery Date]],_xlfn.XLOOKUP(HN$1,$BH$2:$BR$2,$BH156:$BR156,0),0)</f>
        <v>0</v>
      </c>
      <c r="HP156" s="26" t="e">
        <f>IF(HP$2=InputTable[[#This Row],[Delivery Date]],_xlfn.XLOOKUP(HP$1,$BH$2:$BR$2,$BH156:$BR156,0),0)</f>
        <v>#REF!</v>
      </c>
      <c r="HQ156" s="26">
        <f>IF(HQ$2=InputTable[[#This Row],[Delivery Date]],_xlfn.XLOOKUP(HQ$1,$BH$2:$BR$2,$BH156:$BR156,0),0)</f>
        <v>0</v>
      </c>
      <c r="HR156" s="26">
        <f>IF(HR$2=InputTable[[#This Row],[Delivery Date]],_xlfn.XLOOKUP(HR$1,$BH$2:$BR$2,$BH156:$BR156,0),0)</f>
        <v>0</v>
      </c>
      <c r="HS156" s="26">
        <f>IF(HS$2=InputTable[[#This Row],[Delivery Date]],_xlfn.XLOOKUP(HS$1,$BH$2:$BR$2,$BH156:$BR156,0),0)</f>
        <v>0</v>
      </c>
      <c r="HT156" s="26">
        <f>IF(HT$2=InputTable[[#This Row],[Delivery Date]],_xlfn.XLOOKUP(HT$1,$BH$2:$BR$2,$BH156:$BR156,0),0)</f>
        <v>0</v>
      </c>
      <c r="HU156" s="26">
        <f>IF(HU$2=InputTable[[#This Row],[Delivery Date]],_xlfn.XLOOKUP(HU$1,$BH$2:$BR$2,$BH156:$BR156,0),0)</f>
        <v>0</v>
      </c>
      <c r="HV156" s="26">
        <f>IF(HV$2=InputTable[[#This Row],[Delivery Date]],_xlfn.XLOOKUP(HV$1,$BH$2:$BR$2,$BH156:$BR156,0),0)</f>
        <v>0</v>
      </c>
      <c r="HW156" s="26">
        <f>IF(HW$2=InputTable[[#This Row],[Delivery Date]],_xlfn.XLOOKUP(HW$1,$BH$2:$BR$2,$BH156:$BR156,0),0)</f>
        <v>0</v>
      </c>
      <c r="HX156" s="26">
        <f>IF(HX$2=InputTable[[#This Row],[Delivery Date]],_xlfn.XLOOKUP(HX$1,$BH$2:$BR$2,$BH156:$BR156,0),0)</f>
        <v>0</v>
      </c>
      <c r="HZ156" s="26" t="e">
        <f>IF(HZ$2=InputTable[[#This Row],[Delivery Date]],_xlfn.XLOOKUP(HZ$1,$BH$2:$BR$2,$BH156:$BR156,0),0)</f>
        <v>#REF!</v>
      </c>
      <c r="IA156" s="26">
        <f>IF(IA$2=InputTable[[#This Row],[Delivery Date]],_xlfn.XLOOKUP(IA$1,$BH$2:$BR$2,$BH156:$BR156,0),0)</f>
        <v>0</v>
      </c>
      <c r="IB156" s="26">
        <f>IF(IB$2=InputTable[[#This Row],[Delivery Date]],_xlfn.XLOOKUP(IB$1,$BH$2:$BR$2,$BH156:$BR156,0),0)</f>
        <v>0</v>
      </c>
      <c r="IC156" s="26">
        <f>IF(IC$2=InputTable[[#This Row],[Delivery Date]],_xlfn.XLOOKUP(IC$1,$BH$2:$BR$2,$BH156:$BR156,0),0)</f>
        <v>0</v>
      </c>
      <c r="ID156" s="26">
        <f>IF(ID$2=InputTable[[#This Row],[Delivery Date]],_xlfn.XLOOKUP(ID$1,$BH$2:$BR$2,$BH156:$BR156,0),0)</f>
        <v>0</v>
      </c>
      <c r="IE156" s="26">
        <f>IF(IE$2=InputTable[[#This Row],[Delivery Date]],_xlfn.XLOOKUP(IE$1,$BH$2:$BR$2,$BH156:$BR156,0),0)</f>
        <v>0</v>
      </c>
      <c r="IF156" s="26">
        <f>IF(IF$2=InputTable[[#This Row],[Delivery Date]],_xlfn.XLOOKUP(IF$1,$BH$2:$BR$2,$BH156:$BR156,0),0)</f>
        <v>0</v>
      </c>
      <c r="IG156" s="26">
        <f>IF(IG$2=InputTable[[#This Row],[Delivery Date]],_xlfn.XLOOKUP(IG$1,$BH$2:$BR$2,$BH156:$BR156,0),0)</f>
        <v>0</v>
      </c>
      <c r="IH156" s="26">
        <f>IF(IH$2=InputTable[[#This Row],[Delivery Date]],_xlfn.XLOOKUP(IH$1,$BH$2:$BR$2,$BH156:$BR156,0),0)</f>
        <v>0</v>
      </c>
      <c r="IJ156" s="26" t="e">
        <f>IF(IJ$2=InputTable[[#This Row],[Delivery Date]],_xlfn.XLOOKUP(IJ$1,$BH$2:$BR$2,$BH156:$BR156,0),0)</f>
        <v>#REF!</v>
      </c>
      <c r="IK156" s="26">
        <f>IF(IK$2=InputTable[[#This Row],[Delivery Date]],_xlfn.XLOOKUP(IK$1,$BH$2:$BR$2,$BH156:$BR156,0),0)</f>
        <v>0</v>
      </c>
      <c r="IL156" s="26">
        <f>IF(IL$2=InputTable[[#This Row],[Delivery Date]],_xlfn.XLOOKUP(IL$1,$BH$2:$BR$2,$BH156:$BR156,0),0)</f>
        <v>0</v>
      </c>
      <c r="IM156" s="26">
        <f>IF(IM$2=InputTable[[#This Row],[Delivery Date]],_xlfn.XLOOKUP(IM$1,$BH$2:$BR$2,$BH156:$BR156,0),0)</f>
        <v>0</v>
      </c>
      <c r="IN156" s="26">
        <f>IF(IN$2=InputTable[[#This Row],[Delivery Date]],_xlfn.XLOOKUP(IN$1,$BH$2:$BR$2,$BH156:$BR156,0),0)</f>
        <v>0</v>
      </c>
      <c r="IO156" s="26">
        <f>IF(IO$2=InputTable[[#This Row],[Delivery Date]],_xlfn.XLOOKUP(IO$1,$BH$2:$BR$2,$BH156:$BR156,0),0)</f>
        <v>0</v>
      </c>
      <c r="IP156" s="26">
        <f>IF(IP$2=InputTable[[#This Row],[Delivery Date]],_xlfn.XLOOKUP(IP$1,$BH$2:$BR$2,$BH156:$BR156,0),0)</f>
        <v>0</v>
      </c>
      <c r="IQ156" s="26">
        <f>IF(IQ$2=InputTable[[#This Row],[Delivery Date]],_xlfn.XLOOKUP(IQ$1,$BH$2:$BR$2,$BH156:$BR156,0),0)</f>
        <v>0</v>
      </c>
      <c r="IR156" s="26">
        <f>IF(IR$2=InputTable[[#This Row],[Delivery Date]],_xlfn.XLOOKUP(IR$1,$BH$2:$BR$2,$BH156:$BR156,0),0)</f>
        <v>0</v>
      </c>
      <c r="IT156" s="26" t="e">
        <f>IF(IT$2=InputTable[[#This Row],[Delivery Date]],_xlfn.XLOOKUP(IT$1,$BH$2:$BR$2,$BH156:$BR156,0),0)</f>
        <v>#REF!</v>
      </c>
      <c r="IU156" s="26">
        <f>IF(IU$2=InputTable[[#This Row],[Delivery Date]],_xlfn.XLOOKUP(IU$1,$BH$2:$BR$2,$BH156:$BR156,0),0)</f>
        <v>0</v>
      </c>
      <c r="IV156" s="26">
        <f>IF(IV$2=InputTable[[#This Row],[Delivery Date]],_xlfn.XLOOKUP(IV$1,$BH$2:$BR$2,$BH156:$BR156,0),0)</f>
        <v>0</v>
      </c>
      <c r="IW156" s="26">
        <f>IF(IW$2=InputTable[[#This Row],[Delivery Date]],_xlfn.XLOOKUP(IW$1,$BH$2:$BR$2,$BH156:$BR156,0),0)</f>
        <v>0</v>
      </c>
      <c r="IX156" s="26">
        <f>IF(IX$2=InputTable[[#This Row],[Delivery Date]],_xlfn.XLOOKUP(IX$1,$BH$2:$BR$2,$BH156:$BR156,0),0)</f>
        <v>0</v>
      </c>
      <c r="IY156" s="26">
        <f>IF(IY$2=InputTable[[#This Row],[Delivery Date]],_xlfn.XLOOKUP(IY$1,$BH$2:$BR$2,$BH156:$BR156,0),0)</f>
        <v>0</v>
      </c>
      <c r="IZ156" s="26">
        <f>IF(IZ$2=InputTable[[#This Row],[Delivery Date]],_xlfn.XLOOKUP(IZ$1,$BH$2:$BR$2,$BH156:$BR156,0),0)</f>
        <v>0</v>
      </c>
      <c r="JA156" s="26">
        <f>IF(JA$2=InputTable[[#This Row],[Delivery Date]],_xlfn.XLOOKUP(JA$1,$BH$2:$BR$2,$BH156:$BR156,0),0)</f>
        <v>0</v>
      </c>
      <c r="JB156" s="26">
        <f>IF(JB$2=InputTable[[#This Row],[Delivery Date]],_xlfn.XLOOKUP(JB$1,$BH$2:$BR$2,$BH156:$BR156,0),0)</f>
        <v>0</v>
      </c>
      <c r="JD156" s="26" t="e">
        <f>IF(JD$2=InputTable[[#This Row],[Delivery Date]],_xlfn.XLOOKUP(JD$1,$BH$2:$BR$2,$BH156:$BR156,0),0)</f>
        <v>#REF!</v>
      </c>
      <c r="JE156" s="26">
        <f>IF(JE$2=InputTable[[#This Row],[Delivery Date]],_xlfn.XLOOKUP(JE$1,$BH$2:$BR$2,$BH156:$BR156,0),0)</f>
        <v>0</v>
      </c>
      <c r="JF156" s="26">
        <f>IF(JF$2=InputTable[[#This Row],[Delivery Date]],_xlfn.XLOOKUP(JF$1,$BH$2:$BR$2,$BH156:$BR156,0),0)</f>
        <v>0</v>
      </c>
      <c r="JG156" s="26">
        <f>IF(JG$2=InputTable[[#This Row],[Delivery Date]],_xlfn.XLOOKUP(JG$1,$BH$2:$BR$2,$BH156:$BR156,0),0)</f>
        <v>0</v>
      </c>
      <c r="JH156" s="26">
        <f>IF(JH$2=InputTable[[#This Row],[Delivery Date]],_xlfn.XLOOKUP(JH$1,$BH$2:$BR$2,$BH156:$BR156,0),0)</f>
        <v>0</v>
      </c>
      <c r="JI156" s="26">
        <f>IF(JI$2=InputTable[[#This Row],[Delivery Date]],_xlfn.XLOOKUP(JI$1,$BH$2:$BR$2,$BH156:$BR156,0),0)</f>
        <v>0</v>
      </c>
      <c r="JJ156" s="26">
        <f>IF(JJ$2=InputTable[[#This Row],[Delivery Date]],_xlfn.XLOOKUP(JJ$1,$BH$2:$BR$2,$BH156:$BR156,0),0)</f>
        <v>0</v>
      </c>
      <c r="JK156" s="26">
        <f>IF(JK$2=InputTable[[#This Row],[Delivery Date]],_xlfn.XLOOKUP(JK$1,$BH$2:$BR$2,$BH156:$BR156,0),0)</f>
        <v>0</v>
      </c>
      <c r="JL156" s="26">
        <f>IF(JL$2=InputTable[[#This Row],[Delivery Date]],_xlfn.XLOOKUP(JL$1,$BH$2:$BR$2,$BH156:$BR156,0),0)</f>
        <v>0</v>
      </c>
      <c r="JN156" s="26" t="e">
        <f>IF(JN$2=InputTable[[#This Row],[Delivery Date]],_xlfn.XLOOKUP(JN$1,$BH$2:$BR$2,$BH156:$BR156,0),0)</f>
        <v>#REF!</v>
      </c>
      <c r="JO156" s="26">
        <f>IF(JO$2=InputTable[[#This Row],[Delivery Date]],_xlfn.XLOOKUP(JO$1,$BH$2:$BR$2,$BH156:$BR156,0),0)</f>
        <v>0</v>
      </c>
      <c r="JP156" s="26">
        <f>IF(JP$2=InputTable[[#This Row],[Delivery Date]],_xlfn.XLOOKUP(JP$1,$BH$2:$BR$2,$BH156:$BR156,0),0)</f>
        <v>0</v>
      </c>
      <c r="JQ156" s="26">
        <f>IF(JQ$2=InputTable[[#This Row],[Delivery Date]],_xlfn.XLOOKUP(JQ$1,$BH$2:$BR$2,$BH156:$BR156,0),0)</f>
        <v>0</v>
      </c>
      <c r="JR156" s="26">
        <f>IF(JR$2=InputTable[[#This Row],[Delivery Date]],_xlfn.XLOOKUP(JR$1,$BH$2:$BR$2,$BH156:$BR156,0),0)</f>
        <v>0</v>
      </c>
      <c r="JS156" s="26">
        <f>IF(JS$2=InputTable[[#This Row],[Delivery Date]],_xlfn.XLOOKUP(JS$1,$BH$2:$BR$2,$BH156:$BR156,0),0)</f>
        <v>0</v>
      </c>
      <c r="JT156" s="26">
        <f>IF(JT$2=InputTable[[#This Row],[Delivery Date]],_xlfn.XLOOKUP(JT$1,$BH$2:$BR$2,$BH156:$BR156,0),0)</f>
        <v>0</v>
      </c>
      <c r="JU156" s="26">
        <f>IF(JU$2=InputTable[[#This Row],[Delivery Date]],_xlfn.XLOOKUP(JU$1,$BH$2:$BR$2,$BH156:$BR156,0),0)</f>
        <v>0</v>
      </c>
      <c r="JV156" s="26">
        <f>IF(JV$2=InputTable[[#This Row],[Delivery Date]],_xlfn.XLOOKUP(JV$1,$BH$2:$BR$2,$BH156:$BR156,0),0)</f>
        <v>0</v>
      </c>
      <c r="JX156" s="26" t="e">
        <f>IF(JX$2=InputTable[[#This Row],[Delivery Date]],_xlfn.XLOOKUP(JX$1,$BH$2:$BR$2,$BH156:$BR156,0),0)</f>
        <v>#REF!</v>
      </c>
      <c r="JY156" s="26">
        <f>IF(JY$2=InputTable[[#This Row],[Delivery Date]],_xlfn.XLOOKUP(JY$1,$BH$2:$BR$2,$BH156:$BR156,0),0)</f>
        <v>0</v>
      </c>
      <c r="JZ156" s="26">
        <f>IF(JZ$2=InputTable[[#This Row],[Delivery Date]],_xlfn.XLOOKUP(JZ$1,$BH$2:$BR$2,$BH156:$BR156,0),0)</f>
        <v>0</v>
      </c>
      <c r="KA156" s="26">
        <f>IF(KA$2=InputTable[[#This Row],[Delivery Date]],_xlfn.XLOOKUP(KA$1,$BH$2:$BR$2,$BH156:$BR156,0),0)</f>
        <v>0</v>
      </c>
      <c r="KB156" s="26">
        <f>IF(KB$2=InputTable[[#This Row],[Delivery Date]],_xlfn.XLOOKUP(KB$1,$BH$2:$BR$2,$BH156:$BR156,0),0)</f>
        <v>0</v>
      </c>
      <c r="KC156" s="26">
        <f>IF(KC$2=InputTable[[#This Row],[Delivery Date]],_xlfn.XLOOKUP(KC$1,$BH$2:$BR$2,$BH156:$BR156,0),0)</f>
        <v>0</v>
      </c>
      <c r="KD156" s="26">
        <f>IF(KD$2=InputTable[[#This Row],[Delivery Date]],_xlfn.XLOOKUP(KD$1,$BH$2:$BR$2,$BH156:$BR156,0),0)</f>
        <v>0</v>
      </c>
      <c r="KE156" s="26">
        <f>IF(KE$2=InputTable[[#This Row],[Delivery Date]],_xlfn.XLOOKUP(KE$1,$BH$2:$BR$2,$BH156:$BR156,0),0)</f>
        <v>0</v>
      </c>
      <c r="KF156" s="26">
        <f>IF(KF$2=InputTable[[#This Row],[Delivery Date]],_xlfn.XLOOKUP(KF$1,$BH$2:$BR$2,$BH156:$BR156,0),0)</f>
        <v>0</v>
      </c>
    </row>
    <row r="157" spans="1:292" ht="34.799999999999997" x14ac:dyDescent="0.25">
      <c r="A157" s="141"/>
      <c r="B157" s="119"/>
      <c r="C157" s="92"/>
      <c r="D157" s="92"/>
      <c r="E157" s="93"/>
      <c r="F157" s="92"/>
      <c r="G157" s="92"/>
      <c r="H157" s="92"/>
      <c r="I157" s="92"/>
      <c r="J157" s="122"/>
      <c r="K157" s="95" t="e">
        <f>VLOOKUP((InputTable[[#This Row],[Starting Date]]&amp; " - " &amp;InputTable[[#This Row],[Delivery Date]]),'System List'!$F$40:$H$83,2,FALSE)</f>
        <v>#N/A</v>
      </c>
      <c r="L157" s="95" t="e">
        <f>VLOOKUP(InputTable[[#This Row],[Duration]],Duration,2,FALSE)</f>
        <v>#N/A</v>
      </c>
      <c r="M157" s="122"/>
      <c r="N157" s="92"/>
      <c r="O157" s="92"/>
      <c r="P157" s="92"/>
      <c r="Q157" s="92"/>
      <c r="R157" s="92"/>
      <c r="S157" s="92"/>
      <c r="T157" s="95"/>
      <c r="U157" s="138"/>
      <c r="V157" s="92"/>
      <c r="W157" s="92"/>
      <c r="X157" s="92"/>
      <c r="Y157" s="92"/>
      <c r="Z157" s="92"/>
      <c r="AA157" s="92"/>
      <c r="AB157" s="92"/>
      <c r="AC157" s="92"/>
      <c r="AD157" s="92">
        <f>COUNTA(InputTable[[#This Row],[CORPHRFIN]:[SALES]])</f>
        <v>0</v>
      </c>
      <c r="AE157" s="88" cm="1">
        <f t="array" ref="AE157">SUM(
_xlfn.XLOOKUP(InputTable[[#This Row],[CORPHRFIN]:[SALES]],'System List'!$F$4:$F$7,'System List'!$H$4:$H$7,0))</f>
        <v>0</v>
      </c>
      <c r="AF157" s="140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88" cm="1">
        <f t="array" ref="AR157">SUM(
_xlfn.XLOOKUP(InputTable[[#This Row],[Impact on - CIAL]:[Impact on - STRAT]],'System List'!$F$4:$F$7,'System List'!$H$4:$H$7,0))</f>
        <v>0</v>
      </c>
      <c r="AS157" s="88" t="e">
        <f>VLOOKUP(InputTable[[#This Row],[Duration]],Duration,2,FALSE)+InputTable[[#This Row],[Resource Score]]</f>
        <v>#N/A</v>
      </c>
      <c r="AT15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7" s="24" t="e">
        <f>InputTable[[#This Row],[Value Score]]/InputTable[[#This Row],[EFFORT SCORE]]*100</f>
        <v>#N/A</v>
      </c>
      <c r="AV157" s="25" t="s">
        <v>448</v>
      </c>
      <c r="AW157" s="25"/>
      <c r="AX157" s="208"/>
      <c r="AY157" s="25"/>
      <c r="AZ157" s="189">
        <v>0</v>
      </c>
      <c r="BA157" s="189">
        <v>0</v>
      </c>
      <c r="BB157" s="189"/>
      <c r="BC157" s="189"/>
      <c r="BD157" s="188"/>
      <c r="BE157" s="188"/>
      <c r="BF157" s="70"/>
      <c r="BH157" s="2">
        <f>IFERROR(VLOOKUP(InputTable[[#This Row],[Impact on - CIAL]],'System List'!$F$4:$H$7,3,FALSE),0)</f>
        <v>0</v>
      </c>
      <c r="BI157" s="2">
        <f>IFERROR(VLOOKUP(InputTable[[#This Row],[Impact on - COM]],'System List'!$F$4:$H$7,3,FALSE),0)</f>
        <v>0</v>
      </c>
      <c r="BJ157" s="2">
        <f>IFERROR(VLOOKUP(InputTable[[#This Row],[Impact on - FIN]],'System List'!$F$4:$H$7,3,FALSE),0)</f>
        <v>0</v>
      </c>
      <c r="BK157" s="2">
        <f>IFERROR(VLOOKUP(InputTable[[#This Row],[Impact on - GEN SEC]],'System List'!$F$4:$H$7,3,FALSE),0)</f>
        <v>0</v>
      </c>
      <c r="BL157" s="2">
        <f>IFERROR(VLOOKUP(InputTable[[#This Row],[Impact on - HR]],'System List'!$F$4:$H$7,3,FALSE),0)</f>
        <v>0</v>
      </c>
      <c r="BM157" s="2">
        <f>IFERROR(VLOOKUP(InputTable[[#This Row],[Impact on - IS]],'System List'!$F$4:$H$7,3,FALSE),0)</f>
        <v>0</v>
      </c>
      <c r="BN157" s="2">
        <f>IFERROR(VLOOKUP(InputTable[[#This Row],[Impact on - OPS]],'System List'!$F$4:$H$7,3,FALSE),0)</f>
        <v>0</v>
      </c>
      <c r="BO157" s="2">
        <f>IFERROR(VLOOKUP(InputTable[[#This Row],[Impact on - ROLL STOCK]],'System List'!$F$4:$H$7,3,FALSE),0)</f>
        <v>0</v>
      </c>
      <c r="BP157" s="2">
        <f>IFERROR(VLOOKUP(InputTable[[#This Row],[Impact on - SAFETY]],'System List'!$F$4:$H$7,3,FALSE),0)</f>
        <v>0</v>
      </c>
      <c r="BQ157" s="2">
        <f>IFERROR(VLOOKUP(InputTable[[#This Row],[Impact on - STATION]],'System List'!$F$4:$H$7,3,FALSE),0)</f>
        <v>0</v>
      </c>
      <c r="BR157" s="2">
        <f>IFERROR(VLOOKUP(InputTable[[#This Row],[Impact on - STRAT]],'System List'!$F$4:$H$7,3,FALSE),0)</f>
        <v>0</v>
      </c>
      <c r="BT157" s="2">
        <f>IFERROR(VLOOKUP(InputTable[[#This Row],[CORPHRFIN]],'System List'!$F$4:$H$7,3,FALSE),0)</f>
        <v>0</v>
      </c>
      <c r="BU157" s="2">
        <f>IFERROR(VLOOKUP(InputTable[[#This Row],[CUST]],'System List'!$F$4:$H$7,3,FALSE),0)</f>
        <v>0</v>
      </c>
      <c r="BV157" s="2">
        <f>IFERROR(VLOOKUP(InputTable[[#This Row],[CYBER]],'System List'!$F$4:$H$7,3,FALSE),0)</f>
        <v>0</v>
      </c>
      <c r="BW157" s="2">
        <f>IFERROR(VLOOKUP(InputTable[[#This Row],[DATA]],'System List'!$F$4:$H$7,3,FALSE),0)</f>
        <v>0</v>
      </c>
      <c r="BX157" s="2">
        <f>IFERROR(VLOOKUP(InputTable[[#This Row],[INFRA]],'System List'!$F$4:$H$7,3,FALSE),0)</f>
        <v>0</v>
      </c>
      <c r="BY157" s="2">
        <f>IFERROR(VLOOKUP(InputTable[[#This Row],[OPERATIONS]],'System List'!$F$4:$H$7,3,FALSE),0)</f>
        <v>0</v>
      </c>
      <c r="BZ157" s="2">
        <f>IFERROR(VLOOKUP(InputTable[[#This Row],[PMO]],'System List'!$F$4:$H$7,3,FALSE),0)</f>
        <v>0</v>
      </c>
      <c r="CA157" s="2">
        <f>IFERROR(VLOOKUP(InputTable[[#This Row],[SALES]],'System List'!$F$4:$H$7,3,FALSE),0)</f>
        <v>0</v>
      </c>
      <c r="CC157" s="2" cm="1">
        <f t="array" ref="CC15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7" s="2" cm="1">
        <f t="array" ref="CD15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7" s="2" cm="1">
        <f t="array" ref="CE15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7" s="2" cm="1">
        <f t="array" ref="CF15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7" s="2" cm="1">
        <f t="array" ref="CG15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7" s="2" cm="1">
        <f t="array" ref="CH15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7" s="2" cm="1">
        <f t="array" ref="CI15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7" s="2" cm="1">
        <f t="array" ref="CJ15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7" s="2" cm="1">
        <f t="array" ref="CK15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7" s="26">
        <f t="shared" si="379"/>
        <v>0</v>
      </c>
      <c r="CY157" s="26">
        <f t="shared" si="380"/>
        <v>0</v>
      </c>
      <c r="CZ157" s="26">
        <f t="shared" si="381"/>
        <v>0</v>
      </c>
      <c r="DA157" s="26">
        <f t="shared" si="382"/>
        <v>0</v>
      </c>
      <c r="DB157" s="26">
        <f t="shared" si="383"/>
        <v>0</v>
      </c>
      <c r="DC157" s="26">
        <f t="shared" si="384"/>
        <v>0</v>
      </c>
      <c r="DD157" s="26">
        <f t="shared" si="385"/>
        <v>0</v>
      </c>
      <c r="DE157" s="26">
        <f t="shared" si="386"/>
        <v>0</v>
      </c>
      <c r="DF157" s="26">
        <f t="shared" si="387"/>
        <v>0</v>
      </c>
      <c r="DH157" s="26">
        <f t="shared" si="388"/>
        <v>0</v>
      </c>
      <c r="DI157" s="26">
        <f t="shared" si="389"/>
        <v>0</v>
      </c>
      <c r="DJ157" s="26">
        <f t="shared" si="390"/>
        <v>0</v>
      </c>
      <c r="DK157" s="26">
        <f t="shared" si="391"/>
        <v>0</v>
      </c>
      <c r="DL157" s="26">
        <f t="shared" si="392"/>
        <v>0</v>
      </c>
      <c r="DM157" s="26">
        <f t="shared" si="393"/>
        <v>0</v>
      </c>
      <c r="DN157" s="26">
        <f t="shared" si="394"/>
        <v>0</v>
      </c>
      <c r="DO157" s="26">
        <f t="shared" si="395"/>
        <v>0</v>
      </c>
      <c r="DP157" s="26">
        <f t="shared" si="396"/>
        <v>0</v>
      </c>
      <c r="DR157" s="26">
        <f t="shared" si="397"/>
        <v>0</v>
      </c>
      <c r="DS157" s="26">
        <f t="shared" si="398"/>
        <v>0</v>
      </c>
      <c r="DT157" s="26">
        <f t="shared" si="399"/>
        <v>0</v>
      </c>
      <c r="DU157" s="26">
        <f t="shared" si="400"/>
        <v>0</v>
      </c>
      <c r="DV157" s="26">
        <f t="shared" si="401"/>
        <v>0</v>
      </c>
      <c r="DW157" s="26">
        <f t="shared" si="402"/>
        <v>0</v>
      </c>
      <c r="DX157" s="26">
        <f t="shared" si="403"/>
        <v>0</v>
      </c>
      <c r="DY157" s="26">
        <f t="shared" si="404"/>
        <v>0</v>
      </c>
      <c r="DZ157" s="26">
        <f t="shared" si="405"/>
        <v>0</v>
      </c>
      <c r="EB157" s="26">
        <f t="shared" si="406"/>
        <v>0</v>
      </c>
      <c r="EC157" s="26">
        <f t="shared" si="407"/>
        <v>0</v>
      </c>
      <c r="ED157" s="26">
        <f t="shared" si="408"/>
        <v>0</v>
      </c>
      <c r="EE157" s="26">
        <f t="shared" si="409"/>
        <v>0</v>
      </c>
      <c r="EF157" s="26">
        <f t="shared" si="410"/>
        <v>0</v>
      </c>
      <c r="EG157" s="26">
        <f t="shared" si="411"/>
        <v>0</v>
      </c>
      <c r="EH157" s="26">
        <f t="shared" si="412"/>
        <v>0</v>
      </c>
      <c r="EI157" s="26">
        <f t="shared" si="413"/>
        <v>0</v>
      </c>
      <c r="EJ157" s="26">
        <f t="shared" si="414"/>
        <v>0</v>
      </c>
      <c r="EL157" s="26">
        <f t="shared" si="415"/>
        <v>0</v>
      </c>
      <c r="EM157" s="26">
        <f t="shared" si="416"/>
        <v>0</v>
      </c>
      <c r="EN157" s="26">
        <f t="shared" si="417"/>
        <v>0</v>
      </c>
      <c r="EO157" s="26">
        <f t="shared" si="418"/>
        <v>0</v>
      </c>
      <c r="EP157" s="26">
        <f t="shared" si="419"/>
        <v>0</v>
      </c>
      <c r="EQ157" s="26">
        <f t="shared" si="420"/>
        <v>0</v>
      </c>
      <c r="ER157" s="26">
        <f t="shared" si="421"/>
        <v>0</v>
      </c>
      <c r="ES157" s="26">
        <f t="shared" si="422"/>
        <v>0</v>
      </c>
      <c r="ET157" s="26">
        <f t="shared" si="423"/>
        <v>0</v>
      </c>
      <c r="EV157" s="26">
        <f t="shared" si="424"/>
        <v>0</v>
      </c>
      <c r="EW157" s="26">
        <f t="shared" si="425"/>
        <v>0</v>
      </c>
      <c r="EX157" s="26">
        <f t="shared" si="426"/>
        <v>0</v>
      </c>
      <c r="EY157" s="26">
        <f t="shared" si="427"/>
        <v>0</v>
      </c>
      <c r="EZ157" s="26">
        <f t="shared" si="428"/>
        <v>0</v>
      </c>
      <c r="FA157" s="26">
        <f t="shared" si="429"/>
        <v>0</v>
      </c>
      <c r="FB157" s="26">
        <f t="shared" si="430"/>
        <v>0</v>
      </c>
      <c r="FC157" s="26">
        <f t="shared" si="431"/>
        <v>0</v>
      </c>
      <c r="FD157" s="26">
        <f t="shared" si="432"/>
        <v>0</v>
      </c>
      <c r="FF157" s="26">
        <f t="shared" si="433"/>
        <v>0</v>
      </c>
      <c r="FG157" s="26">
        <f t="shared" si="434"/>
        <v>0</v>
      </c>
      <c r="FH157" s="26">
        <f t="shared" si="435"/>
        <v>0</v>
      </c>
      <c r="FI157" s="26">
        <f t="shared" si="436"/>
        <v>0</v>
      </c>
      <c r="FJ157" s="26">
        <f t="shared" si="437"/>
        <v>0</v>
      </c>
      <c r="FK157" s="26">
        <f t="shared" si="438"/>
        <v>0</v>
      </c>
      <c r="FL157" s="26">
        <f t="shared" si="439"/>
        <v>0</v>
      </c>
      <c r="FM157" s="26">
        <f t="shared" si="440"/>
        <v>0</v>
      </c>
      <c r="FN157" s="26">
        <f t="shared" si="441"/>
        <v>0</v>
      </c>
      <c r="FP157" s="26" t="e">
        <f t="shared" si="442"/>
        <v>#REF!</v>
      </c>
      <c r="FQ157" s="26" t="e">
        <f t="shared" si="443"/>
        <v>#REF!</v>
      </c>
      <c r="FR157" s="26" t="e">
        <f t="shared" si="444"/>
        <v>#REF!</v>
      </c>
      <c r="FS157" s="26" t="e">
        <f t="shared" si="445"/>
        <v>#REF!</v>
      </c>
      <c r="FT157" s="26" t="e">
        <f t="shared" si="446"/>
        <v>#REF!</v>
      </c>
      <c r="FU157" s="26" t="e">
        <f t="shared" si="447"/>
        <v>#REF!</v>
      </c>
      <c r="FV157" s="26" t="e">
        <f t="shared" si="448"/>
        <v>#REF!</v>
      </c>
      <c r="FW157" s="26" t="e">
        <f t="shared" si="449"/>
        <v>#REF!</v>
      </c>
      <c r="FX157" s="26" t="e">
        <f t="shared" si="450"/>
        <v>#REF!</v>
      </c>
      <c r="GB157" s="26" t="e">
        <f>IF(GB$2=InputTable[[#This Row],[Delivery Date]],_xlfn.XLOOKUP(GB$1,$BH$2:$BR$2,$BH157:$BR157,0),0)</f>
        <v>#REF!</v>
      </c>
      <c r="GC157" s="26">
        <f>IF(GC$2=InputTable[[#This Row],[Delivery Date]],_xlfn.XLOOKUP(GC$1,$BH$2:$BR$2,$BH157:$BR157,0),0)</f>
        <v>0</v>
      </c>
      <c r="GD157" s="26">
        <f>IF(GD$2=InputTable[[#This Row],[Delivery Date]],_xlfn.XLOOKUP(GD$1,$BH$2:$BR$2,$BH157:$BR157,0),0)</f>
        <v>0</v>
      </c>
      <c r="GE157" s="26">
        <f>IF(GE$2=InputTable[[#This Row],[Delivery Date]],_xlfn.XLOOKUP(GE$1,$BH$2:$BR$2,$BH157:$BR157,0),0)</f>
        <v>0</v>
      </c>
      <c r="GF157" s="26">
        <f>IF(GF$2=InputTable[[#This Row],[Delivery Date]],_xlfn.XLOOKUP(GF$1,$BH$2:$BR$2,$BH157:$BR157,0),0)</f>
        <v>0</v>
      </c>
      <c r="GG157" s="26">
        <f>IF(GG$2=InputTable[[#This Row],[Delivery Date]],_xlfn.XLOOKUP(GG$1,$BH$2:$BR$2,$BH157:$BR157,0),0)</f>
        <v>0</v>
      </c>
      <c r="GH157" s="26">
        <f>IF(GH$2=InputTable[[#This Row],[Delivery Date]],_xlfn.XLOOKUP(GH$1,$BH$2:$BR$2,$BH157:$BR157,0),0)</f>
        <v>0</v>
      </c>
      <c r="GI157" s="26">
        <f>IF(GI$2=InputTable[[#This Row],[Delivery Date]],_xlfn.XLOOKUP(GI$1,$BH$2:$BR$2,$BH157:$BR157,0),0)</f>
        <v>0</v>
      </c>
      <c r="GJ157" s="26">
        <f>IF(GJ$2=InputTable[[#This Row],[Delivery Date]],_xlfn.XLOOKUP(GJ$1,$BH$2:$BR$2,$BH157:$BR157,0),0)</f>
        <v>0</v>
      </c>
      <c r="GL157" s="26" t="e">
        <f>IF(GL$2=InputTable[[#This Row],[Delivery Date]],_xlfn.XLOOKUP(GL$1,$BH$2:$BR$2,$BH157:$BR157,0),0)</f>
        <v>#REF!</v>
      </c>
      <c r="GM157" s="26">
        <f>IF(GM$2=InputTable[[#This Row],[Delivery Date]],_xlfn.XLOOKUP(GM$1,$BH$2:$BR$2,$BH157:$BR157,0),0)</f>
        <v>0</v>
      </c>
      <c r="GN157" s="26">
        <f>IF(GN$2=InputTable[[#This Row],[Delivery Date]],_xlfn.XLOOKUP(GN$1,$BH$2:$BR$2,$BH157:$BR157,0),0)</f>
        <v>0</v>
      </c>
      <c r="GO157" s="26">
        <f>IF(GO$2=InputTable[[#This Row],[Delivery Date]],_xlfn.XLOOKUP(GO$1,$BH$2:$BR$2,$BH157:$BR157,0),0)</f>
        <v>0</v>
      </c>
      <c r="GP157" s="26">
        <f>IF(GP$2=InputTable[[#This Row],[Delivery Date]],_xlfn.XLOOKUP(GP$1,$BH$2:$BR$2,$BH157:$BR157,0),0)</f>
        <v>0</v>
      </c>
      <c r="GQ157" s="26">
        <f>IF(GQ$2=InputTable[[#This Row],[Delivery Date]],_xlfn.XLOOKUP(GQ$1,$BH$2:$BR$2,$BH157:$BR157,0),0)</f>
        <v>0</v>
      </c>
      <c r="GR157" s="26">
        <f>IF(GR$2=InputTable[[#This Row],[Delivery Date]],_xlfn.XLOOKUP(GR$1,$BH$2:$BR$2,$BH157:$BR157,0),0)</f>
        <v>0</v>
      </c>
      <c r="GS157" s="26">
        <f>IF(GS$2=InputTable[[#This Row],[Delivery Date]],_xlfn.XLOOKUP(GS$1,$BH$2:$BR$2,$BH157:$BR157,0),0)</f>
        <v>0</v>
      </c>
      <c r="GT157" s="26">
        <f>IF(GT$2=InputTable[[#This Row],[Delivery Date]],_xlfn.XLOOKUP(GT$1,$BH$2:$BR$2,$BH157:$BR157,0),0)</f>
        <v>0</v>
      </c>
      <c r="GV157" s="26" t="e">
        <f>IF(GV$2=InputTable[[#This Row],[Delivery Date]],_xlfn.XLOOKUP(GV$1,$BH$2:$BR$2,$BH157:$BR157,0),0)</f>
        <v>#REF!</v>
      </c>
      <c r="GW157" s="26">
        <f>IF(GW$2=InputTable[[#This Row],[Delivery Date]],_xlfn.XLOOKUP(GW$1,$BH$2:$BR$2,$BH157:$BR157,0),0)</f>
        <v>0</v>
      </c>
      <c r="GX157" s="26">
        <f>IF(GX$2=InputTable[[#This Row],[Delivery Date]],_xlfn.XLOOKUP(GX$1,$BH$2:$BR$2,$BH157:$BR157,0),0)</f>
        <v>0</v>
      </c>
      <c r="GY157" s="26">
        <f>IF(GY$2=InputTable[[#This Row],[Delivery Date]],_xlfn.XLOOKUP(GY$1,$BH$2:$BR$2,$BH157:$BR157,0),0)</f>
        <v>0</v>
      </c>
      <c r="GZ157" s="26">
        <f>IF(GZ$2=InputTable[[#This Row],[Delivery Date]],_xlfn.XLOOKUP(GZ$1,$BH$2:$BR$2,$BH157:$BR157,0),0)</f>
        <v>0</v>
      </c>
      <c r="HA157" s="26">
        <f>IF(HA$2=InputTable[[#This Row],[Delivery Date]],_xlfn.XLOOKUP(HA$1,$BH$2:$BR$2,$BH157:$BR157,0),0)</f>
        <v>0</v>
      </c>
      <c r="HB157" s="26">
        <f>IF(HB$2=InputTable[[#This Row],[Delivery Date]],_xlfn.XLOOKUP(HB$1,$BH$2:$BR$2,$BH157:$BR157,0),0)</f>
        <v>0</v>
      </c>
      <c r="HC157" s="26">
        <f>IF(HC$2=InputTable[[#This Row],[Delivery Date]],_xlfn.XLOOKUP(HC$1,$BH$2:$BR$2,$BH157:$BR157,0),0)</f>
        <v>0</v>
      </c>
      <c r="HD157" s="26">
        <f>IF(HD$2=InputTable[[#This Row],[Delivery Date]],_xlfn.XLOOKUP(HD$1,$BH$2:$BR$2,$BH157:$BR157,0),0)</f>
        <v>0</v>
      </c>
      <c r="HF157" s="26" t="e">
        <f>IF(HF$2=InputTable[[#This Row],[Delivery Date]],_xlfn.XLOOKUP(HF$1,$BH$2:$BR$2,$BH157:$BR157,0),0)</f>
        <v>#REF!</v>
      </c>
      <c r="HG157" s="26">
        <f>IF(HG$2=InputTable[[#This Row],[Delivery Date]],_xlfn.XLOOKUP(HG$1,$BH$2:$BR$2,$BH157:$BR157,0),0)</f>
        <v>0</v>
      </c>
      <c r="HH157" s="26">
        <f>IF(HH$2=InputTable[[#This Row],[Delivery Date]],_xlfn.XLOOKUP(HH$1,$BH$2:$BR$2,$BH157:$BR157,0),0)</f>
        <v>0</v>
      </c>
      <c r="HI157" s="26">
        <f>IF(HI$2=InputTable[[#This Row],[Delivery Date]],_xlfn.XLOOKUP(HI$1,$BH$2:$BR$2,$BH157:$BR157,0),0)</f>
        <v>0</v>
      </c>
      <c r="HJ157" s="26">
        <f>IF(HJ$2=InputTable[[#This Row],[Delivery Date]],_xlfn.XLOOKUP(HJ$1,$BH$2:$BR$2,$BH157:$BR157,0),0)</f>
        <v>0</v>
      </c>
      <c r="HK157" s="26">
        <f>IF(HK$2=InputTable[[#This Row],[Delivery Date]],_xlfn.XLOOKUP(HK$1,$BH$2:$BR$2,$BH157:$BR157,0),0)</f>
        <v>0</v>
      </c>
      <c r="HL157" s="26">
        <f>IF(HL$2=InputTable[[#This Row],[Delivery Date]],_xlfn.XLOOKUP(HL$1,$BH$2:$BR$2,$BH157:$BR157,0),0)</f>
        <v>0</v>
      </c>
      <c r="HM157" s="26">
        <f>IF(HM$2=InputTable[[#This Row],[Delivery Date]],_xlfn.XLOOKUP(HM$1,$BH$2:$BR$2,$BH157:$BR157,0),0)</f>
        <v>0</v>
      </c>
      <c r="HN157" s="26">
        <f>IF(HN$2=InputTable[[#This Row],[Delivery Date]],_xlfn.XLOOKUP(HN$1,$BH$2:$BR$2,$BH157:$BR157,0),0)</f>
        <v>0</v>
      </c>
      <c r="HP157" s="26" t="e">
        <f>IF(HP$2=InputTable[[#This Row],[Delivery Date]],_xlfn.XLOOKUP(HP$1,$BH$2:$BR$2,$BH157:$BR157,0),0)</f>
        <v>#REF!</v>
      </c>
      <c r="HQ157" s="26">
        <f>IF(HQ$2=InputTable[[#This Row],[Delivery Date]],_xlfn.XLOOKUP(HQ$1,$BH$2:$BR$2,$BH157:$BR157,0),0)</f>
        <v>0</v>
      </c>
      <c r="HR157" s="26">
        <f>IF(HR$2=InputTable[[#This Row],[Delivery Date]],_xlfn.XLOOKUP(HR$1,$BH$2:$BR$2,$BH157:$BR157,0),0)</f>
        <v>0</v>
      </c>
      <c r="HS157" s="26">
        <f>IF(HS$2=InputTable[[#This Row],[Delivery Date]],_xlfn.XLOOKUP(HS$1,$BH$2:$BR$2,$BH157:$BR157,0),0)</f>
        <v>0</v>
      </c>
      <c r="HT157" s="26">
        <f>IF(HT$2=InputTable[[#This Row],[Delivery Date]],_xlfn.XLOOKUP(HT$1,$BH$2:$BR$2,$BH157:$BR157,0),0)</f>
        <v>0</v>
      </c>
      <c r="HU157" s="26">
        <f>IF(HU$2=InputTable[[#This Row],[Delivery Date]],_xlfn.XLOOKUP(HU$1,$BH$2:$BR$2,$BH157:$BR157,0),0)</f>
        <v>0</v>
      </c>
      <c r="HV157" s="26">
        <f>IF(HV$2=InputTable[[#This Row],[Delivery Date]],_xlfn.XLOOKUP(HV$1,$BH$2:$BR$2,$BH157:$BR157,0),0)</f>
        <v>0</v>
      </c>
      <c r="HW157" s="26">
        <f>IF(HW$2=InputTable[[#This Row],[Delivery Date]],_xlfn.XLOOKUP(HW$1,$BH$2:$BR$2,$BH157:$BR157,0),0)</f>
        <v>0</v>
      </c>
      <c r="HX157" s="26">
        <f>IF(HX$2=InputTable[[#This Row],[Delivery Date]],_xlfn.XLOOKUP(HX$1,$BH$2:$BR$2,$BH157:$BR157,0),0)</f>
        <v>0</v>
      </c>
      <c r="HZ157" s="26" t="e">
        <f>IF(HZ$2=InputTable[[#This Row],[Delivery Date]],_xlfn.XLOOKUP(HZ$1,$BH$2:$BR$2,$BH157:$BR157,0),0)</f>
        <v>#REF!</v>
      </c>
      <c r="IA157" s="26">
        <f>IF(IA$2=InputTable[[#This Row],[Delivery Date]],_xlfn.XLOOKUP(IA$1,$BH$2:$BR$2,$BH157:$BR157,0),0)</f>
        <v>0</v>
      </c>
      <c r="IB157" s="26">
        <f>IF(IB$2=InputTable[[#This Row],[Delivery Date]],_xlfn.XLOOKUP(IB$1,$BH$2:$BR$2,$BH157:$BR157,0),0)</f>
        <v>0</v>
      </c>
      <c r="IC157" s="26">
        <f>IF(IC$2=InputTable[[#This Row],[Delivery Date]],_xlfn.XLOOKUP(IC$1,$BH$2:$BR$2,$BH157:$BR157,0),0)</f>
        <v>0</v>
      </c>
      <c r="ID157" s="26">
        <f>IF(ID$2=InputTable[[#This Row],[Delivery Date]],_xlfn.XLOOKUP(ID$1,$BH$2:$BR$2,$BH157:$BR157,0),0)</f>
        <v>0</v>
      </c>
      <c r="IE157" s="26">
        <f>IF(IE$2=InputTable[[#This Row],[Delivery Date]],_xlfn.XLOOKUP(IE$1,$BH$2:$BR$2,$BH157:$BR157,0),0)</f>
        <v>0</v>
      </c>
      <c r="IF157" s="26">
        <f>IF(IF$2=InputTable[[#This Row],[Delivery Date]],_xlfn.XLOOKUP(IF$1,$BH$2:$BR$2,$BH157:$BR157,0),0)</f>
        <v>0</v>
      </c>
      <c r="IG157" s="26">
        <f>IF(IG$2=InputTable[[#This Row],[Delivery Date]],_xlfn.XLOOKUP(IG$1,$BH$2:$BR$2,$BH157:$BR157,0),0)</f>
        <v>0</v>
      </c>
      <c r="IH157" s="26">
        <f>IF(IH$2=InputTable[[#This Row],[Delivery Date]],_xlfn.XLOOKUP(IH$1,$BH$2:$BR$2,$BH157:$BR157,0),0)</f>
        <v>0</v>
      </c>
      <c r="IJ157" s="26" t="e">
        <f>IF(IJ$2=InputTable[[#This Row],[Delivery Date]],_xlfn.XLOOKUP(IJ$1,$BH$2:$BR$2,$BH157:$BR157,0),0)</f>
        <v>#REF!</v>
      </c>
      <c r="IK157" s="26">
        <f>IF(IK$2=InputTable[[#This Row],[Delivery Date]],_xlfn.XLOOKUP(IK$1,$BH$2:$BR$2,$BH157:$BR157,0),0)</f>
        <v>0</v>
      </c>
      <c r="IL157" s="26">
        <f>IF(IL$2=InputTable[[#This Row],[Delivery Date]],_xlfn.XLOOKUP(IL$1,$BH$2:$BR$2,$BH157:$BR157,0),0)</f>
        <v>0</v>
      </c>
      <c r="IM157" s="26">
        <f>IF(IM$2=InputTable[[#This Row],[Delivery Date]],_xlfn.XLOOKUP(IM$1,$BH$2:$BR$2,$BH157:$BR157,0),0)</f>
        <v>0</v>
      </c>
      <c r="IN157" s="26">
        <f>IF(IN$2=InputTable[[#This Row],[Delivery Date]],_xlfn.XLOOKUP(IN$1,$BH$2:$BR$2,$BH157:$BR157,0),0)</f>
        <v>0</v>
      </c>
      <c r="IO157" s="26">
        <f>IF(IO$2=InputTable[[#This Row],[Delivery Date]],_xlfn.XLOOKUP(IO$1,$BH$2:$BR$2,$BH157:$BR157,0),0)</f>
        <v>0</v>
      </c>
      <c r="IP157" s="26">
        <f>IF(IP$2=InputTable[[#This Row],[Delivery Date]],_xlfn.XLOOKUP(IP$1,$BH$2:$BR$2,$BH157:$BR157,0),0)</f>
        <v>0</v>
      </c>
      <c r="IQ157" s="26">
        <f>IF(IQ$2=InputTable[[#This Row],[Delivery Date]],_xlfn.XLOOKUP(IQ$1,$BH$2:$BR$2,$BH157:$BR157,0),0)</f>
        <v>0</v>
      </c>
      <c r="IR157" s="26">
        <f>IF(IR$2=InputTable[[#This Row],[Delivery Date]],_xlfn.XLOOKUP(IR$1,$BH$2:$BR$2,$BH157:$BR157,0),0)</f>
        <v>0</v>
      </c>
      <c r="IT157" s="26" t="e">
        <f>IF(IT$2=InputTable[[#This Row],[Delivery Date]],_xlfn.XLOOKUP(IT$1,$BH$2:$BR$2,$BH157:$BR157,0),0)</f>
        <v>#REF!</v>
      </c>
      <c r="IU157" s="26">
        <f>IF(IU$2=InputTable[[#This Row],[Delivery Date]],_xlfn.XLOOKUP(IU$1,$BH$2:$BR$2,$BH157:$BR157,0),0)</f>
        <v>0</v>
      </c>
      <c r="IV157" s="26">
        <f>IF(IV$2=InputTable[[#This Row],[Delivery Date]],_xlfn.XLOOKUP(IV$1,$BH$2:$BR$2,$BH157:$BR157,0),0)</f>
        <v>0</v>
      </c>
      <c r="IW157" s="26">
        <f>IF(IW$2=InputTable[[#This Row],[Delivery Date]],_xlfn.XLOOKUP(IW$1,$BH$2:$BR$2,$BH157:$BR157,0),0)</f>
        <v>0</v>
      </c>
      <c r="IX157" s="26">
        <f>IF(IX$2=InputTable[[#This Row],[Delivery Date]],_xlfn.XLOOKUP(IX$1,$BH$2:$BR$2,$BH157:$BR157,0),0)</f>
        <v>0</v>
      </c>
      <c r="IY157" s="26">
        <f>IF(IY$2=InputTable[[#This Row],[Delivery Date]],_xlfn.XLOOKUP(IY$1,$BH$2:$BR$2,$BH157:$BR157,0),0)</f>
        <v>0</v>
      </c>
      <c r="IZ157" s="26">
        <f>IF(IZ$2=InputTable[[#This Row],[Delivery Date]],_xlfn.XLOOKUP(IZ$1,$BH$2:$BR$2,$BH157:$BR157,0),0)</f>
        <v>0</v>
      </c>
      <c r="JA157" s="26">
        <f>IF(JA$2=InputTable[[#This Row],[Delivery Date]],_xlfn.XLOOKUP(JA$1,$BH$2:$BR$2,$BH157:$BR157,0),0)</f>
        <v>0</v>
      </c>
      <c r="JB157" s="26">
        <f>IF(JB$2=InputTable[[#This Row],[Delivery Date]],_xlfn.XLOOKUP(JB$1,$BH$2:$BR$2,$BH157:$BR157,0),0)</f>
        <v>0</v>
      </c>
      <c r="JD157" s="26" t="e">
        <f>IF(JD$2=InputTable[[#This Row],[Delivery Date]],_xlfn.XLOOKUP(JD$1,$BH$2:$BR$2,$BH157:$BR157,0),0)</f>
        <v>#REF!</v>
      </c>
      <c r="JE157" s="26">
        <f>IF(JE$2=InputTable[[#This Row],[Delivery Date]],_xlfn.XLOOKUP(JE$1,$BH$2:$BR$2,$BH157:$BR157,0),0)</f>
        <v>0</v>
      </c>
      <c r="JF157" s="26">
        <f>IF(JF$2=InputTable[[#This Row],[Delivery Date]],_xlfn.XLOOKUP(JF$1,$BH$2:$BR$2,$BH157:$BR157,0),0)</f>
        <v>0</v>
      </c>
      <c r="JG157" s="26">
        <f>IF(JG$2=InputTable[[#This Row],[Delivery Date]],_xlfn.XLOOKUP(JG$1,$BH$2:$BR$2,$BH157:$BR157,0),0)</f>
        <v>0</v>
      </c>
      <c r="JH157" s="26">
        <f>IF(JH$2=InputTable[[#This Row],[Delivery Date]],_xlfn.XLOOKUP(JH$1,$BH$2:$BR$2,$BH157:$BR157,0),0)</f>
        <v>0</v>
      </c>
      <c r="JI157" s="26">
        <f>IF(JI$2=InputTable[[#This Row],[Delivery Date]],_xlfn.XLOOKUP(JI$1,$BH$2:$BR$2,$BH157:$BR157,0),0)</f>
        <v>0</v>
      </c>
      <c r="JJ157" s="26">
        <f>IF(JJ$2=InputTable[[#This Row],[Delivery Date]],_xlfn.XLOOKUP(JJ$1,$BH$2:$BR$2,$BH157:$BR157,0),0)</f>
        <v>0</v>
      </c>
      <c r="JK157" s="26">
        <f>IF(JK$2=InputTable[[#This Row],[Delivery Date]],_xlfn.XLOOKUP(JK$1,$BH$2:$BR$2,$BH157:$BR157,0),0)</f>
        <v>0</v>
      </c>
      <c r="JL157" s="26">
        <f>IF(JL$2=InputTable[[#This Row],[Delivery Date]],_xlfn.XLOOKUP(JL$1,$BH$2:$BR$2,$BH157:$BR157,0),0)</f>
        <v>0</v>
      </c>
      <c r="JN157" s="26" t="e">
        <f>IF(JN$2=InputTable[[#This Row],[Delivery Date]],_xlfn.XLOOKUP(JN$1,$BH$2:$BR$2,$BH157:$BR157,0),0)</f>
        <v>#REF!</v>
      </c>
      <c r="JO157" s="26">
        <f>IF(JO$2=InputTable[[#This Row],[Delivery Date]],_xlfn.XLOOKUP(JO$1,$BH$2:$BR$2,$BH157:$BR157,0),0)</f>
        <v>0</v>
      </c>
      <c r="JP157" s="26">
        <f>IF(JP$2=InputTable[[#This Row],[Delivery Date]],_xlfn.XLOOKUP(JP$1,$BH$2:$BR$2,$BH157:$BR157,0),0)</f>
        <v>0</v>
      </c>
      <c r="JQ157" s="26">
        <f>IF(JQ$2=InputTable[[#This Row],[Delivery Date]],_xlfn.XLOOKUP(JQ$1,$BH$2:$BR$2,$BH157:$BR157,0),0)</f>
        <v>0</v>
      </c>
      <c r="JR157" s="26">
        <f>IF(JR$2=InputTable[[#This Row],[Delivery Date]],_xlfn.XLOOKUP(JR$1,$BH$2:$BR$2,$BH157:$BR157,0),0)</f>
        <v>0</v>
      </c>
      <c r="JS157" s="26">
        <f>IF(JS$2=InputTable[[#This Row],[Delivery Date]],_xlfn.XLOOKUP(JS$1,$BH$2:$BR$2,$BH157:$BR157,0),0)</f>
        <v>0</v>
      </c>
      <c r="JT157" s="26">
        <f>IF(JT$2=InputTable[[#This Row],[Delivery Date]],_xlfn.XLOOKUP(JT$1,$BH$2:$BR$2,$BH157:$BR157,0),0)</f>
        <v>0</v>
      </c>
      <c r="JU157" s="26">
        <f>IF(JU$2=InputTable[[#This Row],[Delivery Date]],_xlfn.XLOOKUP(JU$1,$BH$2:$BR$2,$BH157:$BR157,0),0)</f>
        <v>0</v>
      </c>
      <c r="JV157" s="26">
        <f>IF(JV$2=InputTable[[#This Row],[Delivery Date]],_xlfn.XLOOKUP(JV$1,$BH$2:$BR$2,$BH157:$BR157,0),0)</f>
        <v>0</v>
      </c>
      <c r="JX157" s="26" t="e">
        <f>IF(JX$2=InputTable[[#This Row],[Delivery Date]],_xlfn.XLOOKUP(JX$1,$BH$2:$BR$2,$BH157:$BR157,0),0)</f>
        <v>#REF!</v>
      </c>
      <c r="JY157" s="26">
        <f>IF(JY$2=InputTable[[#This Row],[Delivery Date]],_xlfn.XLOOKUP(JY$1,$BH$2:$BR$2,$BH157:$BR157,0),0)</f>
        <v>0</v>
      </c>
      <c r="JZ157" s="26">
        <f>IF(JZ$2=InputTable[[#This Row],[Delivery Date]],_xlfn.XLOOKUP(JZ$1,$BH$2:$BR$2,$BH157:$BR157,0),0)</f>
        <v>0</v>
      </c>
      <c r="KA157" s="26">
        <f>IF(KA$2=InputTable[[#This Row],[Delivery Date]],_xlfn.XLOOKUP(KA$1,$BH$2:$BR$2,$BH157:$BR157,0),0)</f>
        <v>0</v>
      </c>
      <c r="KB157" s="26">
        <f>IF(KB$2=InputTable[[#This Row],[Delivery Date]],_xlfn.XLOOKUP(KB$1,$BH$2:$BR$2,$BH157:$BR157,0),0)</f>
        <v>0</v>
      </c>
      <c r="KC157" s="26">
        <f>IF(KC$2=InputTable[[#This Row],[Delivery Date]],_xlfn.XLOOKUP(KC$1,$BH$2:$BR$2,$BH157:$BR157,0),0)</f>
        <v>0</v>
      </c>
      <c r="KD157" s="26">
        <f>IF(KD$2=InputTable[[#This Row],[Delivery Date]],_xlfn.XLOOKUP(KD$1,$BH$2:$BR$2,$BH157:$BR157,0),0)</f>
        <v>0</v>
      </c>
      <c r="KE157" s="26">
        <f>IF(KE$2=InputTable[[#This Row],[Delivery Date]],_xlfn.XLOOKUP(KE$1,$BH$2:$BR$2,$BH157:$BR157,0),0)</f>
        <v>0</v>
      </c>
      <c r="KF157" s="26">
        <f>IF(KF$2=InputTable[[#This Row],[Delivery Date]],_xlfn.XLOOKUP(KF$1,$BH$2:$BR$2,$BH157:$BR157,0),0)</f>
        <v>0</v>
      </c>
    </row>
    <row r="158" spans="1:292" ht="34.799999999999997" x14ac:dyDescent="0.25">
      <c r="A158" s="141"/>
      <c r="B158" s="119"/>
      <c r="C158" s="92"/>
      <c r="D158" s="92"/>
      <c r="E158" s="93"/>
      <c r="F158" s="92"/>
      <c r="G158" s="92"/>
      <c r="H158" s="92"/>
      <c r="I158" s="92"/>
      <c r="J158" s="122"/>
      <c r="K158" s="95" t="e">
        <f>VLOOKUP((InputTable[[#This Row],[Starting Date]]&amp; " - " &amp;InputTable[[#This Row],[Delivery Date]]),'System List'!$F$40:$H$83,2,FALSE)</f>
        <v>#N/A</v>
      </c>
      <c r="L158" s="95" t="e">
        <f>VLOOKUP(InputTable[[#This Row],[Duration]],Duration,2,FALSE)</f>
        <v>#N/A</v>
      </c>
      <c r="M158" s="122"/>
      <c r="N158" s="92"/>
      <c r="O158" s="92"/>
      <c r="P158" s="92"/>
      <c r="Q158" s="92"/>
      <c r="R158" s="92"/>
      <c r="S158" s="92"/>
      <c r="T158" s="95"/>
      <c r="U158" s="138"/>
      <c r="V158" s="92"/>
      <c r="W158" s="92"/>
      <c r="X158" s="92"/>
      <c r="Y158" s="92"/>
      <c r="Z158" s="92"/>
      <c r="AA158" s="92"/>
      <c r="AB158" s="92"/>
      <c r="AC158" s="92"/>
      <c r="AD158" s="92">
        <f>COUNTA(InputTable[[#This Row],[CORPHRFIN]:[SALES]])</f>
        <v>0</v>
      </c>
      <c r="AE158" s="88" cm="1">
        <f t="array" ref="AE158">SUM(
_xlfn.XLOOKUP(InputTable[[#This Row],[CORPHRFIN]:[SALES]],'System List'!$F$4:$F$7,'System List'!$H$4:$H$7,0))</f>
        <v>0</v>
      </c>
      <c r="AF158" s="140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88" cm="1">
        <f t="array" ref="AR158">SUM(
_xlfn.XLOOKUP(InputTable[[#This Row],[Impact on - CIAL]:[Impact on - STRAT]],'System List'!$F$4:$F$7,'System List'!$H$4:$H$7,0))</f>
        <v>0</v>
      </c>
      <c r="AS158" s="88" t="e">
        <f>VLOOKUP(InputTable[[#This Row],[Duration]],Duration,2,FALSE)+InputTable[[#This Row],[Resource Score]]</f>
        <v>#N/A</v>
      </c>
      <c r="AT15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8" s="69" t="e">
        <f>InputTable[[#This Row],[Value Score]]/InputTable[[#This Row],[EFFORT SCORE]]*100</f>
        <v>#N/A</v>
      </c>
      <c r="AV158" s="25" t="s">
        <v>449</v>
      </c>
      <c r="AW158" s="25"/>
      <c r="AX158" s="208"/>
      <c r="AY158" s="25"/>
      <c r="AZ158" s="189">
        <v>0</v>
      </c>
      <c r="BA158" s="189">
        <v>0</v>
      </c>
      <c r="BB158" s="189"/>
      <c r="BC158" s="189"/>
      <c r="BD158" s="188"/>
      <c r="BE158" s="188"/>
      <c r="BF158" s="70"/>
      <c r="BH158" s="2">
        <f>IFERROR(VLOOKUP(InputTable[[#This Row],[Impact on - CIAL]],'System List'!$F$4:$H$7,3,FALSE),0)</f>
        <v>0</v>
      </c>
      <c r="BI158" s="2">
        <f>IFERROR(VLOOKUP(InputTable[[#This Row],[Impact on - COM]],'System List'!$F$4:$H$7,3,FALSE),0)</f>
        <v>0</v>
      </c>
      <c r="BJ158" s="2">
        <f>IFERROR(VLOOKUP(InputTable[[#This Row],[Impact on - FIN]],'System List'!$F$4:$H$7,3,FALSE),0)</f>
        <v>0</v>
      </c>
      <c r="BK158" s="2">
        <f>IFERROR(VLOOKUP(InputTable[[#This Row],[Impact on - GEN SEC]],'System List'!$F$4:$H$7,3,FALSE),0)</f>
        <v>0</v>
      </c>
      <c r="BL158" s="2">
        <f>IFERROR(VLOOKUP(InputTable[[#This Row],[Impact on - HR]],'System List'!$F$4:$H$7,3,FALSE),0)</f>
        <v>0</v>
      </c>
      <c r="BM158" s="2">
        <f>IFERROR(VLOOKUP(InputTable[[#This Row],[Impact on - IS]],'System List'!$F$4:$H$7,3,FALSE),0)</f>
        <v>0</v>
      </c>
      <c r="BN158" s="2">
        <f>IFERROR(VLOOKUP(InputTable[[#This Row],[Impact on - OPS]],'System List'!$F$4:$H$7,3,FALSE),0)</f>
        <v>0</v>
      </c>
      <c r="BO158" s="2">
        <f>IFERROR(VLOOKUP(InputTable[[#This Row],[Impact on - ROLL STOCK]],'System List'!$F$4:$H$7,3,FALSE),0)</f>
        <v>0</v>
      </c>
      <c r="BP158" s="2">
        <f>IFERROR(VLOOKUP(InputTable[[#This Row],[Impact on - SAFETY]],'System List'!$F$4:$H$7,3,FALSE),0)</f>
        <v>0</v>
      </c>
      <c r="BQ158" s="2">
        <f>IFERROR(VLOOKUP(InputTable[[#This Row],[Impact on - STATION]],'System List'!$F$4:$H$7,3,FALSE),0)</f>
        <v>0</v>
      </c>
      <c r="BR158" s="2">
        <f>IFERROR(VLOOKUP(InputTable[[#This Row],[Impact on - STRAT]],'System List'!$F$4:$H$7,3,FALSE),0)</f>
        <v>0</v>
      </c>
      <c r="BT158" s="2">
        <f>IFERROR(VLOOKUP(InputTable[[#This Row],[CORPHRFIN]],'System List'!$F$4:$H$7,3,FALSE),0)</f>
        <v>0</v>
      </c>
      <c r="BU158" s="2">
        <f>IFERROR(VLOOKUP(InputTable[[#This Row],[CUST]],'System List'!$F$4:$H$7,3,FALSE),0)</f>
        <v>0</v>
      </c>
      <c r="BV158" s="2">
        <f>IFERROR(VLOOKUP(InputTable[[#This Row],[CYBER]],'System List'!$F$4:$H$7,3,FALSE),0)</f>
        <v>0</v>
      </c>
      <c r="BW158" s="2">
        <f>IFERROR(VLOOKUP(InputTable[[#This Row],[DATA]],'System List'!$F$4:$H$7,3,FALSE),0)</f>
        <v>0</v>
      </c>
      <c r="BX158" s="2">
        <f>IFERROR(VLOOKUP(InputTable[[#This Row],[INFRA]],'System List'!$F$4:$H$7,3,FALSE),0)</f>
        <v>0</v>
      </c>
      <c r="BY158" s="2">
        <f>IFERROR(VLOOKUP(InputTable[[#This Row],[OPERATIONS]],'System List'!$F$4:$H$7,3,FALSE),0)</f>
        <v>0</v>
      </c>
      <c r="BZ158" s="2">
        <f>IFERROR(VLOOKUP(InputTable[[#This Row],[PMO]],'System List'!$F$4:$H$7,3,FALSE),0)</f>
        <v>0</v>
      </c>
      <c r="CA158" s="2">
        <f>IFERROR(VLOOKUP(InputTable[[#This Row],[SALES]],'System List'!$F$4:$H$7,3,FALSE),0)</f>
        <v>0</v>
      </c>
      <c r="CC158" s="2" cm="1">
        <f t="array" ref="CC15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8" s="2" cm="1">
        <f t="array" ref="CD15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8" s="2" cm="1">
        <f t="array" ref="CE15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8" s="2" cm="1">
        <f t="array" ref="CF15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8" s="2" cm="1">
        <f t="array" ref="CG15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8" s="2" cm="1">
        <f t="array" ref="CH15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8" s="2" cm="1">
        <f t="array" ref="CI15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8" s="2" cm="1">
        <f t="array" ref="CJ15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8" s="2" cm="1">
        <f t="array" ref="CK15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8" s="26">
        <f t="shared" si="379"/>
        <v>0</v>
      </c>
      <c r="CY158" s="26">
        <f t="shared" si="380"/>
        <v>0</v>
      </c>
      <c r="CZ158" s="26">
        <f t="shared" si="381"/>
        <v>0</v>
      </c>
      <c r="DA158" s="26">
        <f t="shared" si="382"/>
        <v>0</v>
      </c>
      <c r="DB158" s="26">
        <f t="shared" si="383"/>
        <v>0</v>
      </c>
      <c r="DC158" s="26">
        <f t="shared" si="384"/>
        <v>0</v>
      </c>
      <c r="DD158" s="26">
        <f t="shared" si="385"/>
        <v>0</v>
      </c>
      <c r="DE158" s="26">
        <f t="shared" si="386"/>
        <v>0</v>
      </c>
      <c r="DF158" s="26">
        <f t="shared" si="387"/>
        <v>0</v>
      </c>
      <c r="DH158" s="26">
        <f t="shared" si="388"/>
        <v>0</v>
      </c>
      <c r="DI158" s="26">
        <f t="shared" si="389"/>
        <v>0</v>
      </c>
      <c r="DJ158" s="26">
        <f t="shared" si="390"/>
        <v>0</v>
      </c>
      <c r="DK158" s="26">
        <f t="shared" si="391"/>
        <v>0</v>
      </c>
      <c r="DL158" s="26">
        <f t="shared" si="392"/>
        <v>0</v>
      </c>
      <c r="DM158" s="26">
        <f t="shared" si="393"/>
        <v>0</v>
      </c>
      <c r="DN158" s="26">
        <f t="shared" si="394"/>
        <v>0</v>
      </c>
      <c r="DO158" s="26">
        <f t="shared" si="395"/>
        <v>0</v>
      </c>
      <c r="DP158" s="26">
        <f t="shared" si="396"/>
        <v>0</v>
      </c>
      <c r="DR158" s="26">
        <f t="shared" si="397"/>
        <v>0</v>
      </c>
      <c r="DS158" s="26">
        <f t="shared" si="398"/>
        <v>0</v>
      </c>
      <c r="DT158" s="26">
        <f t="shared" si="399"/>
        <v>0</v>
      </c>
      <c r="DU158" s="26">
        <f t="shared" si="400"/>
        <v>0</v>
      </c>
      <c r="DV158" s="26">
        <f t="shared" si="401"/>
        <v>0</v>
      </c>
      <c r="DW158" s="26">
        <f t="shared" si="402"/>
        <v>0</v>
      </c>
      <c r="DX158" s="26">
        <f t="shared" si="403"/>
        <v>0</v>
      </c>
      <c r="DY158" s="26">
        <f t="shared" si="404"/>
        <v>0</v>
      </c>
      <c r="DZ158" s="26">
        <f t="shared" si="405"/>
        <v>0</v>
      </c>
      <c r="EB158" s="26">
        <f t="shared" si="406"/>
        <v>0</v>
      </c>
      <c r="EC158" s="26">
        <f t="shared" si="407"/>
        <v>0</v>
      </c>
      <c r="ED158" s="26">
        <f t="shared" si="408"/>
        <v>0</v>
      </c>
      <c r="EE158" s="26">
        <f t="shared" si="409"/>
        <v>0</v>
      </c>
      <c r="EF158" s="26">
        <f t="shared" si="410"/>
        <v>0</v>
      </c>
      <c r="EG158" s="26">
        <f t="shared" si="411"/>
        <v>0</v>
      </c>
      <c r="EH158" s="26">
        <f t="shared" si="412"/>
        <v>0</v>
      </c>
      <c r="EI158" s="26">
        <f t="shared" si="413"/>
        <v>0</v>
      </c>
      <c r="EJ158" s="26">
        <f t="shared" si="414"/>
        <v>0</v>
      </c>
      <c r="EL158" s="26">
        <f t="shared" si="415"/>
        <v>0</v>
      </c>
      <c r="EM158" s="26">
        <f t="shared" si="416"/>
        <v>0</v>
      </c>
      <c r="EN158" s="26">
        <f t="shared" si="417"/>
        <v>0</v>
      </c>
      <c r="EO158" s="26">
        <f t="shared" si="418"/>
        <v>0</v>
      </c>
      <c r="EP158" s="26">
        <f t="shared" si="419"/>
        <v>0</v>
      </c>
      <c r="EQ158" s="26">
        <f t="shared" si="420"/>
        <v>0</v>
      </c>
      <c r="ER158" s="26">
        <f t="shared" si="421"/>
        <v>0</v>
      </c>
      <c r="ES158" s="26">
        <f t="shared" si="422"/>
        <v>0</v>
      </c>
      <c r="ET158" s="26">
        <f t="shared" si="423"/>
        <v>0</v>
      </c>
      <c r="EV158" s="26">
        <f t="shared" si="424"/>
        <v>0</v>
      </c>
      <c r="EW158" s="26">
        <f t="shared" si="425"/>
        <v>0</v>
      </c>
      <c r="EX158" s="26">
        <f t="shared" si="426"/>
        <v>0</v>
      </c>
      <c r="EY158" s="26">
        <f t="shared" si="427"/>
        <v>0</v>
      </c>
      <c r="EZ158" s="26">
        <f t="shared" si="428"/>
        <v>0</v>
      </c>
      <c r="FA158" s="26">
        <f t="shared" si="429"/>
        <v>0</v>
      </c>
      <c r="FB158" s="26">
        <f t="shared" si="430"/>
        <v>0</v>
      </c>
      <c r="FC158" s="26">
        <f t="shared" si="431"/>
        <v>0</v>
      </c>
      <c r="FD158" s="26">
        <f t="shared" si="432"/>
        <v>0</v>
      </c>
      <c r="FF158" s="26">
        <f t="shared" si="433"/>
        <v>0</v>
      </c>
      <c r="FG158" s="26">
        <f t="shared" si="434"/>
        <v>0</v>
      </c>
      <c r="FH158" s="26">
        <f t="shared" si="435"/>
        <v>0</v>
      </c>
      <c r="FI158" s="26">
        <f t="shared" si="436"/>
        <v>0</v>
      </c>
      <c r="FJ158" s="26">
        <f t="shared" si="437"/>
        <v>0</v>
      </c>
      <c r="FK158" s="26">
        <f t="shared" si="438"/>
        <v>0</v>
      </c>
      <c r="FL158" s="26">
        <f t="shared" si="439"/>
        <v>0</v>
      </c>
      <c r="FM158" s="26">
        <f t="shared" si="440"/>
        <v>0</v>
      </c>
      <c r="FN158" s="26">
        <f t="shared" si="441"/>
        <v>0</v>
      </c>
      <c r="FP158" s="26" t="e">
        <f t="shared" si="442"/>
        <v>#REF!</v>
      </c>
      <c r="FQ158" s="26" t="e">
        <f t="shared" si="443"/>
        <v>#REF!</v>
      </c>
      <c r="FR158" s="26" t="e">
        <f t="shared" si="444"/>
        <v>#REF!</v>
      </c>
      <c r="FS158" s="26" t="e">
        <f t="shared" si="445"/>
        <v>#REF!</v>
      </c>
      <c r="FT158" s="26" t="e">
        <f t="shared" si="446"/>
        <v>#REF!</v>
      </c>
      <c r="FU158" s="26" t="e">
        <f t="shared" si="447"/>
        <v>#REF!</v>
      </c>
      <c r="FV158" s="26" t="e">
        <f t="shared" si="448"/>
        <v>#REF!</v>
      </c>
      <c r="FW158" s="26" t="e">
        <f t="shared" si="449"/>
        <v>#REF!</v>
      </c>
      <c r="FX158" s="26" t="e">
        <f t="shared" si="450"/>
        <v>#REF!</v>
      </c>
      <c r="GB158" s="26" t="e">
        <f>IF(GB$2=InputTable[[#This Row],[Delivery Date]],_xlfn.XLOOKUP(GB$1,$BH$2:$BR$2,$BH158:$BR158,0),0)</f>
        <v>#REF!</v>
      </c>
      <c r="GC158" s="26">
        <f>IF(GC$2=InputTable[[#This Row],[Delivery Date]],_xlfn.XLOOKUP(GC$1,$BH$2:$BR$2,$BH158:$BR158,0),0)</f>
        <v>0</v>
      </c>
      <c r="GD158" s="26">
        <f>IF(GD$2=InputTable[[#This Row],[Delivery Date]],_xlfn.XLOOKUP(GD$1,$BH$2:$BR$2,$BH158:$BR158,0),0)</f>
        <v>0</v>
      </c>
      <c r="GE158" s="26">
        <f>IF(GE$2=InputTable[[#This Row],[Delivery Date]],_xlfn.XLOOKUP(GE$1,$BH$2:$BR$2,$BH158:$BR158,0),0)</f>
        <v>0</v>
      </c>
      <c r="GF158" s="26">
        <f>IF(GF$2=InputTable[[#This Row],[Delivery Date]],_xlfn.XLOOKUP(GF$1,$BH$2:$BR$2,$BH158:$BR158,0),0)</f>
        <v>0</v>
      </c>
      <c r="GG158" s="26">
        <f>IF(GG$2=InputTable[[#This Row],[Delivery Date]],_xlfn.XLOOKUP(GG$1,$BH$2:$BR$2,$BH158:$BR158,0),0)</f>
        <v>0</v>
      </c>
      <c r="GH158" s="26">
        <f>IF(GH$2=InputTable[[#This Row],[Delivery Date]],_xlfn.XLOOKUP(GH$1,$BH$2:$BR$2,$BH158:$BR158,0),0)</f>
        <v>0</v>
      </c>
      <c r="GI158" s="26">
        <f>IF(GI$2=InputTable[[#This Row],[Delivery Date]],_xlfn.XLOOKUP(GI$1,$BH$2:$BR$2,$BH158:$BR158,0),0)</f>
        <v>0</v>
      </c>
      <c r="GJ158" s="26">
        <f>IF(GJ$2=InputTable[[#This Row],[Delivery Date]],_xlfn.XLOOKUP(GJ$1,$BH$2:$BR$2,$BH158:$BR158,0),0)</f>
        <v>0</v>
      </c>
      <c r="GL158" s="26" t="e">
        <f>IF(GL$2=InputTable[[#This Row],[Delivery Date]],_xlfn.XLOOKUP(GL$1,$BH$2:$BR$2,$BH158:$BR158,0),0)</f>
        <v>#REF!</v>
      </c>
      <c r="GM158" s="26">
        <f>IF(GM$2=InputTable[[#This Row],[Delivery Date]],_xlfn.XLOOKUP(GM$1,$BH$2:$BR$2,$BH158:$BR158,0),0)</f>
        <v>0</v>
      </c>
      <c r="GN158" s="26">
        <f>IF(GN$2=InputTable[[#This Row],[Delivery Date]],_xlfn.XLOOKUP(GN$1,$BH$2:$BR$2,$BH158:$BR158,0),0)</f>
        <v>0</v>
      </c>
      <c r="GO158" s="26">
        <f>IF(GO$2=InputTable[[#This Row],[Delivery Date]],_xlfn.XLOOKUP(GO$1,$BH$2:$BR$2,$BH158:$BR158,0),0)</f>
        <v>0</v>
      </c>
      <c r="GP158" s="26">
        <f>IF(GP$2=InputTable[[#This Row],[Delivery Date]],_xlfn.XLOOKUP(GP$1,$BH$2:$BR$2,$BH158:$BR158,0),0)</f>
        <v>0</v>
      </c>
      <c r="GQ158" s="26">
        <f>IF(GQ$2=InputTable[[#This Row],[Delivery Date]],_xlfn.XLOOKUP(GQ$1,$BH$2:$BR$2,$BH158:$BR158,0),0)</f>
        <v>0</v>
      </c>
      <c r="GR158" s="26">
        <f>IF(GR$2=InputTable[[#This Row],[Delivery Date]],_xlfn.XLOOKUP(GR$1,$BH$2:$BR$2,$BH158:$BR158,0),0)</f>
        <v>0</v>
      </c>
      <c r="GS158" s="26">
        <f>IF(GS$2=InputTable[[#This Row],[Delivery Date]],_xlfn.XLOOKUP(GS$1,$BH$2:$BR$2,$BH158:$BR158,0),0)</f>
        <v>0</v>
      </c>
      <c r="GT158" s="26">
        <f>IF(GT$2=InputTable[[#This Row],[Delivery Date]],_xlfn.XLOOKUP(GT$1,$BH$2:$BR$2,$BH158:$BR158,0),0)</f>
        <v>0</v>
      </c>
      <c r="GV158" s="26" t="e">
        <f>IF(GV$2=InputTable[[#This Row],[Delivery Date]],_xlfn.XLOOKUP(GV$1,$BH$2:$BR$2,$BH158:$BR158,0),0)</f>
        <v>#REF!</v>
      </c>
      <c r="GW158" s="26">
        <f>IF(GW$2=InputTable[[#This Row],[Delivery Date]],_xlfn.XLOOKUP(GW$1,$BH$2:$BR$2,$BH158:$BR158,0),0)</f>
        <v>0</v>
      </c>
      <c r="GX158" s="26">
        <f>IF(GX$2=InputTable[[#This Row],[Delivery Date]],_xlfn.XLOOKUP(GX$1,$BH$2:$BR$2,$BH158:$BR158,0),0)</f>
        <v>0</v>
      </c>
      <c r="GY158" s="26">
        <f>IF(GY$2=InputTable[[#This Row],[Delivery Date]],_xlfn.XLOOKUP(GY$1,$BH$2:$BR$2,$BH158:$BR158,0),0)</f>
        <v>0</v>
      </c>
      <c r="GZ158" s="26">
        <f>IF(GZ$2=InputTable[[#This Row],[Delivery Date]],_xlfn.XLOOKUP(GZ$1,$BH$2:$BR$2,$BH158:$BR158,0),0)</f>
        <v>0</v>
      </c>
      <c r="HA158" s="26">
        <f>IF(HA$2=InputTable[[#This Row],[Delivery Date]],_xlfn.XLOOKUP(HA$1,$BH$2:$BR$2,$BH158:$BR158,0),0)</f>
        <v>0</v>
      </c>
      <c r="HB158" s="26">
        <f>IF(HB$2=InputTable[[#This Row],[Delivery Date]],_xlfn.XLOOKUP(HB$1,$BH$2:$BR$2,$BH158:$BR158,0),0)</f>
        <v>0</v>
      </c>
      <c r="HC158" s="26">
        <f>IF(HC$2=InputTable[[#This Row],[Delivery Date]],_xlfn.XLOOKUP(HC$1,$BH$2:$BR$2,$BH158:$BR158,0),0)</f>
        <v>0</v>
      </c>
      <c r="HD158" s="26">
        <f>IF(HD$2=InputTable[[#This Row],[Delivery Date]],_xlfn.XLOOKUP(HD$1,$BH$2:$BR$2,$BH158:$BR158,0),0)</f>
        <v>0</v>
      </c>
      <c r="HF158" s="26" t="e">
        <f>IF(HF$2=InputTable[[#This Row],[Delivery Date]],_xlfn.XLOOKUP(HF$1,$BH$2:$BR$2,$BH158:$BR158,0),0)</f>
        <v>#REF!</v>
      </c>
      <c r="HG158" s="26">
        <f>IF(HG$2=InputTable[[#This Row],[Delivery Date]],_xlfn.XLOOKUP(HG$1,$BH$2:$BR$2,$BH158:$BR158,0),0)</f>
        <v>0</v>
      </c>
      <c r="HH158" s="26">
        <f>IF(HH$2=InputTable[[#This Row],[Delivery Date]],_xlfn.XLOOKUP(HH$1,$BH$2:$BR$2,$BH158:$BR158,0),0)</f>
        <v>0</v>
      </c>
      <c r="HI158" s="26">
        <f>IF(HI$2=InputTable[[#This Row],[Delivery Date]],_xlfn.XLOOKUP(HI$1,$BH$2:$BR$2,$BH158:$BR158,0),0)</f>
        <v>0</v>
      </c>
      <c r="HJ158" s="26">
        <f>IF(HJ$2=InputTable[[#This Row],[Delivery Date]],_xlfn.XLOOKUP(HJ$1,$BH$2:$BR$2,$BH158:$BR158,0),0)</f>
        <v>0</v>
      </c>
      <c r="HK158" s="26">
        <f>IF(HK$2=InputTable[[#This Row],[Delivery Date]],_xlfn.XLOOKUP(HK$1,$BH$2:$BR$2,$BH158:$BR158,0),0)</f>
        <v>0</v>
      </c>
      <c r="HL158" s="26">
        <f>IF(HL$2=InputTable[[#This Row],[Delivery Date]],_xlfn.XLOOKUP(HL$1,$BH$2:$BR$2,$BH158:$BR158,0),0)</f>
        <v>0</v>
      </c>
      <c r="HM158" s="26">
        <f>IF(HM$2=InputTable[[#This Row],[Delivery Date]],_xlfn.XLOOKUP(HM$1,$BH$2:$BR$2,$BH158:$BR158,0),0)</f>
        <v>0</v>
      </c>
      <c r="HN158" s="26">
        <f>IF(HN$2=InputTable[[#This Row],[Delivery Date]],_xlfn.XLOOKUP(HN$1,$BH$2:$BR$2,$BH158:$BR158,0),0)</f>
        <v>0</v>
      </c>
      <c r="HP158" s="26" t="e">
        <f>IF(HP$2=InputTable[[#This Row],[Delivery Date]],_xlfn.XLOOKUP(HP$1,$BH$2:$BR$2,$BH158:$BR158,0),0)</f>
        <v>#REF!</v>
      </c>
      <c r="HQ158" s="26">
        <f>IF(HQ$2=InputTable[[#This Row],[Delivery Date]],_xlfn.XLOOKUP(HQ$1,$BH$2:$BR$2,$BH158:$BR158,0),0)</f>
        <v>0</v>
      </c>
      <c r="HR158" s="26">
        <f>IF(HR$2=InputTable[[#This Row],[Delivery Date]],_xlfn.XLOOKUP(HR$1,$BH$2:$BR$2,$BH158:$BR158,0),0)</f>
        <v>0</v>
      </c>
      <c r="HS158" s="26">
        <f>IF(HS$2=InputTable[[#This Row],[Delivery Date]],_xlfn.XLOOKUP(HS$1,$BH$2:$BR$2,$BH158:$BR158,0),0)</f>
        <v>0</v>
      </c>
      <c r="HT158" s="26">
        <f>IF(HT$2=InputTable[[#This Row],[Delivery Date]],_xlfn.XLOOKUP(HT$1,$BH$2:$BR$2,$BH158:$BR158,0),0)</f>
        <v>0</v>
      </c>
      <c r="HU158" s="26">
        <f>IF(HU$2=InputTable[[#This Row],[Delivery Date]],_xlfn.XLOOKUP(HU$1,$BH$2:$BR$2,$BH158:$BR158,0),0)</f>
        <v>0</v>
      </c>
      <c r="HV158" s="26">
        <f>IF(HV$2=InputTable[[#This Row],[Delivery Date]],_xlfn.XLOOKUP(HV$1,$BH$2:$BR$2,$BH158:$BR158,0),0)</f>
        <v>0</v>
      </c>
      <c r="HW158" s="26">
        <f>IF(HW$2=InputTable[[#This Row],[Delivery Date]],_xlfn.XLOOKUP(HW$1,$BH$2:$BR$2,$BH158:$BR158,0),0)</f>
        <v>0</v>
      </c>
      <c r="HX158" s="26">
        <f>IF(HX$2=InputTable[[#This Row],[Delivery Date]],_xlfn.XLOOKUP(HX$1,$BH$2:$BR$2,$BH158:$BR158,0),0)</f>
        <v>0</v>
      </c>
      <c r="HZ158" s="26" t="e">
        <f>IF(HZ$2=InputTable[[#This Row],[Delivery Date]],_xlfn.XLOOKUP(HZ$1,$BH$2:$BR$2,$BH158:$BR158,0),0)</f>
        <v>#REF!</v>
      </c>
      <c r="IA158" s="26">
        <f>IF(IA$2=InputTable[[#This Row],[Delivery Date]],_xlfn.XLOOKUP(IA$1,$BH$2:$BR$2,$BH158:$BR158,0),0)</f>
        <v>0</v>
      </c>
      <c r="IB158" s="26">
        <f>IF(IB$2=InputTable[[#This Row],[Delivery Date]],_xlfn.XLOOKUP(IB$1,$BH$2:$BR$2,$BH158:$BR158,0),0)</f>
        <v>0</v>
      </c>
      <c r="IC158" s="26">
        <f>IF(IC$2=InputTable[[#This Row],[Delivery Date]],_xlfn.XLOOKUP(IC$1,$BH$2:$BR$2,$BH158:$BR158,0),0)</f>
        <v>0</v>
      </c>
      <c r="ID158" s="26">
        <f>IF(ID$2=InputTable[[#This Row],[Delivery Date]],_xlfn.XLOOKUP(ID$1,$BH$2:$BR$2,$BH158:$BR158,0),0)</f>
        <v>0</v>
      </c>
      <c r="IE158" s="26">
        <f>IF(IE$2=InputTable[[#This Row],[Delivery Date]],_xlfn.XLOOKUP(IE$1,$BH$2:$BR$2,$BH158:$BR158,0),0)</f>
        <v>0</v>
      </c>
      <c r="IF158" s="26">
        <f>IF(IF$2=InputTable[[#This Row],[Delivery Date]],_xlfn.XLOOKUP(IF$1,$BH$2:$BR$2,$BH158:$BR158,0),0)</f>
        <v>0</v>
      </c>
      <c r="IG158" s="26">
        <f>IF(IG$2=InputTable[[#This Row],[Delivery Date]],_xlfn.XLOOKUP(IG$1,$BH$2:$BR$2,$BH158:$BR158,0),0)</f>
        <v>0</v>
      </c>
      <c r="IH158" s="26">
        <f>IF(IH$2=InputTable[[#This Row],[Delivery Date]],_xlfn.XLOOKUP(IH$1,$BH$2:$BR$2,$BH158:$BR158,0),0)</f>
        <v>0</v>
      </c>
      <c r="IJ158" s="26" t="e">
        <f>IF(IJ$2=InputTable[[#This Row],[Delivery Date]],_xlfn.XLOOKUP(IJ$1,$BH$2:$BR$2,$BH158:$BR158,0),0)</f>
        <v>#REF!</v>
      </c>
      <c r="IK158" s="26">
        <f>IF(IK$2=InputTable[[#This Row],[Delivery Date]],_xlfn.XLOOKUP(IK$1,$BH$2:$BR$2,$BH158:$BR158,0),0)</f>
        <v>0</v>
      </c>
      <c r="IL158" s="26">
        <f>IF(IL$2=InputTable[[#This Row],[Delivery Date]],_xlfn.XLOOKUP(IL$1,$BH$2:$BR$2,$BH158:$BR158,0),0)</f>
        <v>0</v>
      </c>
      <c r="IM158" s="26">
        <f>IF(IM$2=InputTable[[#This Row],[Delivery Date]],_xlfn.XLOOKUP(IM$1,$BH$2:$BR$2,$BH158:$BR158,0),0)</f>
        <v>0</v>
      </c>
      <c r="IN158" s="26">
        <f>IF(IN$2=InputTable[[#This Row],[Delivery Date]],_xlfn.XLOOKUP(IN$1,$BH$2:$BR$2,$BH158:$BR158,0),0)</f>
        <v>0</v>
      </c>
      <c r="IO158" s="26">
        <f>IF(IO$2=InputTable[[#This Row],[Delivery Date]],_xlfn.XLOOKUP(IO$1,$BH$2:$BR$2,$BH158:$BR158,0),0)</f>
        <v>0</v>
      </c>
      <c r="IP158" s="26">
        <f>IF(IP$2=InputTable[[#This Row],[Delivery Date]],_xlfn.XLOOKUP(IP$1,$BH$2:$BR$2,$BH158:$BR158,0),0)</f>
        <v>0</v>
      </c>
      <c r="IQ158" s="26">
        <f>IF(IQ$2=InputTable[[#This Row],[Delivery Date]],_xlfn.XLOOKUP(IQ$1,$BH$2:$BR$2,$BH158:$BR158,0),0)</f>
        <v>0</v>
      </c>
      <c r="IR158" s="26">
        <f>IF(IR$2=InputTable[[#This Row],[Delivery Date]],_xlfn.XLOOKUP(IR$1,$BH$2:$BR$2,$BH158:$BR158,0),0)</f>
        <v>0</v>
      </c>
      <c r="IT158" s="26" t="e">
        <f>IF(IT$2=InputTable[[#This Row],[Delivery Date]],_xlfn.XLOOKUP(IT$1,$BH$2:$BR$2,$BH158:$BR158,0),0)</f>
        <v>#REF!</v>
      </c>
      <c r="IU158" s="26">
        <f>IF(IU$2=InputTable[[#This Row],[Delivery Date]],_xlfn.XLOOKUP(IU$1,$BH$2:$BR$2,$BH158:$BR158,0),0)</f>
        <v>0</v>
      </c>
      <c r="IV158" s="26">
        <f>IF(IV$2=InputTable[[#This Row],[Delivery Date]],_xlfn.XLOOKUP(IV$1,$BH$2:$BR$2,$BH158:$BR158,0),0)</f>
        <v>0</v>
      </c>
      <c r="IW158" s="26">
        <f>IF(IW$2=InputTable[[#This Row],[Delivery Date]],_xlfn.XLOOKUP(IW$1,$BH$2:$BR$2,$BH158:$BR158,0),0)</f>
        <v>0</v>
      </c>
      <c r="IX158" s="26">
        <f>IF(IX$2=InputTable[[#This Row],[Delivery Date]],_xlfn.XLOOKUP(IX$1,$BH$2:$BR$2,$BH158:$BR158,0),0)</f>
        <v>0</v>
      </c>
      <c r="IY158" s="26">
        <f>IF(IY$2=InputTable[[#This Row],[Delivery Date]],_xlfn.XLOOKUP(IY$1,$BH$2:$BR$2,$BH158:$BR158,0),0)</f>
        <v>0</v>
      </c>
      <c r="IZ158" s="26">
        <f>IF(IZ$2=InputTable[[#This Row],[Delivery Date]],_xlfn.XLOOKUP(IZ$1,$BH$2:$BR$2,$BH158:$BR158,0),0)</f>
        <v>0</v>
      </c>
      <c r="JA158" s="26">
        <f>IF(JA$2=InputTable[[#This Row],[Delivery Date]],_xlfn.XLOOKUP(JA$1,$BH$2:$BR$2,$BH158:$BR158,0),0)</f>
        <v>0</v>
      </c>
      <c r="JB158" s="26">
        <f>IF(JB$2=InputTable[[#This Row],[Delivery Date]],_xlfn.XLOOKUP(JB$1,$BH$2:$BR$2,$BH158:$BR158,0),0)</f>
        <v>0</v>
      </c>
      <c r="JD158" s="26" t="e">
        <f>IF(JD$2=InputTable[[#This Row],[Delivery Date]],_xlfn.XLOOKUP(JD$1,$BH$2:$BR$2,$BH158:$BR158,0),0)</f>
        <v>#REF!</v>
      </c>
      <c r="JE158" s="26">
        <f>IF(JE$2=InputTable[[#This Row],[Delivery Date]],_xlfn.XLOOKUP(JE$1,$BH$2:$BR$2,$BH158:$BR158,0),0)</f>
        <v>0</v>
      </c>
      <c r="JF158" s="26">
        <f>IF(JF$2=InputTable[[#This Row],[Delivery Date]],_xlfn.XLOOKUP(JF$1,$BH$2:$BR$2,$BH158:$BR158,0),0)</f>
        <v>0</v>
      </c>
      <c r="JG158" s="26">
        <f>IF(JG$2=InputTable[[#This Row],[Delivery Date]],_xlfn.XLOOKUP(JG$1,$BH$2:$BR$2,$BH158:$BR158,0),0)</f>
        <v>0</v>
      </c>
      <c r="JH158" s="26">
        <f>IF(JH$2=InputTable[[#This Row],[Delivery Date]],_xlfn.XLOOKUP(JH$1,$BH$2:$BR$2,$BH158:$BR158,0),0)</f>
        <v>0</v>
      </c>
      <c r="JI158" s="26">
        <f>IF(JI$2=InputTable[[#This Row],[Delivery Date]],_xlfn.XLOOKUP(JI$1,$BH$2:$BR$2,$BH158:$BR158,0),0)</f>
        <v>0</v>
      </c>
      <c r="JJ158" s="26">
        <f>IF(JJ$2=InputTable[[#This Row],[Delivery Date]],_xlfn.XLOOKUP(JJ$1,$BH$2:$BR$2,$BH158:$BR158,0),0)</f>
        <v>0</v>
      </c>
      <c r="JK158" s="26">
        <f>IF(JK$2=InputTable[[#This Row],[Delivery Date]],_xlfn.XLOOKUP(JK$1,$BH$2:$BR$2,$BH158:$BR158,0),0)</f>
        <v>0</v>
      </c>
      <c r="JL158" s="26">
        <f>IF(JL$2=InputTable[[#This Row],[Delivery Date]],_xlfn.XLOOKUP(JL$1,$BH$2:$BR$2,$BH158:$BR158,0),0)</f>
        <v>0</v>
      </c>
      <c r="JN158" s="26" t="e">
        <f>IF(JN$2=InputTable[[#This Row],[Delivery Date]],_xlfn.XLOOKUP(JN$1,$BH$2:$BR$2,$BH158:$BR158,0),0)</f>
        <v>#REF!</v>
      </c>
      <c r="JO158" s="26">
        <f>IF(JO$2=InputTable[[#This Row],[Delivery Date]],_xlfn.XLOOKUP(JO$1,$BH$2:$BR$2,$BH158:$BR158,0),0)</f>
        <v>0</v>
      </c>
      <c r="JP158" s="26">
        <f>IF(JP$2=InputTable[[#This Row],[Delivery Date]],_xlfn.XLOOKUP(JP$1,$BH$2:$BR$2,$BH158:$BR158,0),0)</f>
        <v>0</v>
      </c>
      <c r="JQ158" s="26">
        <f>IF(JQ$2=InputTable[[#This Row],[Delivery Date]],_xlfn.XLOOKUP(JQ$1,$BH$2:$BR$2,$BH158:$BR158,0),0)</f>
        <v>0</v>
      </c>
      <c r="JR158" s="26">
        <f>IF(JR$2=InputTable[[#This Row],[Delivery Date]],_xlfn.XLOOKUP(JR$1,$BH$2:$BR$2,$BH158:$BR158,0),0)</f>
        <v>0</v>
      </c>
      <c r="JS158" s="26">
        <f>IF(JS$2=InputTable[[#This Row],[Delivery Date]],_xlfn.XLOOKUP(JS$1,$BH$2:$BR$2,$BH158:$BR158,0),0)</f>
        <v>0</v>
      </c>
      <c r="JT158" s="26">
        <f>IF(JT$2=InputTable[[#This Row],[Delivery Date]],_xlfn.XLOOKUP(JT$1,$BH$2:$BR$2,$BH158:$BR158,0),0)</f>
        <v>0</v>
      </c>
      <c r="JU158" s="26">
        <f>IF(JU$2=InputTable[[#This Row],[Delivery Date]],_xlfn.XLOOKUP(JU$1,$BH$2:$BR$2,$BH158:$BR158,0),0)</f>
        <v>0</v>
      </c>
      <c r="JV158" s="26">
        <f>IF(JV$2=InputTable[[#This Row],[Delivery Date]],_xlfn.XLOOKUP(JV$1,$BH$2:$BR$2,$BH158:$BR158,0),0)</f>
        <v>0</v>
      </c>
      <c r="JX158" s="26" t="e">
        <f>IF(JX$2=InputTable[[#This Row],[Delivery Date]],_xlfn.XLOOKUP(JX$1,$BH$2:$BR$2,$BH158:$BR158,0),0)</f>
        <v>#REF!</v>
      </c>
      <c r="JY158" s="26">
        <f>IF(JY$2=InputTable[[#This Row],[Delivery Date]],_xlfn.XLOOKUP(JY$1,$BH$2:$BR$2,$BH158:$BR158,0),0)</f>
        <v>0</v>
      </c>
      <c r="JZ158" s="26">
        <f>IF(JZ$2=InputTable[[#This Row],[Delivery Date]],_xlfn.XLOOKUP(JZ$1,$BH$2:$BR$2,$BH158:$BR158,0),0)</f>
        <v>0</v>
      </c>
      <c r="KA158" s="26">
        <f>IF(KA$2=InputTable[[#This Row],[Delivery Date]],_xlfn.XLOOKUP(KA$1,$BH$2:$BR$2,$BH158:$BR158,0),0)</f>
        <v>0</v>
      </c>
      <c r="KB158" s="26">
        <f>IF(KB$2=InputTable[[#This Row],[Delivery Date]],_xlfn.XLOOKUP(KB$1,$BH$2:$BR$2,$BH158:$BR158,0),0)</f>
        <v>0</v>
      </c>
      <c r="KC158" s="26">
        <f>IF(KC$2=InputTable[[#This Row],[Delivery Date]],_xlfn.XLOOKUP(KC$1,$BH$2:$BR$2,$BH158:$BR158,0),0)</f>
        <v>0</v>
      </c>
      <c r="KD158" s="26">
        <f>IF(KD$2=InputTable[[#This Row],[Delivery Date]],_xlfn.XLOOKUP(KD$1,$BH$2:$BR$2,$BH158:$BR158,0),0)</f>
        <v>0</v>
      </c>
      <c r="KE158" s="26">
        <f>IF(KE$2=InputTable[[#This Row],[Delivery Date]],_xlfn.XLOOKUP(KE$1,$BH$2:$BR$2,$BH158:$BR158,0),0)</f>
        <v>0</v>
      </c>
      <c r="KF158" s="26">
        <f>IF(KF$2=InputTable[[#This Row],[Delivery Date]],_xlfn.XLOOKUP(KF$1,$BH$2:$BR$2,$BH158:$BR158,0),0)</f>
        <v>0</v>
      </c>
    </row>
    <row r="159" spans="1:292" ht="34.799999999999997" x14ac:dyDescent="0.25">
      <c r="A159" s="141"/>
      <c r="B159" s="119"/>
      <c r="C159" s="92"/>
      <c r="D159" s="92"/>
      <c r="E159" s="93"/>
      <c r="F159" s="92"/>
      <c r="G159" s="92"/>
      <c r="H159" s="92"/>
      <c r="I159" s="92"/>
      <c r="J159" s="122"/>
      <c r="K159" s="95" t="e">
        <f>VLOOKUP((InputTable[[#This Row],[Starting Date]]&amp; " - " &amp;InputTable[[#This Row],[Delivery Date]]),'System List'!$F$40:$H$83,2,FALSE)</f>
        <v>#N/A</v>
      </c>
      <c r="L159" s="95" t="e">
        <f>VLOOKUP(InputTable[[#This Row],[Duration]],Duration,2,FALSE)</f>
        <v>#N/A</v>
      </c>
      <c r="M159" s="122"/>
      <c r="N159" s="92"/>
      <c r="O159" s="92"/>
      <c r="P159" s="92"/>
      <c r="Q159" s="92"/>
      <c r="R159" s="92"/>
      <c r="S159" s="92"/>
      <c r="T159" s="95"/>
      <c r="U159" s="138"/>
      <c r="V159" s="92"/>
      <c r="W159" s="92"/>
      <c r="X159" s="92"/>
      <c r="Y159" s="92"/>
      <c r="Z159" s="92"/>
      <c r="AA159" s="92"/>
      <c r="AB159" s="92"/>
      <c r="AC159" s="92"/>
      <c r="AD159" s="92">
        <f>COUNTA(InputTable[[#This Row],[CORPHRFIN]:[SALES]])</f>
        <v>0</v>
      </c>
      <c r="AE159" s="88" cm="1">
        <f t="array" ref="AE159">SUM(
_xlfn.XLOOKUP(InputTable[[#This Row],[CORPHRFIN]:[SALES]],'System List'!$F$4:$F$7,'System List'!$H$4:$H$7,0))</f>
        <v>0</v>
      </c>
      <c r="AF159" s="140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88" cm="1">
        <f t="array" ref="AR159">SUM(
_xlfn.XLOOKUP(InputTable[[#This Row],[Impact on - CIAL]:[Impact on - STRAT]],'System List'!$F$4:$F$7,'System List'!$H$4:$H$7,0))</f>
        <v>0</v>
      </c>
      <c r="AS159" s="88" t="e">
        <f>VLOOKUP(InputTable[[#This Row],[Duration]],Duration,2,FALSE)+InputTable[[#This Row],[Resource Score]]</f>
        <v>#N/A</v>
      </c>
      <c r="AT15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59" s="24" t="e">
        <f>InputTable[[#This Row],[Value Score]]/InputTable[[#This Row],[EFFORT SCORE]]*100</f>
        <v>#N/A</v>
      </c>
      <c r="AV159" s="25" t="s">
        <v>450</v>
      </c>
      <c r="AW159" s="25"/>
      <c r="AX159" s="208"/>
      <c r="AY159" s="25"/>
      <c r="AZ159" s="189">
        <v>0</v>
      </c>
      <c r="BA159" s="189">
        <v>0</v>
      </c>
      <c r="BB159" s="189"/>
      <c r="BC159" s="189"/>
      <c r="BD159" s="188"/>
      <c r="BE159" s="188"/>
      <c r="BF159" s="70"/>
      <c r="BH159" s="2">
        <f>IFERROR(VLOOKUP(InputTable[[#This Row],[Impact on - CIAL]],'System List'!$F$4:$H$7,3,FALSE),0)</f>
        <v>0</v>
      </c>
      <c r="BI159" s="2">
        <f>IFERROR(VLOOKUP(InputTable[[#This Row],[Impact on - COM]],'System List'!$F$4:$H$7,3,FALSE),0)</f>
        <v>0</v>
      </c>
      <c r="BJ159" s="2">
        <f>IFERROR(VLOOKUP(InputTable[[#This Row],[Impact on - FIN]],'System List'!$F$4:$H$7,3,FALSE),0)</f>
        <v>0</v>
      </c>
      <c r="BK159" s="2">
        <f>IFERROR(VLOOKUP(InputTable[[#This Row],[Impact on - GEN SEC]],'System List'!$F$4:$H$7,3,FALSE),0)</f>
        <v>0</v>
      </c>
      <c r="BL159" s="2">
        <f>IFERROR(VLOOKUP(InputTable[[#This Row],[Impact on - HR]],'System List'!$F$4:$H$7,3,FALSE),0)</f>
        <v>0</v>
      </c>
      <c r="BM159" s="2">
        <f>IFERROR(VLOOKUP(InputTable[[#This Row],[Impact on - IS]],'System List'!$F$4:$H$7,3,FALSE),0)</f>
        <v>0</v>
      </c>
      <c r="BN159" s="2">
        <f>IFERROR(VLOOKUP(InputTable[[#This Row],[Impact on - OPS]],'System List'!$F$4:$H$7,3,FALSE),0)</f>
        <v>0</v>
      </c>
      <c r="BO159" s="2">
        <f>IFERROR(VLOOKUP(InputTable[[#This Row],[Impact on - ROLL STOCK]],'System List'!$F$4:$H$7,3,FALSE),0)</f>
        <v>0</v>
      </c>
      <c r="BP159" s="2">
        <f>IFERROR(VLOOKUP(InputTable[[#This Row],[Impact on - SAFETY]],'System List'!$F$4:$H$7,3,FALSE),0)</f>
        <v>0</v>
      </c>
      <c r="BQ159" s="2">
        <f>IFERROR(VLOOKUP(InputTable[[#This Row],[Impact on - STATION]],'System List'!$F$4:$H$7,3,FALSE),0)</f>
        <v>0</v>
      </c>
      <c r="BR159" s="2">
        <f>IFERROR(VLOOKUP(InputTable[[#This Row],[Impact on - STRAT]],'System List'!$F$4:$H$7,3,FALSE),0)</f>
        <v>0</v>
      </c>
      <c r="BT159" s="2">
        <f>IFERROR(VLOOKUP(InputTable[[#This Row],[CORPHRFIN]],'System List'!$F$4:$H$7,3,FALSE),0)</f>
        <v>0</v>
      </c>
      <c r="BU159" s="2">
        <f>IFERROR(VLOOKUP(InputTable[[#This Row],[CUST]],'System List'!$F$4:$H$7,3,FALSE),0)</f>
        <v>0</v>
      </c>
      <c r="BV159" s="2">
        <f>IFERROR(VLOOKUP(InputTable[[#This Row],[CYBER]],'System List'!$F$4:$H$7,3,FALSE),0)</f>
        <v>0</v>
      </c>
      <c r="BW159" s="2">
        <f>IFERROR(VLOOKUP(InputTable[[#This Row],[DATA]],'System List'!$F$4:$H$7,3,FALSE),0)</f>
        <v>0</v>
      </c>
      <c r="BX159" s="2">
        <f>IFERROR(VLOOKUP(InputTable[[#This Row],[INFRA]],'System List'!$F$4:$H$7,3,FALSE),0)</f>
        <v>0</v>
      </c>
      <c r="BY159" s="2">
        <f>IFERROR(VLOOKUP(InputTable[[#This Row],[OPERATIONS]],'System List'!$F$4:$H$7,3,FALSE),0)</f>
        <v>0</v>
      </c>
      <c r="BZ159" s="2">
        <f>IFERROR(VLOOKUP(InputTable[[#This Row],[PMO]],'System List'!$F$4:$H$7,3,FALSE),0)</f>
        <v>0</v>
      </c>
      <c r="CA159" s="2">
        <f>IFERROR(VLOOKUP(InputTable[[#This Row],[SALES]],'System List'!$F$4:$H$7,3,FALSE),0)</f>
        <v>0</v>
      </c>
      <c r="CC159" s="2" cm="1">
        <f t="array" ref="CC15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59" s="2" cm="1">
        <f t="array" ref="CD15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59" s="2" cm="1">
        <f t="array" ref="CE15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59" s="2" cm="1">
        <f t="array" ref="CF15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59" s="2" cm="1">
        <f t="array" ref="CG15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59" s="2" cm="1">
        <f t="array" ref="CH15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59" s="2" cm="1">
        <f t="array" ref="CI15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59" s="2" cm="1">
        <f t="array" ref="CJ15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59" s="2" cm="1">
        <f t="array" ref="CK15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5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5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5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5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5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5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5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5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5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59" s="26">
        <f t="shared" si="379"/>
        <v>0</v>
      </c>
      <c r="CY159" s="26">
        <f t="shared" si="380"/>
        <v>0</v>
      </c>
      <c r="CZ159" s="26">
        <f t="shared" si="381"/>
        <v>0</v>
      </c>
      <c r="DA159" s="26">
        <f t="shared" si="382"/>
        <v>0</v>
      </c>
      <c r="DB159" s="26">
        <f t="shared" si="383"/>
        <v>0</v>
      </c>
      <c r="DC159" s="26">
        <f t="shared" si="384"/>
        <v>0</v>
      </c>
      <c r="DD159" s="26">
        <f t="shared" si="385"/>
        <v>0</v>
      </c>
      <c r="DE159" s="26">
        <f t="shared" si="386"/>
        <v>0</v>
      </c>
      <c r="DF159" s="26">
        <f t="shared" si="387"/>
        <v>0</v>
      </c>
      <c r="DH159" s="26">
        <f t="shared" si="388"/>
        <v>0</v>
      </c>
      <c r="DI159" s="26">
        <f t="shared" si="389"/>
        <v>0</v>
      </c>
      <c r="DJ159" s="26">
        <f t="shared" si="390"/>
        <v>0</v>
      </c>
      <c r="DK159" s="26">
        <f t="shared" si="391"/>
        <v>0</v>
      </c>
      <c r="DL159" s="26">
        <f t="shared" si="392"/>
        <v>0</v>
      </c>
      <c r="DM159" s="26">
        <f t="shared" si="393"/>
        <v>0</v>
      </c>
      <c r="DN159" s="26">
        <f t="shared" si="394"/>
        <v>0</v>
      </c>
      <c r="DO159" s="26">
        <f t="shared" si="395"/>
        <v>0</v>
      </c>
      <c r="DP159" s="26">
        <f t="shared" si="396"/>
        <v>0</v>
      </c>
      <c r="DR159" s="26">
        <f t="shared" si="397"/>
        <v>0</v>
      </c>
      <c r="DS159" s="26">
        <f t="shared" si="398"/>
        <v>0</v>
      </c>
      <c r="DT159" s="26">
        <f t="shared" si="399"/>
        <v>0</v>
      </c>
      <c r="DU159" s="26">
        <f t="shared" si="400"/>
        <v>0</v>
      </c>
      <c r="DV159" s="26">
        <f t="shared" si="401"/>
        <v>0</v>
      </c>
      <c r="DW159" s="26">
        <f t="shared" si="402"/>
        <v>0</v>
      </c>
      <c r="DX159" s="26">
        <f t="shared" si="403"/>
        <v>0</v>
      </c>
      <c r="DY159" s="26">
        <f t="shared" si="404"/>
        <v>0</v>
      </c>
      <c r="DZ159" s="26">
        <f t="shared" si="405"/>
        <v>0</v>
      </c>
      <c r="EB159" s="26">
        <f t="shared" si="406"/>
        <v>0</v>
      </c>
      <c r="EC159" s="26">
        <f t="shared" si="407"/>
        <v>0</v>
      </c>
      <c r="ED159" s="26">
        <f t="shared" si="408"/>
        <v>0</v>
      </c>
      <c r="EE159" s="26">
        <f t="shared" si="409"/>
        <v>0</v>
      </c>
      <c r="EF159" s="26">
        <f t="shared" si="410"/>
        <v>0</v>
      </c>
      <c r="EG159" s="26">
        <f t="shared" si="411"/>
        <v>0</v>
      </c>
      <c r="EH159" s="26">
        <f t="shared" si="412"/>
        <v>0</v>
      </c>
      <c r="EI159" s="26">
        <f t="shared" si="413"/>
        <v>0</v>
      </c>
      <c r="EJ159" s="26">
        <f t="shared" si="414"/>
        <v>0</v>
      </c>
      <c r="EL159" s="26">
        <f t="shared" si="415"/>
        <v>0</v>
      </c>
      <c r="EM159" s="26">
        <f t="shared" si="416"/>
        <v>0</v>
      </c>
      <c r="EN159" s="26">
        <f t="shared" si="417"/>
        <v>0</v>
      </c>
      <c r="EO159" s="26">
        <f t="shared" si="418"/>
        <v>0</v>
      </c>
      <c r="EP159" s="26">
        <f t="shared" si="419"/>
        <v>0</v>
      </c>
      <c r="EQ159" s="26">
        <f t="shared" si="420"/>
        <v>0</v>
      </c>
      <c r="ER159" s="26">
        <f t="shared" si="421"/>
        <v>0</v>
      </c>
      <c r="ES159" s="26">
        <f t="shared" si="422"/>
        <v>0</v>
      </c>
      <c r="ET159" s="26">
        <f t="shared" si="423"/>
        <v>0</v>
      </c>
      <c r="EV159" s="26">
        <f t="shared" si="424"/>
        <v>0</v>
      </c>
      <c r="EW159" s="26">
        <f t="shared" si="425"/>
        <v>0</v>
      </c>
      <c r="EX159" s="26">
        <f t="shared" si="426"/>
        <v>0</v>
      </c>
      <c r="EY159" s="26">
        <f t="shared" si="427"/>
        <v>0</v>
      </c>
      <c r="EZ159" s="26">
        <f t="shared" si="428"/>
        <v>0</v>
      </c>
      <c r="FA159" s="26">
        <f t="shared" si="429"/>
        <v>0</v>
      </c>
      <c r="FB159" s="26">
        <f t="shared" si="430"/>
        <v>0</v>
      </c>
      <c r="FC159" s="26">
        <f t="shared" si="431"/>
        <v>0</v>
      </c>
      <c r="FD159" s="26">
        <f t="shared" si="432"/>
        <v>0</v>
      </c>
      <c r="FF159" s="26">
        <f t="shared" si="433"/>
        <v>0</v>
      </c>
      <c r="FG159" s="26">
        <f t="shared" si="434"/>
        <v>0</v>
      </c>
      <c r="FH159" s="26">
        <f t="shared" si="435"/>
        <v>0</v>
      </c>
      <c r="FI159" s="26">
        <f t="shared" si="436"/>
        <v>0</v>
      </c>
      <c r="FJ159" s="26">
        <f t="shared" si="437"/>
        <v>0</v>
      </c>
      <c r="FK159" s="26">
        <f t="shared" si="438"/>
        <v>0</v>
      </c>
      <c r="FL159" s="26">
        <f t="shared" si="439"/>
        <v>0</v>
      </c>
      <c r="FM159" s="26">
        <f t="shared" si="440"/>
        <v>0</v>
      </c>
      <c r="FN159" s="26">
        <f t="shared" si="441"/>
        <v>0</v>
      </c>
      <c r="FP159" s="26" t="e">
        <f t="shared" si="442"/>
        <v>#REF!</v>
      </c>
      <c r="FQ159" s="26" t="e">
        <f t="shared" si="443"/>
        <v>#REF!</v>
      </c>
      <c r="FR159" s="26" t="e">
        <f t="shared" si="444"/>
        <v>#REF!</v>
      </c>
      <c r="FS159" s="26" t="e">
        <f t="shared" si="445"/>
        <v>#REF!</v>
      </c>
      <c r="FT159" s="26" t="e">
        <f t="shared" si="446"/>
        <v>#REF!</v>
      </c>
      <c r="FU159" s="26" t="e">
        <f t="shared" si="447"/>
        <v>#REF!</v>
      </c>
      <c r="FV159" s="26" t="e">
        <f t="shared" si="448"/>
        <v>#REF!</v>
      </c>
      <c r="FW159" s="26" t="e">
        <f t="shared" si="449"/>
        <v>#REF!</v>
      </c>
      <c r="FX159" s="26" t="e">
        <f t="shared" si="450"/>
        <v>#REF!</v>
      </c>
      <c r="GB159" s="26" t="e">
        <f>IF(GB$2=InputTable[[#This Row],[Delivery Date]],_xlfn.XLOOKUP(GB$1,$BH$2:$BR$2,$BH159:$BR159,0),0)</f>
        <v>#REF!</v>
      </c>
      <c r="GC159" s="26">
        <f>IF(GC$2=InputTable[[#This Row],[Delivery Date]],_xlfn.XLOOKUP(GC$1,$BH$2:$BR$2,$BH159:$BR159,0),0)</f>
        <v>0</v>
      </c>
      <c r="GD159" s="26">
        <f>IF(GD$2=InputTable[[#This Row],[Delivery Date]],_xlfn.XLOOKUP(GD$1,$BH$2:$BR$2,$BH159:$BR159,0),0)</f>
        <v>0</v>
      </c>
      <c r="GE159" s="26">
        <f>IF(GE$2=InputTable[[#This Row],[Delivery Date]],_xlfn.XLOOKUP(GE$1,$BH$2:$BR$2,$BH159:$BR159,0),0)</f>
        <v>0</v>
      </c>
      <c r="GF159" s="26">
        <f>IF(GF$2=InputTable[[#This Row],[Delivery Date]],_xlfn.XLOOKUP(GF$1,$BH$2:$BR$2,$BH159:$BR159,0),0)</f>
        <v>0</v>
      </c>
      <c r="GG159" s="26">
        <f>IF(GG$2=InputTable[[#This Row],[Delivery Date]],_xlfn.XLOOKUP(GG$1,$BH$2:$BR$2,$BH159:$BR159,0),0)</f>
        <v>0</v>
      </c>
      <c r="GH159" s="26">
        <f>IF(GH$2=InputTable[[#This Row],[Delivery Date]],_xlfn.XLOOKUP(GH$1,$BH$2:$BR$2,$BH159:$BR159,0),0)</f>
        <v>0</v>
      </c>
      <c r="GI159" s="26">
        <f>IF(GI$2=InputTable[[#This Row],[Delivery Date]],_xlfn.XLOOKUP(GI$1,$BH$2:$BR$2,$BH159:$BR159,0),0)</f>
        <v>0</v>
      </c>
      <c r="GJ159" s="26">
        <f>IF(GJ$2=InputTable[[#This Row],[Delivery Date]],_xlfn.XLOOKUP(GJ$1,$BH$2:$BR$2,$BH159:$BR159,0),0)</f>
        <v>0</v>
      </c>
      <c r="GL159" s="26" t="e">
        <f>IF(GL$2=InputTable[[#This Row],[Delivery Date]],_xlfn.XLOOKUP(GL$1,$BH$2:$BR$2,$BH159:$BR159,0),0)</f>
        <v>#REF!</v>
      </c>
      <c r="GM159" s="26">
        <f>IF(GM$2=InputTable[[#This Row],[Delivery Date]],_xlfn.XLOOKUP(GM$1,$BH$2:$BR$2,$BH159:$BR159,0),0)</f>
        <v>0</v>
      </c>
      <c r="GN159" s="26">
        <f>IF(GN$2=InputTable[[#This Row],[Delivery Date]],_xlfn.XLOOKUP(GN$1,$BH$2:$BR$2,$BH159:$BR159,0),0)</f>
        <v>0</v>
      </c>
      <c r="GO159" s="26">
        <f>IF(GO$2=InputTable[[#This Row],[Delivery Date]],_xlfn.XLOOKUP(GO$1,$BH$2:$BR$2,$BH159:$BR159,0),0)</f>
        <v>0</v>
      </c>
      <c r="GP159" s="26">
        <f>IF(GP$2=InputTable[[#This Row],[Delivery Date]],_xlfn.XLOOKUP(GP$1,$BH$2:$BR$2,$BH159:$BR159,0),0)</f>
        <v>0</v>
      </c>
      <c r="GQ159" s="26">
        <f>IF(GQ$2=InputTable[[#This Row],[Delivery Date]],_xlfn.XLOOKUP(GQ$1,$BH$2:$BR$2,$BH159:$BR159,0),0)</f>
        <v>0</v>
      </c>
      <c r="GR159" s="26">
        <f>IF(GR$2=InputTable[[#This Row],[Delivery Date]],_xlfn.XLOOKUP(GR$1,$BH$2:$BR$2,$BH159:$BR159,0),0)</f>
        <v>0</v>
      </c>
      <c r="GS159" s="26">
        <f>IF(GS$2=InputTable[[#This Row],[Delivery Date]],_xlfn.XLOOKUP(GS$1,$BH$2:$BR$2,$BH159:$BR159,0),0)</f>
        <v>0</v>
      </c>
      <c r="GT159" s="26">
        <f>IF(GT$2=InputTable[[#This Row],[Delivery Date]],_xlfn.XLOOKUP(GT$1,$BH$2:$BR$2,$BH159:$BR159,0),0)</f>
        <v>0</v>
      </c>
      <c r="GV159" s="26" t="e">
        <f>IF(GV$2=InputTable[[#This Row],[Delivery Date]],_xlfn.XLOOKUP(GV$1,$BH$2:$BR$2,$BH159:$BR159,0),0)</f>
        <v>#REF!</v>
      </c>
      <c r="GW159" s="26">
        <f>IF(GW$2=InputTable[[#This Row],[Delivery Date]],_xlfn.XLOOKUP(GW$1,$BH$2:$BR$2,$BH159:$BR159,0),0)</f>
        <v>0</v>
      </c>
      <c r="GX159" s="26">
        <f>IF(GX$2=InputTable[[#This Row],[Delivery Date]],_xlfn.XLOOKUP(GX$1,$BH$2:$BR$2,$BH159:$BR159,0),0)</f>
        <v>0</v>
      </c>
      <c r="GY159" s="26">
        <f>IF(GY$2=InputTable[[#This Row],[Delivery Date]],_xlfn.XLOOKUP(GY$1,$BH$2:$BR$2,$BH159:$BR159,0),0)</f>
        <v>0</v>
      </c>
      <c r="GZ159" s="26">
        <f>IF(GZ$2=InputTable[[#This Row],[Delivery Date]],_xlfn.XLOOKUP(GZ$1,$BH$2:$BR$2,$BH159:$BR159,0),0)</f>
        <v>0</v>
      </c>
      <c r="HA159" s="26">
        <f>IF(HA$2=InputTable[[#This Row],[Delivery Date]],_xlfn.XLOOKUP(HA$1,$BH$2:$BR$2,$BH159:$BR159,0),0)</f>
        <v>0</v>
      </c>
      <c r="HB159" s="26">
        <f>IF(HB$2=InputTable[[#This Row],[Delivery Date]],_xlfn.XLOOKUP(HB$1,$BH$2:$BR$2,$BH159:$BR159,0),0)</f>
        <v>0</v>
      </c>
      <c r="HC159" s="26">
        <f>IF(HC$2=InputTable[[#This Row],[Delivery Date]],_xlfn.XLOOKUP(HC$1,$BH$2:$BR$2,$BH159:$BR159,0),0)</f>
        <v>0</v>
      </c>
      <c r="HD159" s="26">
        <f>IF(HD$2=InputTable[[#This Row],[Delivery Date]],_xlfn.XLOOKUP(HD$1,$BH$2:$BR$2,$BH159:$BR159,0),0)</f>
        <v>0</v>
      </c>
      <c r="HF159" s="26" t="e">
        <f>IF(HF$2=InputTable[[#This Row],[Delivery Date]],_xlfn.XLOOKUP(HF$1,$BH$2:$BR$2,$BH159:$BR159,0),0)</f>
        <v>#REF!</v>
      </c>
      <c r="HG159" s="26">
        <f>IF(HG$2=InputTable[[#This Row],[Delivery Date]],_xlfn.XLOOKUP(HG$1,$BH$2:$BR$2,$BH159:$BR159,0),0)</f>
        <v>0</v>
      </c>
      <c r="HH159" s="26">
        <f>IF(HH$2=InputTable[[#This Row],[Delivery Date]],_xlfn.XLOOKUP(HH$1,$BH$2:$BR$2,$BH159:$BR159,0),0)</f>
        <v>0</v>
      </c>
      <c r="HI159" s="26">
        <f>IF(HI$2=InputTable[[#This Row],[Delivery Date]],_xlfn.XLOOKUP(HI$1,$BH$2:$BR$2,$BH159:$BR159,0),0)</f>
        <v>0</v>
      </c>
      <c r="HJ159" s="26">
        <f>IF(HJ$2=InputTable[[#This Row],[Delivery Date]],_xlfn.XLOOKUP(HJ$1,$BH$2:$BR$2,$BH159:$BR159,0),0)</f>
        <v>0</v>
      </c>
      <c r="HK159" s="26">
        <f>IF(HK$2=InputTable[[#This Row],[Delivery Date]],_xlfn.XLOOKUP(HK$1,$BH$2:$BR$2,$BH159:$BR159,0),0)</f>
        <v>0</v>
      </c>
      <c r="HL159" s="26">
        <f>IF(HL$2=InputTable[[#This Row],[Delivery Date]],_xlfn.XLOOKUP(HL$1,$BH$2:$BR$2,$BH159:$BR159,0),0)</f>
        <v>0</v>
      </c>
      <c r="HM159" s="26">
        <f>IF(HM$2=InputTable[[#This Row],[Delivery Date]],_xlfn.XLOOKUP(HM$1,$BH$2:$BR$2,$BH159:$BR159,0),0)</f>
        <v>0</v>
      </c>
      <c r="HN159" s="26">
        <f>IF(HN$2=InputTable[[#This Row],[Delivery Date]],_xlfn.XLOOKUP(HN$1,$BH$2:$BR$2,$BH159:$BR159,0),0)</f>
        <v>0</v>
      </c>
      <c r="HP159" s="26" t="e">
        <f>IF(HP$2=InputTable[[#This Row],[Delivery Date]],_xlfn.XLOOKUP(HP$1,$BH$2:$BR$2,$BH159:$BR159,0),0)</f>
        <v>#REF!</v>
      </c>
      <c r="HQ159" s="26">
        <f>IF(HQ$2=InputTable[[#This Row],[Delivery Date]],_xlfn.XLOOKUP(HQ$1,$BH$2:$BR$2,$BH159:$BR159,0),0)</f>
        <v>0</v>
      </c>
      <c r="HR159" s="26">
        <f>IF(HR$2=InputTable[[#This Row],[Delivery Date]],_xlfn.XLOOKUP(HR$1,$BH$2:$BR$2,$BH159:$BR159,0),0)</f>
        <v>0</v>
      </c>
      <c r="HS159" s="26">
        <f>IF(HS$2=InputTable[[#This Row],[Delivery Date]],_xlfn.XLOOKUP(HS$1,$BH$2:$BR$2,$BH159:$BR159,0),0)</f>
        <v>0</v>
      </c>
      <c r="HT159" s="26">
        <f>IF(HT$2=InputTable[[#This Row],[Delivery Date]],_xlfn.XLOOKUP(HT$1,$BH$2:$BR$2,$BH159:$BR159,0),0)</f>
        <v>0</v>
      </c>
      <c r="HU159" s="26">
        <f>IF(HU$2=InputTable[[#This Row],[Delivery Date]],_xlfn.XLOOKUP(HU$1,$BH$2:$BR$2,$BH159:$BR159,0),0)</f>
        <v>0</v>
      </c>
      <c r="HV159" s="26">
        <f>IF(HV$2=InputTable[[#This Row],[Delivery Date]],_xlfn.XLOOKUP(HV$1,$BH$2:$BR$2,$BH159:$BR159,0),0)</f>
        <v>0</v>
      </c>
      <c r="HW159" s="26">
        <f>IF(HW$2=InputTable[[#This Row],[Delivery Date]],_xlfn.XLOOKUP(HW$1,$BH$2:$BR$2,$BH159:$BR159,0),0)</f>
        <v>0</v>
      </c>
      <c r="HX159" s="26">
        <f>IF(HX$2=InputTable[[#This Row],[Delivery Date]],_xlfn.XLOOKUP(HX$1,$BH$2:$BR$2,$BH159:$BR159,0),0)</f>
        <v>0</v>
      </c>
      <c r="HZ159" s="26" t="e">
        <f>IF(HZ$2=InputTable[[#This Row],[Delivery Date]],_xlfn.XLOOKUP(HZ$1,$BH$2:$BR$2,$BH159:$BR159,0),0)</f>
        <v>#REF!</v>
      </c>
      <c r="IA159" s="26">
        <f>IF(IA$2=InputTable[[#This Row],[Delivery Date]],_xlfn.XLOOKUP(IA$1,$BH$2:$BR$2,$BH159:$BR159,0),0)</f>
        <v>0</v>
      </c>
      <c r="IB159" s="26">
        <f>IF(IB$2=InputTable[[#This Row],[Delivery Date]],_xlfn.XLOOKUP(IB$1,$BH$2:$BR$2,$BH159:$BR159,0),0)</f>
        <v>0</v>
      </c>
      <c r="IC159" s="26">
        <f>IF(IC$2=InputTable[[#This Row],[Delivery Date]],_xlfn.XLOOKUP(IC$1,$BH$2:$BR$2,$BH159:$BR159,0),0)</f>
        <v>0</v>
      </c>
      <c r="ID159" s="26">
        <f>IF(ID$2=InputTable[[#This Row],[Delivery Date]],_xlfn.XLOOKUP(ID$1,$BH$2:$BR$2,$BH159:$BR159,0),0)</f>
        <v>0</v>
      </c>
      <c r="IE159" s="26">
        <f>IF(IE$2=InputTable[[#This Row],[Delivery Date]],_xlfn.XLOOKUP(IE$1,$BH$2:$BR$2,$BH159:$BR159,0),0)</f>
        <v>0</v>
      </c>
      <c r="IF159" s="26">
        <f>IF(IF$2=InputTable[[#This Row],[Delivery Date]],_xlfn.XLOOKUP(IF$1,$BH$2:$BR$2,$BH159:$BR159,0),0)</f>
        <v>0</v>
      </c>
      <c r="IG159" s="26">
        <f>IF(IG$2=InputTable[[#This Row],[Delivery Date]],_xlfn.XLOOKUP(IG$1,$BH$2:$BR$2,$BH159:$BR159,0),0)</f>
        <v>0</v>
      </c>
      <c r="IH159" s="26">
        <f>IF(IH$2=InputTable[[#This Row],[Delivery Date]],_xlfn.XLOOKUP(IH$1,$BH$2:$BR$2,$BH159:$BR159,0),0)</f>
        <v>0</v>
      </c>
      <c r="IJ159" s="26" t="e">
        <f>IF(IJ$2=InputTable[[#This Row],[Delivery Date]],_xlfn.XLOOKUP(IJ$1,$BH$2:$BR$2,$BH159:$BR159,0),0)</f>
        <v>#REF!</v>
      </c>
      <c r="IK159" s="26">
        <f>IF(IK$2=InputTable[[#This Row],[Delivery Date]],_xlfn.XLOOKUP(IK$1,$BH$2:$BR$2,$BH159:$BR159,0),0)</f>
        <v>0</v>
      </c>
      <c r="IL159" s="26">
        <f>IF(IL$2=InputTable[[#This Row],[Delivery Date]],_xlfn.XLOOKUP(IL$1,$BH$2:$BR$2,$BH159:$BR159,0),0)</f>
        <v>0</v>
      </c>
      <c r="IM159" s="26">
        <f>IF(IM$2=InputTable[[#This Row],[Delivery Date]],_xlfn.XLOOKUP(IM$1,$BH$2:$BR$2,$BH159:$BR159,0),0)</f>
        <v>0</v>
      </c>
      <c r="IN159" s="26">
        <f>IF(IN$2=InputTable[[#This Row],[Delivery Date]],_xlfn.XLOOKUP(IN$1,$BH$2:$BR$2,$BH159:$BR159,0),0)</f>
        <v>0</v>
      </c>
      <c r="IO159" s="26">
        <f>IF(IO$2=InputTable[[#This Row],[Delivery Date]],_xlfn.XLOOKUP(IO$1,$BH$2:$BR$2,$BH159:$BR159,0),0)</f>
        <v>0</v>
      </c>
      <c r="IP159" s="26">
        <f>IF(IP$2=InputTable[[#This Row],[Delivery Date]],_xlfn.XLOOKUP(IP$1,$BH$2:$BR$2,$BH159:$BR159,0),0)</f>
        <v>0</v>
      </c>
      <c r="IQ159" s="26">
        <f>IF(IQ$2=InputTable[[#This Row],[Delivery Date]],_xlfn.XLOOKUP(IQ$1,$BH$2:$BR$2,$BH159:$BR159,0),0)</f>
        <v>0</v>
      </c>
      <c r="IR159" s="26">
        <f>IF(IR$2=InputTable[[#This Row],[Delivery Date]],_xlfn.XLOOKUP(IR$1,$BH$2:$BR$2,$BH159:$BR159,0),0)</f>
        <v>0</v>
      </c>
      <c r="IT159" s="26" t="e">
        <f>IF(IT$2=InputTable[[#This Row],[Delivery Date]],_xlfn.XLOOKUP(IT$1,$BH$2:$BR$2,$BH159:$BR159,0),0)</f>
        <v>#REF!</v>
      </c>
      <c r="IU159" s="26">
        <f>IF(IU$2=InputTable[[#This Row],[Delivery Date]],_xlfn.XLOOKUP(IU$1,$BH$2:$BR$2,$BH159:$BR159,0),0)</f>
        <v>0</v>
      </c>
      <c r="IV159" s="26">
        <f>IF(IV$2=InputTable[[#This Row],[Delivery Date]],_xlfn.XLOOKUP(IV$1,$BH$2:$BR$2,$BH159:$BR159,0),0)</f>
        <v>0</v>
      </c>
      <c r="IW159" s="26">
        <f>IF(IW$2=InputTable[[#This Row],[Delivery Date]],_xlfn.XLOOKUP(IW$1,$BH$2:$BR$2,$BH159:$BR159,0),0)</f>
        <v>0</v>
      </c>
      <c r="IX159" s="26">
        <f>IF(IX$2=InputTable[[#This Row],[Delivery Date]],_xlfn.XLOOKUP(IX$1,$BH$2:$BR$2,$BH159:$BR159,0),0)</f>
        <v>0</v>
      </c>
      <c r="IY159" s="26">
        <f>IF(IY$2=InputTable[[#This Row],[Delivery Date]],_xlfn.XLOOKUP(IY$1,$BH$2:$BR$2,$BH159:$BR159,0),0)</f>
        <v>0</v>
      </c>
      <c r="IZ159" s="26">
        <f>IF(IZ$2=InputTable[[#This Row],[Delivery Date]],_xlfn.XLOOKUP(IZ$1,$BH$2:$BR$2,$BH159:$BR159,0),0)</f>
        <v>0</v>
      </c>
      <c r="JA159" s="26">
        <f>IF(JA$2=InputTable[[#This Row],[Delivery Date]],_xlfn.XLOOKUP(JA$1,$BH$2:$BR$2,$BH159:$BR159,0),0)</f>
        <v>0</v>
      </c>
      <c r="JB159" s="26">
        <f>IF(JB$2=InputTable[[#This Row],[Delivery Date]],_xlfn.XLOOKUP(JB$1,$BH$2:$BR$2,$BH159:$BR159,0),0)</f>
        <v>0</v>
      </c>
      <c r="JD159" s="26" t="e">
        <f>IF(JD$2=InputTable[[#This Row],[Delivery Date]],_xlfn.XLOOKUP(JD$1,$BH$2:$BR$2,$BH159:$BR159,0),0)</f>
        <v>#REF!</v>
      </c>
      <c r="JE159" s="26">
        <f>IF(JE$2=InputTable[[#This Row],[Delivery Date]],_xlfn.XLOOKUP(JE$1,$BH$2:$BR$2,$BH159:$BR159,0),0)</f>
        <v>0</v>
      </c>
      <c r="JF159" s="26">
        <f>IF(JF$2=InputTable[[#This Row],[Delivery Date]],_xlfn.XLOOKUP(JF$1,$BH$2:$BR$2,$BH159:$BR159,0),0)</f>
        <v>0</v>
      </c>
      <c r="JG159" s="26">
        <f>IF(JG$2=InputTable[[#This Row],[Delivery Date]],_xlfn.XLOOKUP(JG$1,$BH$2:$BR$2,$BH159:$BR159,0),0)</f>
        <v>0</v>
      </c>
      <c r="JH159" s="26">
        <f>IF(JH$2=InputTable[[#This Row],[Delivery Date]],_xlfn.XLOOKUP(JH$1,$BH$2:$BR$2,$BH159:$BR159,0),0)</f>
        <v>0</v>
      </c>
      <c r="JI159" s="26">
        <f>IF(JI$2=InputTable[[#This Row],[Delivery Date]],_xlfn.XLOOKUP(JI$1,$BH$2:$BR$2,$BH159:$BR159,0),0)</f>
        <v>0</v>
      </c>
      <c r="JJ159" s="26">
        <f>IF(JJ$2=InputTable[[#This Row],[Delivery Date]],_xlfn.XLOOKUP(JJ$1,$BH$2:$BR$2,$BH159:$BR159,0),0)</f>
        <v>0</v>
      </c>
      <c r="JK159" s="26">
        <f>IF(JK$2=InputTable[[#This Row],[Delivery Date]],_xlfn.XLOOKUP(JK$1,$BH$2:$BR$2,$BH159:$BR159,0),0)</f>
        <v>0</v>
      </c>
      <c r="JL159" s="26">
        <f>IF(JL$2=InputTable[[#This Row],[Delivery Date]],_xlfn.XLOOKUP(JL$1,$BH$2:$BR$2,$BH159:$BR159,0),0)</f>
        <v>0</v>
      </c>
      <c r="JN159" s="26" t="e">
        <f>IF(JN$2=InputTable[[#This Row],[Delivery Date]],_xlfn.XLOOKUP(JN$1,$BH$2:$BR$2,$BH159:$BR159,0),0)</f>
        <v>#REF!</v>
      </c>
      <c r="JO159" s="26">
        <f>IF(JO$2=InputTable[[#This Row],[Delivery Date]],_xlfn.XLOOKUP(JO$1,$BH$2:$BR$2,$BH159:$BR159,0),0)</f>
        <v>0</v>
      </c>
      <c r="JP159" s="26">
        <f>IF(JP$2=InputTable[[#This Row],[Delivery Date]],_xlfn.XLOOKUP(JP$1,$BH$2:$BR$2,$BH159:$BR159,0),0)</f>
        <v>0</v>
      </c>
      <c r="JQ159" s="26">
        <f>IF(JQ$2=InputTable[[#This Row],[Delivery Date]],_xlfn.XLOOKUP(JQ$1,$BH$2:$BR$2,$BH159:$BR159,0),0)</f>
        <v>0</v>
      </c>
      <c r="JR159" s="26">
        <f>IF(JR$2=InputTable[[#This Row],[Delivery Date]],_xlfn.XLOOKUP(JR$1,$BH$2:$BR$2,$BH159:$BR159,0),0)</f>
        <v>0</v>
      </c>
      <c r="JS159" s="26">
        <f>IF(JS$2=InputTable[[#This Row],[Delivery Date]],_xlfn.XLOOKUP(JS$1,$BH$2:$BR$2,$BH159:$BR159,0),0)</f>
        <v>0</v>
      </c>
      <c r="JT159" s="26">
        <f>IF(JT$2=InputTable[[#This Row],[Delivery Date]],_xlfn.XLOOKUP(JT$1,$BH$2:$BR$2,$BH159:$BR159,0),0)</f>
        <v>0</v>
      </c>
      <c r="JU159" s="26">
        <f>IF(JU$2=InputTable[[#This Row],[Delivery Date]],_xlfn.XLOOKUP(JU$1,$BH$2:$BR$2,$BH159:$BR159,0),0)</f>
        <v>0</v>
      </c>
      <c r="JV159" s="26">
        <f>IF(JV$2=InputTable[[#This Row],[Delivery Date]],_xlfn.XLOOKUP(JV$1,$BH$2:$BR$2,$BH159:$BR159,0),0)</f>
        <v>0</v>
      </c>
      <c r="JX159" s="26" t="e">
        <f>IF(JX$2=InputTable[[#This Row],[Delivery Date]],_xlfn.XLOOKUP(JX$1,$BH$2:$BR$2,$BH159:$BR159,0),0)</f>
        <v>#REF!</v>
      </c>
      <c r="JY159" s="26">
        <f>IF(JY$2=InputTable[[#This Row],[Delivery Date]],_xlfn.XLOOKUP(JY$1,$BH$2:$BR$2,$BH159:$BR159,0),0)</f>
        <v>0</v>
      </c>
      <c r="JZ159" s="26">
        <f>IF(JZ$2=InputTable[[#This Row],[Delivery Date]],_xlfn.XLOOKUP(JZ$1,$BH$2:$BR$2,$BH159:$BR159,0),0)</f>
        <v>0</v>
      </c>
      <c r="KA159" s="26">
        <f>IF(KA$2=InputTable[[#This Row],[Delivery Date]],_xlfn.XLOOKUP(KA$1,$BH$2:$BR$2,$BH159:$BR159,0),0)</f>
        <v>0</v>
      </c>
      <c r="KB159" s="26">
        <f>IF(KB$2=InputTable[[#This Row],[Delivery Date]],_xlfn.XLOOKUP(KB$1,$BH$2:$BR$2,$BH159:$BR159,0),0)</f>
        <v>0</v>
      </c>
      <c r="KC159" s="26">
        <f>IF(KC$2=InputTable[[#This Row],[Delivery Date]],_xlfn.XLOOKUP(KC$1,$BH$2:$BR$2,$BH159:$BR159,0),0)</f>
        <v>0</v>
      </c>
      <c r="KD159" s="26">
        <f>IF(KD$2=InputTable[[#This Row],[Delivery Date]],_xlfn.XLOOKUP(KD$1,$BH$2:$BR$2,$BH159:$BR159,0),0)</f>
        <v>0</v>
      </c>
      <c r="KE159" s="26">
        <f>IF(KE$2=InputTable[[#This Row],[Delivery Date]],_xlfn.XLOOKUP(KE$1,$BH$2:$BR$2,$BH159:$BR159,0),0)</f>
        <v>0</v>
      </c>
      <c r="KF159" s="26">
        <f>IF(KF$2=InputTable[[#This Row],[Delivery Date]],_xlfn.XLOOKUP(KF$1,$BH$2:$BR$2,$BH159:$BR159,0),0)</f>
        <v>0</v>
      </c>
    </row>
    <row r="160" spans="1:292" ht="34.799999999999997" x14ac:dyDescent="0.25">
      <c r="A160" s="141"/>
      <c r="B160" s="119"/>
      <c r="C160" s="92"/>
      <c r="D160" s="92"/>
      <c r="E160" s="93"/>
      <c r="F160" s="92"/>
      <c r="G160" s="92"/>
      <c r="H160" s="92"/>
      <c r="I160" s="92"/>
      <c r="J160" s="122"/>
      <c r="K160" s="95" t="e">
        <f>VLOOKUP((InputTable[[#This Row],[Starting Date]]&amp; " - " &amp;InputTable[[#This Row],[Delivery Date]]),'System List'!$F$40:$H$83,2,FALSE)</f>
        <v>#N/A</v>
      </c>
      <c r="L160" s="95" t="e">
        <f>VLOOKUP(InputTable[[#This Row],[Duration]],Duration,2,FALSE)</f>
        <v>#N/A</v>
      </c>
      <c r="M160" s="122"/>
      <c r="N160" s="92"/>
      <c r="O160" s="92"/>
      <c r="P160" s="92"/>
      <c r="Q160" s="92"/>
      <c r="R160" s="92"/>
      <c r="S160" s="92"/>
      <c r="T160" s="95"/>
      <c r="U160" s="138"/>
      <c r="V160" s="92"/>
      <c r="W160" s="92"/>
      <c r="X160" s="92"/>
      <c r="Y160" s="92"/>
      <c r="Z160" s="92"/>
      <c r="AA160" s="92"/>
      <c r="AB160" s="92"/>
      <c r="AC160" s="92"/>
      <c r="AD160" s="92">
        <f>COUNTA(InputTable[[#This Row],[CORPHRFIN]:[SALES]])</f>
        <v>0</v>
      </c>
      <c r="AE160" s="88" cm="1">
        <f t="array" ref="AE160">SUM(
_xlfn.XLOOKUP(InputTable[[#This Row],[CORPHRFIN]:[SALES]],'System List'!$F$4:$F$7,'System List'!$H$4:$H$7,0))</f>
        <v>0</v>
      </c>
      <c r="AF160" s="140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88" cm="1">
        <f t="array" ref="AR160">SUM(
_xlfn.XLOOKUP(InputTable[[#This Row],[Impact on - CIAL]:[Impact on - STRAT]],'System List'!$F$4:$F$7,'System List'!$H$4:$H$7,0))</f>
        <v>0</v>
      </c>
      <c r="AS160" s="88" t="e">
        <f>VLOOKUP(InputTable[[#This Row],[Duration]],Duration,2,FALSE)+InputTable[[#This Row],[Resource Score]]</f>
        <v>#N/A</v>
      </c>
      <c r="AT16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0" s="24" t="e">
        <f>InputTable[[#This Row],[Value Score]]/InputTable[[#This Row],[EFFORT SCORE]]*100</f>
        <v>#N/A</v>
      </c>
      <c r="AV160" s="25" t="s">
        <v>451</v>
      </c>
      <c r="AW160" s="25"/>
      <c r="AX160" s="208"/>
      <c r="AY160" s="25"/>
      <c r="AZ160" s="189">
        <v>0</v>
      </c>
      <c r="BA160" s="189">
        <v>0</v>
      </c>
      <c r="BB160" s="189"/>
      <c r="BC160" s="189"/>
      <c r="BD160" s="188"/>
      <c r="BE160" s="188"/>
      <c r="BF160" s="70"/>
      <c r="BH160" s="2">
        <f>IFERROR(VLOOKUP(InputTable[[#This Row],[Impact on - CIAL]],'System List'!$F$4:$H$7,3,FALSE),0)</f>
        <v>0</v>
      </c>
      <c r="BI160" s="2">
        <f>IFERROR(VLOOKUP(InputTable[[#This Row],[Impact on - COM]],'System List'!$F$4:$H$7,3,FALSE),0)</f>
        <v>0</v>
      </c>
      <c r="BJ160" s="2">
        <f>IFERROR(VLOOKUP(InputTable[[#This Row],[Impact on - FIN]],'System List'!$F$4:$H$7,3,FALSE),0)</f>
        <v>0</v>
      </c>
      <c r="BK160" s="2">
        <f>IFERROR(VLOOKUP(InputTable[[#This Row],[Impact on - GEN SEC]],'System List'!$F$4:$H$7,3,FALSE),0)</f>
        <v>0</v>
      </c>
      <c r="BL160" s="2">
        <f>IFERROR(VLOOKUP(InputTable[[#This Row],[Impact on - HR]],'System List'!$F$4:$H$7,3,FALSE),0)</f>
        <v>0</v>
      </c>
      <c r="BM160" s="2">
        <f>IFERROR(VLOOKUP(InputTable[[#This Row],[Impact on - IS]],'System List'!$F$4:$H$7,3,FALSE),0)</f>
        <v>0</v>
      </c>
      <c r="BN160" s="2">
        <f>IFERROR(VLOOKUP(InputTable[[#This Row],[Impact on - OPS]],'System List'!$F$4:$H$7,3,FALSE),0)</f>
        <v>0</v>
      </c>
      <c r="BO160" s="2">
        <f>IFERROR(VLOOKUP(InputTable[[#This Row],[Impact on - ROLL STOCK]],'System List'!$F$4:$H$7,3,FALSE),0)</f>
        <v>0</v>
      </c>
      <c r="BP160" s="2">
        <f>IFERROR(VLOOKUP(InputTable[[#This Row],[Impact on - SAFETY]],'System List'!$F$4:$H$7,3,FALSE),0)</f>
        <v>0</v>
      </c>
      <c r="BQ160" s="2">
        <f>IFERROR(VLOOKUP(InputTable[[#This Row],[Impact on - STATION]],'System List'!$F$4:$H$7,3,FALSE),0)</f>
        <v>0</v>
      </c>
      <c r="BR160" s="2">
        <f>IFERROR(VLOOKUP(InputTable[[#This Row],[Impact on - STRAT]],'System List'!$F$4:$H$7,3,FALSE),0)</f>
        <v>0</v>
      </c>
      <c r="BT160" s="2">
        <f>IFERROR(VLOOKUP(InputTable[[#This Row],[CORPHRFIN]],'System List'!$F$4:$H$7,3,FALSE),0)</f>
        <v>0</v>
      </c>
      <c r="BU160" s="2">
        <f>IFERROR(VLOOKUP(InputTable[[#This Row],[CUST]],'System List'!$F$4:$H$7,3,FALSE),0)</f>
        <v>0</v>
      </c>
      <c r="BV160" s="2">
        <f>IFERROR(VLOOKUP(InputTable[[#This Row],[CYBER]],'System List'!$F$4:$H$7,3,FALSE),0)</f>
        <v>0</v>
      </c>
      <c r="BW160" s="2">
        <f>IFERROR(VLOOKUP(InputTable[[#This Row],[DATA]],'System List'!$F$4:$H$7,3,FALSE),0)</f>
        <v>0</v>
      </c>
      <c r="BX160" s="2">
        <f>IFERROR(VLOOKUP(InputTable[[#This Row],[INFRA]],'System List'!$F$4:$H$7,3,FALSE),0)</f>
        <v>0</v>
      </c>
      <c r="BY160" s="2">
        <f>IFERROR(VLOOKUP(InputTable[[#This Row],[OPERATIONS]],'System List'!$F$4:$H$7,3,FALSE),0)</f>
        <v>0</v>
      </c>
      <c r="BZ160" s="2">
        <f>IFERROR(VLOOKUP(InputTable[[#This Row],[PMO]],'System List'!$F$4:$H$7,3,FALSE),0)</f>
        <v>0</v>
      </c>
      <c r="CA160" s="2">
        <f>IFERROR(VLOOKUP(InputTable[[#This Row],[SALES]],'System List'!$F$4:$H$7,3,FALSE),0)</f>
        <v>0</v>
      </c>
      <c r="CC160" s="2" cm="1">
        <f t="array" ref="CC16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0" s="2" cm="1">
        <f t="array" ref="CD16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0" s="2" cm="1">
        <f t="array" ref="CE16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0" s="2" cm="1">
        <f t="array" ref="CF16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0" s="2" cm="1">
        <f t="array" ref="CG16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0" s="2" cm="1">
        <f t="array" ref="CH16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0" s="2" cm="1">
        <f t="array" ref="CI16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0" s="2" cm="1">
        <f t="array" ref="CJ16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0" s="2" cm="1">
        <f t="array" ref="CK16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0" s="26">
        <f t="shared" si="379"/>
        <v>0</v>
      </c>
      <c r="CY160" s="26">
        <f t="shared" si="380"/>
        <v>0</v>
      </c>
      <c r="CZ160" s="26">
        <f t="shared" si="381"/>
        <v>0</v>
      </c>
      <c r="DA160" s="26">
        <f t="shared" si="382"/>
        <v>0</v>
      </c>
      <c r="DB160" s="26">
        <f t="shared" si="383"/>
        <v>0</v>
      </c>
      <c r="DC160" s="26">
        <f t="shared" si="384"/>
        <v>0</v>
      </c>
      <c r="DD160" s="26">
        <f t="shared" si="385"/>
        <v>0</v>
      </c>
      <c r="DE160" s="26">
        <f t="shared" si="386"/>
        <v>0</v>
      </c>
      <c r="DF160" s="26">
        <f t="shared" si="387"/>
        <v>0</v>
      </c>
      <c r="DH160" s="26">
        <f t="shared" si="388"/>
        <v>0</v>
      </c>
      <c r="DI160" s="26">
        <f t="shared" si="389"/>
        <v>0</v>
      </c>
      <c r="DJ160" s="26">
        <f t="shared" si="390"/>
        <v>0</v>
      </c>
      <c r="DK160" s="26">
        <f t="shared" si="391"/>
        <v>0</v>
      </c>
      <c r="DL160" s="26">
        <f t="shared" si="392"/>
        <v>0</v>
      </c>
      <c r="DM160" s="26">
        <f t="shared" si="393"/>
        <v>0</v>
      </c>
      <c r="DN160" s="26">
        <f t="shared" si="394"/>
        <v>0</v>
      </c>
      <c r="DO160" s="26">
        <f t="shared" si="395"/>
        <v>0</v>
      </c>
      <c r="DP160" s="26">
        <f t="shared" si="396"/>
        <v>0</v>
      </c>
      <c r="DR160" s="26">
        <f t="shared" si="397"/>
        <v>0</v>
      </c>
      <c r="DS160" s="26">
        <f t="shared" si="398"/>
        <v>0</v>
      </c>
      <c r="DT160" s="26">
        <f t="shared" si="399"/>
        <v>0</v>
      </c>
      <c r="DU160" s="26">
        <f t="shared" si="400"/>
        <v>0</v>
      </c>
      <c r="DV160" s="26">
        <f t="shared" si="401"/>
        <v>0</v>
      </c>
      <c r="DW160" s="26">
        <f t="shared" si="402"/>
        <v>0</v>
      </c>
      <c r="DX160" s="26">
        <f t="shared" si="403"/>
        <v>0</v>
      </c>
      <c r="DY160" s="26">
        <f t="shared" si="404"/>
        <v>0</v>
      </c>
      <c r="DZ160" s="26">
        <f t="shared" si="405"/>
        <v>0</v>
      </c>
      <c r="EB160" s="26">
        <f t="shared" si="406"/>
        <v>0</v>
      </c>
      <c r="EC160" s="26">
        <f t="shared" si="407"/>
        <v>0</v>
      </c>
      <c r="ED160" s="26">
        <f t="shared" si="408"/>
        <v>0</v>
      </c>
      <c r="EE160" s="26">
        <f t="shared" si="409"/>
        <v>0</v>
      </c>
      <c r="EF160" s="26">
        <f t="shared" si="410"/>
        <v>0</v>
      </c>
      <c r="EG160" s="26">
        <f t="shared" si="411"/>
        <v>0</v>
      </c>
      <c r="EH160" s="26">
        <f t="shared" si="412"/>
        <v>0</v>
      </c>
      <c r="EI160" s="26">
        <f t="shared" si="413"/>
        <v>0</v>
      </c>
      <c r="EJ160" s="26">
        <f t="shared" si="414"/>
        <v>0</v>
      </c>
      <c r="EL160" s="26">
        <f t="shared" si="415"/>
        <v>0</v>
      </c>
      <c r="EM160" s="26">
        <f t="shared" si="416"/>
        <v>0</v>
      </c>
      <c r="EN160" s="26">
        <f t="shared" si="417"/>
        <v>0</v>
      </c>
      <c r="EO160" s="26">
        <f t="shared" si="418"/>
        <v>0</v>
      </c>
      <c r="EP160" s="26">
        <f t="shared" si="419"/>
        <v>0</v>
      </c>
      <c r="EQ160" s="26">
        <f t="shared" si="420"/>
        <v>0</v>
      </c>
      <c r="ER160" s="26">
        <f t="shared" si="421"/>
        <v>0</v>
      </c>
      <c r="ES160" s="26">
        <f t="shared" si="422"/>
        <v>0</v>
      </c>
      <c r="ET160" s="26">
        <f t="shared" si="423"/>
        <v>0</v>
      </c>
      <c r="EV160" s="26">
        <f t="shared" si="424"/>
        <v>0</v>
      </c>
      <c r="EW160" s="26">
        <f t="shared" si="425"/>
        <v>0</v>
      </c>
      <c r="EX160" s="26">
        <f t="shared" si="426"/>
        <v>0</v>
      </c>
      <c r="EY160" s="26">
        <f t="shared" si="427"/>
        <v>0</v>
      </c>
      <c r="EZ160" s="26">
        <f t="shared" si="428"/>
        <v>0</v>
      </c>
      <c r="FA160" s="26">
        <f t="shared" si="429"/>
        <v>0</v>
      </c>
      <c r="FB160" s="26">
        <f t="shared" si="430"/>
        <v>0</v>
      </c>
      <c r="FC160" s="26">
        <f t="shared" si="431"/>
        <v>0</v>
      </c>
      <c r="FD160" s="26">
        <f t="shared" si="432"/>
        <v>0</v>
      </c>
      <c r="FF160" s="26">
        <f t="shared" si="433"/>
        <v>0</v>
      </c>
      <c r="FG160" s="26">
        <f t="shared" si="434"/>
        <v>0</v>
      </c>
      <c r="FH160" s="26">
        <f t="shared" si="435"/>
        <v>0</v>
      </c>
      <c r="FI160" s="26">
        <f t="shared" si="436"/>
        <v>0</v>
      </c>
      <c r="FJ160" s="26">
        <f t="shared" si="437"/>
        <v>0</v>
      </c>
      <c r="FK160" s="26">
        <f t="shared" si="438"/>
        <v>0</v>
      </c>
      <c r="FL160" s="26">
        <f t="shared" si="439"/>
        <v>0</v>
      </c>
      <c r="FM160" s="26">
        <f t="shared" si="440"/>
        <v>0</v>
      </c>
      <c r="FN160" s="26">
        <f t="shared" si="441"/>
        <v>0</v>
      </c>
      <c r="FP160" s="26" t="e">
        <f t="shared" si="442"/>
        <v>#REF!</v>
      </c>
      <c r="FQ160" s="26" t="e">
        <f t="shared" si="443"/>
        <v>#REF!</v>
      </c>
      <c r="FR160" s="26" t="e">
        <f t="shared" si="444"/>
        <v>#REF!</v>
      </c>
      <c r="FS160" s="26" t="e">
        <f t="shared" si="445"/>
        <v>#REF!</v>
      </c>
      <c r="FT160" s="26" t="e">
        <f t="shared" si="446"/>
        <v>#REF!</v>
      </c>
      <c r="FU160" s="26" t="e">
        <f t="shared" si="447"/>
        <v>#REF!</v>
      </c>
      <c r="FV160" s="26" t="e">
        <f t="shared" si="448"/>
        <v>#REF!</v>
      </c>
      <c r="FW160" s="26" t="e">
        <f t="shared" si="449"/>
        <v>#REF!</v>
      </c>
      <c r="FX160" s="26" t="e">
        <f t="shared" si="450"/>
        <v>#REF!</v>
      </c>
      <c r="GB160" s="26" t="e">
        <f>IF(GB$2=InputTable[[#This Row],[Delivery Date]],_xlfn.XLOOKUP(GB$1,$BH$2:$BR$2,$BH160:$BR160,0),0)</f>
        <v>#REF!</v>
      </c>
      <c r="GC160" s="26">
        <f>IF(GC$2=InputTable[[#This Row],[Delivery Date]],_xlfn.XLOOKUP(GC$1,$BH$2:$BR$2,$BH160:$BR160,0),0)</f>
        <v>0</v>
      </c>
      <c r="GD160" s="26">
        <f>IF(GD$2=InputTable[[#This Row],[Delivery Date]],_xlfn.XLOOKUP(GD$1,$BH$2:$BR$2,$BH160:$BR160,0),0)</f>
        <v>0</v>
      </c>
      <c r="GE160" s="26">
        <f>IF(GE$2=InputTable[[#This Row],[Delivery Date]],_xlfn.XLOOKUP(GE$1,$BH$2:$BR$2,$BH160:$BR160,0),0)</f>
        <v>0</v>
      </c>
      <c r="GF160" s="26">
        <f>IF(GF$2=InputTable[[#This Row],[Delivery Date]],_xlfn.XLOOKUP(GF$1,$BH$2:$BR$2,$BH160:$BR160,0),0)</f>
        <v>0</v>
      </c>
      <c r="GG160" s="26">
        <f>IF(GG$2=InputTable[[#This Row],[Delivery Date]],_xlfn.XLOOKUP(GG$1,$BH$2:$BR$2,$BH160:$BR160,0),0)</f>
        <v>0</v>
      </c>
      <c r="GH160" s="26">
        <f>IF(GH$2=InputTable[[#This Row],[Delivery Date]],_xlfn.XLOOKUP(GH$1,$BH$2:$BR$2,$BH160:$BR160,0),0)</f>
        <v>0</v>
      </c>
      <c r="GI160" s="26">
        <f>IF(GI$2=InputTable[[#This Row],[Delivery Date]],_xlfn.XLOOKUP(GI$1,$BH$2:$BR$2,$BH160:$BR160,0),0)</f>
        <v>0</v>
      </c>
      <c r="GJ160" s="26">
        <f>IF(GJ$2=InputTable[[#This Row],[Delivery Date]],_xlfn.XLOOKUP(GJ$1,$BH$2:$BR$2,$BH160:$BR160,0),0)</f>
        <v>0</v>
      </c>
      <c r="GL160" s="26" t="e">
        <f>IF(GL$2=InputTable[[#This Row],[Delivery Date]],_xlfn.XLOOKUP(GL$1,$BH$2:$BR$2,$BH160:$BR160,0),0)</f>
        <v>#REF!</v>
      </c>
      <c r="GM160" s="26">
        <f>IF(GM$2=InputTable[[#This Row],[Delivery Date]],_xlfn.XLOOKUP(GM$1,$BH$2:$BR$2,$BH160:$BR160,0),0)</f>
        <v>0</v>
      </c>
      <c r="GN160" s="26">
        <f>IF(GN$2=InputTable[[#This Row],[Delivery Date]],_xlfn.XLOOKUP(GN$1,$BH$2:$BR$2,$BH160:$BR160,0),0)</f>
        <v>0</v>
      </c>
      <c r="GO160" s="26">
        <f>IF(GO$2=InputTable[[#This Row],[Delivery Date]],_xlfn.XLOOKUP(GO$1,$BH$2:$BR$2,$BH160:$BR160,0),0)</f>
        <v>0</v>
      </c>
      <c r="GP160" s="26">
        <f>IF(GP$2=InputTable[[#This Row],[Delivery Date]],_xlfn.XLOOKUP(GP$1,$BH$2:$BR$2,$BH160:$BR160,0),0)</f>
        <v>0</v>
      </c>
      <c r="GQ160" s="26">
        <f>IF(GQ$2=InputTable[[#This Row],[Delivery Date]],_xlfn.XLOOKUP(GQ$1,$BH$2:$BR$2,$BH160:$BR160,0),0)</f>
        <v>0</v>
      </c>
      <c r="GR160" s="26">
        <f>IF(GR$2=InputTable[[#This Row],[Delivery Date]],_xlfn.XLOOKUP(GR$1,$BH$2:$BR$2,$BH160:$BR160,0),0)</f>
        <v>0</v>
      </c>
      <c r="GS160" s="26">
        <f>IF(GS$2=InputTable[[#This Row],[Delivery Date]],_xlfn.XLOOKUP(GS$1,$BH$2:$BR$2,$BH160:$BR160,0),0)</f>
        <v>0</v>
      </c>
      <c r="GT160" s="26">
        <f>IF(GT$2=InputTable[[#This Row],[Delivery Date]],_xlfn.XLOOKUP(GT$1,$BH$2:$BR$2,$BH160:$BR160,0),0)</f>
        <v>0</v>
      </c>
      <c r="GV160" s="26" t="e">
        <f>IF(GV$2=InputTable[[#This Row],[Delivery Date]],_xlfn.XLOOKUP(GV$1,$BH$2:$BR$2,$BH160:$BR160,0),0)</f>
        <v>#REF!</v>
      </c>
      <c r="GW160" s="26">
        <f>IF(GW$2=InputTable[[#This Row],[Delivery Date]],_xlfn.XLOOKUP(GW$1,$BH$2:$BR$2,$BH160:$BR160,0),0)</f>
        <v>0</v>
      </c>
      <c r="GX160" s="26">
        <f>IF(GX$2=InputTable[[#This Row],[Delivery Date]],_xlfn.XLOOKUP(GX$1,$BH$2:$BR$2,$BH160:$BR160,0),0)</f>
        <v>0</v>
      </c>
      <c r="GY160" s="26">
        <f>IF(GY$2=InputTable[[#This Row],[Delivery Date]],_xlfn.XLOOKUP(GY$1,$BH$2:$BR$2,$BH160:$BR160,0),0)</f>
        <v>0</v>
      </c>
      <c r="GZ160" s="26">
        <f>IF(GZ$2=InputTable[[#This Row],[Delivery Date]],_xlfn.XLOOKUP(GZ$1,$BH$2:$BR$2,$BH160:$BR160,0),0)</f>
        <v>0</v>
      </c>
      <c r="HA160" s="26">
        <f>IF(HA$2=InputTable[[#This Row],[Delivery Date]],_xlfn.XLOOKUP(HA$1,$BH$2:$BR$2,$BH160:$BR160,0),0)</f>
        <v>0</v>
      </c>
      <c r="HB160" s="26">
        <f>IF(HB$2=InputTable[[#This Row],[Delivery Date]],_xlfn.XLOOKUP(HB$1,$BH$2:$BR$2,$BH160:$BR160,0),0)</f>
        <v>0</v>
      </c>
      <c r="HC160" s="26">
        <f>IF(HC$2=InputTable[[#This Row],[Delivery Date]],_xlfn.XLOOKUP(HC$1,$BH$2:$BR$2,$BH160:$BR160,0),0)</f>
        <v>0</v>
      </c>
      <c r="HD160" s="26">
        <f>IF(HD$2=InputTable[[#This Row],[Delivery Date]],_xlfn.XLOOKUP(HD$1,$BH$2:$BR$2,$BH160:$BR160,0),0)</f>
        <v>0</v>
      </c>
      <c r="HF160" s="26" t="e">
        <f>IF(HF$2=InputTable[[#This Row],[Delivery Date]],_xlfn.XLOOKUP(HF$1,$BH$2:$BR$2,$BH160:$BR160,0),0)</f>
        <v>#REF!</v>
      </c>
      <c r="HG160" s="26">
        <f>IF(HG$2=InputTable[[#This Row],[Delivery Date]],_xlfn.XLOOKUP(HG$1,$BH$2:$BR$2,$BH160:$BR160,0),0)</f>
        <v>0</v>
      </c>
      <c r="HH160" s="26">
        <f>IF(HH$2=InputTable[[#This Row],[Delivery Date]],_xlfn.XLOOKUP(HH$1,$BH$2:$BR$2,$BH160:$BR160,0),0)</f>
        <v>0</v>
      </c>
      <c r="HI160" s="26">
        <f>IF(HI$2=InputTable[[#This Row],[Delivery Date]],_xlfn.XLOOKUP(HI$1,$BH$2:$BR$2,$BH160:$BR160,0),0)</f>
        <v>0</v>
      </c>
      <c r="HJ160" s="26">
        <f>IF(HJ$2=InputTable[[#This Row],[Delivery Date]],_xlfn.XLOOKUP(HJ$1,$BH$2:$BR$2,$BH160:$BR160,0),0)</f>
        <v>0</v>
      </c>
      <c r="HK160" s="26">
        <f>IF(HK$2=InputTable[[#This Row],[Delivery Date]],_xlfn.XLOOKUP(HK$1,$BH$2:$BR$2,$BH160:$BR160,0),0)</f>
        <v>0</v>
      </c>
      <c r="HL160" s="26">
        <f>IF(HL$2=InputTable[[#This Row],[Delivery Date]],_xlfn.XLOOKUP(HL$1,$BH$2:$BR$2,$BH160:$BR160,0),0)</f>
        <v>0</v>
      </c>
      <c r="HM160" s="26">
        <f>IF(HM$2=InputTable[[#This Row],[Delivery Date]],_xlfn.XLOOKUP(HM$1,$BH$2:$BR$2,$BH160:$BR160,0),0)</f>
        <v>0</v>
      </c>
      <c r="HN160" s="26">
        <f>IF(HN$2=InputTable[[#This Row],[Delivery Date]],_xlfn.XLOOKUP(HN$1,$BH$2:$BR$2,$BH160:$BR160,0),0)</f>
        <v>0</v>
      </c>
      <c r="HP160" s="26" t="e">
        <f>IF(HP$2=InputTable[[#This Row],[Delivery Date]],_xlfn.XLOOKUP(HP$1,$BH$2:$BR$2,$BH160:$BR160,0),0)</f>
        <v>#REF!</v>
      </c>
      <c r="HQ160" s="26">
        <f>IF(HQ$2=InputTable[[#This Row],[Delivery Date]],_xlfn.XLOOKUP(HQ$1,$BH$2:$BR$2,$BH160:$BR160,0),0)</f>
        <v>0</v>
      </c>
      <c r="HR160" s="26">
        <f>IF(HR$2=InputTable[[#This Row],[Delivery Date]],_xlfn.XLOOKUP(HR$1,$BH$2:$BR$2,$BH160:$BR160,0),0)</f>
        <v>0</v>
      </c>
      <c r="HS160" s="26">
        <f>IF(HS$2=InputTable[[#This Row],[Delivery Date]],_xlfn.XLOOKUP(HS$1,$BH$2:$BR$2,$BH160:$BR160,0),0)</f>
        <v>0</v>
      </c>
      <c r="HT160" s="26">
        <f>IF(HT$2=InputTable[[#This Row],[Delivery Date]],_xlfn.XLOOKUP(HT$1,$BH$2:$BR$2,$BH160:$BR160,0),0)</f>
        <v>0</v>
      </c>
      <c r="HU160" s="26">
        <f>IF(HU$2=InputTable[[#This Row],[Delivery Date]],_xlfn.XLOOKUP(HU$1,$BH$2:$BR$2,$BH160:$BR160,0),0)</f>
        <v>0</v>
      </c>
      <c r="HV160" s="26">
        <f>IF(HV$2=InputTable[[#This Row],[Delivery Date]],_xlfn.XLOOKUP(HV$1,$BH$2:$BR$2,$BH160:$BR160,0),0)</f>
        <v>0</v>
      </c>
      <c r="HW160" s="26">
        <f>IF(HW$2=InputTable[[#This Row],[Delivery Date]],_xlfn.XLOOKUP(HW$1,$BH$2:$BR$2,$BH160:$BR160,0),0)</f>
        <v>0</v>
      </c>
      <c r="HX160" s="26">
        <f>IF(HX$2=InputTable[[#This Row],[Delivery Date]],_xlfn.XLOOKUP(HX$1,$BH$2:$BR$2,$BH160:$BR160,0),0)</f>
        <v>0</v>
      </c>
      <c r="HZ160" s="26" t="e">
        <f>IF(HZ$2=InputTable[[#This Row],[Delivery Date]],_xlfn.XLOOKUP(HZ$1,$BH$2:$BR$2,$BH160:$BR160,0),0)</f>
        <v>#REF!</v>
      </c>
      <c r="IA160" s="26">
        <f>IF(IA$2=InputTable[[#This Row],[Delivery Date]],_xlfn.XLOOKUP(IA$1,$BH$2:$BR$2,$BH160:$BR160,0),0)</f>
        <v>0</v>
      </c>
      <c r="IB160" s="26">
        <f>IF(IB$2=InputTable[[#This Row],[Delivery Date]],_xlfn.XLOOKUP(IB$1,$BH$2:$BR$2,$BH160:$BR160,0),0)</f>
        <v>0</v>
      </c>
      <c r="IC160" s="26">
        <f>IF(IC$2=InputTable[[#This Row],[Delivery Date]],_xlfn.XLOOKUP(IC$1,$BH$2:$BR$2,$BH160:$BR160,0),0)</f>
        <v>0</v>
      </c>
      <c r="ID160" s="26">
        <f>IF(ID$2=InputTable[[#This Row],[Delivery Date]],_xlfn.XLOOKUP(ID$1,$BH$2:$BR$2,$BH160:$BR160,0),0)</f>
        <v>0</v>
      </c>
      <c r="IE160" s="26">
        <f>IF(IE$2=InputTable[[#This Row],[Delivery Date]],_xlfn.XLOOKUP(IE$1,$BH$2:$BR$2,$BH160:$BR160,0),0)</f>
        <v>0</v>
      </c>
      <c r="IF160" s="26">
        <f>IF(IF$2=InputTable[[#This Row],[Delivery Date]],_xlfn.XLOOKUP(IF$1,$BH$2:$BR$2,$BH160:$BR160,0),0)</f>
        <v>0</v>
      </c>
      <c r="IG160" s="26">
        <f>IF(IG$2=InputTable[[#This Row],[Delivery Date]],_xlfn.XLOOKUP(IG$1,$BH$2:$BR$2,$BH160:$BR160,0),0)</f>
        <v>0</v>
      </c>
      <c r="IH160" s="26">
        <f>IF(IH$2=InputTable[[#This Row],[Delivery Date]],_xlfn.XLOOKUP(IH$1,$BH$2:$BR$2,$BH160:$BR160,0),0)</f>
        <v>0</v>
      </c>
      <c r="IJ160" s="26" t="e">
        <f>IF(IJ$2=InputTable[[#This Row],[Delivery Date]],_xlfn.XLOOKUP(IJ$1,$BH$2:$BR$2,$BH160:$BR160,0),0)</f>
        <v>#REF!</v>
      </c>
      <c r="IK160" s="26">
        <f>IF(IK$2=InputTable[[#This Row],[Delivery Date]],_xlfn.XLOOKUP(IK$1,$BH$2:$BR$2,$BH160:$BR160,0),0)</f>
        <v>0</v>
      </c>
      <c r="IL160" s="26">
        <f>IF(IL$2=InputTable[[#This Row],[Delivery Date]],_xlfn.XLOOKUP(IL$1,$BH$2:$BR$2,$BH160:$BR160,0),0)</f>
        <v>0</v>
      </c>
      <c r="IM160" s="26">
        <f>IF(IM$2=InputTable[[#This Row],[Delivery Date]],_xlfn.XLOOKUP(IM$1,$BH$2:$BR$2,$BH160:$BR160,0),0)</f>
        <v>0</v>
      </c>
      <c r="IN160" s="26">
        <f>IF(IN$2=InputTable[[#This Row],[Delivery Date]],_xlfn.XLOOKUP(IN$1,$BH$2:$BR$2,$BH160:$BR160,0),0)</f>
        <v>0</v>
      </c>
      <c r="IO160" s="26">
        <f>IF(IO$2=InputTable[[#This Row],[Delivery Date]],_xlfn.XLOOKUP(IO$1,$BH$2:$BR$2,$BH160:$BR160,0),0)</f>
        <v>0</v>
      </c>
      <c r="IP160" s="26">
        <f>IF(IP$2=InputTable[[#This Row],[Delivery Date]],_xlfn.XLOOKUP(IP$1,$BH$2:$BR$2,$BH160:$BR160,0),0)</f>
        <v>0</v>
      </c>
      <c r="IQ160" s="26">
        <f>IF(IQ$2=InputTable[[#This Row],[Delivery Date]],_xlfn.XLOOKUP(IQ$1,$BH$2:$BR$2,$BH160:$BR160,0),0)</f>
        <v>0</v>
      </c>
      <c r="IR160" s="26">
        <f>IF(IR$2=InputTable[[#This Row],[Delivery Date]],_xlfn.XLOOKUP(IR$1,$BH$2:$BR$2,$BH160:$BR160,0),0)</f>
        <v>0</v>
      </c>
      <c r="IT160" s="26" t="e">
        <f>IF(IT$2=InputTable[[#This Row],[Delivery Date]],_xlfn.XLOOKUP(IT$1,$BH$2:$BR$2,$BH160:$BR160,0),0)</f>
        <v>#REF!</v>
      </c>
      <c r="IU160" s="26">
        <f>IF(IU$2=InputTable[[#This Row],[Delivery Date]],_xlfn.XLOOKUP(IU$1,$BH$2:$BR$2,$BH160:$BR160,0),0)</f>
        <v>0</v>
      </c>
      <c r="IV160" s="26">
        <f>IF(IV$2=InputTable[[#This Row],[Delivery Date]],_xlfn.XLOOKUP(IV$1,$BH$2:$BR$2,$BH160:$BR160,0),0)</f>
        <v>0</v>
      </c>
      <c r="IW160" s="26">
        <f>IF(IW$2=InputTable[[#This Row],[Delivery Date]],_xlfn.XLOOKUP(IW$1,$BH$2:$BR$2,$BH160:$BR160,0),0)</f>
        <v>0</v>
      </c>
      <c r="IX160" s="26">
        <f>IF(IX$2=InputTable[[#This Row],[Delivery Date]],_xlfn.XLOOKUP(IX$1,$BH$2:$BR$2,$BH160:$BR160,0),0)</f>
        <v>0</v>
      </c>
      <c r="IY160" s="26">
        <f>IF(IY$2=InputTable[[#This Row],[Delivery Date]],_xlfn.XLOOKUP(IY$1,$BH$2:$BR$2,$BH160:$BR160,0),0)</f>
        <v>0</v>
      </c>
      <c r="IZ160" s="26">
        <f>IF(IZ$2=InputTable[[#This Row],[Delivery Date]],_xlfn.XLOOKUP(IZ$1,$BH$2:$BR$2,$BH160:$BR160,0),0)</f>
        <v>0</v>
      </c>
      <c r="JA160" s="26">
        <f>IF(JA$2=InputTable[[#This Row],[Delivery Date]],_xlfn.XLOOKUP(JA$1,$BH$2:$BR$2,$BH160:$BR160,0),0)</f>
        <v>0</v>
      </c>
      <c r="JB160" s="26">
        <f>IF(JB$2=InputTable[[#This Row],[Delivery Date]],_xlfn.XLOOKUP(JB$1,$BH$2:$BR$2,$BH160:$BR160,0),0)</f>
        <v>0</v>
      </c>
      <c r="JD160" s="26" t="e">
        <f>IF(JD$2=InputTable[[#This Row],[Delivery Date]],_xlfn.XLOOKUP(JD$1,$BH$2:$BR$2,$BH160:$BR160,0),0)</f>
        <v>#REF!</v>
      </c>
      <c r="JE160" s="26">
        <f>IF(JE$2=InputTable[[#This Row],[Delivery Date]],_xlfn.XLOOKUP(JE$1,$BH$2:$BR$2,$BH160:$BR160,0),0)</f>
        <v>0</v>
      </c>
      <c r="JF160" s="26">
        <f>IF(JF$2=InputTable[[#This Row],[Delivery Date]],_xlfn.XLOOKUP(JF$1,$BH$2:$BR$2,$BH160:$BR160,0),0)</f>
        <v>0</v>
      </c>
      <c r="JG160" s="26">
        <f>IF(JG$2=InputTable[[#This Row],[Delivery Date]],_xlfn.XLOOKUP(JG$1,$BH$2:$BR$2,$BH160:$BR160,0),0)</f>
        <v>0</v>
      </c>
      <c r="JH160" s="26">
        <f>IF(JH$2=InputTable[[#This Row],[Delivery Date]],_xlfn.XLOOKUP(JH$1,$BH$2:$BR$2,$BH160:$BR160,0),0)</f>
        <v>0</v>
      </c>
      <c r="JI160" s="26">
        <f>IF(JI$2=InputTable[[#This Row],[Delivery Date]],_xlfn.XLOOKUP(JI$1,$BH$2:$BR$2,$BH160:$BR160,0),0)</f>
        <v>0</v>
      </c>
      <c r="JJ160" s="26">
        <f>IF(JJ$2=InputTable[[#This Row],[Delivery Date]],_xlfn.XLOOKUP(JJ$1,$BH$2:$BR$2,$BH160:$BR160,0),0)</f>
        <v>0</v>
      </c>
      <c r="JK160" s="26">
        <f>IF(JK$2=InputTable[[#This Row],[Delivery Date]],_xlfn.XLOOKUP(JK$1,$BH$2:$BR$2,$BH160:$BR160,0),0)</f>
        <v>0</v>
      </c>
      <c r="JL160" s="26">
        <f>IF(JL$2=InputTable[[#This Row],[Delivery Date]],_xlfn.XLOOKUP(JL$1,$BH$2:$BR$2,$BH160:$BR160,0),0)</f>
        <v>0</v>
      </c>
      <c r="JN160" s="26" t="e">
        <f>IF(JN$2=InputTable[[#This Row],[Delivery Date]],_xlfn.XLOOKUP(JN$1,$BH$2:$BR$2,$BH160:$BR160,0),0)</f>
        <v>#REF!</v>
      </c>
      <c r="JO160" s="26">
        <f>IF(JO$2=InputTable[[#This Row],[Delivery Date]],_xlfn.XLOOKUP(JO$1,$BH$2:$BR$2,$BH160:$BR160,0),0)</f>
        <v>0</v>
      </c>
      <c r="JP160" s="26">
        <f>IF(JP$2=InputTable[[#This Row],[Delivery Date]],_xlfn.XLOOKUP(JP$1,$BH$2:$BR$2,$BH160:$BR160,0),0)</f>
        <v>0</v>
      </c>
      <c r="JQ160" s="26">
        <f>IF(JQ$2=InputTable[[#This Row],[Delivery Date]],_xlfn.XLOOKUP(JQ$1,$BH$2:$BR$2,$BH160:$BR160,0),0)</f>
        <v>0</v>
      </c>
      <c r="JR160" s="26">
        <f>IF(JR$2=InputTable[[#This Row],[Delivery Date]],_xlfn.XLOOKUP(JR$1,$BH$2:$BR$2,$BH160:$BR160,0),0)</f>
        <v>0</v>
      </c>
      <c r="JS160" s="26">
        <f>IF(JS$2=InputTable[[#This Row],[Delivery Date]],_xlfn.XLOOKUP(JS$1,$BH$2:$BR$2,$BH160:$BR160,0),0)</f>
        <v>0</v>
      </c>
      <c r="JT160" s="26">
        <f>IF(JT$2=InputTable[[#This Row],[Delivery Date]],_xlfn.XLOOKUP(JT$1,$BH$2:$BR$2,$BH160:$BR160,0),0)</f>
        <v>0</v>
      </c>
      <c r="JU160" s="26">
        <f>IF(JU$2=InputTable[[#This Row],[Delivery Date]],_xlfn.XLOOKUP(JU$1,$BH$2:$BR$2,$BH160:$BR160,0),0)</f>
        <v>0</v>
      </c>
      <c r="JV160" s="26">
        <f>IF(JV$2=InputTable[[#This Row],[Delivery Date]],_xlfn.XLOOKUP(JV$1,$BH$2:$BR$2,$BH160:$BR160,0),0)</f>
        <v>0</v>
      </c>
      <c r="JX160" s="26" t="e">
        <f>IF(JX$2=InputTable[[#This Row],[Delivery Date]],_xlfn.XLOOKUP(JX$1,$BH$2:$BR$2,$BH160:$BR160,0),0)</f>
        <v>#REF!</v>
      </c>
      <c r="JY160" s="26">
        <f>IF(JY$2=InputTable[[#This Row],[Delivery Date]],_xlfn.XLOOKUP(JY$1,$BH$2:$BR$2,$BH160:$BR160,0),0)</f>
        <v>0</v>
      </c>
      <c r="JZ160" s="26">
        <f>IF(JZ$2=InputTable[[#This Row],[Delivery Date]],_xlfn.XLOOKUP(JZ$1,$BH$2:$BR$2,$BH160:$BR160,0),0)</f>
        <v>0</v>
      </c>
      <c r="KA160" s="26">
        <f>IF(KA$2=InputTable[[#This Row],[Delivery Date]],_xlfn.XLOOKUP(KA$1,$BH$2:$BR$2,$BH160:$BR160,0),0)</f>
        <v>0</v>
      </c>
      <c r="KB160" s="26">
        <f>IF(KB$2=InputTable[[#This Row],[Delivery Date]],_xlfn.XLOOKUP(KB$1,$BH$2:$BR$2,$BH160:$BR160,0),0)</f>
        <v>0</v>
      </c>
      <c r="KC160" s="26">
        <f>IF(KC$2=InputTable[[#This Row],[Delivery Date]],_xlfn.XLOOKUP(KC$1,$BH$2:$BR$2,$BH160:$BR160,0),0)</f>
        <v>0</v>
      </c>
      <c r="KD160" s="26">
        <f>IF(KD$2=InputTable[[#This Row],[Delivery Date]],_xlfn.XLOOKUP(KD$1,$BH$2:$BR$2,$BH160:$BR160,0),0)</f>
        <v>0</v>
      </c>
      <c r="KE160" s="26">
        <f>IF(KE$2=InputTable[[#This Row],[Delivery Date]],_xlfn.XLOOKUP(KE$1,$BH$2:$BR$2,$BH160:$BR160,0),0)</f>
        <v>0</v>
      </c>
      <c r="KF160" s="26">
        <f>IF(KF$2=InputTable[[#This Row],[Delivery Date]],_xlfn.XLOOKUP(KF$1,$BH$2:$BR$2,$BH160:$BR160,0),0)</f>
        <v>0</v>
      </c>
    </row>
    <row r="161" spans="1:292" ht="34.799999999999997" x14ac:dyDescent="0.25">
      <c r="A161" s="141"/>
      <c r="B161" s="119"/>
      <c r="C161" s="92"/>
      <c r="D161" s="92"/>
      <c r="E161" s="93"/>
      <c r="F161" s="92"/>
      <c r="G161" s="92"/>
      <c r="H161" s="92"/>
      <c r="I161" s="92"/>
      <c r="J161" s="122"/>
      <c r="K161" s="95" t="e">
        <f>VLOOKUP((InputTable[[#This Row],[Starting Date]]&amp; " - " &amp;InputTable[[#This Row],[Delivery Date]]),'System List'!$F$40:$H$83,2,FALSE)</f>
        <v>#N/A</v>
      </c>
      <c r="L161" s="95" t="e">
        <f>VLOOKUP(InputTable[[#This Row],[Duration]],Duration,2,FALSE)</f>
        <v>#N/A</v>
      </c>
      <c r="M161" s="122"/>
      <c r="N161" s="92"/>
      <c r="O161" s="92"/>
      <c r="P161" s="92"/>
      <c r="Q161" s="92"/>
      <c r="R161" s="92"/>
      <c r="S161" s="92"/>
      <c r="T161" s="95"/>
      <c r="U161" s="138"/>
      <c r="V161" s="92"/>
      <c r="W161" s="92"/>
      <c r="X161" s="92"/>
      <c r="Y161" s="92"/>
      <c r="Z161" s="92"/>
      <c r="AA161" s="92"/>
      <c r="AB161" s="92"/>
      <c r="AC161" s="92"/>
      <c r="AD161" s="92">
        <f>COUNTA(InputTable[[#This Row],[CORPHRFIN]:[SALES]])</f>
        <v>0</v>
      </c>
      <c r="AE161" s="88" cm="1">
        <f t="array" ref="AE161">SUM(
_xlfn.XLOOKUP(InputTable[[#This Row],[CORPHRFIN]:[SALES]],'System List'!$F$4:$F$7,'System List'!$H$4:$H$7,0))</f>
        <v>0</v>
      </c>
      <c r="AF161" s="140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88" cm="1">
        <f t="array" ref="AR161">SUM(
_xlfn.XLOOKUP(InputTable[[#This Row],[Impact on - CIAL]:[Impact on - STRAT]],'System List'!$F$4:$F$7,'System List'!$H$4:$H$7,0))</f>
        <v>0</v>
      </c>
      <c r="AS161" s="88" t="e">
        <f>VLOOKUP(InputTable[[#This Row],[Duration]],Duration,2,FALSE)+InputTable[[#This Row],[Resource Score]]</f>
        <v>#N/A</v>
      </c>
      <c r="AT16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1" s="24" t="e">
        <f>InputTable[[#This Row],[Value Score]]/InputTable[[#This Row],[EFFORT SCORE]]*100</f>
        <v>#N/A</v>
      </c>
      <c r="AV161" s="25" t="s">
        <v>452</v>
      </c>
      <c r="AW161" s="25"/>
      <c r="AX161" s="208"/>
      <c r="AY161" s="25"/>
      <c r="AZ161" s="189">
        <v>0</v>
      </c>
      <c r="BA161" s="189">
        <v>0</v>
      </c>
      <c r="BB161" s="189"/>
      <c r="BC161" s="189"/>
      <c r="BD161" s="188"/>
      <c r="BE161" s="188"/>
      <c r="BF161" s="70"/>
      <c r="BH161" s="2">
        <f>IFERROR(VLOOKUP(InputTable[[#This Row],[Impact on - CIAL]],'System List'!$F$4:$H$7,3,FALSE),0)</f>
        <v>0</v>
      </c>
      <c r="BI161" s="2">
        <f>IFERROR(VLOOKUP(InputTable[[#This Row],[Impact on - COM]],'System List'!$F$4:$H$7,3,FALSE),0)</f>
        <v>0</v>
      </c>
      <c r="BJ161" s="2">
        <f>IFERROR(VLOOKUP(InputTable[[#This Row],[Impact on - FIN]],'System List'!$F$4:$H$7,3,FALSE),0)</f>
        <v>0</v>
      </c>
      <c r="BK161" s="2">
        <f>IFERROR(VLOOKUP(InputTable[[#This Row],[Impact on - GEN SEC]],'System List'!$F$4:$H$7,3,FALSE),0)</f>
        <v>0</v>
      </c>
      <c r="BL161" s="2">
        <f>IFERROR(VLOOKUP(InputTable[[#This Row],[Impact on - HR]],'System List'!$F$4:$H$7,3,FALSE),0)</f>
        <v>0</v>
      </c>
      <c r="BM161" s="2">
        <f>IFERROR(VLOOKUP(InputTable[[#This Row],[Impact on - IS]],'System List'!$F$4:$H$7,3,FALSE),0)</f>
        <v>0</v>
      </c>
      <c r="BN161" s="2">
        <f>IFERROR(VLOOKUP(InputTable[[#This Row],[Impact on - OPS]],'System List'!$F$4:$H$7,3,FALSE),0)</f>
        <v>0</v>
      </c>
      <c r="BO161" s="2">
        <f>IFERROR(VLOOKUP(InputTable[[#This Row],[Impact on - ROLL STOCK]],'System List'!$F$4:$H$7,3,FALSE),0)</f>
        <v>0</v>
      </c>
      <c r="BP161" s="2">
        <f>IFERROR(VLOOKUP(InputTable[[#This Row],[Impact on - SAFETY]],'System List'!$F$4:$H$7,3,FALSE),0)</f>
        <v>0</v>
      </c>
      <c r="BQ161" s="2">
        <f>IFERROR(VLOOKUP(InputTable[[#This Row],[Impact on - STATION]],'System List'!$F$4:$H$7,3,FALSE),0)</f>
        <v>0</v>
      </c>
      <c r="BR161" s="2">
        <f>IFERROR(VLOOKUP(InputTable[[#This Row],[Impact on - STRAT]],'System List'!$F$4:$H$7,3,FALSE),0)</f>
        <v>0</v>
      </c>
      <c r="BT161" s="2">
        <f>IFERROR(VLOOKUP(InputTable[[#This Row],[CORPHRFIN]],'System List'!$F$4:$H$7,3,FALSE),0)</f>
        <v>0</v>
      </c>
      <c r="BU161" s="2">
        <f>IFERROR(VLOOKUP(InputTable[[#This Row],[CUST]],'System List'!$F$4:$H$7,3,FALSE),0)</f>
        <v>0</v>
      </c>
      <c r="BV161" s="2">
        <f>IFERROR(VLOOKUP(InputTable[[#This Row],[CYBER]],'System List'!$F$4:$H$7,3,FALSE),0)</f>
        <v>0</v>
      </c>
      <c r="BW161" s="2">
        <f>IFERROR(VLOOKUP(InputTable[[#This Row],[DATA]],'System List'!$F$4:$H$7,3,FALSE),0)</f>
        <v>0</v>
      </c>
      <c r="BX161" s="2">
        <f>IFERROR(VLOOKUP(InputTable[[#This Row],[INFRA]],'System List'!$F$4:$H$7,3,FALSE),0)</f>
        <v>0</v>
      </c>
      <c r="BY161" s="2">
        <f>IFERROR(VLOOKUP(InputTable[[#This Row],[OPERATIONS]],'System List'!$F$4:$H$7,3,FALSE),0)</f>
        <v>0</v>
      </c>
      <c r="BZ161" s="2">
        <f>IFERROR(VLOOKUP(InputTable[[#This Row],[PMO]],'System List'!$F$4:$H$7,3,FALSE),0)</f>
        <v>0</v>
      </c>
      <c r="CA161" s="2">
        <f>IFERROR(VLOOKUP(InputTable[[#This Row],[SALES]],'System List'!$F$4:$H$7,3,FALSE),0)</f>
        <v>0</v>
      </c>
      <c r="CC161" s="2" cm="1">
        <f t="array" ref="CC16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1" s="2" cm="1">
        <f t="array" ref="CD16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1" s="2" cm="1">
        <f t="array" ref="CE16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1" s="2" cm="1">
        <f t="array" ref="CF16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1" s="2" cm="1">
        <f t="array" ref="CG16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1" s="2" cm="1">
        <f t="array" ref="CH16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1" s="2" cm="1">
        <f t="array" ref="CI16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1" s="2" cm="1">
        <f t="array" ref="CJ16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1" s="2" cm="1">
        <f t="array" ref="CK16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1" s="26">
        <f t="shared" si="379"/>
        <v>0</v>
      </c>
      <c r="CY161" s="26">
        <f t="shared" si="380"/>
        <v>0</v>
      </c>
      <c r="CZ161" s="26">
        <f t="shared" si="381"/>
        <v>0</v>
      </c>
      <c r="DA161" s="26">
        <f t="shared" si="382"/>
        <v>0</v>
      </c>
      <c r="DB161" s="26">
        <f t="shared" si="383"/>
        <v>0</v>
      </c>
      <c r="DC161" s="26">
        <f t="shared" si="384"/>
        <v>0</v>
      </c>
      <c r="DD161" s="26">
        <f t="shared" si="385"/>
        <v>0</v>
      </c>
      <c r="DE161" s="26">
        <f t="shared" si="386"/>
        <v>0</v>
      </c>
      <c r="DF161" s="26">
        <f t="shared" si="387"/>
        <v>0</v>
      </c>
      <c r="DH161" s="26">
        <f t="shared" si="388"/>
        <v>0</v>
      </c>
      <c r="DI161" s="26">
        <f t="shared" si="389"/>
        <v>0</v>
      </c>
      <c r="DJ161" s="26">
        <f t="shared" si="390"/>
        <v>0</v>
      </c>
      <c r="DK161" s="26">
        <f t="shared" si="391"/>
        <v>0</v>
      </c>
      <c r="DL161" s="26">
        <f t="shared" si="392"/>
        <v>0</v>
      </c>
      <c r="DM161" s="26">
        <f t="shared" si="393"/>
        <v>0</v>
      </c>
      <c r="DN161" s="26">
        <f t="shared" si="394"/>
        <v>0</v>
      </c>
      <c r="DO161" s="26">
        <f t="shared" si="395"/>
        <v>0</v>
      </c>
      <c r="DP161" s="26">
        <f t="shared" si="396"/>
        <v>0</v>
      </c>
      <c r="DR161" s="26">
        <f t="shared" si="397"/>
        <v>0</v>
      </c>
      <c r="DS161" s="26">
        <f t="shared" si="398"/>
        <v>0</v>
      </c>
      <c r="DT161" s="26">
        <f t="shared" si="399"/>
        <v>0</v>
      </c>
      <c r="DU161" s="26">
        <f t="shared" si="400"/>
        <v>0</v>
      </c>
      <c r="DV161" s="26">
        <f t="shared" si="401"/>
        <v>0</v>
      </c>
      <c r="DW161" s="26">
        <f t="shared" si="402"/>
        <v>0</v>
      </c>
      <c r="DX161" s="26">
        <f t="shared" si="403"/>
        <v>0</v>
      </c>
      <c r="DY161" s="26">
        <f t="shared" si="404"/>
        <v>0</v>
      </c>
      <c r="DZ161" s="26">
        <f t="shared" si="405"/>
        <v>0</v>
      </c>
      <c r="EB161" s="26">
        <f t="shared" si="406"/>
        <v>0</v>
      </c>
      <c r="EC161" s="26">
        <f t="shared" si="407"/>
        <v>0</v>
      </c>
      <c r="ED161" s="26">
        <f t="shared" si="408"/>
        <v>0</v>
      </c>
      <c r="EE161" s="26">
        <f t="shared" si="409"/>
        <v>0</v>
      </c>
      <c r="EF161" s="26">
        <f t="shared" si="410"/>
        <v>0</v>
      </c>
      <c r="EG161" s="26">
        <f t="shared" si="411"/>
        <v>0</v>
      </c>
      <c r="EH161" s="26">
        <f t="shared" si="412"/>
        <v>0</v>
      </c>
      <c r="EI161" s="26">
        <f t="shared" si="413"/>
        <v>0</v>
      </c>
      <c r="EJ161" s="26">
        <f t="shared" si="414"/>
        <v>0</v>
      </c>
      <c r="EL161" s="26">
        <f t="shared" si="415"/>
        <v>0</v>
      </c>
      <c r="EM161" s="26">
        <f t="shared" si="416"/>
        <v>0</v>
      </c>
      <c r="EN161" s="26">
        <f t="shared" si="417"/>
        <v>0</v>
      </c>
      <c r="EO161" s="26">
        <f t="shared" si="418"/>
        <v>0</v>
      </c>
      <c r="EP161" s="26">
        <f t="shared" si="419"/>
        <v>0</v>
      </c>
      <c r="EQ161" s="26">
        <f t="shared" si="420"/>
        <v>0</v>
      </c>
      <c r="ER161" s="26">
        <f t="shared" si="421"/>
        <v>0</v>
      </c>
      <c r="ES161" s="26">
        <f t="shared" si="422"/>
        <v>0</v>
      </c>
      <c r="ET161" s="26">
        <f t="shared" si="423"/>
        <v>0</v>
      </c>
      <c r="EV161" s="26">
        <f t="shared" si="424"/>
        <v>0</v>
      </c>
      <c r="EW161" s="26">
        <f t="shared" si="425"/>
        <v>0</v>
      </c>
      <c r="EX161" s="26">
        <f t="shared" si="426"/>
        <v>0</v>
      </c>
      <c r="EY161" s="26">
        <f t="shared" si="427"/>
        <v>0</v>
      </c>
      <c r="EZ161" s="26">
        <f t="shared" si="428"/>
        <v>0</v>
      </c>
      <c r="FA161" s="26">
        <f t="shared" si="429"/>
        <v>0</v>
      </c>
      <c r="FB161" s="26">
        <f t="shared" si="430"/>
        <v>0</v>
      </c>
      <c r="FC161" s="26">
        <f t="shared" si="431"/>
        <v>0</v>
      </c>
      <c r="FD161" s="26">
        <f t="shared" si="432"/>
        <v>0</v>
      </c>
      <c r="FF161" s="26">
        <f t="shared" si="433"/>
        <v>0</v>
      </c>
      <c r="FG161" s="26">
        <f t="shared" si="434"/>
        <v>0</v>
      </c>
      <c r="FH161" s="26">
        <f t="shared" si="435"/>
        <v>0</v>
      </c>
      <c r="FI161" s="26">
        <f t="shared" si="436"/>
        <v>0</v>
      </c>
      <c r="FJ161" s="26">
        <f t="shared" si="437"/>
        <v>0</v>
      </c>
      <c r="FK161" s="26">
        <f t="shared" si="438"/>
        <v>0</v>
      </c>
      <c r="FL161" s="26">
        <f t="shared" si="439"/>
        <v>0</v>
      </c>
      <c r="FM161" s="26">
        <f t="shared" si="440"/>
        <v>0</v>
      </c>
      <c r="FN161" s="26">
        <f t="shared" si="441"/>
        <v>0</v>
      </c>
      <c r="FP161" s="26" t="e">
        <f t="shared" si="442"/>
        <v>#REF!</v>
      </c>
      <c r="FQ161" s="26" t="e">
        <f t="shared" si="443"/>
        <v>#REF!</v>
      </c>
      <c r="FR161" s="26" t="e">
        <f t="shared" si="444"/>
        <v>#REF!</v>
      </c>
      <c r="FS161" s="26" t="e">
        <f t="shared" si="445"/>
        <v>#REF!</v>
      </c>
      <c r="FT161" s="26" t="e">
        <f t="shared" si="446"/>
        <v>#REF!</v>
      </c>
      <c r="FU161" s="26" t="e">
        <f t="shared" si="447"/>
        <v>#REF!</v>
      </c>
      <c r="FV161" s="26" t="e">
        <f t="shared" si="448"/>
        <v>#REF!</v>
      </c>
      <c r="FW161" s="26" t="e">
        <f t="shared" si="449"/>
        <v>#REF!</v>
      </c>
      <c r="FX161" s="26" t="e">
        <f t="shared" si="450"/>
        <v>#REF!</v>
      </c>
      <c r="GB161" s="26" t="e">
        <f>IF(GB$2=InputTable[[#This Row],[Delivery Date]],_xlfn.XLOOKUP(GB$1,$BH$2:$BR$2,$BH161:$BR161,0),0)</f>
        <v>#REF!</v>
      </c>
      <c r="GC161" s="26">
        <f>IF(GC$2=InputTable[[#This Row],[Delivery Date]],_xlfn.XLOOKUP(GC$1,$BH$2:$BR$2,$BH161:$BR161,0),0)</f>
        <v>0</v>
      </c>
      <c r="GD161" s="26">
        <f>IF(GD$2=InputTable[[#This Row],[Delivery Date]],_xlfn.XLOOKUP(GD$1,$BH$2:$BR$2,$BH161:$BR161,0),0)</f>
        <v>0</v>
      </c>
      <c r="GE161" s="26">
        <f>IF(GE$2=InputTable[[#This Row],[Delivery Date]],_xlfn.XLOOKUP(GE$1,$BH$2:$BR$2,$BH161:$BR161,0),0)</f>
        <v>0</v>
      </c>
      <c r="GF161" s="26">
        <f>IF(GF$2=InputTable[[#This Row],[Delivery Date]],_xlfn.XLOOKUP(GF$1,$BH$2:$BR$2,$BH161:$BR161,0),0)</f>
        <v>0</v>
      </c>
      <c r="GG161" s="26">
        <f>IF(GG$2=InputTable[[#This Row],[Delivery Date]],_xlfn.XLOOKUP(GG$1,$BH$2:$BR$2,$BH161:$BR161,0),0)</f>
        <v>0</v>
      </c>
      <c r="GH161" s="26">
        <f>IF(GH$2=InputTable[[#This Row],[Delivery Date]],_xlfn.XLOOKUP(GH$1,$BH$2:$BR$2,$BH161:$BR161,0),0)</f>
        <v>0</v>
      </c>
      <c r="GI161" s="26">
        <f>IF(GI$2=InputTable[[#This Row],[Delivery Date]],_xlfn.XLOOKUP(GI$1,$BH$2:$BR$2,$BH161:$BR161,0),0)</f>
        <v>0</v>
      </c>
      <c r="GJ161" s="26">
        <f>IF(GJ$2=InputTable[[#This Row],[Delivery Date]],_xlfn.XLOOKUP(GJ$1,$BH$2:$BR$2,$BH161:$BR161,0),0)</f>
        <v>0</v>
      </c>
      <c r="GL161" s="26" t="e">
        <f>IF(GL$2=InputTable[[#This Row],[Delivery Date]],_xlfn.XLOOKUP(GL$1,$BH$2:$BR$2,$BH161:$BR161,0),0)</f>
        <v>#REF!</v>
      </c>
      <c r="GM161" s="26">
        <f>IF(GM$2=InputTable[[#This Row],[Delivery Date]],_xlfn.XLOOKUP(GM$1,$BH$2:$BR$2,$BH161:$BR161,0),0)</f>
        <v>0</v>
      </c>
      <c r="GN161" s="26">
        <f>IF(GN$2=InputTable[[#This Row],[Delivery Date]],_xlfn.XLOOKUP(GN$1,$BH$2:$BR$2,$BH161:$BR161,0),0)</f>
        <v>0</v>
      </c>
      <c r="GO161" s="26">
        <f>IF(GO$2=InputTable[[#This Row],[Delivery Date]],_xlfn.XLOOKUP(GO$1,$BH$2:$BR$2,$BH161:$BR161,0),0)</f>
        <v>0</v>
      </c>
      <c r="GP161" s="26">
        <f>IF(GP$2=InputTable[[#This Row],[Delivery Date]],_xlfn.XLOOKUP(GP$1,$BH$2:$BR$2,$BH161:$BR161,0),0)</f>
        <v>0</v>
      </c>
      <c r="GQ161" s="26">
        <f>IF(GQ$2=InputTable[[#This Row],[Delivery Date]],_xlfn.XLOOKUP(GQ$1,$BH$2:$BR$2,$BH161:$BR161,0),0)</f>
        <v>0</v>
      </c>
      <c r="GR161" s="26">
        <f>IF(GR$2=InputTable[[#This Row],[Delivery Date]],_xlfn.XLOOKUP(GR$1,$BH$2:$BR$2,$BH161:$BR161,0),0)</f>
        <v>0</v>
      </c>
      <c r="GS161" s="26">
        <f>IF(GS$2=InputTable[[#This Row],[Delivery Date]],_xlfn.XLOOKUP(GS$1,$BH$2:$BR$2,$BH161:$BR161,0),0)</f>
        <v>0</v>
      </c>
      <c r="GT161" s="26">
        <f>IF(GT$2=InputTable[[#This Row],[Delivery Date]],_xlfn.XLOOKUP(GT$1,$BH$2:$BR$2,$BH161:$BR161,0),0)</f>
        <v>0</v>
      </c>
      <c r="GV161" s="26" t="e">
        <f>IF(GV$2=InputTable[[#This Row],[Delivery Date]],_xlfn.XLOOKUP(GV$1,$BH$2:$BR$2,$BH161:$BR161,0),0)</f>
        <v>#REF!</v>
      </c>
      <c r="GW161" s="26">
        <f>IF(GW$2=InputTable[[#This Row],[Delivery Date]],_xlfn.XLOOKUP(GW$1,$BH$2:$BR$2,$BH161:$BR161,0),0)</f>
        <v>0</v>
      </c>
      <c r="GX161" s="26">
        <f>IF(GX$2=InputTable[[#This Row],[Delivery Date]],_xlfn.XLOOKUP(GX$1,$BH$2:$BR$2,$BH161:$BR161,0),0)</f>
        <v>0</v>
      </c>
      <c r="GY161" s="26">
        <f>IF(GY$2=InputTable[[#This Row],[Delivery Date]],_xlfn.XLOOKUP(GY$1,$BH$2:$BR$2,$BH161:$BR161,0),0)</f>
        <v>0</v>
      </c>
      <c r="GZ161" s="26">
        <f>IF(GZ$2=InputTable[[#This Row],[Delivery Date]],_xlfn.XLOOKUP(GZ$1,$BH$2:$BR$2,$BH161:$BR161,0),0)</f>
        <v>0</v>
      </c>
      <c r="HA161" s="26">
        <f>IF(HA$2=InputTable[[#This Row],[Delivery Date]],_xlfn.XLOOKUP(HA$1,$BH$2:$BR$2,$BH161:$BR161,0),0)</f>
        <v>0</v>
      </c>
      <c r="HB161" s="26">
        <f>IF(HB$2=InputTable[[#This Row],[Delivery Date]],_xlfn.XLOOKUP(HB$1,$BH$2:$BR$2,$BH161:$BR161,0),0)</f>
        <v>0</v>
      </c>
      <c r="HC161" s="26">
        <f>IF(HC$2=InputTable[[#This Row],[Delivery Date]],_xlfn.XLOOKUP(HC$1,$BH$2:$BR$2,$BH161:$BR161,0),0)</f>
        <v>0</v>
      </c>
      <c r="HD161" s="26">
        <f>IF(HD$2=InputTable[[#This Row],[Delivery Date]],_xlfn.XLOOKUP(HD$1,$BH$2:$BR$2,$BH161:$BR161,0),0)</f>
        <v>0</v>
      </c>
      <c r="HF161" s="26" t="e">
        <f>IF(HF$2=InputTable[[#This Row],[Delivery Date]],_xlfn.XLOOKUP(HF$1,$BH$2:$BR$2,$BH161:$BR161,0),0)</f>
        <v>#REF!</v>
      </c>
      <c r="HG161" s="26">
        <f>IF(HG$2=InputTable[[#This Row],[Delivery Date]],_xlfn.XLOOKUP(HG$1,$BH$2:$BR$2,$BH161:$BR161,0),0)</f>
        <v>0</v>
      </c>
      <c r="HH161" s="26">
        <f>IF(HH$2=InputTable[[#This Row],[Delivery Date]],_xlfn.XLOOKUP(HH$1,$BH$2:$BR$2,$BH161:$BR161,0),0)</f>
        <v>0</v>
      </c>
      <c r="HI161" s="26">
        <f>IF(HI$2=InputTable[[#This Row],[Delivery Date]],_xlfn.XLOOKUP(HI$1,$BH$2:$BR$2,$BH161:$BR161,0),0)</f>
        <v>0</v>
      </c>
      <c r="HJ161" s="26">
        <f>IF(HJ$2=InputTable[[#This Row],[Delivery Date]],_xlfn.XLOOKUP(HJ$1,$BH$2:$BR$2,$BH161:$BR161,0),0)</f>
        <v>0</v>
      </c>
      <c r="HK161" s="26">
        <f>IF(HK$2=InputTable[[#This Row],[Delivery Date]],_xlfn.XLOOKUP(HK$1,$BH$2:$BR$2,$BH161:$BR161,0),0)</f>
        <v>0</v>
      </c>
      <c r="HL161" s="26">
        <f>IF(HL$2=InputTable[[#This Row],[Delivery Date]],_xlfn.XLOOKUP(HL$1,$BH$2:$BR$2,$BH161:$BR161,0),0)</f>
        <v>0</v>
      </c>
      <c r="HM161" s="26">
        <f>IF(HM$2=InputTable[[#This Row],[Delivery Date]],_xlfn.XLOOKUP(HM$1,$BH$2:$BR$2,$BH161:$BR161,0),0)</f>
        <v>0</v>
      </c>
      <c r="HN161" s="26">
        <f>IF(HN$2=InputTable[[#This Row],[Delivery Date]],_xlfn.XLOOKUP(HN$1,$BH$2:$BR$2,$BH161:$BR161,0),0)</f>
        <v>0</v>
      </c>
      <c r="HP161" s="26" t="e">
        <f>IF(HP$2=InputTable[[#This Row],[Delivery Date]],_xlfn.XLOOKUP(HP$1,$BH$2:$BR$2,$BH161:$BR161,0),0)</f>
        <v>#REF!</v>
      </c>
      <c r="HQ161" s="26">
        <f>IF(HQ$2=InputTable[[#This Row],[Delivery Date]],_xlfn.XLOOKUP(HQ$1,$BH$2:$BR$2,$BH161:$BR161,0),0)</f>
        <v>0</v>
      </c>
      <c r="HR161" s="26">
        <f>IF(HR$2=InputTable[[#This Row],[Delivery Date]],_xlfn.XLOOKUP(HR$1,$BH$2:$BR$2,$BH161:$BR161,0),0)</f>
        <v>0</v>
      </c>
      <c r="HS161" s="26">
        <f>IF(HS$2=InputTable[[#This Row],[Delivery Date]],_xlfn.XLOOKUP(HS$1,$BH$2:$BR$2,$BH161:$BR161,0),0)</f>
        <v>0</v>
      </c>
      <c r="HT161" s="26">
        <f>IF(HT$2=InputTable[[#This Row],[Delivery Date]],_xlfn.XLOOKUP(HT$1,$BH$2:$BR$2,$BH161:$BR161,0),0)</f>
        <v>0</v>
      </c>
      <c r="HU161" s="26">
        <f>IF(HU$2=InputTable[[#This Row],[Delivery Date]],_xlfn.XLOOKUP(HU$1,$BH$2:$BR$2,$BH161:$BR161,0),0)</f>
        <v>0</v>
      </c>
      <c r="HV161" s="26">
        <f>IF(HV$2=InputTable[[#This Row],[Delivery Date]],_xlfn.XLOOKUP(HV$1,$BH$2:$BR$2,$BH161:$BR161,0),0)</f>
        <v>0</v>
      </c>
      <c r="HW161" s="26">
        <f>IF(HW$2=InputTable[[#This Row],[Delivery Date]],_xlfn.XLOOKUP(HW$1,$BH$2:$BR$2,$BH161:$BR161,0),0)</f>
        <v>0</v>
      </c>
      <c r="HX161" s="26">
        <f>IF(HX$2=InputTable[[#This Row],[Delivery Date]],_xlfn.XLOOKUP(HX$1,$BH$2:$BR$2,$BH161:$BR161,0),0)</f>
        <v>0</v>
      </c>
      <c r="HZ161" s="26" t="e">
        <f>IF(HZ$2=InputTable[[#This Row],[Delivery Date]],_xlfn.XLOOKUP(HZ$1,$BH$2:$BR$2,$BH161:$BR161,0),0)</f>
        <v>#REF!</v>
      </c>
      <c r="IA161" s="26">
        <f>IF(IA$2=InputTable[[#This Row],[Delivery Date]],_xlfn.XLOOKUP(IA$1,$BH$2:$BR$2,$BH161:$BR161,0),0)</f>
        <v>0</v>
      </c>
      <c r="IB161" s="26">
        <f>IF(IB$2=InputTable[[#This Row],[Delivery Date]],_xlfn.XLOOKUP(IB$1,$BH$2:$BR$2,$BH161:$BR161,0),0)</f>
        <v>0</v>
      </c>
      <c r="IC161" s="26">
        <f>IF(IC$2=InputTable[[#This Row],[Delivery Date]],_xlfn.XLOOKUP(IC$1,$BH$2:$BR$2,$BH161:$BR161,0),0)</f>
        <v>0</v>
      </c>
      <c r="ID161" s="26">
        <f>IF(ID$2=InputTable[[#This Row],[Delivery Date]],_xlfn.XLOOKUP(ID$1,$BH$2:$BR$2,$BH161:$BR161,0),0)</f>
        <v>0</v>
      </c>
      <c r="IE161" s="26">
        <f>IF(IE$2=InputTable[[#This Row],[Delivery Date]],_xlfn.XLOOKUP(IE$1,$BH$2:$BR$2,$BH161:$BR161,0),0)</f>
        <v>0</v>
      </c>
      <c r="IF161" s="26">
        <f>IF(IF$2=InputTable[[#This Row],[Delivery Date]],_xlfn.XLOOKUP(IF$1,$BH$2:$BR$2,$BH161:$BR161,0),0)</f>
        <v>0</v>
      </c>
      <c r="IG161" s="26">
        <f>IF(IG$2=InputTable[[#This Row],[Delivery Date]],_xlfn.XLOOKUP(IG$1,$BH$2:$BR$2,$BH161:$BR161,0),0)</f>
        <v>0</v>
      </c>
      <c r="IH161" s="26">
        <f>IF(IH$2=InputTable[[#This Row],[Delivery Date]],_xlfn.XLOOKUP(IH$1,$BH$2:$BR$2,$BH161:$BR161,0),0)</f>
        <v>0</v>
      </c>
      <c r="IJ161" s="26" t="e">
        <f>IF(IJ$2=InputTable[[#This Row],[Delivery Date]],_xlfn.XLOOKUP(IJ$1,$BH$2:$BR$2,$BH161:$BR161,0),0)</f>
        <v>#REF!</v>
      </c>
      <c r="IK161" s="26">
        <f>IF(IK$2=InputTable[[#This Row],[Delivery Date]],_xlfn.XLOOKUP(IK$1,$BH$2:$BR$2,$BH161:$BR161,0),0)</f>
        <v>0</v>
      </c>
      <c r="IL161" s="26">
        <f>IF(IL$2=InputTable[[#This Row],[Delivery Date]],_xlfn.XLOOKUP(IL$1,$BH$2:$BR$2,$BH161:$BR161,0),0)</f>
        <v>0</v>
      </c>
      <c r="IM161" s="26">
        <f>IF(IM$2=InputTable[[#This Row],[Delivery Date]],_xlfn.XLOOKUP(IM$1,$BH$2:$BR$2,$BH161:$BR161,0),0)</f>
        <v>0</v>
      </c>
      <c r="IN161" s="26">
        <f>IF(IN$2=InputTable[[#This Row],[Delivery Date]],_xlfn.XLOOKUP(IN$1,$BH$2:$BR$2,$BH161:$BR161,0),0)</f>
        <v>0</v>
      </c>
      <c r="IO161" s="26">
        <f>IF(IO$2=InputTable[[#This Row],[Delivery Date]],_xlfn.XLOOKUP(IO$1,$BH$2:$BR$2,$BH161:$BR161,0),0)</f>
        <v>0</v>
      </c>
      <c r="IP161" s="26">
        <f>IF(IP$2=InputTable[[#This Row],[Delivery Date]],_xlfn.XLOOKUP(IP$1,$BH$2:$BR$2,$BH161:$BR161,0),0)</f>
        <v>0</v>
      </c>
      <c r="IQ161" s="26">
        <f>IF(IQ$2=InputTable[[#This Row],[Delivery Date]],_xlfn.XLOOKUP(IQ$1,$BH$2:$BR$2,$BH161:$BR161,0),0)</f>
        <v>0</v>
      </c>
      <c r="IR161" s="26">
        <f>IF(IR$2=InputTable[[#This Row],[Delivery Date]],_xlfn.XLOOKUP(IR$1,$BH$2:$BR$2,$BH161:$BR161,0),0)</f>
        <v>0</v>
      </c>
      <c r="IT161" s="26" t="e">
        <f>IF(IT$2=InputTable[[#This Row],[Delivery Date]],_xlfn.XLOOKUP(IT$1,$BH$2:$BR$2,$BH161:$BR161,0),0)</f>
        <v>#REF!</v>
      </c>
      <c r="IU161" s="26">
        <f>IF(IU$2=InputTable[[#This Row],[Delivery Date]],_xlfn.XLOOKUP(IU$1,$BH$2:$BR$2,$BH161:$BR161,0),0)</f>
        <v>0</v>
      </c>
      <c r="IV161" s="26">
        <f>IF(IV$2=InputTable[[#This Row],[Delivery Date]],_xlfn.XLOOKUP(IV$1,$BH$2:$BR$2,$BH161:$BR161,0),0)</f>
        <v>0</v>
      </c>
      <c r="IW161" s="26">
        <f>IF(IW$2=InputTable[[#This Row],[Delivery Date]],_xlfn.XLOOKUP(IW$1,$BH$2:$BR$2,$BH161:$BR161,0),0)</f>
        <v>0</v>
      </c>
      <c r="IX161" s="26">
        <f>IF(IX$2=InputTable[[#This Row],[Delivery Date]],_xlfn.XLOOKUP(IX$1,$BH$2:$BR$2,$BH161:$BR161,0),0)</f>
        <v>0</v>
      </c>
      <c r="IY161" s="26">
        <f>IF(IY$2=InputTable[[#This Row],[Delivery Date]],_xlfn.XLOOKUP(IY$1,$BH$2:$BR$2,$BH161:$BR161,0),0)</f>
        <v>0</v>
      </c>
      <c r="IZ161" s="26">
        <f>IF(IZ$2=InputTable[[#This Row],[Delivery Date]],_xlfn.XLOOKUP(IZ$1,$BH$2:$BR$2,$BH161:$BR161,0),0)</f>
        <v>0</v>
      </c>
      <c r="JA161" s="26">
        <f>IF(JA$2=InputTable[[#This Row],[Delivery Date]],_xlfn.XLOOKUP(JA$1,$BH$2:$BR$2,$BH161:$BR161,0),0)</f>
        <v>0</v>
      </c>
      <c r="JB161" s="26">
        <f>IF(JB$2=InputTable[[#This Row],[Delivery Date]],_xlfn.XLOOKUP(JB$1,$BH$2:$BR$2,$BH161:$BR161,0),0)</f>
        <v>0</v>
      </c>
      <c r="JD161" s="26" t="e">
        <f>IF(JD$2=InputTable[[#This Row],[Delivery Date]],_xlfn.XLOOKUP(JD$1,$BH$2:$BR$2,$BH161:$BR161,0),0)</f>
        <v>#REF!</v>
      </c>
      <c r="JE161" s="26">
        <f>IF(JE$2=InputTable[[#This Row],[Delivery Date]],_xlfn.XLOOKUP(JE$1,$BH$2:$BR$2,$BH161:$BR161,0),0)</f>
        <v>0</v>
      </c>
      <c r="JF161" s="26">
        <f>IF(JF$2=InputTable[[#This Row],[Delivery Date]],_xlfn.XLOOKUP(JF$1,$BH$2:$BR$2,$BH161:$BR161,0),0)</f>
        <v>0</v>
      </c>
      <c r="JG161" s="26">
        <f>IF(JG$2=InputTable[[#This Row],[Delivery Date]],_xlfn.XLOOKUP(JG$1,$BH$2:$BR$2,$BH161:$BR161,0),0)</f>
        <v>0</v>
      </c>
      <c r="JH161" s="26">
        <f>IF(JH$2=InputTable[[#This Row],[Delivery Date]],_xlfn.XLOOKUP(JH$1,$BH$2:$BR$2,$BH161:$BR161,0),0)</f>
        <v>0</v>
      </c>
      <c r="JI161" s="26">
        <f>IF(JI$2=InputTable[[#This Row],[Delivery Date]],_xlfn.XLOOKUP(JI$1,$BH$2:$BR$2,$BH161:$BR161,0),0)</f>
        <v>0</v>
      </c>
      <c r="JJ161" s="26">
        <f>IF(JJ$2=InputTable[[#This Row],[Delivery Date]],_xlfn.XLOOKUP(JJ$1,$BH$2:$BR$2,$BH161:$BR161,0),0)</f>
        <v>0</v>
      </c>
      <c r="JK161" s="26">
        <f>IF(JK$2=InputTable[[#This Row],[Delivery Date]],_xlfn.XLOOKUP(JK$1,$BH$2:$BR$2,$BH161:$BR161,0),0)</f>
        <v>0</v>
      </c>
      <c r="JL161" s="26">
        <f>IF(JL$2=InputTable[[#This Row],[Delivery Date]],_xlfn.XLOOKUP(JL$1,$BH$2:$BR$2,$BH161:$BR161,0),0)</f>
        <v>0</v>
      </c>
      <c r="JN161" s="26" t="e">
        <f>IF(JN$2=InputTable[[#This Row],[Delivery Date]],_xlfn.XLOOKUP(JN$1,$BH$2:$BR$2,$BH161:$BR161,0),0)</f>
        <v>#REF!</v>
      </c>
      <c r="JO161" s="26">
        <f>IF(JO$2=InputTable[[#This Row],[Delivery Date]],_xlfn.XLOOKUP(JO$1,$BH$2:$BR$2,$BH161:$BR161,0),0)</f>
        <v>0</v>
      </c>
      <c r="JP161" s="26">
        <f>IF(JP$2=InputTable[[#This Row],[Delivery Date]],_xlfn.XLOOKUP(JP$1,$BH$2:$BR$2,$BH161:$BR161,0),0)</f>
        <v>0</v>
      </c>
      <c r="JQ161" s="26">
        <f>IF(JQ$2=InputTable[[#This Row],[Delivery Date]],_xlfn.XLOOKUP(JQ$1,$BH$2:$BR$2,$BH161:$BR161,0),0)</f>
        <v>0</v>
      </c>
      <c r="JR161" s="26">
        <f>IF(JR$2=InputTable[[#This Row],[Delivery Date]],_xlfn.XLOOKUP(JR$1,$BH$2:$BR$2,$BH161:$BR161,0),0)</f>
        <v>0</v>
      </c>
      <c r="JS161" s="26">
        <f>IF(JS$2=InputTable[[#This Row],[Delivery Date]],_xlfn.XLOOKUP(JS$1,$BH$2:$BR$2,$BH161:$BR161,0),0)</f>
        <v>0</v>
      </c>
      <c r="JT161" s="26">
        <f>IF(JT$2=InputTable[[#This Row],[Delivery Date]],_xlfn.XLOOKUP(JT$1,$BH$2:$BR$2,$BH161:$BR161,0),0)</f>
        <v>0</v>
      </c>
      <c r="JU161" s="26">
        <f>IF(JU$2=InputTable[[#This Row],[Delivery Date]],_xlfn.XLOOKUP(JU$1,$BH$2:$BR$2,$BH161:$BR161,0),0)</f>
        <v>0</v>
      </c>
      <c r="JV161" s="26">
        <f>IF(JV$2=InputTable[[#This Row],[Delivery Date]],_xlfn.XLOOKUP(JV$1,$BH$2:$BR$2,$BH161:$BR161,0),0)</f>
        <v>0</v>
      </c>
      <c r="JX161" s="26" t="e">
        <f>IF(JX$2=InputTable[[#This Row],[Delivery Date]],_xlfn.XLOOKUP(JX$1,$BH$2:$BR$2,$BH161:$BR161,0),0)</f>
        <v>#REF!</v>
      </c>
      <c r="JY161" s="26">
        <f>IF(JY$2=InputTable[[#This Row],[Delivery Date]],_xlfn.XLOOKUP(JY$1,$BH$2:$BR$2,$BH161:$BR161,0),0)</f>
        <v>0</v>
      </c>
      <c r="JZ161" s="26">
        <f>IF(JZ$2=InputTable[[#This Row],[Delivery Date]],_xlfn.XLOOKUP(JZ$1,$BH$2:$BR$2,$BH161:$BR161,0),0)</f>
        <v>0</v>
      </c>
      <c r="KA161" s="26">
        <f>IF(KA$2=InputTable[[#This Row],[Delivery Date]],_xlfn.XLOOKUP(KA$1,$BH$2:$BR$2,$BH161:$BR161,0),0)</f>
        <v>0</v>
      </c>
      <c r="KB161" s="26">
        <f>IF(KB$2=InputTable[[#This Row],[Delivery Date]],_xlfn.XLOOKUP(KB$1,$BH$2:$BR$2,$BH161:$BR161,0),0)</f>
        <v>0</v>
      </c>
      <c r="KC161" s="26">
        <f>IF(KC$2=InputTable[[#This Row],[Delivery Date]],_xlfn.XLOOKUP(KC$1,$BH$2:$BR$2,$BH161:$BR161,0),0)</f>
        <v>0</v>
      </c>
      <c r="KD161" s="26">
        <f>IF(KD$2=InputTable[[#This Row],[Delivery Date]],_xlfn.XLOOKUP(KD$1,$BH$2:$BR$2,$BH161:$BR161,0),0)</f>
        <v>0</v>
      </c>
      <c r="KE161" s="26">
        <f>IF(KE$2=InputTable[[#This Row],[Delivery Date]],_xlfn.XLOOKUP(KE$1,$BH$2:$BR$2,$BH161:$BR161,0),0)</f>
        <v>0</v>
      </c>
      <c r="KF161" s="26">
        <f>IF(KF$2=InputTable[[#This Row],[Delivery Date]],_xlfn.XLOOKUP(KF$1,$BH$2:$BR$2,$BH161:$BR161,0),0)</f>
        <v>0</v>
      </c>
    </row>
    <row r="162" spans="1:292" ht="34.799999999999997" x14ac:dyDescent="0.25">
      <c r="A162" s="141"/>
      <c r="B162" s="119"/>
      <c r="C162" s="92"/>
      <c r="D162" s="92"/>
      <c r="E162" s="93"/>
      <c r="F162" s="92"/>
      <c r="G162" s="92"/>
      <c r="H162" s="92"/>
      <c r="I162" s="92"/>
      <c r="J162" s="124"/>
      <c r="K162" s="95" t="e">
        <f>VLOOKUP((InputTable[[#This Row],[Starting Date]]&amp; " - " &amp;InputTable[[#This Row],[Delivery Date]]),'System List'!$F$40:$H$83,2,FALSE)</f>
        <v>#N/A</v>
      </c>
      <c r="L162" s="95" t="e">
        <f>VLOOKUP(InputTable[[#This Row],[Duration]],Duration,2,FALSE)</f>
        <v>#N/A</v>
      </c>
      <c r="M162" s="124"/>
      <c r="N162" s="92"/>
      <c r="O162" s="92"/>
      <c r="P162" s="92"/>
      <c r="Q162" s="92"/>
      <c r="R162" s="92"/>
      <c r="S162" s="92"/>
      <c r="T162" s="95"/>
      <c r="U162" s="138"/>
      <c r="V162" s="92"/>
      <c r="W162" s="92"/>
      <c r="X162" s="92"/>
      <c r="Y162" s="92"/>
      <c r="Z162" s="92"/>
      <c r="AA162" s="92"/>
      <c r="AB162" s="92"/>
      <c r="AC162" s="92"/>
      <c r="AD162" s="92">
        <f>COUNTA(InputTable[[#This Row],[CORPHRFIN]:[SALES]])</f>
        <v>0</v>
      </c>
      <c r="AE162" s="88" cm="1">
        <f t="array" ref="AE162">SUM(
_xlfn.XLOOKUP(InputTable[[#This Row],[CORPHRFIN]:[SALES]],'System List'!$F$4:$F$7,'System List'!$H$4:$H$7,0))</f>
        <v>0</v>
      </c>
      <c r="AF162" s="140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88" cm="1">
        <f t="array" ref="AR162">SUM(
_xlfn.XLOOKUP(InputTable[[#This Row],[Impact on - CIAL]:[Impact on - STRAT]],'System List'!$F$4:$F$7,'System List'!$H$4:$H$7,0))</f>
        <v>0</v>
      </c>
      <c r="AS162" s="88" t="e">
        <f>VLOOKUP(InputTable[[#This Row],[Duration]],Duration,2,FALSE)+InputTable[[#This Row],[Resource Score]]</f>
        <v>#N/A</v>
      </c>
      <c r="AT16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2" s="24" t="e">
        <f>InputTable[[#This Row],[Value Score]]/InputTable[[#This Row],[EFFORT SCORE]]*100</f>
        <v>#N/A</v>
      </c>
      <c r="AV162" s="25" t="s">
        <v>453</v>
      </c>
      <c r="AW162" s="25"/>
      <c r="AX162" s="208"/>
      <c r="AY162" s="25"/>
      <c r="AZ162" s="189">
        <v>0</v>
      </c>
      <c r="BA162" s="189">
        <v>0</v>
      </c>
      <c r="BB162" s="189"/>
      <c r="BC162" s="189"/>
      <c r="BD162" s="188"/>
      <c r="BE162" s="188"/>
      <c r="BF162" s="70"/>
      <c r="BH162" s="2">
        <f>IFERROR(VLOOKUP(InputTable[[#This Row],[Impact on - CIAL]],'System List'!$F$4:$H$7,3,FALSE),0)</f>
        <v>0</v>
      </c>
      <c r="BI162" s="2">
        <f>IFERROR(VLOOKUP(InputTable[[#This Row],[Impact on - COM]],'System List'!$F$4:$H$7,3,FALSE),0)</f>
        <v>0</v>
      </c>
      <c r="BJ162" s="2">
        <f>IFERROR(VLOOKUP(InputTable[[#This Row],[Impact on - FIN]],'System List'!$F$4:$H$7,3,FALSE),0)</f>
        <v>0</v>
      </c>
      <c r="BK162" s="2">
        <f>IFERROR(VLOOKUP(InputTable[[#This Row],[Impact on - GEN SEC]],'System List'!$F$4:$H$7,3,FALSE),0)</f>
        <v>0</v>
      </c>
      <c r="BL162" s="2">
        <f>IFERROR(VLOOKUP(InputTable[[#This Row],[Impact on - HR]],'System List'!$F$4:$H$7,3,FALSE),0)</f>
        <v>0</v>
      </c>
      <c r="BM162" s="2">
        <f>IFERROR(VLOOKUP(InputTable[[#This Row],[Impact on - IS]],'System List'!$F$4:$H$7,3,FALSE),0)</f>
        <v>0</v>
      </c>
      <c r="BN162" s="2">
        <f>IFERROR(VLOOKUP(InputTable[[#This Row],[Impact on - OPS]],'System List'!$F$4:$H$7,3,FALSE),0)</f>
        <v>0</v>
      </c>
      <c r="BO162" s="2">
        <f>IFERROR(VLOOKUP(InputTable[[#This Row],[Impact on - ROLL STOCK]],'System List'!$F$4:$H$7,3,FALSE),0)</f>
        <v>0</v>
      </c>
      <c r="BP162" s="2">
        <f>IFERROR(VLOOKUP(InputTable[[#This Row],[Impact on - SAFETY]],'System List'!$F$4:$H$7,3,FALSE),0)</f>
        <v>0</v>
      </c>
      <c r="BQ162" s="2">
        <f>IFERROR(VLOOKUP(InputTable[[#This Row],[Impact on - STATION]],'System List'!$F$4:$H$7,3,FALSE),0)</f>
        <v>0</v>
      </c>
      <c r="BR162" s="2">
        <f>IFERROR(VLOOKUP(InputTable[[#This Row],[Impact on - STRAT]],'System List'!$F$4:$H$7,3,FALSE),0)</f>
        <v>0</v>
      </c>
      <c r="BT162" s="2">
        <f>IFERROR(VLOOKUP(InputTable[[#This Row],[CORPHRFIN]],'System List'!$F$4:$H$7,3,FALSE),0)</f>
        <v>0</v>
      </c>
      <c r="BU162" s="2">
        <f>IFERROR(VLOOKUP(InputTable[[#This Row],[CUST]],'System List'!$F$4:$H$7,3,FALSE),0)</f>
        <v>0</v>
      </c>
      <c r="BV162" s="2">
        <f>IFERROR(VLOOKUP(InputTable[[#This Row],[CYBER]],'System List'!$F$4:$H$7,3,FALSE),0)</f>
        <v>0</v>
      </c>
      <c r="BW162" s="2">
        <f>IFERROR(VLOOKUP(InputTable[[#This Row],[DATA]],'System List'!$F$4:$H$7,3,FALSE),0)</f>
        <v>0</v>
      </c>
      <c r="BX162" s="2">
        <f>IFERROR(VLOOKUP(InputTable[[#This Row],[INFRA]],'System List'!$F$4:$H$7,3,FALSE),0)</f>
        <v>0</v>
      </c>
      <c r="BY162" s="2">
        <f>IFERROR(VLOOKUP(InputTable[[#This Row],[OPERATIONS]],'System List'!$F$4:$H$7,3,FALSE),0)</f>
        <v>0</v>
      </c>
      <c r="BZ162" s="2">
        <f>IFERROR(VLOOKUP(InputTable[[#This Row],[PMO]],'System List'!$F$4:$H$7,3,FALSE),0)</f>
        <v>0</v>
      </c>
      <c r="CA162" s="2">
        <f>IFERROR(VLOOKUP(InputTable[[#This Row],[SALES]],'System List'!$F$4:$H$7,3,FALSE),0)</f>
        <v>0</v>
      </c>
      <c r="CC162" s="2" cm="1">
        <f t="array" ref="CC16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2" s="2" cm="1">
        <f t="array" ref="CD16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2" s="2" cm="1">
        <f t="array" ref="CE16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2" s="2" cm="1">
        <f t="array" ref="CF16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2" s="2" cm="1">
        <f t="array" ref="CG16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2" s="2" cm="1">
        <f t="array" ref="CH16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2" s="2" cm="1">
        <f t="array" ref="CI16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2" s="2" cm="1">
        <f t="array" ref="CJ16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2" s="2" cm="1">
        <f t="array" ref="CK16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2" s="26">
        <f t="shared" si="379"/>
        <v>0</v>
      </c>
      <c r="CY162" s="26">
        <f t="shared" si="380"/>
        <v>0</v>
      </c>
      <c r="CZ162" s="26">
        <f t="shared" si="381"/>
        <v>0</v>
      </c>
      <c r="DA162" s="26">
        <f t="shared" si="382"/>
        <v>0</v>
      </c>
      <c r="DB162" s="26">
        <f t="shared" si="383"/>
        <v>0</v>
      </c>
      <c r="DC162" s="26">
        <f t="shared" si="384"/>
        <v>0</v>
      </c>
      <c r="DD162" s="26">
        <f t="shared" si="385"/>
        <v>0</v>
      </c>
      <c r="DE162" s="26">
        <f t="shared" si="386"/>
        <v>0</v>
      </c>
      <c r="DF162" s="26">
        <f t="shared" si="387"/>
        <v>0</v>
      </c>
      <c r="DH162" s="26">
        <f t="shared" si="388"/>
        <v>0</v>
      </c>
      <c r="DI162" s="26">
        <f t="shared" si="389"/>
        <v>0</v>
      </c>
      <c r="DJ162" s="26">
        <f t="shared" si="390"/>
        <v>0</v>
      </c>
      <c r="DK162" s="26">
        <f t="shared" si="391"/>
        <v>0</v>
      </c>
      <c r="DL162" s="26">
        <f t="shared" si="392"/>
        <v>0</v>
      </c>
      <c r="DM162" s="26">
        <f t="shared" si="393"/>
        <v>0</v>
      </c>
      <c r="DN162" s="26">
        <f t="shared" si="394"/>
        <v>0</v>
      </c>
      <c r="DO162" s="26">
        <f t="shared" si="395"/>
        <v>0</v>
      </c>
      <c r="DP162" s="26">
        <f t="shared" si="396"/>
        <v>0</v>
      </c>
      <c r="DR162" s="26">
        <f t="shared" si="397"/>
        <v>0</v>
      </c>
      <c r="DS162" s="26">
        <f t="shared" si="398"/>
        <v>0</v>
      </c>
      <c r="DT162" s="26">
        <f t="shared" si="399"/>
        <v>0</v>
      </c>
      <c r="DU162" s="26">
        <f t="shared" si="400"/>
        <v>0</v>
      </c>
      <c r="DV162" s="26">
        <f t="shared" si="401"/>
        <v>0</v>
      </c>
      <c r="DW162" s="26">
        <f t="shared" si="402"/>
        <v>0</v>
      </c>
      <c r="DX162" s="26">
        <f t="shared" si="403"/>
        <v>0</v>
      </c>
      <c r="DY162" s="26">
        <f t="shared" si="404"/>
        <v>0</v>
      </c>
      <c r="DZ162" s="26">
        <f t="shared" si="405"/>
        <v>0</v>
      </c>
      <c r="EB162" s="26">
        <f t="shared" si="406"/>
        <v>0</v>
      </c>
      <c r="EC162" s="26">
        <f t="shared" si="407"/>
        <v>0</v>
      </c>
      <c r="ED162" s="26">
        <f t="shared" si="408"/>
        <v>0</v>
      </c>
      <c r="EE162" s="26">
        <f t="shared" si="409"/>
        <v>0</v>
      </c>
      <c r="EF162" s="26">
        <f t="shared" si="410"/>
        <v>0</v>
      </c>
      <c r="EG162" s="26">
        <f t="shared" si="411"/>
        <v>0</v>
      </c>
      <c r="EH162" s="26">
        <f t="shared" si="412"/>
        <v>0</v>
      </c>
      <c r="EI162" s="26">
        <f t="shared" si="413"/>
        <v>0</v>
      </c>
      <c r="EJ162" s="26">
        <f t="shared" si="414"/>
        <v>0</v>
      </c>
      <c r="EL162" s="26">
        <f t="shared" si="415"/>
        <v>0</v>
      </c>
      <c r="EM162" s="26">
        <f t="shared" si="416"/>
        <v>0</v>
      </c>
      <c r="EN162" s="26">
        <f t="shared" si="417"/>
        <v>0</v>
      </c>
      <c r="EO162" s="26">
        <f t="shared" si="418"/>
        <v>0</v>
      </c>
      <c r="EP162" s="26">
        <f t="shared" si="419"/>
        <v>0</v>
      </c>
      <c r="EQ162" s="26">
        <f t="shared" si="420"/>
        <v>0</v>
      </c>
      <c r="ER162" s="26">
        <f t="shared" si="421"/>
        <v>0</v>
      </c>
      <c r="ES162" s="26">
        <f t="shared" si="422"/>
        <v>0</v>
      </c>
      <c r="ET162" s="26">
        <f t="shared" si="423"/>
        <v>0</v>
      </c>
      <c r="EV162" s="26">
        <f t="shared" si="424"/>
        <v>0</v>
      </c>
      <c r="EW162" s="26">
        <f t="shared" si="425"/>
        <v>0</v>
      </c>
      <c r="EX162" s="26">
        <f t="shared" si="426"/>
        <v>0</v>
      </c>
      <c r="EY162" s="26">
        <f t="shared" si="427"/>
        <v>0</v>
      </c>
      <c r="EZ162" s="26">
        <f t="shared" si="428"/>
        <v>0</v>
      </c>
      <c r="FA162" s="26">
        <f t="shared" si="429"/>
        <v>0</v>
      </c>
      <c r="FB162" s="26">
        <f t="shared" si="430"/>
        <v>0</v>
      </c>
      <c r="FC162" s="26">
        <f t="shared" si="431"/>
        <v>0</v>
      </c>
      <c r="FD162" s="26">
        <f t="shared" si="432"/>
        <v>0</v>
      </c>
      <c r="FF162" s="26">
        <f t="shared" si="433"/>
        <v>0</v>
      </c>
      <c r="FG162" s="26">
        <f t="shared" si="434"/>
        <v>0</v>
      </c>
      <c r="FH162" s="26">
        <f t="shared" si="435"/>
        <v>0</v>
      </c>
      <c r="FI162" s="26">
        <f t="shared" si="436"/>
        <v>0</v>
      </c>
      <c r="FJ162" s="26">
        <f t="shared" si="437"/>
        <v>0</v>
      </c>
      <c r="FK162" s="26">
        <f t="shared" si="438"/>
        <v>0</v>
      </c>
      <c r="FL162" s="26">
        <f t="shared" si="439"/>
        <v>0</v>
      </c>
      <c r="FM162" s="26">
        <f t="shared" si="440"/>
        <v>0</v>
      </c>
      <c r="FN162" s="26">
        <f t="shared" si="441"/>
        <v>0</v>
      </c>
      <c r="FP162" s="26" t="e">
        <f t="shared" si="442"/>
        <v>#REF!</v>
      </c>
      <c r="FQ162" s="26" t="e">
        <f t="shared" si="443"/>
        <v>#REF!</v>
      </c>
      <c r="FR162" s="26" t="e">
        <f t="shared" si="444"/>
        <v>#REF!</v>
      </c>
      <c r="FS162" s="26" t="e">
        <f t="shared" si="445"/>
        <v>#REF!</v>
      </c>
      <c r="FT162" s="26" t="e">
        <f t="shared" si="446"/>
        <v>#REF!</v>
      </c>
      <c r="FU162" s="26" t="e">
        <f t="shared" si="447"/>
        <v>#REF!</v>
      </c>
      <c r="FV162" s="26" t="e">
        <f t="shared" si="448"/>
        <v>#REF!</v>
      </c>
      <c r="FW162" s="26" t="e">
        <f t="shared" si="449"/>
        <v>#REF!</v>
      </c>
      <c r="FX162" s="26" t="e">
        <f t="shared" si="450"/>
        <v>#REF!</v>
      </c>
      <c r="GB162" s="26" t="e">
        <f>IF(GB$2=InputTable[[#This Row],[Delivery Date]],_xlfn.XLOOKUP(GB$1,$BH$2:$BR$2,$BH162:$BR162,0),0)</f>
        <v>#REF!</v>
      </c>
      <c r="GC162" s="26">
        <f>IF(GC$2=InputTable[[#This Row],[Delivery Date]],_xlfn.XLOOKUP(GC$1,$BH$2:$BR$2,$BH162:$BR162,0),0)</f>
        <v>0</v>
      </c>
      <c r="GD162" s="26">
        <f>IF(GD$2=InputTable[[#This Row],[Delivery Date]],_xlfn.XLOOKUP(GD$1,$BH$2:$BR$2,$BH162:$BR162,0),0)</f>
        <v>0</v>
      </c>
      <c r="GE162" s="26">
        <f>IF(GE$2=InputTable[[#This Row],[Delivery Date]],_xlfn.XLOOKUP(GE$1,$BH$2:$BR$2,$BH162:$BR162,0),0)</f>
        <v>0</v>
      </c>
      <c r="GF162" s="26">
        <f>IF(GF$2=InputTable[[#This Row],[Delivery Date]],_xlfn.XLOOKUP(GF$1,$BH$2:$BR$2,$BH162:$BR162,0),0)</f>
        <v>0</v>
      </c>
      <c r="GG162" s="26">
        <f>IF(GG$2=InputTable[[#This Row],[Delivery Date]],_xlfn.XLOOKUP(GG$1,$BH$2:$BR$2,$BH162:$BR162,0),0)</f>
        <v>0</v>
      </c>
      <c r="GH162" s="26">
        <f>IF(GH$2=InputTable[[#This Row],[Delivery Date]],_xlfn.XLOOKUP(GH$1,$BH$2:$BR$2,$BH162:$BR162,0),0)</f>
        <v>0</v>
      </c>
      <c r="GI162" s="26">
        <f>IF(GI$2=InputTable[[#This Row],[Delivery Date]],_xlfn.XLOOKUP(GI$1,$BH$2:$BR$2,$BH162:$BR162,0),0)</f>
        <v>0</v>
      </c>
      <c r="GJ162" s="26">
        <f>IF(GJ$2=InputTable[[#This Row],[Delivery Date]],_xlfn.XLOOKUP(GJ$1,$BH$2:$BR$2,$BH162:$BR162,0),0)</f>
        <v>0</v>
      </c>
      <c r="GL162" s="26" t="e">
        <f>IF(GL$2=InputTable[[#This Row],[Delivery Date]],_xlfn.XLOOKUP(GL$1,$BH$2:$BR$2,$BH162:$BR162,0),0)</f>
        <v>#REF!</v>
      </c>
      <c r="GM162" s="26">
        <f>IF(GM$2=InputTable[[#This Row],[Delivery Date]],_xlfn.XLOOKUP(GM$1,$BH$2:$BR$2,$BH162:$BR162,0),0)</f>
        <v>0</v>
      </c>
      <c r="GN162" s="26">
        <f>IF(GN$2=InputTable[[#This Row],[Delivery Date]],_xlfn.XLOOKUP(GN$1,$BH$2:$BR$2,$BH162:$BR162,0),0)</f>
        <v>0</v>
      </c>
      <c r="GO162" s="26">
        <f>IF(GO$2=InputTable[[#This Row],[Delivery Date]],_xlfn.XLOOKUP(GO$1,$BH$2:$BR$2,$BH162:$BR162,0),0)</f>
        <v>0</v>
      </c>
      <c r="GP162" s="26">
        <f>IF(GP$2=InputTable[[#This Row],[Delivery Date]],_xlfn.XLOOKUP(GP$1,$BH$2:$BR$2,$BH162:$BR162,0),0)</f>
        <v>0</v>
      </c>
      <c r="GQ162" s="26">
        <f>IF(GQ$2=InputTable[[#This Row],[Delivery Date]],_xlfn.XLOOKUP(GQ$1,$BH$2:$BR$2,$BH162:$BR162,0),0)</f>
        <v>0</v>
      </c>
      <c r="GR162" s="26">
        <f>IF(GR$2=InputTable[[#This Row],[Delivery Date]],_xlfn.XLOOKUP(GR$1,$BH$2:$BR$2,$BH162:$BR162,0),0)</f>
        <v>0</v>
      </c>
      <c r="GS162" s="26">
        <f>IF(GS$2=InputTable[[#This Row],[Delivery Date]],_xlfn.XLOOKUP(GS$1,$BH$2:$BR$2,$BH162:$BR162,0),0)</f>
        <v>0</v>
      </c>
      <c r="GT162" s="26">
        <f>IF(GT$2=InputTable[[#This Row],[Delivery Date]],_xlfn.XLOOKUP(GT$1,$BH$2:$BR$2,$BH162:$BR162,0),0)</f>
        <v>0</v>
      </c>
      <c r="GV162" s="26" t="e">
        <f>IF(GV$2=InputTable[[#This Row],[Delivery Date]],_xlfn.XLOOKUP(GV$1,$BH$2:$BR$2,$BH162:$BR162,0),0)</f>
        <v>#REF!</v>
      </c>
      <c r="GW162" s="26">
        <f>IF(GW$2=InputTable[[#This Row],[Delivery Date]],_xlfn.XLOOKUP(GW$1,$BH$2:$BR$2,$BH162:$BR162,0),0)</f>
        <v>0</v>
      </c>
      <c r="GX162" s="26">
        <f>IF(GX$2=InputTable[[#This Row],[Delivery Date]],_xlfn.XLOOKUP(GX$1,$BH$2:$BR$2,$BH162:$BR162,0),0)</f>
        <v>0</v>
      </c>
      <c r="GY162" s="26">
        <f>IF(GY$2=InputTable[[#This Row],[Delivery Date]],_xlfn.XLOOKUP(GY$1,$BH$2:$BR$2,$BH162:$BR162,0),0)</f>
        <v>0</v>
      </c>
      <c r="GZ162" s="26">
        <f>IF(GZ$2=InputTable[[#This Row],[Delivery Date]],_xlfn.XLOOKUP(GZ$1,$BH$2:$BR$2,$BH162:$BR162,0),0)</f>
        <v>0</v>
      </c>
      <c r="HA162" s="26">
        <f>IF(HA$2=InputTable[[#This Row],[Delivery Date]],_xlfn.XLOOKUP(HA$1,$BH$2:$BR$2,$BH162:$BR162,0),0)</f>
        <v>0</v>
      </c>
      <c r="HB162" s="26">
        <f>IF(HB$2=InputTable[[#This Row],[Delivery Date]],_xlfn.XLOOKUP(HB$1,$BH$2:$BR$2,$BH162:$BR162,0),0)</f>
        <v>0</v>
      </c>
      <c r="HC162" s="26">
        <f>IF(HC$2=InputTable[[#This Row],[Delivery Date]],_xlfn.XLOOKUP(HC$1,$BH$2:$BR$2,$BH162:$BR162,0),0)</f>
        <v>0</v>
      </c>
      <c r="HD162" s="26">
        <f>IF(HD$2=InputTable[[#This Row],[Delivery Date]],_xlfn.XLOOKUP(HD$1,$BH$2:$BR$2,$BH162:$BR162,0),0)</f>
        <v>0</v>
      </c>
      <c r="HF162" s="26" t="e">
        <f>IF(HF$2=InputTable[[#This Row],[Delivery Date]],_xlfn.XLOOKUP(HF$1,$BH$2:$BR$2,$BH162:$BR162,0),0)</f>
        <v>#REF!</v>
      </c>
      <c r="HG162" s="26">
        <f>IF(HG$2=InputTable[[#This Row],[Delivery Date]],_xlfn.XLOOKUP(HG$1,$BH$2:$BR$2,$BH162:$BR162,0),0)</f>
        <v>0</v>
      </c>
      <c r="HH162" s="26">
        <f>IF(HH$2=InputTable[[#This Row],[Delivery Date]],_xlfn.XLOOKUP(HH$1,$BH$2:$BR$2,$BH162:$BR162,0),0)</f>
        <v>0</v>
      </c>
      <c r="HI162" s="26">
        <f>IF(HI$2=InputTable[[#This Row],[Delivery Date]],_xlfn.XLOOKUP(HI$1,$BH$2:$BR$2,$BH162:$BR162,0),0)</f>
        <v>0</v>
      </c>
      <c r="HJ162" s="26">
        <f>IF(HJ$2=InputTable[[#This Row],[Delivery Date]],_xlfn.XLOOKUP(HJ$1,$BH$2:$BR$2,$BH162:$BR162,0),0)</f>
        <v>0</v>
      </c>
      <c r="HK162" s="26">
        <f>IF(HK$2=InputTable[[#This Row],[Delivery Date]],_xlfn.XLOOKUP(HK$1,$BH$2:$BR$2,$BH162:$BR162,0),0)</f>
        <v>0</v>
      </c>
      <c r="HL162" s="26">
        <f>IF(HL$2=InputTable[[#This Row],[Delivery Date]],_xlfn.XLOOKUP(HL$1,$BH$2:$BR$2,$BH162:$BR162,0),0)</f>
        <v>0</v>
      </c>
      <c r="HM162" s="26">
        <f>IF(HM$2=InputTable[[#This Row],[Delivery Date]],_xlfn.XLOOKUP(HM$1,$BH$2:$BR$2,$BH162:$BR162,0),0)</f>
        <v>0</v>
      </c>
      <c r="HN162" s="26">
        <f>IF(HN$2=InputTable[[#This Row],[Delivery Date]],_xlfn.XLOOKUP(HN$1,$BH$2:$BR$2,$BH162:$BR162,0),0)</f>
        <v>0</v>
      </c>
      <c r="HP162" s="26" t="e">
        <f>IF(HP$2=InputTable[[#This Row],[Delivery Date]],_xlfn.XLOOKUP(HP$1,$BH$2:$BR$2,$BH162:$BR162,0),0)</f>
        <v>#REF!</v>
      </c>
      <c r="HQ162" s="26">
        <f>IF(HQ$2=InputTable[[#This Row],[Delivery Date]],_xlfn.XLOOKUP(HQ$1,$BH$2:$BR$2,$BH162:$BR162,0),0)</f>
        <v>0</v>
      </c>
      <c r="HR162" s="26">
        <f>IF(HR$2=InputTable[[#This Row],[Delivery Date]],_xlfn.XLOOKUP(HR$1,$BH$2:$BR$2,$BH162:$BR162,0),0)</f>
        <v>0</v>
      </c>
      <c r="HS162" s="26">
        <f>IF(HS$2=InputTable[[#This Row],[Delivery Date]],_xlfn.XLOOKUP(HS$1,$BH$2:$BR$2,$BH162:$BR162,0),0)</f>
        <v>0</v>
      </c>
      <c r="HT162" s="26">
        <f>IF(HT$2=InputTable[[#This Row],[Delivery Date]],_xlfn.XLOOKUP(HT$1,$BH$2:$BR$2,$BH162:$BR162,0),0)</f>
        <v>0</v>
      </c>
      <c r="HU162" s="26">
        <f>IF(HU$2=InputTable[[#This Row],[Delivery Date]],_xlfn.XLOOKUP(HU$1,$BH$2:$BR$2,$BH162:$BR162,0),0)</f>
        <v>0</v>
      </c>
      <c r="HV162" s="26">
        <f>IF(HV$2=InputTable[[#This Row],[Delivery Date]],_xlfn.XLOOKUP(HV$1,$BH$2:$BR$2,$BH162:$BR162,0),0)</f>
        <v>0</v>
      </c>
      <c r="HW162" s="26">
        <f>IF(HW$2=InputTable[[#This Row],[Delivery Date]],_xlfn.XLOOKUP(HW$1,$BH$2:$BR$2,$BH162:$BR162,0),0)</f>
        <v>0</v>
      </c>
      <c r="HX162" s="26">
        <f>IF(HX$2=InputTable[[#This Row],[Delivery Date]],_xlfn.XLOOKUP(HX$1,$BH$2:$BR$2,$BH162:$BR162,0),0)</f>
        <v>0</v>
      </c>
      <c r="HZ162" s="26" t="e">
        <f>IF(HZ$2=InputTable[[#This Row],[Delivery Date]],_xlfn.XLOOKUP(HZ$1,$BH$2:$BR$2,$BH162:$BR162,0),0)</f>
        <v>#REF!</v>
      </c>
      <c r="IA162" s="26">
        <f>IF(IA$2=InputTable[[#This Row],[Delivery Date]],_xlfn.XLOOKUP(IA$1,$BH$2:$BR$2,$BH162:$BR162,0),0)</f>
        <v>0</v>
      </c>
      <c r="IB162" s="26">
        <f>IF(IB$2=InputTable[[#This Row],[Delivery Date]],_xlfn.XLOOKUP(IB$1,$BH$2:$BR$2,$BH162:$BR162,0),0)</f>
        <v>0</v>
      </c>
      <c r="IC162" s="26">
        <f>IF(IC$2=InputTable[[#This Row],[Delivery Date]],_xlfn.XLOOKUP(IC$1,$BH$2:$BR$2,$BH162:$BR162,0),0)</f>
        <v>0</v>
      </c>
      <c r="ID162" s="26">
        <f>IF(ID$2=InputTable[[#This Row],[Delivery Date]],_xlfn.XLOOKUP(ID$1,$BH$2:$BR$2,$BH162:$BR162,0),0)</f>
        <v>0</v>
      </c>
      <c r="IE162" s="26">
        <f>IF(IE$2=InputTable[[#This Row],[Delivery Date]],_xlfn.XLOOKUP(IE$1,$BH$2:$BR$2,$BH162:$BR162,0),0)</f>
        <v>0</v>
      </c>
      <c r="IF162" s="26">
        <f>IF(IF$2=InputTable[[#This Row],[Delivery Date]],_xlfn.XLOOKUP(IF$1,$BH$2:$BR$2,$BH162:$BR162,0),0)</f>
        <v>0</v>
      </c>
      <c r="IG162" s="26">
        <f>IF(IG$2=InputTable[[#This Row],[Delivery Date]],_xlfn.XLOOKUP(IG$1,$BH$2:$BR$2,$BH162:$BR162,0),0)</f>
        <v>0</v>
      </c>
      <c r="IH162" s="26">
        <f>IF(IH$2=InputTable[[#This Row],[Delivery Date]],_xlfn.XLOOKUP(IH$1,$BH$2:$BR$2,$BH162:$BR162,0),0)</f>
        <v>0</v>
      </c>
      <c r="IJ162" s="26" t="e">
        <f>IF(IJ$2=InputTable[[#This Row],[Delivery Date]],_xlfn.XLOOKUP(IJ$1,$BH$2:$BR$2,$BH162:$BR162,0),0)</f>
        <v>#REF!</v>
      </c>
      <c r="IK162" s="26">
        <f>IF(IK$2=InputTable[[#This Row],[Delivery Date]],_xlfn.XLOOKUP(IK$1,$BH$2:$BR$2,$BH162:$BR162,0),0)</f>
        <v>0</v>
      </c>
      <c r="IL162" s="26">
        <f>IF(IL$2=InputTable[[#This Row],[Delivery Date]],_xlfn.XLOOKUP(IL$1,$BH$2:$BR$2,$BH162:$BR162,0),0)</f>
        <v>0</v>
      </c>
      <c r="IM162" s="26">
        <f>IF(IM$2=InputTable[[#This Row],[Delivery Date]],_xlfn.XLOOKUP(IM$1,$BH$2:$BR$2,$BH162:$BR162,0),0)</f>
        <v>0</v>
      </c>
      <c r="IN162" s="26">
        <f>IF(IN$2=InputTable[[#This Row],[Delivery Date]],_xlfn.XLOOKUP(IN$1,$BH$2:$BR$2,$BH162:$BR162,0),0)</f>
        <v>0</v>
      </c>
      <c r="IO162" s="26">
        <f>IF(IO$2=InputTable[[#This Row],[Delivery Date]],_xlfn.XLOOKUP(IO$1,$BH$2:$BR$2,$BH162:$BR162,0),0)</f>
        <v>0</v>
      </c>
      <c r="IP162" s="26">
        <f>IF(IP$2=InputTable[[#This Row],[Delivery Date]],_xlfn.XLOOKUP(IP$1,$BH$2:$BR$2,$BH162:$BR162,0),0)</f>
        <v>0</v>
      </c>
      <c r="IQ162" s="26">
        <f>IF(IQ$2=InputTable[[#This Row],[Delivery Date]],_xlfn.XLOOKUP(IQ$1,$BH$2:$BR$2,$BH162:$BR162,0),0)</f>
        <v>0</v>
      </c>
      <c r="IR162" s="26">
        <f>IF(IR$2=InputTable[[#This Row],[Delivery Date]],_xlfn.XLOOKUP(IR$1,$BH$2:$BR$2,$BH162:$BR162,0),0)</f>
        <v>0</v>
      </c>
      <c r="IT162" s="26" t="e">
        <f>IF(IT$2=InputTable[[#This Row],[Delivery Date]],_xlfn.XLOOKUP(IT$1,$BH$2:$BR$2,$BH162:$BR162,0),0)</f>
        <v>#REF!</v>
      </c>
      <c r="IU162" s="26">
        <f>IF(IU$2=InputTable[[#This Row],[Delivery Date]],_xlfn.XLOOKUP(IU$1,$BH$2:$BR$2,$BH162:$BR162,0),0)</f>
        <v>0</v>
      </c>
      <c r="IV162" s="26">
        <f>IF(IV$2=InputTable[[#This Row],[Delivery Date]],_xlfn.XLOOKUP(IV$1,$BH$2:$BR$2,$BH162:$BR162,0),0)</f>
        <v>0</v>
      </c>
      <c r="IW162" s="26">
        <f>IF(IW$2=InputTable[[#This Row],[Delivery Date]],_xlfn.XLOOKUP(IW$1,$BH$2:$BR$2,$BH162:$BR162,0),0)</f>
        <v>0</v>
      </c>
      <c r="IX162" s="26">
        <f>IF(IX$2=InputTable[[#This Row],[Delivery Date]],_xlfn.XLOOKUP(IX$1,$BH$2:$BR$2,$BH162:$BR162,0),0)</f>
        <v>0</v>
      </c>
      <c r="IY162" s="26">
        <f>IF(IY$2=InputTable[[#This Row],[Delivery Date]],_xlfn.XLOOKUP(IY$1,$BH$2:$BR$2,$BH162:$BR162,0),0)</f>
        <v>0</v>
      </c>
      <c r="IZ162" s="26">
        <f>IF(IZ$2=InputTable[[#This Row],[Delivery Date]],_xlfn.XLOOKUP(IZ$1,$BH$2:$BR$2,$BH162:$BR162,0),0)</f>
        <v>0</v>
      </c>
      <c r="JA162" s="26">
        <f>IF(JA$2=InputTable[[#This Row],[Delivery Date]],_xlfn.XLOOKUP(JA$1,$BH$2:$BR$2,$BH162:$BR162,0),0)</f>
        <v>0</v>
      </c>
      <c r="JB162" s="26">
        <f>IF(JB$2=InputTable[[#This Row],[Delivery Date]],_xlfn.XLOOKUP(JB$1,$BH$2:$BR$2,$BH162:$BR162,0),0)</f>
        <v>0</v>
      </c>
      <c r="JD162" s="26" t="e">
        <f>IF(JD$2=InputTable[[#This Row],[Delivery Date]],_xlfn.XLOOKUP(JD$1,$BH$2:$BR$2,$BH162:$BR162,0),0)</f>
        <v>#REF!</v>
      </c>
      <c r="JE162" s="26">
        <f>IF(JE$2=InputTable[[#This Row],[Delivery Date]],_xlfn.XLOOKUP(JE$1,$BH$2:$BR$2,$BH162:$BR162,0),0)</f>
        <v>0</v>
      </c>
      <c r="JF162" s="26">
        <f>IF(JF$2=InputTable[[#This Row],[Delivery Date]],_xlfn.XLOOKUP(JF$1,$BH$2:$BR$2,$BH162:$BR162,0),0)</f>
        <v>0</v>
      </c>
      <c r="JG162" s="26">
        <f>IF(JG$2=InputTable[[#This Row],[Delivery Date]],_xlfn.XLOOKUP(JG$1,$BH$2:$BR$2,$BH162:$BR162,0),0)</f>
        <v>0</v>
      </c>
      <c r="JH162" s="26">
        <f>IF(JH$2=InputTable[[#This Row],[Delivery Date]],_xlfn.XLOOKUP(JH$1,$BH$2:$BR$2,$BH162:$BR162,0),0)</f>
        <v>0</v>
      </c>
      <c r="JI162" s="26">
        <f>IF(JI$2=InputTable[[#This Row],[Delivery Date]],_xlfn.XLOOKUP(JI$1,$BH$2:$BR$2,$BH162:$BR162,0),0)</f>
        <v>0</v>
      </c>
      <c r="JJ162" s="26">
        <f>IF(JJ$2=InputTable[[#This Row],[Delivery Date]],_xlfn.XLOOKUP(JJ$1,$BH$2:$BR$2,$BH162:$BR162,0),0)</f>
        <v>0</v>
      </c>
      <c r="JK162" s="26">
        <f>IF(JK$2=InputTable[[#This Row],[Delivery Date]],_xlfn.XLOOKUP(JK$1,$BH$2:$BR$2,$BH162:$BR162,0),0)</f>
        <v>0</v>
      </c>
      <c r="JL162" s="26">
        <f>IF(JL$2=InputTable[[#This Row],[Delivery Date]],_xlfn.XLOOKUP(JL$1,$BH$2:$BR$2,$BH162:$BR162,0),0)</f>
        <v>0</v>
      </c>
      <c r="JN162" s="26" t="e">
        <f>IF(JN$2=InputTable[[#This Row],[Delivery Date]],_xlfn.XLOOKUP(JN$1,$BH$2:$BR$2,$BH162:$BR162,0),0)</f>
        <v>#REF!</v>
      </c>
      <c r="JO162" s="26">
        <f>IF(JO$2=InputTable[[#This Row],[Delivery Date]],_xlfn.XLOOKUP(JO$1,$BH$2:$BR$2,$BH162:$BR162,0),0)</f>
        <v>0</v>
      </c>
      <c r="JP162" s="26">
        <f>IF(JP$2=InputTable[[#This Row],[Delivery Date]],_xlfn.XLOOKUP(JP$1,$BH$2:$BR$2,$BH162:$BR162,0),0)</f>
        <v>0</v>
      </c>
      <c r="JQ162" s="26">
        <f>IF(JQ$2=InputTable[[#This Row],[Delivery Date]],_xlfn.XLOOKUP(JQ$1,$BH$2:$BR$2,$BH162:$BR162,0),0)</f>
        <v>0</v>
      </c>
      <c r="JR162" s="26">
        <f>IF(JR$2=InputTable[[#This Row],[Delivery Date]],_xlfn.XLOOKUP(JR$1,$BH$2:$BR$2,$BH162:$BR162,0),0)</f>
        <v>0</v>
      </c>
      <c r="JS162" s="26">
        <f>IF(JS$2=InputTable[[#This Row],[Delivery Date]],_xlfn.XLOOKUP(JS$1,$BH$2:$BR$2,$BH162:$BR162,0),0)</f>
        <v>0</v>
      </c>
      <c r="JT162" s="26">
        <f>IF(JT$2=InputTable[[#This Row],[Delivery Date]],_xlfn.XLOOKUP(JT$1,$BH$2:$BR$2,$BH162:$BR162,0),0)</f>
        <v>0</v>
      </c>
      <c r="JU162" s="26">
        <f>IF(JU$2=InputTable[[#This Row],[Delivery Date]],_xlfn.XLOOKUP(JU$1,$BH$2:$BR$2,$BH162:$BR162,0),0)</f>
        <v>0</v>
      </c>
      <c r="JV162" s="26">
        <f>IF(JV$2=InputTable[[#This Row],[Delivery Date]],_xlfn.XLOOKUP(JV$1,$BH$2:$BR$2,$BH162:$BR162,0),0)</f>
        <v>0</v>
      </c>
      <c r="JX162" s="26" t="e">
        <f>IF(JX$2=InputTable[[#This Row],[Delivery Date]],_xlfn.XLOOKUP(JX$1,$BH$2:$BR$2,$BH162:$BR162,0),0)</f>
        <v>#REF!</v>
      </c>
      <c r="JY162" s="26">
        <f>IF(JY$2=InputTable[[#This Row],[Delivery Date]],_xlfn.XLOOKUP(JY$1,$BH$2:$BR$2,$BH162:$BR162,0),0)</f>
        <v>0</v>
      </c>
      <c r="JZ162" s="26">
        <f>IF(JZ$2=InputTable[[#This Row],[Delivery Date]],_xlfn.XLOOKUP(JZ$1,$BH$2:$BR$2,$BH162:$BR162,0),0)</f>
        <v>0</v>
      </c>
      <c r="KA162" s="26">
        <f>IF(KA$2=InputTable[[#This Row],[Delivery Date]],_xlfn.XLOOKUP(KA$1,$BH$2:$BR$2,$BH162:$BR162,0),0)</f>
        <v>0</v>
      </c>
      <c r="KB162" s="26">
        <f>IF(KB$2=InputTable[[#This Row],[Delivery Date]],_xlfn.XLOOKUP(KB$1,$BH$2:$BR$2,$BH162:$BR162,0),0)</f>
        <v>0</v>
      </c>
      <c r="KC162" s="26">
        <f>IF(KC$2=InputTable[[#This Row],[Delivery Date]],_xlfn.XLOOKUP(KC$1,$BH$2:$BR$2,$BH162:$BR162,0),0)</f>
        <v>0</v>
      </c>
      <c r="KD162" s="26">
        <f>IF(KD$2=InputTable[[#This Row],[Delivery Date]],_xlfn.XLOOKUP(KD$1,$BH$2:$BR$2,$BH162:$BR162,0),0)</f>
        <v>0</v>
      </c>
      <c r="KE162" s="26">
        <f>IF(KE$2=InputTable[[#This Row],[Delivery Date]],_xlfn.XLOOKUP(KE$1,$BH$2:$BR$2,$BH162:$BR162,0),0)</f>
        <v>0</v>
      </c>
      <c r="KF162" s="26">
        <f>IF(KF$2=InputTable[[#This Row],[Delivery Date]],_xlfn.XLOOKUP(KF$1,$BH$2:$BR$2,$BH162:$BR162,0),0)</f>
        <v>0</v>
      </c>
    </row>
    <row r="163" spans="1:292" ht="34.799999999999997" x14ac:dyDescent="0.25">
      <c r="A163" s="141"/>
      <c r="B163" s="119"/>
      <c r="C163" s="92"/>
      <c r="D163" s="92"/>
      <c r="E163" s="93"/>
      <c r="F163" s="92"/>
      <c r="G163" s="92"/>
      <c r="H163" s="92"/>
      <c r="I163" s="92"/>
      <c r="J163" s="122"/>
      <c r="K163" s="95" t="e">
        <f>VLOOKUP((InputTable[[#This Row],[Starting Date]]&amp; " - " &amp;InputTable[[#This Row],[Delivery Date]]),'System List'!$F$40:$H$83,2,FALSE)</f>
        <v>#N/A</v>
      </c>
      <c r="L163" s="95" t="e">
        <f>VLOOKUP(InputTable[[#This Row],[Duration]],Duration,2,FALSE)</f>
        <v>#N/A</v>
      </c>
      <c r="M163" s="122"/>
      <c r="N163" s="92"/>
      <c r="O163" s="92"/>
      <c r="P163" s="92"/>
      <c r="Q163" s="92"/>
      <c r="R163" s="92"/>
      <c r="S163" s="92"/>
      <c r="T163" s="95"/>
      <c r="U163" s="138"/>
      <c r="V163" s="92"/>
      <c r="W163" s="92"/>
      <c r="X163" s="92"/>
      <c r="Y163" s="92"/>
      <c r="Z163" s="92"/>
      <c r="AA163" s="92"/>
      <c r="AB163" s="92"/>
      <c r="AC163" s="92"/>
      <c r="AD163" s="92">
        <f>COUNTA(InputTable[[#This Row],[CORPHRFIN]:[SALES]])</f>
        <v>0</v>
      </c>
      <c r="AE163" s="88" cm="1">
        <f t="array" ref="AE163">SUM(
_xlfn.XLOOKUP(InputTable[[#This Row],[CORPHRFIN]:[SALES]],'System List'!$F$4:$F$7,'System List'!$H$4:$H$7,0))</f>
        <v>0</v>
      </c>
      <c r="AF163" s="140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88" cm="1">
        <f t="array" ref="AR163">SUM(
_xlfn.XLOOKUP(InputTable[[#This Row],[Impact on - CIAL]:[Impact on - STRAT]],'System List'!$F$4:$F$7,'System List'!$H$4:$H$7,0))</f>
        <v>0</v>
      </c>
      <c r="AS163" s="88" t="e">
        <f>VLOOKUP(InputTable[[#This Row],[Duration]],Duration,2,FALSE)+InputTable[[#This Row],[Resource Score]]</f>
        <v>#N/A</v>
      </c>
      <c r="AT16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3" s="69" t="e">
        <f>InputTable[[#This Row],[Value Score]]/InputTable[[#This Row],[EFFORT SCORE]]*100</f>
        <v>#N/A</v>
      </c>
      <c r="AV163" s="25" t="s">
        <v>454</v>
      </c>
      <c r="AW163" s="25"/>
      <c r="AX163" s="208"/>
      <c r="AY163" s="25"/>
      <c r="AZ163" s="189">
        <v>0</v>
      </c>
      <c r="BA163" s="189">
        <v>0</v>
      </c>
      <c r="BB163" s="189"/>
      <c r="BC163" s="189"/>
      <c r="BD163" s="188"/>
      <c r="BE163" s="188"/>
      <c r="BF163" s="70"/>
      <c r="BH163" s="2">
        <f>IFERROR(VLOOKUP(InputTable[[#This Row],[Impact on - CIAL]],'System List'!$F$4:$H$7,3,FALSE),0)</f>
        <v>0</v>
      </c>
      <c r="BI163" s="2">
        <f>IFERROR(VLOOKUP(InputTable[[#This Row],[Impact on - COM]],'System List'!$F$4:$H$7,3,FALSE),0)</f>
        <v>0</v>
      </c>
      <c r="BJ163" s="2">
        <f>IFERROR(VLOOKUP(InputTable[[#This Row],[Impact on - FIN]],'System List'!$F$4:$H$7,3,FALSE),0)</f>
        <v>0</v>
      </c>
      <c r="BK163" s="2">
        <f>IFERROR(VLOOKUP(InputTable[[#This Row],[Impact on - GEN SEC]],'System List'!$F$4:$H$7,3,FALSE),0)</f>
        <v>0</v>
      </c>
      <c r="BL163" s="2">
        <f>IFERROR(VLOOKUP(InputTable[[#This Row],[Impact on - HR]],'System List'!$F$4:$H$7,3,FALSE),0)</f>
        <v>0</v>
      </c>
      <c r="BM163" s="2">
        <f>IFERROR(VLOOKUP(InputTable[[#This Row],[Impact on - IS]],'System List'!$F$4:$H$7,3,FALSE),0)</f>
        <v>0</v>
      </c>
      <c r="BN163" s="2">
        <f>IFERROR(VLOOKUP(InputTable[[#This Row],[Impact on - OPS]],'System List'!$F$4:$H$7,3,FALSE),0)</f>
        <v>0</v>
      </c>
      <c r="BO163" s="2">
        <f>IFERROR(VLOOKUP(InputTable[[#This Row],[Impact on - ROLL STOCK]],'System List'!$F$4:$H$7,3,FALSE),0)</f>
        <v>0</v>
      </c>
      <c r="BP163" s="2">
        <f>IFERROR(VLOOKUP(InputTable[[#This Row],[Impact on - SAFETY]],'System List'!$F$4:$H$7,3,FALSE),0)</f>
        <v>0</v>
      </c>
      <c r="BQ163" s="2">
        <f>IFERROR(VLOOKUP(InputTable[[#This Row],[Impact on - STATION]],'System List'!$F$4:$H$7,3,FALSE),0)</f>
        <v>0</v>
      </c>
      <c r="BR163" s="2">
        <f>IFERROR(VLOOKUP(InputTable[[#This Row],[Impact on - STRAT]],'System List'!$F$4:$H$7,3,FALSE),0)</f>
        <v>0</v>
      </c>
      <c r="BT163" s="2">
        <f>IFERROR(VLOOKUP(InputTable[[#This Row],[CORPHRFIN]],'System List'!$F$4:$H$7,3,FALSE),0)</f>
        <v>0</v>
      </c>
      <c r="BU163" s="2">
        <f>IFERROR(VLOOKUP(InputTable[[#This Row],[CUST]],'System List'!$F$4:$H$7,3,FALSE),0)</f>
        <v>0</v>
      </c>
      <c r="BV163" s="2">
        <f>IFERROR(VLOOKUP(InputTable[[#This Row],[CYBER]],'System List'!$F$4:$H$7,3,FALSE),0)</f>
        <v>0</v>
      </c>
      <c r="BW163" s="2">
        <f>IFERROR(VLOOKUP(InputTable[[#This Row],[DATA]],'System List'!$F$4:$H$7,3,FALSE),0)</f>
        <v>0</v>
      </c>
      <c r="BX163" s="2">
        <f>IFERROR(VLOOKUP(InputTable[[#This Row],[INFRA]],'System List'!$F$4:$H$7,3,FALSE),0)</f>
        <v>0</v>
      </c>
      <c r="BY163" s="2">
        <f>IFERROR(VLOOKUP(InputTable[[#This Row],[OPERATIONS]],'System List'!$F$4:$H$7,3,FALSE),0)</f>
        <v>0</v>
      </c>
      <c r="BZ163" s="2">
        <f>IFERROR(VLOOKUP(InputTable[[#This Row],[PMO]],'System List'!$F$4:$H$7,3,FALSE),0)</f>
        <v>0</v>
      </c>
      <c r="CA163" s="2">
        <f>IFERROR(VLOOKUP(InputTable[[#This Row],[SALES]],'System List'!$F$4:$H$7,3,FALSE),0)</f>
        <v>0</v>
      </c>
      <c r="CC163" s="2" cm="1">
        <f t="array" ref="CC16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3" s="2" cm="1">
        <f t="array" ref="CD16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3" s="2" cm="1">
        <f t="array" ref="CE16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3" s="2" cm="1">
        <f t="array" ref="CF16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3" s="2" cm="1">
        <f t="array" ref="CG16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3" s="2" cm="1">
        <f t="array" ref="CH16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3" s="2" cm="1">
        <f t="array" ref="CI16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3" s="2" cm="1">
        <f t="array" ref="CJ16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3" s="2" cm="1">
        <f t="array" ref="CK16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3" s="26">
        <f t="shared" si="379"/>
        <v>0</v>
      </c>
      <c r="CY163" s="26">
        <f t="shared" si="380"/>
        <v>0</v>
      </c>
      <c r="CZ163" s="26">
        <f t="shared" si="381"/>
        <v>0</v>
      </c>
      <c r="DA163" s="26">
        <f t="shared" si="382"/>
        <v>0</v>
      </c>
      <c r="DB163" s="26">
        <f t="shared" si="383"/>
        <v>0</v>
      </c>
      <c r="DC163" s="26">
        <f t="shared" si="384"/>
        <v>0</v>
      </c>
      <c r="DD163" s="26">
        <f t="shared" si="385"/>
        <v>0</v>
      </c>
      <c r="DE163" s="26">
        <f t="shared" si="386"/>
        <v>0</v>
      </c>
      <c r="DF163" s="26">
        <f t="shared" si="387"/>
        <v>0</v>
      </c>
      <c r="DH163" s="26">
        <f t="shared" si="388"/>
        <v>0</v>
      </c>
      <c r="DI163" s="26">
        <f t="shared" si="389"/>
        <v>0</v>
      </c>
      <c r="DJ163" s="26">
        <f t="shared" si="390"/>
        <v>0</v>
      </c>
      <c r="DK163" s="26">
        <f t="shared" si="391"/>
        <v>0</v>
      </c>
      <c r="DL163" s="26">
        <f t="shared" si="392"/>
        <v>0</v>
      </c>
      <c r="DM163" s="26">
        <f t="shared" si="393"/>
        <v>0</v>
      </c>
      <c r="DN163" s="26">
        <f t="shared" si="394"/>
        <v>0</v>
      </c>
      <c r="DO163" s="26">
        <f t="shared" si="395"/>
        <v>0</v>
      </c>
      <c r="DP163" s="26">
        <f t="shared" si="396"/>
        <v>0</v>
      </c>
      <c r="DR163" s="26">
        <f t="shared" si="397"/>
        <v>0</v>
      </c>
      <c r="DS163" s="26">
        <f t="shared" si="398"/>
        <v>0</v>
      </c>
      <c r="DT163" s="26">
        <f t="shared" si="399"/>
        <v>0</v>
      </c>
      <c r="DU163" s="26">
        <f t="shared" si="400"/>
        <v>0</v>
      </c>
      <c r="DV163" s="26">
        <f t="shared" si="401"/>
        <v>0</v>
      </c>
      <c r="DW163" s="26">
        <f t="shared" si="402"/>
        <v>0</v>
      </c>
      <c r="DX163" s="26">
        <f t="shared" si="403"/>
        <v>0</v>
      </c>
      <c r="DY163" s="26">
        <f t="shared" si="404"/>
        <v>0</v>
      </c>
      <c r="DZ163" s="26">
        <f t="shared" si="405"/>
        <v>0</v>
      </c>
      <c r="EB163" s="26">
        <f t="shared" si="406"/>
        <v>0</v>
      </c>
      <c r="EC163" s="26">
        <f t="shared" si="407"/>
        <v>0</v>
      </c>
      <c r="ED163" s="26">
        <f t="shared" si="408"/>
        <v>0</v>
      </c>
      <c r="EE163" s="26">
        <f t="shared" si="409"/>
        <v>0</v>
      </c>
      <c r="EF163" s="26">
        <f t="shared" si="410"/>
        <v>0</v>
      </c>
      <c r="EG163" s="26">
        <f t="shared" si="411"/>
        <v>0</v>
      </c>
      <c r="EH163" s="26">
        <f t="shared" si="412"/>
        <v>0</v>
      </c>
      <c r="EI163" s="26">
        <f t="shared" si="413"/>
        <v>0</v>
      </c>
      <c r="EJ163" s="26">
        <f t="shared" si="414"/>
        <v>0</v>
      </c>
      <c r="EL163" s="26">
        <f t="shared" si="415"/>
        <v>0</v>
      </c>
      <c r="EM163" s="26">
        <f t="shared" si="416"/>
        <v>0</v>
      </c>
      <c r="EN163" s="26">
        <f t="shared" si="417"/>
        <v>0</v>
      </c>
      <c r="EO163" s="26">
        <f t="shared" si="418"/>
        <v>0</v>
      </c>
      <c r="EP163" s="26">
        <f t="shared" si="419"/>
        <v>0</v>
      </c>
      <c r="EQ163" s="26">
        <f t="shared" si="420"/>
        <v>0</v>
      </c>
      <c r="ER163" s="26">
        <f t="shared" si="421"/>
        <v>0</v>
      </c>
      <c r="ES163" s="26">
        <f t="shared" si="422"/>
        <v>0</v>
      </c>
      <c r="ET163" s="26">
        <f t="shared" si="423"/>
        <v>0</v>
      </c>
      <c r="EV163" s="26">
        <f t="shared" si="424"/>
        <v>0</v>
      </c>
      <c r="EW163" s="26">
        <f t="shared" si="425"/>
        <v>0</v>
      </c>
      <c r="EX163" s="26">
        <f t="shared" si="426"/>
        <v>0</v>
      </c>
      <c r="EY163" s="26">
        <f t="shared" si="427"/>
        <v>0</v>
      </c>
      <c r="EZ163" s="26">
        <f t="shared" si="428"/>
        <v>0</v>
      </c>
      <c r="FA163" s="26">
        <f t="shared" si="429"/>
        <v>0</v>
      </c>
      <c r="FB163" s="26">
        <f t="shared" si="430"/>
        <v>0</v>
      </c>
      <c r="FC163" s="26">
        <f t="shared" si="431"/>
        <v>0</v>
      </c>
      <c r="FD163" s="26">
        <f t="shared" si="432"/>
        <v>0</v>
      </c>
      <c r="FF163" s="26">
        <f t="shared" si="433"/>
        <v>0</v>
      </c>
      <c r="FG163" s="26">
        <f t="shared" si="434"/>
        <v>0</v>
      </c>
      <c r="FH163" s="26">
        <f t="shared" si="435"/>
        <v>0</v>
      </c>
      <c r="FI163" s="26">
        <f t="shared" si="436"/>
        <v>0</v>
      </c>
      <c r="FJ163" s="26">
        <f t="shared" si="437"/>
        <v>0</v>
      </c>
      <c r="FK163" s="26">
        <f t="shared" si="438"/>
        <v>0</v>
      </c>
      <c r="FL163" s="26">
        <f t="shared" si="439"/>
        <v>0</v>
      </c>
      <c r="FM163" s="26">
        <f t="shared" si="440"/>
        <v>0</v>
      </c>
      <c r="FN163" s="26">
        <f t="shared" si="441"/>
        <v>0</v>
      </c>
      <c r="FP163" s="26" t="e">
        <f t="shared" si="442"/>
        <v>#REF!</v>
      </c>
      <c r="FQ163" s="26" t="e">
        <f t="shared" si="443"/>
        <v>#REF!</v>
      </c>
      <c r="FR163" s="26" t="e">
        <f t="shared" si="444"/>
        <v>#REF!</v>
      </c>
      <c r="FS163" s="26" t="e">
        <f t="shared" si="445"/>
        <v>#REF!</v>
      </c>
      <c r="FT163" s="26" t="e">
        <f t="shared" si="446"/>
        <v>#REF!</v>
      </c>
      <c r="FU163" s="26" t="e">
        <f t="shared" si="447"/>
        <v>#REF!</v>
      </c>
      <c r="FV163" s="26" t="e">
        <f t="shared" si="448"/>
        <v>#REF!</v>
      </c>
      <c r="FW163" s="26" t="e">
        <f t="shared" si="449"/>
        <v>#REF!</v>
      </c>
      <c r="FX163" s="26" t="e">
        <f t="shared" si="450"/>
        <v>#REF!</v>
      </c>
      <c r="GB163" s="26" t="e">
        <f>IF(GB$2=InputTable[[#This Row],[Delivery Date]],_xlfn.XLOOKUP(GB$1,$BH$2:$BR$2,$BH163:$BR163,0),0)</f>
        <v>#REF!</v>
      </c>
      <c r="GC163" s="26">
        <f>IF(GC$2=InputTable[[#This Row],[Delivery Date]],_xlfn.XLOOKUP(GC$1,$BH$2:$BR$2,$BH163:$BR163,0),0)</f>
        <v>0</v>
      </c>
      <c r="GD163" s="26">
        <f>IF(GD$2=InputTable[[#This Row],[Delivery Date]],_xlfn.XLOOKUP(GD$1,$BH$2:$BR$2,$BH163:$BR163,0),0)</f>
        <v>0</v>
      </c>
      <c r="GE163" s="26">
        <f>IF(GE$2=InputTable[[#This Row],[Delivery Date]],_xlfn.XLOOKUP(GE$1,$BH$2:$BR$2,$BH163:$BR163,0),0)</f>
        <v>0</v>
      </c>
      <c r="GF163" s="26">
        <f>IF(GF$2=InputTable[[#This Row],[Delivery Date]],_xlfn.XLOOKUP(GF$1,$BH$2:$BR$2,$BH163:$BR163,0),0)</f>
        <v>0</v>
      </c>
      <c r="GG163" s="26">
        <f>IF(GG$2=InputTable[[#This Row],[Delivery Date]],_xlfn.XLOOKUP(GG$1,$BH$2:$BR$2,$BH163:$BR163,0),0)</f>
        <v>0</v>
      </c>
      <c r="GH163" s="26">
        <f>IF(GH$2=InputTable[[#This Row],[Delivery Date]],_xlfn.XLOOKUP(GH$1,$BH$2:$BR$2,$BH163:$BR163,0),0)</f>
        <v>0</v>
      </c>
      <c r="GI163" s="26">
        <f>IF(GI$2=InputTable[[#This Row],[Delivery Date]],_xlfn.XLOOKUP(GI$1,$BH$2:$BR$2,$BH163:$BR163,0),0)</f>
        <v>0</v>
      </c>
      <c r="GJ163" s="26">
        <f>IF(GJ$2=InputTable[[#This Row],[Delivery Date]],_xlfn.XLOOKUP(GJ$1,$BH$2:$BR$2,$BH163:$BR163,0),0)</f>
        <v>0</v>
      </c>
      <c r="GL163" s="26" t="e">
        <f>IF(GL$2=InputTable[[#This Row],[Delivery Date]],_xlfn.XLOOKUP(GL$1,$BH$2:$BR$2,$BH163:$BR163,0),0)</f>
        <v>#REF!</v>
      </c>
      <c r="GM163" s="26">
        <f>IF(GM$2=InputTable[[#This Row],[Delivery Date]],_xlfn.XLOOKUP(GM$1,$BH$2:$BR$2,$BH163:$BR163,0),0)</f>
        <v>0</v>
      </c>
      <c r="GN163" s="26">
        <f>IF(GN$2=InputTable[[#This Row],[Delivery Date]],_xlfn.XLOOKUP(GN$1,$BH$2:$BR$2,$BH163:$BR163,0),0)</f>
        <v>0</v>
      </c>
      <c r="GO163" s="26">
        <f>IF(GO$2=InputTable[[#This Row],[Delivery Date]],_xlfn.XLOOKUP(GO$1,$BH$2:$BR$2,$BH163:$BR163,0),0)</f>
        <v>0</v>
      </c>
      <c r="GP163" s="26">
        <f>IF(GP$2=InputTable[[#This Row],[Delivery Date]],_xlfn.XLOOKUP(GP$1,$BH$2:$BR$2,$BH163:$BR163,0),0)</f>
        <v>0</v>
      </c>
      <c r="GQ163" s="26">
        <f>IF(GQ$2=InputTable[[#This Row],[Delivery Date]],_xlfn.XLOOKUP(GQ$1,$BH$2:$BR$2,$BH163:$BR163,0),0)</f>
        <v>0</v>
      </c>
      <c r="GR163" s="26">
        <f>IF(GR$2=InputTable[[#This Row],[Delivery Date]],_xlfn.XLOOKUP(GR$1,$BH$2:$BR$2,$BH163:$BR163,0),0)</f>
        <v>0</v>
      </c>
      <c r="GS163" s="26">
        <f>IF(GS$2=InputTable[[#This Row],[Delivery Date]],_xlfn.XLOOKUP(GS$1,$BH$2:$BR$2,$BH163:$BR163,0),0)</f>
        <v>0</v>
      </c>
      <c r="GT163" s="26">
        <f>IF(GT$2=InputTable[[#This Row],[Delivery Date]],_xlfn.XLOOKUP(GT$1,$BH$2:$BR$2,$BH163:$BR163,0),0)</f>
        <v>0</v>
      </c>
      <c r="GV163" s="26" t="e">
        <f>IF(GV$2=InputTable[[#This Row],[Delivery Date]],_xlfn.XLOOKUP(GV$1,$BH$2:$BR$2,$BH163:$BR163,0),0)</f>
        <v>#REF!</v>
      </c>
      <c r="GW163" s="26">
        <f>IF(GW$2=InputTable[[#This Row],[Delivery Date]],_xlfn.XLOOKUP(GW$1,$BH$2:$BR$2,$BH163:$BR163,0),0)</f>
        <v>0</v>
      </c>
      <c r="GX163" s="26">
        <f>IF(GX$2=InputTable[[#This Row],[Delivery Date]],_xlfn.XLOOKUP(GX$1,$BH$2:$BR$2,$BH163:$BR163,0),0)</f>
        <v>0</v>
      </c>
      <c r="GY163" s="26">
        <f>IF(GY$2=InputTable[[#This Row],[Delivery Date]],_xlfn.XLOOKUP(GY$1,$BH$2:$BR$2,$BH163:$BR163,0),0)</f>
        <v>0</v>
      </c>
      <c r="GZ163" s="26">
        <f>IF(GZ$2=InputTable[[#This Row],[Delivery Date]],_xlfn.XLOOKUP(GZ$1,$BH$2:$BR$2,$BH163:$BR163,0),0)</f>
        <v>0</v>
      </c>
      <c r="HA163" s="26">
        <f>IF(HA$2=InputTable[[#This Row],[Delivery Date]],_xlfn.XLOOKUP(HA$1,$BH$2:$BR$2,$BH163:$BR163,0),0)</f>
        <v>0</v>
      </c>
      <c r="HB163" s="26">
        <f>IF(HB$2=InputTable[[#This Row],[Delivery Date]],_xlfn.XLOOKUP(HB$1,$BH$2:$BR$2,$BH163:$BR163,0),0)</f>
        <v>0</v>
      </c>
      <c r="HC163" s="26">
        <f>IF(HC$2=InputTable[[#This Row],[Delivery Date]],_xlfn.XLOOKUP(HC$1,$BH$2:$BR$2,$BH163:$BR163,0),0)</f>
        <v>0</v>
      </c>
      <c r="HD163" s="26">
        <f>IF(HD$2=InputTable[[#This Row],[Delivery Date]],_xlfn.XLOOKUP(HD$1,$BH$2:$BR$2,$BH163:$BR163,0),0)</f>
        <v>0</v>
      </c>
      <c r="HF163" s="26" t="e">
        <f>IF(HF$2=InputTable[[#This Row],[Delivery Date]],_xlfn.XLOOKUP(HF$1,$BH$2:$BR$2,$BH163:$BR163,0),0)</f>
        <v>#REF!</v>
      </c>
      <c r="HG163" s="26">
        <f>IF(HG$2=InputTable[[#This Row],[Delivery Date]],_xlfn.XLOOKUP(HG$1,$BH$2:$BR$2,$BH163:$BR163,0),0)</f>
        <v>0</v>
      </c>
      <c r="HH163" s="26">
        <f>IF(HH$2=InputTable[[#This Row],[Delivery Date]],_xlfn.XLOOKUP(HH$1,$BH$2:$BR$2,$BH163:$BR163,0),0)</f>
        <v>0</v>
      </c>
      <c r="HI163" s="26">
        <f>IF(HI$2=InputTable[[#This Row],[Delivery Date]],_xlfn.XLOOKUP(HI$1,$BH$2:$BR$2,$BH163:$BR163,0),0)</f>
        <v>0</v>
      </c>
      <c r="HJ163" s="26">
        <f>IF(HJ$2=InputTable[[#This Row],[Delivery Date]],_xlfn.XLOOKUP(HJ$1,$BH$2:$BR$2,$BH163:$BR163,0),0)</f>
        <v>0</v>
      </c>
      <c r="HK163" s="26">
        <f>IF(HK$2=InputTable[[#This Row],[Delivery Date]],_xlfn.XLOOKUP(HK$1,$BH$2:$BR$2,$BH163:$BR163,0),0)</f>
        <v>0</v>
      </c>
      <c r="HL163" s="26">
        <f>IF(HL$2=InputTable[[#This Row],[Delivery Date]],_xlfn.XLOOKUP(HL$1,$BH$2:$BR$2,$BH163:$BR163,0),0)</f>
        <v>0</v>
      </c>
      <c r="HM163" s="26">
        <f>IF(HM$2=InputTable[[#This Row],[Delivery Date]],_xlfn.XLOOKUP(HM$1,$BH$2:$BR$2,$BH163:$BR163,0),0)</f>
        <v>0</v>
      </c>
      <c r="HN163" s="26">
        <f>IF(HN$2=InputTable[[#This Row],[Delivery Date]],_xlfn.XLOOKUP(HN$1,$BH$2:$BR$2,$BH163:$BR163,0),0)</f>
        <v>0</v>
      </c>
      <c r="HP163" s="26" t="e">
        <f>IF(HP$2=InputTable[[#This Row],[Delivery Date]],_xlfn.XLOOKUP(HP$1,$BH$2:$BR$2,$BH163:$BR163,0),0)</f>
        <v>#REF!</v>
      </c>
      <c r="HQ163" s="26">
        <f>IF(HQ$2=InputTable[[#This Row],[Delivery Date]],_xlfn.XLOOKUP(HQ$1,$BH$2:$BR$2,$BH163:$BR163,0),0)</f>
        <v>0</v>
      </c>
      <c r="HR163" s="26">
        <f>IF(HR$2=InputTable[[#This Row],[Delivery Date]],_xlfn.XLOOKUP(HR$1,$BH$2:$BR$2,$BH163:$BR163,0),0)</f>
        <v>0</v>
      </c>
      <c r="HS163" s="26">
        <f>IF(HS$2=InputTable[[#This Row],[Delivery Date]],_xlfn.XLOOKUP(HS$1,$BH$2:$BR$2,$BH163:$BR163,0),0)</f>
        <v>0</v>
      </c>
      <c r="HT163" s="26">
        <f>IF(HT$2=InputTable[[#This Row],[Delivery Date]],_xlfn.XLOOKUP(HT$1,$BH$2:$BR$2,$BH163:$BR163,0),0)</f>
        <v>0</v>
      </c>
      <c r="HU163" s="26">
        <f>IF(HU$2=InputTable[[#This Row],[Delivery Date]],_xlfn.XLOOKUP(HU$1,$BH$2:$BR$2,$BH163:$BR163,0),0)</f>
        <v>0</v>
      </c>
      <c r="HV163" s="26">
        <f>IF(HV$2=InputTable[[#This Row],[Delivery Date]],_xlfn.XLOOKUP(HV$1,$BH$2:$BR$2,$BH163:$BR163,0),0)</f>
        <v>0</v>
      </c>
      <c r="HW163" s="26">
        <f>IF(HW$2=InputTable[[#This Row],[Delivery Date]],_xlfn.XLOOKUP(HW$1,$BH$2:$BR$2,$BH163:$BR163,0),0)</f>
        <v>0</v>
      </c>
      <c r="HX163" s="26">
        <f>IF(HX$2=InputTable[[#This Row],[Delivery Date]],_xlfn.XLOOKUP(HX$1,$BH$2:$BR$2,$BH163:$BR163,0),0)</f>
        <v>0</v>
      </c>
      <c r="HZ163" s="26" t="e">
        <f>IF(HZ$2=InputTable[[#This Row],[Delivery Date]],_xlfn.XLOOKUP(HZ$1,$BH$2:$BR$2,$BH163:$BR163,0),0)</f>
        <v>#REF!</v>
      </c>
      <c r="IA163" s="26">
        <f>IF(IA$2=InputTable[[#This Row],[Delivery Date]],_xlfn.XLOOKUP(IA$1,$BH$2:$BR$2,$BH163:$BR163,0),0)</f>
        <v>0</v>
      </c>
      <c r="IB163" s="26">
        <f>IF(IB$2=InputTable[[#This Row],[Delivery Date]],_xlfn.XLOOKUP(IB$1,$BH$2:$BR$2,$BH163:$BR163,0),0)</f>
        <v>0</v>
      </c>
      <c r="IC163" s="26">
        <f>IF(IC$2=InputTable[[#This Row],[Delivery Date]],_xlfn.XLOOKUP(IC$1,$BH$2:$BR$2,$BH163:$BR163,0),0)</f>
        <v>0</v>
      </c>
      <c r="ID163" s="26">
        <f>IF(ID$2=InputTable[[#This Row],[Delivery Date]],_xlfn.XLOOKUP(ID$1,$BH$2:$BR$2,$BH163:$BR163,0),0)</f>
        <v>0</v>
      </c>
      <c r="IE163" s="26">
        <f>IF(IE$2=InputTable[[#This Row],[Delivery Date]],_xlfn.XLOOKUP(IE$1,$BH$2:$BR$2,$BH163:$BR163,0),0)</f>
        <v>0</v>
      </c>
      <c r="IF163" s="26">
        <f>IF(IF$2=InputTable[[#This Row],[Delivery Date]],_xlfn.XLOOKUP(IF$1,$BH$2:$BR$2,$BH163:$BR163,0),0)</f>
        <v>0</v>
      </c>
      <c r="IG163" s="26">
        <f>IF(IG$2=InputTable[[#This Row],[Delivery Date]],_xlfn.XLOOKUP(IG$1,$BH$2:$BR$2,$BH163:$BR163,0),0)</f>
        <v>0</v>
      </c>
      <c r="IH163" s="26">
        <f>IF(IH$2=InputTable[[#This Row],[Delivery Date]],_xlfn.XLOOKUP(IH$1,$BH$2:$BR$2,$BH163:$BR163,0),0)</f>
        <v>0</v>
      </c>
      <c r="IJ163" s="26" t="e">
        <f>IF(IJ$2=InputTable[[#This Row],[Delivery Date]],_xlfn.XLOOKUP(IJ$1,$BH$2:$BR$2,$BH163:$BR163,0),0)</f>
        <v>#REF!</v>
      </c>
      <c r="IK163" s="26">
        <f>IF(IK$2=InputTable[[#This Row],[Delivery Date]],_xlfn.XLOOKUP(IK$1,$BH$2:$BR$2,$BH163:$BR163,0),0)</f>
        <v>0</v>
      </c>
      <c r="IL163" s="26">
        <f>IF(IL$2=InputTable[[#This Row],[Delivery Date]],_xlfn.XLOOKUP(IL$1,$BH$2:$BR$2,$BH163:$BR163,0),0)</f>
        <v>0</v>
      </c>
      <c r="IM163" s="26">
        <f>IF(IM$2=InputTable[[#This Row],[Delivery Date]],_xlfn.XLOOKUP(IM$1,$BH$2:$BR$2,$BH163:$BR163,0),0)</f>
        <v>0</v>
      </c>
      <c r="IN163" s="26">
        <f>IF(IN$2=InputTable[[#This Row],[Delivery Date]],_xlfn.XLOOKUP(IN$1,$BH$2:$BR$2,$BH163:$BR163,0),0)</f>
        <v>0</v>
      </c>
      <c r="IO163" s="26">
        <f>IF(IO$2=InputTable[[#This Row],[Delivery Date]],_xlfn.XLOOKUP(IO$1,$BH$2:$BR$2,$BH163:$BR163,0),0)</f>
        <v>0</v>
      </c>
      <c r="IP163" s="26">
        <f>IF(IP$2=InputTable[[#This Row],[Delivery Date]],_xlfn.XLOOKUP(IP$1,$BH$2:$BR$2,$BH163:$BR163,0),0)</f>
        <v>0</v>
      </c>
      <c r="IQ163" s="26">
        <f>IF(IQ$2=InputTable[[#This Row],[Delivery Date]],_xlfn.XLOOKUP(IQ$1,$BH$2:$BR$2,$BH163:$BR163,0),0)</f>
        <v>0</v>
      </c>
      <c r="IR163" s="26">
        <f>IF(IR$2=InputTable[[#This Row],[Delivery Date]],_xlfn.XLOOKUP(IR$1,$BH$2:$BR$2,$BH163:$BR163,0),0)</f>
        <v>0</v>
      </c>
      <c r="IT163" s="26" t="e">
        <f>IF(IT$2=InputTable[[#This Row],[Delivery Date]],_xlfn.XLOOKUP(IT$1,$BH$2:$BR$2,$BH163:$BR163,0),0)</f>
        <v>#REF!</v>
      </c>
      <c r="IU163" s="26">
        <f>IF(IU$2=InputTable[[#This Row],[Delivery Date]],_xlfn.XLOOKUP(IU$1,$BH$2:$BR$2,$BH163:$BR163,0),0)</f>
        <v>0</v>
      </c>
      <c r="IV163" s="26">
        <f>IF(IV$2=InputTable[[#This Row],[Delivery Date]],_xlfn.XLOOKUP(IV$1,$BH$2:$BR$2,$BH163:$BR163,0),0)</f>
        <v>0</v>
      </c>
      <c r="IW163" s="26">
        <f>IF(IW$2=InputTable[[#This Row],[Delivery Date]],_xlfn.XLOOKUP(IW$1,$BH$2:$BR$2,$BH163:$BR163,0),0)</f>
        <v>0</v>
      </c>
      <c r="IX163" s="26">
        <f>IF(IX$2=InputTable[[#This Row],[Delivery Date]],_xlfn.XLOOKUP(IX$1,$BH$2:$BR$2,$BH163:$BR163,0),0)</f>
        <v>0</v>
      </c>
      <c r="IY163" s="26">
        <f>IF(IY$2=InputTable[[#This Row],[Delivery Date]],_xlfn.XLOOKUP(IY$1,$BH$2:$BR$2,$BH163:$BR163,0),0)</f>
        <v>0</v>
      </c>
      <c r="IZ163" s="26">
        <f>IF(IZ$2=InputTable[[#This Row],[Delivery Date]],_xlfn.XLOOKUP(IZ$1,$BH$2:$BR$2,$BH163:$BR163,0),0)</f>
        <v>0</v>
      </c>
      <c r="JA163" s="26">
        <f>IF(JA$2=InputTable[[#This Row],[Delivery Date]],_xlfn.XLOOKUP(JA$1,$BH$2:$BR$2,$BH163:$BR163,0),0)</f>
        <v>0</v>
      </c>
      <c r="JB163" s="26">
        <f>IF(JB$2=InputTable[[#This Row],[Delivery Date]],_xlfn.XLOOKUP(JB$1,$BH$2:$BR$2,$BH163:$BR163,0),0)</f>
        <v>0</v>
      </c>
      <c r="JD163" s="26" t="e">
        <f>IF(JD$2=InputTable[[#This Row],[Delivery Date]],_xlfn.XLOOKUP(JD$1,$BH$2:$BR$2,$BH163:$BR163,0),0)</f>
        <v>#REF!</v>
      </c>
      <c r="JE163" s="26">
        <f>IF(JE$2=InputTable[[#This Row],[Delivery Date]],_xlfn.XLOOKUP(JE$1,$BH$2:$BR$2,$BH163:$BR163,0),0)</f>
        <v>0</v>
      </c>
      <c r="JF163" s="26">
        <f>IF(JF$2=InputTable[[#This Row],[Delivery Date]],_xlfn.XLOOKUP(JF$1,$BH$2:$BR$2,$BH163:$BR163,0),0)</f>
        <v>0</v>
      </c>
      <c r="JG163" s="26">
        <f>IF(JG$2=InputTable[[#This Row],[Delivery Date]],_xlfn.XLOOKUP(JG$1,$BH$2:$BR$2,$BH163:$BR163,0),0)</f>
        <v>0</v>
      </c>
      <c r="JH163" s="26">
        <f>IF(JH$2=InputTable[[#This Row],[Delivery Date]],_xlfn.XLOOKUP(JH$1,$BH$2:$BR$2,$BH163:$BR163,0),0)</f>
        <v>0</v>
      </c>
      <c r="JI163" s="26">
        <f>IF(JI$2=InputTable[[#This Row],[Delivery Date]],_xlfn.XLOOKUP(JI$1,$BH$2:$BR$2,$BH163:$BR163,0),0)</f>
        <v>0</v>
      </c>
      <c r="JJ163" s="26">
        <f>IF(JJ$2=InputTable[[#This Row],[Delivery Date]],_xlfn.XLOOKUP(JJ$1,$BH$2:$BR$2,$BH163:$BR163,0),0)</f>
        <v>0</v>
      </c>
      <c r="JK163" s="26">
        <f>IF(JK$2=InputTable[[#This Row],[Delivery Date]],_xlfn.XLOOKUP(JK$1,$BH$2:$BR$2,$BH163:$BR163,0),0)</f>
        <v>0</v>
      </c>
      <c r="JL163" s="26">
        <f>IF(JL$2=InputTable[[#This Row],[Delivery Date]],_xlfn.XLOOKUP(JL$1,$BH$2:$BR$2,$BH163:$BR163,0),0)</f>
        <v>0</v>
      </c>
      <c r="JN163" s="26" t="e">
        <f>IF(JN$2=InputTable[[#This Row],[Delivery Date]],_xlfn.XLOOKUP(JN$1,$BH$2:$BR$2,$BH163:$BR163,0),0)</f>
        <v>#REF!</v>
      </c>
      <c r="JO163" s="26">
        <f>IF(JO$2=InputTable[[#This Row],[Delivery Date]],_xlfn.XLOOKUP(JO$1,$BH$2:$BR$2,$BH163:$BR163,0),0)</f>
        <v>0</v>
      </c>
      <c r="JP163" s="26">
        <f>IF(JP$2=InputTable[[#This Row],[Delivery Date]],_xlfn.XLOOKUP(JP$1,$BH$2:$BR$2,$BH163:$BR163,0),0)</f>
        <v>0</v>
      </c>
      <c r="JQ163" s="26">
        <f>IF(JQ$2=InputTable[[#This Row],[Delivery Date]],_xlfn.XLOOKUP(JQ$1,$BH$2:$BR$2,$BH163:$BR163,0),0)</f>
        <v>0</v>
      </c>
      <c r="JR163" s="26">
        <f>IF(JR$2=InputTable[[#This Row],[Delivery Date]],_xlfn.XLOOKUP(JR$1,$BH$2:$BR$2,$BH163:$BR163,0),0)</f>
        <v>0</v>
      </c>
      <c r="JS163" s="26">
        <f>IF(JS$2=InputTable[[#This Row],[Delivery Date]],_xlfn.XLOOKUP(JS$1,$BH$2:$BR$2,$BH163:$BR163,0),0)</f>
        <v>0</v>
      </c>
      <c r="JT163" s="26">
        <f>IF(JT$2=InputTable[[#This Row],[Delivery Date]],_xlfn.XLOOKUP(JT$1,$BH$2:$BR$2,$BH163:$BR163,0),0)</f>
        <v>0</v>
      </c>
      <c r="JU163" s="26">
        <f>IF(JU$2=InputTable[[#This Row],[Delivery Date]],_xlfn.XLOOKUP(JU$1,$BH$2:$BR$2,$BH163:$BR163,0),0)</f>
        <v>0</v>
      </c>
      <c r="JV163" s="26">
        <f>IF(JV$2=InputTable[[#This Row],[Delivery Date]],_xlfn.XLOOKUP(JV$1,$BH$2:$BR$2,$BH163:$BR163,0),0)</f>
        <v>0</v>
      </c>
      <c r="JX163" s="26" t="e">
        <f>IF(JX$2=InputTable[[#This Row],[Delivery Date]],_xlfn.XLOOKUP(JX$1,$BH$2:$BR$2,$BH163:$BR163,0),0)</f>
        <v>#REF!</v>
      </c>
      <c r="JY163" s="26">
        <f>IF(JY$2=InputTable[[#This Row],[Delivery Date]],_xlfn.XLOOKUP(JY$1,$BH$2:$BR$2,$BH163:$BR163,0),0)</f>
        <v>0</v>
      </c>
      <c r="JZ163" s="26">
        <f>IF(JZ$2=InputTable[[#This Row],[Delivery Date]],_xlfn.XLOOKUP(JZ$1,$BH$2:$BR$2,$BH163:$BR163,0),0)</f>
        <v>0</v>
      </c>
      <c r="KA163" s="26">
        <f>IF(KA$2=InputTable[[#This Row],[Delivery Date]],_xlfn.XLOOKUP(KA$1,$BH$2:$BR$2,$BH163:$BR163,0),0)</f>
        <v>0</v>
      </c>
      <c r="KB163" s="26">
        <f>IF(KB$2=InputTable[[#This Row],[Delivery Date]],_xlfn.XLOOKUP(KB$1,$BH$2:$BR$2,$BH163:$BR163,0),0)</f>
        <v>0</v>
      </c>
      <c r="KC163" s="26">
        <f>IF(KC$2=InputTable[[#This Row],[Delivery Date]],_xlfn.XLOOKUP(KC$1,$BH$2:$BR$2,$BH163:$BR163,0),0)</f>
        <v>0</v>
      </c>
      <c r="KD163" s="26">
        <f>IF(KD$2=InputTable[[#This Row],[Delivery Date]],_xlfn.XLOOKUP(KD$1,$BH$2:$BR$2,$BH163:$BR163,0),0)</f>
        <v>0</v>
      </c>
      <c r="KE163" s="26">
        <f>IF(KE$2=InputTable[[#This Row],[Delivery Date]],_xlfn.XLOOKUP(KE$1,$BH$2:$BR$2,$BH163:$BR163,0),0)</f>
        <v>0</v>
      </c>
      <c r="KF163" s="26">
        <f>IF(KF$2=InputTable[[#This Row],[Delivery Date]],_xlfn.XLOOKUP(KF$1,$BH$2:$BR$2,$BH163:$BR163,0),0)</f>
        <v>0</v>
      </c>
    </row>
    <row r="164" spans="1:292" ht="34.799999999999997" x14ac:dyDescent="0.25">
      <c r="A164" s="141"/>
      <c r="B164" s="119"/>
      <c r="C164" s="92"/>
      <c r="D164" s="92"/>
      <c r="E164" s="93"/>
      <c r="F164" s="92"/>
      <c r="G164" s="92"/>
      <c r="H164" s="92"/>
      <c r="I164" s="92"/>
      <c r="J164" s="122"/>
      <c r="K164" s="95" t="e">
        <f>VLOOKUP((InputTable[[#This Row],[Starting Date]]&amp; " - " &amp;InputTable[[#This Row],[Delivery Date]]),'System List'!$F$40:$H$83,2,FALSE)</f>
        <v>#N/A</v>
      </c>
      <c r="L164" s="95" t="e">
        <f>VLOOKUP(InputTable[[#This Row],[Duration]],Duration,2,FALSE)</f>
        <v>#N/A</v>
      </c>
      <c r="M164" s="122"/>
      <c r="N164" s="92"/>
      <c r="O164" s="92"/>
      <c r="P164" s="92"/>
      <c r="Q164" s="92"/>
      <c r="R164" s="92"/>
      <c r="S164" s="92"/>
      <c r="T164" s="95"/>
      <c r="U164" s="138"/>
      <c r="V164" s="92"/>
      <c r="W164" s="92"/>
      <c r="X164" s="92"/>
      <c r="Y164" s="92"/>
      <c r="Z164" s="92"/>
      <c r="AA164" s="92"/>
      <c r="AB164" s="92"/>
      <c r="AC164" s="92"/>
      <c r="AD164" s="92">
        <f>COUNTA(InputTable[[#This Row],[CORPHRFIN]:[SALES]])</f>
        <v>0</v>
      </c>
      <c r="AE164" s="88" cm="1">
        <f t="array" ref="AE164">SUM(
_xlfn.XLOOKUP(InputTable[[#This Row],[CORPHRFIN]:[SALES]],'System List'!$F$4:$F$7,'System List'!$H$4:$H$7,0))</f>
        <v>0</v>
      </c>
      <c r="AF164" s="140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88" cm="1">
        <f t="array" ref="AR164">SUM(
_xlfn.XLOOKUP(InputTable[[#This Row],[Impact on - CIAL]:[Impact on - STRAT]],'System List'!$F$4:$F$7,'System List'!$H$4:$H$7,0))</f>
        <v>0</v>
      </c>
      <c r="AS164" s="88" t="e">
        <f>VLOOKUP(InputTable[[#This Row],[Duration]],Duration,2,FALSE)+InputTable[[#This Row],[Resource Score]]</f>
        <v>#N/A</v>
      </c>
      <c r="AT16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4" s="24" t="e">
        <f>InputTable[[#This Row],[Value Score]]/InputTable[[#This Row],[EFFORT SCORE]]*100</f>
        <v>#N/A</v>
      </c>
      <c r="AV164" s="25" t="s">
        <v>455</v>
      </c>
      <c r="AW164" s="25"/>
      <c r="AX164" s="208"/>
      <c r="AY164" s="25"/>
      <c r="AZ164" s="189">
        <v>0</v>
      </c>
      <c r="BA164" s="189">
        <v>0</v>
      </c>
      <c r="BB164" s="189"/>
      <c r="BC164" s="189"/>
      <c r="BD164" s="188"/>
      <c r="BE164" s="188"/>
      <c r="BF164" s="70"/>
      <c r="BH164" s="2">
        <f>IFERROR(VLOOKUP(InputTable[[#This Row],[Impact on - CIAL]],'System List'!$F$4:$H$7,3,FALSE),0)</f>
        <v>0</v>
      </c>
      <c r="BI164" s="2">
        <f>IFERROR(VLOOKUP(InputTable[[#This Row],[Impact on - COM]],'System List'!$F$4:$H$7,3,FALSE),0)</f>
        <v>0</v>
      </c>
      <c r="BJ164" s="2">
        <f>IFERROR(VLOOKUP(InputTable[[#This Row],[Impact on - FIN]],'System List'!$F$4:$H$7,3,FALSE),0)</f>
        <v>0</v>
      </c>
      <c r="BK164" s="2">
        <f>IFERROR(VLOOKUP(InputTable[[#This Row],[Impact on - GEN SEC]],'System List'!$F$4:$H$7,3,FALSE),0)</f>
        <v>0</v>
      </c>
      <c r="BL164" s="2">
        <f>IFERROR(VLOOKUP(InputTable[[#This Row],[Impact on - HR]],'System List'!$F$4:$H$7,3,FALSE),0)</f>
        <v>0</v>
      </c>
      <c r="BM164" s="2">
        <f>IFERROR(VLOOKUP(InputTable[[#This Row],[Impact on - IS]],'System List'!$F$4:$H$7,3,FALSE),0)</f>
        <v>0</v>
      </c>
      <c r="BN164" s="2">
        <f>IFERROR(VLOOKUP(InputTable[[#This Row],[Impact on - OPS]],'System List'!$F$4:$H$7,3,FALSE),0)</f>
        <v>0</v>
      </c>
      <c r="BO164" s="2">
        <f>IFERROR(VLOOKUP(InputTable[[#This Row],[Impact on - ROLL STOCK]],'System List'!$F$4:$H$7,3,FALSE),0)</f>
        <v>0</v>
      </c>
      <c r="BP164" s="2">
        <f>IFERROR(VLOOKUP(InputTable[[#This Row],[Impact on - SAFETY]],'System List'!$F$4:$H$7,3,FALSE),0)</f>
        <v>0</v>
      </c>
      <c r="BQ164" s="2">
        <f>IFERROR(VLOOKUP(InputTable[[#This Row],[Impact on - STATION]],'System List'!$F$4:$H$7,3,FALSE),0)</f>
        <v>0</v>
      </c>
      <c r="BR164" s="2">
        <f>IFERROR(VLOOKUP(InputTable[[#This Row],[Impact on - STRAT]],'System List'!$F$4:$H$7,3,FALSE),0)</f>
        <v>0</v>
      </c>
      <c r="BT164" s="2">
        <f>IFERROR(VLOOKUP(InputTable[[#This Row],[CORPHRFIN]],'System List'!$F$4:$H$7,3,FALSE),0)</f>
        <v>0</v>
      </c>
      <c r="BU164" s="2">
        <f>IFERROR(VLOOKUP(InputTable[[#This Row],[CUST]],'System List'!$F$4:$H$7,3,FALSE),0)</f>
        <v>0</v>
      </c>
      <c r="BV164" s="2">
        <f>IFERROR(VLOOKUP(InputTable[[#This Row],[CYBER]],'System List'!$F$4:$H$7,3,FALSE),0)</f>
        <v>0</v>
      </c>
      <c r="BW164" s="2">
        <f>IFERROR(VLOOKUP(InputTable[[#This Row],[DATA]],'System List'!$F$4:$H$7,3,FALSE),0)</f>
        <v>0</v>
      </c>
      <c r="BX164" s="2">
        <f>IFERROR(VLOOKUP(InputTable[[#This Row],[INFRA]],'System List'!$F$4:$H$7,3,FALSE),0)</f>
        <v>0</v>
      </c>
      <c r="BY164" s="2">
        <f>IFERROR(VLOOKUP(InputTable[[#This Row],[OPERATIONS]],'System List'!$F$4:$H$7,3,FALSE),0)</f>
        <v>0</v>
      </c>
      <c r="BZ164" s="2">
        <f>IFERROR(VLOOKUP(InputTable[[#This Row],[PMO]],'System List'!$F$4:$H$7,3,FALSE),0)</f>
        <v>0</v>
      </c>
      <c r="CA164" s="2">
        <f>IFERROR(VLOOKUP(InputTable[[#This Row],[SALES]],'System List'!$F$4:$H$7,3,FALSE),0)</f>
        <v>0</v>
      </c>
      <c r="CC164" s="2" cm="1">
        <f t="array" ref="CC16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4" s="2" cm="1">
        <f t="array" ref="CD16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4" s="2" cm="1">
        <f t="array" ref="CE16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4" s="2" cm="1">
        <f t="array" ref="CF16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4" s="2" cm="1">
        <f t="array" ref="CG16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4" s="2" cm="1">
        <f t="array" ref="CH16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4" s="2" cm="1">
        <f t="array" ref="CI16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4" s="2" cm="1">
        <f t="array" ref="CJ16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4" s="2" cm="1">
        <f t="array" ref="CK16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4" s="26">
        <f t="shared" si="379"/>
        <v>0</v>
      </c>
      <c r="CY164" s="26">
        <f t="shared" si="380"/>
        <v>0</v>
      </c>
      <c r="CZ164" s="26">
        <f t="shared" si="381"/>
        <v>0</v>
      </c>
      <c r="DA164" s="26">
        <f t="shared" si="382"/>
        <v>0</v>
      </c>
      <c r="DB164" s="26">
        <f t="shared" si="383"/>
        <v>0</v>
      </c>
      <c r="DC164" s="26">
        <f t="shared" si="384"/>
        <v>0</v>
      </c>
      <c r="DD164" s="26">
        <f t="shared" si="385"/>
        <v>0</v>
      </c>
      <c r="DE164" s="26">
        <f t="shared" si="386"/>
        <v>0</v>
      </c>
      <c r="DF164" s="26">
        <f t="shared" si="387"/>
        <v>0</v>
      </c>
      <c r="DH164" s="26">
        <f t="shared" si="388"/>
        <v>0</v>
      </c>
      <c r="DI164" s="26">
        <f t="shared" si="389"/>
        <v>0</v>
      </c>
      <c r="DJ164" s="26">
        <f t="shared" si="390"/>
        <v>0</v>
      </c>
      <c r="DK164" s="26">
        <f t="shared" si="391"/>
        <v>0</v>
      </c>
      <c r="DL164" s="26">
        <f t="shared" si="392"/>
        <v>0</v>
      </c>
      <c r="DM164" s="26">
        <f t="shared" si="393"/>
        <v>0</v>
      </c>
      <c r="DN164" s="26">
        <f t="shared" si="394"/>
        <v>0</v>
      </c>
      <c r="DO164" s="26">
        <f t="shared" si="395"/>
        <v>0</v>
      </c>
      <c r="DP164" s="26">
        <f t="shared" si="396"/>
        <v>0</v>
      </c>
      <c r="DR164" s="26">
        <f t="shared" si="397"/>
        <v>0</v>
      </c>
      <c r="DS164" s="26">
        <f t="shared" si="398"/>
        <v>0</v>
      </c>
      <c r="DT164" s="26">
        <f t="shared" si="399"/>
        <v>0</v>
      </c>
      <c r="DU164" s="26">
        <f t="shared" si="400"/>
        <v>0</v>
      </c>
      <c r="DV164" s="26">
        <f t="shared" si="401"/>
        <v>0</v>
      </c>
      <c r="DW164" s="26">
        <f t="shared" si="402"/>
        <v>0</v>
      </c>
      <c r="DX164" s="26">
        <f t="shared" si="403"/>
        <v>0</v>
      </c>
      <c r="DY164" s="26">
        <f t="shared" si="404"/>
        <v>0</v>
      </c>
      <c r="DZ164" s="26">
        <f t="shared" si="405"/>
        <v>0</v>
      </c>
      <c r="EB164" s="26">
        <f t="shared" si="406"/>
        <v>0</v>
      </c>
      <c r="EC164" s="26">
        <f t="shared" si="407"/>
        <v>0</v>
      </c>
      <c r="ED164" s="26">
        <f t="shared" si="408"/>
        <v>0</v>
      </c>
      <c r="EE164" s="26">
        <f t="shared" si="409"/>
        <v>0</v>
      </c>
      <c r="EF164" s="26">
        <f t="shared" si="410"/>
        <v>0</v>
      </c>
      <c r="EG164" s="26">
        <f t="shared" si="411"/>
        <v>0</v>
      </c>
      <c r="EH164" s="26">
        <f t="shared" si="412"/>
        <v>0</v>
      </c>
      <c r="EI164" s="26">
        <f t="shared" si="413"/>
        <v>0</v>
      </c>
      <c r="EJ164" s="26">
        <f t="shared" si="414"/>
        <v>0</v>
      </c>
      <c r="EL164" s="26">
        <f t="shared" si="415"/>
        <v>0</v>
      </c>
      <c r="EM164" s="26">
        <f t="shared" si="416"/>
        <v>0</v>
      </c>
      <c r="EN164" s="26">
        <f t="shared" si="417"/>
        <v>0</v>
      </c>
      <c r="EO164" s="26">
        <f t="shared" si="418"/>
        <v>0</v>
      </c>
      <c r="EP164" s="26">
        <f t="shared" si="419"/>
        <v>0</v>
      </c>
      <c r="EQ164" s="26">
        <f t="shared" si="420"/>
        <v>0</v>
      </c>
      <c r="ER164" s="26">
        <f t="shared" si="421"/>
        <v>0</v>
      </c>
      <c r="ES164" s="26">
        <f t="shared" si="422"/>
        <v>0</v>
      </c>
      <c r="ET164" s="26">
        <f t="shared" si="423"/>
        <v>0</v>
      </c>
      <c r="EV164" s="26">
        <f t="shared" si="424"/>
        <v>0</v>
      </c>
      <c r="EW164" s="26">
        <f t="shared" si="425"/>
        <v>0</v>
      </c>
      <c r="EX164" s="26">
        <f t="shared" si="426"/>
        <v>0</v>
      </c>
      <c r="EY164" s="26">
        <f t="shared" si="427"/>
        <v>0</v>
      </c>
      <c r="EZ164" s="26">
        <f t="shared" si="428"/>
        <v>0</v>
      </c>
      <c r="FA164" s="26">
        <f t="shared" si="429"/>
        <v>0</v>
      </c>
      <c r="FB164" s="26">
        <f t="shared" si="430"/>
        <v>0</v>
      </c>
      <c r="FC164" s="26">
        <f t="shared" si="431"/>
        <v>0</v>
      </c>
      <c r="FD164" s="26">
        <f t="shared" si="432"/>
        <v>0</v>
      </c>
      <c r="FF164" s="26">
        <f t="shared" si="433"/>
        <v>0</v>
      </c>
      <c r="FG164" s="26">
        <f t="shared" si="434"/>
        <v>0</v>
      </c>
      <c r="FH164" s="26">
        <f t="shared" si="435"/>
        <v>0</v>
      </c>
      <c r="FI164" s="26">
        <f t="shared" si="436"/>
        <v>0</v>
      </c>
      <c r="FJ164" s="26">
        <f t="shared" si="437"/>
        <v>0</v>
      </c>
      <c r="FK164" s="26">
        <f t="shared" si="438"/>
        <v>0</v>
      </c>
      <c r="FL164" s="26">
        <f t="shared" si="439"/>
        <v>0</v>
      </c>
      <c r="FM164" s="26">
        <f t="shared" si="440"/>
        <v>0</v>
      </c>
      <c r="FN164" s="26">
        <f t="shared" si="441"/>
        <v>0</v>
      </c>
      <c r="FP164" s="26" t="e">
        <f t="shared" si="442"/>
        <v>#REF!</v>
      </c>
      <c r="FQ164" s="26" t="e">
        <f t="shared" si="443"/>
        <v>#REF!</v>
      </c>
      <c r="FR164" s="26" t="e">
        <f t="shared" si="444"/>
        <v>#REF!</v>
      </c>
      <c r="FS164" s="26" t="e">
        <f t="shared" si="445"/>
        <v>#REF!</v>
      </c>
      <c r="FT164" s="26" t="e">
        <f t="shared" si="446"/>
        <v>#REF!</v>
      </c>
      <c r="FU164" s="26" t="e">
        <f t="shared" si="447"/>
        <v>#REF!</v>
      </c>
      <c r="FV164" s="26" t="e">
        <f t="shared" si="448"/>
        <v>#REF!</v>
      </c>
      <c r="FW164" s="26" t="e">
        <f t="shared" si="449"/>
        <v>#REF!</v>
      </c>
      <c r="FX164" s="26" t="e">
        <f t="shared" si="450"/>
        <v>#REF!</v>
      </c>
      <c r="GB164" s="26" t="e">
        <f>IF(GB$2=InputTable[[#This Row],[Delivery Date]],_xlfn.XLOOKUP(GB$1,$BH$2:$BR$2,$BH164:$BR164,0),0)</f>
        <v>#REF!</v>
      </c>
      <c r="GC164" s="26">
        <f>IF(GC$2=InputTable[[#This Row],[Delivery Date]],_xlfn.XLOOKUP(GC$1,$BH$2:$BR$2,$BH164:$BR164,0),0)</f>
        <v>0</v>
      </c>
      <c r="GD164" s="26">
        <f>IF(GD$2=InputTable[[#This Row],[Delivery Date]],_xlfn.XLOOKUP(GD$1,$BH$2:$BR$2,$BH164:$BR164,0),0)</f>
        <v>0</v>
      </c>
      <c r="GE164" s="26">
        <f>IF(GE$2=InputTable[[#This Row],[Delivery Date]],_xlfn.XLOOKUP(GE$1,$BH$2:$BR$2,$BH164:$BR164,0),0)</f>
        <v>0</v>
      </c>
      <c r="GF164" s="26">
        <f>IF(GF$2=InputTable[[#This Row],[Delivery Date]],_xlfn.XLOOKUP(GF$1,$BH$2:$BR$2,$BH164:$BR164,0),0)</f>
        <v>0</v>
      </c>
      <c r="GG164" s="26">
        <f>IF(GG$2=InputTable[[#This Row],[Delivery Date]],_xlfn.XLOOKUP(GG$1,$BH$2:$BR$2,$BH164:$BR164,0),0)</f>
        <v>0</v>
      </c>
      <c r="GH164" s="26">
        <f>IF(GH$2=InputTable[[#This Row],[Delivery Date]],_xlfn.XLOOKUP(GH$1,$BH$2:$BR$2,$BH164:$BR164,0),0)</f>
        <v>0</v>
      </c>
      <c r="GI164" s="26">
        <f>IF(GI$2=InputTable[[#This Row],[Delivery Date]],_xlfn.XLOOKUP(GI$1,$BH$2:$BR$2,$BH164:$BR164,0),0)</f>
        <v>0</v>
      </c>
      <c r="GJ164" s="26">
        <f>IF(GJ$2=InputTable[[#This Row],[Delivery Date]],_xlfn.XLOOKUP(GJ$1,$BH$2:$BR$2,$BH164:$BR164,0),0)</f>
        <v>0</v>
      </c>
      <c r="GL164" s="26" t="e">
        <f>IF(GL$2=InputTable[[#This Row],[Delivery Date]],_xlfn.XLOOKUP(GL$1,$BH$2:$BR$2,$BH164:$BR164,0),0)</f>
        <v>#REF!</v>
      </c>
      <c r="GM164" s="26">
        <f>IF(GM$2=InputTable[[#This Row],[Delivery Date]],_xlfn.XLOOKUP(GM$1,$BH$2:$BR$2,$BH164:$BR164,0),0)</f>
        <v>0</v>
      </c>
      <c r="GN164" s="26">
        <f>IF(GN$2=InputTable[[#This Row],[Delivery Date]],_xlfn.XLOOKUP(GN$1,$BH$2:$BR$2,$BH164:$BR164,0),0)</f>
        <v>0</v>
      </c>
      <c r="GO164" s="26">
        <f>IF(GO$2=InputTable[[#This Row],[Delivery Date]],_xlfn.XLOOKUP(GO$1,$BH$2:$BR$2,$BH164:$BR164,0),0)</f>
        <v>0</v>
      </c>
      <c r="GP164" s="26">
        <f>IF(GP$2=InputTable[[#This Row],[Delivery Date]],_xlfn.XLOOKUP(GP$1,$BH$2:$BR$2,$BH164:$BR164,0),0)</f>
        <v>0</v>
      </c>
      <c r="GQ164" s="26">
        <f>IF(GQ$2=InputTable[[#This Row],[Delivery Date]],_xlfn.XLOOKUP(GQ$1,$BH$2:$BR$2,$BH164:$BR164,0),0)</f>
        <v>0</v>
      </c>
      <c r="GR164" s="26">
        <f>IF(GR$2=InputTable[[#This Row],[Delivery Date]],_xlfn.XLOOKUP(GR$1,$BH$2:$BR$2,$BH164:$BR164,0),0)</f>
        <v>0</v>
      </c>
      <c r="GS164" s="26">
        <f>IF(GS$2=InputTable[[#This Row],[Delivery Date]],_xlfn.XLOOKUP(GS$1,$BH$2:$BR$2,$BH164:$BR164,0),0)</f>
        <v>0</v>
      </c>
      <c r="GT164" s="26">
        <f>IF(GT$2=InputTable[[#This Row],[Delivery Date]],_xlfn.XLOOKUP(GT$1,$BH$2:$BR$2,$BH164:$BR164,0),0)</f>
        <v>0</v>
      </c>
      <c r="GV164" s="26" t="e">
        <f>IF(GV$2=InputTable[[#This Row],[Delivery Date]],_xlfn.XLOOKUP(GV$1,$BH$2:$BR$2,$BH164:$BR164,0),0)</f>
        <v>#REF!</v>
      </c>
      <c r="GW164" s="26">
        <f>IF(GW$2=InputTable[[#This Row],[Delivery Date]],_xlfn.XLOOKUP(GW$1,$BH$2:$BR$2,$BH164:$BR164,0),0)</f>
        <v>0</v>
      </c>
      <c r="GX164" s="26">
        <f>IF(GX$2=InputTable[[#This Row],[Delivery Date]],_xlfn.XLOOKUP(GX$1,$BH$2:$BR$2,$BH164:$BR164,0),0)</f>
        <v>0</v>
      </c>
      <c r="GY164" s="26">
        <f>IF(GY$2=InputTable[[#This Row],[Delivery Date]],_xlfn.XLOOKUP(GY$1,$BH$2:$BR$2,$BH164:$BR164,0),0)</f>
        <v>0</v>
      </c>
      <c r="GZ164" s="26">
        <f>IF(GZ$2=InputTable[[#This Row],[Delivery Date]],_xlfn.XLOOKUP(GZ$1,$BH$2:$BR$2,$BH164:$BR164,0),0)</f>
        <v>0</v>
      </c>
      <c r="HA164" s="26">
        <f>IF(HA$2=InputTable[[#This Row],[Delivery Date]],_xlfn.XLOOKUP(HA$1,$BH$2:$BR$2,$BH164:$BR164,0),0)</f>
        <v>0</v>
      </c>
      <c r="HB164" s="26">
        <f>IF(HB$2=InputTable[[#This Row],[Delivery Date]],_xlfn.XLOOKUP(HB$1,$BH$2:$BR$2,$BH164:$BR164,0),0)</f>
        <v>0</v>
      </c>
      <c r="HC164" s="26">
        <f>IF(HC$2=InputTable[[#This Row],[Delivery Date]],_xlfn.XLOOKUP(HC$1,$BH$2:$BR$2,$BH164:$BR164,0),0)</f>
        <v>0</v>
      </c>
      <c r="HD164" s="26">
        <f>IF(HD$2=InputTable[[#This Row],[Delivery Date]],_xlfn.XLOOKUP(HD$1,$BH$2:$BR$2,$BH164:$BR164,0),0)</f>
        <v>0</v>
      </c>
      <c r="HF164" s="26" t="e">
        <f>IF(HF$2=InputTable[[#This Row],[Delivery Date]],_xlfn.XLOOKUP(HF$1,$BH$2:$BR$2,$BH164:$BR164,0),0)</f>
        <v>#REF!</v>
      </c>
      <c r="HG164" s="26">
        <f>IF(HG$2=InputTable[[#This Row],[Delivery Date]],_xlfn.XLOOKUP(HG$1,$BH$2:$BR$2,$BH164:$BR164,0),0)</f>
        <v>0</v>
      </c>
      <c r="HH164" s="26">
        <f>IF(HH$2=InputTable[[#This Row],[Delivery Date]],_xlfn.XLOOKUP(HH$1,$BH$2:$BR$2,$BH164:$BR164,0),0)</f>
        <v>0</v>
      </c>
      <c r="HI164" s="26">
        <f>IF(HI$2=InputTable[[#This Row],[Delivery Date]],_xlfn.XLOOKUP(HI$1,$BH$2:$BR$2,$BH164:$BR164,0),0)</f>
        <v>0</v>
      </c>
      <c r="HJ164" s="26">
        <f>IF(HJ$2=InputTable[[#This Row],[Delivery Date]],_xlfn.XLOOKUP(HJ$1,$BH$2:$BR$2,$BH164:$BR164,0),0)</f>
        <v>0</v>
      </c>
      <c r="HK164" s="26">
        <f>IF(HK$2=InputTable[[#This Row],[Delivery Date]],_xlfn.XLOOKUP(HK$1,$BH$2:$BR$2,$BH164:$BR164,0),0)</f>
        <v>0</v>
      </c>
      <c r="HL164" s="26">
        <f>IF(HL$2=InputTable[[#This Row],[Delivery Date]],_xlfn.XLOOKUP(HL$1,$BH$2:$BR$2,$BH164:$BR164,0),0)</f>
        <v>0</v>
      </c>
      <c r="HM164" s="26">
        <f>IF(HM$2=InputTable[[#This Row],[Delivery Date]],_xlfn.XLOOKUP(HM$1,$BH$2:$BR$2,$BH164:$BR164,0),0)</f>
        <v>0</v>
      </c>
      <c r="HN164" s="26">
        <f>IF(HN$2=InputTable[[#This Row],[Delivery Date]],_xlfn.XLOOKUP(HN$1,$BH$2:$BR$2,$BH164:$BR164,0),0)</f>
        <v>0</v>
      </c>
      <c r="HP164" s="26" t="e">
        <f>IF(HP$2=InputTable[[#This Row],[Delivery Date]],_xlfn.XLOOKUP(HP$1,$BH$2:$BR$2,$BH164:$BR164,0),0)</f>
        <v>#REF!</v>
      </c>
      <c r="HQ164" s="26">
        <f>IF(HQ$2=InputTable[[#This Row],[Delivery Date]],_xlfn.XLOOKUP(HQ$1,$BH$2:$BR$2,$BH164:$BR164,0),0)</f>
        <v>0</v>
      </c>
      <c r="HR164" s="26">
        <f>IF(HR$2=InputTable[[#This Row],[Delivery Date]],_xlfn.XLOOKUP(HR$1,$BH$2:$BR$2,$BH164:$BR164,0),0)</f>
        <v>0</v>
      </c>
      <c r="HS164" s="26">
        <f>IF(HS$2=InputTable[[#This Row],[Delivery Date]],_xlfn.XLOOKUP(HS$1,$BH$2:$BR$2,$BH164:$BR164,0),0)</f>
        <v>0</v>
      </c>
      <c r="HT164" s="26">
        <f>IF(HT$2=InputTable[[#This Row],[Delivery Date]],_xlfn.XLOOKUP(HT$1,$BH$2:$BR$2,$BH164:$BR164,0),0)</f>
        <v>0</v>
      </c>
      <c r="HU164" s="26">
        <f>IF(HU$2=InputTable[[#This Row],[Delivery Date]],_xlfn.XLOOKUP(HU$1,$BH$2:$BR$2,$BH164:$BR164,0),0)</f>
        <v>0</v>
      </c>
      <c r="HV164" s="26">
        <f>IF(HV$2=InputTable[[#This Row],[Delivery Date]],_xlfn.XLOOKUP(HV$1,$BH$2:$BR$2,$BH164:$BR164,0),0)</f>
        <v>0</v>
      </c>
      <c r="HW164" s="26">
        <f>IF(HW$2=InputTable[[#This Row],[Delivery Date]],_xlfn.XLOOKUP(HW$1,$BH$2:$BR$2,$BH164:$BR164,0),0)</f>
        <v>0</v>
      </c>
      <c r="HX164" s="26">
        <f>IF(HX$2=InputTable[[#This Row],[Delivery Date]],_xlfn.XLOOKUP(HX$1,$BH$2:$BR$2,$BH164:$BR164,0),0)</f>
        <v>0</v>
      </c>
      <c r="HZ164" s="26" t="e">
        <f>IF(HZ$2=InputTable[[#This Row],[Delivery Date]],_xlfn.XLOOKUP(HZ$1,$BH$2:$BR$2,$BH164:$BR164,0),0)</f>
        <v>#REF!</v>
      </c>
      <c r="IA164" s="26">
        <f>IF(IA$2=InputTable[[#This Row],[Delivery Date]],_xlfn.XLOOKUP(IA$1,$BH$2:$BR$2,$BH164:$BR164,0),0)</f>
        <v>0</v>
      </c>
      <c r="IB164" s="26">
        <f>IF(IB$2=InputTable[[#This Row],[Delivery Date]],_xlfn.XLOOKUP(IB$1,$BH$2:$BR$2,$BH164:$BR164,0),0)</f>
        <v>0</v>
      </c>
      <c r="IC164" s="26">
        <f>IF(IC$2=InputTable[[#This Row],[Delivery Date]],_xlfn.XLOOKUP(IC$1,$BH$2:$BR$2,$BH164:$BR164,0),0)</f>
        <v>0</v>
      </c>
      <c r="ID164" s="26">
        <f>IF(ID$2=InputTable[[#This Row],[Delivery Date]],_xlfn.XLOOKUP(ID$1,$BH$2:$BR$2,$BH164:$BR164,0),0)</f>
        <v>0</v>
      </c>
      <c r="IE164" s="26">
        <f>IF(IE$2=InputTable[[#This Row],[Delivery Date]],_xlfn.XLOOKUP(IE$1,$BH$2:$BR$2,$BH164:$BR164,0),0)</f>
        <v>0</v>
      </c>
      <c r="IF164" s="26">
        <f>IF(IF$2=InputTable[[#This Row],[Delivery Date]],_xlfn.XLOOKUP(IF$1,$BH$2:$BR$2,$BH164:$BR164,0),0)</f>
        <v>0</v>
      </c>
      <c r="IG164" s="26">
        <f>IF(IG$2=InputTable[[#This Row],[Delivery Date]],_xlfn.XLOOKUP(IG$1,$BH$2:$BR$2,$BH164:$BR164,0),0)</f>
        <v>0</v>
      </c>
      <c r="IH164" s="26">
        <f>IF(IH$2=InputTable[[#This Row],[Delivery Date]],_xlfn.XLOOKUP(IH$1,$BH$2:$BR$2,$BH164:$BR164,0),0)</f>
        <v>0</v>
      </c>
      <c r="IJ164" s="26" t="e">
        <f>IF(IJ$2=InputTable[[#This Row],[Delivery Date]],_xlfn.XLOOKUP(IJ$1,$BH$2:$BR$2,$BH164:$BR164,0),0)</f>
        <v>#REF!</v>
      </c>
      <c r="IK164" s="26">
        <f>IF(IK$2=InputTable[[#This Row],[Delivery Date]],_xlfn.XLOOKUP(IK$1,$BH$2:$BR$2,$BH164:$BR164,0),0)</f>
        <v>0</v>
      </c>
      <c r="IL164" s="26">
        <f>IF(IL$2=InputTable[[#This Row],[Delivery Date]],_xlfn.XLOOKUP(IL$1,$BH$2:$BR$2,$BH164:$BR164,0),0)</f>
        <v>0</v>
      </c>
      <c r="IM164" s="26">
        <f>IF(IM$2=InputTable[[#This Row],[Delivery Date]],_xlfn.XLOOKUP(IM$1,$BH$2:$BR$2,$BH164:$BR164,0),0)</f>
        <v>0</v>
      </c>
      <c r="IN164" s="26">
        <f>IF(IN$2=InputTable[[#This Row],[Delivery Date]],_xlfn.XLOOKUP(IN$1,$BH$2:$BR$2,$BH164:$BR164,0),0)</f>
        <v>0</v>
      </c>
      <c r="IO164" s="26">
        <f>IF(IO$2=InputTable[[#This Row],[Delivery Date]],_xlfn.XLOOKUP(IO$1,$BH$2:$BR$2,$BH164:$BR164,0),0)</f>
        <v>0</v>
      </c>
      <c r="IP164" s="26">
        <f>IF(IP$2=InputTable[[#This Row],[Delivery Date]],_xlfn.XLOOKUP(IP$1,$BH$2:$BR$2,$BH164:$BR164,0),0)</f>
        <v>0</v>
      </c>
      <c r="IQ164" s="26">
        <f>IF(IQ$2=InputTable[[#This Row],[Delivery Date]],_xlfn.XLOOKUP(IQ$1,$BH$2:$BR$2,$BH164:$BR164,0),0)</f>
        <v>0</v>
      </c>
      <c r="IR164" s="26">
        <f>IF(IR$2=InputTable[[#This Row],[Delivery Date]],_xlfn.XLOOKUP(IR$1,$BH$2:$BR$2,$BH164:$BR164,0),0)</f>
        <v>0</v>
      </c>
      <c r="IT164" s="26" t="e">
        <f>IF(IT$2=InputTable[[#This Row],[Delivery Date]],_xlfn.XLOOKUP(IT$1,$BH$2:$BR$2,$BH164:$BR164,0),0)</f>
        <v>#REF!</v>
      </c>
      <c r="IU164" s="26">
        <f>IF(IU$2=InputTable[[#This Row],[Delivery Date]],_xlfn.XLOOKUP(IU$1,$BH$2:$BR$2,$BH164:$BR164,0),0)</f>
        <v>0</v>
      </c>
      <c r="IV164" s="26">
        <f>IF(IV$2=InputTable[[#This Row],[Delivery Date]],_xlfn.XLOOKUP(IV$1,$BH$2:$BR$2,$BH164:$BR164,0),0)</f>
        <v>0</v>
      </c>
      <c r="IW164" s="26">
        <f>IF(IW$2=InputTable[[#This Row],[Delivery Date]],_xlfn.XLOOKUP(IW$1,$BH$2:$BR$2,$BH164:$BR164,0),0)</f>
        <v>0</v>
      </c>
      <c r="IX164" s="26">
        <f>IF(IX$2=InputTable[[#This Row],[Delivery Date]],_xlfn.XLOOKUP(IX$1,$BH$2:$BR$2,$BH164:$BR164,0),0)</f>
        <v>0</v>
      </c>
      <c r="IY164" s="26">
        <f>IF(IY$2=InputTable[[#This Row],[Delivery Date]],_xlfn.XLOOKUP(IY$1,$BH$2:$BR$2,$BH164:$BR164,0),0)</f>
        <v>0</v>
      </c>
      <c r="IZ164" s="26">
        <f>IF(IZ$2=InputTable[[#This Row],[Delivery Date]],_xlfn.XLOOKUP(IZ$1,$BH$2:$BR$2,$BH164:$BR164,0),0)</f>
        <v>0</v>
      </c>
      <c r="JA164" s="26">
        <f>IF(JA$2=InputTable[[#This Row],[Delivery Date]],_xlfn.XLOOKUP(JA$1,$BH$2:$BR$2,$BH164:$BR164,0),0)</f>
        <v>0</v>
      </c>
      <c r="JB164" s="26">
        <f>IF(JB$2=InputTable[[#This Row],[Delivery Date]],_xlfn.XLOOKUP(JB$1,$BH$2:$BR$2,$BH164:$BR164,0),0)</f>
        <v>0</v>
      </c>
      <c r="JD164" s="26" t="e">
        <f>IF(JD$2=InputTable[[#This Row],[Delivery Date]],_xlfn.XLOOKUP(JD$1,$BH$2:$BR$2,$BH164:$BR164,0),0)</f>
        <v>#REF!</v>
      </c>
      <c r="JE164" s="26">
        <f>IF(JE$2=InputTable[[#This Row],[Delivery Date]],_xlfn.XLOOKUP(JE$1,$BH$2:$BR$2,$BH164:$BR164,0),0)</f>
        <v>0</v>
      </c>
      <c r="JF164" s="26">
        <f>IF(JF$2=InputTable[[#This Row],[Delivery Date]],_xlfn.XLOOKUP(JF$1,$BH$2:$BR$2,$BH164:$BR164,0),0)</f>
        <v>0</v>
      </c>
      <c r="JG164" s="26">
        <f>IF(JG$2=InputTable[[#This Row],[Delivery Date]],_xlfn.XLOOKUP(JG$1,$BH$2:$BR$2,$BH164:$BR164,0),0)</f>
        <v>0</v>
      </c>
      <c r="JH164" s="26">
        <f>IF(JH$2=InputTable[[#This Row],[Delivery Date]],_xlfn.XLOOKUP(JH$1,$BH$2:$BR$2,$BH164:$BR164,0),0)</f>
        <v>0</v>
      </c>
      <c r="JI164" s="26">
        <f>IF(JI$2=InputTable[[#This Row],[Delivery Date]],_xlfn.XLOOKUP(JI$1,$BH$2:$BR$2,$BH164:$BR164,0),0)</f>
        <v>0</v>
      </c>
      <c r="JJ164" s="26">
        <f>IF(JJ$2=InputTable[[#This Row],[Delivery Date]],_xlfn.XLOOKUP(JJ$1,$BH$2:$BR$2,$BH164:$BR164,0),0)</f>
        <v>0</v>
      </c>
      <c r="JK164" s="26">
        <f>IF(JK$2=InputTable[[#This Row],[Delivery Date]],_xlfn.XLOOKUP(JK$1,$BH$2:$BR$2,$BH164:$BR164,0),0)</f>
        <v>0</v>
      </c>
      <c r="JL164" s="26">
        <f>IF(JL$2=InputTable[[#This Row],[Delivery Date]],_xlfn.XLOOKUP(JL$1,$BH$2:$BR$2,$BH164:$BR164,0),0)</f>
        <v>0</v>
      </c>
      <c r="JN164" s="26" t="e">
        <f>IF(JN$2=InputTable[[#This Row],[Delivery Date]],_xlfn.XLOOKUP(JN$1,$BH$2:$BR$2,$BH164:$BR164,0),0)</f>
        <v>#REF!</v>
      </c>
      <c r="JO164" s="26">
        <f>IF(JO$2=InputTable[[#This Row],[Delivery Date]],_xlfn.XLOOKUP(JO$1,$BH$2:$BR$2,$BH164:$BR164,0),0)</f>
        <v>0</v>
      </c>
      <c r="JP164" s="26">
        <f>IF(JP$2=InputTable[[#This Row],[Delivery Date]],_xlfn.XLOOKUP(JP$1,$BH$2:$BR$2,$BH164:$BR164,0),0)</f>
        <v>0</v>
      </c>
      <c r="JQ164" s="26">
        <f>IF(JQ$2=InputTable[[#This Row],[Delivery Date]],_xlfn.XLOOKUP(JQ$1,$BH$2:$BR$2,$BH164:$BR164,0),0)</f>
        <v>0</v>
      </c>
      <c r="JR164" s="26">
        <f>IF(JR$2=InputTable[[#This Row],[Delivery Date]],_xlfn.XLOOKUP(JR$1,$BH$2:$BR$2,$BH164:$BR164,0),0)</f>
        <v>0</v>
      </c>
      <c r="JS164" s="26">
        <f>IF(JS$2=InputTable[[#This Row],[Delivery Date]],_xlfn.XLOOKUP(JS$1,$BH$2:$BR$2,$BH164:$BR164,0),0)</f>
        <v>0</v>
      </c>
      <c r="JT164" s="26">
        <f>IF(JT$2=InputTable[[#This Row],[Delivery Date]],_xlfn.XLOOKUP(JT$1,$BH$2:$BR$2,$BH164:$BR164,0),0)</f>
        <v>0</v>
      </c>
      <c r="JU164" s="26">
        <f>IF(JU$2=InputTable[[#This Row],[Delivery Date]],_xlfn.XLOOKUP(JU$1,$BH$2:$BR$2,$BH164:$BR164,0),0)</f>
        <v>0</v>
      </c>
      <c r="JV164" s="26">
        <f>IF(JV$2=InputTable[[#This Row],[Delivery Date]],_xlfn.XLOOKUP(JV$1,$BH$2:$BR$2,$BH164:$BR164,0),0)</f>
        <v>0</v>
      </c>
      <c r="JX164" s="26" t="e">
        <f>IF(JX$2=InputTable[[#This Row],[Delivery Date]],_xlfn.XLOOKUP(JX$1,$BH$2:$BR$2,$BH164:$BR164,0),0)</f>
        <v>#REF!</v>
      </c>
      <c r="JY164" s="26">
        <f>IF(JY$2=InputTable[[#This Row],[Delivery Date]],_xlfn.XLOOKUP(JY$1,$BH$2:$BR$2,$BH164:$BR164,0),0)</f>
        <v>0</v>
      </c>
      <c r="JZ164" s="26">
        <f>IF(JZ$2=InputTable[[#This Row],[Delivery Date]],_xlfn.XLOOKUP(JZ$1,$BH$2:$BR$2,$BH164:$BR164,0),0)</f>
        <v>0</v>
      </c>
      <c r="KA164" s="26">
        <f>IF(KA$2=InputTable[[#This Row],[Delivery Date]],_xlfn.XLOOKUP(KA$1,$BH$2:$BR$2,$BH164:$BR164,0),0)</f>
        <v>0</v>
      </c>
      <c r="KB164" s="26">
        <f>IF(KB$2=InputTable[[#This Row],[Delivery Date]],_xlfn.XLOOKUP(KB$1,$BH$2:$BR$2,$BH164:$BR164,0),0)</f>
        <v>0</v>
      </c>
      <c r="KC164" s="26">
        <f>IF(KC$2=InputTable[[#This Row],[Delivery Date]],_xlfn.XLOOKUP(KC$1,$BH$2:$BR$2,$BH164:$BR164,0),0)</f>
        <v>0</v>
      </c>
      <c r="KD164" s="26">
        <f>IF(KD$2=InputTable[[#This Row],[Delivery Date]],_xlfn.XLOOKUP(KD$1,$BH$2:$BR$2,$BH164:$BR164,0),0)</f>
        <v>0</v>
      </c>
      <c r="KE164" s="26">
        <f>IF(KE$2=InputTable[[#This Row],[Delivery Date]],_xlfn.XLOOKUP(KE$1,$BH$2:$BR$2,$BH164:$BR164,0),0)</f>
        <v>0</v>
      </c>
      <c r="KF164" s="26">
        <f>IF(KF$2=InputTable[[#This Row],[Delivery Date]],_xlfn.XLOOKUP(KF$1,$BH$2:$BR$2,$BH164:$BR164,0),0)</f>
        <v>0</v>
      </c>
    </row>
    <row r="165" spans="1:292" ht="34.799999999999997" x14ac:dyDescent="0.25">
      <c r="A165" s="141"/>
      <c r="B165" s="119"/>
      <c r="C165" s="92"/>
      <c r="D165" s="92"/>
      <c r="E165" s="93"/>
      <c r="F165" s="92"/>
      <c r="G165" s="92"/>
      <c r="H165" s="92"/>
      <c r="I165" s="92"/>
      <c r="J165" s="122"/>
      <c r="K165" s="95" t="e">
        <f>VLOOKUP((InputTable[[#This Row],[Starting Date]]&amp; " - " &amp;InputTable[[#This Row],[Delivery Date]]),'System List'!$F$40:$H$83,2,FALSE)</f>
        <v>#N/A</v>
      </c>
      <c r="L165" s="95" t="e">
        <f>VLOOKUP(InputTable[[#This Row],[Duration]],Duration,2,FALSE)</f>
        <v>#N/A</v>
      </c>
      <c r="M165" s="122"/>
      <c r="N165" s="92"/>
      <c r="O165" s="92"/>
      <c r="P165" s="92"/>
      <c r="Q165" s="92"/>
      <c r="R165" s="92"/>
      <c r="S165" s="92"/>
      <c r="T165" s="95"/>
      <c r="U165" s="138"/>
      <c r="V165" s="92"/>
      <c r="W165" s="92"/>
      <c r="X165" s="92"/>
      <c r="Y165" s="92"/>
      <c r="Z165" s="92"/>
      <c r="AA165" s="92"/>
      <c r="AB165" s="92"/>
      <c r="AC165" s="92"/>
      <c r="AD165" s="92">
        <f>COUNTA(InputTable[[#This Row],[CORPHRFIN]:[SALES]])</f>
        <v>0</v>
      </c>
      <c r="AE165" s="88" cm="1">
        <f t="array" ref="AE165">SUM(
_xlfn.XLOOKUP(InputTable[[#This Row],[CORPHRFIN]:[SALES]],'System List'!$F$4:$F$7,'System List'!$H$4:$H$7,0))</f>
        <v>0</v>
      </c>
      <c r="AF165" s="140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88" cm="1">
        <f t="array" ref="AR165">SUM(
_xlfn.XLOOKUP(InputTable[[#This Row],[Impact on - CIAL]:[Impact on - STRAT]],'System List'!$F$4:$F$7,'System List'!$H$4:$H$7,0))</f>
        <v>0</v>
      </c>
      <c r="AS165" s="88" t="e">
        <f>VLOOKUP(InputTable[[#This Row],[Duration]],Duration,2,FALSE)+InputTable[[#This Row],[Resource Score]]</f>
        <v>#N/A</v>
      </c>
      <c r="AT16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5" s="24" t="e">
        <f>InputTable[[#This Row],[Value Score]]/InputTable[[#This Row],[EFFORT SCORE]]*100</f>
        <v>#N/A</v>
      </c>
      <c r="AV165" s="25" t="s">
        <v>456</v>
      </c>
      <c r="AW165" s="25"/>
      <c r="AX165" s="208"/>
      <c r="AY165" s="25"/>
      <c r="AZ165" s="189">
        <v>0</v>
      </c>
      <c r="BA165" s="189">
        <v>0</v>
      </c>
      <c r="BB165" s="189"/>
      <c r="BC165" s="189"/>
      <c r="BD165" s="188"/>
      <c r="BE165" s="188"/>
      <c r="BF165" s="70"/>
      <c r="BH165" s="2">
        <f>IFERROR(VLOOKUP(InputTable[[#This Row],[Impact on - CIAL]],'System List'!$F$4:$H$7,3,FALSE),0)</f>
        <v>0</v>
      </c>
      <c r="BI165" s="2">
        <f>IFERROR(VLOOKUP(InputTable[[#This Row],[Impact on - COM]],'System List'!$F$4:$H$7,3,FALSE),0)</f>
        <v>0</v>
      </c>
      <c r="BJ165" s="2">
        <f>IFERROR(VLOOKUP(InputTable[[#This Row],[Impact on - FIN]],'System List'!$F$4:$H$7,3,FALSE),0)</f>
        <v>0</v>
      </c>
      <c r="BK165" s="2">
        <f>IFERROR(VLOOKUP(InputTable[[#This Row],[Impact on - GEN SEC]],'System List'!$F$4:$H$7,3,FALSE),0)</f>
        <v>0</v>
      </c>
      <c r="BL165" s="2">
        <f>IFERROR(VLOOKUP(InputTable[[#This Row],[Impact on - HR]],'System List'!$F$4:$H$7,3,FALSE),0)</f>
        <v>0</v>
      </c>
      <c r="BM165" s="2">
        <f>IFERROR(VLOOKUP(InputTable[[#This Row],[Impact on - IS]],'System List'!$F$4:$H$7,3,FALSE),0)</f>
        <v>0</v>
      </c>
      <c r="BN165" s="2">
        <f>IFERROR(VLOOKUP(InputTable[[#This Row],[Impact on - OPS]],'System List'!$F$4:$H$7,3,FALSE),0)</f>
        <v>0</v>
      </c>
      <c r="BO165" s="2">
        <f>IFERROR(VLOOKUP(InputTable[[#This Row],[Impact on - ROLL STOCK]],'System List'!$F$4:$H$7,3,FALSE),0)</f>
        <v>0</v>
      </c>
      <c r="BP165" s="2">
        <f>IFERROR(VLOOKUP(InputTable[[#This Row],[Impact on - SAFETY]],'System List'!$F$4:$H$7,3,FALSE),0)</f>
        <v>0</v>
      </c>
      <c r="BQ165" s="2">
        <f>IFERROR(VLOOKUP(InputTable[[#This Row],[Impact on - STATION]],'System List'!$F$4:$H$7,3,FALSE),0)</f>
        <v>0</v>
      </c>
      <c r="BR165" s="2">
        <f>IFERROR(VLOOKUP(InputTable[[#This Row],[Impact on - STRAT]],'System List'!$F$4:$H$7,3,FALSE),0)</f>
        <v>0</v>
      </c>
      <c r="BT165" s="2">
        <f>IFERROR(VLOOKUP(InputTable[[#This Row],[CORPHRFIN]],'System List'!$F$4:$H$7,3,FALSE),0)</f>
        <v>0</v>
      </c>
      <c r="BU165" s="2">
        <f>IFERROR(VLOOKUP(InputTable[[#This Row],[CUST]],'System List'!$F$4:$H$7,3,FALSE),0)</f>
        <v>0</v>
      </c>
      <c r="BV165" s="2">
        <f>IFERROR(VLOOKUP(InputTable[[#This Row],[CYBER]],'System List'!$F$4:$H$7,3,FALSE),0)</f>
        <v>0</v>
      </c>
      <c r="BW165" s="2">
        <f>IFERROR(VLOOKUP(InputTable[[#This Row],[DATA]],'System List'!$F$4:$H$7,3,FALSE),0)</f>
        <v>0</v>
      </c>
      <c r="BX165" s="2">
        <f>IFERROR(VLOOKUP(InputTable[[#This Row],[INFRA]],'System List'!$F$4:$H$7,3,FALSE),0)</f>
        <v>0</v>
      </c>
      <c r="BY165" s="2">
        <f>IFERROR(VLOOKUP(InputTable[[#This Row],[OPERATIONS]],'System List'!$F$4:$H$7,3,FALSE),0)</f>
        <v>0</v>
      </c>
      <c r="BZ165" s="2">
        <f>IFERROR(VLOOKUP(InputTable[[#This Row],[PMO]],'System List'!$F$4:$H$7,3,FALSE),0)</f>
        <v>0</v>
      </c>
      <c r="CA165" s="2">
        <f>IFERROR(VLOOKUP(InputTable[[#This Row],[SALES]],'System List'!$F$4:$H$7,3,FALSE),0)</f>
        <v>0</v>
      </c>
      <c r="CC165" s="2" cm="1">
        <f t="array" ref="CC16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5" s="2" cm="1">
        <f t="array" ref="CD16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5" s="2" cm="1">
        <f t="array" ref="CE16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5" s="2" cm="1">
        <f t="array" ref="CF16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5" s="2" cm="1">
        <f t="array" ref="CG16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5" s="2" cm="1">
        <f t="array" ref="CH16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5" s="2" cm="1">
        <f t="array" ref="CI16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5" s="2" cm="1">
        <f t="array" ref="CJ16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5" s="2" cm="1">
        <f t="array" ref="CK16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5" s="26">
        <f t="shared" si="379"/>
        <v>0</v>
      </c>
      <c r="CY165" s="26">
        <f t="shared" si="380"/>
        <v>0</v>
      </c>
      <c r="CZ165" s="26">
        <f t="shared" si="381"/>
        <v>0</v>
      </c>
      <c r="DA165" s="26">
        <f t="shared" si="382"/>
        <v>0</v>
      </c>
      <c r="DB165" s="26">
        <f t="shared" si="383"/>
        <v>0</v>
      </c>
      <c r="DC165" s="26">
        <f t="shared" si="384"/>
        <v>0</v>
      </c>
      <c r="DD165" s="26">
        <f t="shared" si="385"/>
        <v>0</v>
      </c>
      <c r="DE165" s="26">
        <f t="shared" si="386"/>
        <v>0</v>
      </c>
      <c r="DF165" s="26">
        <f t="shared" si="387"/>
        <v>0</v>
      </c>
      <c r="DH165" s="26">
        <f t="shared" si="388"/>
        <v>0</v>
      </c>
      <c r="DI165" s="26">
        <f t="shared" si="389"/>
        <v>0</v>
      </c>
      <c r="DJ165" s="26">
        <f t="shared" si="390"/>
        <v>0</v>
      </c>
      <c r="DK165" s="26">
        <f t="shared" si="391"/>
        <v>0</v>
      </c>
      <c r="DL165" s="26">
        <f t="shared" si="392"/>
        <v>0</v>
      </c>
      <c r="DM165" s="26">
        <f t="shared" si="393"/>
        <v>0</v>
      </c>
      <c r="DN165" s="26">
        <f t="shared" si="394"/>
        <v>0</v>
      </c>
      <c r="DO165" s="26">
        <f t="shared" si="395"/>
        <v>0</v>
      </c>
      <c r="DP165" s="26">
        <f t="shared" si="396"/>
        <v>0</v>
      </c>
      <c r="DR165" s="26">
        <f t="shared" si="397"/>
        <v>0</v>
      </c>
      <c r="DS165" s="26">
        <f t="shared" si="398"/>
        <v>0</v>
      </c>
      <c r="DT165" s="26">
        <f t="shared" si="399"/>
        <v>0</v>
      </c>
      <c r="DU165" s="26">
        <f t="shared" si="400"/>
        <v>0</v>
      </c>
      <c r="DV165" s="26">
        <f t="shared" si="401"/>
        <v>0</v>
      </c>
      <c r="DW165" s="26">
        <f t="shared" si="402"/>
        <v>0</v>
      </c>
      <c r="DX165" s="26">
        <f t="shared" si="403"/>
        <v>0</v>
      </c>
      <c r="DY165" s="26">
        <f t="shared" si="404"/>
        <v>0</v>
      </c>
      <c r="DZ165" s="26">
        <f t="shared" si="405"/>
        <v>0</v>
      </c>
      <c r="EB165" s="26">
        <f t="shared" si="406"/>
        <v>0</v>
      </c>
      <c r="EC165" s="26">
        <f t="shared" si="407"/>
        <v>0</v>
      </c>
      <c r="ED165" s="26">
        <f t="shared" si="408"/>
        <v>0</v>
      </c>
      <c r="EE165" s="26">
        <f t="shared" si="409"/>
        <v>0</v>
      </c>
      <c r="EF165" s="26">
        <f t="shared" si="410"/>
        <v>0</v>
      </c>
      <c r="EG165" s="26">
        <f t="shared" si="411"/>
        <v>0</v>
      </c>
      <c r="EH165" s="26">
        <f t="shared" si="412"/>
        <v>0</v>
      </c>
      <c r="EI165" s="26">
        <f t="shared" si="413"/>
        <v>0</v>
      </c>
      <c r="EJ165" s="26">
        <f t="shared" si="414"/>
        <v>0</v>
      </c>
      <c r="EL165" s="26">
        <f t="shared" si="415"/>
        <v>0</v>
      </c>
      <c r="EM165" s="26">
        <f t="shared" si="416"/>
        <v>0</v>
      </c>
      <c r="EN165" s="26">
        <f t="shared" si="417"/>
        <v>0</v>
      </c>
      <c r="EO165" s="26">
        <f t="shared" si="418"/>
        <v>0</v>
      </c>
      <c r="EP165" s="26">
        <f t="shared" si="419"/>
        <v>0</v>
      </c>
      <c r="EQ165" s="26">
        <f t="shared" si="420"/>
        <v>0</v>
      </c>
      <c r="ER165" s="26">
        <f t="shared" si="421"/>
        <v>0</v>
      </c>
      <c r="ES165" s="26">
        <f t="shared" si="422"/>
        <v>0</v>
      </c>
      <c r="ET165" s="26">
        <f t="shared" si="423"/>
        <v>0</v>
      </c>
      <c r="EV165" s="26">
        <f t="shared" si="424"/>
        <v>0</v>
      </c>
      <c r="EW165" s="26">
        <f t="shared" si="425"/>
        <v>0</v>
      </c>
      <c r="EX165" s="26">
        <f t="shared" si="426"/>
        <v>0</v>
      </c>
      <c r="EY165" s="26">
        <f t="shared" si="427"/>
        <v>0</v>
      </c>
      <c r="EZ165" s="26">
        <f t="shared" si="428"/>
        <v>0</v>
      </c>
      <c r="FA165" s="26">
        <f t="shared" si="429"/>
        <v>0</v>
      </c>
      <c r="FB165" s="26">
        <f t="shared" si="430"/>
        <v>0</v>
      </c>
      <c r="FC165" s="26">
        <f t="shared" si="431"/>
        <v>0</v>
      </c>
      <c r="FD165" s="26">
        <f t="shared" si="432"/>
        <v>0</v>
      </c>
      <c r="FF165" s="26">
        <f t="shared" si="433"/>
        <v>0</v>
      </c>
      <c r="FG165" s="26">
        <f t="shared" si="434"/>
        <v>0</v>
      </c>
      <c r="FH165" s="26">
        <f t="shared" si="435"/>
        <v>0</v>
      </c>
      <c r="FI165" s="26">
        <f t="shared" si="436"/>
        <v>0</v>
      </c>
      <c r="FJ165" s="26">
        <f t="shared" si="437"/>
        <v>0</v>
      </c>
      <c r="FK165" s="26">
        <f t="shared" si="438"/>
        <v>0</v>
      </c>
      <c r="FL165" s="26">
        <f t="shared" si="439"/>
        <v>0</v>
      </c>
      <c r="FM165" s="26">
        <f t="shared" si="440"/>
        <v>0</v>
      </c>
      <c r="FN165" s="26">
        <f t="shared" si="441"/>
        <v>0</v>
      </c>
      <c r="FP165" s="26" t="e">
        <f t="shared" si="442"/>
        <v>#REF!</v>
      </c>
      <c r="FQ165" s="26" t="e">
        <f t="shared" si="443"/>
        <v>#REF!</v>
      </c>
      <c r="FR165" s="26" t="e">
        <f t="shared" si="444"/>
        <v>#REF!</v>
      </c>
      <c r="FS165" s="26" t="e">
        <f t="shared" si="445"/>
        <v>#REF!</v>
      </c>
      <c r="FT165" s="26" t="e">
        <f t="shared" si="446"/>
        <v>#REF!</v>
      </c>
      <c r="FU165" s="26" t="e">
        <f t="shared" si="447"/>
        <v>#REF!</v>
      </c>
      <c r="FV165" s="26" t="e">
        <f t="shared" si="448"/>
        <v>#REF!</v>
      </c>
      <c r="FW165" s="26" t="e">
        <f t="shared" si="449"/>
        <v>#REF!</v>
      </c>
      <c r="FX165" s="26" t="e">
        <f t="shared" si="450"/>
        <v>#REF!</v>
      </c>
      <c r="GB165" s="26" t="e">
        <f>IF(GB$2=InputTable[[#This Row],[Delivery Date]],_xlfn.XLOOKUP(GB$1,$BH$2:$BR$2,$BH165:$BR165,0),0)</f>
        <v>#REF!</v>
      </c>
      <c r="GC165" s="26">
        <f>IF(GC$2=InputTable[[#This Row],[Delivery Date]],_xlfn.XLOOKUP(GC$1,$BH$2:$BR$2,$BH165:$BR165,0),0)</f>
        <v>0</v>
      </c>
      <c r="GD165" s="26">
        <f>IF(GD$2=InputTable[[#This Row],[Delivery Date]],_xlfn.XLOOKUP(GD$1,$BH$2:$BR$2,$BH165:$BR165,0),0)</f>
        <v>0</v>
      </c>
      <c r="GE165" s="26">
        <f>IF(GE$2=InputTable[[#This Row],[Delivery Date]],_xlfn.XLOOKUP(GE$1,$BH$2:$BR$2,$BH165:$BR165,0),0)</f>
        <v>0</v>
      </c>
      <c r="GF165" s="26">
        <f>IF(GF$2=InputTable[[#This Row],[Delivery Date]],_xlfn.XLOOKUP(GF$1,$BH$2:$BR$2,$BH165:$BR165,0),0)</f>
        <v>0</v>
      </c>
      <c r="GG165" s="26">
        <f>IF(GG$2=InputTable[[#This Row],[Delivery Date]],_xlfn.XLOOKUP(GG$1,$BH$2:$BR$2,$BH165:$BR165,0),0)</f>
        <v>0</v>
      </c>
      <c r="GH165" s="26">
        <f>IF(GH$2=InputTable[[#This Row],[Delivery Date]],_xlfn.XLOOKUP(GH$1,$BH$2:$BR$2,$BH165:$BR165,0),0)</f>
        <v>0</v>
      </c>
      <c r="GI165" s="26">
        <f>IF(GI$2=InputTable[[#This Row],[Delivery Date]],_xlfn.XLOOKUP(GI$1,$BH$2:$BR$2,$BH165:$BR165,0),0)</f>
        <v>0</v>
      </c>
      <c r="GJ165" s="26">
        <f>IF(GJ$2=InputTable[[#This Row],[Delivery Date]],_xlfn.XLOOKUP(GJ$1,$BH$2:$BR$2,$BH165:$BR165,0),0)</f>
        <v>0</v>
      </c>
      <c r="GL165" s="26" t="e">
        <f>IF(GL$2=InputTable[[#This Row],[Delivery Date]],_xlfn.XLOOKUP(GL$1,$BH$2:$BR$2,$BH165:$BR165,0),0)</f>
        <v>#REF!</v>
      </c>
      <c r="GM165" s="26">
        <f>IF(GM$2=InputTable[[#This Row],[Delivery Date]],_xlfn.XLOOKUP(GM$1,$BH$2:$BR$2,$BH165:$BR165,0),0)</f>
        <v>0</v>
      </c>
      <c r="GN165" s="26">
        <f>IF(GN$2=InputTable[[#This Row],[Delivery Date]],_xlfn.XLOOKUP(GN$1,$BH$2:$BR$2,$BH165:$BR165,0),0)</f>
        <v>0</v>
      </c>
      <c r="GO165" s="26">
        <f>IF(GO$2=InputTable[[#This Row],[Delivery Date]],_xlfn.XLOOKUP(GO$1,$BH$2:$BR$2,$BH165:$BR165,0),0)</f>
        <v>0</v>
      </c>
      <c r="GP165" s="26">
        <f>IF(GP$2=InputTable[[#This Row],[Delivery Date]],_xlfn.XLOOKUP(GP$1,$BH$2:$BR$2,$BH165:$BR165,0),0)</f>
        <v>0</v>
      </c>
      <c r="GQ165" s="26">
        <f>IF(GQ$2=InputTable[[#This Row],[Delivery Date]],_xlfn.XLOOKUP(GQ$1,$BH$2:$BR$2,$BH165:$BR165,0),0)</f>
        <v>0</v>
      </c>
      <c r="GR165" s="26">
        <f>IF(GR$2=InputTable[[#This Row],[Delivery Date]],_xlfn.XLOOKUP(GR$1,$BH$2:$BR$2,$BH165:$BR165,0),0)</f>
        <v>0</v>
      </c>
      <c r="GS165" s="26">
        <f>IF(GS$2=InputTable[[#This Row],[Delivery Date]],_xlfn.XLOOKUP(GS$1,$BH$2:$BR$2,$BH165:$BR165,0),0)</f>
        <v>0</v>
      </c>
      <c r="GT165" s="26">
        <f>IF(GT$2=InputTable[[#This Row],[Delivery Date]],_xlfn.XLOOKUP(GT$1,$BH$2:$BR$2,$BH165:$BR165,0),0)</f>
        <v>0</v>
      </c>
      <c r="GV165" s="26" t="e">
        <f>IF(GV$2=InputTable[[#This Row],[Delivery Date]],_xlfn.XLOOKUP(GV$1,$BH$2:$BR$2,$BH165:$BR165,0),0)</f>
        <v>#REF!</v>
      </c>
      <c r="GW165" s="26">
        <f>IF(GW$2=InputTable[[#This Row],[Delivery Date]],_xlfn.XLOOKUP(GW$1,$BH$2:$BR$2,$BH165:$BR165,0),0)</f>
        <v>0</v>
      </c>
      <c r="GX165" s="26">
        <f>IF(GX$2=InputTable[[#This Row],[Delivery Date]],_xlfn.XLOOKUP(GX$1,$BH$2:$BR$2,$BH165:$BR165,0),0)</f>
        <v>0</v>
      </c>
      <c r="GY165" s="26">
        <f>IF(GY$2=InputTable[[#This Row],[Delivery Date]],_xlfn.XLOOKUP(GY$1,$BH$2:$BR$2,$BH165:$BR165,0),0)</f>
        <v>0</v>
      </c>
      <c r="GZ165" s="26">
        <f>IF(GZ$2=InputTable[[#This Row],[Delivery Date]],_xlfn.XLOOKUP(GZ$1,$BH$2:$BR$2,$BH165:$BR165,0),0)</f>
        <v>0</v>
      </c>
      <c r="HA165" s="26">
        <f>IF(HA$2=InputTable[[#This Row],[Delivery Date]],_xlfn.XLOOKUP(HA$1,$BH$2:$BR$2,$BH165:$BR165,0),0)</f>
        <v>0</v>
      </c>
      <c r="HB165" s="26">
        <f>IF(HB$2=InputTable[[#This Row],[Delivery Date]],_xlfn.XLOOKUP(HB$1,$BH$2:$BR$2,$BH165:$BR165,0),0)</f>
        <v>0</v>
      </c>
      <c r="HC165" s="26">
        <f>IF(HC$2=InputTable[[#This Row],[Delivery Date]],_xlfn.XLOOKUP(HC$1,$BH$2:$BR$2,$BH165:$BR165,0),0)</f>
        <v>0</v>
      </c>
      <c r="HD165" s="26">
        <f>IF(HD$2=InputTable[[#This Row],[Delivery Date]],_xlfn.XLOOKUP(HD$1,$BH$2:$BR$2,$BH165:$BR165,0),0)</f>
        <v>0</v>
      </c>
      <c r="HF165" s="26" t="e">
        <f>IF(HF$2=InputTable[[#This Row],[Delivery Date]],_xlfn.XLOOKUP(HF$1,$BH$2:$BR$2,$BH165:$BR165,0),0)</f>
        <v>#REF!</v>
      </c>
      <c r="HG165" s="26">
        <f>IF(HG$2=InputTable[[#This Row],[Delivery Date]],_xlfn.XLOOKUP(HG$1,$BH$2:$BR$2,$BH165:$BR165,0),0)</f>
        <v>0</v>
      </c>
      <c r="HH165" s="26">
        <f>IF(HH$2=InputTable[[#This Row],[Delivery Date]],_xlfn.XLOOKUP(HH$1,$BH$2:$BR$2,$BH165:$BR165,0),0)</f>
        <v>0</v>
      </c>
      <c r="HI165" s="26">
        <f>IF(HI$2=InputTable[[#This Row],[Delivery Date]],_xlfn.XLOOKUP(HI$1,$BH$2:$BR$2,$BH165:$BR165,0),0)</f>
        <v>0</v>
      </c>
      <c r="HJ165" s="26">
        <f>IF(HJ$2=InputTable[[#This Row],[Delivery Date]],_xlfn.XLOOKUP(HJ$1,$BH$2:$BR$2,$BH165:$BR165,0),0)</f>
        <v>0</v>
      </c>
      <c r="HK165" s="26">
        <f>IF(HK$2=InputTable[[#This Row],[Delivery Date]],_xlfn.XLOOKUP(HK$1,$BH$2:$BR$2,$BH165:$BR165,0),0)</f>
        <v>0</v>
      </c>
      <c r="HL165" s="26">
        <f>IF(HL$2=InputTable[[#This Row],[Delivery Date]],_xlfn.XLOOKUP(HL$1,$BH$2:$BR$2,$BH165:$BR165,0),0)</f>
        <v>0</v>
      </c>
      <c r="HM165" s="26">
        <f>IF(HM$2=InputTable[[#This Row],[Delivery Date]],_xlfn.XLOOKUP(HM$1,$BH$2:$BR$2,$BH165:$BR165,0),0)</f>
        <v>0</v>
      </c>
      <c r="HN165" s="26">
        <f>IF(HN$2=InputTable[[#This Row],[Delivery Date]],_xlfn.XLOOKUP(HN$1,$BH$2:$BR$2,$BH165:$BR165,0),0)</f>
        <v>0</v>
      </c>
      <c r="HP165" s="26" t="e">
        <f>IF(HP$2=InputTable[[#This Row],[Delivery Date]],_xlfn.XLOOKUP(HP$1,$BH$2:$BR$2,$BH165:$BR165,0),0)</f>
        <v>#REF!</v>
      </c>
      <c r="HQ165" s="26">
        <f>IF(HQ$2=InputTable[[#This Row],[Delivery Date]],_xlfn.XLOOKUP(HQ$1,$BH$2:$BR$2,$BH165:$BR165,0),0)</f>
        <v>0</v>
      </c>
      <c r="HR165" s="26">
        <f>IF(HR$2=InputTable[[#This Row],[Delivery Date]],_xlfn.XLOOKUP(HR$1,$BH$2:$BR$2,$BH165:$BR165,0),0)</f>
        <v>0</v>
      </c>
      <c r="HS165" s="26">
        <f>IF(HS$2=InputTable[[#This Row],[Delivery Date]],_xlfn.XLOOKUP(HS$1,$BH$2:$BR$2,$BH165:$BR165,0),0)</f>
        <v>0</v>
      </c>
      <c r="HT165" s="26">
        <f>IF(HT$2=InputTable[[#This Row],[Delivery Date]],_xlfn.XLOOKUP(HT$1,$BH$2:$BR$2,$BH165:$BR165,0),0)</f>
        <v>0</v>
      </c>
      <c r="HU165" s="26">
        <f>IF(HU$2=InputTable[[#This Row],[Delivery Date]],_xlfn.XLOOKUP(HU$1,$BH$2:$BR$2,$BH165:$BR165,0),0)</f>
        <v>0</v>
      </c>
      <c r="HV165" s="26">
        <f>IF(HV$2=InputTable[[#This Row],[Delivery Date]],_xlfn.XLOOKUP(HV$1,$BH$2:$BR$2,$BH165:$BR165,0),0)</f>
        <v>0</v>
      </c>
      <c r="HW165" s="26">
        <f>IF(HW$2=InputTable[[#This Row],[Delivery Date]],_xlfn.XLOOKUP(HW$1,$BH$2:$BR$2,$BH165:$BR165,0),0)</f>
        <v>0</v>
      </c>
      <c r="HX165" s="26">
        <f>IF(HX$2=InputTable[[#This Row],[Delivery Date]],_xlfn.XLOOKUP(HX$1,$BH$2:$BR$2,$BH165:$BR165,0),0)</f>
        <v>0</v>
      </c>
      <c r="HZ165" s="26" t="e">
        <f>IF(HZ$2=InputTable[[#This Row],[Delivery Date]],_xlfn.XLOOKUP(HZ$1,$BH$2:$BR$2,$BH165:$BR165,0),0)</f>
        <v>#REF!</v>
      </c>
      <c r="IA165" s="26">
        <f>IF(IA$2=InputTable[[#This Row],[Delivery Date]],_xlfn.XLOOKUP(IA$1,$BH$2:$BR$2,$BH165:$BR165,0),0)</f>
        <v>0</v>
      </c>
      <c r="IB165" s="26">
        <f>IF(IB$2=InputTable[[#This Row],[Delivery Date]],_xlfn.XLOOKUP(IB$1,$BH$2:$BR$2,$BH165:$BR165,0),0)</f>
        <v>0</v>
      </c>
      <c r="IC165" s="26">
        <f>IF(IC$2=InputTable[[#This Row],[Delivery Date]],_xlfn.XLOOKUP(IC$1,$BH$2:$BR$2,$BH165:$BR165,0),0)</f>
        <v>0</v>
      </c>
      <c r="ID165" s="26">
        <f>IF(ID$2=InputTable[[#This Row],[Delivery Date]],_xlfn.XLOOKUP(ID$1,$BH$2:$BR$2,$BH165:$BR165,0),0)</f>
        <v>0</v>
      </c>
      <c r="IE165" s="26">
        <f>IF(IE$2=InputTable[[#This Row],[Delivery Date]],_xlfn.XLOOKUP(IE$1,$BH$2:$BR$2,$BH165:$BR165,0),0)</f>
        <v>0</v>
      </c>
      <c r="IF165" s="26">
        <f>IF(IF$2=InputTable[[#This Row],[Delivery Date]],_xlfn.XLOOKUP(IF$1,$BH$2:$BR$2,$BH165:$BR165,0),0)</f>
        <v>0</v>
      </c>
      <c r="IG165" s="26">
        <f>IF(IG$2=InputTable[[#This Row],[Delivery Date]],_xlfn.XLOOKUP(IG$1,$BH$2:$BR$2,$BH165:$BR165,0),0)</f>
        <v>0</v>
      </c>
      <c r="IH165" s="26">
        <f>IF(IH$2=InputTable[[#This Row],[Delivery Date]],_xlfn.XLOOKUP(IH$1,$BH$2:$BR$2,$BH165:$BR165,0),0)</f>
        <v>0</v>
      </c>
      <c r="IJ165" s="26" t="e">
        <f>IF(IJ$2=InputTable[[#This Row],[Delivery Date]],_xlfn.XLOOKUP(IJ$1,$BH$2:$BR$2,$BH165:$BR165,0),0)</f>
        <v>#REF!</v>
      </c>
      <c r="IK165" s="26">
        <f>IF(IK$2=InputTable[[#This Row],[Delivery Date]],_xlfn.XLOOKUP(IK$1,$BH$2:$BR$2,$BH165:$BR165,0),0)</f>
        <v>0</v>
      </c>
      <c r="IL165" s="26">
        <f>IF(IL$2=InputTable[[#This Row],[Delivery Date]],_xlfn.XLOOKUP(IL$1,$BH$2:$BR$2,$BH165:$BR165,0),0)</f>
        <v>0</v>
      </c>
      <c r="IM165" s="26">
        <f>IF(IM$2=InputTable[[#This Row],[Delivery Date]],_xlfn.XLOOKUP(IM$1,$BH$2:$BR$2,$BH165:$BR165,0),0)</f>
        <v>0</v>
      </c>
      <c r="IN165" s="26">
        <f>IF(IN$2=InputTable[[#This Row],[Delivery Date]],_xlfn.XLOOKUP(IN$1,$BH$2:$BR$2,$BH165:$BR165,0),0)</f>
        <v>0</v>
      </c>
      <c r="IO165" s="26">
        <f>IF(IO$2=InputTable[[#This Row],[Delivery Date]],_xlfn.XLOOKUP(IO$1,$BH$2:$BR$2,$BH165:$BR165,0),0)</f>
        <v>0</v>
      </c>
      <c r="IP165" s="26">
        <f>IF(IP$2=InputTable[[#This Row],[Delivery Date]],_xlfn.XLOOKUP(IP$1,$BH$2:$BR$2,$BH165:$BR165,0),0)</f>
        <v>0</v>
      </c>
      <c r="IQ165" s="26">
        <f>IF(IQ$2=InputTable[[#This Row],[Delivery Date]],_xlfn.XLOOKUP(IQ$1,$BH$2:$BR$2,$BH165:$BR165,0),0)</f>
        <v>0</v>
      </c>
      <c r="IR165" s="26">
        <f>IF(IR$2=InputTable[[#This Row],[Delivery Date]],_xlfn.XLOOKUP(IR$1,$BH$2:$BR$2,$BH165:$BR165,0),0)</f>
        <v>0</v>
      </c>
      <c r="IT165" s="26" t="e">
        <f>IF(IT$2=InputTable[[#This Row],[Delivery Date]],_xlfn.XLOOKUP(IT$1,$BH$2:$BR$2,$BH165:$BR165,0),0)</f>
        <v>#REF!</v>
      </c>
      <c r="IU165" s="26">
        <f>IF(IU$2=InputTable[[#This Row],[Delivery Date]],_xlfn.XLOOKUP(IU$1,$BH$2:$BR$2,$BH165:$BR165,0),0)</f>
        <v>0</v>
      </c>
      <c r="IV165" s="26">
        <f>IF(IV$2=InputTable[[#This Row],[Delivery Date]],_xlfn.XLOOKUP(IV$1,$BH$2:$BR$2,$BH165:$BR165,0),0)</f>
        <v>0</v>
      </c>
      <c r="IW165" s="26">
        <f>IF(IW$2=InputTable[[#This Row],[Delivery Date]],_xlfn.XLOOKUP(IW$1,$BH$2:$BR$2,$BH165:$BR165,0),0)</f>
        <v>0</v>
      </c>
      <c r="IX165" s="26">
        <f>IF(IX$2=InputTable[[#This Row],[Delivery Date]],_xlfn.XLOOKUP(IX$1,$BH$2:$BR$2,$BH165:$BR165,0),0)</f>
        <v>0</v>
      </c>
      <c r="IY165" s="26">
        <f>IF(IY$2=InputTable[[#This Row],[Delivery Date]],_xlfn.XLOOKUP(IY$1,$BH$2:$BR$2,$BH165:$BR165,0),0)</f>
        <v>0</v>
      </c>
      <c r="IZ165" s="26">
        <f>IF(IZ$2=InputTable[[#This Row],[Delivery Date]],_xlfn.XLOOKUP(IZ$1,$BH$2:$BR$2,$BH165:$BR165,0),0)</f>
        <v>0</v>
      </c>
      <c r="JA165" s="26">
        <f>IF(JA$2=InputTable[[#This Row],[Delivery Date]],_xlfn.XLOOKUP(JA$1,$BH$2:$BR$2,$BH165:$BR165,0),0)</f>
        <v>0</v>
      </c>
      <c r="JB165" s="26">
        <f>IF(JB$2=InputTable[[#This Row],[Delivery Date]],_xlfn.XLOOKUP(JB$1,$BH$2:$BR$2,$BH165:$BR165,0),0)</f>
        <v>0</v>
      </c>
      <c r="JD165" s="26" t="e">
        <f>IF(JD$2=InputTable[[#This Row],[Delivery Date]],_xlfn.XLOOKUP(JD$1,$BH$2:$BR$2,$BH165:$BR165,0),0)</f>
        <v>#REF!</v>
      </c>
      <c r="JE165" s="26">
        <f>IF(JE$2=InputTable[[#This Row],[Delivery Date]],_xlfn.XLOOKUP(JE$1,$BH$2:$BR$2,$BH165:$BR165,0),0)</f>
        <v>0</v>
      </c>
      <c r="JF165" s="26">
        <f>IF(JF$2=InputTable[[#This Row],[Delivery Date]],_xlfn.XLOOKUP(JF$1,$BH$2:$BR$2,$BH165:$BR165,0),0)</f>
        <v>0</v>
      </c>
      <c r="JG165" s="26">
        <f>IF(JG$2=InputTable[[#This Row],[Delivery Date]],_xlfn.XLOOKUP(JG$1,$BH$2:$BR$2,$BH165:$BR165,0),0)</f>
        <v>0</v>
      </c>
      <c r="JH165" s="26">
        <f>IF(JH$2=InputTable[[#This Row],[Delivery Date]],_xlfn.XLOOKUP(JH$1,$BH$2:$BR$2,$BH165:$BR165,0),0)</f>
        <v>0</v>
      </c>
      <c r="JI165" s="26">
        <f>IF(JI$2=InputTable[[#This Row],[Delivery Date]],_xlfn.XLOOKUP(JI$1,$BH$2:$BR$2,$BH165:$BR165,0),0)</f>
        <v>0</v>
      </c>
      <c r="JJ165" s="26">
        <f>IF(JJ$2=InputTable[[#This Row],[Delivery Date]],_xlfn.XLOOKUP(JJ$1,$BH$2:$BR$2,$BH165:$BR165,0),0)</f>
        <v>0</v>
      </c>
      <c r="JK165" s="26">
        <f>IF(JK$2=InputTable[[#This Row],[Delivery Date]],_xlfn.XLOOKUP(JK$1,$BH$2:$BR$2,$BH165:$BR165,0),0)</f>
        <v>0</v>
      </c>
      <c r="JL165" s="26">
        <f>IF(JL$2=InputTable[[#This Row],[Delivery Date]],_xlfn.XLOOKUP(JL$1,$BH$2:$BR$2,$BH165:$BR165,0),0)</f>
        <v>0</v>
      </c>
      <c r="JN165" s="26" t="e">
        <f>IF(JN$2=InputTable[[#This Row],[Delivery Date]],_xlfn.XLOOKUP(JN$1,$BH$2:$BR$2,$BH165:$BR165,0),0)</f>
        <v>#REF!</v>
      </c>
      <c r="JO165" s="26">
        <f>IF(JO$2=InputTable[[#This Row],[Delivery Date]],_xlfn.XLOOKUP(JO$1,$BH$2:$BR$2,$BH165:$BR165,0),0)</f>
        <v>0</v>
      </c>
      <c r="JP165" s="26">
        <f>IF(JP$2=InputTable[[#This Row],[Delivery Date]],_xlfn.XLOOKUP(JP$1,$BH$2:$BR$2,$BH165:$BR165,0),0)</f>
        <v>0</v>
      </c>
      <c r="JQ165" s="26">
        <f>IF(JQ$2=InputTable[[#This Row],[Delivery Date]],_xlfn.XLOOKUP(JQ$1,$BH$2:$BR$2,$BH165:$BR165,0),0)</f>
        <v>0</v>
      </c>
      <c r="JR165" s="26">
        <f>IF(JR$2=InputTable[[#This Row],[Delivery Date]],_xlfn.XLOOKUP(JR$1,$BH$2:$BR$2,$BH165:$BR165,0),0)</f>
        <v>0</v>
      </c>
      <c r="JS165" s="26">
        <f>IF(JS$2=InputTable[[#This Row],[Delivery Date]],_xlfn.XLOOKUP(JS$1,$BH$2:$BR$2,$BH165:$BR165,0),0)</f>
        <v>0</v>
      </c>
      <c r="JT165" s="26">
        <f>IF(JT$2=InputTable[[#This Row],[Delivery Date]],_xlfn.XLOOKUP(JT$1,$BH$2:$BR$2,$BH165:$BR165,0),0)</f>
        <v>0</v>
      </c>
      <c r="JU165" s="26">
        <f>IF(JU$2=InputTable[[#This Row],[Delivery Date]],_xlfn.XLOOKUP(JU$1,$BH$2:$BR$2,$BH165:$BR165,0),0)</f>
        <v>0</v>
      </c>
      <c r="JV165" s="26">
        <f>IF(JV$2=InputTable[[#This Row],[Delivery Date]],_xlfn.XLOOKUP(JV$1,$BH$2:$BR$2,$BH165:$BR165,0),0)</f>
        <v>0</v>
      </c>
      <c r="JX165" s="26" t="e">
        <f>IF(JX$2=InputTable[[#This Row],[Delivery Date]],_xlfn.XLOOKUP(JX$1,$BH$2:$BR$2,$BH165:$BR165,0),0)</f>
        <v>#REF!</v>
      </c>
      <c r="JY165" s="26">
        <f>IF(JY$2=InputTable[[#This Row],[Delivery Date]],_xlfn.XLOOKUP(JY$1,$BH$2:$BR$2,$BH165:$BR165,0),0)</f>
        <v>0</v>
      </c>
      <c r="JZ165" s="26">
        <f>IF(JZ$2=InputTable[[#This Row],[Delivery Date]],_xlfn.XLOOKUP(JZ$1,$BH$2:$BR$2,$BH165:$BR165,0),0)</f>
        <v>0</v>
      </c>
      <c r="KA165" s="26">
        <f>IF(KA$2=InputTable[[#This Row],[Delivery Date]],_xlfn.XLOOKUP(KA$1,$BH$2:$BR$2,$BH165:$BR165,0),0)</f>
        <v>0</v>
      </c>
      <c r="KB165" s="26">
        <f>IF(KB$2=InputTable[[#This Row],[Delivery Date]],_xlfn.XLOOKUP(KB$1,$BH$2:$BR$2,$BH165:$BR165,0),0)</f>
        <v>0</v>
      </c>
      <c r="KC165" s="26">
        <f>IF(KC$2=InputTable[[#This Row],[Delivery Date]],_xlfn.XLOOKUP(KC$1,$BH$2:$BR$2,$BH165:$BR165,0),0)</f>
        <v>0</v>
      </c>
      <c r="KD165" s="26">
        <f>IF(KD$2=InputTable[[#This Row],[Delivery Date]],_xlfn.XLOOKUP(KD$1,$BH$2:$BR$2,$BH165:$BR165,0),0)</f>
        <v>0</v>
      </c>
      <c r="KE165" s="26">
        <f>IF(KE$2=InputTable[[#This Row],[Delivery Date]],_xlfn.XLOOKUP(KE$1,$BH$2:$BR$2,$BH165:$BR165,0),0)</f>
        <v>0</v>
      </c>
      <c r="KF165" s="26">
        <f>IF(KF$2=InputTable[[#This Row],[Delivery Date]],_xlfn.XLOOKUP(KF$1,$BH$2:$BR$2,$BH165:$BR165,0),0)</f>
        <v>0</v>
      </c>
    </row>
    <row r="166" spans="1:292" ht="34.799999999999997" x14ac:dyDescent="0.25">
      <c r="A166" s="141"/>
      <c r="B166" s="119"/>
      <c r="C166" s="92"/>
      <c r="D166" s="92"/>
      <c r="E166" s="93"/>
      <c r="F166" s="92"/>
      <c r="G166" s="92"/>
      <c r="H166" s="92"/>
      <c r="I166" s="92"/>
      <c r="J166" s="94"/>
      <c r="K166" s="95" t="e">
        <f>VLOOKUP((InputTable[[#This Row],[Starting Date]]&amp; " - " &amp;InputTable[[#This Row],[Delivery Date]]),'System List'!$F$40:$H$83,2,FALSE)</f>
        <v>#N/A</v>
      </c>
      <c r="L166" s="95" t="e">
        <f>VLOOKUP(InputTable[[#This Row],[Duration]],Duration,2,FALSE)</f>
        <v>#N/A</v>
      </c>
      <c r="M166" s="94"/>
      <c r="N166" s="92"/>
      <c r="O166" s="92"/>
      <c r="P166" s="92"/>
      <c r="Q166" s="92"/>
      <c r="R166" s="92"/>
      <c r="S166" s="92"/>
      <c r="T166" s="95"/>
      <c r="U166" s="138"/>
      <c r="V166" s="92"/>
      <c r="W166" s="92"/>
      <c r="X166" s="92"/>
      <c r="Y166" s="92"/>
      <c r="Z166" s="92"/>
      <c r="AA166" s="92"/>
      <c r="AB166" s="92"/>
      <c r="AC166" s="92"/>
      <c r="AD166" s="92">
        <f>COUNTA(InputTable[[#This Row],[CORPHRFIN]:[SALES]])</f>
        <v>0</v>
      </c>
      <c r="AE166" s="88" cm="1">
        <f t="array" ref="AE166">SUM(
_xlfn.XLOOKUP(InputTable[[#This Row],[CORPHRFIN]:[SALES]],'System List'!$F$4:$F$7,'System List'!$H$4:$H$7,0))</f>
        <v>0</v>
      </c>
      <c r="AF166" s="140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88" cm="1">
        <f t="array" ref="AR166">SUM(
_xlfn.XLOOKUP(InputTable[[#This Row],[Impact on - CIAL]:[Impact on - STRAT]],'System List'!$F$4:$F$7,'System List'!$H$4:$H$7,0))</f>
        <v>0</v>
      </c>
      <c r="AS166" s="88" t="e">
        <f>VLOOKUP(InputTable[[#This Row],[Duration]],Duration,2,FALSE)+InputTable[[#This Row],[Resource Score]]</f>
        <v>#N/A</v>
      </c>
      <c r="AT16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6" s="24" t="e">
        <f>InputTable[[#This Row],[Value Score]]/InputTable[[#This Row],[EFFORT SCORE]]*100</f>
        <v>#N/A</v>
      </c>
      <c r="AV166" s="25" t="s">
        <v>457</v>
      </c>
      <c r="AW166" s="25"/>
      <c r="AX166" s="208"/>
      <c r="AY166" s="25"/>
      <c r="AZ166" s="189">
        <v>0</v>
      </c>
      <c r="BA166" s="189">
        <v>0</v>
      </c>
      <c r="BB166" s="189"/>
      <c r="BC166" s="189"/>
      <c r="BD166" s="188"/>
      <c r="BE166" s="188"/>
      <c r="BF166" s="70"/>
      <c r="BH166" s="2">
        <f>IFERROR(VLOOKUP(InputTable[[#This Row],[Impact on - CIAL]],'System List'!$F$4:$H$7,3,FALSE),0)</f>
        <v>0</v>
      </c>
      <c r="BI166" s="2">
        <f>IFERROR(VLOOKUP(InputTable[[#This Row],[Impact on - COM]],'System List'!$F$4:$H$7,3,FALSE),0)</f>
        <v>0</v>
      </c>
      <c r="BJ166" s="2">
        <f>IFERROR(VLOOKUP(InputTable[[#This Row],[Impact on - FIN]],'System List'!$F$4:$H$7,3,FALSE),0)</f>
        <v>0</v>
      </c>
      <c r="BK166" s="2">
        <f>IFERROR(VLOOKUP(InputTable[[#This Row],[Impact on - GEN SEC]],'System List'!$F$4:$H$7,3,FALSE),0)</f>
        <v>0</v>
      </c>
      <c r="BL166" s="2">
        <f>IFERROR(VLOOKUP(InputTable[[#This Row],[Impact on - HR]],'System List'!$F$4:$H$7,3,FALSE),0)</f>
        <v>0</v>
      </c>
      <c r="BM166" s="2">
        <f>IFERROR(VLOOKUP(InputTable[[#This Row],[Impact on - IS]],'System List'!$F$4:$H$7,3,FALSE),0)</f>
        <v>0</v>
      </c>
      <c r="BN166" s="2">
        <f>IFERROR(VLOOKUP(InputTable[[#This Row],[Impact on - OPS]],'System List'!$F$4:$H$7,3,FALSE),0)</f>
        <v>0</v>
      </c>
      <c r="BO166" s="2">
        <f>IFERROR(VLOOKUP(InputTable[[#This Row],[Impact on - ROLL STOCK]],'System List'!$F$4:$H$7,3,FALSE),0)</f>
        <v>0</v>
      </c>
      <c r="BP166" s="2">
        <f>IFERROR(VLOOKUP(InputTable[[#This Row],[Impact on - SAFETY]],'System List'!$F$4:$H$7,3,FALSE),0)</f>
        <v>0</v>
      </c>
      <c r="BQ166" s="2">
        <f>IFERROR(VLOOKUP(InputTable[[#This Row],[Impact on - STATION]],'System List'!$F$4:$H$7,3,FALSE),0)</f>
        <v>0</v>
      </c>
      <c r="BR166" s="2">
        <f>IFERROR(VLOOKUP(InputTable[[#This Row],[Impact on - STRAT]],'System List'!$F$4:$H$7,3,FALSE),0)</f>
        <v>0</v>
      </c>
      <c r="BT166" s="2">
        <f>IFERROR(VLOOKUP(InputTable[[#This Row],[CORPHRFIN]],'System List'!$F$4:$H$7,3,FALSE),0)</f>
        <v>0</v>
      </c>
      <c r="BU166" s="2">
        <f>IFERROR(VLOOKUP(InputTable[[#This Row],[CUST]],'System List'!$F$4:$H$7,3,FALSE),0)</f>
        <v>0</v>
      </c>
      <c r="BV166" s="2">
        <f>IFERROR(VLOOKUP(InputTable[[#This Row],[CYBER]],'System List'!$F$4:$H$7,3,FALSE),0)</f>
        <v>0</v>
      </c>
      <c r="BW166" s="2">
        <f>IFERROR(VLOOKUP(InputTable[[#This Row],[DATA]],'System List'!$F$4:$H$7,3,FALSE),0)</f>
        <v>0</v>
      </c>
      <c r="BX166" s="2">
        <f>IFERROR(VLOOKUP(InputTable[[#This Row],[INFRA]],'System List'!$F$4:$H$7,3,FALSE),0)</f>
        <v>0</v>
      </c>
      <c r="BY166" s="2">
        <f>IFERROR(VLOOKUP(InputTable[[#This Row],[OPERATIONS]],'System List'!$F$4:$H$7,3,FALSE),0)</f>
        <v>0</v>
      </c>
      <c r="BZ166" s="2">
        <f>IFERROR(VLOOKUP(InputTable[[#This Row],[PMO]],'System List'!$F$4:$H$7,3,FALSE),0)</f>
        <v>0</v>
      </c>
      <c r="CA166" s="2">
        <f>IFERROR(VLOOKUP(InputTable[[#This Row],[SALES]],'System List'!$F$4:$H$7,3,FALSE),0)</f>
        <v>0</v>
      </c>
      <c r="CC166" s="2" cm="1">
        <f t="array" ref="CC16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6" s="2" cm="1">
        <f t="array" ref="CD16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6" s="2" cm="1">
        <f t="array" ref="CE16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6" s="2" cm="1">
        <f t="array" ref="CF16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6" s="2" cm="1">
        <f t="array" ref="CG16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6" s="2" cm="1">
        <f t="array" ref="CH16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6" s="2" cm="1">
        <f t="array" ref="CI16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6" s="2" cm="1">
        <f t="array" ref="CJ16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6" s="2" cm="1">
        <f t="array" ref="CK16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6" s="26">
        <f t="shared" si="379"/>
        <v>0</v>
      </c>
      <c r="CY166" s="26">
        <f t="shared" si="380"/>
        <v>0</v>
      </c>
      <c r="CZ166" s="26">
        <f t="shared" si="381"/>
        <v>0</v>
      </c>
      <c r="DA166" s="26">
        <f t="shared" si="382"/>
        <v>0</v>
      </c>
      <c r="DB166" s="26">
        <f t="shared" si="383"/>
        <v>0</v>
      </c>
      <c r="DC166" s="26">
        <f t="shared" si="384"/>
        <v>0</v>
      </c>
      <c r="DD166" s="26">
        <f t="shared" si="385"/>
        <v>0</v>
      </c>
      <c r="DE166" s="26">
        <f t="shared" si="386"/>
        <v>0</v>
      </c>
      <c r="DF166" s="26">
        <f t="shared" si="387"/>
        <v>0</v>
      </c>
      <c r="DH166" s="26">
        <f t="shared" si="388"/>
        <v>0</v>
      </c>
      <c r="DI166" s="26">
        <f t="shared" si="389"/>
        <v>0</v>
      </c>
      <c r="DJ166" s="26">
        <f t="shared" si="390"/>
        <v>0</v>
      </c>
      <c r="DK166" s="26">
        <f t="shared" si="391"/>
        <v>0</v>
      </c>
      <c r="DL166" s="26">
        <f t="shared" si="392"/>
        <v>0</v>
      </c>
      <c r="DM166" s="26">
        <f t="shared" si="393"/>
        <v>0</v>
      </c>
      <c r="DN166" s="26">
        <f t="shared" si="394"/>
        <v>0</v>
      </c>
      <c r="DO166" s="26">
        <f t="shared" si="395"/>
        <v>0</v>
      </c>
      <c r="DP166" s="26">
        <f t="shared" si="396"/>
        <v>0</v>
      </c>
      <c r="DR166" s="26">
        <f t="shared" si="397"/>
        <v>0</v>
      </c>
      <c r="DS166" s="26">
        <f t="shared" si="398"/>
        <v>0</v>
      </c>
      <c r="DT166" s="26">
        <f t="shared" si="399"/>
        <v>0</v>
      </c>
      <c r="DU166" s="26">
        <f t="shared" si="400"/>
        <v>0</v>
      </c>
      <c r="DV166" s="26">
        <f t="shared" si="401"/>
        <v>0</v>
      </c>
      <c r="DW166" s="26">
        <f t="shared" si="402"/>
        <v>0</v>
      </c>
      <c r="DX166" s="26">
        <f t="shared" si="403"/>
        <v>0</v>
      </c>
      <c r="DY166" s="26">
        <f t="shared" si="404"/>
        <v>0</v>
      </c>
      <c r="DZ166" s="26">
        <f t="shared" si="405"/>
        <v>0</v>
      </c>
      <c r="EB166" s="26">
        <f t="shared" si="406"/>
        <v>0</v>
      </c>
      <c r="EC166" s="26">
        <f t="shared" si="407"/>
        <v>0</v>
      </c>
      <c r="ED166" s="26">
        <f t="shared" si="408"/>
        <v>0</v>
      </c>
      <c r="EE166" s="26">
        <f t="shared" si="409"/>
        <v>0</v>
      </c>
      <c r="EF166" s="26">
        <f t="shared" si="410"/>
        <v>0</v>
      </c>
      <c r="EG166" s="26">
        <f t="shared" si="411"/>
        <v>0</v>
      </c>
      <c r="EH166" s="26">
        <f t="shared" si="412"/>
        <v>0</v>
      </c>
      <c r="EI166" s="26">
        <f t="shared" si="413"/>
        <v>0</v>
      </c>
      <c r="EJ166" s="26">
        <f t="shared" si="414"/>
        <v>0</v>
      </c>
      <c r="EL166" s="26">
        <f t="shared" si="415"/>
        <v>0</v>
      </c>
      <c r="EM166" s="26">
        <f t="shared" si="416"/>
        <v>0</v>
      </c>
      <c r="EN166" s="26">
        <f t="shared" si="417"/>
        <v>0</v>
      </c>
      <c r="EO166" s="26">
        <f t="shared" si="418"/>
        <v>0</v>
      </c>
      <c r="EP166" s="26">
        <f t="shared" si="419"/>
        <v>0</v>
      </c>
      <c r="EQ166" s="26">
        <f t="shared" si="420"/>
        <v>0</v>
      </c>
      <c r="ER166" s="26">
        <f t="shared" si="421"/>
        <v>0</v>
      </c>
      <c r="ES166" s="26">
        <f t="shared" si="422"/>
        <v>0</v>
      </c>
      <c r="ET166" s="26">
        <f t="shared" si="423"/>
        <v>0</v>
      </c>
      <c r="EV166" s="26">
        <f t="shared" si="424"/>
        <v>0</v>
      </c>
      <c r="EW166" s="26">
        <f t="shared" si="425"/>
        <v>0</v>
      </c>
      <c r="EX166" s="26">
        <f t="shared" si="426"/>
        <v>0</v>
      </c>
      <c r="EY166" s="26">
        <f t="shared" si="427"/>
        <v>0</v>
      </c>
      <c r="EZ166" s="26">
        <f t="shared" si="428"/>
        <v>0</v>
      </c>
      <c r="FA166" s="26">
        <f t="shared" si="429"/>
        <v>0</v>
      </c>
      <c r="FB166" s="26">
        <f t="shared" si="430"/>
        <v>0</v>
      </c>
      <c r="FC166" s="26">
        <f t="shared" si="431"/>
        <v>0</v>
      </c>
      <c r="FD166" s="26">
        <f t="shared" si="432"/>
        <v>0</v>
      </c>
      <c r="FF166" s="26">
        <f t="shared" si="433"/>
        <v>0</v>
      </c>
      <c r="FG166" s="26">
        <f t="shared" si="434"/>
        <v>0</v>
      </c>
      <c r="FH166" s="26">
        <f t="shared" si="435"/>
        <v>0</v>
      </c>
      <c r="FI166" s="26">
        <f t="shared" si="436"/>
        <v>0</v>
      </c>
      <c r="FJ166" s="26">
        <f t="shared" si="437"/>
        <v>0</v>
      </c>
      <c r="FK166" s="26">
        <f t="shared" si="438"/>
        <v>0</v>
      </c>
      <c r="FL166" s="26">
        <f t="shared" si="439"/>
        <v>0</v>
      </c>
      <c r="FM166" s="26">
        <f t="shared" si="440"/>
        <v>0</v>
      </c>
      <c r="FN166" s="26">
        <f t="shared" si="441"/>
        <v>0</v>
      </c>
      <c r="FP166" s="26" t="e">
        <f t="shared" si="442"/>
        <v>#REF!</v>
      </c>
      <c r="FQ166" s="26" t="e">
        <f t="shared" si="443"/>
        <v>#REF!</v>
      </c>
      <c r="FR166" s="26" t="e">
        <f t="shared" si="444"/>
        <v>#REF!</v>
      </c>
      <c r="FS166" s="26" t="e">
        <f t="shared" si="445"/>
        <v>#REF!</v>
      </c>
      <c r="FT166" s="26" t="e">
        <f t="shared" si="446"/>
        <v>#REF!</v>
      </c>
      <c r="FU166" s="26" t="e">
        <f t="shared" si="447"/>
        <v>#REF!</v>
      </c>
      <c r="FV166" s="26" t="e">
        <f t="shared" si="448"/>
        <v>#REF!</v>
      </c>
      <c r="FW166" s="26" t="e">
        <f t="shared" si="449"/>
        <v>#REF!</v>
      </c>
      <c r="FX166" s="26" t="e">
        <f t="shared" si="450"/>
        <v>#REF!</v>
      </c>
      <c r="GB166" s="26" t="e">
        <f>IF(GB$2=InputTable[[#This Row],[Delivery Date]],_xlfn.XLOOKUP(GB$1,$BH$2:$BR$2,$BH166:$BR166,0),0)</f>
        <v>#REF!</v>
      </c>
      <c r="GC166" s="26">
        <f>IF(GC$2=InputTable[[#This Row],[Delivery Date]],_xlfn.XLOOKUP(GC$1,$BH$2:$BR$2,$BH166:$BR166,0),0)</f>
        <v>0</v>
      </c>
      <c r="GD166" s="26">
        <f>IF(GD$2=InputTable[[#This Row],[Delivery Date]],_xlfn.XLOOKUP(GD$1,$BH$2:$BR$2,$BH166:$BR166,0),0)</f>
        <v>0</v>
      </c>
      <c r="GE166" s="26">
        <f>IF(GE$2=InputTable[[#This Row],[Delivery Date]],_xlfn.XLOOKUP(GE$1,$BH$2:$BR$2,$BH166:$BR166,0),0)</f>
        <v>0</v>
      </c>
      <c r="GF166" s="26">
        <f>IF(GF$2=InputTable[[#This Row],[Delivery Date]],_xlfn.XLOOKUP(GF$1,$BH$2:$BR$2,$BH166:$BR166,0),0)</f>
        <v>0</v>
      </c>
      <c r="GG166" s="26">
        <f>IF(GG$2=InputTable[[#This Row],[Delivery Date]],_xlfn.XLOOKUP(GG$1,$BH$2:$BR$2,$BH166:$BR166,0),0)</f>
        <v>0</v>
      </c>
      <c r="GH166" s="26">
        <f>IF(GH$2=InputTable[[#This Row],[Delivery Date]],_xlfn.XLOOKUP(GH$1,$BH$2:$BR$2,$BH166:$BR166,0),0)</f>
        <v>0</v>
      </c>
      <c r="GI166" s="26">
        <f>IF(GI$2=InputTable[[#This Row],[Delivery Date]],_xlfn.XLOOKUP(GI$1,$BH$2:$BR$2,$BH166:$BR166,0),0)</f>
        <v>0</v>
      </c>
      <c r="GJ166" s="26">
        <f>IF(GJ$2=InputTable[[#This Row],[Delivery Date]],_xlfn.XLOOKUP(GJ$1,$BH$2:$BR$2,$BH166:$BR166,0),0)</f>
        <v>0</v>
      </c>
      <c r="GL166" s="26" t="e">
        <f>IF(GL$2=InputTable[[#This Row],[Delivery Date]],_xlfn.XLOOKUP(GL$1,$BH$2:$BR$2,$BH166:$BR166,0),0)</f>
        <v>#REF!</v>
      </c>
      <c r="GM166" s="26">
        <f>IF(GM$2=InputTable[[#This Row],[Delivery Date]],_xlfn.XLOOKUP(GM$1,$BH$2:$BR$2,$BH166:$BR166,0),0)</f>
        <v>0</v>
      </c>
      <c r="GN166" s="26">
        <f>IF(GN$2=InputTable[[#This Row],[Delivery Date]],_xlfn.XLOOKUP(GN$1,$BH$2:$BR$2,$BH166:$BR166,0),0)</f>
        <v>0</v>
      </c>
      <c r="GO166" s="26">
        <f>IF(GO$2=InputTable[[#This Row],[Delivery Date]],_xlfn.XLOOKUP(GO$1,$BH$2:$BR$2,$BH166:$BR166,0),0)</f>
        <v>0</v>
      </c>
      <c r="GP166" s="26">
        <f>IF(GP$2=InputTable[[#This Row],[Delivery Date]],_xlfn.XLOOKUP(GP$1,$BH$2:$BR$2,$BH166:$BR166,0),0)</f>
        <v>0</v>
      </c>
      <c r="GQ166" s="26">
        <f>IF(GQ$2=InputTable[[#This Row],[Delivery Date]],_xlfn.XLOOKUP(GQ$1,$BH$2:$BR$2,$BH166:$BR166,0),0)</f>
        <v>0</v>
      </c>
      <c r="GR166" s="26">
        <f>IF(GR$2=InputTable[[#This Row],[Delivery Date]],_xlfn.XLOOKUP(GR$1,$BH$2:$BR$2,$BH166:$BR166,0),0)</f>
        <v>0</v>
      </c>
      <c r="GS166" s="26">
        <f>IF(GS$2=InputTable[[#This Row],[Delivery Date]],_xlfn.XLOOKUP(GS$1,$BH$2:$BR$2,$BH166:$BR166,0),0)</f>
        <v>0</v>
      </c>
      <c r="GT166" s="26">
        <f>IF(GT$2=InputTable[[#This Row],[Delivery Date]],_xlfn.XLOOKUP(GT$1,$BH$2:$BR$2,$BH166:$BR166,0),0)</f>
        <v>0</v>
      </c>
      <c r="GV166" s="26" t="e">
        <f>IF(GV$2=InputTable[[#This Row],[Delivery Date]],_xlfn.XLOOKUP(GV$1,$BH$2:$BR$2,$BH166:$BR166,0),0)</f>
        <v>#REF!</v>
      </c>
      <c r="GW166" s="26">
        <f>IF(GW$2=InputTable[[#This Row],[Delivery Date]],_xlfn.XLOOKUP(GW$1,$BH$2:$BR$2,$BH166:$BR166,0),0)</f>
        <v>0</v>
      </c>
      <c r="GX166" s="26">
        <f>IF(GX$2=InputTable[[#This Row],[Delivery Date]],_xlfn.XLOOKUP(GX$1,$BH$2:$BR$2,$BH166:$BR166,0),0)</f>
        <v>0</v>
      </c>
      <c r="GY166" s="26">
        <f>IF(GY$2=InputTable[[#This Row],[Delivery Date]],_xlfn.XLOOKUP(GY$1,$BH$2:$BR$2,$BH166:$BR166,0),0)</f>
        <v>0</v>
      </c>
      <c r="GZ166" s="26">
        <f>IF(GZ$2=InputTable[[#This Row],[Delivery Date]],_xlfn.XLOOKUP(GZ$1,$BH$2:$BR$2,$BH166:$BR166,0),0)</f>
        <v>0</v>
      </c>
      <c r="HA166" s="26">
        <f>IF(HA$2=InputTable[[#This Row],[Delivery Date]],_xlfn.XLOOKUP(HA$1,$BH$2:$BR$2,$BH166:$BR166,0),0)</f>
        <v>0</v>
      </c>
      <c r="HB166" s="26">
        <f>IF(HB$2=InputTable[[#This Row],[Delivery Date]],_xlfn.XLOOKUP(HB$1,$BH$2:$BR$2,$BH166:$BR166,0),0)</f>
        <v>0</v>
      </c>
      <c r="HC166" s="26">
        <f>IF(HC$2=InputTable[[#This Row],[Delivery Date]],_xlfn.XLOOKUP(HC$1,$BH$2:$BR$2,$BH166:$BR166,0),0)</f>
        <v>0</v>
      </c>
      <c r="HD166" s="26">
        <f>IF(HD$2=InputTable[[#This Row],[Delivery Date]],_xlfn.XLOOKUP(HD$1,$BH$2:$BR$2,$BH166:$BR166,0),0)</f>
        <v>0</v>
      </c>
      <c r="HF166" s="26" t="e">
        <f>IF(HF$2=InputTable[[#This Row],[Delivery Date]],_xlfn.XLOOKUP(HF$1,$BH$2:$BR$2,$BH166:$BR166,0),0)</f>
        <v>#REF!</v>
      </c>
      <c r="HG166" s="26">
        <f>IF(HG$2=InputTable[[#This Row],[Delivery Date]],_xlfn.XLOOKUP(HG$1,$BH$2:$BR$2,$BH166:$BR166,0),0)</f>
        <v>0</v>
      </c>
      <c r="HH166" s="26">
        <f>IF(HH$2=InputTable[[#This Row],[Delivery Date]],_xlfn.XLOOKUP(HH$1,$BH$2:$BR$2,$BH166:$BR166,0),0)</f>
        <v>0</v>
      </c>
      <c r="HI166" s="26">
        <f>IF(HI$2=InputTable[[#This Row],[Delivery Date]],_xlfn.XLOOKUP(HI$1,$BH$2:$BR$2,$BH166:$BR166,0),0)</f>
        <v>0</v>
      </c>
      <c r="HJ166" s="26">
        <f>IF(HJ$2=InputTable[[#This Row],[Delivery Date]],_xlfn.XLOOKUP(HJ$1,$BH$2:$BR$2,$BH166:$BR166,0),0)</f>
        <v>0</v>
      </c>
      <c r="HK166" s="26">
        <f>IF(HK$2=InputTable[[#This Row],[Delivery Date]],_xlfn.XLOOKUP(HK$1,$BH$2:$BR$2,$BH166:$BR166,0),0)</f>
        <v>0</v>
      </c>
      <c r="HL166" s="26">
        <f>IF(HL$2=InputTable[[#This Row],[Delivery Date]],_xlfn.XLOOKUP(HL$1,$BH$2:$BR$2,$BH166:$BR166,0),0)</f>
        <v>0</v>
      </c>
      <c r="HM166" s="26">
        <f>IF(HM$2=InputTable[[#This Row],[Delivery Date]],_xlfn.XLOOKUP(HM$1,$BH$2:$BR$2,$BH166:$BR166,0),0)</f>
        <v>0</v>
      </c>
      <c r="HN166" s="26">
        <f>IF(HN$2=InputTable[[#This Row],[Delivery Date]],_xlfn.XLOOKUP(HN$1,$BH$2:$BR$2,$BH166:$BR166,0),0)</f>
        <v>0</v>
      </c>
      <c r="HP166" s="26" t="e">
        <f>IF(HP$2=InputTable[[#This Row],[Delivery Date]],_xlfn.XLOOKUP(HP$1,$BH$2:$BR$2,$BH166:$BR166,0),0)</f>
        <v>#REF!</v>
      </c>
      <c r="HQ166" s="26">
        <f>IF(HQ$2=InputTable[[#This Row],[Delivery Date]],_xlfn.XLOOKUP(HQ$1,$BH$2:$BR$2,$BH166:$BR166,0),0)</f>
        <v>0</v>
      </c>
      <c r="HR166" s="26">
        <f>IF(HR$2=InputTable[[#This Row],[Delivery Date]],_xlfn.XLOOKUP(HR$1,$BH$2:$BR$2,$BH166:$BR166,0),0)</f>
        <v>0</v>
      </c>
      <c r="HS166" s="26">
        <f>IF(HS$2=InputTable[[#This Row],[Delivery Date]],_xlfn.XLOOKUP(HS$1,$BH$2:$BR$2,$BH166:$BR166,0),0)</f>
        <v>0</v>
      </c>
      <c r="HT166" s="26">
        <f>IF(HT$2=InputTable[[#This Row],[Delivery Date]],_xlfn.XLOOKUP(HT$1,$BH$2:$BR$2,$BH166:$BR166,0),0)</f>
        <v>0</v>
      </c>
      <c r="HU166" s="26">
        <f>IF(HU$2=InputTable[[#This Row],[Delivery Date]],_xlfn.XLOOKUP(HU$1,$BH$2:$BR$2,$BH166:$BR166,0),0)</f>
        <v>0</v>
      </c>
      <c r="HV166" s="26">
        <f>IF(HV$2=InputTable[[#This Row],[Delivery Date]],_xlfn.XLOOKUP(HV$1,$BH$2:$BR$2,$BH166:$BR166,0),0)</f>
        <v>0</v>
      </c>
      <c r="HW166" s="26">
        <f>IF(HW$2=InputTable[[#This Row],[Delivery Date]],_xlfn.XLOOKUP(HW$1,$BH$2:$BR$2,$BH166:$BR166,0),0)</f>
        <v>0</v>
      </c>
      <c r="HX166" s="26">
        <f>IF(HX$2=InputTable[[#This Row],[Delivery Date]],_xlfn.XLOOKUP(HX$1,$BH$2:$BR$2,$BH166:$BR166,0),0)</f>
        <v>0</v>
      </c>
      <c r="HZ166" s="26" t="e">
        <f>IF(HZ$2=InputTable[[#This Row],[Delivery Date]],_xlfn.XLOOKUP(HZ$1,$BH$2:$BR$2,$BH166:$BR166,0),0)</f>
        <v>#REF!</v>
      </c>
      <c r="IA166" s="26">
        <f>IF(IA$2=InputTable[[#This Row],[Delivery Date]],_xlfn.XLOOKUP(IA$1,$BH$2:$BR$2,$BH166:$BR166,0),0)</f>
        <v>0</v>
      </c>
      <c r="IB166" s="26">
        <f>IF(IB$2=InputTable[[#This Row],[Delivery Date]],_xlfn.XLOOKUP(IB$1,$BH$2:$BR$2,$BH166:$BR166,0),0)</f>
        <v>0</v>
      </c>
      <c r="IC166" s="26">
        <f>IF(IC$2=InputTable[[#This Row],[Delivery Date]],_xlfn.XLOOKUP(IC$1,$BH$2:$BR$2,$BH166:$BR166,0),0)</f>
        <v>0</v>
      </c>
      <c r="ID166" s="26">
        <f>IF(ID$2=InputTable[[#This Row],[Delivery Date]],_xlfn.XLOOKUP(ID$1,$BH$2:$BR$2,$BH166:$BR166,0),0)</f>
        <v>0</v>
      </c>
      <c r="IE166" s="26">
        <f>IF(IE$2=InputTable[[#This Row],[Delivery Date]],_xlfn.XLOOKUP(IE$1,$BH$2:$BR$2,$BH166:$BR166,0),0)</f>
        <v>0</v>
      </c>
      <c r="IF166" s="26">
        <f>IF(IF$2=InputTable[[#This Row],[Delivery Date]],_xlfn.XLOOKUP(IF$1,$BH$2:$BR$2,$BH166:$BR166,0),0)</f>
        <v>0</v>
      </c>
      <c r="IG166" s="26">
        <f>IF(IG$2=InputTable[[#This Row],[Delivery Date]],_xlfn.XLOOKUP(IG$1,$BH$2:$BR$2,$BH166:$BR166,0),0)</f>
        <v>0</v>
      </c>
      <c r="IH166" s="26">
        <f>IF(IH$2=InputTable[[#This Row],[Delivery Date]],_xlfn.XLOOKUP(IH$1,$BH$2:$BR$2,$BH166:$BR166,0),0)</f>
        <v>0</v>
      </c>
      <c r="IJ166" s="26" t="e">
        <f>IF(IJ$2=InputTable[[#This Row],[Delivery Date]],_xlfn.XLOOKUP(IJ$1,$BH$2:$BR$2,$BH166:$BR166,0),0)</f>
        <v>#REF!</v>
      </c>
      <c r="IK166" s="26">
        <f>IF(IK$2=InputTable[[#This Row],[Delivery Date]],_xlfn.XLOOKUP(IK$1,$BH$2:$BR$2,$BH166:$BR166,0),0)</f>
        <v>0</v>
      </c>
      <c r="IL166" s="26">
        <f>IF(IL$2=InputTable[[#This Row],[Delivery Date]],_xlfn.XLOOKUP(IL$1,$BH$2:$BR$2,$BH166:$BR166,0),0)</f>
        <v>0</v>
      </c>
      <c r="IM166" s="26">
        <f>IF(IM$2=InputTable[[#This Row],[Delivery Date]],_xlfn.XLOOKUP(IM$1,$BH$2:$BR$2,$BH166:$BR166,0),0)</f>
        <v>0</v>
      </c>
      <c r="IN166" s="26">
        <f>IF(IN$2=InputTable[[#This Row],[Delivery Date]],_xlfn.XLOOKUP(IN$1,$BH$2:$BR$2,$BH166:$BR166,0),0)</f>
        <v>0</v>
      </c>
      <c r="IO166" s="26">
        <f>IF(IO$2=InputTable[[#This Row],[Delivery Date]],_xlfn.XLOOKUP(IO$1,$BH$2:$BR$2,$BH166:$BR166,0),0)</f>
        <v>0</v>
      </c>
      <c r="IP166" s="26">
        <f>IF(IP$2=InputTable[[#This Row],[Delivery Date]],_xlfn.XLOOKUP(IP$1,$BH$2:$BR$2,$BH166:$BR166,0),0)</f>
        <v>0</v>
      </c>
      <c r="IQ166" s="26">
        <f>IF(IQ$2=InputTable[[#This Row],[Delivery Date]],_xlfn.XLOOKUP(IQ$1,$BH$2:$BR$2,$BH166:$BR166,0),0)</f>
        <v>0</v>
      </c>
      <c r="IR166" s="26">
        <f>IF(IR$2=InputTable[[#This Row],[Delivery Date]],_xlfn.XLOOKUP(IR$1,$BH$2:$BR$2,$BH166:$BR166,0),0)</f>
        <v>0</v>
      </c>
      <c r="IT166" s="26" t="e">
        <f>IF(IT$2=InputTable[[#This Row],[Delivery Date]],_xlfn.XLOOKUP(IT$1,$BH$2:$BR$2,$BH166:$BR166,0),0)</f>
        <v>#REF!</v>
      </c>
      <c r="IU166" s="26">
        <f>IF(IU$2=InputTable[[#This Row],[Delivery Date]],_xlfn.XLOOKUP(IU$1,$BH$2:$BR$2,$BH166:$BR166,0),0)</f>
        <v>0</v>
      </c>
      <c r="IV166" s="26">
        <f>IF(IV$2=InputTable[[#This Row],[Delivery Date]],_xlfn.XLOOKUP(IV$1,$BH$2:$BR$2,$BH166:$BR166,0),0)</f>
        <v>0</v>
      </c>
      <c r="IW166" s="26">
        <f>IF(IW$2=InputTable[[#This Row],[Delivery Date]],_xlfn.XLOOKUP(IW$1,$BH$2:$BR$2,$BH166:$BR166,0),0)</f>
        <v>0</v>
      </c>
      <c r="IX166" s="26">
        <f>IF(IX$2=InputTable[[#This Row],[Delivery Date]],_xlfn.XLOOKUP(IX$1,$BH$2:$BR$2,$BH166:$BR166,0),0)</f>
        <v>0</v>
      </c>
      <c r="IY166" s="26">
        <f>IF(IY$2=InputTable[[#This Row],[Delivery Date]],_xlfn.XLOOKUP(IY$1,$BH$2:$BR$2,$BH166:$BR166,0),0)</f>
        <v>0</v>
      </c>
      <c r="IZ166" s="26">
        <f>IF(IZ$2=InputTable[[#This Row],[Delivery Date]],_xlfn.XLOOKUP(IZ$1,$BH$2:$BR$2,$BH166:$BR166,0),0)</f>
        <v>0</v>
      </c>
      <c r="JA166" s="26">
        <f>IF(JA$2=InputTable[[#This Row],[Delivery Date]],_xlfn.XLOOKUP(JA$1,$BH$2:$BR$2,$BH166:$BR166,0),0)</f>
        <v>0</v>
      </c>
      <c r="JB166" s="26">
        <f>IF(JB$2=InputTable[[#This Row],[Delivery Date]],_xlfn.XLOOKUP(JB$1,$BH$2:$BR$2,$BH166:$BR166,0),0)</f>
        <v>0</v>
      </c>
      <c r="JD166" s="26" t="e">
        <f>IF(JD$2=InputTable[[#This Row],[Delivery Date]],_xlfn.XLOOKUP(JD$1,$BH$2:$BR$2,$BH166:$BR166,0),0)</f>
        <v>#REF!</v>
      </c>
      <c r="JE166" s="26">
        <f>IF(JE$2=InputTable[[#This Row],[Delivery Date]],_xlfn.XLOOKUP(JE$1,$BH$2:$BR$2,$BH166:$BR166,0),0)</f>
        <v>0</v>
      </c>
      <c r="JF166" s="26">
        <f>IF(JF$2=InputTable[[#This Row],[Delivery Date]],_xlfn.XLOOKUP(JF$1,$BH$2:$BR$2,$BH166:$BR166,0),0)</f>
        <v>0</v>
      </c>
      <c r="JG166" s="26">
        <f>IF(JG$2=InputTable[[#This Row],[Delivery Date]],_xlfn.XLOOKUP(JG$1,$BH$2:$BR$2,$BH166:$BR166,0),0)</f>
        <v>0</v>
      </c>
      <c r="JH166" s="26">
        <f>IF(JH$2=InputTable[[#This Row],[Delivery Date]],_xlfn.XLOOKUP(JH$1,$BH$2:$BR$2,$BH166:$BR166,0),0)</f>
        <v>0</v>
      </c>
      <c r="JI166" s="26">
        <f>IF(JI$2=InputTable[[#This Row],[Delivery Date]],_xlfn.XLOOKUP(JI$1,$BH$2:$BR$2,$BH166:$BR166,0),0)</f>
        <v>0</v>
      </c>
      <c r="JJ166" s="26">
        <f>IF(JJ$2=InputTable[[#This Row],[Delivery Date]],_xlfn.XLOOKUP(JJ$1,$BH$2:$BR$2,$BH166:$BR166,0),0)</f>
        <v>0</v>
      </c>
      <c r="JK166" s="26">
        <f>IF(JK$2=InputTable[[#This Row],[Delivery Date]],_xlfn.XLOOKUP(JK$1,$BH$2:$BR$2,$BH166:$BR166,0),0)</f>
        <v>0</v>
      </c>
      <c r="JL166" s="26">
        <f>IF(JL$2=InputTable[[#This Row],[Delivery Date]],_xlfn.XLOOKUP(JL$1,$BH$2:$BR$2,$BH166:$BR166,0),0)</f>
        <v>0</v>
      </c>
      <c r="JN166" s="26" t="e">
        <f>IF(JN$2=InputTable[[#This Row],[Delivery Date]],_xlfn.XLOOKUP(JN$1,$BH$2:$BR$2,$BH166:$BR166,0),0)</f>
        <v>#REF!</v>
      </c>
      <c r="JO166" s="26">
        <f>IF(JO$2=InputTable[[#This Row],[Delivery Date]],_xlfn.XLOOKUP(JO$1,$BH$2:$BR$2,$BH166:$BR166,0),0)</f>
        <v>0</v>
      </c>
      <c r="JP166" s="26">
        <f>IF(JP$2=InputTable[[#This Row],[Delivery Date]],_xlfn.XLOOKUP(JP$1,$BH$2:$BR$2,$BH166:$BR166,0),0)</f>
        <v>0</v>
      </c>
      <c r="JQ166" s="26">
        <f>IF(JQ$2=InputTable[[#This Row],[Delivery Date]],_xlfn.XLOOKUP(JQ$1,$BH$2:$BR$2,$BH166:$BR166,0),0)</f>
        <v>0</v>
      </c>
      <c r="JR166" s="26">
        <f>IF(JR$2=InputTable[[#This Row],[Delivery Date]],_xlfn.XLOOKUP(JR$1,$BH$2:$BR$2,$BH166:$BR166,0),0)</f>
        <v>0</v>
      </c>
      <c r="JS166" s="26">
        <f>IF(JS$2=InputTable[[#This Row],[Delivery Date]],_xlfn.XLOOKUP(JS$1,$BH$2:$BR$2,$BH166:$BR166,0),0)</f>
        <v>0</v>
      </c>
      <c r="JT166" s="26">
        <f>IF(JT$2=InputTable[[#This Row],[Delivery Date]],_xlfn.XLOOKUP(JT$1,$BH$2:$BR$2,$BH166:$BR166,0),0)</f>
        <v>0</v>
      </c>
      <c r="JU166" s="26">
        <f>IF(JU$2=InputTable[[#This Row],[Delivery Date]],_xlfn.XLOOKUP(JU$1,$BH$2:$BR$2,$BH166:$BR166,0),0)</f>
        <v>0</v>
      </c>
      <c r="JV166" s="26">
        <f>IF(JV$2=InputTable[[#This Row],[Delivery Date]],_xlfn.XLOOKUP(JV$1,$BH$2:$BR$2,$BH166:$BR166,0),0)</f>
        <v>0</v>
      </c>
      <c r="JX166" s="26" t="e">
        <f>IF(JX$2=InputTable[[#This Row],[Delivery Date]],_xlfn.XLOOKUP(JX$1,$BH$2:$BR$2,$BH166:$BR166,0),0)</f>
        <v>#REF!</v>
      </c>
      <c r="JY166" s="26">
        <f>IF(JY$2=InputTable[[#This Row],[Delivery Date]],_xlfn.XLOOKUP(JY$1,$BH$2:$BR$2,$BH166:$BR166,0),0)</f>
        <v>0</v>
      </c>
      <c r="JZ166" s="26">
        <f>IF(JZ$2=InputTable[[#This Row],[Delivery Date]],_xlfn.XLOOKUP(JZ$1,$BH$2:$BR$2,$BH166:$BR166,0),0)</f>
        <v>0</v>
      </c>
      <c r="KA166" s="26">
        <f>IF(KA$2=InputTable[[#This Row],[Delivery Date]],_xlfn.XLOOKUP(KA$1,$BH$2:$BR$2,$BH166:$BR166,0),0)</f>
        <v>0</v>
      </c>
      <c r="KB166" s="26">
        <f>IF(KB$2=InputTable[[#This Row],[Delivery Date]],_xlfn.XLOOKUP(KB$1,$BH$2:$BR$2,$BH166:$BR166,0),0)</f>
        <v>0</v>
      </c>
      <c r="KC166" s="26">
        <f>IF(KC$2=InputTable[[#This Row],[Delivery Date]],_xlfn.XLOOKUP(KC$1,$BH$2:$BR$2,$BH166:$BR166,0),0)</f>
        <v>0</v>
      </c>
      <c r="KD166" s="26">
        <f>IF(KD$2=InputTable[[#This Row],[Delivery Date]],_xlfn.XLOOKUP(KD$1,$BH$2:$BR$2,$BH166:$BR166,0),0)</f>
        <v>0</v>
      </c>
      <c r="KE166" s="26">
        <f>IF(KE$2=InputTable[[#This Row],[Delivery Date]],_xlfn.XLOOKUP(KE$1,$BH$2:$BR$2,$BH166:$BR166,0),0)</f>
        <v>0</v>
      </c>
      <c r="KF166" s="26">
        <f>IF(KF$2=InputTable[[#This Row],[Delivery Date]],_xlfn.XLOOKUP(KF$1,$BH$2:$BR$2,$BH166:$BR166,0),0)</f>
        <v>0</v>
      </c>
    </row>
    <row r="167" spans="1:292" ht="34.799999999999997" x14ac:dyDescent="0.25">
      <c r="A167" s="141"/>
      <c r="B167" s="119"/>
      <c r="C167" s="92"/>
      <c r="D167" s="92"/>
      <c r="E167" s="93"/>
      <c r="F167" s="92"/>
      <c r="G167" s="92"/>
      <c r="H167" s="92"/>
      <c r="I167" s="92"/>
      <c r="J167" s="94"/>
      <c r="K167" s="95" t="e">
        <f>VLOOKUP((InputTable[[#This Row],[Starting Date]]&amp; " - " &amp;InputTable[[#This Row],[Delivery Date]]),'System List'!$F$40:$H$83,2,FALSE)</f>
        <v>#N/A</v>
      </c>
      <c r="L167" s="95" t="e">
        <f>VLOOKUP(InputTable[[#This Row],[Duration]],Duration,2,FALSE)</f>
        <v>#N/A</v>
      </c>
      <c r="M167" s="94"/>
      <c r="N167" s="92"/>
      <c r="O167" s="92"/>
      <c r="P167" s="92"/>
      <c r="Q167" s="92"/>
      <c r="R167" s="92"/>
      <c r="S167" s="92"/>
      <c r="T167" s="95"/>
      <c r="U167" s="138"/>
      <c r="V167" s="92"/>
      <c r="W167" s="92"/>
      <c r="X167" s="92"/>
      <c r="Y167" s="92"/>
      <c r="Z167" s="92"/>
      <c r="AA167" s="92"/>
      <c r="AB167" s="92"/>
      <c r="AC167" s="92"/>
      <c r="AD167" s="92">
        <f>COUNTA(InputTable[[#This Row],[CORPHRFIN]:[SALES]])</f>
        <v>0</v>
      </c>
      <c r="AE167" s="88" cm="1">
        <f t="array" ref="AE167">SUM(
_xlfn.XLOOKUP(InputTable[[#This Row],[CORPHRFIN]:[SALES]],'System List'!$F$4:$F$7,'System List'!$H$4:$H$7,0))</f>
        <v>0</v>
      </c>
      <c r="AF167" s="140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88" cm="1">
        <f t="array" ref="AR167">SUM(
_xlfn.XLOOKUP(InputTable[[#This Row],[Impact on - CIAL]:[Impact on - STRAT]],'System List'!$F$4:$F$7,'System List'!$H$4:$H$7,0))</f>
        <v>0</v>
      </c>
      <c r="AS167" s="88" t="e">
        <f>VLOOKUP(InputTable[[#This Row],[Duration]],Duration,2,FALSE)+InputTable[[#This Row],[Resource Score]]</f>
        <v>#N/A</v>
      </c>
      <c r="AT16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7" s="24" t="e">
        <f>InputTable[[#This Row],[Value Score]]/InputTable[[#This Row],[EFFORT SCORE]]*100</f>
        <v>#N/A</v>
      </c>
      <c r="AV167" s="25" t="s">
        <v>458</v>
      </c>
      <c r="AW167" s="25"/>
      <c r="AX167" s="208"/>
      <c r="AY167" s="25"/>
      <c r="AZ167" s="189">
        <v>0</v>
      </c>
      <c r="BA167" s="189">
        <v>0</v>
      </c>
      <c r="BB167" s="189"/>
      <c r="BC167" s="189"/>
      <c r="BD167" s="188"/>
      <c r="BE167" s="188"/>
      <c r="BF167" s="70"/>
      <c r="BH167" s="2">
        <f>IFERROR(VLOOKUP(InputTable[[#This Row],[Impact on - CIAL]],'System List'!$F$4:$H$7,3,FALSE),0)</f>
        <v>0</v>
      </c>
      <c r="BI167" s="2">
        <f>IFERROR(VLOOKUP(InputTable[[#This Row],[Impact on - COM]],'System List'!$F$4:$H$7,3,FALSE),0)</f>
        <v>0</v>
      </c>
      <c r="BJ167" s="2">
        <f>IFERROR(VLOOKUP(InputTable[[#This Row],[Impact on - FIN]],'System List'!$F$4:$H$7,3,FALSE),0)</f>
        <v>0</v>
      </c>
      <c r="BK167" s="2">
        <f>IFERROR(VLOOKUP(InputTable[[#This Row],[Impact on - GEN SEC]],'System List'!$F$4:$H$7,3,FALSE),0)</f>
        <v>0</v>
      </c>
      <c r="BL167" s="2">
        <f>IFERROR(VLOOKUP(InputTable[[#This Row],[Impact on - HR]],'System List'!$F$4:$H$7,3,FALSE),0)</f>
        <v>0</v>
      </c>
      <c r="BM167" s="2">
        <f>IFERROR(VLOOKUP(InputTable[[#This Row],[Impact on - IS]],'System List'!$F$4:$H$7,3,FALSE),0)</f>
        <v>0</v>
      </c>
      <c r="BN167" s="2">
        <f>IFERROR(VLOOKUP(InputTable[[#This Row],[Impact on - OPS]],'System List'!$F$4:$H$7,3,FALSE),0)</f>
        <v>0</v>
      </c>
      <c r="BO167" s="2">
        <f>IFERROR(VLOOKUP(InputTable[[#This Row],[Impact on - ROLL STOCK]],'System List'!$F$4:$H$7,3,FALSE),0)</f>
        <v>0</v>
      </c>
      <c r="BP167" s="2">
        <f>IFERROR(VLOOKUP(InputTable[[#This Row],[Impact on - SAFETY]],'System List'!$F$4:$H$7,3,FALSE),0)</f>
        <v>0</v>
      </c>
      <c r="BQ167" s="2">
        <f>IFERROR(VLOOKUP(InputTable[[#This Row],[Impact on - STATION]],'System List'!$F$4:$H$7,3,FALSE),0)</f>
        <v>0</v>
      </c>
      <c r="BR167" s="2">
        <f>IFERROR(VLOOKUP(InputTable[[#This Row],[Impact on - STRAT]],'System List'!$F$4:$H$7,3,FALSE),0)</f>
        <v>0</v>
      </c>
      <c r="BT167" s="2">
        <f>IFERROR(VLOOKUP(InputTable[[#This Row],[CORPHRFIN]],'System List'!$F$4:$H$7,3,FALSE),0)</f>
        <v>0</v>
      </c>
      <c r="BU167" s="2">
        <f>IFERROR(VLOOKUP(InputTable[[#This Row],[CUST]],'System List'!$F$4:$H$7,3,FALSE),0)</f>
        <v>0</v>
      </c>
      <c r="BV167" s="2">
        <f>IFERROR(VLOOKUP(InputTable[[#This Row],[CYBER]],'System List'!$F$4:$H$7,3,FALSE),0)</f>
        <v>0</v>
      </c>
      <c r="BW167" s="2">
        <f>IFERROR(VLOOKUP(InputTable[[#This Row],[DATA]],'System List'!$F$4:$H$7,3,FALSE),0)</f>
        <v>0</v>
      </c>
      <c r="BX167" s="2">
        <f>IFERROR(VLOOKUP(InputTable[[#This Row],[INFRA]],'System List'!$F$4:$H$7,3,FALSE),0)</f>
        <v>0</v>
      </c>
      <c r="BY167" s="2">
        <f>IFERROR(VLOOKUP(InputTable[[#This Row],[OPERATIONS]],'System List'!$F$4:$H$7,3,FALSE),0)</f>
        <v>0</v>
      </c>
      <c r="BZ167" s="2">
        <f>IFERROR(VLOOKUP(InputTable[[#This Row],[PMO]],'System List'!$F$4:$H$7,3,FALSE),0)</f>
        <v>0</v>
      </c>
      <c r="CA167" s="2">
        <f>IFERROR(VLOOKUP(InputTable[[#This Row],[SALES]],'System List'!$F$4:$H$7,3,FALSE),0)</f>
        <v>0</v>
      </c>
      <c r="CC167" s="2" cm="1">
        <f t="array" ref="CC16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7" s="2" cm="1">
        <f t="array" ref="CD16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7" s="2" cm="1">
        <f t="array" ref="CE16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7" s="2" cm="1">
        <f t="array" ref="CF16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7" s="2" cm="1">
        <f t="array" ref="CG16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7" s="2" cm="1">
        <f t="array" ref="CH16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7" s="2" cm="1">
        <f t="array" ref="CI16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7" s="2" cm="1">
        <f t="array" ref="CJ16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7" s="2" cm="1">
        <f t="array" ref="CK16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7" s="26">
        <f t="shared" si="379"/>
        <v>0</v>
      </c>
      <c r="CY167" s="26">
        <f t="shared" si="380"/>
        <v>0</v>
      </c>
      <c r="CZ167" s="26">
        <f t="shared" si="381"/>
        <v>0</v>
      </c>
      <c r="DA167" s="26">
        <f t="shared" si="382"/>
        <v>0</v>
      </c>
      <c r="DB167" s="26">
        <f t="shared" si="383"/>
        <v>0</v>
      </c>
      <c r="DC167" s="26">
        <f t="shared" si="384"/>
        <v>0</v>
      </c>
      <c r="DD167" s="26">
        <f t="shared" si="385"/>
        <v>0</v>
      </c>
      <c r="DE167" s="26">
        <f t="shared" si="386"/>
        <v>0</v>
      </c>
      <c r="DF167" s="26">
        <f t="shared" si="387"/>
        <v>0</v>
      </c>
      <c r="DH167" s="26">
        <f t="shared" si="388"/>
        <v>0</v>
      </c>
      <c r="DI167" s="26">
        <f t="shared" si="389"/>
        <v>0</v>
      </c>
      <c r="DJ167" s="26">
        <f t="shared" si="390"/>
        <v>0</v>
      </c>
      <c r="DK167" s="26">
        <f t="shared" si="391"/>
        <v>0</v>
      </c>
      <c r="DL167" s="26">
        <f t="shared" si="392"/>
        <v>0</v>
      </c>
      <c r="DM167" s="26">
        <f t="shared" si="393"/>
        <v>0</v>
      </c>
      <c r="DN167" s="26">
        <f t="shared" si="394"/>
        <v>0</v>
      </c>
      <c r="DO167" s="26">
        <f t="shared" si="395"/>
        <v>0</v>
      </c>
      <c r="DP167" s="26">
        <f t="shared" si="396"/>
        <v>0</v>
      </c>
      <c r="DR167" s="26">
        <f t="shared" si="397"/>
        <v>0</v>
      </c>
      <c r="DS167" s="26">
        <f t="shared" si="398"/>
        <v>0</v>
      </c>
      <c r="DT167" s="26">
        <f t="shared" si="399"/>
        <v>0</v>
      </c>
      <c r="DU167" s="26">
        <f t="shared" si="400"/>
        <v>0</v>
      </c>
      <c r="DV167" s="26">
        <f t="shared" si="401"/>
        <v>0</v>
      </c>
      <c r="DW167" s="26">
        <f t="shared" si="402"/>
        <v>0</v>
      </c>
      <c r="DX167" s="26">
        <f t="shared" si="403"/>
        <v>0</v>
      </c>
      <c r="DY167" s="26">
        <f t="shared" si="404"/>
        <v>0</v>
      </c>
      <c r="DZ167" s="26">
        <f t="shared" si="405"/>
        <v>0</v>
      </c>
      <c r="EB167" s="26">
        <f t="shared" si="406"/>
        <v>0</v>
      </c>
      <c r="EC167" s="26">
        <f t="shared" si="407"/>
        <v>0</v>
      </c>
      <c r="ED167" s="26">
        <f t="shared" si="408"/>
        <v>0</v>
      </c>
      <c r="EE167" s="26">
        <f t="shared" si="409"/>
        <v>0</v>
      </c>
      <c r="EF167" s="26">
        <f t="shared" si="410"/>
        <v>0</v>
      </c>
      <c r="EG167" s="26">
        <f t="shared" si="411"/>
        <v>0</v>
      </c>
      <c r="EH167" s="26">
        <f t="shared" si="412"/>
        <v>0</v>
      </c>
      <c r="EI167" s="26">
        <f t="shared" si="413"/>
        <v>0</v>
      </c>
      <c r="EJ167" s="26">
        <f t="shared" si="414"/>
        <v>0</v>
      </c>
      <c r="EL167" s="26">
        <f t="shared" si="415"/>
        <v>0</v>
      </c>
      <c r="EM167" s="26">
        <f t="shared" si="416"/>
        <v>0</v>
      </c>
      <c r="EN167" s="26">
        <f t="shared" si="417"/>
        <v>0</v>
      </c>
      <c r="EO167" s="26">
        <f t="shared" si="418"/>
        <v>0</v>
      </c>
      <c r="EP167" s="26">
        <f t="shared" si="419"/>
        <v>0</v>
      </c>
      <c r="EQ167" s="26">
        <f t="shared" si="420"/>
        <v>0</v>
      </c>
      <c r="ER167" s="26">
        <f t="shared" si="421"/>
        <v>0</v>
      </c>
      <c r="ES167" s="26">
        <f t="shared" si="422"/>
        <v>0</v>
      </c>
      <c r="ET167" s="26">
        <f t="shared" si="423"/>
        <v>0</v>
      </c>
      <c r="EV167" s="26">
        <f t="shared" si="424"/>
        <v>0</v>
      </c>
      <c r="EW167" s="26">
        <f t="shared" si="425"/>
        <v>0</v>
      </c>
      <c r="EX167" s="26">
        <f t="shared" si="426"/>
        <v>0</v>
      </c>
      <c r="EY167" s="26">
        <f t="shared" si="427"/>
        <v>0</v>
      </c>
      <c r="EZ167" s="26">
        <f t="shared" si="428"/>
        <v>0</v>
      </c>
      <c r="FA167" s="26">
        <f t="shared" si="429"/>
        <v>0</v>
      </c>
      <c r="FB167" s="26">
        <f t="shared" si="430"/>
        <v>0</v>
      </c>
      <c r="FC167" s="26">
        <f t="shared" si="431"/>
        <v>0</v>
      </c>
      <c r="FD167" s="26">
        <f t="shared" si="432"/>
        <v>0</v>
      </c>
      <c r="FF167" s="26">
        <f t="shared" si="433"/>
        <v>0</v>
      </c>
      <c r="FG167" s="26">
        <f t="shared" si="434"/>
        <v>0</v>
      </c>
      <c r="FH167" s="26">
        <f t="shared" si="435"/>
        <v>0</v>
      </c>
      <c r="FI167" s="26">
        <f t="shared" si="436"/>
        <v>0</v>
      </c>
      <c r="FJ167" s="26">
        <f t="shared" si="437"/>
        <v>0</v>
      </c>
      <c r="FK167" s="26">
        <f t="shared" si="438"/>
        <v>0</v>
      </c>
      <c r="FL167" s="26">
        <f t="shared" si="439"/>
        <v>0</v>
      </c>
      <c r="FM167" s="26">
        <f t="shared" si="440"/>
        <v>0</v>
      </c>
      <c r="FN167" s="26">
        <f t="shared" si="441"/>
        <v>0</v>
      </c>
      <c r="FP167" s="26" t="e">
        <f t="shared" si="442"/>
        <v>#REF!</v>
      </c>
      <c r="FQ167" s="26" t="e">
        <f t="shared" si="443"/>
        <v>#REF!</v>
      </c>
      <c r="FR167" s="26" t="e">
        <f t="shared" si="444"/>
        <v>#REF!</v>
      </c>
      <c r="FS167" s="26" t="e">
        <f t="shared" si="445"/>
        <v>#REF!</v>
      </c>
      <c r="FT167" s="26" t="e">
        <f t="shared" si="446"/>
        <v>#REF!</v>
      </c>
      <c r="FU167" s="26" t="e">
        <f t="shared" si="447"/>
        <v>#REF!</v>
      </c>
      <c r="FV167" s="26" t="e">
        <f t="shared" si="448"/>
        <v>#REF!</v>
      </c>
      <c r="FW167" s="26" t="e">
        <f t="shared" si="449"/>
        <v>#REF!</v>
      </c>
      <c r="FX167" s="26" t="e">
        <f t="shared" si="450"/>
        <v>#REF!</v>
      </c>
      <c r="GB167" s="26" t="e">
        <f>IF(GB$2=InputTable[[#This Row],[Delivery Date]],_xlfn.XLOOKUP(GB$1,$BH$2:$BR$2,$BH167:$BR167,0),0)</f>
        <v>#REF!</v>
      </c>
      <c r="GC167" s="26">
        <f>IF(GC$2=InputTable[[#This Row],[Delivery Date]],_xlfn.XLOOKUP(GC$1,$BH$2:$BR$2,$BH167:$BR167,0),0)</f>
        <v>0</v>
      </c>
      <c r="GD167" s="26">
        <f>IF(GD$2=InputTable[[#This Row],[Delivery Date]],_xlfn.XLOOKUP(GD$1,$BH$2:$BR$2,$BH167:$BR167,0),0)</f>
        <v>0</v>
      </c>
      <c r="GE167" s="26">
        <f>IF(GE$2=InputTable[[#This Row],[Delivery Date]],_xlfn.XLOOKUP(GE$1,$BH$2:$BR$2,$BH167:$BR167,0),0)</f>
        <v>0</v>
      </c>
      <c r="GF167" s="26">
        <f>IF(GF$2=InputTable[[#This Row],[Delivery Date]],_xlfn.XLOOKUP(GF$1,$BH$2:$BR$2,$BH167:$BR167,0),0)</f>
        <v>0</v>
      </c>
      <c r="GG167" s="26">
        <f>IF(GG$2=InputTable[[#This Row],[Delivery Date]],_xlfn.XLOOKUP(GG$1,$BH$2:$BR$2,$BH167:$BR167,0),0)</f>
        <v>0</v>
      </c>
      <c r="GH167" s="26">
        <f>IF(GH$2=InputTable[[#This Row],[Delivery Date]],_xlfn.XLOOKUP(GH$1,$BH$2:$BR$2,$BH167:$BR167,0),0)</f>
        <v>0</v>
      </c>
      <c r="GI167" s="26">
        <f>IF(GI$2=InputTable[[#This Row],[Delivery Date]],_xlfn.XLOOKUP(GI$1,$BH$2:$BR$2,$BH167:$BR167,0),0)</f>
        <v>0</v>
      </c>
      <c r="GJ167" s="26">
        <f>IF(GJ$2=InputTable[[#This Row],[Delivery Date]],_xlfn.XLOOKUP(GJ$1,$BH$2:$BR$2,$BH167:$BR167,0),0)</f>
        <v>0</v>
      </c>
      <c r="GL167" s="26" t="e">
        <f>IF(GL$2=InputTable[[#This Row],[Delivery Date]],_xlfn.XLOOKUP(GL$1,$BH$2:$BR$2,$BH167:$BR167,0),0)</f>
        <v>#REF!</v>
      </c>
      <c r="GM167" s="26">
        <f>IF(GM$2=InputTable[[#This Row],[Delivery Date]],_xlfn.XLOOKUP(GM$1,$BH$2:$BR$2,$BH167:$BR167,0),0)</f>
        <v>0</v>
      </c>
      <c r="GN167" s="26">
        <f>IF(GN$2=InputTable[[#This Row],[Delivery Date]],_xlfn.XLOOKUP(GN$1,$BH$2:$BR$2,$BH167:$BR167,0),0)</f>
        <v>0</v>
      </c>
      <c r="GO167" s="26">
        <f>IF(GO$2=InputTable[[#This Row],[Delivery Date]],_xlfn.XLOOKUP(GO$1,$BH$2:$BR$2,$BH167:$BR167,0),0)</f>
        <v>0</v>
      </c>
      <c r="GP167" s="26">
        <f>IF(GP$2=InputTable[[#This Row],[Delivery Date]],_xlfn.XLOOKUP(GP$1,$BH$2:$BR$2,$BH167:$BR167,0),0)</f>
        <v>0</v>
      </c>
      <c r="GQ167" s="26">
        <f>IF(GQ$2=InputTable[[#This Row],[Delivery Date]],_xlfn.XLOOKUP(GQ$1,$BH$2:$BR$2,$BH167:$BR167,0),0)</f>
        <v>0</v>
      </c>
      <c r="GR167" s="26">
        <f>IF(GR$2=InputTable[[#This Row],[Delivery Date]],_xlfn.XLOOKUP(GR$1,$BH$2:$BR$2,$BH167:$BR167,0),0)</f>
        <v>0</v>
      </c>
      <c r="GS167" s="26">
        <f>IF(GS$2=InputTable[[#This Row],[Delivery Date]],_xlfn.XLOOKUP(GS$1,$BH$2:$BR$2,$BH167:$BR167,0),0)</f>
        <v>0</v>
      </c>
      <c r="GT167" s="26">
        <f>IF(GT$2=InputTable[[#This Row],[Delivery Date]],_xlfn.XLOOKUP(GT$1,$BH$2:$BR$2,$BH167:$BR167,0),0)</f>
        <v>0</v>
      </c>
      <c r="GV167" s="26" t="e">
        <f>IF(GV$2=InputTable[[#This Row],[Delivery Date]],_xlfn.XLOOKUP(GV$1,$BH$2:$BR$2,$BH167:$BR167,0),0)</f>
        <v>#REF!</v>
      </c>
      <c r="GW167" s="26">
        <f>IF(GW$2=InputTable[[#This Row],[Delivery Date]],_xlfn.XLOOKUP(GW$1,$BH$2:$BR$2,$BH167:$BR167,0),0)</f>
        <v>0</v>
      </c>
      <c r="GX167" s="26">
        <f>IF(GX$2=InputTable[[#This Row],[Delivery Date]],_xlfn.XLOOKUP(GX$1,$BH$2:$BR$2,$BH167:$BR167,0),0)</f>
        <v>0</v>
      </c>
      <c r="GY167" s="26">
        <f>IF(GY$2=InputTable[[#This Row],[Delivery Date]],_xlfn.XLOOKUP(GY$1,$BH$2:$BR$2,$BH167:$BR167,0),0)</f>
        <v>0</v>
      </c>
      <c r="GZ167" s="26">
        <f>IF(GZ$2=InputTable[[#This Row],[Delivery Date]],_xlfn.XLOOKUP(GZ$1,$BH$2:$BR$2,$BH167:$BR167,0),0)</f>
        <v>0</v>
      </c>
      <c r="HA167" s="26">
        <f>IF(HA$2=InputTable[[#This Row],[Delivery Date]],_xlfn.XLOOKUP(HA$1,$BH$2:$BR$2,$BH167:$BR167,0),0)</f>
        <v>0</v>
      </c>
      <c r="HB167" s="26">
        <f>IF(HB$2=InputTable[[#This Row],[Delivery Date]],_xlfn.XLOOKUP(HB$1,$BH$2:$BR$2,$BH167:$BR167,0),0)</f>
        <v>0</v>
      </c>
      <c r="HC167" s="26">
        <f>IF(HC$2=InputTable[[#This Row],[Delivery Date]],_xlfn.XLOOKUP(HC$1,$BH$2:$BR$2,$BH167:$BR167,0),0)</f>
        <v>0</v>
      </c>
      <c r="HD167" s="26">
        <f>IF(HD$2=InputTable[[#This Row],[Delivery Date]],_xlfn.XLOOKUP(HD$1,$BH$2:$BR$2,$BH167:$BR167,0),0)</f>
        <v>0</v>
      </c>
      <c r="HF167" s="26" t="e">
        <f>IF(HF$2=InputTable[[#This Row],[Delivery Date]],_xlfn.XLOOKUP(HF$1,$BH$2:$BR$2,$BH167:$BR167,0),0)</f>
        <v>#REF!</v>
      </c>
      <c r="HG167" s="26">
        <f>IF(HG$2=InputTable[[#This Row],[Delivery Date]],_xlfn.XLOOKUP(HG$1,$BH$2:$BR$2,$BH167:$BR167,0),0)</f>
        <v>0</v>
      </c>
      <c r="HH167" s="26">
        <f>IF(HH$2=InputTable[[#This Row],[Delivery Date]],_xlfn.XLOOKUP(HH$1,$BH$2:$BR$2,$BH167:$BR167,0),0)</f>
        <v>0</v>
      </c>
      <c r="HI167" s="26">
        <f>IF(HI$2=InputTable[[#This Row],[Delivery Date]],_xlfn.XLOOKUP(HI$1,$BH$2:$BR$2,$BH167:$BR167,0),0)</f>
        <v>0</v>
      </c>
      <c r="HJ167" s="26">
        <f>IF(HJ$2=InputTable[[#This Row],[Delivery Date]],_xlfn.XLOOKUP(HJ$1,$BH$2:$BR$2,$BH167:$BR167,0),0)</f>
        <v>0</v>
      </c>
      <c r="HK167" s="26">
        <f>IF(HK$2=InputTable[[#This Row],[Delivery Date]],_xlfn.XLOOKUP(HK$1,$BH$2:$BR$2,$BH167:$BR167,0),0)</f>
        <v>0</v>
      </c>
      <c r="HL167" s="26">
        <f>IF(HL$2=InputTable[[#This Row],[Delivery Date]],_xlfn.XLOOKUP(HL$1,$BH$2:$BR$2,$BH167:$BR167,0),0)</f>
        <v>0</v>
      </c>
      <c r="HM167" s="26">
        <f>IF(HM$2=InputTable[[#This Row],[Delivery Date]],_xlfn.XLOOKUP(HM$1,$BH$2:$BR$2,$BH167:$BR167,0),0)</f>
        <v>0</v>
      </c>
      <c r="HN167" s="26">
        <f>IF(HN$2=InputTable[[#This Row],[Delivery Date]],_xlfn.XLOOKUP(HN$1,$BH$2:$BR$2,$BH167:$BR167,0),0)</f>
        <v>0</v>
      </c>
      <c r="HP167" s="26" t="e">
        <f>IF(HP$2=InputTable[[#This Row],[Delivery Date]],_xlfn.XLOOKUP(HP$1,$BH$2:$BR$2,$BH167:$BR167,0),0)</f>
        <v>#REF!</v>
      </c>
      <c r="HQ167" s="26">
        <f>IF(HQ$2=InputTable[[#This Row],[Delivery Date]],_xlfn.XLOOKUP(HQ$1,$BH$2:$BR$2,$BH167:$BR167,0),0)</f>
        <v>0</v>
      </c>
      <c r="HR167" s="26">
        <f>IF(HR$2=InputTable[[#This Row],[Delivery Date]],_xlfn.XLOOKUP(HR$1,$BH$2:$BR$2,$BH167:$BR167,0),0)</f>
        <v>0</v>
      </c>
      <c r="HS167" s="26">
        <f>IF(HS$2=InputTable[[#This Row],[Delivery Date]],_xlfn.XLOOKUP(HS$1,$BH$2:$BR$2,$BH167:$BR167,0),0)</f>
        <v>0</v>
      </c>
      <c r="HT167" s="26">
        <f>IF(HT$2=InputTable[[#This Row],[Delivery Date]],_xlfn.XLOOKUP(HT$1,$BH$2:$BR$2,$BH167:$BR167,0),0)</f>
        <v>0</v>
      </c>
      <c r="HU167" s="26">
        <f>IF(HU$2=InputTable[[#This Row],[Delivery Date]],_xlfn.XLOOKUP(HU$1,$BH$2:$BR$2,$BH167:$BR167,0),0)</f>
        <v>0</v>
      </c>
      <c r="HV167" s="26">
        <f>IF(HV$2=InputTable[[#This Row],[Delivery Date]],_xlfn.XLOOKUP(HV$1,$BH$2:$BR$2,$BH167:$BR167,0),0)</f>
        <v>0</v>
      </c>
      <c r="HW167" s="26">
        <f>IF(HW$2=InputTable[[#This Row],[Delivery Date]],_xlfn.XLOOKUP(HW$1,$BH$2:$BR$2,$BH167:$BR167,0),0)</f>
        <v>0</v>
      </c>
      <c r="HX167" s="26">
        <f>IF(HX$2=InputTable[[#This Row],[Delivery Date]],_xlfn.XLOOKUP(HX$1,$BH$2:$BR$2,$BH167:$BR167,0),0)</f>
        <v>0</v>
      </c>
      <c r="HZ167" s="26" t="e">
        <f>IF(HZ$2=InputTable[[#This Row],[Delivery Date]],_xlfn.XLOOKUP(HZ$1,$BH$2:$BR$2,$BH167:$BR167,0),0)</f>
        <v>#REF!</v>
      </c>
      <c r="IA167" s="26">
        <f>IF(IA$2=InputTable[[#This Row],[Delivery Date]],_xlfn.XLOOKUP(IA$1,$BH$2:$BR$2,$BH167:$BR167,0),0)</f>
        <v>0</v>
      </c>
      <c r="IB167" s="26">
        <f>IF(IB$2=InputTable[[#This Row],[Delivery Date]],_xlfn.XLOOKUP(IB$1,$BH$2:$BR$2,$BH167:$BR167,0),0)</f>
        <v>0</v>
      </c>
      <c r="IC167" s="26">
        <f>IF(IC$2=InputTable[[#This Row],[Delivery Date]],_xlfn.XLOOKUP(IC$1,$BH$2:$BR$2,$BH167:$BR167,0),0)</f>
        <v>0</v>
      </c>
      <c r="ID167" s="26">
        <f>IF(ID$2=InputTable[[#This Row],[Delivery Date]],_xlfn.XLOOKUP(ID$1,$BH$2:$BR$2,$BH167:$BR167,0),0)</f>
        <v>0</v>
      </c>
      <c r="IE167" s="26">
        <f>IF(IE$2=InputTable[[#This Row],[Delivery Date]],_xlfn.XLOOKUP(IE$1,$BH$2:$BR$2,$BH167:$BR167,0),0)</f>
        <v>0</v>
      </c>
      <c r="IF167" s="26">
        <f>IF(IF$2=InputTable[[#This Row],[Delivery Date]],_xlfn.XLOOKUP(IF$1,$BH$2:$BR$2,$BH167:$BR167,0),0)</f>
        <v>0</v>
      </c>
      <c r="IG167" s="26">
        <f>IF(IG$2=InputTable[[#This Row],[Delivery Date]],_xlfn.XLOOKUP(IG$1,$BH$2:$BR$2,$BH167:$BR167,0),0)</f>
        <v>0</v>
      </c>
      <c r="IH167" s="26">
        <f>IF(IH$2=InputTable[[#This Row],[Delivery Date]],_xlfn.XLOOKUP(IH$1,$BH$2:$BR$2,$BH167:$BR167,0),0)</f>
        <v>0</v>
      </c>
      <c r="IJ167" s="26" t="e">
        <f>IF(IJ$2=InputTable[[#This Row],[Delivery Date]],_xlfn.XLOOKUP(IJ$1,$BH$2:$BR$2,$BH167:$BR167,0),0)</f>
        <v>#REF!</v>
      </c>
      <c r="IK167" s="26">
        <f>IF(IK$2=InputTable[[#This Row],[Delivery Date]],_xlfn.XLOOKUP(IK$1,$BH$2:$BR$2,$BH167:$BR167,0),0)</f>
        <v>0</v>
      </c>
      <c r="IL167" s="26">
        <f>IF(IL$2=InputTable[[#This Row],[Delivery Date]],_xlfn.XLOOKUP(IL$1,$BH$2:$BR$2,$BH167:$BR167,0),0)</f>
        <v>0</v>
      </c>
      <c r="IM167" s="26">
        <f>IF(IM$2=InputTable[[#This Row],[Delivery Date]],_xlfn.XLOOKUP(IM$1,$BH$2:$BR$2,$BH167:$BR167,0),0)</f>
        <v>0</v>
      </c>
      <c r="IN167" s="26">
        <f>IF(IN$2=InputTable[[#This Row],[Delivery Date]],_xlfn.XLOOKUP(IN$1,$BH$2:$BR$2,$BH167:$BR167,0),0)</f>
        <v>0</v>
      </c>
      <c r="IO167" s="26">
        <f>IF(IO$2=InputTable[[#This Row],[Delivery Date]],_xlfn.XLOOKUP(IO$1,$BH$2:$BR$2,$BH167:$BR167,0),0)</f>
        <v>0</v>
      </c>
      <c r="IP167" s="26">
        <f>IF(IP$2=InputTable[[#This Row],[Delivery Date]],_xlfn.XLOOKUP(IP$1,$BH$2:$BR$2,$BH167:$BR167,0),0)</f>
        <v>0</v>
      </c>
      <c r="IQ167" s="26">
        <f>IF(IQ$2=InputTable[[#This Row],[Delivery Date]],_xlfn.XLOOKUP(IQ$1,$BH$2:$BR$2,$BH167:$BR167,0),0)</f>
        <v>0</v>
      </c>
      <c r="IR167" s="26">
        <f>IF(IR$2=InputTable[[#This Row],[Delivery Date]],_xlfn.XLOOKUP(IR$1,$BH$2:$BR$2,$BH167:$BR167,0),0)</f>
        <v>0</v>
      </c>
      <c r="IT167" s="26" t="e">
        <f>IF(IT$2=InputTable[[#This Row],[Delivery Date]],_xlfn.XLOOKUP(IT$1,$BH$2:$BR$2,$BH167:$BR167,0),0)</f>
        <v>#REF!</v>
      </c>
      <c r="IU167" s="26">
        <f>IF(IU$2=InputTable[[#This Row],[Delivery Date]],_xlfn.XLOOKUP(IU$1,$BH$2:$BR$2,$BH167:$BR167,0),0)</f>
        <v>0</v>
      </c>
      <c r="IV167" s="26">
        <f>IF(IV$2=InputTable[[#This Row],[Delivery Date]],_xlfn.XLOOKUP(IV$1,$BH$2:$BR$2,$BH167:$BR167,0),0)</f>
        <v>0</v>
      </c>
      <c r="IW167" s="26">
        <f>IF(IW$2=InputTable[[#This Row],[Delivery Date]],_xlfn.XLOOKUP(IW$1,$BH$2:$BR$2,$BH167:$BR167,0),0)</f>
        <v>0</v>
      </c>
      <c r="IX167" s="26">
        <f>IF(IX$2=InputTable[[#This Row],[Delivery Date]],_xlfn.XLOOKUP(IX$1,$BH$2:$BR$2,$BH167:$BR167,0),0)</f>
        <v>0</v>
      </c>
      <c r="IY167" s="26">
        <f>IF(IY$2=InputTable[[#This Row],[Delivery Date]],_xlfn.XLOOKUP(IY$1,$BH$2:$BR$2,$BH167:$BR167,0),0)</f>
        <v>0</v>
      </c>
      <c r="IZ167" s="26">
        <f>IF(IZ$2=InputTable[[#This Row],[Delivery Date]],_xlfn.XLOOKUP(IZ$1,$BH$2:$BR$2,$BH167:$BR167,0),0)</f>
        <v>0</v>
      </c>
      <c r="JA167" s="26">
        <f>IF(JA$2=InputTable[[#This Row],[Delivery Date]],_xlfn.XLOOKUP(JA$1,$BH$2:$BR$2,$BH167:$BR167,0),0)</f>
        <v>0</v>
      </c>
      <c r="JB167" s="26">
        <f>IF(JB$2=InputTable[[#This Row],[Delivery Date]],_xlfn.XLOOKUP(JB$1,$BH$2:$BR$2,$BH167:$BR167,0),0)</f>
        <v>0</v>
      </c>
      <c r="JD167" s="26" t="e">
        <f>IF(JD$2=InputTable[[#This Row],[Delivery Date]],_xlfn.XLOOKUP(JD$1,$BH$2:$BR$2,$BH167:$BR167,0),0)</f>
        <v>#REF!</v>
      </c>
      <c r="JE167" s="26">
        <f>IF(JE$2=InputTable[[#This Row],[Delivery Date]],_xlfn.XLOOKUP(JE$1,$BH$2:$BR$2,$BH167:$BR167,0),0)</f>
        <v>0</v>
      </c>
      <c r="JF167" s="26">
        <f>IF(JF$2=InputTable[[#This Row],[Delivery Date]],_xlfn.XLOOKUP(JF$1,$BH$2:$BR$2,$BH167:$BR167,0),0)</f>
        <v>0</v>
      </c>
      <c r="JG167" s="26">
        <f>IF(JG$2=InputTable[[#This Row],[Delivery Date]],_xlfn.XLOOKUP(JG$1,$BH$2:$BR$2,$BH167:$BR167,0),0)</f>
        <v>0</v>
      </c>
      <c r="JH167" s="26">
        <f>IF(JH$2=InputTable[[#This Row],[Delivery Date]],_xlfn.XLOOKUP(JH$1,$BH$2:$BR$2,$BH167:$BR167,0),0)</f>
        <v>0</v>
      </c>
      <c r="JI167" s="26">
        <f>IF(JI$2=InputTable[[#This Row],[Delivery Date]],_xlfn.XLOOKUP(JI$1,$BH$2:$BR$2,$BH167:$BR167,0),0)</f>
        <v>0</v>
      </c>
      <c r="JJ167" s="26">
        <f>IF(JJ$2=InputTable[[#This Row],[Delivery Date]],_xlfn.XLOOKUP(JJ$1,$BH$2:$BR$2,$BH167:$BR167,0),0)</f>
        <v>0</v>
      </c>
      <c r="JK167" s="26">
        <f>IF(JK$2=InputTable[[#This Row],[Delivery Date]],_xlfn.XLOOKUP(JK$1,$BH$2:$BR$2,$BH167:$BR167,0),0)</f>
        <v>0</v>
      </c>
      <c r="JL167" s="26">
        <f>IF(JL$2=InputTable[[#This Row],[Delivery Date]],_xlfn.XLOOKUP(JL$1,$BH$2:$BR$2,$BH167:$BR167,0),0)</f>
        <v>0</v>
      </c>
      <c r="JN167" s="26" t="e">
        <f>IF(JN$2=InputTable[[#This Row],[Delivery Date]],_xlfn.XLOOKUP(JN$1,$BH$2:$BR$2,$BH167:$BR167,0),0)</f>
        <v>#REF!</v>
      </c>
      <c r="JO167" s="26">
        <f>IF(JO$2=InputTable[[#This Row],[Delivery Date]],_xlfn.XLOOKUP(JO$1,$BH$2:$BR$2,$BH167:$BR167,0),0)</f>
        <v>0</v>
      </c>
      <c r="JP167" s="26">
        <f>IF(JP$2=InputTable[[#This Row],[Delivery Date]],_xlfn.XLOOKUP(JP$1,$BH$2:$BR$2,$BH167:$BR167,0),0)</f>
        <v>0</v>
      </c>
      <c r="JQ167" s="26">
        <f>IF(JQ$2=InputTable[[#This Row],[Delivery Date]],_xlfn.XLOOKUP(JQ$1,$BH$2:$BR$2,$BH167:$BR167,0),0)</f>
        <v>0</v>
      </c>
      <c r="JR167" s="26">
        <f>IF(JR$2=InputTable[[#This Row],[Delivery Date]],_xlfn.XLOOKUP(JR$1,$BH$2:$BR$2,$BH167:$BR167,0),0)</f>
        <v>0</v>
      </c>
      <c r="JS167" s="26">
        <f>IF(JS$2=InputTable[[#This Row],[Delivery Date]],_xlfn.XLOOKUP(JS$1,$BH$2:$BR$2,$BH167:$BR167,0),0)</f>
        <v>0</v>
      </c>
      <c r="JT167" s="26">
        <f>IF(JT$2=InputTable[[#This Row],[Delivery Date]],_xlfn.XLOOKUP(JT$1,$BH$2:$BR$2,$BH167:$BR167,0),0)</f>
        <v>0</v>
      </c>
      <c r="JU167" s="26">
        <f>IF(JU$2=InputTable[[#This Row],[Delivery Date]],_xlfn.XLOOKUP(JU$1,$BH$2:$BR$2,$BH167:$BR167,0),0)</f>
        <v>0</v>
      </c>
      <c r="JV167" s="26">
        <f>IF(JV$2=InputTable[[#This Row],[Delivery Date]],_xlfn.XLOOKUP(JV$1,$BH$2:$BR$2,$BH167:$BR167,0),0)</f>
        <v>0</v>
      </c>
      <c r="JX167" s="26" t="e">
        <f>IF(JX$2=InputTable[[#This Row],[Delivery Date]],_xlfn.XLOOKUP(JX$1,$BH$2:$BR$2,$BH167:$BR167,0),0)</f>
        <v>#REF!</v>
      </c>
      <c r="JY167" s="26">
        <f>IF(JY$2=InputTable[[#This Row],[Delivery Date]],_xlfn.XLOOKUP(JY$1,$BH$2:$BR$2,$BH167:$BR167,0),0)</f>
        <v>0</v>
      </c>
      <c r="JZ167" s="26">
        <f>IF(JZ$2=InputTable[[#This Row],[Delivery Date]],_xlfn.XLOOKUP(JZ$1,$BH$2:$BR$2,$BH167:$BR167,0),0)</f>
        <v>0</v>
      </c>
      <c r="KA167" s="26">
        <f>IF(KA$2=InputTable[[#This Row],[Delivery Date]],_xlfn.XLOOKUP(KA$1,$BH$2:$BR$2,$BH167:$BR167,0),0)</f>
        <v>0</v>
      </c>
      <c r="KB167" s="26">
        <f>IF(KB$2=InputTable[[#This Row],[Delivery Date]],_xlfn.XLOOKUP(KB$1,$BH$2:$BR$2,$BH167:$BR167,0),0)</f>
        <v>0</v>
      </c>
      <c r="KC167" s="26">
        <f>IF(KC$2=InputTable[[#This Row],[Delivery Date]],_xlfn.XLOOKUP(KC$1,$BH$2:$BR$2,$BH167:$BR167,0),0)</f>
        <v>0</v>
      </c>
      <c r="KD167" s="26">
        <f>IF(KD$2=InputTable[[#This Row],[Delivery Date]],_xlfn.XLOOKUP(KD$1,$BH$2:$BR$2,$BH167:$BR167,0),0)</f>
        <v>0</v>
      </c>
      <c r="KE167" s="26">
        <f>IF(KE$2=InputTable[[#This Row],[Delivery Date]],_xlfn.XLOOKUP(KE$1,$BH$2:$BR$2,$BH167:$BR167,0),0)</f>
        <v>0</v>
      </c>
      <c r="KF167" s="26">
        <f>IF(KF$2=InputTable[[#This Row],[Delivery Date]],_xlfn.XLOOKUP(KF$1,$BH$2:$BR$2,$BH167:$BR167,0),0)</f>
        <v>0</v>
      </c>
    </row>
    <row r="168" spans="1:292" ht="17.399999999999999" x14ac:dyDescent="0.25">
      <c r="A168" s="141"/>
      <c r="B168" s="119"/>
      <c r="C168" s="92"/>
      <c r="D168" s="92"/>
      <c r="E168" s="93"/>
      <c r="F168" s="92"/>
      <c r="G168" s="92"/>
      <c r="H168" s="92"/>
      <c r="I168" s="92"/>
      <c r="J168" s="94"/>
      <c r="K168" s="95" t="e">
        <f>VLOOKUP((InputTable[[#This Row],[Starting Date]]&amp; " - " &amp;InputTable[[#This Row],[Delivery Date]]),'System List'!$F$40:$H$83,2,FALSE)</f>
        <v>#N/A</v>
      </c>
      <c r="L168" s="95" t="e">
        <f>VLOOKUP(InputTable[[#This Row],[Duration]],Duration,2,FALSE)</f>
        <v>#N/A</v>
      </c>
      <c r="M168" s="94"/>
      <c r="N168" s="92"/>
      <c r="O168" s="92"/>
      <c r="P168" s="92"/>
      <c r="Q168" s="92"/>
      <c r="R168" s="92"/>
      <c r="S168" s="92"/>
      <c r="T168" s="95"/>
      <c r="U168" s="138"/>
      <c r="V168" s="92"/>
      <c r="W168" s="92"/>
      <c r="X168" s="92"/>
      <c r="Y168" s="92"/>
      <c r="Z168" s="92"/>
      <c r="AA168" s="92"/>
      <c r="AB168" s="92"/>
      <c r="AC168" s="92"/>
      <c r="AD168" s="92">
        <f>COUNTA(InputTable[[#This Row],[CORPHRFIN]:[SALES]])</f>
        <v>0</v>
      </c>
      <c r="AE168" s="88" cm="1">
        <f t="array" ref="AE168">SUM(
_xlfn.XLOOKUP(InputTable[[#This Row],[CORPHRFIN]:[SALES]],'System List'!$F$4:$F$7,'System List'!$H$4:$H$7,0))</f>
        <v>0</v>
      </c>
      <c r="AF168" s="140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88" cm="1">
        <f t="array" ref="AR168">SUM(
_xlfn.XLOOKUP(InputTable[[#This Row],[Impact on - CIAL]:[Impact on - STRAT]],'System List'!$F$4:$F$7,'System List'!$H$4:$H$7,0))</f>
        <v>0</v>
      </c>
      <c r="AS168" s="88" t="e">
        <f>VLOOKUP(InputTable[[#This Row],[Duration]],Duration,2,FALSE)+InputTable[[#This Row],[Resource Score]]</f>
        <v>#N/A</v>
      </c>
      <c r="AT16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8" s="24" t="e">
        <f>InputTable[[#This Row],[Value Score]]/InputTable[[#This Row],[EFFORT SCORE]]*100</f>
        <v>#N/A</v>
      </c>
      <c r="AV168" s="25" t="s">
        <v>459</v>
      </c>
      <c r="AW168" s="25"/>
      <c r="AX168" s="208"/>
      <c r="AY168" s="25"/>
      <c r="AZ168" s="189">
        <v>0</v>
      </c>
      <c r="BA168" s="189">
        <v>0</v>
      </c>
      <c r="BB168" s="189"/>
      <c r="BC168" s="189"/>
      <c r="BD168" s="188"/>
      <c r="BE168" s="188"/>
      <c r="BF168" s="70"/>
      <c r="BH168" s="2">
        <f>IFERROR(VLOOKUP(InputTable[[#This Row],[Impact on - CIAL]],'System List'!$F$4:$H$7,3,FALSE),0)</f>
        <v>0</v>
      </c>
      <c r="BI168" s="2">
        <f>IFERROR(VLOOKUP(InputTable[[#This Row],[Impact on - COM]],'System List'!$F$4:$H$7,3,FALSE),0)</f>
        <v>0</v>
      </c>
      <c r="BJ168" s="2">
        <f>IFERROR(VLOOKUP(InputTable[[#This Row],[Impact on - FIN]],'System List'!$F$4:$H$7,3,FALSE),0)</f>
        <v>0</v>
      </c>
      <c r="BK168" s="2">
        <f>IFERROR(VLOOKUP(InputTable[[#This Row],[Impact on - GEN SEC]],'System List'!$F$4:$H$7,3,FALSE),0)</f>
        <v>0</v>
      </c>
      <c r="BL168" s="2">
        <f>IFERROR(VLOOKUP(InputTable[[#This Row],[Impact on - HR]],'System List'!$F$4:$H$7,3,FALSE),0)</f>
        <v>0</v>
      </c>
      <c r="BM168" s="2">
        <f>IFERROR(VLOOKUP(InputTable[[#This Row],[Impact on - IS]],'System List'!$F$4:$H$7,3,FALSE),0)</f>
        <v>0</v>
      </c>
      <c r="BN168" s="2">
        <f>IFERROR(VLOOKUP(InputTable[[#This Row],[Impact on - OPS]],'System List'!$F$4:$H$7,3,FALSE),0)</f>
        <v>0</v>
      </c>
      <c r="BO168" s="2">
        <f>IFERROR(VLOOKUP(InputTable[[#This Row],[Impact on - ROLL STOCK]],'System List'!$F$4:$H$7,3,FALSE),0)</f>
        <v>0</v>
      </c>
      <c r="BP168" s="2">
        <f>IFERROR(VLOOKUP(InputTable[[#This Row],[Impact on - SAFETY]],'System List'!$F$4:$H$7,3,FALSE),0)</f>
        <v>0</v>
      </c>
      <c r="BQ168" s="2">
        <f>IFERROR(VLOOKUP(InputTable[[#This Row],[Impact on - STATION]],'System List'!$F$4:$H$7,3,FALSE),0)</f>
        <v>0</v>
      </c>
      <c r="BR168" s="2">
        <f>IFERROR(VLOOKUP(InputTable[[#This Row],[Impact on - STRAT]],'System List'!$F$4:$H$7,3,FALSE),0)</f>
        <v>0</v>
      </c>
      <c r="BT168" s="2">
        <f>IFERROR(VLOOKUP(InputTable[[#This Row],[CORPHRFIN]],'System List'!$F$4:$H$7,3,FALSE),0)</f>
        <v>0</v>
      </c>
      <c r="BU168" s="2">
        <f>IFERROR(VLOOKUP(InputTable[[#This Row],[CUST]],'System List'!$F$4:$H$7,3,FALSE),0)</f>
        <v>0</v>
      </c>
      <c r="BV168" s="2">
        <f>IFERROR(VLOOKUP(InputTable[[#This Row],[CYBER]],'System List'!$F$4:$H$7,3,FALSE),0)</f>
        <v>0</v>
      </c>
      <c r="BW168" s="2">
        <f>IFERROR(VLOOKUP(InputTable[[#This Row],[DATA]],'System List'!$F$4:$H$7,3,FALSE),0)</f>
        <v>0</v>
      </c>
      <c r="BX168" s="2">
        <f>IFERROR(VLOOKUP(InputTable[[#This Row],[INFRA]],'System List'!$F$4:$H$7,3,FALSE),0)</f>
        <v>0</v>
      </c>
      <c r="BY168" s="2">
        <f>IFERROR(VLOOKUP(InputTable[[#This Row],[OPERATIONS]],'System List'!$F$4:$H$7,3,FALSE),0)</f>
        <v>0</v>
      </c>
      <c r="BZ168" s="2">
        <f>IFERROR(VLOOKUP(InputTable[[#This Row],[PMO]],'System List'!$F$4:$H$7,3,FALSE),0)</f>
        <v>0</v>
      </c>
      <c r="CA168" s="2">
        <f>IFERROR(VLOOKUP(InputTable[[#This Row],[SALES]],'System List'!$F$4:$H$7,3,FALSE),0)</f>
        <v>0</v>
      </c>
      <c r="CC168" s="2" cm="1">
        <f t="array" ref="CC16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8" s="2" cm="1">
        <f t="array" ref="CD16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8" s="2" cm="1">
        <f t="array" ref="CE16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8" s="2" cm="1">
        <f t="array" ref="CF16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8" s="2" cm="1">
        <f t="array" ref="CG16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8" s="2" cm="1">
        <f t="array" ref="CH16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8" s="2" cm="1">
        <f t="array" ref="CI16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8" s="2" cm="1">
        <f t="array" ref="CJ16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8" s="2" cm="1">
        <f t="array" ref="CK16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8" s="26">
        <f t="shared" si="379"/>
        <v>0</v>
      </c>
      <c r="CY168" s="26">
        <f t="shared" si="380"/>
        <v>0</v>
      </c>
      <c r="CZ168" s="26">
        <f t="shared" si="381"/>
        <v>0</v>
      </c>
      <c r="DA168" s="26">
        <f t="shared" si="382"/>
        <v>0</v>
      </c>
      <c r="DB168" s="26">
        <f t="shared" si="383"/>
        <v>0</v>
      </c>
      <c r="DC168" s="26">
        <f t="shared" si="384"/>
        <v>0</v>
      </c>
      <c r="DD168" s="26">
        <f t="shared" si="385"/>
        <v>0</v>
      </c>
      <c r="DE168" s="26">
        <f t="shared" si="386"/>
        <v>0</v>
      </c>
      <c r="DF168" s="26">
        <f t="shared" si="387"/>
        <v>0</v>
      </c>
      <c r="DH168" s="26">
        <f t="shared" si="388"/>
        <v>0</v>
      </c>
      <c r="DI168" s="26">
        <f t="shared" si="389"/>
        <v>0</v>
      </c>
      <c r="DJ168" s="26">
        <f t="shared" si="390"/>
        <v>0</v>
      </c>
      <c r="DK168" s="26">
        <f t="shared" si="391"/>
        <v>0</v>
      </c>
      <c r="DL168" s="26">
        <f t="shared" si="392"/>
        <v>0</v>
      </c>
      <c r="DM168" s="26">
        <f t="shared" si="393"/>
        <v>0</v>
      </c>
      <c r="DN168" s="26">
        <f t="shared" si="394"/>
        <v>0</v>
      </c>
      <c r="DO168" s="26">
        <f t="shared" si="395"/>
        <v>0</v>
      </c>
      <c r="DP168" s="26">
        <f t="shared" si="396"/>
        <v>0</v>
      </c>
      <c r="DR168" s="26">
        <f t="shared" si="397"/>
        <v>0</v>
      </c>
      <c r="DS168" s="26">
        <f t="shared" si="398"/>
        <v>0</v>
      </c>
      <c r="DT168" s="26">
        <f t="shared" si="399"/>
        <v>0</v>
      </c>
      <c r="DU168" s="26">
        <f t="shared" si="400"/>
        <v>0</v>
      </c>
      <c r="DV168" s="26">
        <f t="shared" si="401"/>
        <v>0</v>
      </c>
      <c r="DW168" s="26">
        <f t="shared" si="402"/>
        <v>0</v>
      </c>
      <c r="DX168" s="26">
        <f t="shared" si="403"/>
        <v>0</v>
      </c>
      <c r="DY168" s="26">
        <f t="shared" si="404"/>
        <v>0</v>
      </c>
      <c r="DZ168" s="26">
        <f t="shared" si="405"/>
        <v>0</v>
      </c>
      <c r="EB168" s="26">
        <f t="shared" si="406"/>
        <v>0</v>
      </c>
      <c r="EC168" s="26">
        <f t="shared" si="407"/>
        <v>0</v>
      </c>
      <c r="ED168" s="26">
        <f t="shared" si="408"/>
        <v>0</v>
      </c>
      <c r="EE168" s="26">
        <f t="shared" si="409"/>
        <v>0</v>
      </c>
      <c r="EF168" s="26">
        <f t="shared" si="410"/>
        <v>0</v>
      </c>
      <c r="EG168" s="26">
        <f t="shared" si="411"/>
        <v>0</v>
      </c>
      <c r="EH168" s="26">
        <f t="shared" si="412"/>
        <v>0</v>
      </c>
      <c r="EI168" s="26">
        <f t="shared" si="413"/>
        <v>0</v>
      </c>
      <c r="EJ168" s="26">
        <f t="shared" si="414"/>
        <v>0</v>
      </c>
      <c r="EL168" s="26">
        <f t="shared" si="415"/>
        <v>0</v>
      </c>
      <c r="EM168" s="26">
        <f t="shared" si="416"/>
        <v>0</v>
      </c>
      <c r="EN168" s="26">
        <f t="shared" si="417"/>
        <v>0</v>
      </c>
      <c r="EO168" s="26">
        <f t="shared" si="418"/>
        <v>0</v>
      </c>
      <c r="EP168" s="26">
        <f t="shared" si="419"/>
        <v>0</v>
      </c>
      <c r="EQ168" s="26">
        <f t="shared" si="420"/>
        <v>0</v>
      </c>
      <c r="ER168" s="26">
        <f t="shared" si="421"/>
        <v>0</v>
      </c>
      <c r="ES168" s="26">
        <f t="shared" si="422"/>
        <v>0</v>
      </c>
      <c r="ET168" s="26">
        <f t="shared" si="423"/>
        <v>0</v>
      </c>
      <c r="EV168" s="26">
        <f t="shared" si="424"/>
        <v>0</v>
      </c>
      <c r="EW168" s="26">
        <f t="shared" si="425"/>
        <v>0</v>
      </c>
      <c r="EX168" s="26">
        <f t="shared" si="426"/>
        <v>0</v>
      </c>
      <c r="EY168" s="26">
        <f t="shared" si="427"/>
        <v>0</v>
      </c>
      <c r="EZ168" s="26">
        <f t="shared" si="428"/>
        <v>0</v>
      </c>
      <c r="FA168" s="26">
        <f t="shared" si="429"/>
        <v>0</v>
      </c>
      <c r="FB168" s="26">
        <f t="shared" si="430"/>
        <v>0</v>
      </c>
      <c r="FC168" s="26">
        <f t="shared" si="431"/>
        <v>0</v>
      </c>
      <c r="FD168" s="26">
        <f t="shared" si="432"/>
        <v>0</v>
      </c>
      <c r="FF168" s="26">
        <f t="shared" si="433"/>
        <v>0</v>
      </c>
      <c r="FG168" s="26">
        <f t="shared" si="434"/>
        <v>0</v>
      </c>
      <c r="FH168" s="26">
        <f t="shared" si="435"/>
        <v>0</v>
      </c>
      <c r="FI168" s="26">
        <f t="shared" si="436"/>
        <v>0</v>
      </c>
      <c r="FJ168" s="26">
        <f t="shared" si="437"/>
        <v>0</v>
      </c>
      <c r="FK168" s="26">
        <f t="shared" si="438"/>
        <v>0</v>
      </c>
      <c r="FL168" s="26">
        <f t="shared" si="439"/>
        <v>0</v>
      </c>
      <c r="FM168" s="26">
        <f t="shared" si="440"/>
        <v>0</v>
      </c>
      <c r="FN168" s="26">
        <f t="shared" si="441"/>
        <v>0</v>
      </c>
      <c r="FP168" s="26" t="e">
        <f t="shared" si="442"/>
        <v>#REF!</v>
      </c>
      <c r="FQ168" s="26" t="e">
        <f t="shared" si="443"/>
        <v>#REF!</v>
      </c>
      <c r="FR168" s="26" t="e">
        <f t="shared" si="444"/>
        <v>#REF!</v>
      </c>
      <c r="FS168" s="26" t="e">
        <f t="shared" si="445"/>
        <v>#REF!</v>
      </c>
      <c r="FT168" s="26" t="e">
        <f t="shared" si="446"/>
        <v>#REF!</v>
      </c>
      <c r="FU168" s="26" t="e">
        <f t="shared" si="447"/>
        <v>#REF!</v>
      </c>
      <c r="FV168" s="26" t="e">
        <f t="shared" si="448"/>
        <v>#REF!</v>
      </c>
      <c r="FW168" s="26" t="e">
        <f t="shared" si="449"/>
        <v>#REF!</v>
      </c>
      <c r="FX168" s="26" t="e">
        <f t="shared" si="450"/>
        <v>#REF!</v>
      </c>
      <c r="GB168" s="26" t="e">
        <f>IF(GB$2=InputTable[[#This Row],[Delivery Date]],_xlfn.XLOOKUP(GB$1,$BH$2:$BR$2,$BH168:$BR168,0),0)</f>
        <v>#REF!</v>
      </c>
      <c r="GC168" s="26">
        <f>IF(GC$2=InputTable[[#This Row],[Delivery Date]],_xlfn.XLOOKUP(GC$1,$BH$2:$BR$2,$BH168:$BR168,0),0)</f>
        <v>0</v>
      </c>
      <c r="GD168" s="26">
        <f>IF(GD$2=InputTable[[#This Row],[Delivery Date]],_xlfn.XLOOKUP(GD$1,$BH$2:$BR$2,$BH168:$BR168,0),0)</f>
        <v>0</v>
      </c>
      <c r="GE168" s="26">
        <f>IF(GE$2=InputTable[[#This Row],[Delivery Date]],_xlfn.XLOOKUP(GE$1,$BH$2:$BR$2,$BH168:$BR168,0),0)</f>
        <v>0</v>
      </c>
      <c r="GF168" s="26">
        <f>IF(GF$2=InputTable[[#This Row],[Delivery Date]],_xlfn.XLOOKUP(GF$1,$BH$2:$BR$2,$BH168:$BR168,0),0)</f>
        <v>0</v>
      </c>
      <c r="GG168" s="26">
        <f>IF(GG$2=InputTable[[#This Row],[Delivery Date]],_xlfn.XLOOKUP(GG$1,$BH$2:$BR$2,$BH168:$BR168,0),0)</f>
        <v>0</v>
      </c>
      <c r="GH168" s="26">
        <f>IF(GH$2=InputTable[[#This Row],[Delivery Date]],_xlfn.XLOOKUP(GH$1,$BH$2:$BR$2,$BH168:$BR168,0),0)</f>
        <v>0</v>
      </c>
      <c r="GI168" s="26">
        <f>IF(GI$2=InputTable[[#This Row],[Delivery Date]],_xlfn.XLOOKUP(GI$1,$BH$2:$BR$2,$BH168:$BR168,0),0)</f>
        <v>0</v>
      </c>
      <c r="GJ168" s="26">
        <f>IF(GJ$2=InputTable[[#This Row],[Delivery Date]],_xlfn.XLOOKUP(GJ$1,$BH$2:$BR$2,$BH168:$BR168,0),0)</f>
        <v>0</v>
      </c>
      <c r="GL168" s="26" t="e">
        <f>IF(GL$2=InputTable[[#This Row],[Delivery Date]],_xlfn.XLOOKUP(GL$1,$BH$2:$BR$2,$BH168:$BR168,0),0)</f>
        <v>#REF!</v>
      </c>
      <c r="GM168" s="26">
        <f>IF(GM$2=InputTable[[#This Row],[Delivery Date]],_xlfn.XLOOKUP(GM$1,$BH$2:$BR$2,$BH168:$BR168,0),0)</f>
        <v>0</v>
      </c>
      <c r="GN168" s="26">
        <f>IF(GN$2=InputTable[[#This Row],[Delivery Date]],_xlfn.XLOOKUP(GN$1,$BH$2:$BR$2,$BH168:$BR168,0),0)</f>
        <v>0</v>
      </c>
      <c r="GO168" s="26">
        <f>IF(GO$2=InputTable[[#This Row],[Delivery Date]],_xlfn.XLOOKUP(GO$1,$BH$2:$BR$2,$BH168:$BR168,0),0)</f>
        <v>0</v>
      </c>
      <c r="GP168" s="26">
        <f>IF(GP$2=InputTable[[#This Row],[Delivery Date]],_xlfn.XLOOKUP(GP$1,$BH$2:$BR$2,$BH168:$BR168,0),0)</f>
        <v>0</v>
      </c>
      <c r="GQ168" s="26">
        <f>IF(GQ$2=InputTable[[#This Row],[Delivery Date]],_xlfn.XLOOKUP(GQ$1,$BH$2:$BR$2,$BH168:$BR168,0),0)</f>
        <v>0</v>
      </c>
      <c r="GR168" s="26">
        <f>IF(GR$2=InputTable[[#This Row],[Delivery Date]],_xlfn.XLOOKUP(GR$1,$BH$2:$BR$2,$BH168:$BR168,0),0)</f>
        <v>0</v>
      </c>
      <c r="GS168" s="26">
        <f>IF(GS$2=InputTable[[#This Row],[Delivery Date]],_xlfn.XLOOKUP(GS$1,$BH$2:$BR$2,$BH168:$BR168,0),0)</f>
        <v>0</v>
      </c>
      <c r="GT168" s="26">
        <f>IF(GT$2=InputTable[[#This Row],[Delivery Date]],_xlfn.XLOOKUP(GT$1,$BH$2:$BR$2,$BH168:$BR168,0),0)</f>
        <v>0</v>
      </c>
      <c r="GV168" s="26" t="e">
        <f>IF(GV$2=InputTable[[#This Row],[Delivery Date]],_xlfn.XLOOKUP(GV$1,$BH$2:$BR$2,$BH168:$BR168,0),0)</f>
        <v>#REF!</v>
      </c>
      <c r="GW168" s="26">
        <f>IF(GW$2=InputTable[[#This Row],[Delivery Date]],_xlfn.XLOOKUP(GW$1,$BH$2:$BR$2,$BH168:$BR168,0),0)</f>
        <v>0</v>
      </c>
      <c r="GX168" s="26">
        <f>IF(GX$2=InputTable[[#This Row],[Delivery Date]],_xlfn.XLOOKUP(GX$1,$BH$2:$BR$2,$BH168:$BR168,0),0)</f>
        <v>0</v>
      </c>
      <c r="GY168" s="26">
        <f>IF(GY$2=InputTable[[#This Row],[Delivery Date]],_xlfn.XLOOKUP(GY$1,$BH$2:$BR$2,$BH168:$BR168,0),0)</f>
        <v>0</v>
      </c>
      <c r="GZ168" s="26">
        <f>IF(GZ$2=InputTable[[#This Row],[Delivery Date]],_xlfn.XLOOKUP(GZ$1,$BH$2:$BR$2,$BH168:$BR168,0),0)</f>
        <v>0</v>
      </c>
      <c r="HA168" s="26">
        <f>IF(HA$2=InputTable[[#This Row],[Delivery Date]],_xlfn.XLOOKUP(HA$1,$BH$2:$BR$2,$BH168:$BR168,0),0)</f>
        <v>0</v>
      </c>
      <c r="HB168" s="26">
        <f>IF(HB$2=InputTable[[#This Row],[Delivery Date]],_xlfn.XLOOKUP(HB$1,$BH$2:$BR$2,$BH168:$BR168,0),0)</f>
        <v>0</v>
      </c>
      <c r="HC168" s="26">
        <f>IF(HC$2=InputTable[[#This Row],[Delivery Date]],_xlfn.XLOOKUP(HC$1,$BH$2:$BR$2,$BH168:$BR168,0),0)</f>
        <v>0</v>
      </c>
      <c r="HD168" s="26">
        <f>IF(HD$2=InputTable[[#This Row],[Delivery Date]],_xlfn.XLOOKUP(HD$1,$BH$2:$BR$2,$BH168:$BR168,0),0)</f>
        <v>0</v>
      </c>
      <c r="HF168" s="26" t="e">
        <f>IF(HF$2=InputTable[[#This Row],[Delivery Date]],_xlfn.XLOOKUP(HF$1,$BH$2:$BR$2,$BH168:$BR168,0),0)</f>
        <v>#REF!</v>
      </c>
      <c r="HG168" s="26">
        <f>IF(HG$2=InputTable[[#This Row],[Delivery Date]],_xlfn.XLOOKUP(HG$1,$BH$2:$BR$2,$BH168:$BR168,0),0)</f>
        <v>0</v>
      </c>
      <c r="HH168" s="26">
        <f>IF(HH$2=InputTable[[#This Row],[Delivery Date]],_xlfn.XLOOKUP(HH$1,$BH$2:$BR$2,$BH168:$BR168,0),0)</f>
        <v>0</v>
      </c>
      <c r="HI168" s="26">
        <f>IF(HI$2=InputTable[[#This Row],[Delivery Date]],_xlfn.XLOOKUP(HI$1,$BH$2:$BR$2,$BH168:$BR168,0),0)</f>
        <v>0</v>
      </c>
      <c r="HJ168" s="26">
        <f>IF(HJ$2=InputTable[[#This Row],[Delivery Date]],_xlfn.XLOOKUP(HJ$1,$BH$2:$BR$2,$BH168:$BR168,0),0)</f>
        <v>0</v>
      </c>
      <c r="HK168" s="26">
        <f>IF(HK$2=InputTable[[#This Row],[Delivery Date]],_xlfn.XLOOKUP(HK$1,$BH$2:$BR$2,$BH168:$BR168,0),0)</f>
        <v>0</v>
      </c>
      <c r="HL168" s="26">
        <f>IF(HL$2=InputTable[[#This Row],[Delivery Date]],_xlfn.XLOOKUP(HL$1,$BH$2:$BR$2,$BH168:$BR168,0),0)</f>
        <v>0</v>
      </c>
      <c r="HM168" s="26">
        <f>IF(HM$2=InputTable[[#This Row],[Delivery Date]],_xlfn.XLOOKUP(HM$1,$BH$2:$BR$2,$BH168:$BR168,0),0)</f>
        <v>0</v>
      </c>
      <c r="HN168" s="26">
        <f>IF(HN$2=InputTable[[#This Row],[Delivery Date]],_xlfn.XLOOKUP(HN$1,$BH$2:$BR$2,$BH168:$BR168,0),0)</f>
        <v>0</v>
      </c>
      <c r="HP168" s="26" t="e">
        <f>IF(HP$2=InputTable[[#This Row],[Delivery Date]],_xlfn.XLOOKUP(HP$1,$BH$2:$BR$2,$BH168:$BR168,0),0)</f>
        <v>#REF!</v>
      </c>
      <c r="HQ168" s="26">
        <f>IF(HQ$2=InputTable[[#This Row],[Delivery Date]],_xlfn.XLOOKUP(HQ$1,$BH$2:$BR$2,$BH168:$BR168,0),0)</f>
        <v>0</v>
      </c>
      <c r="HR168" s="26">
        <f>IF(HR$2=InputTable[[#This Row],[Delivery Date]],_xlfn.XLOOKUP(HR$1,$BH$2:$BR$2,$BH168:$BR168,0),0)</f>
        <v>0</v>
      </c>
      <c r="HS168" s="26">
        <f>IF(HS$2=InputTable[[#This Row],[Delivery Date]],_xlfn.XLOOKUP(HS$1,$BH$2:$BR$2,$BH168:$BR168,0),0)</f>
        <v>0</v>
      </c>
      <c r="HT168" s="26">
        <f>IF(HT$2=InputTable[[#This Row],[Delivery Date]],_xlfn.XLOOKUP(HT$1,$BH$2:$BR$2,$BH168:$BR168,0),0)</f>
        <v>0</v>
      </c>
      <c r="HU168" s="26">
        <f>IF(HU$2=InputTable[[#This Row],[Delivery Date]],_xlfn.XLOOKUP(HU$1,$BH$2:$BR$2,$BH168:$BR168,0),0)</f>
        <v>0</v>
      </c>
      <c r="HV168" s="26">
        <f>IF(HV$2=InputTable[[#This Row],[Delivery Date]],_xlfn.XLOOKUP(HV$1,$BH$2:$BR$2,$BH168:$BR168,0),0)</f>
        <v>0</v>
      </c>
      <c r="HW168" s="26">
        <f>IF(HW$2=InputTable[[#This Row],[Delivery Date]],_xlfn.XLOOKUP(HW$1,$BH$2:$BR$2,$BH168:$BR168,0),0)</f>
        <v>0</v>
      </c>
      <c r="HX168" s="26">
        <f>IF(HX$2=InputTable[[#This Row],[Delivery Date]],_xlfn.XLOOKUP(HX$1,$BH$2:$BR$2,$BH168:$BR168,0),0)</f>
        <v>0</v>
      </c>
      <c r="HZ168" s="26" t="e">
        <f>IF(HZ$2=InputTable[[#This Row],[Delivery Date]],_xlfn.XLOOKUP(HZ$1,$BH$2:$BR$2,$BH168:$BR168,0),0)</f>
        <v>#REF!</v>
      </c>
      <c r="IA168" s="26">
        <f>IF(IA$2=InputTable[[#This Row],[Delivery Date]],_xlfn.XLOOKUP(IA$1,$BH$2:$BR$2,$BH168:$BR168,0),0)</f>
        <v>0</v>
      </c>
      <c r="IB168" s="26">
        <f>IF(IB$2=InputTable[[#This Row],[Delivery Date]],_xlfn.XLOOKUP(IB$1,$BH$2:$BR$2,$BH168:$BR168,0),0)</f>
        <v>0</v>
      </c>
      <c r="IC168" s="26">
        <f>IF(IC$2=InputTable[[#This Row],[Delivery Date]],_xlfn.XLOOKUP(IC$1,$BH$2:$BR$2,$BH168:$BR168,0),0)</f>
        <v>0</v>
      </c>
      <c r="ID168" s="26">
        <f>IF(ID$2=InputTable[[#This Row],[Delivery Date]],_xlfn.XLOOKUP(ID$1,$BH$2:$BR$2,$BH168:$BR168,0),0)</f>
        <v>0</v>
      </c>
      <c r="IE168" s="26">
        <f>IF(IE$2=InputTable[[#This Row],[Delivery Date]],_xlfn.XLOOKUP(IE$1,$BH$2:$BR$2,$BH168:$BR168,0),0)</f>
        <v>0</v>
      </c>
      <c r="IF168" s="26">
        <f>IF(IF$2=InputTable[[#This Row],[Delivery Date]],_xlfn.XLOOKUP(IF$1,$BH$2:$BR$2,$BH168:$BR168,0),0)</f>
        <v>0</v>
      </c>
      <c r="IG168" s="26">
        <f>IF(IG$2=InputTable[[#This Row],[Delivery Date]],_xlfn.XLOOKUP(IG$1,$BH$2:$BR$2,$BH168:$BR168,0),0)</f>
        <v>0</v>
      </c>
      <c r="IH168" s="26">
        <f>IF(IH$2=InputTable[[#This Row],[Delivery Date]],_xlfn.XLOOKUP(IH$1,$BH$2:$BR$2,$BH168:$BR168,0),0)</f>
        <v>0</v>
      </c>
      <c r="IJ168" s="26" t="e">
        <f>IF(IJ$2=InputTable[[#This Row],[Delivery Date]],_xlfn.XLOOKUP(IJ$1,$BH$2:$BR$2,$BH168:$BR168,0),0)</f>
        <v>#REF!</v>
      </c>
      <c r="IK168" s="26">
        <f>IF(IK$2=InputTable[[#This Row],[Delivery Date]],_xlfn.XLOOKUP(IK$1,$BH$2:$BR$2,$BH168:$BR168,0),0)</f>
        <v>0</v>
      </c>
      <c r="IL168" s="26">
        <f>IF(IL$2=InputTable[[#This Row],[Delivery Date]],_xlfn.XLOOKUP(IL$1,$BH$2:$BR$2,$BH168:$BR168,0),0)</f>
        <v>0</v>
      </c>
      <c r="IM168" s="26">
        <f>IF(IM$2=InputTable[[#This Row],[Delivery Date]],_xlfn.XLOOKUP(IM$1,$BH$2:$BR$2,$BH168:$BR168,0),0)</f>
        <v>0</v>
      </c>
      <c r="IN168" s="26">
        <f>IF(IN$2=InputTable[[#This Row],[Delivery Date]],_xlfn.XLOOKUP(IN$1,$BH$2:$BR$2,$BH168:$BR168,0),0)</f>
        <v>0</v>
      </c>
      <c r="IO168" s="26">
        <f>IF(IO$2=InputTable[[#This Row],[Delivery Date]],_xlfn.XLOOKUP(IO$1,$BH$2:$BR$2,$BH168:$BR168,0),0)</f>
        <v>0</v>
      </c>
      <c r="IP168" s="26">
        <f>IF(IP$2=InputTable[[#This Row],[Delivery Date]],_xlfn.XLOOKUP(IP$1,$BH$2:$BR$2,$BH168:$BR168,0),0)</f>
        <v>0</v>
      </c>
      <c r="IQ168" s="26">
        <f>IF(IQ$2=InputTable[[#This Row],[Delivery Date]],_xlfn.XLOOKUP(IQ$1,$BH$2:$BR$2,$BH168:$BR168,0),0)</f>
        <v>0</v>
      </c>
      <c r="IR168" s="26">
        <f>IF(IR$2=InputTable[[#This Row],[Delivery Date]],_xlfn.XLOOKUP(IR$1,$BH$2:$BR$2,$BH168:$BR168,0),0)</f>
        <v>0</v>
      </c>
      <c r="IT168" s="26" t="e">
        <f>IF(IT$2=InputTable[[#This Row],[Delivery Date]],_xlfn.XLOOKUP(IT$1,$BH$2:$BR$2,$BH168:$BR168,0),0)</f>
        <v>#REF!</v>
      </c>
      <c r="IU168" s="26">
        <f>IF(IU$2=InputTable[[#This Row],[Delivery Date]],_xlfn.XLOOKUP(IU$1,$BH$2:$BR$2,$BH168:$BR168,0),0)</f>
        <v>0</v>
      </c>
      <c r="IV168" s="26">
        <f>IF(IV$2=InputTable[[#This Row],[Delivery Date]],_xlfn.XLOOKUP(IV$1,$BH$2:$BR$2,$BH168:$BR168,0),0)</f>
        <v>0</v>
      </c>
      <c r="IW168" s="26">
        <f>IF(IW$2=InputTable[[#This Row],[Delivery Date]],_xlfn.XLOOKUP(IW$1,$BH$2:$BR$2,$BH168:$BR168,0),0)</f>
        <v>0</v>
      </c>
      <c r="IX168" s="26">
        <f>IF(IX$2=InputTable[[#This Row],[Delivery Date]],_xlfn.XLOOKUP(IX$1,$BH$2:$BR$2,$BH168:$BR168,0),0)</f>
        <v>0</v>
      </c>
      <c r="IY168" s="26">
        <f>IF(IY$2=InputTable[[#This Row],[Delivery Date]],_xlfn.XLOOKUP(IY$1,$BH$2:$BR$2,$BH168:$BR168,0),0)</f>
        <v>0</v>
      </c>
      <c r="IZ168" s="26">
        <f>IF(IZ$2=InputTable[[#This Row],[Delivery Date]],_xlfn.XLOOKUP(IZ$1,$BH$2:$BR$2,$BH168:$BR168,0),0)</f>
        <v>0</v>
      </c>
      <c r="JA168" s="26">
        <f>IF(JA$2=InputTable[[#This Row],[Delivery Date]],_xlfn.XLOOKUP(JA$1,$BH$2:$BR$2,$BH168:$BR168,0),0)</f>
        <v>0</v>
      </c>
      <c r="JB168" s="26">
        <f>IF(JB$2=InputTable[[#This Row],[Delivery Date]],_xlfn.XLOOKUP(JB$1,$BH$2:$BR$2,$BH168:$BR168,0),0)</f>
        <v>0</v>
      </c>
      <c r="JD168" s="26" t="e">
        <f>IF(JD$2=InputTable[[#This Row],[Delivery Date]],_xlfn.XLOOKUP(JD$1,$BH$2:$BR$2,$BH168:$BR168,0),0)</f>
        <v>#REF!</v>
      </c>
      <c r="JE168" s="26">
        <f>IF(JE$2=InputTable[[#This Row],[Delivery Date]],_xlfn.XLOOKUP(JE$1,$BH$2:$BR$2,$BH168:$BR168,0),0)</f>
        <v>0</v>
      </c>
      <c r="JF168" s="26">
        <f>IF(JF$2=InputTable[[#This Row],[Delivery Date]],_xlfn.XLOOKUP(JF$1,$BH$2:$BR$2,$BH168:$BR168,0),0)</f>
        <v>0</v>
      </c>
      <c r="JG168" s="26">
        <f>IF(JG$2=InputTable[[#This Row],[Delivery Date]],_xlfn.XLOOKUP(JG$1,$BH$2:$BR$2,$BH168:$BR168,0),0)</f>
        <v>0</v>
      </c>
      <c r="JH168" s="26">
        <f>IF(JH$2=InputTable[[#This Row],[Delivery Date]],_xlfn.XLOOKUP(JH$1,$BH$2:$BR$2,$BH168:$BR168,0),0)</f>
        <v>0</v>
      </c>
      <c r="JI168" s="26">
        <f>IF(JI$2=InputTable[[#This Row],[Delivery Date]],_xlfn.XLOOKUP(JI$1,$BH$2:$BR$2,$BH168:$BR168,0),0)</f>
        <v>0</v>
      </c>
      <c r="JJ168" s="26">
        <f>IF(JJ$2=InputTable[[#This Row],[Delivery Date]],_xlfn.XLOOKUP(JJ$1,$BH$2:$BR$2,$BH168:$BR168,0),0)</f>
        <v>0</v>
      </c>
      <c r="JK168" s="26">
        <f>IF(JK$2=InputTable[[#This Row],[Delivery Date]],_xlfn.XLOOKUP(JK$1,$BH$2:$BR$2,$BH168:$BR168,0),0)</f>
        <v>0</v>
      </c>
      <c r="JL168" s="26">
        <f>IF(JL$2=InputTable[[#This Row],[Delivery Date]],_xlfn.XLOOKUP(JL$1,$BH$2:$BR$2,$BH168:$BR168,0),0)</f>
        <v>0</v>
      </c>
      <c r="JN168" s="26" t="e">
        <f>IF(JN$2=InputTable[[#This Row],[Delivery Date]],_xlfn.XLOOKUP(JN$1,$BH$2:$BR$2,$BH168:$BR168,0),0)</f>
        <v>#REF!</v>
      </c>
      <c r="JO168" s="26">
        <f>IF(JO$2=InputTable[[#This Row],[Delivery Date]],_xlfn.XLOOKUP(JO$1,$BH$2:$BR$2,$BH168:$BR168,0),0)</f>
        <v>0</v>
      </c>
      <c r="JP168" s="26">
        <f>IF(JP$2=InputTable[[#This Row],[Delivery Date]],_xlfn.XLOOKUP(JP$1,$BH$2:$BR$2,$BH168:$BR168,0),0)</f>
        <v>0</v>
      </c>
      <c r="JQ168" s="26">
        <f>IF(JQ$2=InputTable[[#This Row],[Delivery Date]],_xlfn.XLOOKUP(JQ$1,$BH$2:$BR$2,$BH168:$BR168,0),0)</f>
        <v>0</v>
      </c>
      <c r="JR168" s="26">
        <f>IF(JR$2=InputTable[[#This Row],[Delivery Date]],_xlfn.XLOOKUP(JR$1,$BH$2:$BR$2,$BH168:$BR168,0),0)</f>
        <v>0</v>
      </c>
      <c r="JS168" s="26">
        <f>IF(JS$2=InputTable[[#This Row],[Delivery Date]],_xlfn.XLOOKUP(JS$1,$BH$2:$BR$2,$BH168:$BR168,0),0)</f>
        <v>0</v>
      </c>
      <c r="JT168" s="26">
        <f>IF(JT$2=InputTable[[#This Row],[Delivery Date]],_xlfn.XLOOKUP(JT$1,$BH$2:$BR$2,$BH168:$BR168,0),0)</f>
        <v>0</v>
      </c>
      <c r="JU168" s="26">
        <f>IF(JU$2=InputTable[[#This Row],[Delivery Date]],_xlfn.XLOOKUP(JU$1,$BH$2:$BR$2,$BH168:$BR168,0),0)</f>
        <v>0</v>
      </c>
      <c r="JV168" s="26">
        <f>IF(JV$2=InputTable[[#This Row],[Delivery Date]],_xlfn.XLOOKUP(JV$1,$BH$2:$BR$2,$BH168:$BR168,0),0)</f>
        <v>0</v>
      </c>
      <c r="JX168" s="26" t="e">
        <f>IF(JX$2=InputTable[[#This Row],[Delivery Date]],_xlfn.XLOOKUP(JX$1,$BH$2:$BR$2,$BH168:$BR168,0),0)</f>
        <v>#REF!</v>
      </c>
      <c r="JY168" s="26">
        <f>IF(JY$2=InputTable[[#This Row],[Delivery Date]],_xlfn.XLOOKUP(JY$1,$BH$2:$BR$2,$BH168:$BR168,0),0)</f>
        <v>0</v>
      </c>
      <c r="JZ168" s="26">
        <f>IF(JZ$2=InputTable[[#This Row],[Delivery Date]],_xlfn.XLOOKUP(JZ$1,$BH$2:$BR$2,$BH168:$BR168,0),0)</f>
        <v>0</v>
      </c>
      <c r="KA168" s="26">
        <f>IF(KA$2=InputTable[[#This Row],[Delivery Date]],_xlfn.XLOOKUP(KA$1,$BH$2:$BR$2,$BH168:$BR168,0),0)</f>
        <v>0</v>
      </c>
      <c r="KB168" s="26">
        <f>IF(KB$2=InputTable[[#This Row],[Delivery Date]],_xlfn.XLOOKUP(KB$1,$BH$2:$BR$2,$BH168:$BR168,0),0)</f>
        <v>0</v>
      </c>
      <c r="KC168" s="26">
        <f>IF(KC$2=InputTable[[#This Row],[Delivery Date]],_xlfn.XLOOKUP(KC$1,$BH$2:$BR$2,$BH168:$BR168,0),0)</f>
        <v>0</v>
      </c>
      <c r="KD168" s="26">
        <f>IF(KD$2=InputTable[[#This Row],[Delivery Date]],_xlfn.XLOOKUP(KD$1,$BH$2:$BR$2,$BH168:$BR168,0),0)</f>
        <v>0</v>
      </c>
      <c r="KE168" s="26">
        <f>IF(KE$2=InputTable[[#This Row],[Delivery Date]],_xlfn.XLOOKUP(KE$1,$BH$2:$BR$2,$BH168:$BR168,0),0)</f>
        <v>0</v>
      </c>
      <c r="KF168" s="26">
        <f>IF(KF$2=InputTable[[#This Row],[Delivery Date]],_xlfn.XLOOKUP(KF$1,$BH$2:$BR$2,$BH168:$BR168,0),0)</f>
        <v>0</v>
      </c>
    </row>
    <row r="169" spans="1:292" ht="17.399999999999999" x14ac:dyDescent="0.25">
      <c r="A169" s="141"/>
      <c r="B169" s="119"/>
      <c r="C169" s="92"/>
      <c r="D169" s="92"/>
      <c r="E169" s="103"/>
      <c r="F169" s="104"/>
      <c r="G169" s="104"/>
      <c r="H169" s="104"/>
      <c r="I169" s="104"/>
      <c r="J169" s="105"/>
      <c r="K169" s="95" t="e">
        <f>VLOOKUP((InputTable[[#This Row],[Starting Date]]&amp; " - " &amp;InputTable[[#This Row],[Delivery Date]]),'System List'!$F$40:$H$83,2,FALSE)</f>
        <v>#N/A</v>
      </c>
      <c r="L169" s="95" t="e">
        <f>VLOOKUP(InputTable[[#This Row],[Duration]],Duration,2,FALSE)</f>
        <v>#N/A</v>
      </c>
      <c r="M169" s="105"/>
      <c r="N169" s="104"/>
      <c r="O169" s="104"/>
      <c r="P169" s="104"/>
      <c r="Q169" s="104"/>
      <c r="R169" s="104"/>
      <c r="S169" s="92"/>
      <c r="T169" s="95"/>
      <c r="U169" s="138"/>
      <c r="V169" s="104"/>
      <c r="W169" s="104"/>
      <c r="X169" s="104"/>
      <c r="Y169" s="104"/>
      <c r="Z169" s="104"/>
      <c r="AA169" s="104"/>
      <c r="AB169" s="104"/>
      <c r="AC169" s="104"/>
      <c r="AD169" s="92">
        <f>COUNTA(InputTable[[#This Row],[CORPHRFIN]:[SALES]])</f>
        <v>0</v>
      </c>
      <c r="AE169" s="88" cm="1">
        <f t="array" ref="AE169">SUM(
_xlfn.XLOOKUP(InputTable[[#This Row],[CORPHRFIN]:[SALES]],'System List'!$F$4:$F$7,'System List'!$H$4:$H$7,0))</f>
        <v>0</v>
      </c>
      <c r="AF169" s="140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88" cm="1">
        <f t="array" ref="AR169">SUM(
_xlfn.XLOOKUP(InputTable[[#This Row],[Impact on - CIAL]:[Impact on - STRAT]],'System List'!$F$4:$F$7,'System List'!$H$4:$H$7,0))</f>
        <v>0</v>
      </c>
      <c r="AS169" s="88" t="e">
        <f>VLOOKUP(InputTable[[#This Row],[Duration]],Duration,2,FALSE)+InputTable[[#This Row],[Resource Score]]</f>
        <v>#N/A</v>
      </c>
      <c r="AT16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69" s="24" t="e">
        <f>InputTable[[#This Row],[Value Score]]/InputTable[[#This Row],[EFFORT SCORE]]*100</f>
        <v>#N/A</v>
      </c>
      <c r="AV169" s="25" t="s">
        <v>460</v>
      </c>
      <c r="AW169" s="25"/>
      <c r="AX169" s="208"/>
      <c r="AY169" s="25"/>
      <c r="AZ169" s="189">
        <v>0</v>
      </c>
      <c r="BA169" s="189">
        <v>0</v>
      </c>
      <c r="BB169" s="189"/>
      <c r="BC169" s="189"/>
      <c r="BD169" s="188"/>
      <c r="BE169" s="188"/>
      <c r="BF169" s="70"/>
      <c r="BH169" s="2">
        <f>IFERROR(VLOOKUP(InputTable[[#This Row],[Impact on - CIAL]],'System List'!$F$4:$H$7,3,FALSE),0)</f>
        <v>0</v>
      </c>
      <c r="BI169" s="2">
        <f>IFERROR(VLOOKUP(InputTable[[#This Row],[Impact on - COM]],'System List'!$F$4:$H$7,3,FALSE),0)</f>
        <v>0</v>
      </c>
      <c r="BJ169" s="2">
        <f>IFERROR(VLOOKUP(InputTable[[#This Row],[Impact on - FIN]],'System List'!$F$4:$H$7,3,FALSE),0)</f>
        <v>0</v>
      </c>
      <c r="BK169" s="2">
        <f>IFERROR(VLOOKUP(InputTable[[#This Row],[Impact on - GEN SEC]],'System List'!$F$4:$H$7,3,FALSE),0)</f>
        <v>0</v>
      </c>
      <c r="BL169" s="2">
        <f>IFERROR(VLOOKUP(InputTable[[#This Row],[Impact on - HR]],'System List'!$F$4:$H$7,3,FALSE),0)</f>
        <v>0</v>
      </c>
      <c r="BM169" s="2">
        <f>IFERROR(VLOOKUP(InputTable[[#This Row],[Impact on - IS]],'System List'!$F$4:$H$7,3,FALSE),0)</f>
        <v>0</v>
      </c>
      <c r="BN169" s="2">
        <f>IFERROR(VLOOKUP(InputTable[[#This Row],[Impact on - OPS]],'System List'!$F$4:$H$7,3,FALSE),0)</f>
        <v>0</v>
      </c>
      <c r="BO169" s="2">
        <f>IFERROR(VLOOKUP(InputTable[[#This Row],[Impact on - ROLL STOCK]],'System List'!$F$4:$H$7,3,FALSE),0)</f>
        <v>0</v>
      </c>
      <c r="BP169" s="2">
        <f>IFERROR(VLOOKUP(InputTable[[#This Row],[Impact on - SAFETY]],'System List'!$F$4:$H$7,3,FALSE),0)</f>
        <v>0</v>
      </c>
      <c r="BQ169" s="2">
        <f>IFERROR(VLOOKUP(InputTable[[#This Row],[Impact on - STATION]],'System List'!$F$4:$H$7,3,FALSE),0)</f>
        <v>0</v>
      </c>
      <c r="BR169" s="2">
        <f>IFERROR(VLOOKUP(InputTable[[#This Row],[Impact on - STRAT]],'System List'!$F$4:$H$7,3,FALSE),0)</f>
        <v>0</v>
      </c>
      <c r="BT169" s="2">
        <f>IFERROR(VLOOKUP(InputTable[[#This Row],[CORPHRFIN]],'System List'!$F$4:$H$7,3,FALSE),0)</f>
        <v>0</v>
      </c>
      <c r="BU169" s="2">
        <f>IFERROR(VLOOKUP(InputTable[[#This Row],[CUST]],'System List'!$F$4:$H$7,3,FALSE),0)</f>
        <v>0</v>
      </c>
      <c r="BV169" s="2">
        <f>IFERROR(VLOOKUP(InputTable[[#This Row],[CYBER]],'System List'!$F$4:$H$7,3,FALSE),0)</f>
        <v>0</v>
      </c>
      <c r="BW169" s="2">
        <f>IFERROR(VLOOKUP(InputTable[[#This Row],[DATA]],'System List'!$F$4:$H$7,3,FALSE),0)</f>
        <v>0</v>
      </c>
      <c r="BX169" s="2">
        <f>IFERROR(VLOOKUP(InputTable[[#This Row],[INFRA]],'System List'!$F$4:$H$7,3,FALSE),0)</f>
        <v>0</v>
      </c>
      <c r="BY169" s="2">
        <f>IFERROR(VLOOKUP(InputTable[[#This Row],[OPERATIONS]],'System List'!$F$4:$H$7,3,FALSE),0)</f>
        <v>0</v>
      </c>
      <c r="BZ169" s="2">
        <f>IFERROR(VLOOKUP(InputTable[[#This Row],[PMO]],'System List'!$F$4:$H$7,3,FALSE),0)</f>
        <v>0</v>
      </c>
      <c r="CA169" s="2">
        <f>IFERROR(VLOOKUP(InputTable[[#This Row],[SALES]],'System List'!$F$4:$H$7,3,FALSE),0)</f>
        <v>0</v>
      </c>
      <c r="CC169" s="2" cm="1">
        <f t="array" ref="CC16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69" s="2" cm="1">
        <f t="array" ref="CD16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69" s="2" cm="1">
        <f t="array" ref="CE16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69" s="2" cm="1">
        <f t="array" ref="CF16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69" s="2" cm="1">
        <f t="array" ref="CG16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69" s="2" cm="1">
        <f t="array" ref="CH16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69" s="2" cm="1">
        <f t="array" ref="CI16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69" s="2" cm="1">
        <f t="array" ref="CJ16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69" s="2" cm="1">
        <f t="array" ref="CK16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6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6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6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6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6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6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6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6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6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69" s="26">
        <f t="shared" ref="CX169:CX200" si="451">CN169*_xlfn.XLOOKUP(CX$1,$BT$2:$CA$2,$BT169:$CA169,0)</f>
        <v>0</v>
      </c>
      <c r="CY169" s="26">
        <f t="shared" ref="CY169:CY200" si="452">CO169*_xlfn.XLOOKUP(CY$1,$BT$2:$CA$2,$BT169:$CA169,0)</f>
        <v>0</v>
      </c>
      <c r="CZ169" s="26">
        <f t="shared" ref="CZ169:CZ200" si="453">CP169*_xlfn.XLOOKUP(CZ$1,$BT$2:$CA$2,$BT169:$CA169,0)</f>
        <v>0</v>
      </c>
      <c r="DA169" s="26">
        <f t="shared" ref="DA169:DA200" si="454">CQ169*_xlfn.XLOOKUP(DA$1,$BT$2:$CA$2,$BT169:$CA169,0)</f>
        <v>0</v>
      </c>
      <c r="DB169" s="26">
        <f t="shared" ref="DB169:DB200" si="455">CR169*_xlfn.XLOOKUP(DB$1,$BT$2:$CA$2,$BT169:$CA169,0)</f>
        <v>0</v>
      </c>
      <c r="DC169" s="26">
        <f t="shared" ref="DC169:DC200" si="456">CS169*_xlfn.XLOOKUP(DC$1,$BT$2:$CA$2,$BT169:$CA169,0)</f>
        <v>0</v>
      </c>
      <c r="DD169" s="26">
        <f t="shared" ref="DD169:DD200" si="457">CT169*_xlfn.XLOOKUP(DD$1,$BT$2:$CA$2,$BT169:$CA169,0)</f>
        <v>0</v>
      </c>
      <c r="DE169" s="26">
        <f t="shared" ref="DE169:DE200" si="458">CU169*_xlfn.XLOOKUP(DE$1,$BT$2:$CA$2,$BT169:$CA169,0)</f>
        <v>0</v>
      </c>
      <c r="DF169" s="26">
        <f t="shared" ref="DF169:DF200" si="459">CV169*_xlfn.XLOOKUP(DF$1,$BT$2:$CA$2,$BT169:$CA169,0)</f>
        <v>0</v>
      </c>
      <c r="DH169" s="26">
        <f t="shared" ref="DH169:DH200" si="460">$CN169*_xlfn.XLOOKUP(DH$1,$BT$2:$CA$2,$BT169:$CA169,0)</f>
        <v>0</v>
      </c>
      <c r="DI169" s="26">
        <f t="shared" ref="DI169:DI200" si="461">$CO169*_xlfn.XLOOKUP(DI$1,$BT$2:$CA$2,$BT169:$CA169,0)</f>
        <v>0</v>
      </c>
      <c r="DJ169" s="26">
        <f t="shared" ref="DJ169:DJ200" si="462">$CP169*_xlfn.XLOOKUP(DJ$1,$BT$2:$CA$2,$BT169:$CA169,0)</f>
        <v>0</v>
      </c>
      <c r="DK169" s="26">
        <f t="shared" ref="DK169:DK200" si="463">$CQ169*_xlfn.XLOOKUP(DK$1,$BT$2:$CA$2,$BT169:$CA169,0)</f>
        <v>0</v>
      </c>
      <c r="DL169" s="26">
        <f t="shared" ref="DL169:DL200" si="464">$CR169*_xlfn.XLOOKUP(DL$1,$BT$2:$CA$2,$BT169:$CA169,0)</f>
        <v>0</v>
      </c>
      <c r="DM169" s="26">
        <f t="shared" ref="DM169:DM200" si="465">$CS169*_xlfn.XLOOKUP(DM$1,$BT$2:$CA$2,$BT169:$CA169,0)</f>
        <v>0</v>
      </c>
      <c r="DN169" s="26">
        <f t="shared" ref="DN169:DN200" si="466">$CT169*_xlfn.XLOOKUP(DN$1,$BT$2:$CA$2,$BT169:$CA169,0)</f>
        <v>0</v>
      </c>
      <c r="DO169" s="26">
        <f t="shared" ref="DO169:DO200" si="467">$CU169*_xlfn.XLOOKUP(DO$1,$BT$2:$CA$2,$BT169:$CA169,0)</f>
        <v>0</v>
      </c>
      <c r="DP169" s="26">
        <f t="shared" ref="DP169:DP200" si="468">$CV169*_xlfn.XLOOKUP(DP$1,$BT$2:$CA$2,$BT169:$CA169,0)</f>
        <v>0</v>
      </c>
      <c r="DR169" s="26">
        <f t="shared" ref="DR169:DR200" si="469">$CN169*_xlfn.XLOOKUP(DR$1,$BT$2:$CA$2,$BT169:$CA169,0)</f>
        <v>0</v>
      </c>
      <c r="DS169" s="26">
        <f t="shared" ref="DS169:DS200" si="470">$CO169*_xlfn.XLOOKUP(DS$1,$BT$2:$CA$2,$BT169:$CA169,0)</f>
        <v>0</v>
      </c>
      <c r="DT169" s="26">
        <f t="shared" ref="DT169:DT200" si="471">$CP169*_xlfn.XLOOKUP(DT$1,$BT$2:$CA$2,$BT169:$CA169,0)</f>
        <v>0</v>
      </c>
      <c r="DU169" s="26">
        <f t="shared" ref="DU169:DU200" si="472">$CQ169*_xlfn.XLOOKUP(DU$1,$BT$2:$CA$2,$BT169:$CA169,0)</f>
        <v>0</v>
      </c>
      <c r="DV169" s="26">
        <f t="shared" ref="DV169:DV200" si="473">$CR169*_xlfn.XLOOKUP(DV$1,$BT$2:$CA$2,$BT169:$CA169,0)</f>
        <v>0</v>
      </c>
      <c r="DW169" s="26">
        <f t="shared" ref="DW169:DW200" si="474">$CS169*_xlfn.XLOOKUP(DW$1,$BT$2:$CA$2,$BT169:$CA169,0)</f>
        <v>0</v>
      </c>
      <c r="DX169" s="26">
        <f t="shared" ref="DX169:DX200" si="475">$CT169*_xlfn.XLOOKUP(DX$1,$BT$2:$CA$2,$BT169:$CA169,0)</f>
        <v>0</v>
      </c>
      <c r="DY169" s="26">
        <f t="shared" ref="DY169:DY200" si="476">$CU169*_xlfn.XLOOKUP(DY$1,$BT$2:$CA$2,$BT169:$CA169,0)</f>
        <v>0</v>
      </c>
      <c r="DZ169" s="26">
        <f t="shared" ref="DZ169:DZ200" si="477">$CV169*_xlfn.XLOOKUP(DZ$1,$BT$2:$CA$2,$BT169:$CA169,0)</f>
        <v>0</v>
      </c>
      <c r="EB169" s="26">
        <f t="shared" ref="EB169:EB200" si="478">$CN169*_xlfn.XLOOKUP(EB$1,$BT$2:$CA$2,$BT169:$CA169,0)</f>
        <v>0</v>
      </c>
      <c r="EC169" s="26">
        <f t="shared" ref="EC169:EC200" si="479">$CO169*_xlfn.XLOOKUP(EC$1,$BT$2:$CA$2,$BT169:$CA169,0)</f>
        <v>0</v>
      </c>
      <c r="ED169" s="26">
        <f t="shared" ref="ED169:ED200" si="480">$CP169*_xlfn.XLOOKUP(ED$1,$BT$2:$CA$2,$BT169:$CA169,0)</f>
        <v>0</v>
      </c>
      <c r="EE169" s="26">
        <f t="shared" ref="EE169:EE200" si="481">$CQ169*_xlfn.XLOOKUP(EE$1,$BT$2:$CA$2,$BT169:$CA169,0)</f>
        <v>0</v>
      </c>
      <c r="EF169" s="26">
        <f t="shared" ref="EF169:EF200" si="482">$CR169*_xlfn.XLOOKUP(EF$1,$BT$2:$CA$2,$BT169:$CA169,0)</f>
        <v>0</v>
      </c>
      <c r="EG169" s="26">
        <f t="shared" ref="EG169:EG200" si="483">$CS169*_xlfn.XLOOKUP(EG$1,$BT$2:$CA$2,$BT169:$CA169,0)</f>
        <v>0</v>
      </c>
      <c r="EH169" s="26">
        <f t="shared" ref="EH169:EH200" si="484">$CT169*_xlfn.XLOOKUP(EH$1,$BT$2:$CA$2,$BT169:$CA169,0)</f>
        <v>0</v>
      </c>
      <c r="EI169" s="26">
        <f t="shared" ref="EI169:EI200" si="485">$CU169*_xlfn.XLOOKUP(EI$1,$BT$2:$CA$2,$BT169:$CA169,0)</f>
        <v>0</v>
      </c>
      <c r="EJ169" s="26">
        <f t="shared" ref="EJ169:EJ200" si="486">$CV169*_xlfn.XLOOKUP(EJ$1,$BT$2:$CA$2,$BT169:$CA169,0)</f>
        <v>0</v>
      </c>
      <c r="EL169" s="26">
        <f t="shared" ref="EL169:EL200" si="487">$CN169*_xlfn.XLOOKUP(EL$1,$BT$2:$CA$2,$BT169:$CA169,0)</f>
        <v>0</v>
      </c>
      <c r="EM169" s="26">
        <f t="shared" ref="EM169:EM200" si="488">$CO169*_xlfn.XLOOKUP(EM$1,$BT$2:$CA$2,$BT169:$CA169,0)</f>
        <v>0</v>
      </c>
      <c r="EN169" s="26">
        <f t="shared" ref="EN169:EN200" si="489">$CP169*_xlfn.XLOOKUP(EN$1,$BT$2:$CA$2,$BT169:$CA169,0)</f>
        <v>0</v>
      </c>
      <c r="EO169" s="26">
        <f t="shared" ref="EO169:EO200" si="490">$CQ169*_xlfn.XLOOKUP(EO$1,$BT$2:$CA$2,$BT169:$CA169,0)</f>
        <v>0</v>
      </c>
      <c r="EP169" s="26">
        <f t="shared" ref="EP169:EP200" si="491">$CR169*_xlfn.XLOOKUP(EP$1,$BT$2:$CA$2,$BT169:$CA169,0)</f>
        <v>0</v>
      </c>
      <c r="EQ169" s="26">
        <f t="shared" ref="EQ169:EQ200" si="492">$CS169*_xlfn.XLOOKUP(EQ$1,$BT$2:$CA$2,$BT169:$CA169,0)</f>
        <v>0</v>
      </c>
      <c r="ER169" s="26">
        <f t="shared" ref="ER169:ER200" si="493">$CT169*_xlfn.XLOOKUP(ER$1,$BT$2:$CA$2,$BT169:$CA169,0)</f>
        <v>0</v>
      </c>
      <c r="ES169" s="26">
        <f t="shared" ref="ES169:ES200" si="494">$CU169*_xlfn.XLOOKUP(ES$1,$BT$2:$CA$2,$BT169:$CA169,0)</f>
        <v>0</v>
      </c>
      <c r="ET169" s="26">
        <f t="shared" ref="ET169:ET200" si="495">$CV169*_xlfn.XLOOKUP(ET$1,$BT$2:$CA$2,$BT169:$CA169,0)</f>
        <v>0</v>
      </c>
      <c r="EV169" s="26">
        <f t="shared" ref="EV169:EV200" si="496">$CN169*_xlfn.XLOOKUP(EV$1,$BT$2:$CA$2,$BT169:$CA169,0)</f>
        <v>0</v>
      </c>
      <c r="EW169" s="26">
        <f t="shared" ref="EW169:EW200" si="497">$CO169*_xlfn.XLOOKUP(EW$1,$BT$2:$CA$2,$BT169:$CA169,0)</f>
        <v>0</v>
      </c>
      <c r="EX169" s="26">
        <f t="shared" ref="EX169:EX200" si="498">$CP169*_xlfn.XLOOKUP(EX$1,$BT$2:$CA$2,$BT169:$CA169,0)</f>
        <v>0</v>
      </c>
      <c r="EY169" s="26">
        <f t="shared" ref="EY169:EY200" si="499">$CQ169*_xlfn.XLOOKUP(EY$1,$BT$2:$CA$2,$BT169:$CA169,0)</f>
        <v>0</v>
      </c>
      <c r="EZ169" s="26">
        <f t="shared" ref="EZ169:EZ200" si="500">$CR169*_xlfn.XLOOKUP(EZ$1,$BT$2:$CA$2,$BT169:$CA169,0)</f>
        <v>0</v>
      </c>
      <c r="FA169" s="26">
        <f t="shared" ref="FA169:FA200" si="501">$CS169*_xlfn.XLOOKUP(FA$1,$BT$2:$CA$2,$BT169:$CA169,0)</f>
        <v>0</v>
      </c>
      <c r="FB169" s="26">
        <f t="shared" ref="FB169:FB200" si="502">$CT169*_xlfn.XLOOKUP(FB$1,$BT$2:$CA$2,$BT169:$CA169,0)</f>
        <v>0</v>
      </c>
      <c r="FC169" s="26">
        <f t="shared" ref="FC169:FC200" si="503">$CU169*_xlfn.XLOOKUP(FC$1,$BT$2:$CA$2,$BT169:$CA169,0)</f>
        <v>0</v>
      </c>
      <c r="FD169" s="26">
        <f t="shared" ref="FD169:FD200" si="504">$CV169*_xlfn.XLOOKUP(FD$1,$BT$2:$CA$2,$BT169:$CA169,0)</f>
        <v>0</v>
      </c>
      <c r="FF169" s="26">
        <f t="shared" ref="FF169:FF200" si="505">$CN169*_xlfn.XLOOKUP(FF$1,$BT$2:$CA$2,$BT169:$CA169,0)</f>
        <v>0</v>
      </c>
      <c r="FG169" s="26">
        <f t="shared" ref="FG169:FG200" si="506">$CO169*_xlfn.XLOOKUP(FG$1,$BT$2:$CA$2,$BT169:$CA169,0)</f>
        <v>0</v>
      </c>
      <c r="FH169" s="26">
        <f t="shared" ref="FH169:FH200" si="507">$CP169*_xlfn.XLOOKUP(FH$1,$BT$2:$CA$2,$BT169:$CA169,0)</f>
        <v>0</v>
      </c>
      <c r="FI169" s="26">
        <f t="shared" ref="FI169:FI200" si="508">$CQ169*_xlfn.XLOOKUP(FI$1,$BT$2:$CA$2,$BT169:$CA169,0)</f>
        <v>0</v>
      </c>
      <c r="FJ169" s="26">
        <f t="shared" ref="FJ169:FJ200" si="509">$CR169*_xlfn.XLOOKUP(FJ$1,$BT$2:$CA$2,$BT169:$CA169,0)</f>
        <v>0</v>
      </c>
      <c r="FK169" s="26">
        <f t="shared" ref="FK169:FK200" si="510">$CS169*_xlfn.XLOOKUP(FK$1,$BT$2:$CA$2,$BT169:$CA169,0)</f>
        <v>0</v>
      </c>
      <c r="FL169" s="26">
        <f t="shared" ref="FL169:FL200" si="511">$CT169*_xlfn.XLOOKUP(FL$1,$BT$2:$CA$2,$BT169:$CA169,0)</f>
        <v>0</v>
      </c>
      <c r="FM169" s="26">
        <f t="shared" ref="FM169:FM200" si="512">$CU169*_xlfn.XLOOKUP(FM$1,$BT$2:$CA$2,$BT169:$CA169,0)</f>
        <v>0</v>
      </c>
      <c r="FN169" s="26">
        <f t="shared" ref="FN169:FN200" si="513">$CV169*_xlfn.XLOOKUP(FN$1,$BT$2:$CA$2,$BT169:$CA169,0)</f>
        <v>0</v>
      </c>
      <c r="FP169" s="26" t="e">
        <f t="shared" ref="FP169:FP200" si="514">$CN169*_xlfn.XLOOKUP(FP$1,$BT$2:$CA$2,$BT169:$CA169,0)</f>
        <v>#REF!</v>
      </c>
      <c r="FQ169" s="26" t="e">
        <f t="shared" ref="FQ169:FQ200" si="515">$CO169*_xlfn.XLOOKUP(FQ$1,$BT$2:$CA$2,$BT169:$CA169,0)</f>
        <v>#REF!</v>
      </c>
      <c r="FR169" s="26" t="e">
        <f t="shared" ref="FR169:FR200" si="516">$CP169*_xlfn.XLOOKUP(FR$1,$BT$2:$CA$2,$BT169:$CA169,0)</f>
        <v>#REF!</v>
      </c>
      <c r="FS169" s="26" t="e">
        <f t="shared" ref="FS169:FS200" si="517">$CQ169*_xlfn.XLOOKUP(FS$1,$BT$2:$CA$2,$BT169:$CA169,0)</f>
        <v>#REF!</v>
      </c>
      <c r="FT169" s="26" t="e">
        <f t="shared" ref="FT169:FT200" si="518">$CR169*_xlfn.XLOOKUP(FT$1,$BT$2:$CA$2,$BT169:$CA169,0)</f>
        <v>#REF!</v>
      </c>
      <c r="FU169" s="26" t="e">
        <f t="shared" ref="FU169:FU200" si="519">$CS169*_xlfn.XLOOKUP(FU$1,$BT$2:$CA$2,$BT169:$CA169,0)</f>
        <v>#REF!</v>
      </c>
      <c r="FV169" s="26" t="e">
        <f t="shared" ref="FV169:FV200" si="520">$CT169*_xlfn.XLOOKUP(FV$1,$BT$2:$CA$2,$BT169:$CA169,0)</f>
        <v>#REF!</v>
      </c>
      <c r="FW169" s="26" t="e">
        <f t="shared" ref="FW169:FW200" si="521">$CU169*_xlfn.XLOOKUP(FW$1,$BT$2:$CA$2,$BT169:$CA169,0)</f>
        <v>#REF!</v>
      </c>
      <c r="FX169" s="26" t="e">
        <f t="shared" ref="FX169:FX200" si="522">$CV169*_xlfn.XLOOKUP(FX$1,$BT$2:$CA$2,$BT169:$CA169,0)</f>
        <v>#REF!</v>
      </c>
      <c r="GB169" s="26" t="e">
        <f>IF(GB$2=InputTable[[#This Row],[Delivery Date]],_xlfn.XLOOKUP(GB$1,$BH$2:$BR$2,$BH169:$BR169,0),0)</f>
        <v>#REF!</v>
      </c>
      <c r="GC169" s="26">
        <f>IF(GC$2=InputTable[[#This Row],[Delivery Date]],_xlfn.XLOOKUP(GC$1,$BH$2:$BR$2,$BH169:$BR169,0),0)</f>
        <v>0</v>
      </c>
      <c r="GD169" s="26">
        <f>IF(GD$2=InputTable[[#This Row],[Delivery Date]],_xlfn.XLOOKUP(GD$1,$BH$2:$BR$2,$BH169:$BR169,0),0)</f>
        <v>0</v>
      </c>
      <c r="GE169" s="26">
        <f>IF(GE$2=InputTable[[#This Row],[Delivery Date]],_xlfn.XLOOKUP(GE$1,$BH$2:$BR$2,$BH169:$BR169,0),0)</f>
        <v>0</v>
      </c>
      <c r="GF169" s="26">
        <f>IF(GF$2=InputTable[[#This Row],[Delivery Date]],_xlfn.XLOOKUP(GF$1,$BH$2:$BR$2,$BH169:$BR169,0),0)</f>
        <v>0</v>
      </c>
      <c r="GG169" s="26">
        <f>IF(GG$2=InputTable[[#This Row],[Delivery Date]],_xlfn.XLOOKUP(GG$1,$BH$2:$BR$2,$BH169:$BR169,0),0)</f>
        <v>0</v>
      </c>
      <c r="GH169" s="26">
        <f>IF(GH$2=InputTable[[#This Row],[Delivery Date]],_xlfn.XLOOKUP(GH$1,$BH$2:$BR$2,$BH169:$BR169,0),0)</f>
        <v>0</v>
      </c>
      <c r="GI169" s="26">
        <f>IF(GI$2=InputTable[[#This Row],[Delivery Date]],_xlfn.XLOOKUP(GI$1,$BH$2:$BR$2,$BH169:$BR169,0),0)</f>
        <v>0</v>
      </c>
      <c r="GJ169" s="26">
        <f>IF(GJ$2=InputTable[[#This Row],[Delivery Date]],_xlfn.XLOOKUP(GJ$1,$BH$2:$BR$2,$BH169:$BR169,0),0)</f>
        <v>0</v>
      </c>
      <c r="GL169" s="26" t="e">
        <f>IF(GL$2=InputTable[[#This Row],[Delivery Date]],_xlfn.XLOOKUP(GL$1,$BH$2:$BR$2,$BH169:$BR169,0),0)</f>
        <v>#REF!</v>
      </c>
      <c r="GM169" s="26">
        <f>IF(GM$2=InputTable[[#This Row],[Delivery Date]],_xlfn.XLOOKUP(GM$1,$BH$2:$BR$2,$BH169:$BR169,0),0)</f>
        <v>0</v>
      </c>
      <c r="GN169" s="26">
        <f>IF(GN$2=InputTable[[#This Row],[Delivery Date]],_xlfn.XLOOKUP(GN$1,$BH$2:$BR$2,$BH169:$BR169,0),0)</f>
        <v>0</v>
      </c>
      <c r="GO169" s="26">
        <f>IF(GO$2=InputTable[[#This Row],[Delivery Date]],_xlfn.XLOOKUP(GO$1,$BH$2:$BR$2,$BH169:$BR169,0),0)</f>
        <v>0</v>
      </c>
      <c r="GP169" s="26">
        <f>IF(GP$2=InputTable[[#This Row],[Delivery Date]],_xlfn.XLOOKUP(GP$1,$BH$2:$BR$2,$BH169:$BR169,0),0)</f>
        <v>0</v>
      </c>
      <c r="GQ169" s="26">
        <f>IF(GQ$2=InputTable[[#This Row],[Delivery Date]],_xlfn.XLOOKUP(GQ$1,$BH$2:$BR$2,$BH169:$BR169,0),0)</f>
        <v>0</v>
      </c>
      <c r="GR169" s="26">
        <f>IF(GR$2=InputTable[[#This Row],[Delivery Date]],_xlfn.XLOOKUP(GR$1,$BH$2:$BR$2,$BH169:$BR169,0),0)</f>
        <v>0</v>
      </c>
      <c r="GS169" s="26">
        <f>IF(GS$2=InputTable[[#This Row],[Delivery Date]],_xlfn.XLOOKUP(GS$1,$BH$2:$BR$2,$BH169:$BR169,0),0)</f>
        <v>0</v>
      </c>
      <c r="GT169" s="26">
        <f>IF(GT$2=InputTable[[#This Row],[Delivery Date]],_xlfn.XLOOKUP(GT$1,$BH$2:$BR$2,$BH169:$BR169,0),0)</f>
        <v>0</v>
      </c>
      <c r="GV169" s="26" t="e">
        <f>IF(GV$2=InputTable[[#This Row],[Delivery Date]],_xlfn.XLOOKUP(GV$1,$BH$2:$BR$2,$BH169:$BR169,0),0)</f>
        <v>#REF!</v>
      </c>
      <c r="GW169" s="26">
        <f>IF(GW$2=InputTable[[#This Row],[Delivery Date]],_xlfn.XLOOKUP(GW$1,$BH$2:$BR$2,$BH169:$BR169,0),0)</f>
        <v>0</v>
      </c>
      <c r="GX169" s="26">
        <f>IF(GX$2=InputTable[[#This Row],[Delivery Date]],_xlfn.XLOOKUP(GX$1,$BH$2:$BR$2,$BH169:$BR169,0),0)</f>
        <v>0</v>
      </c>
      <c r="GY169" s="26">
        <f>IF(GY$2=InputTable[[#This Row],[Delivery Date]],_xlfn.XLOOKUP(GY$1,$BH$2:$BR$2,$BH169:$BR169,0),0)</f>
        <v>0</v>
      </c>
      <c r="GZ169" s="26">
        <f>IF(GZ$2=InputTable[[#This Row],[Delivery Date]],_xlfn.XLOOKUP(GZ$1,$BH$2:$BR$2,$BH169:$BR169,0),0)</f>
        <v>0</v>
      </c>
      <c r="HA169" s="26">
        <f>IF(HA$2=InputTable[[#This Row],[Delivery Date]],_xlfn.XLOOKUP(HA$1,$BH$2:$BR$2,$BH169:$BR169,0),0)</f>
        <v>0</v>
      </c>
      <c r="HB169" s="26">
        <f>IF(HB$2=InputTable[[#This Row],[Delivery Date]],_xlfn.XLOOKUP(HB$1,$BH$2:$BR$2,$BH169:$BR169,0),0)</f>
        <v>0</v>
      </c>
      <c r="HC169" s="26">
        <f>IF(HC$2=InputTable[[#This Row],[Delivery Date]],_xlfn.XLOOKUP(HC$1,$BH$2:$BR$2,$BH169:$BR169,0),0)</f>
        <v>0</v>
      </c>
      <c r="HD169" s="26">
        <f>IF(HD$2=InputTable[[#This Row],[Delivery Date]],_xlfn.XLOOKUP(HD$1,$BH$2:$BR$2,$BH169:$BR169,0),0)</f>
        <v>0</v>
      </c>
      <c r="HF169" s="26" t="e">
        <f>IF(HF$2=InputTable[[#This Row],[Delivery Date]],_xlfn.XLOOKUP(HF$1,$BH$2:$BR$2,$BH169:$BR169,0),0)</f>
        <v>#REF!</v>
      </c>
      <c r="HG169" s="26">
        <f>IF(HG$2=InputTable[[#This Row],[Delivery Date]],_xlfn.XLOOKUP(HG$1,$BH$2:$BR$2,$BH169:$BR169,0),0)</f>
        <v>0</v>
      </c>
      <c r="HH169" s="26">
        <f>IF(HH$2=InputTable[[#This Row],[Delivery Date]],_xlfn.XLOOKUP(HH$1,$BH$2:$BR$2,$BH169:$BR169,0),0)</f>
        <v>0</v>
      </c>
      <c r="HI169" s="26">
        <f>IF(HI$2=InputTable[[#This Row],[Delivery Date]],_xlfn.XLOOKUP(HI$1,$BH$2:$BR$2,$BH169:$BR169,0),0)</f>
        <v>0</v>
      </c>
      <c r="HJ169" s="26">
        <f>IF(HJ$2=InputTable[[#This Row],[Delivery Date]],_xlfn.XLOOKUP(HJ$1,$BH$2:$BR$2,$BH169:$BR169,0),0)</f>
        <v>0</v>
      </c>
      <c r="HK169" s="26">
        <f>IF(HK$2=InputTable[[#This Row],[Delivery Date]],_xlfn.XLOOKUP(HK$1,$BH$2:$BR$2,$BH169:$BR169,0),0)</f>
        <v>0</v>
      </c>
      <c r="HL169" s="26">
        <f>IF(HL$2=InputTable[[#This Row],[Delivery Date]],_xlfn.XLOOKUP(HL$1,$BH$2:$BR$2,$BH169:$BR169,0),0)</f>
        <v>0</v>
      </c>
      <c r="HM169" s="26">
        <f>IF(HM$2=InputTable[[#This Row],[Delivery Date]],_xlfn.XLOOKUP(HM$1,$BH$2:$BR$2,$BH169:$BR169,0),0)</f>
        <v>0</v>
      </c>
      <c r="HN169" s="26">
        <f>IF(HN$2=InputTable[[#This Row],[Delivery Date]],_xlfn.XLOOKUP(HN$1,$BH$2:$BR$2,$BH169:$BR169,0),0)</f>
        <v>0</v>
      </c>
      <c r="HP169" s="26" t="e">
        <f>IF(HP$2=InputTable[[#This Row],[Delivery Date]],_xlfn.XLOOKUP(HP$1,$BH$2:$BR$2,$BH169:$BR169,0),0)</f>
        <v>#REF!</v>
      </c>
      <c r="HQ169" s="26">
        <f>IF(HQ$2=InputTable[[#This Row],[Delivery Date]],_xlfn.XLOOKUP(HQ$1,$BH$2:$BR$2,$BH169:$BR169,0),0)</f>
        <v>0</v>
      </c>
      <c r="HR169" s="26">
        <f>IF(HR$2=InputTable[[#This Row],[Delivery Date]],_xlfn.XLOOKUP(HR$1,$BH$2:$BR$2,$BH169:$BR169,0),0)</f>
        <v>0</v>
      </c>
      <c r="HS169" s="26">
        <f>IF(HS$2=InputTable[[#This Row],[Delivery Date]],_xlfn.XLOOKUP(HS$1,$BH$2:$BR$2,$BH169:$BR169,0),0)</f>
        <v>0</v>
      </c>
      <c r="HT169" s="26">
        <f>IF(HT$2=InputTable[[#This Row],[Delivery Date]],_xlfn.XLOOKUP(HT$1,$BH$2:$BR$2,$BH169:$BR169,0),0)</f>
        <v>0</v>
      </c>
      <c r="HU169" s="26">
        <f>IF(HU$2=InputTable[[#This Row],[Delivery Date]],_xlfn.XLOOKUP(HU$1,$BH$2:$BR$2,$BH169:$BR169,0),0)</f>
        <v>0</v>
      </c>
      <c r="HV169" s="26">
        <f>IF(HV$2=InputTable[[#This Row],[Delivery Date]],_xlfn.XLOOKUP(HV$1,$BH$2:$BR$2,$BH169:$BR169,0),0)</f>
        <v>0</v>
      </c>
      <c r="HW169" s="26">
        <f>IF(HW$2=InputTable[[#This Row],[Delivery Date]],_xlfn.XLOOKUP(HW$1,$BH$2:$BR$2,$BH169:$BR169,0),0)</f>
        <v>0</v>
      </c>
      <c r="HX169" s="26">
        <f>IF(HX$2=InputTable[[#This Row],[Delivery Date]],_xlfn.XLOOKUP(HX$1,$BH$2:$BR$2,$BH169:$BR169,0),0)</f>
        <v>0</v>
      </c>
      <c r="HZ169" s="26" t="e">
        <f>IF(HZ$2=InputTable[[#This Row],[Delivery Date]],_xlfn.XLOOKUP(HZ$1,$BH$2:$BR$2,$BH169:$BR169,0),0)</f>
        <v>#REF!</v>
      </c>
      <c r="IA169" s="26">
        <f>IF(IA$2=InputTable[[#This Row],[Delivery Date]],_xlfn.XLOOKUP(IA$1,$BH$2:$BR$2,$BH169:$BR169,0),0)</f>
        <v>0</v>
      </c>
      <c r="IB169" s="26">
        <f>IF(IB$2=InputTable[[#This Row],[Delivery Date]],_xlfn.XLOOKUP(IB$1,$BH$2:$BR$2,$BH169:$BR169,0),0)</f>
        <v>0</v>
      </c>
      <c r="IC169" s="26">
        <f>IF(IC$2=InputTable[[#This Row],[Delivery Date]],_xlfn.XLOOKUP(IC$1,$BH$2:$BR$2,$BH169:$BR169,0),0)</f>
        <v>0</v>
      </c>
      <c r="ID169" s="26">
        <f>IF(ID$2=InputTable[[#This Row],[Delivery Date]],_xlfn.XLOOKUP(ID$1,$BH$2:$BR$2,$BH169:$BR169,0),0)</f>
        <v>0</v>
      </c>
      <c r="IE169" s="26">
        <f>IF(IE$2=InputTable[[#This Row],[Delivery Date]],_xlfn.XLOOKUP(IE$1,$BH$2:$BR$2,$BH169:$BR169,0),0)</f>
        <v>0</v>
      </c>
      <c r="IF169" s="26">
        <f>IF(IF$2=InputTable[[#This Row],[Delivery Date]],_xlfn.XLOOKUP(IF$1,$BH$2:$BR$2,$BH169:$BR169,0),0)</f>
        <v>0</v>
      </c>
      <c r="IG169" s="26">
        <f>IF(IG$2=InputTable[[#This Row],[Delivery Date]],_xlfn.XLOOKUP(IG$1,$BH$2:$BR$2,$BH169:$BR169,0),0)</f>
        <v>0</v>
      </c>
      <c r="IH169" s="26">
        <f>IF(IH$2=InputTable[[#This Row],[Delivery Date]],_xlfn.XLOOKUP(IH$1,$BH$2:$BR$2,$BH169:$BR169,0),0)</f>
        <v>0</v>
      </c>
      <c r="IJ169" s="26" t="e">
        <f>IF(IJ$2=InputTable[[#This Row],[Delivery Date]],_xlfn.XLOOKUP(IJ$1,$BH$2:$BR$2,$BH169:$BR169,0),0)</f>
        <v>#REF!</v>
      </c>
      <c r="IK169" s="26">
        <f>IF(IK$2=InputTable[[#This Row],[Delivery Date]],_xlfn.XLOOKUP(IK$1,$BH$2:$BR$2,$BH169:$BR169,0),0)</f>
        <v>0</v>
      </c>
      <c r="IL169" s="26">
        <f>IF(IL$2=InputTable[[#This Row],[Delivery Date]],_xlfn.XLOOKUP(IL$1,$BH$2:$BR$2,$BH169:$BR169,0),0)</f>
        <v>0</v>
      </c>
      <c r="IM169" s="26">
        <f>IF(IM$2=InputTable[[#This Row],[Delivery Date]],_xlfn.XLOOKUP(IM$1,$BH$2:$BR$2,$BH169:$BR169,0),0)</f>
        <v>0</v>
      </c>
      <c r="IN169" s="26">
        <f>IF(IN$2=InputTable[[#This Row],[Delivery Date]],_xlfn.XLOOKUP(IN$1,$BH$2:$BR$2,$BH169:$BR169,0),0)</f>
        <v>0</v>
      </c>
      <c r="IO169" s="26">
        <f>IF(IO$2=InputTable[[#This Row],[Delivery Date]],_xlfn.XLOOKUP(IO$1,$BH$2:$BR$2,$BH169:$BR169,0),0)</f>
        <v>0</v>
      </c>
      <c r="IP169" s="26">
        <f>IF(IP$2=InputTable[[#This Row],[Delivery Date]],_xlfn.XLOOKUP(IP$1,$BH$2:$BR$2,$BH169:$BR169,0),0)</f>
        <v>0</v>
      </c>
      <c r="IQ169" s="26">
        <f>IF(IQ$2=InputTable[[#This Row],[Delivery Date]],_xlfn.XLOOKUP(IQ$1,$BH$2:$BR$2,$BH169:$BR169,0),0)</f>
        <v>0</v>
      </c>
      <c r="IR169" s="26">
        <f>IF(IR$2=InputTable[[#This Row],[Delivery Date]],_xlfn.XLOOKUP(IR$1,$BH$2:$BR$2,$BH169:$BR169,0),0)</f>
        <v>0</v>
      </c>
      <c r="IT169" s="26" t="e">
        <f>IF(IT$2=InputTable[[#This Row],[Delivery Date]],_xlfn.XLOOKUP(IT$1,$BH$2:$BR$2,$BH169:$BR169,0),0)</f>
        <v>#REF!</v>
      </c>
      <c r="IU169" s="26">
        <f>IF(IU$2=InputTable[[#This Row],[Delivery Date]],_xlfn.XLOOKUP(IU$1,$BH$2:$BR$2,$BH169:$BR169,0),0)</f>
        <v>0</v>
      </c>
      <c r="IV169" s="26">
        <f>IF(IV$2=InputTable[[#This Row],[Delivery Date]],_xlfn.XLOOKUP(IV$1,$BH$2:$BR$2,$BH169:$BR169,0),0)</f>
        <v>0</v>
      </c>
      <c r="IW169" s="26">
        <f>IF(IW$2=InputTable[[#This Row],[Delivery Date]],_xlfn.XLOOKUP(IW$1,$BH$2:$BR$2,$BH169:$BR169,0),0)</f>
        <v>0</v>
      </c>
      <c r="IX169" s="26">
        <f>IF(IX$2=InputTable[[#This Row],[Delivery Date]],_xlfn.XLOOKUP(IX$1,$BH$2:$BR$2,$BH169:$BR169,0),0)</f>
        <v>0</v>
      </c>
      <c r="IY169" s="26">
        <f>IF(IY$2=InputTable[[#This Row],[Delivery Date]],_xlfn.XLOOKUP(IY$1,$BH$2:$BR$2,$BH169:$BR169,0),0)</f>
        <v>0</v>
      </c>
      <c r="IZ169" s="26">
        <f>IF(IZ$2=InputTable[[#This Row],[Delivery Date]],_xlfn.XLOOKUP(IZ$1,$BH$2:$BR$2,$BH169:$BR169,0),0)</f>
        <v>0</v>
      </c>
      <c r="JA169" s="26">
        <f>IF(JA$2=InputTable[[#This Row],[Delivery Date]],_xlfn.XLOOKUP(JA$1,$BH$2:$BR$2,$BH169:$BR169,0),0)</f>
        <v>0</v>
      </c>
      <c r="JB169" s="26">
        <f>IF(JB$2=InputTable[[#This Row],[Delivery Date]],_xlfn.XLOOKUP(JB$1,$BH$2:$BR$2,$BH169:$BR169,0),0)</f>
        <v>0</v>
      </c>
      <c r="JD169" s="26" t="e">
        <f>IF(JD$2=InputTable[[#This Row],[Delivery Date]],_xlfn.XLOOKUP(JD$1,$BH$2:$BR$2,$BH169:$BR169,0),0)</f>
        <v>#REF!</v>
      </c>
      <c r="JE169" s="26">
        <f>IF(JE$2=InputTable[[#This Row],[Delivery Date]],_xlfn.XLOOKUP(JE$1,$BH$2:$BR$2,$BH169:$BR169,0),0)</f>
        <v>0</v>
      </c>
      <c r="JF169" s="26">
        <f>IF(JF$2=InputTable[[#This Row],[Delivery Date]],_xlfn.XLOOKUP(JF$1,$BH$2:$BR$2,$BH169:$BR169,0),0)</f>
        <v>0</v>
      </c>
      <c r="JG169" s="26">
        <f>IF(JG$2=InputTable[[#This Row],[Delivery Date]],_xlfn.XLOOKUP(JG$1,$BH$2:$BR$2,$BH169:$BR169,0),0)</f>
        <v>0</v>
      </c>
      <c r="JH169" s="26">
        <f>IF(JH$2=InputTable[[#This Row],[Delivery Date]],_xlfn.XLOOKUP(JH$1,$BH$2:$BR$2,$BH169:$BR169,0),0)</f>
        <v>0</v>
      </c>
      <c r="JI169" s="26">
        <f>IF(JI$2=InputTable[[#This Row],[Delivery Date]],_xlfn.XLOOKUP(JI$1,$BH$2:$BR$2,$BH169:$BR169,0),0)</f>
        <v>0</v>
      </c>
      <c r="JJ169" s="26">
        <f>IF(JJ$2=InputTable[[#This Row],[Delivery Date]],_xlfn.XLOOKUP(JJ$1,$BH$2:$BR$2,$BH169:$BR169,0),0)</f>
        <v>0</v>
      </c>
      <c r="JK169" s="26">
        <f>IF(JK$2=InputTable[[#This Row],[Delivery Date]],_xlfn.XLOOKUP(JK$1,$BH$2:$BR$2,$BH169:$BR169,0),0)</f>
        <v>0</v>
      </c>
      <c r="JL169" s="26">
        <f>IF(JL$2=InputTable[[#This Row],[Delivery Date]],_xlfn.XLOOKUP(JL$1,$BH$2:$BR$2,$BH169:$BR169,0),0)</f>
        <v>0</v>
      </c>
      <c r="JN169" s="26" t="e">
        <f>IF(JN$2=InputTable[[#This Row],[Delivery Date]],_xlfn.XLOOKUP(JN$1,$BH$2:$BR$2,$BH169:$BR169,0),0)</f>
        <v>#REF!</v>
      </c>
      <c r="JO169" s="26">
        <f>IF(JO$2=InputTable[[#This Row],[Delivery Date]],_xlfn.XLOOKUP(JO$1,$BH$2:$BR$2,$BH169:$BR169,0),0)</f>
        <v>0</v>
      </c>
      <c r="JP169" s="26">
        <f>IF(JP$2=InputTable[[#This Row],[Delivery Date]],_xlfn.XLOOKUP(JP$1,$BH$2:$BR$2,$BH169:$BR169,0),0)</f>
        <v>0</v>
      </c>
      <c r="JQ169" s="26">
        <f>IF(JQ$2=InputTable[[#This Row],[Delivery Date]],_xlfn.XLOOKUP(JQ$1,$BH$2:$BR$2,$BH169:$BR169,0),0)</f>
        <v>0</v>
      </c>
      <c r="JR169" s="26">
        <f>IF(JR$2=InputTable[[#This Row],[Delivery Date]],_xlfn.XLOOKUP(JR$1,$BH$2:$BR$2,$BH169:$BR169,0),0)</f>
        <v>0</v>
      </c>
      <c r="JS169" s="26">
        <f>IF(JS$2=InputTable[[#This Row],[Delivery Date]],_xlfn.XLOOKUP(JS$1,$BH$2:$BR$2,$BH169:$BR169,0),0)</f>
        <v>0</v>
      </c>
      <c r="JT169" s="26">
        <f>IF(JT$2=InputTable[[#This Row],[Delivery Date]],_xlfn.XLOOKUP(JT$1,$BH$2:$BR$2,$BH169:$BR169,0),0)</f>
        <v>0</v>
      </c>
      <c r="JU169" s="26">
        <f>IF(JU$2=InputTable[[#This Row],[Delivery Date]],_xlfn.XLOOKUP(JU$1,$BH$2:$BR$2,$BH169:$BR169,0),0)</f>
        <v>0</v>
      </c>
      <c r="JV169" s="26">
        <f>IF(JV$2=InputTable[[#This Row],[Delivery Date]],_xlfn.XLOOKUP(JV$1,$BH$2:$BR$2,$BH169:$BR169,0),0)</f>
        <v>0</v>
      </c>
      <c r="JX169" s="26" t="e">
        <f>IF(JX$2=InputTable[[#This Row],[Delivery Date]],_xlfn.XLOOKUP(JX$1,$BH$2:$BR$2,$BH169:$BR169,0),0)</f>
        <v>#REF!</v>
      </c>
      <c r="JY169" s="26">
        <f>IF(JY$2=InputTable[[#This Row],[Delivery Date]],_xlfn.XLOOKUP(JY$1,$BH$2:$BR$2,$BH169:$BR169,0),0)</f>
        <v>0</v>
      </c>
      <c r="JZ169" s="26">
        <f>IF(JZ$2=InputTable[[#This Row],[Delivery Date]],_xlfn.XLOOKUP(JZ$1,$BH$2:$BR$2,$BH169:$BR169,0),0)</f>
        <v>0</v>
      </c>
      <c r="KA169" s="26">
        <f>IF(KA$2=InputTable[[#This Row],[Delivery Date]],_xlfn.XLOOKUP(KA$1,$BH$2:$BR$2,$BH169:$BR169,0),0)</f>
        <v>0</v>
      </c>
      <c r="KB169" s="26">
        <f>IF(KB$2=InputTable[[#This Row],[Delivery Date]],_xlfn.XLOOKUP(KB$1,$BH$2:$BR$2,$BH169:$BR169,0),0)</f>
        <v>0</v>
      </c>
      <c r="KC169" s="26">
        <f>IF(KC$2=InputTable[[#This Row],[Delivery Date]],_xlfn.XLOOKUP(KC$1,$BH$2:$BR$2,$BH169:$BR169,0),0)</f>
        <v>0</v>
      </c>
      <c r="KD169" s="26">
        <f>IF(KD$2=InputTable[[#This Row],[Delivery Date]],_xlfn.XLOOKUP(KD$1,$BH$2:$BR$2,$BH169:$BR169,0),0)</f>
        <v>0</v>
      </c>
      <c r="KE169" s="26">
        <f>IF(KE$2=InputTable[[#This Row],[Delivery Date]],_xlfn.XLOOKUP(KE$1,$BH$2:$BR$2,$BH169:$BR169,0),0)</f>
        <v>0</v>
      </c>
      <c r="KF169" s="26">
        <f>IF(KF$2=InputTable[[#This Row],[Delivery Date]],_xlfn.XLOOKUP(KF$1,$BH$2:$BR$2,$BH169:$BR169,0),0)</f>
        <v>0</v>
      </c>
    </row>
    <row r="170" spans="1:292" ht="34.799999999999997" x14ac:dyDescent="0.25">
      <c r="A170" s="141"/>
      <c r="B170" s="119"/>
      <c r="C170" s="92"/>
      <c r="D170" s="92"/>
      <c r="E170" s="103"/>
      <c r="F170" s="104"/>
      <c r="G170" s="104"/>
      <c r="H170" s="104"/>
      <c r="I170" s="104"/>
      <c r="J170" s="105"/>
      <c r="K170" s="95" t="e">
        <f>VLOOKUP((InputTable[[#This Row],[Starting Date]]&amp; " - " &amp;InputTable[[#This Row],[Delivery Date]]),'System List'!$F$40:$H$83,2,FALSE)</f>
        <v>#N/A</v>
      </c>
      <c r="L170" s="95" t="e">
        <f>VLOOKUP(InputTable[[#This Row],[Duration]],Duration,2,FALSE)</f>
        <v>#N/A</v>
      </c>
      <c r="M170" s="105"/>
      <c r="N170" s="104"/>
      <c r="O170" s="104"/>
      <c r="P170" s="104"/>
      <c r="Q170" s="104"/>
      <c r="R170" s="104"/>
      <c r="S170" s="92"/>
      <c r="T170" s="95"/>
      <c r="U170" s="138"/>
      <c r="V170" s="104"/>
      <c r="W170" s="104"/>
      <c r="X170" s="104"/>
      <c r="Y170" s="104"/>
      <c r="Z170" s="104"/>
      <c r="AA170" s="104"/>
      <c r="AB170" s="104"/>
      <c r="AC170" s="104"/>
      <c r="AD170" s="92">
        <f>COUNTA(InputTable[[#This Row],[CORPHRFIN]:[SALES]])</f>
        <v>0</v>
      </c>
      <c r="AE170" s="88" cm="1">
        <f t="array" ref="AE170">SUM(
_xlfn.XLOOKUP(InputTable[[#This Row],[CORPHRFIN]:[SALES]],'System List'!$F$4:$F$7,'System List'!$H$4:$H$7,0))</f>
        <v>0</v>
      </c>
      <c r="AF170" s="140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88" cm="1">
        <f t="array" ref="AR170">SUM(
_xlfn.XLOOKUP(InputTable[[#This Row],[Impact on - CIAL]:[Impact on - STRAT]],'System List'!$F$4:$F$7,'System List'!$H$4:$H$7,0))</f>
        <v>0</v>
      </c>
      <c r="AS170" s="88" t="e">
        <f>VLOOKUP(InputTable[[#This Row],[Duration]],Duration,2,FALSE)+InputTable[[#This Row],[Resource Score]]</f>
        <v>#N/A</v>
      </c>
      <c r="AT17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0" s="24" t="e">
        <f>InputTable[[#This Row],[Value Score]]/InputTable[[#This Row],[EFFORT SCORE]]*100</f>
        <v>#N/A</v>
      </c>
      <c r="AV170" s="25" t="s">
        <v>461</v>
      </c>
      <c r="AW170" s="25"/>
      <c r="AX170" s="208"/>
      <c r="AY170" s="25"/>
      <c r="AZ170" s="189">
        <v>0</v>
      </c>
      <c r="BA170" s="189">
        <v>0</v>
      </c>
      <c r="BB170" s="189"/>
      <c r="BC170" s="189"/>
      <c r="BD170" s="188"/>
      <c r="BE170" s="188"/>
      <c r="BF170" s="70"/>
      <c r="BH170" s="2">
        <f>IFERROR(VLOOKUP(InputTable[[#This Row],[Impact on - CIAL]],'System List'!$F$4:$H$7,3,FALSE),0)</f>
        <v>0</v>
      </c>
      <c r="BI170" s="2">
        <f>IFERROR(VLOOKUP(InputTable[[#This Row],[Impact on - COM]],'System List'!$F$4:$H$7,3,FALSE),0)</f>
        <v>0</v>
      </c>
      <c r="BJ170" s="2">
        <f>IFERROR(VLOOKUP(InputTable[[#This Row],[Impact on - FIN]],'System List'!$F$4:$H$7,3,FALSE),0)</f>
        <v>0</v>
      </c>
      <c r="BK170" s="2">
        <f>IFERROR(VLOOKUP(InputTable[[#This Row],[Impact on - GEN SEC]],'System List'!$F$4:$H$7,3,FALSE),0)</f>
        <v>0</v>
      </c>
      <c r="BL170" s="2">
        <f>IFERROR(VLOOKUP(InputTable[[#This Row],[Impact on - HR]],'System List'!$F$4:$H$7,3,FALSE),0)</f>
        <v>0</v>
      </c>
      <c r="BM170" s="2">
        <f>IFERROR(VLOOKUP(InputTable[[#This Row],[Impact on - IS]],'System List'!$F$4:$H$7,3,FALSE),0)</f>
        <v>0</v>
      </c>
      <c r="BN170" s="2">
        <f>IFERROR(VLOOKUP(InputTable[[#This Row],[Impact on - OPS]],'System List'!$F$4:$H$7,3,FALSE),0)</f>
        <v>0</v>
      </c>
      <c r="BO170" s="2">
        <f>IFERROR(VLOOKUP(InputTable[[#This Row],[Impact on - ROLL STOCK]],'System List'!$F$4:$H$7,3,FALSE),0)</f>
        <v>0</v>
      </c>
      <c r="BP170" s="2">
        <f>IFERROR(VLOOKUP(InputTable[[#This Row],[Impact on - SAFETY]],'System List'!$F$4:$H$7,3,FALSE),0)</f>
        <v>0</v>
      </c>
      <c r="BQ170" s="2">
        <f>IFERROR(VLOOKUP(InputTable[[#This Row],[Impact on - STATION]],'System List'!$F$4:$H$7,3,FALSE),0)</f>
        <v>0</v>
      </c>
      <c r="BR170" s="2">
        <f>IFERROR(VLOOKUP(InputTable[[#This Row],[Impact on - STRAT]],'System List'!$F$4:$H$7,3,FALSE),0)</f>
        <v>0</v>
      </c>
      <c r="BT170" s="2">
        <f>IFERROR(VLOOKUP(InputTable[[#This Row],[CORPHRFIN]],'System List'!$F$4:$H$7,3,FALSE),0)</f>
        <v>0</v>
      </c>
      <c r="BU170" s="2">
        <f>IFERROR(VLOOKUP(InputTable[[#This Row],[CUST]],'System List'!$F$4:$H$7,3,FALSE),0)</f>
        <v>0</v>
      </c>
      <c r="BV170" s="2">
        <f>IFERROR(VLOOKUP(InputTable[[#This Row],[CYBER]],'System List'!$F$4:$H$7,3,FALSE),0)</f>
        <v>0</v>
      </c>
      <c r="BW170" s="2">
        <f>IFERROR(VLOOKUP(InputTable[[#This Row],[DATA]],'System List'!$F$4:$H$7,3,FALSE),0)</f>
        <v>0</v>
      </c>
      <c r="BX170" s="2">
        <f>IFERROR(VLOOKUP(InputTable[[#This Row],[INFRA]],'System List'!$F$4:$H$7,3,FALSE),0)</f>
        <v>0</v>
      </c>
      <c r="BY170" s="2">
        <f>IFERROR(VLOOKUP(InputTable[[#This Row],[OPERATIONS]],'System List'!$F$4:$H$7,3,FALSE),0)</f>
        <v>0</v>
      </c>
      <c r="BZ170" s="2">
        <f>IFERROR(VLOOKUP(InputTable[[#This Row],[PMO]],'System List'!$F$4:$H$7,3,FALSE),0)</f>
        <v>0</v>
      </c>
      <c r="CA170" s="2">
        <f>IFERROR(VLOOKUP(InputTable[[#This Row],[SALES]],'System List'!$F$4:$H$7,3,FALSE),0)</f>
        <v>0</v>
      </c>
      <c r="CC170" s="2" cm="1">
        <f t="array" ref="CC17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0" s="2" cm="1">
        <f t="array" ref="CD17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0" s="2" cm="1">
        <f t="array" ref="CE17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0" s="2" cm="1">
        <f t="array" ref="CF17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0" s="2" cm="1">
        <f t="array" ref="CG17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0" s="2" cm="1">
        <f t="array" ref="CH17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0" s="2" cm="1">
        <f t="array" ref="CI17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0" s="2" cm="1">
        <f t="array" ref="CJ17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0" s="2" cm="1">
        <f t="array" ref="CK17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0" s="26">
        <f t="shared" si="451"/>
        <v>0</v>
      </c>
      <c r="CY170" s="26">
        <f t="shared" si="452"/>
        <v>0</v>
      </c>
      <c r="CZ170" s="26">
        <f t="shared" si="453"/>
        <v>0</v>
      </c>
      <c r="DA170" s="26">
        <f t="shared" si="454"/>
        <v>0</v>
      </c>
      <c r="DB170" s="26">
        <f t="shared" si="455"/>
        <v>0</v>
      </c>
      <c r="DC170" s="26">
        <f t="shared" si="456"/>
        <v>0</v>
      </c>
      <c r="DD170" s="26">
        <f t="shared" si="457"/>
        <v>0</v>
      </c>
      <c r="DE170" s="26">
        <f t="shared" si="458"/>
        <v>0</v>
      </c>
      <c r="DF170" s="26">
        <f t="shared" si="459"/>
        <v>0</v>
      </c>
      <c r="DH170" s="26">
        <f t="shared" si="460"/>
        <v>0</v>
      </c>
      <c r="DI170" s="26">
        <f t="shared" si="461"/>
        <v>0</v>
      </c>
      <c r="DJ170" s="26">
        <f t="shared" si="462"/>
        <v>0</v>
      </c>
      <c r="DK170" s="26">
        <f t="shared" si="463"/>
        <v>0</v>
      </c>
      <c r="DL170" s="26">
        <f t="shared" si="464"/>
        <v>0</v>
      </c>
      <c r="DM170" s="26">
        <f t="shared" si="465"/>
        <v>0</v>
      </c>
      <c r="DN170" s="26">
        <f t="shared" si="466"/>
        <v>0</v>
      </c>
      <c r="DO170" s="26">
        <f t="shared" si="467"/>
        <v>0</v>
      </c>
      <c r="DP170" s="26">
        <f t="shared" si="468"/>
        <v>0</v>
      </c>
      <c r="DR170" s="26">
        <f t="shared" si="469"/>
        <v>0</v>
      </c>
      <c r="DS170" s="26">
        <f t="shared" si="470"/>
        <v>0</v>
      </c>
      <c r="DT170" s="26">
        <f t="shared" si="471"/>
        <v>0</v>
      </c>
      <c r="DU170" s="26">
        <f t="shared" si="472"/>
        <v>0</v>
      </c>
      <c r="DV170" s="26">
        <f t="shared" si="473"/>
        <v>0</v>
      </c>
      <c r="DW170" s="26">
        <f t="shared" si="474"/>
        <v>0</v>
      </c>
      <c r="DX170" s="26">
        <f t="shared" si="475"/>
        <v>0</v>
      </c>
      <c r="DY170" s="26">
        <f t="shared" si="476"/>
        <v>0</v>
      </c>
      <c r="DZ170" s="26">
        <f t="shared" si="477"/>
        <v>0</v>
      </c>
      <c r="EB170" s="26">
        <f t="shared" si="478"/>
        <v>0</v>
      </c>
      <c r="EC170" s="26">
        <f t="shared" si="479"/>
        <v>0</v>
      </c>
      <c r="ED170" s="26">
        <f t="shared" si="480"/>
        <v>0</v>
      </c>
      <c r="EE170" s="26">
        <f t="shared" si="481"/>
        <v>0</v>
      </c>
      <c r="EF170" s="26">
        <f t="shared" si="482"/>
        <v>0</v>
      </c>
      <c r="EG170" s="26">
        <f t="shared" si="483"/>
        <v>0</v>
      </c>
      <c r="EH170" s="26">
        <f t="shared" si="484"/>
        <v>0</v>
      </c>
      <c r="EI170" s="26">
        <f t="shared" si="485"/>
        <v>0</v>
      </c>
      <c r="EJ170" s="26">
        <f t="shared" si="486"/>
        <v>0</v>
      </c>
      <c r="EL170" s="26">
        <f t="shared" si="487"/>
        <v>0</v>
      </c>
      <c r="EM170" s="26">
        <f t="shared" si="488"/>
        <v>0</v>
      </c>
      <c r="EN170" s="26">
        <f t="shared" si="489"/>
        <v>0</v>
      </c>
      <c r="EO170" s="26">
        <f t="shared" si="490"/>
        <v>0</v>
      </c>
      <c r="EP170" s="26">
        <f t="shared" si="491"/>
        <v>0</v>
      </c>
      <c r="EQ170" s="26">
        <f t="shared" si="492"/>
        <v>0</v>
      </c>
      <c r="ER170" s="26">
        <f t="shared" si="493"/>
        <v>0</v>
      </c>
      <c r="ES170" s="26">
        <f t="shared" si="494"/>
        <v>0</v>
      </c>
      <c r="ET170" s="26">
        <f t="shared" si="495"/>
        <v>0</v>
      </c>
      <c r="EV170" s="26">
        <f t="shared" si="496"/>
        <v>0</v>
      </c>
      <c r="EW170" s="26">
        <f t="shared" si="497"/>
        <v>0</v>
      </c>
      <c r="EX170" s="26">
        <f t="shared" si="498"/>
        <v>0</v>
      </c>
      <c r="EY170" s="26">
        <f t="shared" si="499"/>
        <v>0</v>
      </c>
      <c r="EZ170" s="26">
        <f t="shared" si="500"/>
        <v>0</v>
      </c>
      <c r="FA170" s="26">
        <f t="shared" si="501"/>
        <v>0</v>
      </c>
      <c r="FB170" s="26">
        <f t="shared" si="502"/>
        <v>0</v>
      </c>
      <c r="FC170" s="26">
        <f t="shared" si="503"/>
        <v>0</v>
      </c>
      <c r="FD170" s="26">
        <f t="shared" si="504"/>
        <v>0</v>
      </c>
      <c r="FF170" s="26">
        <f t="shared" si="505"/>
        <v>0</v>
      </c>
      <c r="FG170" s="26">
        <f t="shared" si="506"/>
        <v>0</v>
      </c>
      <c r="FH170" s="26">
        <f t="shared" si="507"/>
        <v>0</v>
      </c>
      <c r="FI170" s="26">
        <f t="shared" si="508"/>
        <v>0</v>
      </c>
      <c r="FJ170" s="26">
        <f t="shared" si="509"/>
        <v>0</v>
      </c>
      <c r="FK170" s="26">
        <f t="shared" si="510"/>
        <v>0</v>
      </c>
      <c r="FL170" s="26">
        <f t="shared" si="511"/>
        <v>0</v>
      </c>
      <c r="FM170" s="26">
        <f t="shared" si="512"/>
        <v>0</v>
      </c>
      <c r="FN170" s="26">
        <f t="shared" si="513"/>
        <v>0</v>
      </c>
      <c r="FP170" s="26" t="e">
        <f t="shared" si="514"/>
        <v>#REF!</v>
      </c>
      <c r="FQ170" s="26" t="e">
        <f t="shared" si="515"/>
        <v>#REF!</v>
      </c>
      <c r="FR170" s="26" t="e">
        <f t="shared" si="516"/>
        <v>#REF!</v>
      </c>
      <c r="FS170" s="26" t="e">
        <f t="shared" si="517"/>
        <v>#REF!</v>
      </c>
      <c r="FT170" s="26" t="e">
        <f t="shared" si="518"/>
        <v>#REF!</v>
      </c>
      <c r="FU170" s="26" t="e">
        <f t="shared" si="519"/>
        <v>#REF!</v>
      </c>
      <c r="FV170" s="26" t="e">
        <f t="shared" si="520"/>
        <v>#REF!</v>
      </c>
      <c r="FW170" s="26" t="e">
        <f t="shared" si="521"/>
        <v>#REF!</v>
      </c>
      <c r="FX170" s="26" t="e">
        <f t="shared" si="522"/>
        <v>#REF!</v>
      </c>
      <c r="GB170" s="26" t="e">
        <f>IF(GB$2=InputTable[[#This Row],[Delivery Date]],_xlfn.XLOOKUP(GB$1,$BH$2:$BR$2,$BH170:$BR170,0),0)</f>
        <v>#REF!</v>
      </c>
      <c r="GC170" s="26">
        <f>IF(GC$2=InputTable[[#This Row],[Delivery Date]],_xlfn.XLOOKUP(GC$1,$BH$2:$BR$2,$BH170:$BR170,0),0)</f>
        <v>0</v>
      </c>
      <c r="GD170" s="26">
        <f>IF(GD$2=InputTable[[#This Row],[Delivery Date]],_xlfn.XLOOKUP(GD$1,$BH$2:$BR$2,$BH170:$BR170,0),0)</f>
        <v>0</v>
      </c>
      <c r="GE170" s="26">
        <f>IF(GE$2=InputTable[[#This Row],[Delivery Date]],_xlfn.XLOOKUP(GE$1,$BH$2:$BR$2,$BH170:$BR170,0),0)</f>
        <v>0</v>
      </c>
      <c r="GF170" s="26">
        <f>IF(GF$2=InputTable[[#This Row],[Delivery Date]],_xlfn.XLOOKUP(GF$1,$BH$2:$BR$2,$BH170:$BR170,0),0)</f>
        <v>0</v>
      </c>
      <c r="GG170" s="26">
        <f>IF(GG$2=InputTable[[#This Row],[Delivery Date]],_xlfn.XLOOKUP(GG$1,$BH$2:$BR$2,$BH170:$BR170,0),0)</f>
        <v>0</v>
      </c>
      <c r="GH170" s="26">
        <f>IF(GH$2=InputTable[[#This Row],[Delivery Date]],_xlfn.XLOOKUP(GH$1,$BH$2:$BR$2,$BH170:$BR170,0),0)</f>
        <v>0</v>
      </c>
      <c r="GI170" s="26">
        <f>IF(GI$2=InputTable[[#This Row],[Delivery Date]],_xlfn.XLOOKUP(GI$1,$BH$2:$BR$2,$BH170:$BR170,0),0)</f>
        <v>0</v>
      </c>
      <c r="GJ170" s="26">
        <f>IF(GJ$2=InputTable[[#This Row],[Delivery Date]],_xlfn.XLOOKUP(GJ$1,$BH$2:$BR$2,$BH170:$BR170,0),0)</f>
        <v>0</v>
      </c>
      <c r="GL170" s="26" t="e">
        <f>IF(GL$2=InputTable[[#This Row],[Delivery Date]],_xlfn.XLOOKUP(GL$1,$BH$2:$BR$2,$BH170:$BR170,0),0)</f>
        <v>#REF!</v>
      </c>
      <c r="GM170" s="26">
        <f>IF(GM$2=InputTable[[#This Row],[Delivery Date]],_xlfn.XLOOKUP(GM$1,$BH$2:$BR$2,$BH170:$BR170,0),0)</f>
        <v>0</v>
      </c>
      <c r="GN170" s="26">
        <f>IF(GN$2=InputTable[[#This Row],[Delivery Date]],_xlfn.XLOOKUP(GN$1,$BH$2:$BR$2,$BH170:$BR170,0),0)</f>
        <v>0</v>
      </c>
      <c r="GO170" s="26">
        <f>IF(GO$2=InputTable[[#This Row],[Delivery Date]],_xlfn.XLOOKUP(GO$1,$BH$2:$BR$2,$BH170:$BR170,0),0)</f>
        <v>0</v>
      </c>
      <c r="GP170" s="26">
        <f>IF(GP$2=InputTable[[#This Row],[Delivery Date]],_xlfn.XLOOKUP(GP$1,$BH$2:$BR$2,$BH170:$BR170,0),0)</f>
        <v>0</v>
      </c>
      <c r="GQ170" s="26">
        <f>IF(GQ$2=InputTable[[#This Row],[Delivery Date]],_xlfn.XLOOKUP(GQ$1,$BH$2:$BR$2,$BH170:$BR170,0),0)</f>
        <v>0</v>
      </c>
      <c r="GR170" s="26">
        <f>IF(GR$2=InputTable[[#This Row],[Delivery Date]],_xlfn.XLOOKUP(GR$1,$BH$2:$BR$2,$BH170:$BR170,0),0)</f>
        <v>0</v>
      </c>
      <c r="GS170" s="26">
        <f>IF(GS$2=InputTable[[#This Row],[Delivery Date]],_xlfn.XLOOKUP(GS$1,$BH$2:$BR$2,$BH170:$BR170,0),0)</f>
        <v>0</v>
      </c>
      <c r="GT170" s="26">
        <f>IF(GT$2=InputTable[[#This Row],[Delivery Date]],_xlfn.XLOOKUP(GT$1,$BH$2:$BR$2,$BH170:$BR170,0),0)</f>
        <v>0</v>
      </c>
      <c r="GV170" s="26" t="e">
        <f>IF(GV$2=InputTable[[#This Row],[Delivery Date]],_xlfn.XLOOKUP(GV$1,$BH$2:$BR$2,$BH170:$BR170,0),0)</f>
        <v>#REF!</v>
      </c>
      <c r="GW170" s="26">
        <f>IF(GW$2=InputTable[[#This Row],[Delivery Date]],_xlfn.XLOOKUP(GW$1,$BH$2:$BR$2,$BH170:$BR170,0),0)</f>
        <v>0</v>
      </c>
      <c r="GX170" s="26">
        <f>IF(GX$2=InputTable[[#This Row],[Delivery Date]],_xlfn.XLOOKUP(GX$1,$BH$2:$BR$2,$BH170:$BR170,0),0)</f>
        <v>0</v>
      </c>
      <c r="GY170" s="26">
        <f>IF(GY$2=InputTable[[#This Row],[Delivery Date]],_xlfn.XLOOKUP(GY$1,$BH$2:$BR$2,$BH170:$BR170,0),0)</f>
        <v>0</v>
      </c>
      <c r="GZ170" s="26">
        <f>IF(GZ$2=InputTable[[#This Row],[Delivery Date]],_xlfn.XLOOKUP(GZ$1,$BH$2:$BR$2,$BH170:$BR170,0),0)</f>
        <v>0</v>
      </c>
      <c r="HA170" s="26">
        <f>IF(HA$2=InputTable[[#This Row],[Delivery Date]],_xlfn.XLOOKUP(HA$1,$BH$2:$BR$2,$BH170:$BR170,0),0)</f>
        <v>0</v>
      </c>
      <c r="HB170" s="26">
        <f>IF(HB$2=InputTable[[#This Row],[Delivery Date]],_xlfn.XLOOKUP(HB$1,$BH$2:$BR$2,$BH170:$BR170,0),0)</f>
        <v>0</v>
      </c>
      <c r="HC170" s="26">
        <f>IF(HC$2=InputTable[[#This Row],[Delivery Date]],_xlfn.XLOOKUP(HC$1,$BH$2:$BR$2,$BH170:$BR170,0),0)</f>
        <v>0</v>
      </c>
      <c r="HD170" s="26">
        <f>IF(HD$2=InputTable[[#This Row],[Delivery Date]],_xlfn.XLOOKUP(HD$1,$BH$2:$BR$2,$BH170:$BR170,0),0)</f>
        <v>0</v>
      </c>
      <c r="HF170" s="26" t="e">
        <f>IF(HF$2=InputTable[[#This Row],[Delivery Date]],_xlfn.XLOOKUP(HF$1,$BH$2:$BR$2,$BH170:$BR170,0),0)</f>
        <v>#REF!</v>
      </c>
      <c r="HG170" s="26">
        <f>IF(HG$2=InputTable[[#This Row],[Delivery Date]],_xlfn.XLOOKUP(HG$1,$BH$2:$BR$2,$BH170:$BR170,0),0)</f>
        <v>0</v>
      </c>
      <c r="HH170" s="26">
        <f>IF(HH$2=InputTable[[#This Row],[Delivery Date]],_xlfn.XLOOKUP(HH$1,$BH$2:$BR$2,$BH170:$BR170,0),0)</f>
        <v>0</v>
      </c>
      <c r="HI170" s="26">
        <f>IF(HI$2=InputTable[[#This Row],[Delivery Date]],_xlfn.XLOOKUP(HI$1,$BH$2:$BR$2,$BH170:$BR170,0),0)</f>
        <v>0</v>
      </c>
      <c r="HJ170" s="26">
        <f>IF(HJ$2=InputTable[[#This Row],[Delivery Date]],_xlfn.XLOOKUP(HJ$1,$BH$2:$BR$2,$BH170:$BR170,0),0)</f>
        <v>0</v>
      </c>
      <c r="HK170" s="26">
        <f>IF(HK$2=InputTable[[#This Row],[Delivery Date]],_xlfn.XLOOKUP(HK$1,$BH$2:$BR$2,$BH170:$BR170,0),0)</f>
        <v>0</v>
      </c>
      <c r="HL170" s="26">
        <f>IF(HL$2=InputTable[[#This Row],[Delivery Date]],_xlfn.XLOOKUP(HL$1,$BH$2:$BR$2,$BH170:$BR170,0),0)</f>
        <v>0</v>
      </c>
      <c r="HM170" s="26">
        <f>IF(HM$2=InputTable[[#This Row],[Delivery Date]],_xlfn.XLOOKUP(HM$1,$BH$2:$BR$2,$BH170:$BR170,0),0)</f>
        <v>0</v>
      </c>
      <c r="HN170" s="26">
        <f>IF(HN$2=InputTable[[#This Row],[Delivery Date]],_xlfn.XLOOKUP(HN$1,$BH$2:$BR$2,$BH170:$BR170,0),0)</f>
        <v>0</v>
      </c>
      <c r="HP170" s="26" t="e">
        <f>IF(HP$2=InputTable[[#This Row],[Delivery Date]],_xlfn.XLOOKUP(HP$1,$BH$2:$BR$2,$BH170:$BR170,0),0)</f>
        <v>#REF!</v>
      </c>
      <c r="HQ170" s="26">
        <f>IF(HQ$2=InputTable[[#This Row],[Delivery Date]],_xlfn.XLOOKUP(HQ$1,$BH$2:$BR$2,$BH170:$BR170,0),0)</f>
        <v>0</v>
      </c>
      <c r="HR170" s="26">
        <f>IF(HR$2=InputTable[[#This Row],[Delivery Date]],_xlfn.XLOOKUP(HR$1,$BH$2:$BR$2,$BH170:$BR170,0),0)</f>
        <v>0</v>
      </c>
      <c r="HS170" s="26">
        <f>IF(HS$2=InputTable[[#This Row],[Delivery Date]],_xlfn.XLOOKUP(HS$1,$BH$2:$BR$2,$BH170:$BR170,0),0)</f>
        <v>0</v>
      </c>
      <c r="HT170" s="26">
        <f>IF(HT$2=InputTable[[#This Row],[Delivery Date]],_xlfn.XLOOKUP(HT$1,$BH$2:$BR$2,$BH170:$BR170,0),0)</f>
        <v>0</v>
      </c>
      <c r="HU170" s="26">
        <f>IF(HU$2=InputTable[[#This Row],[Delivery Date]],_xlfn.XLOOKUP(HU$1,$BH$2:$BR$2,$BH170:$BR170,0),0)</f>
        <v>0</v>
      </c>
      <c r="HV170" s="26">
        <f>IF(HV$2=InputTable[[#This Row],[Delivery Date]],_xlfn.XLOOKUP(HV$1,$BH$2:$BR$2,$BH170:$BR170,0),0)</f>
        <v>0</v>
      </c>
      <c r="HW170" s="26">
        <f>IF(HW$2=InputTable[[#This Row],[Delivery Date]],_xlfn.XLOOKUP(HW$1,$BH$2:$BR$2,$BH170:$BR170,0),0)</f>
        <v>0</v>
      </c>
      <c r="HX170" s="26">
        <f>IF(HX$2=InputTable[[#This Row],[Delivery Date]],_xlfn.XLOOKUP(HX$1,$BH$2:$BR$2,$BH170:$BR170,0),0)</f>
        <v>0</v>
      </c>
      <c r="HZ170" s="26" t="e">
        <f>IF(HZ$2=InputTable[[#This Row],[Delivery Date]],_xlfn.XLOOKUP(HZ$1,$BH$2:$BR$2,$BH170:$BR170,0),0)</f>
        <v>#REF!</v>
      </c>
      <c r="IA170" s="26">
        <f>IF(IA$2=InputTable[[#This Row],[Delivery Date]],_xlfn.XLOOKUP(IA$1,$BH$2:$BR$2,$BH170:$BR170,0),0)</f>
        <v>0</v>
      </c>
      <c r="IB170" s="26">
        <f>IF(IB$2=InputTable[[#This Row],[Delivery Date]],_xlfn.XLOOKUP(IB$1,$BH$2:$BR$2,$BH170:$BR170,0),0)</f>
        <v>0</v>
      </c>
      <c r="IC170" s="26">
        <f>IF(IC$2=InputTable[[#This Row],[Delivery Date]],_xlfn.XLOOKUP(IC$1,$BH$2:$BR$2,$BH170:$BR170,0),0)</f>
        <v>0</v>
      </c>
      <c r="ID170" s="26">
        <f>IF(ID$2=InputTable[[#This Row],[Delivery Date]],_xlfn.XLOOKUP(ID$1,$BH$2:$BR$2,$BH170:$BR170,0),0)</f>
        <v>0</v>
      </c>
      <c r="IE170" s="26">
        <f>IF(IE$2=InputTable[[#This Row],[Delivery Date]],_xlfn.XLOOKUP(IE$1,$BH$2:$BR$2,$BH170:$BR170,0),0)</f>
        <v>0</v>
      </c>
      <c r="IF170" s="26">
        <f>IF(IF$2=InputTable[[#This Row],[Delivery Date]],_xlfn.XLOOKUP(IF$1,$BH$2:$BR$2,$BH170:$BR170,0),0)</f>
        <v>0</v>
      </c>
      <c r="IG170" s="26">
        <f>IF(IG$2=InputTable[[#This Row],[Delivery Date]],_xlfn.XLOOKUP(IG$1,$BH$2:$BR$2,$BH170:$BR170,0),0)</f>
        <v>0</v>
      </c>
      <c r="IH170" s="26">
        <f>IF(IH$2=InputTable[[#This Row],[Delivery Date]],_xlfn.XLOOKUP(IH$1,$BH$2:$BR$2,$BH170:$BR170,0),0)</f>
        <v>0</v>
      </c>
      <c r="IJ170" s="26" t="e">
        <f>IF(IJ$2=InputTable[[#This Row],[Delivery Date]],_xlfn.XLOOKUP(IJ$1,$BH$2:$BR$2,$BH170:$BR170,0),0)</f>
        <v>#REF!</v>
      </c>
      <c r="IK170" s="26">
        <f>IF(IK$2=InputTable[[#This Row],[Delivery Date]],_xlfn.XLOOKUP(IK$1,$BH$2:$BR$2,$BH170:$BR170,0),0)</f>
        <v>0</v>
      </c>
      <c r="IL170" s="26">
        <f>IF(IL$2=InputTable[[#This Row],[Delivery Date]],_xlfn.XLOOKUP(IL$1,$BH$2:$BR$2,$BH170:$BR170,0),0)</f>
        <v>0</v>
      </c>
      <c r="IM170" s="26">
        <f>IF(IM$2=InputTable[[#This Row],[Delivery Date]],_xlfn.XLOOKUP(IM$1,$BH$2:$BR$2,$BH170:$BR170,0),0)</f>
        <v>0</v>
      </c>
      <c r="IN170" s="26">
        <f>IF(IN$2=InputTable[[#This Row],[Delivery Date]],_xlfn.XLOOKUP(IN$1,$BH$2:$BR$2,$BH170:$BR170,0),0)</f>
        <v>0</v>
      </c>
      <c r="IO170" s="26">
        <f>IF(IO$2=InputTable[[#This Row],[Delivery Date]],_xlfn.XLOOKUP(IO$1,$BH$2:$BR$2,$BH170:$BR170,0),0)</f>
        <v>0</v>
      </c>
      <c r="IP170" s="26">
        <f>IF(IP$2=InputTable[[#This Row],[Delivery Date]],_xlfn.XLOOKUP(IP$1,$BH$2:$BR$2,$BH170:$BR170,0),0)</f>
        <v>0</v>
      </c>
      <c r="IQ170" s="26">
        <f>IF(IQ$2=InputTable[[#This Row],[Delivery Date]],_xlfn.XLOOKUP(IQ$1,$BH$2:$BR$2,$BH170:$BR170,0),0)</f>
        <v>0</v>
      </c>
      <c r="IR170" s="26">
        <f>IF(IR$2=InputTable[[#This Row],[Delivery Date]],_xlfn.XLOOKUP(IR$1,$BH$2:$BR$2,$BH170:$BR170,0),0)</f>
        <v>0</v>
      </c>
      <c r="IT170" s="26" t="e">
        <f>IF(IT$2=InputTable[[#This Row],[Delivery Date]],_xlfn.XLOOKUP(IT$1,$BH$2:$BR$2,$BH170:$BR170,0),0)</f>
        <v>#REF!</v>
      </c>
      <c r="IU170" s="26">
        <f>IF(IU$2=InputTable[[#This Row],[Delivery Date]],_xlfn.XLOOKUP(IU$1,$BH$2:$BR$2,$BH170:$BR170,0),0)</f>
        <v>0</v>
      </c>
      <c r="IV170" s="26">
        <f>IF(IV$2=InputTable[[#This Row],[Delivery Date]],_xlfn.XLOOKUP(IV$1,$BH$2:$BR$2,$BH170:$BR170,0),0)</f>
        <v>0</v>
      </c>
      <c r="IW170" s="26">
        <f>IF(IW$2=InputTable[[#This Row],[Delivery Date]],_xlfn.XLOOKUP(IW$1,$BH$2:$BR$2,$BH170:$BR170,0),0)</f>
        <v>0</v>
      </c>
      <c r="IX170" s="26">
        <f>IF(IX$2=InputTable[[#This Row],[Delivery Date]],_xlfn.XLOOKUP(IX$1,$BH$2:$BR$2,$BH170:$BR170,0),0)</f>
        <v>0</v>
      </c>
      <c r="IY170" s="26">
        <f>IF(IY$2=InputTable[[#This Row],[Delivery Date]],_xlfn.XLOOKUP(IY$1,$BH$2:$BR$2,$BH170:$BR170,0),0)</f>
        <v>0</v>
      </c>
      <c r="IZ170" s="26">
        <f>IF(IZ$2=InputTable[[#This Row],[Delivery Date]],_xlfn.XLOOKUP(IZ$1,$BH$2:$BR$2,$BH170:$BR170,0),0)</f>
        <v>0</v>
      </c>
      <c r="JA170" s="26">
        <f>IF(JA$2=InputTable[[#This Row],[Delivery Date]],_xlfn.XLOOKUP(JA$1,$BH$2:$BR$2,$BH170:$BR170,0),0)</f>
        <v>0</v>
      </c>
      <c r="JB170" s="26">
        <f>IF(JB$2=InputTable[[#This Row],[Delivery Date]],_xlfn.XLOOKUP(JB$1,$BH$2:$BR$2,$BH170:$BR170,0),0)</f>
        <v>0</v>
      </c>
      <c r="JD170" s="26" t="e">
        <f>IF(JD$2=InputTable[[#This Row],[Delivery Date]],_xlfn.XLOOKUP(JD$1,$BH$2:$BR$2,$BH170:$BR170,0),0)</f>
        <v>#REF!</v>
      </c>
      <c r="JE170" s="26">
        <f>IF(JE$2=InputTable[[#This Row],[Delivery Date]],_xlfn.XLOOKUP(JE$1,$BH$2:$BR$2,$BH170:$BR170,0),0)</f>
        <v>0</v>
      </c>
      <c r="JF170" s="26">
        <f>IF(JF$2=InputTable[[#This Row],[Delivery Date]],_xlfn.XLOOKUP(JF$1,$BH$2:$BR$2,$BH170:$BR170,0),0)</f>
        <v>0</v>
      </c>
      <c r="JG170" s="26">
        <f>IF(JG$2=InputTable[[#This Row],[Delivery Date]],_xlfn.XLOOKUP(JG$1,$BH$2:$BR$2,$BH170:$BR170,0),0)</f>
        <v>0</v>
      </c>
      <c r="JH170" s="26">
        <f>IF(JH$2=InputTable[[#This Row],[Delivery Date]],_xlfn.XLOOKUP(JH$1,$BH$2:$BR$2,$BH170:$BR170,0),0)</f>
        <v>0</v>
      </c>
      <c r="JI170" s="26">
        <f>IF(JI$2=InputTable[[#This Row],[Delivery Date]],_xlfn.XLOOKUP(JI$1,$BH$2:$BR$2,$BH170:$BR170,0),0)</f>
        <v>0</v>
      </c>
      <c r="JJ170" s="26">
        <f>IF(JJ$2=InputTable[[#This Row],[Delivery Date]],_xlfn.XLOOKUP(JJ$1,$BH$2:$BR$2,$BH170:$BR170,0),0)</f>
        <v>0</v>
      </c>
      <c r="JK170" s="26">
        <f>IF(JK$2=InputTable[[#This Row],[Delivery Date]],_xlfn.XLOOKUP(JK$1,$BH$2:$BR$2,$BH170:$BR170,0),0)</f>
        <v>0</v>
      </c>
      <c r="JL170" s="26">
        <f>IF(JL$2=InputTable[[#This Row],[Delivery Date]],_xlfn.XLOOKUP(JL$1,$BH$2:$BR$2,$BH170:$BR170,0),0)</f>
        <v>0</v>
      </c>
      <c r="JN170" s="26" t="e">
        <f>IF(JN$2=InputTable[[#This Row],[Delivery Date]],_xlfn.XLOOKUP(JN$1,$BH$2:$BR$2,$BH170:$BR170,0),0)</f>
        <v>#REF!</v>
      </c>
      <c r="JO170" s="26">
        <f>IF(JO$2=InputTable[[#This Row],[Delivery Date]],_xlfn.XLOOKUP(JO$1,$BH$2:$BR$2,$BH170:$BR170,0),0)</f>
        <v>0</v>
      </c>
      <c r="JP170" s="26">
        <f>IF(JP$2=InputTable[[#This Row],[Delivery Date]],_xlfn.XLOOKUP(JP$1,$BH$2:$BR$2,$BH170:$BR170,0),0)</f>
        <v>0</v>
      </c>
      <c r="JQ170" s="26">
        <f>IF(JQ$2=InputTable[[#This Row],[Delivery Date]],_xlfn.XLOOKUP(JQ$1,$BH$2:$BR$2,$BH170:$BR170,0),0)</f>
        <v>0</v>
      </c>
      <c r="JR170" s="26">
        <f>IF(JR$2=InputTable[[#This Row],[Delivery Date]],_xlfn.XLOOKUP(JR$1,$BH$2:$BR$2,$BH170:$BR170,0),0)</f>
        <v>0</v>
      </c>
      <c r="JS170" s="26">
        <f>IF(JS$2=InputTable[[#This Row],[Delivery Date]],_xlfn.XLOOKUP(JS$1,$BH$2:$BR$2,$BH170:$BR170,0),0)</f>
        <v>0</v>
      </c>
      <c r="JT170" s="26">
        <f>IF(JT$2=InputTable[[#This Row],[Delivery Date]],_xlfn.XLOOKUP(JT$1,$BH$2:$BR$2,$BH170:$BR170,0),0)</f>
        <v>0</v>
      </c>
      <c r="JU170" s="26">
        <f>IF(JU$2=InputTable[[#This Row],[Delivery Date]],_xlfn.XLOOKUP(JU$1,$BH$2:$BR$2,$BH170:$BR170,0),0)</f>
        <v>0</v>
      </c>
      <c r="JV170" s="26">
        <f>IF(JV$2=InputTable[[#This Row],[Delivery Date]],_xlfn.XLOOKUP(JV$1,$BH$2:$BR$2,$BH170:$BR170,0),0)</f>
        <v>0</v>
      </c>
      <c r="JX170" s="26" t="e">
        <f>IF(JX$2=InputTable[[#This Row],[Delivery Date]],_xlfn.XLOOKUP(JX$1,$BH$2:$BR$2,$BH170:$BR170,0),0)</f>
        <v>#REF!</v>
      </c>
      <c r="JY170" s="26">
        <f>IF(JY$2=InputTable[[#This Row],[Delivery Date]],_xlfn.XLOOKUP(JY$1,$BH$2:$BR$2,$BH170:$BR170,0),0)</f>
        <v>0</v>
      </c>
      <c r="JZ170" s="26">
        <f>IF(JZ$2=InputTable[[#This Row],[Delivery Date]],_xlfn.XLOOKUP(JZ$1,$BH$2:$BR$2,$BH170:$BR170,0),0)</f>
        <v>0</v>
      </c>
      <c r="KA170" s="26">
        <f>IF(KA$2=InputTable[[#This Row],[Delivery Date]],_xlfn.XLOOKUP(KA$1,$BH$2:$BR$2,$BH170:$BR170,0),0)</f>
        <v>0</v>
      </c>
      <c r="KB170" s="26">
        <f>IF(KB$2=InputTable[[#This Row],[Delivery Date]],_xlfn.XLOOKUP(KB$1,$BH$2:$BR$2,$BH170:$BR170,0),0)</f>
        <v>0</v>
      </c>
      <c r="KC170" s="26">
        <f>IF(KC$2=InputTable[[#This Row],[Delivery Date]],_xlfn.XLOOKUP(KC$1,$BH$2:$BR$2,$BH170:$BR170,0),0)</f>
        <v>0</v>
      </c>
      <c r="KD170" s="26">
        <f>IF(KD$2=InputTable[[#This Row],[Delivery Date]],_xlfn.XLOOKUP(KD$1,$BH$2:$BR$2,$BH170:$BR170,0),0)</f>
        <v>0</v>
      </c>
      <c r="KE170" s="26">
        <f>IF(KE$2=InputTable[[#This Row],[Delivery Date]],_xlfn.XLOOKUP(KE$1,$BH$2:$BR$2,$BH170:$BR170,0),0)</f>
        <v>0</v>
      </c>
      <c r="KF170" s="26">
        <f>IF(KF$2=InputTable[[#This Row],[Delivery Date]],_xlfn.XLOOKUP(KF$1,$BH$2:$BR$2,$BH170:$BR170,0),0)</f>
        <v>0</v>
      </c>
    </row>
    <row r="171" spans="1:292" ht="34.799999999999997" x14ac:dyDescent="0.25">
      <c r="A171" s="141"/>
      <c r="B171" s="119"/>
      <c r="C171" s="92"/>
      <c r="D171" s="92"/>
      <c r="E171" s="103"/>
      <c r="F171" s="104"/>
      <c r="G171" s="104"/>
      <c r="H171" s="104"/>
      <c r="I171" s="104"/>
      <c r="J171" s="105"/>
      <c r="K171" s="95" t="e">
        <f>VLOOKUP((InputTable[[#This Row],[Starting Date]]&amp; " - " &amp;InputTable[[#This Row],[Delivery Date]]),'System List'!$F$40:$H$83,2,FALSE)</f>
        <v>#N/A</v>
      </c>
      <c r="L171" s="95" t="e">
        <f>VLOOKUP(InputTable[[#This Row],[Duration]],Duration,2,FALSE)</f>
        <v>#N/A</v>
      </c>
      <c r="M171" s="105"/>
      <c r="N171" s="104"/>
      <c r="O171" s="104"/>
      <c r="P171" s="104"/>
      <c r="Q171" s="104"/>
      <c r="R171" s="104"/>
      <c r="S171" s="92"/>
      <c r="T171" s="95"/>
      <c r="U171" s="138"/>
      <c r="V171" s="104"/>
      <c r="W171" s="104"/>
      <c r="X171" s="104"/>
      <c r="Y171" s="104"/>
      <c r="Z171" s="104"/>
      <c r="AA171" s="104"/>
      <c r="AB171" s="104"/>
      <c r="AC171" s="104"/>
      <c r="AD171" s="92">
        <f>COUNTA(InputTable[[#This Row],[CORPHRFIN]:[SALES]])</f>
        <v>0</v>
      </c>
      <c r="AE171" s="88" cm="1">
        <f t="array" ref="AE171">SUM(
_xlfn.XLOOKUP(InputTable[[#This Row],[CORPHRFIN]:[SALES]],'System List'!$F$4:$F$7,'System List'!$H$4:$H$7,0))</f>
        <v>0</v>
      </c>
      <c r="AF171" s="140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88" cm="1">
        <f t="array" ref="AR171">SUM(
_xlfn.XLOOKUP(InputTable[[#This Row],[Impact on - CIAL]:[Impact on - STRAT]],'System List'!$F$4:$F$7,'System List'!$H$4:$H$7,0))</f>
        <v>0</v>
      </c>
      <c r="AS171" s="88" t="e">
        <f>VLOOKUP(InputTable[[#This Row],[Duration]],Duration,2,FALSE)+InputTable[[#This Row],[Resource Score]]</f>
        <v>#N/A</v>
      </c>
      <c r="AT17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1" s="24" t="e">
        <f>InputTable[[#This Row],[Value Score]]/InputTable[[#This Row],[EFFORT SCORE]]*100</f>
        <v>#N/A</v>
      </c>
      <c r="AV171" s="25" t="s">
        <v>462</v>
      </c>
      <c r="AW171" s="25"/>
      <c r="AX171" s="208"/>
      <c r="AY171" s="25"/>
      <c r="AZ171" s="189">
        <v>0</v>
      </c>
      <c r="BA171" s="189">
        <v>0</v>
      </c>
      <c r="BB171" s="189"/>
      <c r="BC171" s="189"/>
      <c r="BD171" s="188"/>
      <c r="BE171" s="188"/>
      <c r="BF171" s="70"/>
      <c r="BH171" s="2">
        <f>IFERROR(VLOOKUP(InputTable[[#This Row],[Impact on - CIAL]],'System List'!$F$4:$H$7,3,FALSE),0)</f>
        <v>0</v>
      </c>
      <c r="BI171" s="2">
        <f>IFERROR(VLOOKUP(InputTable[[#This Row],[Impact on - COM]],'System List'!$F$4:$H$7,3,FALSE),0)</f>
        <v>0</v>
      </c>
      <c r="BJ171" s="2">
        <f>IFERROR(VLOOKUP(InputTable[[#This Row],[Impact on - FIN]],'System List'!$F$4:$H$7,3,FALSE),0)</f>
        <v>0</v>
      </c>
      <c r="BK171" s="2">
        <f>IFERROR(VLOOKUP(InputTable[[#This Row],[Impact on - GEN SEC]],'System List'!$F$4:$H$7,3,FALSE),0)</f>
        <v>0</v>
      </c>
      <c r="BL171" s="2">
        <f>IFERROR(VLOOKUP(InputTable[[#This Row],[Impact on - HR]],'System List'!$F$4:$H$7,3,FALSE),0)</f>
        <v>0</v>
      </c>
      <c r="BM171" s="2">
        <f>IFERROR(VLOOKUP(InputTable[[#This Row],[Impact on - IS]],'System List'!$F$4:$H$7,3,FALSE),0)</f>
        <v>0</v>
      </c>
      <c r="BN171" s="2">
        <f>IFERROR(VLOOKUP(InputTable[[#This Row],[Impact on - OPS]],'System List'!$F$4:$H$7,3,FALSE),0)</f>
        <v>0</v>
      </c>
      <c r="BO171" s="2">
        <f>IFERROR(VLOOKUP(InputTable[[#This Row],[Impact on - ROLL STOCK]],'System List'!$F$4:$H$7,3,FALSE),0)</f>
        <v>0</v>
      </c>
      <c r="BP171" s="2">
        <f>IFERROR(VLOOKUP(InputTable[[#This Row],[Impact on - SAFETY]],'System List'!$F$4:$H$7,3,FALSE),0)</f>
        <v>0</v>
      </c>
      <c r="BQ171" s="2">
        <f>IFERROR(VLOOKUP(InputTable[[#This Row],[Impact on - STATION]],'System List'!$F$4:$H$7,3,FALSE),0)</f>
        <v>0</v>
      </c>
      <c r="BR171" s="2">
        <f>IFERROR(VLOOKUP(InputTable[[#This Row],[Impact on - STRAT]],'System List'!$F$4:$H$7,3,FALSE),0)</f>
        <v>0</v>
      </c>
      <c r="BT171" s="2">
        <f>IFERROR(VLOOKUP(InputTable[[#This Row],[CORPHRFIN]],'System List'!$F$4:$H$7,3,FALSE),0)</f>
        <v>0</v>
      </c>
      <c r="BU171" s="2">
        <f>IFERROR(VLOOKUP(InputTable[[#This Row],[CUST]],'System List'!$F$4:$H$7,3,FALSE),0)</f>
        <v>0</v>
      </c>
      <c r="BV171" s="2">
        <f>IFERROR(VLOOKUP(InputTable[[#This Row],[CYBER]],'System List'!$F$4:$H$7,3,FALSE),0)</f>
        <v>0</v>
      </c>
      <c r="BW171" s="2">
        <f>IFERROR(VLOOKUP(InputTable[[#This Row],[DATA]],'System List'!$F$4:$H$7,3,FALSE),0)</f>
        <v>0</v>
      </c>
      <c r="BX171" s="2">
        <f>IFERROR(VLOOKUP(InputTable[[#This Row],[INFRA]],'System List'!$F$4:$H$7,3,FALSE),0)</f>
        <v>0</v>
      </c>
      <c r="BY171" s="2">
        <f>IFERROR(VLOOKUP(InputTable[[#This Row],[OPERATIONS]],'System List'!$F$4:$H$7,3,FALSE),0)</f>
        <v>0</v>
      </c>
      <c r="BZ171" s="2">
        <f>IFERROR(VLOOKUP(InputTable[[#This Row],[PMO]],'System List'!$F$4:$H$7,3,FALSE),0)</f>
        <v>0</v>
      </c>
      <c r="CA171" s="2">
        <f>IFERROR(VLOOKUP(InputTable[[#This Row],[SALES]],'System List'!$F$4:$H$7,3,FALSE),0)</f>
        <v>0</v>
      </c>
      <c r="CC171" s="2" cm="1">
        <f t="array" ref="CC17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1" s="2" cm="1">
        <f t="array" ref="CD17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1" s="2" cm="1">
        <f t="array" ref="CE17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1" s="2" cm="1">
        <f t="array" ref="CF17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1" s="2" cm="1">
        <f t="array" ref="CG17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1" s="2" cm="1">
        <f t="array" ref="CH17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1" s="2" cm="1">
        <f t="array" ref="CI17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1" s="2" cm="1">
        <f t="array" ref="CJ17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1" s="2" cm="1">
        <f t="array" ref="CK17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1" s="26">
        <f t="shared" si="451"/>
        <v>0</v>
      </c>
      <c r="CY171" s="26">
        <f t="shared" si="452"/>
        <v>0</v>
      </c>
      <c r="CZ171" s="26">
        <f t="shared" si="453"/>
        <v>0</v>
      </c>
      <c r="DA171" s="26">
        <f t="shared" si="454"/>
        <v>0</v>
      </c>
      <c r="DB171" s="26">
        <f t="shared" si="455"/>
        <v>0</v>
      </c>
      <c r="DC171" s="26">
        <f t="shared" si="456"/>
        <v>0</v>
      </c>
      <c r="DD171" s="26">
        <f t="shared" si="457"/>
        <v>0</v>
      </c>
      <c r="DE171" s="26">
        <f t="shared" si="458"/>
        <v>0</v>
      </c>
      <c r="DF171" s="26">
        <f t="shared" si="459"/>
        <v>0</v>
      </c>
      <c r="DH171" s="26">
        <f t="shared" si="460"/>
        <v>0</v>
      </c>
      <c r="DI171" s="26">
        <f t="shared" si="461"/>
        <v>0</v>
      </c>
      <c r="DJ171" s="26">
        <f t="shared" si="462"/>
        <v>0</v>
      </c>
      <c r="DK171" s="26">
        <f t="shared" si="463"/>
        <v>0</v>
      </c>
      <c r="DL171" s="26">
        <f t="shared" si="464"/>
        <v>0</v>
      </c>
      <c r="DM171" s="26">
        <f t="shared" si="465"/>
        <v>0</v>
      </c>
      <c r="DN171" s="26">
        <f t="shared" si="466"/>
        <v>0</v>
      </c>
      <c r="DO171" s="26">
        <f t="shared" si="467"/>
        <v>0</v>
      </c>
      <c r="DP171" s="26">
        <f t="shared" si="468"/>
        <v>0</v>
      </c>
      <c r="DR171" s="26">
        <f t="shared" si="469"/>
        <v>0</v>
      </c>
      <c r="DS171" s="26">
        <f t="shared" si="470"/>
        <v>0</v>
      </c>
      <c r="DT171" s="26">
        <f t="shared" si="471"/>
        <v>0</v>
      </c>
      <c r="DU171" s="26">
        <f t="shared" si="472"/>
        <v>0</v>
      </c>
      <c r="DV171" s="26">
        <f t="shared" si="473"/>
        <v>0</v>
      </c>
      <c r="DW171" s="26">
        <f t="shared" si="474"/>
        <v>0</v>
      </c>
      <c r="DX171" s="26">
        <f t="shared" si="475"/>
        <v>0</v>
      </c>
      <c r="DY171" s="26">
        <f t="shared" si="476"/>
        <v>0</v>
      </c>
      <c r="DZ171" s="26">
        <f t="shared" si="477"/>
        <v>0</v>
      </c>
      <c r="EB171" s="26">
        <f t="shared" si="478"/>
        <v>0</v>
      </c>
      <c r="EC171" s="26">
        <f t="shared" si="479"/>
        <v>0</v>
      </c>
      <c r="ED171" s="26">
        <f t="shared" si="480"/>
        <v>0</v>
      </c>
      <c r="EE171" s="26">
        <f t="shared" si="481"/>
        <v>0</v>
      </c>
      <c r="EF171" s="26">
        <f t="shared" si="482"/>
        <v>0</v>
      </c>
      <c r="EG171" s="26">
        <f t="shared" si="483"/>
        <v>0</v>
      </c>
      <c r="EH171" s="26">
        <f t="shared" si="484"/>
        <v>0</v>
      </c>
      <c r="EI171" s="26">
        <f t="shared" si="485"/>
        <v>0</v>
      </c>
      <c r="EJ171" s="26">
        <f t="shared" si="486"/>
        <v>0</v>
      </c>
      <c r="EL171" s="26">
        <f t="shared" si="487"/>
        <v>0</v>
      </c>
      <c r="EM171" s="26">
        <f t="shared" si="488"/>
        <v>0</v>
      </c>
      <c r="EN171" s="26">
        <f t="shared" si="489"/>
        <v>0</v>
      </c>
      <c r="EO171" s="26">
        <f t="shared" si="490"/>
        <v>0</v>
      </c>
      <c r="EP171" s="26">
        <f t="shared" si="491"/>
        <v>0</v>
      </c>
      <c r="EQ171" s="26">
        <f t="shared" si="492"/>
        <v>0</v>
      </c>
      <c r="ER171" s="26">
        <f t="shared" si="493"/>
        <v>0</v>
      </c>
      <c r="ES171" s="26">
        <f t="shared" si="494"/>
        <v>0</v>
      </c>
      <c r="ET171" s="26">
        <f t="shared" si="495"/>
        <v>0</v>
      </c>
      <c r="EV171" s="26">
        <f t="shared" si="496"/>
        <v>0</v>
      </c>
      <c r="EW171" s="26">
        <f t="shared" si="497"/>
        <v>0</v>
      </c>
      <c r="EX171" s="26">
        <f t="shared" si="498"/>
        <v>0</v>
      </c>
      <c r="EY171" s="26">
        <f t="shared" si="499"/>
        <v>0</v>
      </c>
      <c r="EZ171" s="26">
        <f t="shared" si="500"/>
        <v>0</v>
      </c>
      <c r="FA171" s="26">
        <f t="shared" si="501"/>
        <v>0</v>
      </c>
      <c r="FB171" s="26">
        <f t="shared" si="502"/>
        <v>0</v>
      </c>
      <c r="FC171" s="26">
        <f t="shared" si="503"/>
        <v>0</v>
      </c>
      <c r="FD171" s="26">
        <f t="shared" si="504"/>
        <v>0</v>
      </c>
      <c r="FF171" s="26">
        <f t="shared" si="505"/>
        <v>0</v>
      </c>
      <c r="FG171" s="26">
        <f t="shared" si="506"/>
        <v>0</v>
      </c>
      <c r="FH171" s="26">
        <f t="shared" si="507"/>
        <v>0</v>
      </c>
      <c r="FI171" s="26">
        <f t="shared" si="508"/>
        <v>0</v>
      </c>
      <c r="FJ171" s="26">
        <f t="shared" si="509"/>
        <v>0</v>
      </c>
      <c r="FK171" s="26">
        <f t="shared" si="510"/>
        <v>0</v>
      </c>
      <c r="FL171" s="26">
        <f t="shared" si="511"/>
        <v>0</v>
      </c>
      <c r="FM171" s="26">
        <f t="shared" si="512"/>
        <v>0</v>
      </c>
      <c r="FN171" s="26">
        <f t="shared" si="513"/>
        <v>0</v>
      </c>
      <c r="FP171" s="26" t="e">
        <f t="shared" si="514"/>
        <v>#REF!</v>
      </c>
      <c r="FQ171" s="26" t="e">
        <f t="shared" si="515"/>
        <v>#REF!</v>
      </c>
      <c r="FR171" s="26" t="e">
        <f t="shared" si="516"/>
        <v>#REF!</v>
      </c>
      <c r="FS171" s="26" t="e">
        <f t="shared" si="517"/>
        <v>#REF!</v>
      </c>
      <c r="FT171" s="26" t="e">
        <f t="shared" si="518"/>
        <v>#REF!</v>
      </c>
      <c r="FU171" s="26" t="e">
        <f t="shared" si="519"/>
        <v>#REF!</v>
      </c>
      <c r="FV171" s="26" t="e">
        <f t="shared" si="520"/>
        <v>#REF!</v>
      </c>
      <c r="FW171" s="26" t="e">
        <f t="shared" si="521"/>
        <v>#REF!</v>
      </c>
      <c r="FX171" s="26" t="e">
        <f t="shared" si="522"/>
        <v>#REF!</v>
      </c>
      <c r="GB171" s="26" t="e">
        <f>IF(GB$2=InputTable[[#This Row],[Delivery Date]],_xlfn.XLOOKUP(GB$1,$BH$2:$BR$2,$BH171:$BR171,0),0)</f>
        <v>#REF!</v>
      </c>
      <c r="GC171" s="26">
        <f>IF(GC$2=InputTable[[#This Row],[Delivery Date]],_xlfn.XLOOKUP(GC$1,$BH$2:$BR$2,$BH171:$BR171,0),0)</f>
        <v>0</v>
      </c>
      <c r="GD171" s="26">
        <f>IF(GD$2=InputTable[[#This Row],[Delivery Date]],_xlfn.XLOOKUP(GD$1,$BH$2:$BR$2,$BH171:$BR171,0),0)</f>
        <v>0</v>
      </c>
      <c r="GE171" s="26">
        <f>IF(GE$2=InputTable[[#This Row],[Delivery Date]],_xlfn.XLOOKUP(GE$1,$BH$2:$BR$2,$BH171:$BR171,0),0)</f>
        <v>0</v>
      </c>
      <c r="GF171" s="26">
        <f>IF(GF$2=InputTable[[#This Row],[Delivery Date]],_xlfn.XLOOKUP(GF$1,$BH$2:$BR$2,$BH171:$BR171,0),0)</f>
        <v>0</v>
      </c>
      <c r="GG171" s="26">
        <f>IF(GG$2=InputTable[[#This Row],[Delivery Date]],_xlfn.XLOOKUP(GG$1,$BH$2:$BR$2,$BH171:$BR171,0),0)</f>
        <v>0</v>
      </c>
      <c r="GH171" s="26">
        <f>IF(GH$2=InputTable[[#This Row],[Delivery Date]],_xlfn.XLOOKUP(GH$1,$BH$2:$BR$2,$BH171:$BR171,0),0)</f>
        <v>0</v>
      </c>
      <c r="GI171" s="26">
        <f>IF(GI$2=InputTable[[#This Row],[Delivery Date]],_xlfn.XLOOKUP(GI$1,$BH$2:$BR$2,$BH171:$BR171,0),0)</f>
        <v>0</v>
      </c>
      <c r="GJ171" s="26">
        <f>IF(GJ$2=InputTable[[#This Row],[Delivery Date]],_xlfn.XLOOKUP(GJ$1,$BH$2:$BR$2,$BH171:$BR171,0),0)</f>
        <v>0</v>
      </c>
      <c r="GL171" s="26" t="e">
        <f>IF(GL$2=InputTable[[#This Row],[Delivery Date]],_xlfn.XLOOKUP(GL$1,$BH$2:$BR$2,$BH171:$BR171,0),0)</f>
        <v>#REF!</v>
      </c>
      <c r="GM171" s="26">
        <f>IF(GM$2=InputTable[[#This Row],[Delivery Date]],_xlfn.XLOOKUP(GM$1,$BH$2:$BR$2,$BH171:$BR171,0),0)</f>
        <v>0</v>
      </c>
      <c r="GN171" s="26">
        <f>IF(GN$2=InputTable[[#This Row],[Delivery Date]],_xlfn.XLOOKUP(GN$1,$BH$2:$BR$2,$BH171:$BR171,0),0)</f>
        <v>0</v>
      </c>
      <c r="GO171" s="26">
        <f>IF(GO$2=InputTable[[#This Row],[Delivery Date]],_xlfn.XLOOKUP(GO$1,$BH$2:$BR$2,$BH171:$BR171,0),0)</f>
        <v>0</v>
      </c>
      <c r="GP171" s="26">
        <f>IF(GP$2=InputTable[[#This Row],[Delivery Date]],_xlfn.XLOOKUP(GP$1,$BH$2:$BR$2,$BH171:$BR171,0),0)</f>
        <v>0</v>
      </c>
      <c r="GQ171" s="26">
        <f>IF(GQ$2=InputTable[[#This Row],[Delivery Date]],_xlfn.XLOOKUP(GQ$1,$BH$2:$BR$2,$BH171:$BR171,0),0)</f>
        <v>0</v>
      </c>
      <c r="GR171" s="26">
        <f>IF(GR$2=InputTable[[#This Row],[Delivery Date]],_xlfn.XLOOKUP(GR$1,$BH$2:$BR$2,$BH171:$BR171,0),0)</f>
        <v>0</v>
      </c>
      <c r="GS171" s="26">
        <f>IF(GS$2=InputTable[[#This Row],[Delivery Date]],_xlfn.XLOOKUP(GS$1,$BH$2:$BR$2,$BH171:$BR171,0),0)</f>
        <v>0</v>
      </c>
      <c r="GT171" s="26">
        <f>IF(GT$2=InputTable[[#This Row],[Delivery Date]],_xlfn.XLOOKUP(GT$1,$BH$2:$BR$2,$BH171:$BR171,0),0)</f>
        <v>0</v>
      </c>
      <c r="GV171" s="26" t="e">
        <f>IF(GV$2=InputTable[[#This Row],[Delivery Date]],_xlfn.XLOOKUP(GV$1,$BH$2:$BR$2,$BH171:$BR171,0),0)</f>
        <v>#REF!</v>
      </c>
      <c r="GW171" s="26">
        <f>IF(GW$2=InputTable[[#This Row],[Delivery Date]],_xlfn.XLOOKUP(GW$1,$BH$2:$BR$2,$BH171:$BR171,0),0)</f>
        <v>0</v>
      </c>
      <c r="GX171" s="26">
        <f>IF(GX$2=InputTable[[#This Row],[Delivery Date]],_xlfn.XLOOKUP(GX$1,$BH$2:$BR$2,$BH171:$BR171,0),0)</f>
        <v>0</v>
      </c>
      <c r="GY171" s="26">
        <f>IF(GY$2=InputTable[[#This Row],[Delivery Date]],_xlfn.XLOOKUP(GY$1,$BH$2:$BR$2,$BH171:$BR171,0),0)</f>
        <v>0</v>
      </c>
      <c r="GZ171" s="26">
        <f>IF(GZ$2=InputTable[[#This Row],[Delivery Date]],_xlfn.XLOOKUP(GZ$1,$BH$2:$BR$2,$BH171:$BR171,0),0)</f>
        <v>0</v>
      </c>
      <c r="HA171" s="26">
        <f>IF(HA$2=InputTable[[#This Row],[Delivery Date]],_xlfn.XLOOKUP(HA$1,$BH$2:$BR$2,$BH171:$BR171,0),0)</f>
        <v>0</v>
      </c>
      <c r="HB171" s="26">
        <f>IF(HB$2=InputTable[[#This Row],[Delivery Date]],_xlfn.XLOOKUP(HB$1,$BH$2:$BR$2,$BH171:$BR171,0),0)</f>
        <v>0</v>
      </c>
      <c r="HC171" s="26">
        <f>IF(HC$2=InputTable[[#This Row],[Delivery Date]],_xlfn.XLOOKUP(HC$1,$BH$2:$BR$2,$BH171:$BR171,0),0)</f>
        <v>0</v>
      </c>
      <c r="HD171" s="26">
        <f>IF(HD$2=InputTable[[#This Row],[Delivery Date]],_xlfn.XLOOKUP(HD$1,$BH$2:$BR$2,$BH171:$BR171,0),0)</f>
        <v>0</v>
      </c>
      <c r="HF171" s="26" t="e">
        <f>IF(HF$2=InputTable[[#This Row],[Delivery Date]],_xlfn.XLOOKUP(HF$1,$BH$2:$BR$2,$BH171:$BR171,0),0)</f>
        <v>#REF!</v>
      </c>
      <c r="HG171" s="26">
        <f>IF(HG$2=InputTable[[#This Row],[Delivery Date]],_xlfn.XLOOKUP(HG$1,$BH$2:$BR$2,$BH171:$BR171,0),0)</f>
        <v>0</v>
      </c>
      <c r="HH171" s="26">
        <f>IF(HH$2=InputTable[[#This Row],[Delivery Date]],_xlfn.XLOOKUP(HH$1,$BH$2:$BR$2,$BH171:$BR171,0),0)</f>
        <v>0</v>
      </c>
      <c r="HI171" s="26">
        <f>IF(HI$2=InputTable[[#This Row],[Delivery Date]],_xlfn.XLOOKUP(HI$1,$BH$2:$BR$2,$BH171:$BR171,0),0)</f>
        <v>0</v>
      </c>
      <c r="HJ171" s="26">
        <f>IF(HJ$2=InputTable[[#This Row],[Delivery Date]],_xlfn.XLOOKUP(HJ$1,$BH$2:$BR$2,$BH171:$BR171,0),0)</f>
        <v>0</v>
      </c>
      <c r="HK171" s="26">
        <f>IF(HK$2=InputTable[[#This Row],[Delivery Date]],_xlfn.XLOOKUP(HK$1,$BH$2:$BR$2,$BH171:$BR171,0),0)</f>
        <v>0</v>
      </c>
      <c r="HL171" s="26">
        <f>IF(HL$2=InputTable[[#This Row],[Delivery Date]],_xlfn.XLOOKUP(HL$1,$BH$2:$BR$2,$BH171:$BR171,0),0)</f>
        <v>0</v>
      </c>
      <c r="HM171" s="26">
        <f>IF(HM$2=InputTable[[#This Row],[Delivery Date]],_xlfn.XLOOKUP(HM$1,$BH$2:$BR$2,$BH171:$BR171,0),0)</f>
        <v>0</v>
      </c>
      <c r="HN171" s="26">
        <f>IF(HN$2=InputTable[[#This Row],[Delivery Date]],_xlfn.XLOOKUP(HN$1,$BH$2:$BR$2,$BH171:$BR171,0),0)</f>
        <v>0</v>
      </c>
      <c r="HP171" s="26" t="e">
        <f>IF(HP$2=InputTable[[#This Row],[Delivery Date]],_xlfn.XLOOKUP(HP$1,$BH$2:$BR$2,$BH171:$BR171,0),0)</f>
        <v>#REF!</v>
      </c>
      <c r="HQ171" s="26">
        <f>IF(HQ$2=InputTable[[#This Row],[Delivery Date]],_xlfn.XLOOKUP(HQ$1,$BH$2:$BR$2,$BH171:$BR171,0),0)</f>
        <v>0</v>
      </c>
      <c r="HR171" s="26">
        <f>IF(HR$2=InputTable[[#This Row],[Delivery Date]],_xlfn.XLOOKUP(HR$1,$BH$2:$BR$2,$BH171:$BR171,0),0)</f>
        <v>0</v>
      </c>
      <c r="HS171" s="26">
        <f>IF(HS$2=InputTable[[#This Row],[Delivery Date]],_xlfn.XLOOKUP(HS$1,$BH$2:$BR$2,$BH171:$BR171,0),0)</f>
        <v>0</v>
      </c>
      <c r="HT171" s="26">
        <f>IF(HT$2=InputTable[[#This Row],[Delivery Date]],_xlfn.XLOOKUP(HT$1,$BH$2:$BR$2,$BH171:$BR171,0),0)</f>
        <v>0</v>
      </c>
      <c r="HU171" s="26">
        <f>IF(HU$2=InputTable[[#This Row],[Delivery Date]],_xlfn.XLOOKUP(HU$1,$BH$2:$BR$2,$BH171:$BR171,0),0)</f>
        <v>0</v>
      </c>
      <c r="HV171" s="26">
        <f>IF(HV$2=InputTable[[#This Row],[Delivery Date]],_xlfn.XLOOKUP(HV$1,$BH$2:$BR$2,$BH171:$BR171,0),0)</f>
        <v>0</v>
      </c>
      <c r="HW171" s="26">
        <f>IF(HW$2=InputTable[[#This Row],[Delivery Date]],_xlfn.XLOOKUP(HW$1,$BH$2:$BR$2,$BH171:$BR171,0),0)</f>
        <v>0</v>
      </c>
      <c r="HX171" s="26">
        <f>IF(HX$2=InputTable[[#This Row],[Delivery Date]],_xlfn.XLOOKUP(HX$1,$BH$2:$BR$2,$BH171:$BR171,0),0)</f>
        <v>0</v>
      </c>
      <c r="HZ171" s="26" t="e">
        <f>IF(HZ$2=InputTable[[#This Row],[Delivery Date]],_xlfn.XLOOKUP(HZ$1,$BH$2:$BR$2,$BH171:$BR171,0),0)</f>
        <v>#REF!</v>
      </c>
      <c r="IA171" s="26">
        <f>IF(IA$2=InputTable[[#This Row],[Delivery Date]],_xlfn.XLOOKUP(IA$1,$BH$2:$BR$2,$BH171:$BR171,0),0)</f>
        <v>0</v>
      </c>
      <c r="IB171" s="26">
        <f>IF(IB$2=InputTable[[#This Row],[Delivery Date]],_xlfn.XLOOKUP(IB$1,$BH$2:$BR$2,$BH171:$BR171,0),0)</f>
        <v>0</v>
      </c>
      <c r="IC171" s="26">
        <f>IF(IC$2=InputTable[[#This Row],[Delivery Date]],_xlfn.XLOOKUP(IC$1,$BH$2:$BR$2,$BH171:$BR171,0),0)</f>
        <v>0</v>
      </c>
      <c r="ID171" s="26">
        <f>IF(ID$2=InputTable[[#This Row],[Delivery Date]],_xlfn.XLOOKUP(ID$1,$BH$2:$BR$2,$BH171:$BR171,0),0)</f>
        <v>0</v>
      </c>
      <c r="IE171" s="26">
        <f>IF(IE$2=InputTable[[#This Row],[Delivery Date]],_xlfn.XLOOKUP(IE$1,$BH$2:$BR$2,$BH171:$BR171,0),0)</f>
        <v>0</v>
      </c>
      <c r="IF171" s="26">
        <f>IF(IF$2=InputTable[[#This Row],[Delivery Date]],_xlfn.XLOOKUP(IF$1,$BH$2:$BR$2,$BH171:$BR171,0),0)</f>
        <v>0</v>
      </c>
      <c r="IG171" s="26">
        <f>IF(IG$2=InputTable[[#This Row],[Delivery Date]],_xlfn.XLOOKUP(IG$1,$BH$2:$BR$2,$BH171:$BR171,0),0)</f>
        <v>0</v>
      </c>
      <c r="IH171" s="26">
        <f>IF(IH$2=InputTable[[#This Row],[Delivery Date]],_xlfn.XLOOKUP(IH$1,$BH$2:$BR$2,$BH171:$BR171,0),0)</f>
        <v>0</v>
      </c>
      <c r="IJ171" s="26" t="e">
        <f>IF(IJ$2=InputTable[[#This Row],[Delivery Date]],_xlfn.XLOOKUP(IJ$1,$BH$2:$BR$2,$BH171:$BR171,0),0)</f>
        <v>#REF!</v>
      </c>
      <c r="IK171" s="26">
        <f>IF(IK$2=InputTable[[#This Row],[Delivery Date]],_xlfn.XLOOKUP(IK$1,$BH$2:$BR$2,$BH171:$BR171,0),0)</f>
        <v>0</v>
      </c>
      <c r="IL171" s="26">
        <f>IF(IL$2=InputTable[[#This Row],[Delivery Date]],_xlfn.XLOOKUP(IL$1,$BH$2:$BR$2,$BH171:$BR171,0),0)</f>
        <v>0</v>
      </c>
      <c r="IM171" s="26">
        <f>IF(IM$2=InputTable[[#This Row],[Delivery Date]],_xlfn.XLOOKUP(IM$1,$BH$2:$BR$2,$BH171:$BR171,0),0)</f>
        <v>0</v>
      </c>
      <c r="IN171" s="26">
        <f>IF(IN$2=InputTable[[#This Row],[Delivery Date]],_xlfn.XLOOKUP(IN$1,$BH$2:$BR$2,$BH171:$BR171,0),0)</f>
        <v>0</v>
      </c>
      <c r="IO171" s="26">
        <f>IF(IO$2=InputTable[[#This Row],[Delivery Date]],_xlfn.XLOOKUP(IO$1,$BH$2:$BR$2,$BH171:$BR171,0),0)</f>
        <v>0</v>
      </c>
      <c r="IP171" s="26">
        <f>IF(IP$2=InputTable[[#This Row],[Delivery Date]],_xlfn.XLOOKUP(IP$1,$BH$2:$BR$2,$BH171:$BR171,0),0)</f>
        <v>0</v>
      </c>
      <c r="IQ171" s="26">
        <f>IF(IQ$2=InputTable[[#This Row],[Delivery Date]],_xlfn.XLOOKUP(IQ$1,$BH$2:$BR$2,$BH171:$BR171,0),0)</f>
        <v>0</v>
      </c>
      <c r="IR171" s="26">
        <f>IF(IR$2=InputTable[[#This Row],[Delivery Date]],_xlfn.XLOOKUP(IR$1,$BH$2:$BR$2,$BH171:$BR171,0),0)</f>
        <v>0</v>
      </c>
      <c r="IT171" s="26" t="e">
        <f>IF(IT$2=InputTable[[#This Row],[Delivery Date]],_xlfn.XLOOKUP(IT$1,$BH$2:$BR$2,$BH171:$BR171,0),0)</f>
        <v>#REF!</v>
      </c>
      <c r="IU171" s="26">
        <f>IF(IU$2=InputTable[[#This Row],[Delivery Date]],_xlfn.XLOOKUP(IU$1,$BH$2:$BR$2,$BH171:$BR171,0),0)</f>
        <v>0</v>
      </c>
      <c r="IV171" s="26">
        <f>IF(IV$2=InputTable[[#This Row],[Delivery Date]],_xlfn.XLOOKUP(IV$1,$BH$2:$BR$2,$BH171:$BR171,0),0)</f>
        <v>0</v>
      </c>
      <c r="IW171" s="26">
        <f>IF(IW$2=InputTable[[#This Row],[Delivery Date]],_xlfn.XLOOKUP(IW$1,$BH$2:$BR$2,$BH171:$BR171,0),0)</f>
        <v>0</v>
      </c>
      <c r="IX171" s="26">
        <f>IF(IX$2=InputTable[[#This Row],[Delivery Date]],_xlfn.XLOOKUP(IX$1,$BH$2:$BR$2,$BH171:$BR171,0),0)</f>
        <v>0</v>
      </c>
      <c r="IY171" s="26">
        <f>IF(IY$2=InputTable[[#This Row],[Delivery Date]],_xlfn.XLOOKUP(IY$1,$BH$2:$BR$2,$BH171:$BR171,0),0)</f>
        <v>0</v>
      </c>
      <c r="IZ171" s="26">
        <f>IF(IZ$2=InputTable[[#This Row],[Delivery Date]],_xlfn.XLOOKUP(IZ$1,$BH$2:$BR$2,$BH171:$BR171,0),0)</f>
        <v>0</v>
      </c>
      <c r="JA171" s="26">
        <f>IF(JA$2=InputTable[[#This Row],[Delivery Date]],_xlfn.XLOOKUP(JA$1,$BH$2:$BR$2,$BH171:$BR171,0),0)</f>
        <v>0</v>
      </c>
      <c r="JB171" s="26">
        <f>IF(JB$2=InputTable[[#This Row],[Delivery Date]],_xlfn.XLOOKUP(JB$1,$BH$2:$BR$2,$BH171:$BR171,0),0)</f>
        <v>0</v>
      </c>
      <c r="JD171" s="26" t="e">
        <f>IF(JD$2=InputTable[[#This Row],[Delivery Date]],_xlfn.XLOOKUP(JD$1,$BH$2:$BR$2,$BH171:$BR171,0),0)</f>
        <v>#REF!</v>
      </c>
      <c r="JE171" s="26">
        <f>IF(JE$2=InputTable[[#This Row],[Delivery Date]],_xlfn.XLOOKUP(JE$1,$BH$2:$BR$2,$BH171:$BR171,0),0)</f>
        <v>0</v>
      </c>
      <c r="JF171" s="26">
        <f>IF(JF$2=InputTable[[#This Row],[Delivery Date]],_xlfn.XLOOKUP(JF$1,$BH$2:$BR$2,$BH171:$BR171,0),0)</f>
        <v>0</v>
      </c>
      <c r="JG171" s="26">
        <f>IF(JG$2=InputTable[[#This Row],[Delivery Date]],_xlfn.XLOOKUP(JG$1,$BH$2:$BR$2,$BH171:$BR171,0),0)</f>
        <v>0</v>
      </c>
      <c r="JH171" s="26">
        <f>IF(JH$2=InputTable[[#This Row],[Delivery Date]],_xlfn.XLOOKUP(JH$1,$BH$2:$BR$2,$BH171:$BR171,0),0)</f>
        <v>0</v>
      </c>
      <c r="JI171" s="26">
        <f>IF(JI$2=InputTable[[#This Row],[Delivery Date]],_xlfn.XLOOKUP(JI$1,$BH$2:$BR$2,$BH171:$BR171,0),0)</f>
        <v>0</v>
      </c>
      <c r="JJ171" s="26">
        <f>IF(JJ$2=InputTable[[#This Row],[Delivery Date]],_xlfn.XLOOKUP(JJ$1,$BH$2:$BR$2,$BH171:$BR171,0),0)</f>
        <v>0</v>
      </c>
      <c r="JK171" s="26">
        <f>IF(JK$2=InputTable[[#This Row],[Delivery Date]],_xlfn.XLOOKUP(JK$1,$BH$2:$BR$2,$BH171:$BR171,0),0)</f>
        <v>0</v>
      </c>
      <c r="JL171" s="26">
        <f>IF(JL$2=InputTable[[#This Row],[Delivery Date]],_xlfn.XLOOKUP(JL$1,$BH$2:$BR$2,$BH171:$BR171,0),0)</f>
        <v>0</v>
      </c>
      <c r="JN171" s="26" t="e">
        <f>IF(JN$2=InputTable[[#This Row],[Delivery Date]],_xlfn.XLOOKUP(JN$1,$BH$2:$BR$2,$BH171:$BR171,0),0)</f>
        <v>#REF!</v>
      </c>
      <c r="JO171" s="26">
        <f>IF(JO$2=InputTable[[#This Row],[Delivery Date]],_xlfn.XLOOKUP(JO$1,$BH$2:$BR$2,$BH171:$BR171,0),0)</f>
        <v>0</v>
      </c>
      <c r="JP171" s="26">
        <f>IF(JP$2=InputTable[[#This Row],[Delivery Date]],_xlfn.XLOOKUP(JP$1,$BH$2:$BR$2,$BH171:$BR171,0),0)</f>
        <v>0</v>
      </c>
      <c r="JQ171" s="26">
        <f>IF(JQ$2=InputTable[[#This Row],[Delivery Date]],_xlfn.XLOOKUP(JQ$1,$BH$2:$BR$2,$BH171:$BR171,0),0)</f>
        <v>0</v>
      </c>
      <c r="JR171" s="26">
        <f>IF(JR$2=InputTable[[#This Row],[Delivery Date]],_xlfn.XLOOKUP(JR$1,$BH$2:$BR$2,$BH171:$BR171,0),0)</f>
        <v>0</v>
      </c>
      <c r="JS171" s="26">
        <f>IF(JS$2=InputTable[[#This Row],[Delivery Date]],_xlfn.XLOOKUP(JS$1,$BH$2:$BR$2,$BH171:$BR171,0),0)</f>
        <v>0</v>
      </c>
      <c r="JT171" s="26">
        <f>IF(JT$2=InputTable[[#This Row],[Delivery Date]],_xlfn.XLOOKUP(JT$1,$BH$2:$BR$2,$BH171:$BR171,0),0)</f>
        <v>0</v>
      </c>
      <c r="JU171" s="26">
        <f>IF(JU$2=InputTable[[#This Row],[Delivery Date]],_xlfn.XLOOKUP(JU$1,$BH$2:$BR$2,$BH171:$BR171,0),0)</f>
        <v>0</v>
      </c>
      <c r="JV171" s="26">
        <f>IF(JV$2=InputTable[[#This Row],[Delivery Date]],_xlfn.XLOOKUP(JV$1,$BH$2:$BR$2,$BH171:$BR171,0),0)</f>
        <v>0</v>
      </c>
      <c r="JX171" s="26" t="e">
        <f>IF(JX$2=InputTable[[#This Row],[Delivery Date]],_xlfn.XLOOKUP(JX$1,$BH$2:$BR$2,$BH171:$BR171,0),0)</f>
        <v>#REF!</v>
      </c>
      <c r="JY171" s="26">
        <f>IF(JY$2=InputTable[[#This Row],[Delivery Date]],_xlfn.XLOOKUP(JY$1,$BH$2:$BR$2,$BH171:$BR171,0),0)</f>
        <v>0</v>
      </c>
      <c r="JZ171" s="26">
        <f>IF(JZ$2=InputTable[[#This Row],[Delivery Date]],_xlfn.XLOOKUP(JZ$1,$BH$2:$BR$2,$BH171:$BR171,0),0)</f>
        <v>0</v>
      </c>
      <c r="KA171" s="26">
        <f>IF(KA$2=InputTable[[#This Row],[Delivery Date]],_xlfn.XLOOKUP(KA$1,$BH$2:$BR$2,$BH171:$BR171,0),0)</f>
        <v>0</v>
      </c>
      <c r="KB171" s="26">
        <f>IF(KB$2=InputTable[[#This Row],[Delivery Date]],_xlfn.XLOOKUP(KB$1,$BH$2:$BR$2,$BH171:$BR171,0),0)</f>
        <v>0</v>
      </c>
      <c r="KC171" s="26">
        <f>IF(KC$2=InputTable[[#This Row],[Delivery Date]],_xlfn.XLOOKUP(KC$1,$BH$2:$BR$2,$BH171:$BR171,0),0)</f>
        <v>0</v>
      </c>
      <c r="KD171" s="26">
        <f>IF(KD$2=InputTable[[#This Row],[Delivery Date]],_xlfn.XLOOKUP(KD$1,$BH$2:$BR$2,$BH171:$BR171,0),0)</f>
        <v>0</v>
      </c>
      <c r="KE171" s="26">
        <f>IF(KE$2=InputTable[[#This Row],[Delivery Date]],_xlfn.XLOOKUP(KE$1,$BH$2:$BR$2,$BH171:$BR171,0),0)</f>
        <v>0</v>
      </c>
      <c r="KF171" s="26">
        <f>IF(KF$2=InputTable[[#This Row],[Delivery Date]],_xlfn.XLOOKUP(KF$1,$BH$2:$BR$2,$BH171:$BR171,0),0)</f>
        <v>0</v>
      </c>
    </row>
    <row r="172" spans="1:292" ht="34.799999999999997" x14ac:dyDescent="0.25">
      <c r="A172" s="141"/>
      <c r="B172" s="119"/>
      <c r="C172" s="92"/>
      <c r="D172" s="92"/>
      <c r="E172" s="103"/>
      <c r="F172" s="104"/>
      <c r="G172" s="104"/>
      <c r="H172" s="104"/>
      <c r="I172" s="104"/>
      <c r="J172" s="105"/>
      <c r="K172" s="95" t="e">
        <f>VLOOKUP((InputTable[[#This Row],[Starting Date]]&amp; " - " &amp;InputTable[[#This Row],[Delivery Date]]),'System List'!$F$40:$H$83,2,FALSE)</f>
        <v>#N/A</v>
      </c>
      <c r="L172" s="95" t="e">
        <f>VLOOKUP(InputTable[[#This Row],[Duration]],Duration,2,FALSE)</f>
        <v>#N/A</v>
      </c>
      <c r="M172" s="105"/>
      <c r="N172" s="104"/>
      <c r="O172" s="104"/>
      <c r="P172" s="104"/>
      <c r="Q172" s="104"/>
      <c r="R172" s="104"/>
      <c r="S172" s="92"/>
      <c r="T172" s="95"/>
      <c r="U172" s="138"/>
      <c r="V172" s="104"/>
      <c r="W172" s="104"/>
      <c r="X172" s="104"/>
      <c r="Y172" s="104"/>
      <c r="Z172" s="104"/>
      <c r="AA172" s="104"/>
      <c r="AB172" s="104"/>
      <c r="AC172" s="104"/>
      <c r="AD172" s="92">
        <f>COUNTA(InputTable[[#This Row],[CORPHRFIN]:[SALES]])</f>
        <v>0</v>
      </c>
      <c r="AE172" s="88" cm="1">
        <f t="array" ref="AE172">SUM(
_xlfn.XLOOKUP(InputTable[[#This Row],[CORPHRFIN]:[SALES]],'System List'!$F$4:$F$7,'System List'!$H$4:$H$7,0))</f>
        <v>0</v>
      </c>
      <c r="AF172" s="140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88" cm="1">
        <f t="array" ref="AR172">SUM(
_xlfn.XLOOKUP(InputTable[[#This Row],[Impact on - CIAL]:[Impact on - STRAT]],'System List'!$F$4:$F$7,'System List'!$H$4:$H$7,0))</f>
        <v>0</v>
      </c>
      <c r="AS172" s="88" t="e">
        <f>VLOOKUP(InputTable[[#This Row],[Duration]],Duration,2,FALSE)+InputTable[[#This Row],[Resource Score]]</f>
        <v>#N/A</v>
      </c>
      <c r="AT17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2" s="24" t="e">
        <f>InputTable[[#This Row],[Value Score]]/InputTable[[#This Row],[EFFORT SCORE]]*100</f>
        <v>#N/A</v>
      </c>
      <c r="AV172" s="25" t="s">
        <v>463</v>
      </c>
      <c r="AW172" s="25"/>
      <c r="AX172" s="208"/>
      <c r="AY172" s="25"/>
      <c r="AZ172" s="189">
        <v>0</v>
      </c>
      <c r="BA172" s="189">
        <v>0</v>
      </c>
      <c r="BB172" s="189"/>
      <c r="BC172" s="189"/>
      <c r="BD172" s="188"/>
      <c r="BE172" s="188"/>
      <c r="BF172" s="70"/>
      <c r="BH172" s="2">
        <f>IFERROR(VLOOKUP(InputTable[[#This Row],[Impact on - CIAL]],'System List'!$F$4:$H$7,3,FALSE),0)</f>
        <v>0</v>
      </c>
      <c r="BI172" s="2">
        <f>IFERROR(VLOOKUP(InputTable[[#This Row],[Impact on - COM]],'System List'!$F$4:$H$7,3,FALSE),0)</f>
        <v>0</v>
      </c>
      <c r="BJ172" s="2">
        <f>IFERROR(VLOOKUP(InputTable[[#This Row],[Impact on - FIN]],'System List'!$F$4:$H$7,3,FALSE),0)</f>
        <v>0</v>
      </c>
      <c r="BK172" s="2">
        <f>IFERROR(VLOOKUP(InputTable[[#This Row],[Impact on - GEN SEC]],'System List'!$F$4:$H$7,3,FALSE),0)</f>
        <v>0</v>
      </c>
      <c r="BL172" s="2">
        <f>IFERROR(VLOOKUP(InputTable[[#This Row],[Impact on - HR]],'System List'!$F$4:$H$7,3,FALSE),0)</f>
        <v>0</v>
      </c>
      <c r="BM172" s="2">
        <f>IFERROR(VLOOKUP(InputTable[[#This Row],[Impact on - IS]],'System List'!$F$4:$H$7,3,FALSE),0)</f>
        <v>0</v>
      </c>
      <c r="BN172" s="2">
        <f>IFERROR(VLOOKUP(InputTable[[#This Row],[Impact on - OPS]],'System List'!$F$4:$H$7,3,FALSE),0)</f>
        <v>0</v>
      </c>
      <c r="BO172" s="2">
        <f>IFERROR(VLOOKUP(InputTable[[#This Row],[Impact on - ROLL STOCK]],'System List'!$F$4:$H$7,3,FALSE),0)</f>
        <v>0</v>
      </c>
      <c r="BP172" s="2">
        <f>IFERROR(VLOOKUP(InputTable[[#This Row],[Impact on - SAFETY]],'System List'!$F$4:$H$7,3,FALSE),0)</f>
        <v>0</v>
      </c>
      <c r="BQ172" s="2">
        <f>IFERROR(VLOOKUP(InputTable[[#This Row],[Impact on - STATION]],'System List'!$F$4:$H$7,3,FALSE),0)</f>
        <v>0</v>
      </c>
      <c r="BR172" s="2">
        <f>IFERROR(VLOOKUP(InputTable[[#This Row],[Impact on - STRAT]],'System List'!$F$4:$H$7,3,FALSE),0)</f>
        <v>0</v>
      </c>
      <c r="BT172" s="2">
        <f>IFERROR(VLOOKUP(InputTable[[#This Row],[CORPHRFIN]],'System List'!$F$4:$H$7,3,FALSE),0)</f>
        <v>0</v>
      </c>
      <c r="BU172" s="2">
        <f>IFERROR(VLOOKUP(InputTable[[#This Row],[CUST]],'System List'!$F$4:$H$7,3,FALSE),0)</f>
        <v>0</v>
      </c>
      <c r="BV172" s="2">
        <f>IFERROR(VLOOKUP(InputTable[[#This Row],[CYBER]],'System List'!$F$4:$H$7,3,FALSE),0)</f>
        <v>0</v>
      </c>
      <c r="BW172" s="2">
        <f>IFERROR(VLOOKUP(InputTable[[#This Row],[DATA]],'System List'!$F$4:$H$7,3,FALSE),0)</f>
        <v>0</v>
      </c>
      <c r="BX172" s="2">
        <f>IFERROR(VLOOKUP(InputTable[[#This Row],[INFRA]],'System List'!$F$4:$H$7,3,FALSE),0)</f>
        <v>0</v>
      </c>
      <c r="BY172" s="2">
        <f>IFERROR(VLOOKUP(InputTable[[#This Row],[OPERATIONS]],'System List'!$F$4:$H$7,3,FALSE),0)</f>
        <v>0</v>
      </c>
      <c r="BZ172" s="2">
        <f>IFERROR(VLOOKUP(InputTable[[#This Row],[PMO]],'System List'!$F$4:$H$7,3,FALSE),0)</f>
        <v>0</v>
      </c>
      <c r="CA172" s="2">
        <f>IFERROR(VLOOKUP(InputTable[[#This Row],[SALES]],'System List'!$F$4:$H$7,3,FALSE),0)</f>
        <v>0</v>
      </c>
      <c r="CC172" s="2" cm="1">
        <f t="array" ref="CC17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2" s="2" cm="1">
        <f t="array" ref="CD17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2" s="2" cm="1">
        <f t="array" ref="CE17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2" s="2" cm="1">
        <f t="array" ref="CF17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2" s="2" cm="1">
        <f t="array" ref="CG17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2" s="2" cm="1">
        <f t="array" ref="CH17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2" s="2" cm="1">
        <f t="array" ref="CI17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2" s="2" cm="1">
        <f t="array" ref="CJ17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2" s="2" cm="1">
        <f t="array" ref="CK17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2" s="26">
        <f t="shared" si="451"/>
        <v>0</v>
      </c>
      <c r="CY172" s="26">
        <f t="shared" si="452"/>
        <v>0</v>
      </c>
      <c r="CZ172" s="26">
        <f t="shared" si="453"/>
        <v>0</v>
      </c>
      <c r="DA172" s="26">
        <f t="shared" si="454"/>
        <v>0</v>
      </c>
      <c r="DB172" s="26">
        <f t="shared" si="455"/>
        <v>0</v>
      </c>
      <c r="DC172" s="26">
        <f t="shared" si="456"/>
        <v>0</v>
      </c>
      <c r="DD172" s="26">
        <f t="shared" si="457"/>
        <v>0</v>
      </c>
      <c r="DE172" s="26">
        <f t="shared" si="458"/>
        <v>0</v>
      </c>
      <c r="DF172" s="26">
        <f t="shared" si="459"/>
        <v>0</v>
      </c>
      <c r="DH172" s="26">
        <f t="shared" si="460"/>
        <v>0</v>
      </c>
      <c r="DI172" s="26">
        <f t="shared" si="461"/>
        <v>0</v>
      </c>
      <c r="DJ172" s="26">
        <f t="shared" si="462"/>
        <v>0</v>
      </c>
      <c r="DK172" s="26">
        <f t="shared" si="463"/>
        <v>0</v>
      </c>
      <c r="DL172" s="26">
        <f t="shared" si="464"/>
        <v>0</v>
      </c>
      <c r="DM172" s="26">
        <f t="shared" si="465"/>
        <v>0</v>
      </c>
      <c r="DN172" s="26">
        <f t="shared" si="466"/>
        <v>0</v>
      </c>
      <c r="DO172" s="26">
        <f t="shared" si="467"/>
        <v>0</v>
      </c>
      <c r="DP172" s="26">
        <f t="shared" si="468"/>
        <v>0</v>
      </c>
      <c r="DR172" s="26">
        <f t="shared" si="469"/>
        <v>0</v>
      </c>
      <c r="DS172" s="26">
        <f t="shared" si="470"/>
        <v>0</v>
      </c>
      <c r="DT172" s="26">
        <f t="shared" si="471"/>
        <v>0</v>
      </c>
      <c r="DU172" s="26">
        <f t="shared" si="472"/>
        <v>0</v>
      </c>
      <c r="DV172" s="26">
        <f t="shared" si="473"/>
        <v>0</v>
      </c>
      <c r="DW172" s="26">
        <f t="shared" si="474"/>
        <v>0</v>
      </c>
      <c r="DX172" s="26">
        <f t="shared" si="475"/>
        <v>0</v>
      </c>
      <c r="DY172" s="26">
        <f t="shared" si="476"/>
        <v>0</v>
      </c>
      <c r="DZ172" s="26">
        <f t="shared" si="477"/>
        <v>0</v>
      </c>
      <c r="EB172" s="26">
        <f t="shared" si="478"/>
        <v>0</v>
      </c>
      <c r="EC172" s="26">
        <f t="shared" si="479"/>
        <v>0</v>
      </c>
      <c r="ED172" s="26">
        <f t="shared" si="480"/>
        <v>0</v>
      </c>
      <c r="EE172" s="26">
        <f t="shared" si="481"/>
        <v>0</v>
      </c>
      <c r="EF172" s="26">
        <f t="shared" si="482"/>
        <v>0</v>
      </c>
      <c r="EG172" s="26">
        <f t="shared" si="483"/>
        <v>0</v>
      </c>
      <c r="EH172" s="26">
        <f t="shared" si="484"/>
        <v>0</v>
      </c>
      <c r="EI172" s="26">
        <f t="shared" si="485"/>
        <v>0</v>
      </c>
      <c r="EJ172" s="26">
        <f t="shared" si="486"/>
        <v>0</v>
      </c>
      <c r="EL172" s="26">
        <f t="shared" si="487"/>
        <v>0</v>
      </c>
      <c r="EM172" s="26">
        <f t="shared" si="488"/>
        <v>0</v>
      </c>
      <c r="EN172" s="26">
        <f t="shared" si="489"/>
        <v>0</v>
      </c>
      <c r="EO172" s="26">
        <f t="shared" si="490"/>
        <v>0</v>
      </c>
      <c r="EP172" s="26">
        <f t="shared" si="491"/>
        <v>0</v>
      </c>
      <c r="EQ172" s="26">
        <f t="shared" si="492"/>
        <v>0</v>
      </c>
      <c r="ER172" s="26">
        <f t="shared" si="493"/>
        <v>0</v>
      </c>
      <c r="ES172" s="26">
        <f t="shared" si="494"/>
        <v>0</v>
      </c>
      <c r="ET172" s="26">
        <f t="shared" si="495"/>
        <v>0</v>
      </c>
      <c r="EV172" s="26">
        <f t="shared" si="496"/>
        <v>0</v>
      </c>
      <c r="EW172" s="26">
        <f t="shared" si="497"/>
        <v>0</v>
      </c>
      <c r="EX172" s="26">
        <f t="shared" si="498"/>
        <v>0</v>
      </c>
      <c r="EY172" s="26">
        <f t="shared" si="499"/>
        <v>0</v>
      </c>
      <c r="EZ172" s="26">
        <f t="shared" si="500"/>
        <v>0</v>
      </c>
      <c r="FA172" s="26">
        <f t="shared" si="501"/>
        <v>0</v>
      </c>
      <c r="FB172" s="26">
        <f t="shared" si="502"/>
        <v>0</v>
      </c>
      <c r="FC172" s="26">
        <f t="shared" si="503"/>
        <v>0</v>
      </c>
      <c r="FD172" s="26">
        <f t="shared" si="504"/>
        <v>0</v>
      </c>
      <c r="FF172" s="26">
        <f t="shared" si="505"/>
        <v>0</v>
      </c>
      <c r="FG172" s="26">
        <f t="shared" si="506"/>
        <v>0</v>
      </c>
      <c r="FH172" s="26">
        <f t="shared" si="507"/>
        <v>0</v>
      </c>
      <c r="FI172" s="26">
        <f t="shared" si="508"/>
        <v>0</v>
      </c>
      <c r="FJ172" s="26">
        <f t="shared" si="509"/>
        <v>0</v>
      </c>
      <c r="FK172" s="26">
        <f t="shared" si="510"/>
        <v>0</v>
      </c>
      <c r="FL172" s="26">
        <f t="shared" si="511"/>
        <v>0</v>
      </c>
      <c r="FM172" s="26">
        <f t="shared" si="512"/>
        <v>0</v>
      </c>
      <c r="FN172" s="26">
        <f t="shared" si="513"/>
        <v>0</v>
      </c>
      <c r="FP172" s="26" t="e">
        <f t="shared" si="514"/>
        <v>#REF!</v>
      </c>
      <c r="FQ172" s="26" t="e">
        <f t="shared" si="515"/>
        <v>#REF!</v>
      </c>
      <c r="FR172" s="26" t="e">
        <f t="shared" si="516"/>
        <v>#REF!</v>
      </c>
      <c r="FS172" s="26" t="e">
        <f t="shared" si="517"/>
        <v>#REF!</v>
      </c>
      <c r="FT172" s="26" t="e">
        <f t="shared" si="518"/>
        <v>#REF!</v>
      </c>
      <c r="FU172" s="26" t="e">
        <f t="shared" si="519"/>
        <v>#REF!</v>
      </c>
      <c r="FV172" s="26" t="e">
        <f t="shared" si="520"/>
        <v>#REF!</v>
      </c>
      <c r="FW172" s="26" t="e">
        <f t="shared" si="521"/>
        <v>#REF!</v>
      </c>
      <c r="FX172" s="26" t="e">
        <f t="shared" si="522"/>
        <v>#REF!</v>
      </c>
      <c r="GB172" s="26" t="e">
        <f>IF(GB$2=InputTable[[#This Row],[Delivery Date]],_xlfn.XLOOKUP(GB$1,$BH$2:$BR$2,$BH172:$BR172,0),0)</f>
        <v>#REF!</v>
      </c>
      <c r="GC172" s="26">
        <f>IF(GC$2=InputTable[[#This Row],[Delivery Date]],_xlfn.XLOOKUP(GC$1,$BH$2:$BR$2,$BH172:$BR172,0),0)</f>
        <v>0</v>
      </c>
      <c r="GD172" s="26">
        <f>IF(GD$2=InputTable[[#This Row],[Delivery Date]],_xlfn.XLOOKUP(GD$1,$BH$2:$BR$2,$BH172:$BR172,0),0)</f>
        <v>0</v>
      </c>
      <c r="GE172" s="26">
        <f>IF(GE$2=InputTable[[#This Row],[Delivery Date]],_xlfn.XLOOKUP(GE$1,$BH$2:$BR$2,$BH172:$BR172,0),0)</f>
        <v>0</v>
      </c>
      <c r="GF172" s="26">
        <f>IF(GF$2=InputTable[[#This Row],[Delivery Date]],_xlfn.XLOOKUP(GF$1,$BH$2:$BR$2,$BH172:$BR172,0),0)</f>
        <v>0</v>
      </c>
      <c r="GG172" s="26">
        <f>IF(GG$2=InputTable[[#This Row],[Delivery Date]],_xlfn.XLOOKUP(GG$1,$BH$2:$BR$2,$BH172:$BR172,0),0)</f>
        <v>0</v>
      </c>
      <c r="GH172" s="26">
        <f>IF(GH$2=InputTable[[#This Row],[Delivery Date]],_xlfn.XLOOKUP(GH$1,$BH$2:$BR$2,$BH172:$BR172,0),0)</f>
        <v>0</v>
      </c>
      <c r="GI172" s="26">
        <f>IF(GI$2=InputTable[[#This Row],[Delivery Date]],_xlfn.XLOOKUP(GI$1,$BH$2:$BR$2,$BH172:$BR172,0),0)</f>
        <v>0</v>
      </c>
      <c r="GJ172" s="26">
        <f>IF(GJ$2=InputTable[[#This Row],[Delivery Date]],_xlfn.XLOOKUP(GJ$1,$BH$2:$BR$2,$BH172:$BR172,0),0)</f>
        <v>0</v>
      </c>
      <c r="GL172" s="26" t="e">
        <f>IF(GL$2=InputTable[[#This Row],[Delivery Date]],_xlfn.XLOOKUP(GL$1,$BH$2:$BR$2,$BH172:$BR172,0),0)</f>
        <v>#REF!</v>
      </c>
      <c r="GM172" s="26">
        <f>IF(GM$2=InputTable[[#This Row],[Delivery Date]],_xlfn.XLOOKUP(GM$1,$BH$2:$BR$2,$BH172:$BR172,0),0)</f>
        <v>0</v>
      </c>
      <c r="GN172" s="26">
        <f>IF(GN$2=InputTable[[#This Row],[Delivery Date]],_xlfn.XLOOKUP(GN$1,$BH$2:$BR$2,$BH172:$BR172,0),0)</f>
        <v>0</v>
      </c>
      <c r="GO172" s="26">
        <f>IF(GO$2=InputTable[[#This Row],[Delivery Date]],_xlfn.XLOOKUP(GO$1,$BH$2:$BR$2,$BH172:$BR172,0),0)</f>
        <v>0</v>
      </c>
      <c r="GP172" s="26">
        <f>IF(GP$2=InputTable[[#This Row],[Delivery Date]],_xlfn.XLOOKUP(GP$1,$BH$2:$BR$2,$BH172:$BR172,0),0)</f>
        <v>0</v>
      </c>
      <c r="GQ172" s="26">
        <f>IF(GQ$2=InputTable[[#This Row],[Delivery Date]],_xlfn.XLOOKUP(GQ$1,$BH$2:$BR$2,$BH172:$BR172,0),0)</f>
        <v>0</v>
      </c>
      <c r="GR172" s="26">
        <f>IF(GR$2=InputTable[[#This Row],[Delivery Date]],_xlfn.XLOOKUP(GR$1,$BH$2:$BR$2,$BH172:$BR172,0),0)</f>
        <v>0</v>
      </c>
      <c r="GS172" s="26">
        <f>IF(GS$2=InputTable[[#This Row],[Delivery Date]],_xlfn.XLOOKUP(GS$1,$BH$2:$BR$2,$BH172:$BR172,0),0)</f>
        <v>0</v>
      </c>
      <c r="GT172" s="26">
        <f>IF(GT$2=InputTable[[#This Row],[Delivery Date]],_xlfn.XLOOKUP(GT$1,$BH$2:$BR$2,$BH172:$BR172,0),0)</f>
        <v>0</v>
      </c>
      <c r="GV172" s="26" t="e">
        <f>IF(GV$2=InputTable[[#This Row],[Delivery Date]],_xlfn.XLOOKUP(GV$1,$BH$2:$BR$2,$BH172:$BR172,0),0)</f>
        <v>#REF!</v>
      </c>
      <c r="GW172" s="26">
        <f>IF(GW$2=InputTable[[#This Row],[Delivery Date]],_xlfn.XLOOKUP(GW$1,$BH$2:$BR$2,$BH172:$BR172,0),0)</f>
        <v>0</v>
      </c>
      <c r="GX172" s="26">
        <f>IF(GX$2=InputTable[[#This Row],[Delivery Date]],_xlfn.XLOOKUP(GX$1,$BH$2:$BR$2,$BH172:$BR172,0),0)</f>
        <v>0</v>
      </c>
      <c r="GY172" s="26">
        <f>IF(GY$2=InputTable[[#This Row],[Delivery Date]],_xlfn.XLOOKUP(GY$1,$BH$2:$BR$2,$BH172:$BR172,0),0)</f>
        <v>0</v>
      </c>
      <c r="GZ172" s="26">
        <f>IF(GZ$2=InputTable[[#This Row],[Delivery Date]],_xlfn.XLOOKUP(GZ$1,$BH$2:$BR$2,$BH172:$BR172,0),0)</f>
        <v>0</v>
      </c>
      <c r="HA172" s="26">
        <f>IF(HA$2=InputTable[[#This Row],[Delivery Date]],_xlfn.XLOOKUP(HA$1,$BH$2:$BR$2,$BH172:$BR172,0),0)</f>
        <v>0</v>
      </c>
      <c r="HB172" s="26">
        <f>IF(HB$2=InputTable[[#This Row],[Delivery Date]],_xlfn.XLOOKUP(HB$1,$BH$2:$BR$2,$BH172:$BR172,0),0)</f>
        <v>0</v>
      </c>
      <c r="HC172" s="26">
        <f>IF(HC$2=InputTable[[#This Row],[Delivery Date]],_xlfn.XLOOKUP(HC$1,$BH$2:$BR$2,$BH172:$BR172,0),0)</f>
        <v>0</v>
      </c>
      <c r="HD172" s="26">
        <f>IF(HD$2=InputTable[[#This Row],[Delivery Date]],_xlfn.XLOOKUP(HD$1,$BH$2:$BR$2,$BH172:$BR172,0),0)</f>
        <v>0</v>
      </c>
      <c r="HF172" s="26" t="e">
        <f>IF(HF$2=InputTable[[#This Row],[Delivery Date]],_xlfn.XLOOKUP(HF$1,$BH$2:$BR$2,$BH172:$BR172,0),0)</f>
        <v>#REF!</v>
      </c>
      <c r="HG172" s="26">
        <f>IF(HG$2=InputTable[[#This Row],[Delivery Date]],_xlfn.XLOOKUP(HG$1,$BH$2:$BR$2,$BH172:$BR172,0),0)</f>
        <v>0</v>
      </c>
      <c r="HH172" s="26">
        <f>IF(HH$2=InputTable[[#This Row],[Delivery Date]],_xlfn.XLOOKUP(HH$1,$BH$2:$BR$2,$BH172:$BR172,0),0)</f>
        <v>0</v>
      </c>
      <c r="HI172" s="26">
        <f>IF(HI$2=InputTable[[#This Row],[Delivery Date]],_xlfn.XLOOKUP(HI$1,$BH$2:$BR$2,$BH172:$BR172,0),0)</f>
        <v>0</v>
      </c>
      <c r="HJ172" s="26">
        <f>IF(HJ$2=InputTable[[#This Row],[Delivery Date]],_xlfn.XLOOKUP(HJ$1,$BH$2:$BR$2,$BH172:$BR172,0),0)</f>
        <v>0</v>
      </c>
      <c r="HK172" s="26">
        <f>IF(HK$2=InputTable[[#This Row],[Delivery Date]],_xlfn.XLOOKUP(HK$1,$BH$2:$BR$2,$BH172:$BR172,0),0)</f>
        <v>0</v>
      </c>
      <c r="HL172" s="26">
        <f>IF(HL$2=InputTable[[#This Row],[Delivery Date]],_xlfn.XLOOKUP(HL$1,$BH$2:$BR$2,$BH172:$BR172,0),0)</f>
        <v>0</v>
      </c>
      <c r="HM172" s="26">
        <f>IF(HM$2=InputTable[[#This Row],[Delivery Date]],_xlfn.XLOOKUP(HM$1,$BH$2:$BR$2,$BH172:$BR172,0),0)</f>
        <v>0</v>
      </c>
      <c r="HN172" s="26">
        <f>IF(HN$2=InputTable[[#This Row],[Delivery Date]],_xlfn.XLOOKUP(HN$1,$BH$2:$BR$2,$BH172:$BR172,0),0)</f>
        <v>0</v>
      </c>
      <c r="HP172" s="26" t="e">
        <f>IF(HP$2=InputTable[[#This Row],[Delivery Date]],_xlfn.XLOOKUP(HP$1,$BH$2:$BR$2,$BH172:$BR172,0),0)</f>
        <v>#REF!</v>
      </c>
      <c r="HQ172" s="26">
        <f>IF(HQ$2=InputTable[[#This Row],[Delivery Date]],_xlfn.XLOOKUP(HQ$1,$BH$2:$BR$2,$BH172:$BR172,0),0)</f>
        <v>0</v>
      </c>
      <c r="HR172" s="26">
        <f>IF(HR$2=InputTable[[#This Row],[Delivery Date]],_xlfn.XLOOKUP(HR$1,$BH$2:$BR$2,$BH172:$BR172,0),0)</f>
        <v>0</v>
      </c>
      <c r="HS172" s="26">
        <f>IF(HS$2=InputTable[[#This Row],[Delivery Date]],_xlfn.XLOOKUP(HS$1,$BH$2:$BR$2,$BH172:$BR172,0),0)</f>
        <v>0</v>
      </c>
      <c r="HT172" s="26">
        <f>IF(HT$2=InputTable[[#This Row],[Delivery Date]],_xlfn.XLOOKUP(HT$1,$BH$2:$BR$2,$BH172:$BR172,0),0)</f>
        <v>0</v>
      </c>
      <c r="HU172" s="26">
        <f>IF(HU$2=InputTable[[#This Row],[Delivery Date]],_xlfn.XLOOKUP(HU$1,$BH$2:$BR$2,$BH172:$BR172,0),0)</f>
        <v>0</v>
      </c>
      <c r="HV172" s="26">
        <f>IF(HV$2=InputTable[[#This Row],[Delivery Date]],_xlfn.XLOOKUP(HV$1,$BH$2:$BR$2,$BH172:$BR172,0),0)</f>
        <v>0</v>
      </c>
      <c r="HW172" s="26">
        <f>IF(HW$2=InputTable[[#This Row],[Delivery Date]],_xlfn.XLOOKUP(HW$1,$BH$2:$BR$2,$BH172:$BR172,0),0)</f>
        <v>0</v>
      </c>
      <c r="HX172" s="26">
        <f>IF(HX$2=InputTable[[#This Row],[Delivery Date]],_xlfn.XLOOKUP(HX$1,$BH$2:$BR$2,$BH172:$BR172,0),0)</f>
        <v>0</v>
      </c>
      <c r="HZ172" s="26" t="e">
        <f>IF(HZ$2=InputTable[[#This Row],[Delivery Date]],_xlfn.XLOOKUP(HZ$1,$BH$2:$BR$2,$BH172:$BR172,0),0)</f>
        <v>#REF!</v>
      </c>
      <c r="IA172" s="26">
        <f>IF(IA$2=InputTable[[#This Row],[Delivery Date]],_xlfn.XLOOKUP(IA$1,$BH$2:$BR$2,$BH172:$BR172,0),0)</f>
        <v>0</v>
      </c>
      <c r="IB172" s="26">
        <f>IF(IB$2=InputTable[[#This Row],[Delivery Date]],_xlfn.XLOOKUP(IB$1,$BH$2:$BR$2,$BH172:$BR172,0),0)</f>
        <v>0</v>
      </c>
      <c r="IC172" s="26">
        <f>IF(IC$2=InputTable[[#This Row],[Delivery Date]],_xlfn.XLOOKUP(IC$1,$BH$2:$BR$2,$BH172:$BR172,0),0)</f>
        <v>0</v>
      </c>
      <c r="ID172" s="26">
        <f>IF(ID$2=InputTable[[#This Row],[Delivery Date]],_xlfn.XLOOKUP(ID$1,$BH$2:$BR$2,$BH172:$BR172,0),0)</f>
        <v>0</v>
      </c>
      <c r="IE172" s="26">
        <f>IF(IE$2=InputTable[[#This Row],[Delivery Date]],_xlfn.XLOOKUP(IE$1,$BH$2:$BR$2,$BH172:$BR172,0),0)</f>
        <v>0</v>
      </c>
      <c r="IF172" s="26">
        <f>IF(IF$2=InputTable[[#This Row],[Delivery Date]],_xlfn.XLOOKUP(IF$1,$BH$2:$BR$2,$BH172:$BR172,0),0)</f>
        <v>0</v>
      </c>
      <c r="IG172" s="26">
        <f>IF(IG$2=InputTable[[#This Row],[Delivery Date]],_xlfn.XLOOKUP(IG$1,$BH$2:$BR$2,$BH172:$BR172,0),0)</f>
        <v>0</v>
      </c>
      <c r="IH172" s="26">
        <f>IF(IH$2=InputTable[[#This Row],[Delivery Date]],_xlfn.XLOOKUP(IH$1,$BH$2:$BR$2,$BH172:$BR172,0),0)</f>
        <v>0</v>
      </c>
      <c r="IJ172" s="26" t="e">
        <f>IF(IJ$2=InputTable[[#This Row],[Delivery Date]],_xlfn.XLOOKUP(IJ$1,$BH$2:$BR$2,$BH172:$BR172,0),0)</f>
        <v>#REF!</v>
      </c>
      <c r="IK172" s="26">
        <f>IF(IK$2=InputTable[[#This Row],[Delivery Date]],_xlfn.XLOOKUP(IK$1,$BH$2:$BR$2,$BH172:$BR172,0),0)</f>
        <v>0</v>
      </c>
      <c r="IL172" s="26">
        <f>IF(IL$2=InputTable[[#This Row],[Delivery Date]],_xlfn.XLOOKUP(IL$1,$BH$2:$BR$2,$BH172:$BR172,0),0)</f>
        <v>0</v>
      </c>
      <c r="IM172" s="26">
        <f>IF(IM$2=InputTable[[#This Row],[Delivery Date]],_xlfn.XLOOKUP(IM$1,$BH$2:$BR$2,$BH172:$BR172,0),0)</f>
        <v>0</v>
      </c>
      <c r="IN172" s="26">
        <f>IF(IN$2=InputTable[[#This Row],[Delivery Date]],_xlfn.XLOOKUP(IN$1,$BH$2:$BR$2,$BH172:$BR172,0),0)</f>
        <v>0</v>
      </c>
      <c r="IO172" s="26">
        <f>IF(IO$2=InputTable[[#This Row],[Delivery Date]],_xlfn.XLOOKUP(IO$1,$BH$2:$BR$2,$BH172:$BR172,0),0)</f>
        <v>0</v>
      </c>
      <c r="IP172" s="26">
        <f>IF(IP$2=InputTable[[#This Row],[Delivery Date]],_xlfn.XLOOKUP(IP$1,$BH$2:$BR$2,$BH172:$BR172,0),0)</f>
        <v>0</v>
      </c>
      <c r="IQ172" s="26">
        <f>IF(IQ$2=InputTable[[#This Row],[Delivery Date]],_xlfn.XLOOKUP(IQ$1,$BH$2:$BR$2,$BH172:$BR172,0),0)</f>
        <v>0</v>
      </c>
      <c r="IR172" s="26">
        <f>IF(IR$2=InputTable[[#This Row],[Delivery Date]],_xlfn.XLOOKUP(IR$1,$BH$2:$BR$2,$BH172:$BR172,0),0)</f>
        <v>0</v>
      </c>
      <c r="IT172" s="26" t="e">
        <f>IF(IT$2=InputTable[[#This Row],[Delivery Date]],_xlfn.XLOOKUP(IT$1,$BH$2:$BR$2,$BH172:$BR172,0),0)</f>
        <v>#REF!</v>
      </c>
      <c r="IU172" s="26">
        <f>IF(IU$2=InputTable[[#This Row],[Delivery Date]],_xlfn.XLOOKUP(IU$1,$BH$2:$BR$2,$BH172:$BR172,0),0)</f>
        <v>0</v>
      </c>
      <c r="IV172" s="26">
        <f>IF(IV$2=InputTable[[#This Row],[Delivery Date]],_xlfn.XLOOKUP(IV$1,$BH$2:$BR$2,$BH172:$BR172,0),0)</f>
        <v>0</v>
      </c>
      <c r="IW172" s="26">
        <f>IF(IW$2=InputTable[[#This Row],[Delivery Date]],_xlfn.XLOOKUP(IW$1,$BH$2:$BR$2,$BH172:$BR172,0),0)</f>
        <v>0</v>
      </c>
      <c r="IX172" s="26">
        <f>IF(IX$2=InputTable[[#This Row],[Delivery Date]],_xlfn.XLOOKUP(IX$1,$BH$2:$BR$2,$BH172:$BR172,0),0)</f>
        <v>0</v>
      </c>
      <c r="IY172" s="26">
        <f>IF(IY$2=InputTable[[#This Row],[Delivery Date]],_xlfn.XLOOKUP(IY$1,$BH$2:$BR$2,$BH172:$BR172,0),0)</f>
        <v>0</v>
      </c>
      <c r="IZ172" s="26">
        <f>IF(IZ$2=InputTable[[#This Row],[Delivery Date]],_xlfn.XLOOKUP(IZ$1,$BH$2:$BR$2,$BH172:$BR172,0),0)</f>
        <v>0</v>
      </c>
      <c r="JA172" s="26">
        <f>IF(JA$2=InputTable[[#This Row],[Delivery Date]],_xlfn.XLOOKUP(JA$1,$BH$2:$BR$2,$BH172:$BR172,0),0)</f>
        <v>0</v>
      </c>
      <c r="JB172" s="26">
        <f>IF(JB$2=InputTable[[#This Row],[Delivery Date]],_xlfn.XLOOKUP(JB$1,$BH$2:$BR$2,$BH172:$BR172,0),0)</f>
        <v>0</v>
      </c>
      <c r="JD172" s="26" t="e">
        <f>IF(JD$2=InputTable[[#This Row],[Delivery Date]],_xlfn.XLOOKUP(JD$1,$BH$2:$BR$2,$BH172:$BR172,0),0)</f>
        <v>#REF!</v>
      </c>
      <c r="JE172" s="26">
        <f>IF(JE$2=InputTable[[#This Row],[Delivery Date]],_xlfn.XLOOKUP(JE$1,$BH$2:$BR$2,$BH172:$BR172,0),0)</f>
        <v>0</v>
      </c>
      <c r="JF172" s="26">
        <f>IF(JF$2=InputTable[[#This Row],[Delivery Date]],_xlfn.XLOOKUP(JF$1,$BH$2:$BR$2,$BH172:$BR172,0),0)</f>
        <v>0</v>
      </c>
      <c r="JG172" s="26">
        <f>IF(JG$2=InputTable[[#This Row],[Delivery Date]],_xlfn.XLOOKUP(JG$1,$BH$2:$BR$2,$BH172:$BR172,0),0)</f>
        <v>0</v>
      </c>
      <c r="JH172" s="26">
        <f>IF(JH$2=InputTable[[#This Row],[Delivery Date]],_xlfn.XLOOKUP(JH$1,$BH$2:$BR$2,$BH172:$BR172,0),0)</f>
        <v>0</v>
      </c>
      <c r="JI172" s="26">
        <f>IF(JI$2=InputTable[[#This Row],[Delivery Date]],_xlfn.XLOOKUP(JI$1,$BH$2:$BR$2,$BH172:$BR172,0),0)</f>
        <v>0</v>
      </c>
      <c r="JJ172" s="26">
        <f>IF(JJ$2=InputTable[[#This Row],[Delivery Date]],_xlfn.XLOOKUP(JJ$1,$BH$2:$BR$2,$BH172:$BR172,0),0)</f>
        <v>0</v>
      </c>
      <c r="JK172" s="26">
        <f>IF(JK$2=InputTable[[#This Row],[Delivery Date]],_xlfn.XLOOKUP(JK$1,$BH$2:$BR$2,$BH172:$BR172,0),0)</f>
        <v>0</v>
      </c>
      <c r="JL172" s="26">
        <f>IF(JL$2=InputTable[[#This Row],[Delivery Date]],_xlfn.XLOOKUP(JL$1,$BH$2:$BR$2,$BH172:$BR172,0),0)</f>
        <v>0</v>
      </c>
      <c r="JN172" s="26" t="e">
        <f>IF(JN$2=InputTable[[#This Row],[Delivery Date]],_xlfn.XLOOKUP(JN$1,$BH$2:$BR$2,$BH172:$BR172,0),0)</f>
        <v>#REF!</v>
      </c>
      <c r="JO172" s="26">
        <f>IF(JO$2=InputTable[[#This Row],[Delivery Date]],_xlfn.XLOOKUP(JO$1,$BH$2:$BR$2,$BH172:$BR172,0),0)</f>
        <v>0</v>
      </c>
      <c r="JP172" s="26">
        <f>IF(JP$2=InputTable[[#This Row],[Delivery Date]],_xlfn.XLOOKUP(JP$1,$BH$2:$BR$2,$BH172:$BR172,0),0)</f>
        <v>0</v>
      </c>
      <c r="JQ172" s="26">
        <f>IF(JQ$2=InputTable[[#This Row],[Delivery Date]],_xlfn.XLOOKUP(JQ$1,$BH$2:$BR$2,$BH172:$BR172,0),0)</f>
        <v>0</v>
      </c>
      <c r="JR172" s="26">
        <f>IF(JR$2=InputTable[[#This Row],[Delivery Date]],_xlfn.XLOOKUP(JR$1,$BH$2:$BR$2,$BH172:$BR172,0),0)</f>
        <v>0</v>
      </c>
      <c r="JS172" s="26">
        <f>IF(JS$2=InputTable[[#This Row],[Delivery Date]],_xlfn.XLOOKUP(JS$1,$BH$2:$BR$2,$BH172:$BR172,0),0)</f>
        <v>0</v>
      </c>
      <c r="JT172" s="26">
        <f>IF(JT$2=InputTable[[#This Row],[Delivery Date]],_xlfn.XLOOKUP(JT$1,$BH$2:$BR$2,$BH172:$BR172,0),0)</f>
        <v>0</v>
      </c>
      <c r="JU172" s="26">
        <f>IF(JU$2=InputTable[[#This Row],[Delivery Date]],_xlfn.XLOOKUP(JU$1,$BH$2:$BR$2,$BH172:$BR172,0),0)</f>
        <v>0</v>
      </c>
      <c r="JV172" s="26">
        <f>IF(JV$2=InputTable[[#This Row],[Delivery Date]],_xlfn.XLOOKUP(JV$1,$BH$2:$BR$2,$BH172:$BR172,0),0)</f>
        <v>0</v>
      </c>
      <c r="JX172" s="26" t="e">
        <f>IF(JX$2=InputTable[[#This Row],[Delivery Date]],_xlfn.XLOOKUP(JX$1,$BH$2:$BR$2,$BH172:$BR172,0),0)</f>
        <v>#REF!</v>
      </c>
      <c r="JY172" s="26">
        <f>IF(JY$2=InputTable[[#This Row],[Delivery Date]],_xlfn.XLOOKUP(JY$1,$BH$2:$BR$2,$BH172:$BR172,0),0)</f>
        <v>0</v>
      </c>
      <c r="JZ172" s="26">
        <f>IF(JZ$2=InputTable[[#This Row],[Delivery Date]],_xlfn.XLOOKUP(JZ$1,$BH$2:$BR$2,$BH172:$BR172,0),0)</f>
        <v>0</v>
      </c>
      <c r="KA172" s="26">
        <f>IF(KA$2=InputTable[[#This Row],[Delivery Date]],_xlfn.XLOOKUP(KA$1,$BH$2:$BR$2,$BH172:$BR172,0),0)</f>
        <v>0</v>
      </c>
      <c r="KB172" s="26">
        <f>IF(KB$2=InputTable[[#This Row],[Delivery Date]],_xlfn.XLOOKUP(KB$1,$BH$2:$BR$2,$BH172:$BR172,0),0)</f>
        <v>0</v>
      </c>
      <c r="KC172" s="26">
        <f>IF(KC$2=InputTable[[#This Row],[Delivery Date]],_xlfn.XLOOKUP(KC$1,$BH$2:$BR$2,$BH172:$BR172,0),0)</f>
        <v>0</v>
      </c>
      <c r="KD172" s="26">
        <f>IF(KD$2=InputTable[[#This Row],[Delivery Date]],_xlfn.XLOOKUP(KD$1,$BH$2:$BR$2,$BH172:$BR172,0),0)</f>
        <v>0</v>
      </c>
      <c r="KE172" s="26">
        <f>IF(KE$2=InputTable[[#This Row],[Delivery Date]],_xlfn.XLOOKUP(KE$1,$BH$2:$BR$2,$BH172:$BR172,0),0)</f>
        <v>0</v>
      </c>
      <c r="KF172" s="26">
        <f>IF(KF$2=InputTable[[#This Row],[Delivery Date]],_xlfn.XLOOKUP(KF$1,$BH$2:$BR$2,$BH172:$BR172,0),0)</f>
        <v>0</v>
      </c>
    </row>
    <row r="173" spans="1:292" ht="34.799999999999997" x14ac:dyDescent="0.25">
      <c r="A173" s="141"/>
      <c r="B173" s="119"/>
      <c r="C173" s="92"/>
      <c r="D173" s="92"/>
      <c r="E173" s="103"/>
      <c r="F173" s="104"/>
      <c r="G173" s="104"/>
      <c r="H173" s="104"/>
      <c r="I173" s="104"/>
      <c r="J173" s="105"/>
      <c r="K173" s="95" t="e">
        <f>VLOOKUP((InputTable[[#This Row],[Starting Date]]&amp; " - " &amp;InputTable[[#This Row],[Delivery Date]]),'System List'!$F$40:$H$83,2,FALSE)</f>
        <v>#N/A</v>
      </c>
      <c r="L173" s="95" t="e">
        <f>VLOOKUP(InputTable[[#This Row],[Duration]],Duration,2,FALSE)</f>
        <v>#N/A</v>
      </c>
      <c r="M173" s="105"/>
      <c r="N173" s="104"/>
      <c r="O173" s="104"/>
      <c r="P173" s="104"/>
      <c r="Q173" s="104"/>
      <c r="R173" s="104"/>
      <c r="S173" s="92"/>
      <c r="T173" s="95"/>
      <c r="U173" s="138"/>
      <c r="V173" s="104"/>
      <c r="W173" s="104"/>
      <c r="X173" s="104"/>
      <c r="Y173" s="104"/>
      <c r="Z173" s="104"/>
      <c r="AA173" s="104"/>
      <c r="AB173" s="104"/>
      <c r="AC173" s="104"/>
      <c r="AD173" s="92">
        <f>COUNTA(InputTable[[#This Row],[CORPHRFIN]:[SALES]])</f>
        <v>0</v>
      </c>
      <c r="AE173" s="88" cm="1">
        <f t="array" ref="AE173">SUM(
_xlfn.XLOOKUP(InputTable[[#This Row],[CORPHRFIN]:[SALES]],'System List'!$F$4:$F$7,'System List'!$H$4:$H$7,0))</f>
        <v>0</v>
      </c>
      <c r="AF173" s="140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88" cm="1">
        <f t="array" ref="AR173">SUM(
_xlfn.XLOOKUP(InputTable[[#This Row],[Impact on - CIAL]:[Impact on - STRAT]],'System List'!$F$4:$F$7,'System List'!$H$4:$H$7,0))</f>
        <v>0</v>
      </c>
      <c r="AS173" s="88" t="e">
        <f>VLOOKUP(InputTable[[#This Row],[Duration]],Duration,2,FALSE)+InputTable[[#This Row],[Resource Score]]</f>
        <v>#N/A</v>
      </c>
      <c r="AT17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3" s="24" t="e">
        <f>InputTable[[#This Row],[Value Score]]/InputTable[[#This Row],[EFFORT SCORE]]*100</f>
        <v>#N/A</v>
      </c>
      <c r="AV173" s="25" t="s">
        <v>464</v>
      </c>
      <c r="AW173" s="25"/>
      <c r="AX173" s="208"/>
      <c r="AY173" s="25"/>
      <c r="AZ173" s="189">
        <v>0</v>
      </c>
      <c r="BA173" s="189">
        <v>0</v>
      </c>
      <c r="BB173" s="189"/>
      <c r="BC173" s="189"/>
      <c r="BD173" s="188"/>
      <c r="BE173" s="188"/>
      <c r="BF173" s="70"/>
      <c r="BH173" s="2">
        <f>IFERROR(VLOOKUP(InputTable[[#This Row],[Impact on - CIAL]],'System List'!$F$4:$H$7,3,FALSE),0)</f>
        <v>0</v>
      </c>
      <c r="BI173" s="2">
        <f>IFERROR(VLOOKUP(InputTable[[#This Row],[Impact on - COM]],'System List'!$F$4:$H$7,3,FALSE),0)</f>
        <v>0</v>
      </c>
      <c r="BJ173" s="2">
        <f>IFERROR(VLOOKUP(InputTable[[#This Row],[Impact on - FIN]],'System List'!$F$4:$H$7,3,FALSE),0)</f>
        <v>0</v>
      </c>
      <c r="BK173" s="2">
        <f>IFERROR(VLOOKUP(InputTable[[#This Row],[Impact on - GEN SEC]],'System List'!$F$4:$H$7,3,FALSE),0)</f>
        <v>0</v>
      </c>
      <c r="BL173" s="2">
        <f>IFERROR(VLOOKUP(InputTable[[#This Row],[Impact on - HR]],'System List'!$F$4:$H$7,3,FALSE),0)</f>
        <v>0</v>
      </c>
      <c r="BM173" s="2">
        <f>IFERROR(VLOOKUP(InputTable[[#This Row],[Impact on - IS]],'System List'!$F$4:$H$7,3,FALSE),0)</f>
        <v>0</v>
      </c>
      <c r="BN173" s="2">
        <f>IFERROR(VLOOKUP(InputTable[[#This Row],[Impact on - OPS]],'System List'!$F$4:$H$7,3,FALSE),0)</f>
        <v>0</v>
      </c>
      <c r="BO173" s="2">
        <f>IFERROR(VLOOKUP(InputTable[[#This Row],[Impact on - ROLL STOCK]],'System List'!$F$4:$H$7,3,FALSE),0)</f>
        <v>0</v>
      </c>
      <c r="BP173" s="2">
        <f>IFERROR(VLOOKUP(InputTable[[#This Row],[Impact on - SAFETY]],'System List'!$F$4:$H$7,3,FALSE),0)</f>
        <v>0</v>
      </c>
      <c r="BQ173" s="2">
        <f>IFERROR(VLOOKUP(InputTable[[#This Row],[Impact on - STATION]],'System List'!$F$4:$H$7,3,FALSE),0)</f>
        <v>0</v>
      </c>
      <c r="BR173" s="2">
        <f>IFERROR(VLOOKUP(InputTable[[#This Row],[Impact on - STRAT]],'System List'!$F$4:$H$7,3,FALSE),0)</f>
        <v>0</v>
      </c>
      <c r="BT173" s="2">
        <f>IFERROR(VLOOKUP(InputTable[[#This Row],[CORPHRFIN]],'System List'!$F$4:$H$7,3,FALSE),0)</f>
        <v>0</v>
      </c>
      <c r="BU173" s="2">
        <f>IFERROR(VLOOKUP(InputTable[[#This Row],[CUST]],'System List'!$F$4:$H$7,3,FALSE),0)</f>
        <v>0</v>
      </c>
      <c r="BV173" s="2">
        <f>IFERROR(VLOOKUP(InputTable[[#This Row],[CYBER]],'System List'!$F$4:$H$7,3,FALSE),0)</f>
        <v>0</v>
      </c>
      <c r="BW173" s="2">
        <f>IFERROR(VLOOKUP(InputTable[[#This Row],[DATA]],'System List'!$F$4:$H$7,3,FALSE),0)</f>
        <v>0</v>
      </c>
      <c r="BX173" s="2">
        <f>IFERROR(VLOOKUP(InputTable[[#This Row],[INFRA]],'System List'!$F$4:$H$7,3,FALSE),0)</f>
        <v>0</v>
      </c>
      <c r="BY173" s="2">
        <f>IFERROR(VLOOKUP(InputTable[[#This Row],[OPERATIONS]],'System List'!$F$4:$H$7,3,FALSE),0)</f>
        <v>0</v>
      </c>
      <c r="BZ173" s="2">
        <f>IFERROR(VLOOKUP(InputTable[[#This Row],[PMO]],'System List'!$F$4:$H$7,3,FALSE),0)</f>
        <v>0</v>
      </c>
      <c r="CA173" s="2">
        <f>IFERROR(VLOOKUP(InputTable[[#This Row],[SALES]],'System List'!$F$4:$H$7,3,FALSE),0)</f>
        <v>0</v>
      </c>
      <c r="CC173" s="2" cm="1">
        <f t="array" ref="CC17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3" s="2" cm="1">
        <f t="array" ref="CD17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3" s="2" cm="1">
        <f t="array" ref="CE17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3" s="2" cm="1">
        <f t="array" ref="CF17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3" s="2" cm="1">
        <f t="array" ref="CG17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3" s="2" cm="1">
        <f t="array" ref="CH17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3" s="2" cm="1">
        <f t="array" ref="CI17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3" s="2" cm="1">
        <f t="array" ref="CJ17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3" s="2" cm="1">
        <f t="array" ref="CK17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3" s="26">
        <f t="shared" si="451"/>
        <v>0</v>
      </c>
      <c r="CY173" s="26">
        <f t="shared" si="452"/>
        <v>0</v>
      </c>
      <c r="CZ173" s="26">
        <f t="shared" si="453"/>
        <v>0</v>
      </c>
      <c r="DA173" s="26">
        <f t="shared" si="454"/>
        <v>0</v>
      </c>
      <c r="DB173" s="26">
        <f t="shared" si="455"/>
        <v>0</v>
      </c>
      <c r="DC173" s="26">
        <f t="shared" si="456"/>
        <v>0</v>
      </c>
      <c r="DD173" s="26">
        <f t="shared" si="457"/>
        <v>0</v>
      </c>
      <c r="DE173" s="26">
        <f t="shared" si="458"/>
        <v>0</v>
      </c>
      <c r="DF173" s="26">
        <f t="shared" si="459"/>
        <v>0</v>
      </c>
      <c r="DH173" s="26">
        <f t="shared" si="460"/>
        <v>0</v>
      </c>
      <c r="DI173" s="26">
        <f t="shared" si="461"/>
        <v>0</v>
      </c>
      <c r="DJ173" s="26">
        <f t="shared" si="462"/>
        <v>0</v>
      </c>
      <c r="DK173" s="26">
        <f t="shared" si="463"/>
        <v>0</v>
      </c>
      <c r="DL173" s="26">
        <f t="shared" si="464"/>
        <v>0</v>
      </c>
      <c r="DM173" s="26">
        <f t="shared" si="465"/>
        <v>0</v>
      </c>
      <c r="DN173" s="26">
        <f t="shared" si="466"/>
        <v>0</v>
      </c>
      <c r="DO173" s="26">
        <f t="shared" si="467"/>
        <v>0</v>
      </c>
      <c r="DP173" s="26">
        <f t="shared" si="468"/>
        <v>0</v>
      </c>
      <c r="DR173" s="26">
        <f t="shared" si="469"/>
        <v>0</v>
      </c>
      <c r="DS173" s="26">
        <f t="shared" si="470"/>
        <v>0</v>
      </c>
      <c r="DT173" s="26">
        <f t="shared" si="471"/>
        <v>0</v>
      </c>
      <c r="DU173" s="26">
        <f t="shared" si="472"/>
        <v>0</v>
      </c>
      <c r="DV173" s="26">
        <f t="shared" si="473"/>
        <v>0</v>
      </c>
      <c r="DW173" s="26">
        <f t="shared" si="474"/>
        <v>0</v>
      </c>
      <c r="DX173" s="26">
        <f t="shared" si="475"/>
        <v>0</v>
      </c>
      <c r="DY173" s="26">
        <f t="shared" si="476"/>
        <v>0</v>
      </c>
      <c r="DZ173" s="26">
        <f t="shared" si="477"/>
        <v>0</v>
      </c>
      <c r="EB173" s="26">
        <f t="shared" si="478"/>
        <v>0</v>
      </c>
      <c r="EC173" s="26">
        <f t="shared" si="479"/>
        <v>0</v>
      </c>
      <c r="ED173" s="26">
        <f t="shared" si="480"/>
        <v>0</v>
      </c>
      <c r="EE173" s="26">
        <f t="shared" si="481"/>
        <v>0</v>
      </c>
      <c r="EF173" s="26">
        <f t="shared" si="482"/>
        <v>0</v>
      </c>
      <c r="EG173" s="26">
        <f t="shared" si="483"/>
        <v>0</v>
      </c>
      <c r="EH173" s="26">
        <f t="shared" si="484"/>
        <v>0</v>
      </c>
      <c r="EI173" s="26">
        <f t="shared" si="485"/>
        <v>0</v>
      </c>
      <c r="EJ173" s="26">
        <f t="shared" si="486"/>
        <v>0</v>
      </c>
      <c r="EL173" s="26">
        <f t="shared" si="487"/>
        <v>0</v>
      </c>
      <c r="EM173" s="26">
        <f t="shared" si="488"/>
        <v>0</v>
      </c>
      <c r="EN173" s="26">
        <f t="shared" si="489"/>
        <v>0</v>
      </c>
      <c r="EO173" s="26">
        <f t="shared" si="490"/>
        <v>0</v>
      </c>
      <c r="EP173" s="26">
        <f t="shared" si="491"/>
        <v>0</v>
      </c>
      <c r="EQ173" s="26">
        <f t="shared" si="492"/>
        <v>0</v>
      </c>
      <c r="ER173" s="26">
        <f t="shared" si="493"/>
        <v>0</v>
      </c>
      <c r="ES173" s="26">
        <f t="shared" si="494"/>
        <v>0</v>
      </c>
      <c r="ET173" s="26">
        <f t="shared" si="495"/>
        <v>0</v>
      </c>
      <c r="EV173" s="26">
        <f t="shared" si="496"/>
        <v>0</v>
      </c>
      <c r="EW173" s="26">
        <f t="shared" si="497"/>
        <v>0</v>
      </c>
      <c r="EX173" s="26">
        <f t="shared" si="498"/>
        <v>0</v>
      </c>
      <c r="EY173" s="26">
        <f t="shared" si="499"/>
        <v>0</v>
      </c>
      <c r="EZ173" s="26">
        <f t="shared" si="500"/>
        <v>0</v>
      </c>
      <c r="FA173" s="26">
        <f t="shared" si="501"/>
        <v>0</v>
      </c>
      <c r="FB173" s="26">
        <f t="shared" si="502"/>
        <v>0</v>
      </c>
      <c r="FC173" s="26">
        <f t="shared" si="503"/>
        <v>0</v>
      </c>
      <c r="FD173" s="26">
        <f t="shared" si="504"/>
        <v>0</v>
      </c>
      <c r="FF173" s="26">
        <f t="shared" si="505"/>
        <v>0</v>
      </c>
      <c r="FG173" s="26">
        <f t="shared" si="506"/>
        <v>0</v>
      </c>
      <c r="FH173" s="26">
        <f t="shared" si="507"/>
        <v>0</v>
      </c>
      <c r="FI173" s="26">
        <f t="shared" si="508"/>
        <v>0</v>
      </c>
      <c r="FJ173" s="26">
        <f t="shared" si="509"/>
        <v>0</v>
      </c>
      <c r="FK173" s="26">
        <f t="shared" si="510"/>
        <v>0</v>
      </c>
      <c r="FL173" s="26">
        <f t="shared" si="511"/>
        <v>0</v>
      </c>
      <c r="FM173" s="26">
        <f t="shared" si="512"/>
        <v>0</v>
      </c>
      <c r="FN173" s="26">
        <f t="shared" si="513"/>
        <v>0</v>
      </c>
      <c r="FP173" s="26" t="e">
        <f t="shared" si="514"/>
        <v>#REF!</v>
      </c>
      <c r="FQ173" s="26" t="e">
        <f t="shared" si="515"/>
        <v>#REF!</v>
      </c>
      <c r="FR173" s="26" t="e">
        <f t="shared" si="516"/>
        <v>#REF!</v>
      </c>
      <c r="FS173" s="26" t="e">
        <f t="shared" si="517"/>
        <v>#REF!</v>
      </c>
      <c r="FT173" s="26" t="e">
        <f t="shared" si="518"/>
        <v>#REF!</v>
      </c>
      <c r="FU173" s="26" t="e">
        <f t="shared" si="519"/>
        <v>#REF!</v>
      </c>
      <c r="FV173" s="26" t="e">
        <f t="shared" si="520"/>
        <v>#REF!</v>
      </c>
      <c r="FW173" s="26" t="e">
        <f t="shared" si="521"/>
        <v>#REF!</v>
      </c>
      <c r="FX173" s="26" t="e">
        <f t="shared" si="522"/>
        <v>#REF!</v>
      </c>
      <c r="GB173" s="26" t="e">
        <f>IF(GB$2=InputTable[[#This Row],[Delivery Date]],_xlfn.XLOOKUP(GB$1,$BH$2:$BR$2,$BH173:$BR173,0),0)</f>
        <v>#REF!</v>
      </c>
      <c r="GC173" s="26">
        <f>IF(GC$2=InputTable[[#This Row],[Delivery Date]],_xlfn.XLOOKUP(GC$1,$BH$2:$BR$2,$BH173:$BR173,0),0)</f>
        <v>0</v>
      </c>
      <c r="GD173" s="26">
        <f>IF(GD$2=InputTable[[#This Row],[Delivery Date]],_xlfn.XLOOKUP(GD$1,$BH$2:$BR$2,$BH173:$BR173,0),0)</f>
        <v>0</v>
      </c>
      <c r="GE173" s="26">
        <f>IF(GE$2=InputTable[[#This Row],[Delivery Date]],_xlfn.XLOOKUP(GE$1,$BH$2:$BR$2,$BH173:$BR173,0),0)</f>
        <v>0</v>
      </c>
      <c r="GF173" s="26">
        <f>IF(GF$2=InputTable[[#This Row],[Delivery Date]],_xlfn.XLOOKUP(GF$1,$BH$2:$BR$2,$BH173:$BR173,0),0)</f>
        <v>0</v>
      </c>
      <c r="GG173" s="26">
        <f>IF(GG$2=InputTable[[#This Row],[Delivery Date]],_xlfn.XLOOKUP(GG$1,$BH$2:$BR$2,$BH173:$BR173,0),0)</f>
        <v>0</v>
      </c>
      <c r="GH173" s="26">
        <f>IF(GH$2=InputTable[[#This Row],[Delivery Date]],_xlfn.XLOOKUP(GH$1,$BH$2:$BR$2,$BH173:$BR173,0),0)</f>
        <v>0</v>
      </c>
      <c r="GI173" s="26">
        <f>IF(GI$2=InputTable[[#This Row],[Delivery Date]],_xlfn.XLOOKUP(GI$1,$BH$2:$BR$2,$BH173:$BR173,0),0)</f>
        <v>0</v>
      </c>
      <c r="GJ173" s="26">
        <f>IF(GJ$2=InputTable[[#This Row],[Delivery Date]],_xlfn.XLOOKUP(GJ$1,$BH$2:$BR$2,$BH173:$BR173,0),0)</f>
        <v>0</v>
      </c>
      <c r="GL173" s="26" t="e">
        <f>IF(GL$2=InputTable[[#This Row],[Delivery Date]],_xlfn.XLOOKUP(GL$1,$BH$2:$BR$2,$BH173:$BR173,0),0)</f>
        <v>#REF!</v>
      </c>
      <c r="GM173" s="26">
        <f>IF(GM$2=InputTable[[#This Row],[Delivery Date]],_xlfn.XLOOKUP(GM$1,$BH$2:$BR$2,$BH173:$BR173,0),0)</f>
        <v>0</v>
      </c>
      <c r="GN173" s="26">
        <f>IF(GN$2=InputTable[[#This Row],[Delivery Date]],_xlfn.XLOOKUP(GN$1,$BH$2:$BR$2,$BH173:$BR173,0),0)</f>
        <v>0</v>
      </c>
      <c r="GO173" s="26">
        <f>IF(GO$2=InputTable[[#This Row],[Delivery Date]],_xlfn.XLOOKUP(GO$1,$BH$2:$BR$2,$BH173:$BR173,0),0)</f>
        <v>0</v>
      </c>
      <c r="GP173" s="26">
        <f>IF(GP$2=InputTable[[#This Row],[Delivery Date]],_xlfn.XLOOKUP(GP$1,$BH$2:$BR$2,$BH173:$BR173,0),0)</f>
        <v>0</v>
      </c>
      <c r="GQ173" s="26">
        <f>IF(GQ$2=InputTable[[#This Row],[Delivery Date]],_xlfn.XLOOKUP(GQ$1,$BH$2:$BR$2,$BH173:$BR173,0),0)</f>
        <v>0</v>
      </c>
      <c r="GR173" s="26">
        <f>IF(GR$2=InputTable[[#This Row],[Delivery Date]],_xlfn.XLOOKUP(GR$1,$BH$2:$BR$2,$BH173:$BR173,0),0)</f>
        <v>0</v>
      </c>
      <c r="GS173" s="26">
        <f>IF(GS$2=InputTable[[#This Row],[Delivery Date]],_xlfn.XLOOKUP(GS$1,$BH$2:$BR$2,$BH173:$BR173,0),0)</f>
        <v>0</v>
      </c>
      <c r="GT173" s="26">
        <f>IF(GT$2=InputTable[[#This Row],[Delivery Date]],_xlfn.XLOOKUP(GT$1,$BH$2:$BR$2,$BH173:$BR173,0),0)</f>
        <v>0</v>
      </c>
      <c r="GV173" s="26" t="e">
        <f>IF(GV$2=InputTable[[#This Row],[Delivery Date]],_xlfn.XLOOKUP(GV$1,$BH$2:$BR$2,$BH173:$BR173,0),0)</f>
        <v>#REF!</v>
      </c>
      <c r="GW173" s="26">
        <f>IF(GW$2=InputTable[[#This Row],[Delivery Date]],_xlfn.XLOOKUP(GW$1,$BH$2:$BR$2,$BH173:$BR173,0),0)</f>
        <v>0</v>
      </c>
      <c r="GX173" s="26">
        <f>IF(GX$2=InputTable[[#This Row],[Delivery Date]],_xlfn.XLOOKUP(GX$1,$BH$2:$BR$2,$BH173:$BR173,0),0)</f>
        <v>0</v>
      </c>
      <c r="GY173" s="26">
        <f>IF(GY$2=InputTable[[#This Row],[Delivery Date]],_xlfn.XLOOKUP(GY$1,$BH$2:$BR$2,$BH173:$BR173,0),0)</f>
        <v>0</v>
      </c>
      <c r="GZ173" s="26">
        <f>IF(GZ$2=InputTable[[#This Row],[Delivery Date]],_xlfn.XLOOKUP(GZ$1,$BH$2:$BR$2,$BH173:$BR173,0),0)</f>
        <v>0</v>
      </c>
      <c r="HA173" s="26">
        <f>IF(HA$2=InputTable[[#This Row],[Delivery Date]],_xlfn.XLOOKUP(HA$1,$BH$2:$BR$2,$BH173:$BR173,0),0)</f>
        <v>0</v>
      </c>
      <c r="HB173" s="26">
        <f>IF(HB$2=InputTable[[#This Row],[Delivery Date]],_xlfn.XLOOKUP(HB$1,$BH$2:$BR$2,$BH173:$BR173,0),0)</f>
        <v>0</v>
      </c>
      <c r="HC173" s="26">
        <f>IF(HC$2=InputTable[[#This Row],[Delivery Date]],_xlfn.XLOOKUP(HC$1,$BH$2:$BR$2,$BH173:$BR173,0),0)</f>
        <v>0</v>
      </c>
      <c r="HD173" s="26">
        <f>IF(HD$2=InputTable[[#This Row],[Delivery Date]],_xlfn.XLOOKUP(HD$1,$BH$2:$BR$2,$BH173:$BR173,0),0)</f>
        <v>0</v>
      </c>
      <c r="HF173" s="26" t="e">
        <f>IF(HF$2=InputTable[[#This Row],[Delivery Date]],_xlfn.XLOOKUP(HF$1,$BH$2:$BR$2,$BH173:$BR173,0),0)</f>
        <v>#REF!</v>
      </c>
      <c r="HG173" s="26">
        <f>IF(HG$2=InputTable[[#This Row],[Delivery Date]],_xlfn.XLOOKUP(HG$1,$BH$2:$BR$2,$BH173:$BR173,0),0)</f>
        <v>0</v>
      </c>
      <c r="HH173" s="26">
        <f>IF(HH$2=InputTable[[#This Row],[Delivery Date]],_xlfn.XLOOKUP(HH$1,$BH$2:$BR$2,$BH173:$BR173,0),0)</f>
        <v>0</v>
      </c>
      <c r="HI173" s="26">
        <f>IF(HI$2=InputTable[[#This Row],[Delivery Date]],_xlfn.XLOOKUP(HI$1,$BH$2:$BR$2,$BH173:$BR173,0),0)</f>
        <v>0</v>
      </c>
      <c r="HJ173" s="26">
        <f>IF(HJ$2=InputTable[[#This Row],[Delivery Date]],_xlfn.XLOOKUP(HJ$1,$BH$2:$BR$2,$BH173:$BR173,0),0)</f>
        <v>0</v>
      </c>
      <c r="HK173" s="26">
        <f>IF(HK$2=InputTable[[#This Row],[Delivery Date]],_xlfn.XLOOKUP(HK$1,$BH$2:$BR$2,$BH173:$BR173,0),0)</f>
        <v>0</v>
      </c>
      <c r="HL173" s="26">
        <f>IF(HL$2=InputTable[[#This Row],[Delivery Date]],_xlfn.XLOOKUP(HL$1,$BH$2:$BR$2,$BH173:$BR173,0),0)</f>
        <v>0</v>
      </c>
      <c r="HM173" s="26">
        <f>IF(HM$2=InputTable[[#This Row],[Delivery Date]],_xlfn.XLOOKUP(HM$1,$BH$2:$BR$2,$BH173:$BR173,0),0)</f>
        <v>0</v>
      </c>
      <c r="HN173" s="26">
        <f>IF(HN$2=InputTable[[#This Row],[Delivery Date]],_xlfn.XLOOKUP(HN$1,$BH$2:$BR$2,$BH173:$BR173,0),0)</f>
        <v>0</v>
      </c>
      <c r="HP173" s="26" t="e">
        <f>IF(HP$2=InputTable[[#This Row],[Delivery Date]],_xlfn.XLOOKUP(HP$1,$BH$2:$BR$2,$BH173:$BR173,0),0)</f>
        <v>#REF!</v>
      </c>
      <c r="HQ173" s="26">
        <f>IF(HQ$2=InputTable[[#This Row],[Delivery Date]],_xlfn.XLOOKUP(HQ$1,$BH$2:$BR$2,$BH173:$BR173,0),0)</f>
        <v>0</v>
      </c>
      <c r="HR173" s="26">
        <f>IF(HR$2=InputTable[[#This Row],[Delivery Date]],_xlfn.XLOOKUP(HR$1,$BH$2:$BR$2,$BH173:$BR173,0),0)</f>
        <v>0</v>
      </c>
      <c r="HS173" s="26">
        <f>IF(HS$2=InputTable[[#This Row],[Delivery Date]],_xlfn.XLOOKUP(HS$1,$BH$2:$BR$2,$BH173:$BR173,0),0)</f>
        <v>0</v>
      </c>
      <c r="HT173" s="26">
        <f>IF(HT$2=InputTable[[#This Row],[Delivery Date]],_xlfn.XLOOKUP(HT$1,$BH$2:$BR$2,$BH173:$BR173,0),0)</f>
        <v>0</v>
      </c>
      <c r="HU173" s="26">
        <f>IF(HU$2=InputTable[[#This Row],[Delivery Date]],_xlfn.XLOOKUP(HU$1,$BH$2:$BR$2,$BH173:$BR173,0),0)</f>
        <v>0</v>
      </c>
      <c r="HV173" s="26">
        <f>IF(HV$2=InputTable[[#This Row],[Delivery Date]],_xlfn.XLOOKUP(HV$1,$BH$2:$BR$2,$BH173:$BR173,0),0)</f>
        <v>0</v>
      </c>
      <c r="HW173" s="26">
        <f>IF(HW$2=InputTable[[#This Row],[Delivery Date]],_xlfn.XLOOKUP(HW$1,$BH$2:$BR$2,$BH173:$BR173,0),0)</f>
        <v>0</v>
      </c>
      <c r="HX173" s="26">
        <f>IF(HX$2=InputTable[[#This Row],[Delivery Date]],_xlfn.XLOOKUP(HX$1,$BH$2:$BR$2,$BH173:$BR173,0),0)</f>
        <v>0</v>
      </c>
      <c r="HZ173" s="26" t="e">
        <f>IF(HZ$2=InputTable[[#This Row],[Delivery Date]],_xlfn.XLOOKUP(HZ$1,$BH$2:$BR$2,$BH173:$BR173,0),0)</f>
        <v>#REF!</v>
      </c>
      <c r="IA173" s="26">
        <f>IF(IA$2=InputTable[[#This Row],[Delivery Date]],_xlfn.XLOOKUP(IA$1,$BH$2:$BR$2,$BH173:$BR173,0),0)</f>
        <v>0</v>
      </c>
      <c r="IB173" s="26">
        <f>IF(IB$2=InputTable[[#This Row],[Delivery Date]],_xlfn.XLOOKUP(IB$1,$BH$2:$BR$2,$BH173:$BR173,0),0)</f>
        <v>0</v>
      </c>
      <c r="IC173" s="26">
        <f>IF(IC$2=InputTable[[#This Row],[Delivery Date]],_xlfn.XLOOKUP(IC$1,$BH$2:$BR$2,$BH173:$BR173,0),0)</f>
        <v>0</v>
      </c>
      <c r="ID173" s="26">
        <f>IF(ID$2=InputTable[[#This Row],[Delivery Date]],_xlfn.XLOOKUP(ID$1,$BH$2:$BR$2,$BH173:$BR173,0),0)</f>
        <v>0</v>
      </c>
      <c r="IE173" s="26">
        <f>IF(IE$2=InputTable[[#This Row],[Delivery Date]],_xlfn.XLOOKUP(IE$1,$BH$2:$BR$2,$BH173:$BR173,0),0)</f>
        <v>0</v>
      </c>
      <c r="IF173" s="26">
        <f>IF(IF$2=InputTable[[#This Row],[Delivery Date]],_xlfn.XLOOKUP(IF$1,$BH$2:$BR$2,$BH173:$BR173,0),0)</f>
        <v>0</v>
      </c>
      <c r="IG173" s="26">
        <f>IF(IG$2=InputTable[[#This Row],[Delivery Date]],_xlfn.XLOOKUP(IG$1,$BH$2:$BR$2,$BH173:$BR173,0),0)</f>
        <v>0</v>
      </c>
      <c r="IH173" s="26">
        <f>IF(IH$2=InputTable[[#This Row],[Delivery Date]],_xlfn.XLOOKUP(IH$1,$BH$2:$BR$2,$BH173:$BR173,0),0)</f>
        <v>0</v>
      </c>
      <c r="IJ173" s="26" t="e">
        <f>IF(IJ$2=InputTable[[#This Row],[Delivery Date]],_xlfn.XLOOKUP(IJ$1,$BH$2:$BR$2,$BH173:$BR173,0),0)</f>
        <v>#REF!</v>
      </c>
      <c r="IK173" s="26">
        <f>IF(IK$2=InputTable[[#This Row],[Delivery Date]],_xlfn.XLOOKUP(IK$1,$BH$2:$BR$2,$BH173:$BR173,0),0)</f>
        <v>0</v>
      </c>
      <c r="IL173" s="26">
        <f>IF(IL$2=InputTable[[#This Row],[Delivery Date]],_xlfn.XLOOKUP(IL$1,$BH$2:$BR$2,$BH173:$BR173,0),0)</f>
        <v>0</v>
      </c>
      <c r="IM173" s="26">
        <f>IF(IM$2=InputTable[[#This Row],[Delivery Date]],_xlfn.XLOOKUP(IM$1,$BH$2:$BR$2,$BH173:$BR173,0),0)</f>
        <v>0</v>
      </c>
      <c r="IN173" s="26">
        <f>IF(IN$2=InputTable[[#This Row],[Delivery Date]],_xlfn.XLOOKUP(IN$1,$BH$2:$BR$2,$BH173:$BR173,0),0)</f>
        <v>0</v>
      </c>
      <c r="IO173" s="26">
        <f>IF(IO$2=InputTable[[#This Row],[Delivery Date]],_xlfn.XLOOKUP(IO$1,$BH$2:$BR$2,$BH173:$BR173,0),0)</f>
        <v>0</v>
      </c>
      <c r="IP173" s="26">
        <f>IF(IP$2=InputTable[[#This Row],[Delivery Date]],_xlfn.XLOOKUP(IP$1,$BH$2:$BR$2,$BH173:$BR173,0),0)</f>
        <v>0</v>
      </c>
      <c r="IQ173" s="26">
        <f>IF(IQ$2=InputTable[[#This Row],[Delivery Date]],_xlfn.XLOOKUP(IQ$1,$BH$2:$BR$2,$BH173:$BR173,0),0)</f>
        <v>0</v>
      </c>
      <c r="IR173" s="26">
        <f>IF(IR$2=InputTable[[#This Row],[Delivery Date]],_xlfn.XLOOKUP(IR$1,$BH$2:$BR$2,$BH173:$BR173,0),0)</f>
        <v>0</v>
      </c>
      <c r="IT173" s="26" t="e">
        <f>IF(IT$2=InputTable[[#This Row],[Delivery Date]],_xlfn.XLOOKUP(IT$1,$BH$2:$BR$2,$BH173:$BR173,0),0)</f>
        <v>#REF!</v>
      </c>
      <c r="IU173" s="26">
        <f>IF(IU$2=InputTable[[#This Row],[Delivery Date]],_xlfn.XLOOKUP(IU$1,$BH$2:$BR$2,$BH173:$BR173,0),0)</f>
        <v>0</v>
      </c>
      <c r="IV173" s="26">
        <f>IF(IV$2=InputTable[[#This Row],[Delivery Date]],_xlfn.XLOOKUP(IV$1,$BH$2:$BR$2,$BH173:$BR173,0),0)</f>
        <v>0</v>
      </c>
      <c r="IW173" s="26">
        <f>IF(IW$2=InputTable[[#This Row],[Delivery Date]],_xlfn.XLOOKUP(IW$1,$BH$2:$BR$2,$BH173:$BR173,0),0)</f>
        <v>0</v>
      </c>
      <c r="IX173" s="26">
        <f>IF(IX$2=InputTable[[#This Row],[Delivery Date]],_xlfn.XLOOKUP(IX$1,$BH$2:$BR$2,$BH173:$BR173,0),0)</f>
        <v>0</v>
      </c>
      <c r="IY173" s="26">
        <f>IF(IY$2=InputTable[[#This Row],[Delivery Date]],_xlfn.XLOOKUP(IY$1,$BH$2:$BR$2,$BH173:$BR173,0),0)</f>
        <v>0</v>
      </c>
      <c r="IZ173" s="26">
        <f>IF(IZ$2=InputTable[[#This Row],[Delivery Date]],_xlfn.XLOOKUP(IZ$1,$BH$2:$BR$2,$BH173:$BR173,0),0)</f>
        <v>0</v>
      </c>
      <c r="JA173" s="26">
        <f>IF(JA$2=InputTable[[#This Row],[Delivery Date]],_xlfn.XLOOKUP(JA$1,$BH$2:$BR$2,$BH173:$BR173,0),0)</f>
        <v>0</v>
      </c>
      <c r="JB173" s="26">
        <f>IF(JB$2=InputTable[[#This Row],[Delivery Date]],_xlfn.XLOOKUP(JB$1,$BH$2:$BR$2,$BH173:$BR173,0),0)</f>
        <v>0</v>
      </c>
      <c r="JD173" s="26" t="e">
        <f>IF(JD$2=InputTable[[#This Row],[Delivery Date]],_xlfn.XLOOKUP(JD$1,$BH$2:$BR$2,$BH173:$BR173,0),0)</f>
        <v>#REF!</v>
      </c>
      <c r="JE173" s="26">
        <f>IF(JE$2=InputTable[[#This Row],[Delivery Date]],_xlfn.XLOOKUP(JE$1,$BH$2:$BR$2,$BH173:$BR173,0),0)</f>
        <v>0</v>
      </c>
      <c r="JF173" s="26">
        <f>IF(JF$2=InputTable[[#This Row],[Delivery Date]],_xlfn.XLOOKUP(JF$1,$BH$2:$BR$2,$BH173:$BR173,0),0)</f>
        <v>0</v>
      </c>
      <c r="JG173" s="26">
        <f>IF(JG$2=InputTable[[#This Row],[Delivery Date]],_xlfn.XLOOKUP(JG$1,$BH$2:$BR$2,$BH173:$BR173,0),0)</f>
        <v>0</v>
      </c>
      <c r="JH173" s="26">
        <f>IF(JH$2=InputTable[[#This Row],[Delivery Date]],_xlfn.XLOOKUP(JH$1,$BH$2:$BR$2,$BH173:$BR173,0),0)</f>
        <v>0</v>
      </c>
      <c r="JI173" s="26">
        <f>IF(JI$2=InputTable[[#This Row],[Delivery Date]],_xlfn.XLOOKUP(JI$1,$BH$2:$BR$2,$BH173:$BR173,0),0)</f>
        <v>0</v>
      </c>
      <c r="JJ173" s="26">
        <f>IF(JJ$2=InputTable[[#This Row],[Delivery Date]],_xlfn.XLOOKUP(JJ$1,$BH$2:$BR$2,$BH173:$BR173,0),0)</f>
        <v>0</v>
      </c>
      <c r="JK173" s="26">
        <f>IF(JK$2=InputTable[[#This Row],[Delivery Date]],_xlfn.XLOOKUP(JK$1,$BH$2:$BR$2,$BH173:$BR173,0),0)</f>
        <v>0</v>
      </c>
      <c r="JL173" s="26">
        <f>IF(JL$2=InputTable[[#This Row],[Delivery Date]],_xlfn.XLOOKUP(JL$1,$BH$2:$BR$2,$BH173:$BR173,0),0)</f>
        <v>0</v>
      </c>
      <c r="JN173" s="26" t="e">
        <f>IF(JN$2=InputTable[[#This Row],[Delivery Date]],_xlfn.XLOOKUP(JN$1,$BH$2:$BR$2,$BH173:$BR173,0),0)</f>
        <v>#REF!</v>
      </c>
      <c r="JO173" s="26">
        <f>IF(JO$2=InputTable[[#This Row],[Delivery Date]],_xlfn.XLOOKUP(JO$1,$BH$2:$BR$2,$BH173:$BR173,0),0)</f>
        <v>0</v>
      </c>
      <c r="JP173" s="26">
        <f>IF(JP$2=InputTable[[#This Row],[Delivery Date]],_xlfn.XLOOKUP(JP$1,$BH$2:$BR$2,$BH173:$BR173,0),0)</f>
        <v>0</v>
      </c>
      <c r="JQ173" s="26">
        <f>IF(JQ$2=InputTable[[#This Row],[Delivery Date]],_xlfn.XLOOKUP(JQ$1,$BH$2:$BR$2,$BH173:$BR173,0),0)</f>
        <v>0</v>
      </c>
      <c r="JR173" s="26">
        <f>IF(JR$2=InputTable[[#This Row],[Delivery Date]],_xlfn.XLOOKUP(JR$1,$BH$2:$BR$2,$BH173:$BR173,0),0)</f>
        <v>0</v>
      </c>
      <c r="JS173" s="26">
        <f>IF(JS$2=InputTable[[#This Row],[Delivery Date]],_xlfn.XLOOKUP(JS$1,$BH$2:$BR$2,$BH173:$BR173,0),0)</f>
        <v>0</v>
      </c>
      <c r="JT173" s="26">
        <f>IF(JT$2=InputTable[[#This Row],[Delivery Date]],_xlfn.XLOOKUP(JT$1,$BH$2:$BR$2,$BH173:$BR173,0),0)</f>
        <v>0</v>
      </c>
      <c r="JU173" s="26">
        <f>IF(JU$2=InputTable[[#This Row],[Delivery Date]],_xlfn.XLOOKUP(JU$1,$BH$2:$BR$2,$BH173:$BR173,0),0)</f>
        <v>0</v>
      </c>
      <c r="JV173" s="26">
        <f>IF(JV$2=InputTable[[#This Row],[Delivery Date]],_xlfn.XLOOKUP(JV$1,$BH$2:$BR$2,$BH173:$BR173,0),0)</f>
        <v>0</v>
      </c>
      <c r="JX173" s="26" t="e">
        <f>IF(JX$2=InputTable[[#This Row],[Delivery Date]],_xlfn.XLOOKUP(JX$1,$BH$2:$BR$2,$BH173:$BR173,0),0)</f>
        <v>#REF!</v>
      </c>
      <c r="JY173" s="26">
        <f>IF(JY$2=InputTable[[#This Row],[Delivery Date]],_xlfn.XLOOKUP(JY$1,$BH$2:$BR$2,$BH173:$BR173,0),0)</f>
        <v>0</v>
      </c>
      <c r="JZ173" s="26">
        <f>IF(JZ$2=InputTable[[#This Row],[Delivery Date]],_xlfn.XLOOKUP(JZ$1,$BH$2:$BR$2,$BH173:$BR173,0),0)</f>
        <v>0</v>
      </c>
      <c r="KA173" s="26">
        <f>IF(KA$2=InputTable[[#This Row],[Delivery Date]],_xlfn.XLOOKUP(KA$1,$BH$2:$BR$2,$BH173:$BR173,0),0)</f>
        <v>0</v>
      </c>
      <c r="KB173" s="26">
        <f>IF(KB$2=InputTable[[#This Row],[Delivery Date]],_xlfn.XLOOKUP(KB$1,$BH$2:$BR$2,$BH173:$BR173,0),0)</f>
        <v>0</v>
      </c>
      <c r="KC173" s="26">
        <f>IF(KC$2=InputTable[[#This Row],[Delivery Date]],_xlfn.XLOOKUP(KC$1,$BH$2:$BR$2,$BH173:$BR173,0),0)</f>
        <v>0</v>
      </c>
      <c r="KD173" s="26">
        <f>IF(KD$2=InputTable[[#This Row],[Delivery Date]],_xlfn.XLOOKUP(KD$1,$BH$2:$BR$2,$BH173:$BR173,0),0)</f>
        <v>0</v>
      </c>
      <c r="KE173" s="26">
        <f>IF(KE$2=InputTable[[#This Row],[Delivery Date]],_xlfn.XLOOKUP(KE$1,$BH$2:$BR$2,$BH173:$BR173,0),0)</f>
        <v>0</v>
      </c>
      <c r="KF173" s="26">
        <f>IF(KF$2=InputTable[[#This Row],[Delivery Date]],_xlfn.XLOOKUP(KF$1,$BH$2:$BR$2,$BH173:$BR173,0),0)</f>
        <v>0</v>
      </c>
    </row>
    <row r="174" spans="1:292" ht="34.799999999999997" x14ac:dyDescent="0.25">
      <c r="A174" s="141"/>
      <c r="B174" s="119"/>
      <c r="C174" s="92"/>
      <c r="D174" s="92"/>
      <c r="E174" s="103"/>
      <c r="F174" s="104"/>
      <c r="G174" s="104"/>
      <c r="H174" s="104"/>
      <c r="I174" s="104"/>
      <c r="J174" s="105"/>
      <c r="K174" s="95" t="e">
        <f>VLOOKUP((InputTable[[#This Row],[Starting Date]]&amp; " - " &amp;InputTable[[#This Row],[Delivery Date]]),'System List'!$F$40:$H$83,2,FALSE)</f>
        <v>#N/A</v>
      </c>
      <c r="L174" s="95" t="e">
        <f>VLOOKUP(InputTable[[#This Row],[Duration]],Duration,2,FALSE)</f>
        <v>#N/A</v>
      </c>
      <c r="M174" s="105"/>
      <c r="N174" s="104"/>
      <c r="O174" s="104"/>
      <c r="P174" s="104"/>
      <c r="Q174" s="104"/>
      <c r="R174" s="104"/>
      <c r="S174" s="92"/>
      <c r="T174" s="95"/>
      <c r="U174" s="138"/>
      <c r="V174" s="104"/>
      <c r="W174" s="104"/>
      <c r="X174" s="104"/>
      <c r="Y174" s="104"/>
      <c r="Z174" s="104"/>
      <c r="AA174" s="104"/>
      <c r="AB174" s="104"/>
      <c r="AC174" s="104"/>
      <c r="AD174" s="92">
        <f>COUNTA(InputTable[[#This Row],[CORPHRFIN]:[SALES]])</f>
        <v>0</v>
      </c>
      <c r="AE174" s="88" cm="1">
        <f t="array" ref="AE174">SUM(
_xlfn.XLOOKUP(InputTable[[#This Row],[CORPHRFIN]:[SALES]],'System List'!$F$4:$F$7,'System List'!$H$4:$H$7,0))</f>
        <v>0</v>
      </c>
      <c r="AF174" s="140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88" cm="1">
        <f t="array" ref="AR174">SUM(
_xlfn.XLOOKUP(InputTable[[#This Row],[Impact on - CIAL]:[Impact on - STRAT]],'System List'!$F$4:$F$7,'System List'!$H$4:$H$7,0))</f>
        <v>0</v>
      </c>
      <c r="AS174" s="88" t="e">
        <f>VLOOKUP(InputTable[[#This Row],[Duration]],Duration,2,FALSE)+InputTable[[#This Row],[Resource Score]]</f>
        <v>#N/A</v>
      </c>
      <c r="AT17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4" s="24" t="e">
        <f>InputTable[[#This Row],[Value Score]]/InputTable[[#This Row],[EFFORT SCORE]]*100</f>
        <v>#N/A</v>
      </c>
      <c r="AV174" s="25" t="s">
        <v>465</v>
      </c>
      <c r="AW174" s="25"/>
      <c r="AX174" s="208"/>
      <c r="AY174" s="25"/>
      <c r="AZ174" s="189">
        <v>0</v>
      </c>
      <c r="BA174" s="189">
        <v>0</v>
      </c>
      <c r="BB174" s="189"/>
      <c r="BC174" s="189"/>
      <c r="BD174" s="188"/>
      <c r="BE174" s="188"/>
      <c r="BF174" s="70"/>
      <c r="BH174" s="2">
        <f>IFERROR(VLOOKUP(InputTable[[#This Row],[Impact on - CIAL]],'System List'!$F$4:$H$7,3,FALSE),0)</f>
        <v>0</v>
      </c>
      <c r="BI174" s="2">
        <f>IFERROR(VLOOKUP(InputTable[[#This Row],[Impact on - COM]],'System List'!$F$4:$H$7,3,FALSE),0)</f>
        <v>0</v>
      </c>
      <c r="BJ174" s="2">
        <f>IFERROR(VLOOKUP(InputTable[[#This Row],[Impact on - FIN]],'System List'!$F$4:$H$7,3,FALSE),0)</f>
        <v>0</v>
      </c>
      <c r="BK174" s="2">
        <f>IFERROR(VLOOKUP(InputTable[[#This Row],[Impact on - GEN SEC]],'System List'!$F$4:$H$7,3,FALSE),0)</f>
        <v>0</v>
      </c>
      <c r="BL174" s="2">
        <f>IFERROR(VLOOKUP(InputTable[[#This Row],[Impact on - HR]],'System List'!$F$4:$H$7,3,FALSE),0)</f>
        <v>0</v>
      </c>
      <c r="BM174" s="2">
        <f>IFERROR(VLOOKUP(InputTable[[#This Row],[Impact on - IS]],'System List'!$F$4:$H$7,3,FALSE),0)</f>
        <v>0</v>
      </c>
      <c r="BN174" s="2">
        <f>IFERROR(VLOOKUP(InputTable[[#This Row],[Impact on - OPS]],'System List'!$F$4:$H$7,3,FALSE),0)</f>
        <v>0</v>
      </c>
      <c r="BO174" s="2">
        <f>IFERROR(VLOOKUP(InputTable[[#This Row],[Impact on - ROLL STOCK]],'System List'!$F$4:$H$7,3,FALSE),0)</f>
        <v>0</v>
      </c>
      <c r="BP174" s="2">
        <f>IFERROR(VLOOKUP(InputTable[[#This Row],[Impact on - SAFETY]],'System List'!$F$4:$H$7,3,FALSE),0)</f>
        <v>0</v>
      </c>
      <c r="BQ174" s="2">
        <f>IFERROR(VLOOKUP(InputTable[[#This Row],[Impact on - STATION]],'System List'!$F$4:$H$7,3,FALSE),0)</f>
        <v>0</v>
      </c>
      <c r="BR174" s="2">
        <f>IFERROR(VLOOKUP(InputTable[[#This Row],[Impact on - STRAT]],'System List'!$F$4:$H$7,3,FALSE),0)</f>
        <v>0</v>
      </c>
      <c r="BT174" s="2">
        <f>IFERROR(VLOOKUP(InputTable[[#This Row],[CORPHRFIN]],'System List'!$F$4:$H$7,3,FALSE),0)</f>
        <v>0</v>
      </c>
      <c r="BU174" s="2">
        <f>IFERROR(VLOOKUP(InputTable[[#This Row],[CUST]],'System List'!$F$4:$H$7,3,FALSE),0)</f>
        <v>0</v>
      </c>
      <c r="BV174" s="2">
        <f>IFERROR(VLOOKUP(InputTable[[#This Row],[CYBER]],'System List'!$F$4:$H$7,3,FALSE),0)</f>
        <v>0</v>
      </c>
      <c r="BW174" s="2">
        <f>IFERROR(VLOOKUP(InputTable[[#This Row],[DATA]],'System List'!$F$4:$H$7,3,FALSE),0)</f>
        <v>0</v>
      </c>
      <c r="BX174" s="2">
        <f>IFERROR(VLOOKUP(InputTable[[#This Row],[INFRA]],'System List'!$F$4:$H$7,3,FALSE),0)</f>
        <v>0</v>
      </c>
      <c r="BY174" s="2">
        <f>IFERROR(VLOOKUP(InputTable[[#This Row],[OPERATIONS]],'System List'!$F$4:$H$7,3,FALSE),0)</f>
        <v>0</v>
      </c>
      <c r="BZ174" s="2">
        <f>IFERROR(VLOOKUP(InputTable[[#This Row],[PMO]],'System List'!$F$4:$H$7,3,FALSE),0)</f>
        <v>0</v>
      </c>
      <c r="CA174" s="2">
        <f>IFERROR(VLOOKUP(InputTable[[#This Row],[SALES]],'System List'!$F$4:$H$7,3,FALSE),0)</f>
        <v>0</v>
      </c>
      <c r="CC174" s="2" cm="1">
        <f t="array" ref="CC17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4" s="2" cm="1">
        <f t="array" ref="CD17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4" s="2" cm="1">
        <f t="array" ref="CE17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4" s="2" cm="1">
        <f t="array" ref="CF17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4" s="2" cm="1">
        <f t="array" ref="CG17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4" s="2" cm="1">
        <f t="array" ref="CH17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4" s="2" cm="1">
        <f t="array" ref="CI17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4" s="2" cm="1">
        <f t="array" ref="CJ17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4" s="2" cm="1">
        <f t="array" ref="CK17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4" s="26">
        <f t="shared" si="451"/>
        <v>0</v>
      </c>
      <c r="CY174" s="26">
        <f t="shared" si="452"/>
        <v>0</v>
      </c>
      <c r="CZ174" s="26">
        <f t="shared" si="453"/>
        <v>0</v>
      </c>
      <c r="DA174" s="26">
        <f t="shared" si="454"/>
        <v>0</v>
      </c>
      <c r="DB174" s="26">
        <f t="shared" si="455"/>
        <v>0</v>
      </c>
      <c r="DC174" s="26">
        <f t="shared" si="456"/>
        <v>0</v>
      </c>
      <c r="DD174" s="26">
        <f t="shared" si="457"/>
        <v>0</v>
      </c>
      <c r="DE174" s="26">
        <f t="shared" si="458"/>
        <v>0</v>
      </c>
      <c r="DF174" s="26">
        <f t="shared" si="459"/>
        <v>0</v>
      </c>
      <c r="DH174" s="26">
        <f t="shared" si="460"/>
        <v>0</v>
      </c>
      <c r="DI174" s="26">
        <f t="shared" si="461"/>
        <v>0</v>
      </c>
      <c r="DJ174" s="26">
        <f t="shared" si="462"/>
        <v>0</v>
      </c>
      <c r="DK174" s="26">
        <f t="shared" si="463"/>
        <v>0</v>
      </c>
      <c r="DL174" s="26">
        <f t="shared" si="464"/>
        <v>0</v>
      </c>
      <c r="DM174" s="26">
        <f t="shared" si="465"/>
        <v>0</v>
      </c>
      <c r="DN174" s="26">
        <f t="shared" si="466"/>
        <v>0</v>
      </c>
      <c r="DO174" s="26">
        <f t="shared" si="467"/>
        <v>0</v>
      </c>
      <c r="DP174" s="26">
        <f t="shared" si="468"/>
        <v>0</v>
      </c>
      <c r="DR174" s="26">
        <f t="shared" si="469"/>
        <v>0</v>
      </c>
      <c r="DS174" s="26">
        <f t="shared" si="470"/>
        <v>0</v>
      </c>
      <c r="DT174" s="26">
        <f t="shared" si="471"/>
        <v>0</v>
      </c>
      <c r="DU174" s="26">
        <f t="shared" si="472"/>
        <v>0</v>
      </c>
      <c r="DV174" s="26">
        <f t="shared" si="473"/>
        <v>0</v>
      </c>
      <c r="DW174" s="26">
        <f t="shared" si="474"/>
        <v>0</v>
      </c>
      <c r="DX174" s="26">
        <f t="shared" si="475"/>
        <v>0</v>
      </c>
      <c r="DY174" s="26">
        <f t="shared" si="476"/>
        <v>0</v>
      </c>
      <c r="DZ174" s="26">
        <f t="shared" si="477"/>
        <v>0</v>
      </c>
      <c r="EB174" s="26">
        <f t="shared" si="478"/>
        <v>0</v>
      </c>
      <c r="EC174" s="26">
        <f t="shared" si="479"/>
        <v>0</v>
      </c>
      <c r="ED174" s="26">
        <f t="shared" si="480"/>
        <v>0</v>
      </c>
      <c r="EE174" s="26">
        <f t="shared" si="481"/>
        <v>0</v>
      </c>
      <c r="EF174" s="26">
        <f t="shared" si="482"/>
        <v>0</v>
      </c>
      <c r="EG174" s="26">
        <f t="shared" si="483"/>
        <v>0</v>
      </c>
      <c r="EH174" s="26">
        <f t="shared" si="484"/>
        <v>0</v>
      </c>
      <c r="EI174" s="26">
        <f t="shared" si="485"/>
        <v>0</v>
      </c>
      <c r="EJ174" s="26">
        <f t="shared" si="486"/>
        <v>0</v>
      </c>
      <c r="EL174" s="26">
        <f t="shared" si="487"/>
        <v>0</v>
      </c>
      <c r="EM174" s="26">
        <f t="shared" si="488"/>
        <v>0</v>
      </c>
      <c r="EN174" s="26">
        <f t="shared" si="489"/>
        <v>0</v>
      </c>
      <c r="EO174" s="26">
        <f t="shared" si="490"/>
        <v>0</v>
      </c>
      <c r="EP174" s="26">
        <f t="shared" si="491"/>
        <v>0</v>
      </c>
      <c r="EQ174" s="26">
        <f t="shared" si="492"/>
        <v>0</v>
      </c>
      <c r="ER174" s="26">
        <f t="shared" si="493"/>
        <v>0</v>
      </c>
      <c r="ES174" s="26">
        <f t="shared" si="494"/>
        <v>0</v>
      </c>
      <c r="ET174" s="26">
        <f t="shared" si="495"/>
        <v>0</v>
      </c>
      <c r="EV174" s="26">
        <f t="shared" si="496"/>
        <v>0</v>
      </c>
      <c r="EW174" s="26">
        <f t="shared" si="497"/>
        <v>0</v>
      </c>
      <c r="EX174" s="26">
        <f t="shared" si="498"/>
        <v>0</v>
      </c>
      <c r="EY174" s="26">
        <f t="shared" si="499"/>
        <v>0</v>
      </c>
      <c r="EZ174" s="26">
        <f t="shared" si="500"/>
        <v>0</v>
      </c>
      <c r="FA174" s="26">
        <f t="shared" si="501"/>
        <v>0</v>
      </c>
      <c r="FB174" s="26">
        <f t="shared" si="502"/>
        <v>0</v>
      </c>
      <c r="FC174" s="26">
        <f t="shared" si="503"/>
        <v>0</v>
      </c>
      <c r="FD174" s="26">
        <f t="shared" si="504"/>
        <v>0</v>
      </c>
      <c r="FF174" s="26">
        <f t="shared" si="505"/>
        <v>0</v>
      </c>
      <c r="FG174" s="26">
        <f t="shared" si="506"/>
        <v>0</v>
      </c>
      <c r="FH174" s="26">
        <f t="shared" si="507"/>
        <v>0</v>
      </c>
      <c r="FI174" s="26">
        <f t="shared" si="508"/>
        <v>0</v>
      </c>
      <c r="FJ174" s="26">
        <f t="shared" si="509"/>
        <v>0</v>
      </c>
      <c r="FK174" s="26">
        <f t="shared" si="510"/>
        <v>0</v>
      </c>
      <c r="FL174" s="26">
        <f t="shared" si="511"/>
        <v>0</v>
      </c>
      <c r="FM174" s="26">
        <f t="shared" si="512"/>
        <v>0</v>
      </c>
      <c r="FN174" s="26">
        <f t="shared" si="513"/>
        <v>0</v>
      </c>
      <c r="FP174" s="26" t="e">
        <f t="shared" si="514"/>
        <v>#REF!</v>
      </c>
      <c r="FQ174" s="26" t="e">
        <f t="shared" si="515"/>
        <v>#REF!</v>
      </c>
      <c r="FR174" s="26" t="e">
        <f t="shared" si="516"/>
        <v>#REF!</v>
      </c>
      <c r="FS174" s="26" t="e">
        <f t="shared" si="517"/>
        <v>#REF!</v>
      </c>
      <c r="FT174" s="26" t="e">
        <f t="shared" si="518"/>
        <v>#REF!</v>
      </c>
      <c r="FU174" s="26" t="e">
        <f t="shared" si="519"/>
        <v>#REF!</v>
      </c>
      <c r="FV174" s="26" t="e">
        <f t="shared" si="520"/>
        <v>#REF!</v>
      </c>
      <c r="FW174" s="26" t="e">
        <f t="shared" si="521"/>
        <v>#REF!</v>
      </c>
      <c r="FX174" s="26" t="e">
        <f t="shared" si="522"/>
        <v>#REF!</v>
      </c>
      <c r="GB174" s="26" t="e">
        <f>IF(GB$2=InputTable[[#This Row],[Delivery Date]],_xlfn.XLOOKUP(GB$1,$BH$2:$BR$2,$BH174:$BR174,0),0)</f>
        <v>#REF!</v>
      </c>
      <c r="GC174" s="26">
        <f>IF(GC$2=InputTable[[#This Row],[Delivery Date]],_xlfn.XLOOKUP(GC$1,$BH$2:$BR$2,$BH174:$BR174,0),0)</f>
        <v>0</v>
      </c>
      <c r="GD174" s="26">
        <f>IF(GD$2=InputTable[[#This Row],[Delivery Date]],_xlfn.XLOOKUP(GD$1,$BH$2:$BR$2,$BH174:$BR174,0),0)</f>
        <v>0</v>
      </c>
      <c r="GE174" s="26">
        <f>IF(GE$2=InputTable[[#This Row],[Delivery Date]],_xlfn.XLOOKUP(GE$1,$BH$2:$BR$2,$BH174:$BR174,0),0)</f>
        <v>0</v>
      </c>
      <c r="GF174" s="26">
        <f>IF(GF$2=InputTable[[#This Row],[Delivery Date]],_xlfn.XLOOKUP(GF$1,$BH$2:$BR$2,$BH174:$BR174,0),0)</f>
        <v>0</v>
      </c>
      <c r="GG174" s="26">
        <f>IF(GG$2=InputTable[[#This Row],[Delivery Date]],_xlfn.XLOOKUP(GG$1,$BH$2:$BR$2,$BH174:$BR174,0),0)</f>
        <v>0</v>
      </c>
      <c r="GH174" s="26">
        <f>IF(GH$2=InputTable[[#This Row],[Delivery Date]],_xlfn.XLOOKUP(GH$1,$BH$2:$BR$2,$BH174:$BR174,0),0)</f>
        <v>0</v>
      </c>
      <c r="GI174" s="26">
        <f>IF(GI$2=InputTable[[#This Row],[Delivery Date]],_xlfn.XLOOKUP(GI$1,$BH$2:$BR$2,$BH174:$BR174,0),0)</f>
        <v>0</v>
      </c>
      <c r="GJ174" s="26">
        <f>IF(GJ$2=InputTable[[#This Row],[Delivery Date]],_xlfn.XLOOKUP(GJ$1,$BH$2:$BR$2,$BH174:$BR174,0),0)</f>
        <v>0</v>
      </c>
      <c r="GL174" s="26" t="e">
        <f>IF(GL$2=InputTable[[#This Row],[Delivery Date]],_xlfn.XLOOKUP(GL$1,$BH$2:$BR$2,$BH174:$BR174,0),0)</f>
        <v>#REF!</v>
      </c>
      <c r="GM174" s="26">
        <f>IF(GM$2=InputTable[[#This Row],[Delivery Date]],_xlfn.XLOOKUP(GM$1,$BH$2:$BR$2,$BH174:$BR174,0),0)</f>
        <v>0</v>
      </c>
      <c r="GN174" s="26">
        <f>IF(GN$2=InputTable[[#This Row],[Delivery Date]],_xlfn.XLOOKUP(GN$1,$BH$2:$BR$2,$BH174:$BR174,0),0)</f>
        <v>0</v>
      </c>
      <c r="GO174" s="26">
        <f>IF(GO$2=InputTable[[#This Row],[Delivery Date]],_xlfn.XLOOKUP(GO$1,$BH$2:$BR$2,$BH174:$BR174,0),0)</f>
        <v>0</v>
      </c>
      <c r="GP174" s="26">
        <f>IF(GP$2=InputTable[[#This Row],[Delivery Date]],_xlfn.XLOOKUP(GP$1,$BH$2:$BR$2,$BH174:$BR174,0),0)</f>
        <v>0</v>
      </c>
      <c r="GQ174" s="26">
        <f>IF(GQ$2=InputTable[[#This Row],[Delivery Date]],_xlfn.XLOOKUP(GQ$1,$BH$2:$BR$2,$BH174:$BR174,0),0)</f>
        <v>0</v>
      </c>
      <c r="GR174" s="26">
        <f>IF(GR$2=InputTable[[#This Row],[Delivery Date]],_xlfn.XLOOKUP(GR$1,$BH$2:$BR$2,$BH174:$BR174,0),0)</f>
        <v>0</v>
      </c>
      <c r="GS174" s="26">
        <f>IF(GS$2=InputTable[[#This Row],[Delivery Date]],_xlfn.XLOOKUP(GS$1,$BH$2:$BR$2,$BH174:$BR174,0),0)</f>
        <v>0</v>
      </c>
      <c r="GT174" s="26">
        <f>IF(GT$2=InputTable[[#This Row],[Delivery Date]],_xlfn.XLOOKUP(GT$1,$BH$2:$BR$2,$BH174:$BR174,0),0)</f>
        <v>0</v>
      </c>
      <c r="GV174" s="26" t="e">
        <f>IF(GV$2=InputTable[[#This Row],[Delivery Date]],_xlfn.XLOOKUP(GV$1,$BH$2:$BR$2,$BH174:$BR174,0),0)</f>
        <v>#REF!</v>
      </c>
      <c r="GW174" s="26">
        <f>IF(GW$2=InputTable[[#This Row],[Delivery Date]],_xlfn.XLOOKUP(GW$1,$BH$2:$BR$2,$BH174:$BR174,0),0)</f>
        <v>0</v>
      </c>
      <c r="GX174" s="26">
        <f>IF(GX$2=InputTable[[#This Row],[Delivery Date]],_xlfn.XLOOKUP(GX$1,$BH$2:$BR$2,$BH174:$BR174,0),0)</f>
        <v>0</v>
      </c>
      <c r="GY174" s="26">
        <f>IF(GY$2=InputTable[[#This Row],[Delivery Date]],_xlfn.XLOOKUP(GY$1,$BH$2:$BR$2,$BH174:$BR174,0),0)</f>
        <v>0</v>
      </c>
      <c r="GZ174" s="26">
        <f>IF(GZ$2=InputTable[[#This Row],[Delivery Date]],_xlfn.XLOOKUP(GZ$1,$BH$2:$BR$2,$BH174:$BR174,0),0)</f>
        <v>0</v>
      </c>
      <c r="HA174" s="26">
        <f>IF(HA$2=InputTable[[#This Row],[Delivery Date]],_xlfn.XLOOKUP(HA$1,$BH$2:$BR$2,$BH174:$BR174,0),0)</f>
        <v>0</v>
      </c>
      <c r="HB174" s="26">
        <f>IF(HB$2=InputTable[[#This Row],[Delivery Date]],_xlfn.XLOOKUP(HB$1,$BH$2:$BR$2,$BH174:$BR174,0),0)</f>
        <v>0</v>
      </c>
      <c r="HC174" s="26">
        <f>IF(HC$2=InputTable[[#This Row],[Delivery Date]],_xlfn.XLOOKUP(HC$1,$BH$2:$BR$2,$BH174:$BR174,0),0)</f>
        <v>0</v>
      </c>
      <c r="HD174" s="26">
        <f>IF(HD$2=InputTable[[#This Row],[Delivery Date]],_xlfn.XLOOKUP(HD$1,$BH$2:$BR$2,$BH174:$BR174,0),0)</f>
        <v>0</v>
      </c>
      <c r="HF174" s="26" t="e">
        <f>IF(HF$2=InputTable[[#This Row],[Delivery Date]],_xlfn.XLOOKUP(HF$1,$BH$2:$BR$2,$BH174:$BR174,0),0)</f>
        <v>#REF!</v>
      </c>
      <c r="HG174" s="26">
        <f>IF(HG$2=InputTable[[#This Row],[Delivery Date]],_xlfn.XLOOKUP(HG$1,$BH$2:$BR$2,$BH174:$BR174,0),0)</f>
        <v>0</v>
      </c>
      <c r="HH174" s="26">
        <f>IF(HH$2=InputTable[[#This Row],[Delivery Date]],_xlfn.XLOOKUP(HH$1,$BH$2:$BR$2,$BH174:$BR174,0),0)</f>
        <v>0</v>
      </c>
      <c r="HI174" s="26">
        <f>IF(HI$2=InputTable[[#This Row],[Delivery Date]],_xlfn.XLOOKUP(HI$1,$BH$2:$BR$2,$BH174:$BR174,0),0)</f>
        <v>0</v>
      </c>
      <c r="HJ174" s="26">
        <f>IF(HJ$2=InputTable[[#This Row],[Delivery Date]],_xlfn.XLOOKUP(HJ$1,$BH$2:$BR$2,$BH174:$BR174,0),0)</f>
        <v>0</v>
      </c>
      <c r="HK174" s="26">
        <f>IF(HK$2=InputTable[[#This Row],[Delivery Date]],_xlfn.XLOOKUP(HK$1,$BH$2:$BR$2,$BH174:$BR174,0),0)</f>
        <v>0</v>
      </c>
      <c r="HL174" s="26">
        <f>IF(HL$2=InputTable[[#This Row],[Delivery Date]],_xlfn.XLOOKUP(HL$1,$BH$2:$BR$2,$BH174:$BR174,0),0)</f>
        <v>0</v>
      </c>
      <c r="HM174" s="26">
        <f>IF(HM$2=InputTable[[#This Row],[Delivery Date]],_xlfn.XLOOKUP(HM$1,$BH$2:$BR$2,$BH174:$BR174,0),0)</f>
        <v>0</v>
      </c>
      <c r="HN174" s="26">
        <f>IF(HN$2=InputTable[[#This Row],[Delivery Date]],_xlfn.XLOOKUP(HN$1,$BH$2:$BR$2,$BH174:$BR174,0),0)</f>
        <v>0</v>
      </c>
      <c r="HP174" s="26" t="e">
        <f>IF(HP$2=InputTable[[#This Row],[Delivery Date]],_xlfn.XLOOKUP(HP$1,$BH$2:$BR$2,$BH174:$BR174,0),0)</f>
        <v>#REF!</v>
      </c>
      <c r="HQ174" s="26">
        <f>IF(HQ$2=InputTable[[#This Row],[Delivery Date]],_xlfn.XLOOKUP(HQ$1,$BH$2:$BR$2,$BH174:$BR174,0),0)</f>
        <v>0</v>
      </c>
      <c r="HR174" s="26">
        <f>IF(HR$2=InputTable[[#This Row],[Delivery Date]],_xlfn.XLOOKUP(HR$1,$BH$2:$BR$2,$BH174:$BR174,0),0)</f>
        <v>0</v>
      </c>
      <c r="HS174" s="26">
        <f>IF(HS$2=InputTable[[#This Row],[Delivery Date]],_xlfn.XLOOKUP(HS$1,$BH$2:$BR$2,$BH174:$BR174,0),0)</f>
        <v>0</v>
      </c>
      <c r="HT174" s="26">
        <f>IF(HT$2=InputTable[[#This Row],[Delivery Date]],_xlfn.XLOOKUP(HT$1,$BH$2:$BR$2,$BH174:$BR174,0),0)</f>
        <v>0</v>
      </c>
      <c r="HU174" s="26">
        <f>IF(HU$2=InputTable[[#This Row],[Delivery Date]],_xlfn.XLOOKUP(HU$1,$BH$2:$BR$2,$BH174:$BR174,0),0)</f>
        <v>0</v>
      </c>
      <c r="HV174" s="26">
        <f>IF(HV$2=InputTable[[#This Row],[Delivery Date]],_xlfn.XLOOKUP(HV$1,$BH$2:$BR$2,$BH174:$BR174,0),0)</f>
        <v>0</v>
      </c>
      <c r="HW174" s="26">
        <f>IF(HW$2=InputTable[[#This Row],[Delivery Date]],_xlfn.XLOOKUP(HW$1,$BH$2:$BR$2,$BH174:$BR174,0),0)</f>
        <v>0</v>
      </c>
      <c r="HX174" s="26">
        <f>IF(HX$2=InputTable[[#This Row],[Delivery Date]],_xlfn.XLOOKUP(HX$1,$BH$2:$BR$2,$BH174:$BR174,0),0)</f>
        <v>0</v>
      </c>
      <c r="HZ174" s="26" t="e">
        <f>IF(HZ$2=InputTable[[#This Row],[Delivery Date]],_xlfn.XLOOKUP(HZ$1,$BH$2:$BR$2,$BH174:$BR174,0),0)</f>
        <v>#REF!</v>
      </c>
      <c r="IA174" s="26">
        <f>IF(IA$2=InputTable[[#This Row],[Delivery Date]],_xlfn.XLOOKUP(IA$1,$BH$2:$BR$2,$BH174:$BR174,0),0)</f>
        <v>0</v>
      </c>
      <c r="IB174" s="26">
        <f>IF(IB$2=InputTable[[#This Row],[Delivery Date]],_xlfn.XLOOKUP(IB$1,$BH$2:$BR$2,$BH174:$BR174,0),0)</f>
        <v>0</v>
      </c>
      <c r="IC174" s="26">
        <f>IF(IC$2=InputTable[[#This Row],[Delivery Date]],_xlfn.XLOOKUP(IC$1,$BH$2:$BR$2,$BH174:$BR174,0),0)</f>
        <v>0</v>
      </c>
      <c r="ID174" s="26">
        <f>IF(ID$2=InputTable[[#This Row],[Delivery Date]],_xlfn.XLOOKUP(ID$1,$BH$2:$BR$2,$BH174:$BR174,0),0)</f>
        <v>0</v>
      </c>
      <c r="IE174" s="26">
        <f>IF(IE$2=InputTable[[#This Row],[Delivery Date]],_xlfn.XLOOKUP(IE$1,$BH$2:$BR$2,$BH174:$BR174,0),0)</f>
        <v>0</v>
      </c>
      <c r="IF174" s="26">
        <f>IF(IF$2=InputTable[[#This Row],[Delivery Date]],_xlfn.XLOOKUP(IF$1,$BH$2:$BR$2,$BH174:$BR174,0),0)</f>
        <v>0</v>
      </c>
      <c r="IG174" s="26">
        <f>IF(IG$2=InputTable[[#This Row],[Delivery Date]],_xlfn.XLOOKUP(IG$1,$BH$2:$BR$2,$BH174:$BR174,0),0)</f>
        <v>0</v>
      </c>
      <c r="IH174" s="26">
        <f>IF(IH$2=InputTable[[#This Row],[Delivery Date]],_xlfn.XLOOKUP(IH$1,$BH$2:$BR$2,$BH174:$BR174,0),0)</f>
        <v>0</v>
      </c>
      <c r="IJ174" s="26" t="e">
        <f>IF(IJ$2=InputTable[[#This Row],[Delivery Date]],_xlfn.XLOOKUP(IJ$1,$BH$2:$BR$2,$BH174:$BR174,0),0)</f>
        <v>#REF!</v>
      </c>
      <c r="IK174" s="26">
        <f>IF(IK$2=InputTable[[#This Row],[Delivery Date]],_xlfn.XLOOKUP(IK$1,$BH$2:$BR$2,$BH174:$BR174,0),0)</f>
        <v>0</v>
      </c>
      <c r="IL174" s="26">
        <f>IF(IL$2=InputTable[[#This Row],[Delivery Date]],_xlfn.XLOOKUP(IL$1,$BH$2:$BR$2,$BH174:$BR174,0),0)</f>
        <v>0</v>
      </c>
      <c r="IM174" s="26">
        <f>IF(IM$2=InputTable[[#This Row],[Delivery Date]],_xlfn.XLOOKUP(IM$1,$BH$2:$BR$2,$BH174:$BR174,0),0)</f>
        <v>0</v>
      </c>
      <c r="IN174" s="26">
        <f>IF(IN$2=InputTable[[#This Row],[Delivery Date]],_xlfn.XLOOKUP(IN$1,$BH$2:$BR$2,$BH174:$BR174,0),0)</f>
        <v>0</v>
      </c>
      <c r="IO174" s="26">
        <f>IF(IO$2=InputTable[[#This Row],[Delivery Date]],_xlfn.XLOOKUP(IO$1,$BH$2:$BR$2,$BH174:$BR174,0),0)</f>
        <v>0</v>
      </c>
      <c r="IP174" s="26">
        <f>IF(IP$2=InputTable[[#This Row],[Delivery Date]],_xlfn.XLOOKUP(IP$1,$BH$2:$BR$2,$BH174:$BR174,0),0)</f>
        <v>0</v>
      </c>
      <c r="IQ174" s="26">
        <f>IF(IQ$2=InputTable[[#This Row],[Delivery Date]],_xlfn.XLOOKUP(IQ$1,$BH$2:$BR$2,$BH174:$BR174,0),0)</f>
        <v>0</v>
      </c>
      <c r="IR174" s="26">
        <f>IF(IR$2=InputTable[[#This Row],[Delivery Date]],_xlfn.XLOOKUP(IR$1,$BH$2:$BR$2,$BH174:$BR174,0),0)</f>
        <v>0</v>
      </c>
      <c r="IT174" s="26" t="e">
        <f>IF(IT$2=InputTable[[#This Row],[Delivery Date]],_xlfn.XLOOKUP(IT$1,$BH$2:$BR$2,$BH174:$BR174,0),0)</f>
        <v>#REF!</v>
      </c>
      <c r="IU174" s="26">
        <f>IF(IU$2=InputTable[[#This Row],[Delivery Date]],_xlfn.XLOOKUP(IU$1,$BH$2:$BR$2,$BH174:$BR174,0),0)</f>
        <v>0</v>
      </c>
      <c r="IV174" s="26">
        <f>IF(IV$2=InputTable[[#This Row],[Delivery Date]],_xlfn.XLOOKUP(IV$1,$BH$2:$BR$2,$BH174:$BR174,0),0)</f>
        <v>0</v>
      </c>
      <c r="IW174" s="26">
        <f>IF(IW$2=InputTable[[#This Row],[Delivery Date]],_xlfn.XLOOKUP(IW$1,$BH$2:$BR$2,$BH174:$BR174,0),0)</f>
        <v>0</v>
      </c>
      <c r="IX174" s="26">
        <f>IF(IX$2=InputTable[[#This Row],[Delivery Date]],_xlfn.XLOOKUP(IX$1,$BH$2:$BR$2,$BH174:$BR174,0),0)</f>
        <v>0</v>
      </c>
      <c r="IY174" s="26">
        <f>IF(IY$2=InputTable[[#This Row],[Delivery Date]],_xlfn.XLOOKUP(IY$1,$BH$2:$BR$2,$BH174:$BR174,0),0)</f>
        <v>0</v>
      </c>
      <c r="IZ174" s="26">
        <f>IF(IZ$2=InputTable[[#This Row],[Delivery Date]],_xlfn.XLOOKUP(IZ$1,$BH$2:$BR$2,$BH174:$BR174,0),0)</f>
        <v>0</v>
      </c>
      <c r="JA174" s="26">
        <f>IF(JA$2=InputTable[[#This Row],[Delivery Date]],_xlfn.XLOOKUP(JA$1,$BH$2:$BR$2,$BH174:$BR174,0),0)</f>
        <v>0</v>
      </c>
      <c r="JB174" s="26">
        <f>IF(JB$2=InputTable[[#This Row],[Delivery Date]],_xlfn.XLOOKUP(JB$1,$BH$2:$BR$2,$BH174:$BR174,0),0)</f>
        <v>0</v>
      </c>
      <c r="JD174" s="26" t="e">
        <f>IF(JD$2=InputTable[[#This Row],[Delivery Date]],_xlfn.XLOOKUP(JD$1,$BH$2:$BR$2,$BH174:$BR174,0),0)</f>
        <v>#REF!</v>
      </c>
      <c r="JE174" s="26">
        <f>IF(JE$2=InputTable[[#This Row],[Delivery Date]],_xlfn.XLOOKUP(JE$1,$BH$2:$BR$2,$BH174:$BR174,0),0)</f>
        <v>0</v>
      </c>
      <c r="JF174" s="26">
        <f>IF(JF$2=InputTable[[#This Row],[Delivery Date]],_xlfn.XLOOKUP(JF$1,$BH$2:$BR$2,$BH174:$BR174,0),0)</f>
        <v>0</v>
      </c>
      <c r="JG174" s="26">
        <f>IF(JG$2=InputTable[[#This Row],[Delivery Date]],_xlfn.XLOOKUP(JG$1,$BH$2:$BR$2,$BH174:$BR174,0),0)</f>
        <v>0</v>
      </c>
      <c r="JH174" s="26">
        <f>IF(JH$2=InputTable[[#This Row],[Delivery Date]],_xlfn.XLOOKUP(JH$1,$BH$2:$BR$2,$BH174:$BR174,0),0)</f>
        <v>0</v>
      </c>
      <c r="JI174" s="26">
        <f>IF(JI$2=InputTable[[#This Row],[Delivery Date]],_xlfn.XLOOKUP(JI$1,$BH$2:$BR$2,$BH174:$BR174,0),0)</f>
        <v>0</v>
      </c>
      <c r="JJ174" s="26">
        <f>IF(JJ$2=InputTable[[#This Row],[Delivery Date]],_xlfn.XLOOKUP(JJ$1,$BH$2:$BR$2,$BH174:$BR174,0),0)</f>
        <v>0</v>
      </c>
      <c r="JK174" s="26">
        <f>IF(JK$2=InputTable[[#This Row],[Delivery Date]],_xlfn.XLOOKUP(JK$1,$BH$2:$BR$2,$BH174:$BR174,0),0)</f>
        <v>0</v>
      </c>
      <c r="JL174" s="26">
        <f>IF(JL$2=InputTable[[#This Row],[Delivery Date]],_xlfn.XLOOKUP(JL$1,$BH$2:$BR$2,$BH174:$BR174,0),0)</f>
        <v>0</v>
      </c>
      <c r="JN174" s="26" t="e">
        <f>IF(JN$2=InputTable[[#This Row],[Delivery Date]],_xlfn.XLOOKUP(JN$1,$BH$2:$BR$2,$BH174:$BR174,0),0)</f>
        <v>#REF!</v>
      </c>
      <c r="JO174" s="26">
        <f>IF(JO$2=InputTable[[#This Row],[Delivery Date]],_xlfn.XLOOKUP(JO$1,$BH$2:$BR$2,$BH174:$BR174,0),0)</f>
        <v>0</v>
      </c>
      <c r="JP174" s="26">
        <f>IF(JP$2=InputTable[[#This Row],[Delivery Date]],_xlfn.XLOOKUP(JP$1,$BH$2:$BR$2,$BH174:$BR174,0),0)</f>
        <v>0</v>
      </c>
      <c r="JQ174" s="26">
        <f>IF(JQ$2=InputTable[[#This Row],[Delivery Date]],_xlfn.XLOOKUP(JQ$1,$BH$2:$BR$2,$BH174:$BR174,0),0)</f>
        <v>0</v>
      </c>
      <c r="JR174" s="26">
        <f>IF(JR$2=InputTable[[#This Row],[Delivery Date]],_xlfn.XLOOKUP(JR$1,$BH$2:$BR$2,$BH174:$BR174,0),0)</f>
        <v>0</v>
      </c>
      <c r="JS174" s="26">
        <f>IF(JS$2=InputTable[[#This Row],[Delivery Date]],_xlfn.XLOOKUP(JS$1,$BH$2:$BR$2,$BH174:$BR174,0),0)</f>
        <v>0</v>
      </c>
      <c r="JT174" s="26">
        <f>IF(JT$2=InputTable[[#This Row],[Delivery Date]],_xlfn.XLOOKUP(JT$1,$BH$2:$BR$2,$BH174:$BR174,0),0)</f>
        <v>0</v>
      </c>
      <c r="JU174" s="26">
        <f>IF(JU$2=InputTable[[#This Row],[Delivery Date]],_xlfn.XLOOKUP(JU$1,$BH$2:$BR$2,$BH174:$BR174,0),0)</f>
        <v>0</v>
      </c>
      <c r="JV174" s="26">
        <f>IF(JV$2=InputTable[[#This Row],[Delivery Date]],_xlfn.XLOOKUP(JV$1,$BH$2:$BR$2,$BH174:$BR174,0),0)</f>
        <v>0</v>
      </c>
      <c r="JX174" s="26" t="e">
        <f>IF(JX$2=InputTable[[#This Row],[Delivery Date]],_xlfn.XLOOKUP(JX$1,$BH$2:$BR$2,$BH174:$BR174,0),0)</f>
        <v>#REF!</v>
      </c>
      <c r="JY174" s="26">
        <f>IF(JY$2=InputTable[[#This Row],[Delivery Date]],_xlfn.XLOOKUP(JY$1,$BH$2:$BR$2,$BH174:$BR174,0),0)</f>
        <v>0</v>
      </c>
      <c r="JZ174" s="26">
        <f>IF(JZ$2=InputTable[[#This Row],[Delivery Date]],_xlfn.XLOOKUP(JZ$1,$BH$2:$BR$2,$BH174:$BR174,0),0)</f>
        <v>0</v>
      </c>
      <c r="KA174" s="26">
        <f>IF(KA$2=InputTable[[#This Row],[Delivery Date]],_xlfn.XLOOKUP(KA$1,$BH$2:$BR$2,$BH174:$BR174,0),0)</f>
        <v>0</v>
      </c>
      <c r="KB174" s="26">
        <f>IF(KB$2=InputTable[[#This Row],[Delivery Date]],_xlfn.XLOOKUP(KB$1,$BH$2:$BR$2,$BH174:$BR174,0),0)</f>
        <v>0</v>
      </c>
      <c r="KC174" s="26">
        <f>IF(KC$2=InputTable[[#This Row],[Delivery Date]],_xlfn.XLOOKUP(KC$1,$BH$2:$BR$2,$BH174:$BR174,0),0)</f>
        <v>0</v>
      </c>
      <c r="KD174" s="26">
        <f>IF(KD$2=InputTable[[#This Row],[Delivery Date]],_xlfn.XLOOKUP(KD$1,$BH$2:$BR$2,$BH174:$BR174,0),0)</f>
        <v>0</v>
      </c>
      <c r="KE174" s="26">
        <f>IF(KE$2=InputTable[[#This Row],[Delivery Date]],_xlfn.XLOOKUP(KE$1,$BH$2:$BR$2,$BH174:$BR174,0),0)</f>
        <v>0</v>
      </c>
      <c r="KF174" s="26">
        <f>IF(KF$2=InputTable[[#This Row],[Delivery Date]],_xlfn.XLOOKUP(KF$1,$BH$2:$BR$2,$BH174:$BR174,0),0)</f>
        <v>0</v>
      </c>
    </row>
    <row r="175" spans="1:292" ht="34.799999999999997" x14ac:dyDescent="0.25">
      <c r="A175" s="125"/>
      <c r="B175" s="118"/>
      <c r="C175" s="92"/>
      <c r="D175" s="92"/>
      <c r="E175" s="103"/>
      <c r="F175" s="104"/>
      <c r="G175" s="104"/>
      <c r="H175" s="104"/>
      <c r="I175" s="104"/>
      <c r="J175" s="105"/>
      <c r="K175" s="95" t="e">
        <f>VLOOKUP((InputTable[[#This Row],[Starting Date]]&amp; " - " &amp;InputTable[[#This Row],[Delivery Date]]),'System List'!$F$40:$H$83,2,FALSE)</f>
        <v>#N/A</v>
      </c>
      <c r="L175" s="95" t="e">
        <f>VLOOKUP(InputTable[[#This Row],[Duration]],Duration,2,FALSE)</f>
        <v>#N/A</v>
      </c>
      <c r="M175" s="105"/>
      <c r="N175" s="104"/>
      <c r="O175" s="104"/>
      <c r="P175" s="104"/>
      <c r="Q175" s="104"/>
      <c r="R175" s="104"/>
      <c r="S175" s="92"/>
      <c r="T175" s="95"/>
      <c r="U175" s="138"/>
      <c r="V175" s="104"/>
      <c r="W175" s="104"/>
      <c r="X175" s="104"/>
      <c r="Y175" s="104"/>
      <c r="Z175" s="104"/>
      <c r="AA175" s="104"/>
      <c r="AB175" s="104"/>
      <c r="AC175" s="104"/>
      <c r="AD175" s="92">
        <f>COUNTA(InputTable[[#This Row],[CORPHRFIN]:[SALES]])</f>
        <v>0</v>
      </c>
      <c r="AE175" s="88" cm="1">
        <f t="array" ref="AE175">SUM(
_xlfn.XLOOKUP(InputTable[[#This Row],[CORPHRFIN]:[SALES]],'System List'!$F$4:$F$7,'System List'!$H$4:$H$7,0))</f>
        <v>0</v>
      </c>
      <c r="AF175" s="140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88" cm="1">
        <f t="array" ref="AR175">SUM(
_xlfn.XLOOKUP(InputTable[[#This Row],[Impact on - CIAL]:[Impact on - STRAT]],'System List'!$F$4:$F$7,'System List'!$H$4:$H$7,0))</f>
        <v>0</v>
      </c>
      <c r="AS175" s="88" t="e">
        <f>VLOOKUP(InputTable[[#This Row],[Duration]],Duration,2,FALSE)+InputTable[[#This Row],[Resource Score]]</f>
        <v>#N/A</v>
      </c>
      <c r="AT17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5" s="24" t="e">
        <f>InputTable[[#This Row],[Value Score]]/InputTable[[#This Row],[EFFORT SCORE]]*100</f>
        <v>#N/A</v>
      </c>
      <c r="AV175" s="25" t="s">
        <v>466</v>
      </c>
      <c r="AW175" s="25"/>
      <c r="AX175" s="208"/>
      <c r="AY175" s="25"/>
      <c r="AZ175" s="189">
        <v>0</v>
      </c>
      <c r="BA175" s="189">
        <v>0</v>
      </c>
      <c r="BB175" s="189"/>
      <c r="BC175" s="189"/>
      <c r="BD175" s="188"/>
      <c r="BE175" s="188"/>
      <c r="BF175" s="70"/>
      <c r="BH175" s="2">
        <f>IFERROR(VLOOKUP(InputTable[[#This Row],[Impact on - CIAL]],'System List'!$F$4:$H$7,3,FALSE),0)</f>
        <v>0</v>
      </c>
      <c r="BI175" s="2">
        <f>IFERROR(VLOOKUP(InputTable[[#This Row],[Impact on - COM]],'System List'!$F$4:$H$7,3,FALSE),0)</f>
        <v>0</v>
      </c>
      <c r="BJ175" s="2">
        <f>IFERROR(VLOOKUP(InputTable[[#This Row],[Impact on - FIN]],'System List'!$F$4:$H$7,3,FALSE),0)</f>
        <v>0</v>
      </c>
      <c r="BK175" s="2">
        <f>IFERROR(VLOOKUP(InputTable[[#This Row],[Impact on - GEN SEC]],'System List'!$F$4:$H$7,3,FALSE),0)</f>
        <v>0</v>
      </c>
      <c r="BL175" s="2">
        <f>IFERROR(VLOOKUP(InputTable[[#This Row],[Impact on - HR]],'System List'!$F$4:$H$7,3,FALSE),0)</f>
        <v>0</v>
      </c>
      <c r="BM175" s="2">
        <f>IFERROR(VLOOKUP(InputTable[[#This Row],[Impact on - IS]],'System List'!$F$4:$H$7,3,FALSE),0)</f>
        <v>0</v>
      </c>
      <c r="BN175" s="2">
        <f>IFERROR(VLOOKUP(InputTable[[#This Row],[Impact on - OPS]],'System List'!$F$4:$H$7,3,FALSE),0)</f>
        <v>0</v>
      </c>
      <c r="BO175" s="2">
        <f>IFERROR(VLOOKUP(InputTable[[#This Row],[Impact on - ROLL STOCK]],'System List'!$F$4:$H$7,3,FALSE),0)</f>
        <v>0</v>
      </c>
      <c r="BP175" s="2">
        <f>IFERROR(VLOOKUP(InputTable[[#This Row],[Impact on - SAFETY]],'System List'!$F$4:$H$7,3,FALSE),0)</f>
        <v>0</v>
      </c>
      <c r="BQ175" s="2">
        <f>IFERROR(VLOOKUP(InputTable[[#This Row],[Impact on - STATION]],'System List'!$F$4:$H$7,3,FALSE),0)</f>
        <v>0</v>
      </c>
      <c r="BR175" s="2">
        <f>IFERROR(VLOOKUP(InputTable[[#This Row],[Impact on - STRAT]],'System List'!$F$4:$H$7,3,FALSE),0)</f>
        <v>0</v>
      </c>
      <c r="BT175" s="2">
        <f>IFERROR(VLOOKUP(InputTable[[#This Row],[CORPHRFIN]],'System List'!$F$4:$H$7,3,FALSE),0)</f>
        <v>0</v>
      </c>
      <c r="BU175" s="2">
        <f>IFERROR(VLOOKUP(InputTable[[#This Row],[CUST]],'System List'!$F$4:$H$7,3,FALSE),0)</f>
        <v>0</v>
      </c>
      <c r="BV175" s="2">
        <f>IFERROR(VLOOKUP(InputTable[[#This Row],[CYBER]],'System List'!$F$4:$H$7,3,FALSE),0)</f>
        <v>0</v>
      </c>
      <c r="BW175" s="2">
        <f>IFERROR(VLOOKUP(InputTable[[#This Row],[DATA]],'System List'!$F$4:$H$7,3,FALSE),0)</f>
        <v>0</v>
      </c>
      <c r="BX175" s="2">
        <f>IFERROR(VLOOKUP(InputTable[[#This Row],[INFRA]],'System List'!$F$4:$H$7,3,FALSE),0)</f>
        <v>0</v>
      </c>
      <c r="BY175" s="2">
        <f>IFERROR(VLOOKUP(InputTable[[#This Row],[OPERATIONS]],'System List'!$F$4:$H$7,3,FALSE),0)</f>
        <v>0</v>
      </c>
      <c r="BZ175" s="2">
        <f>IFERROR(VLOOKUP(InputTable[[#This Row],[PMO]],'System List'!$F$4:$H$7,3,FALSE),0)</f>
        <v>0</v>
      </c>
      <c r="CA175" s="2">
        <f>IFERROR(VLOOKUP(InputTable[[#This Row],[SALES]],'System List'!$F$4:$H$7,3,FALSE),0)</f>
        <v>0</v>
      </c>
      <c r="CC175" s="2" cm="1">
        <f t="array" ref="CC17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5" s="2" cm="1">
        <f t="array" ref="CD17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5" s="2" cm="1">
        <f t="array" ref="CE17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5" s="2" cm="1">
        <f t="array" ref="CF17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5" s="2" cm="1">
        <f t="array" ref="CG17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5" s="2" cm="1">
        <f t="array" ref="CH17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5" s="2" cm="1">
        <f t="array" ref="CI17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5" s="2" cm="1">
        <f t="array" ref="CJ17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5" s="2" cm="1">
        <f t="array" ref="CK17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5" s="26">
        <f t="shared" si="451"/>
        <v>0</v>
      </c>
      <c r="CY175" s="26">
        <f t="shared" si="452"/>
        <v>0</v>
      </c>
      <c r="CZ175" s="26">
        <f t="shared" si="453"/>
        <v>0</v>
      </c>
      <c r="DA175" s="26">
        <f t="shared" si="454"/>
        <v>0</v>
      </c>
      <c r="DB175" s="26">
        <f t="shared" si="455"/>
        <v>0</v>
      </c>
      <c r="DC175" s="26">
        <f t="shared" si="456"/>
        <v>0</v>
      </c>
      <c r="DD175" s="26">
        <f t="shared" si="457"/>
        <v>0</v>
      </c>
      <c r="DE175" s="26">
        <f t="shared" si="458"/>
        <v>0</v>
      </c>
      <c r="DF175" s="26">
        <f t="shared" si="459"/>
        <v>0</v>
      </c>
      <c r="DH175" s="26">
        <f t="shared" si="460"/>
        <v>0</v>
      </c>
      <c r="DI175" s="26">
        <f t="shared" si="461"/>
        <v>0</v>
      </c>
      <c r="DJ175" s="26">
        <f t="shared" si="462"/>
        <v>0</v>
      </c>
      <c r="DK175" s="26">
        <f t="shared" si="463"/>
        <v>0</v>
      </c>
      <c r="DL175" s="26">
        <f t="shared" si="464"/>
        <v>0</v>
      </c>
      <c r="DM175" s="26">
        <f t="shared" si="465"/>
        <v>0</v>
      </c>
      <c r="DN175" s="26">
        <f t="shared" si="466"/>
        <v>0</v>
      </c>
      <c r="DO175" s="26">
        <f t="shared" si="467"/>
        <v>0</v>
      </c>
      <c r="DP175" s="26">
        <f t="shared" si="468"/>
        <v>0</v>
      </c>
      <c r="DR175" s="26">
        <f t="shared" si="469"/>
        <v>0</v>
      </c>
      <c r="DS175" s="26">
        <f t="shared" si="470"/>
        <v>0</v>
      </c>
      <c r="DT175" s="26">
        <f t="shared" si="471"/>
        <v>0</v>
      </c>
      <c r="DU175" s="26">
        <f t="shared" si="472"/>
        <v>0</v>
      </c>
      <c r="DV175" s="26">
        <f t="shared" si="473"/>
        <v>0</v>
      </c>
      <c r="DW175" s="26">
        <f t="shared" si="474"/>
        <v>0</v>
      </c>
      <c r="DX175" s="26">
        <f t="shared" si="475"/>
        <v>0</v>
      </c>
      <c r="DY175" s="26">
        <f t="shared" si="476"/>
        <v>0</v>
      </c>
      <c r="DZ175" s="26">
        <f t="shared" si="477"/>
        <v>0</v>
      </c>
      <c r="EB175" s="26">
        <f t="shared" si="478"/>
        <v>0</v>
      </c>
      <c r="EC175" s="26">
        <f t="shared" si="479"/>
        <v>0</v>
      </c>
      <c r="ED175" s="26">
        <f t="shared" si="480"/>
        <v>0</v>
      </c>
      <c r="EE175" s="26">
        <f t="shared" si="481"/>
        <v>0</v>
      </c>
      <c r="EF175" s="26">
        <f t="shared" si="482"/>
        <v>0</v>
      </c>
      <c r="EG175" s="26">
        <f t="shared" si="483"/>
        <v>0</v>
      </c>
      <c r="EH175" s="26">
        <f t="shared" si="484"/>
        <v>0</v>
      </c>
      <c r="EI175" s="26">
        <f t="shared" si="485"/>
        <v>0</v>
      </c>
      <c r="EJ175" s="26">
        <f t="shared" si="486"/>
        <v>0</v>
      </c>
      <c r="EL175" s="26">
        <f t="shared" si="487"/>
        <v>0</v>
      </c>
      <c r="EM175" s="26">
        <f t="shared" si="488"/>
        <v>0</v>
      </c>
      <c r="EN175" s="26">
        <f t="shared" si="489"/>
        <v>0</v>
      </c>
      <c r="EO175" s="26">
        <f t="shared" si="490"/>
        <v>0</v>
      </c>
      <c r="EP175" s="26">
        <f t="shared" si="491"/>
        <v>0</v>
      </c>
      <c r="EQ175" s="26">
        <f t="shared" si="492"/>
        <v>0</v>
      </c>
      <c r="ER175" s="26">
        <f t="shared" si="493"/>
        <v>0</v>
      </c>
      <c r="ES175" s="26">
        <f t="shared" si="494"/>
        <v>0</v>
      </c>
      <c r="ET175" s="26">
        <f t="shared" si="495"/>
        <v>0</v>
      </c>
      <c r="EV175" s="26">
        <f t="shared" si="496"/>
        <v>0</v>
      </c>
      <c r="EW175" s="26">
        <f t="shared" si="497"/>
        <v>0</v>
      </c>
      <c r="EX175" s="26">
        <f t="shared" si="498"/>
        <v>0</v>
      </c>
      <c r="EY175" s="26">
        <f t="shared" si="499"/>
        <v>0</v>
      </c>
      <c r="EZ175" s="26">
        <f t="shared" si="500"/>
        <v>0</v>
      </c>
      <c r="FA175" s="26">
        <f t="shared" si="501"/>
        <v>0</v>
      </c>
      <c r="FB175" s="26">
        <f t="shared" si="502"/>
        <v>0</v>
      </c>
      <c r="FC175" s="26">
        <f t="shared" si="503"/>
        <v>0</v>
      </c>
      <c r="FD175" s="26">
        <f t="shared" si="504"/>
        <v>0</v>
      </c>
      <c r="FF175" s="26">
        <f t="shared" si="505"/>
        <v>0</v>
      </c>
      <c r="FG175" s="26">
        <f t="shared" si="506"/>
        <v>0</v>
      </c>
      <c r="FH175" s="26">
        <f t="shared" si="507"/>
        <v>0</v>
      </c>
      <c r="FI175" s="26">
        <f t="shared" si="508"/>
        <v>0</v>
      </c>
      <c r="FJ175" s="26">
        <f t="shared" si="509"/>
        <v>0</v>
      </c>
      <c r="FK175" s="26">
        <f t="shared" si="510"/>
        <v>0</v>
      </c>
      <c r="FL175" s="26">
        <f t="shared" si="511"/>
        <v>0</v>
      </c>
      <c r="FM175" s="26">
        <f t="shared" si="512"/>
        <v>0</v>
      </c>
      <c r="FN175" s="26">
        <f t="shared" si="513"/>
        <v>0</v>
      </c>
      <c r="FP175" s="26" t="e">
        <f t="shared" si="514"/>
        <v>#REF!</v>
      </c>
      <c r="FQ175" s="26" t="e">
        <f t="shared" si="515"/>
        <v>#REF!</v>
      </c>
      <c r="FR175" s="26" t="e">
        <f t="shared" si="516"/>
        <v>#REF!</v>
      </c>
      <c r="FS175" s="26" t="e">
        <f t="shared" si="517"/>
        <v>#REF!</v>
      </c>
      <c r="FT175" s="26" t="e">
        <f t="shared" si="518"/>
        <v>#REF!</v>
      </c>
      <c r="FU175" s="26" t="e">
        <f t="shared" si="519"/>
        <v>#REF!</v>
      </c>
      <c r="FV175" s="26" t="e">
        <f t="shared" si="520"/>
        <v>#REF!</v>
      </c>
      <c r="FW175" s="26" t="e">
        <f t="shared" si="521"/>
        <v>#REF!</v>
      </c>
      <c r="FX175" s="26" t="e">
        <f t="shared" si="522"/>
        <v>#REF!</v>
      </c>
      <c r="GB175" s="26" t="e">
        <f>IF(GB$2=InputTable[[#This Row],[Delivery Date]],_xlfn.XLOOKUP(GB$1,$BH$2:$BR$2,$BH175:$BR175,0),0)</f>
        <v>#REF!</v>
      </c>
      <c r="GC175" s="26">
        <f>IF(GC$2=InputTable[[#This Row],[Delivery Date]],_xlfn.XLOOKUP(GC$1,$BH$2:$BR$2,$BH175:$BR175,0),0)</f>
        <v>0</v>
      </c>
      <c r="GD175" s="26">
        <f>IF(GD$2=InputTable[[#This Row],[Delivery Date]],_xlfn.XLOOKUP(GD$1,$BH$2:$BR$2,$BH175:$BR175,0),0)</f>
        <v>0</v>
      </c>
      <c r="GE175" s="26">
        <f>IF(GE$2=InputTable[[#This Row],[Delivery Date]],_xlfn.XLOOKUP(GE$1,$BH$2:$BR$2,$BH175:$BR175,0),0)</f>
        <v>0</v>
      </c>
      <c r="GF175" s="26">
        <f>IF(GF$2=InputTable[[#This Row],[Delivery Date]],_xlfn.XLOOKUP(GF$1,$BH$2:$BR$2,$BH175:$BR175,0),0)</f>
        <v>0</v>
      </c>
      <c r="GG175" s="26">
        <f>IF(GG$2=InputTable[[#This Row],[Delivery Date]],_xlfn.XLOOKUP(GG$1,$BH$2:$BR$2,$BH175:$BR175,0),0)</f>
        <v>0</v>
      </c>
      <c r="GH175" s="26">
        <f>IF(GH$2=InputTable[[#This Row],[Delivery Date]],_xlfn.XLOOKUP(GH$1,$BH$2:$BR$2,$BH175:$BR175,0),0)</f>
        <v>0</v>
      </c>
      <c r="GI175" s="26">
        <f>IF(GI$2=InputTable[[#This Row],[Delivery Date]],_xlfn.XLOOKUP(GI$1,$BH$2:$BR$2,$BH175:$BR175,0),0)</f>
        <v>0</v>
      </c>
      <c r="GJ175" s="26">
        <f>IF(GJ$2=InputTable[[#This Row],[Delivery Date]],_xlfn.XLOOKUP(GJ$1,$BH$2:$BR$2,$BH175:$BR175,0),0)</f>
        <v>0</v>
      </c>
      <c r="GL175" s="26" t="e">
        <f>IF(GL$2=InputTable[[#This Row],[Delivery Date]],_xlfn.XLOOKUP(GL$1,$BH$2:$BR$2,$BH175:$BR175,0),0)</f>
        <v>#REF!</v>
      </c>
      <c r="GM175" s="26">
        <f>IF(GM$2=InputTable[[#This Row],[Delivery Date]],_xlfn.XLOOKUP(GM$1,$BH$2:$BR$2,$BH175:$BR175,0),0)</f>
        <v>0</v>
      </c>
      <c r="GN175" s="26">
        <f>IF(GN$2=InputTable[[#This Row],[Delivery Date]],_xlfn.XLOOKUP(GN$1,$BH$2:$BR$2,$BH175:$BR175,0),0)</f>
        <v>0</v>
      </c>
      <c r="GO175" s="26">
        <f>IF(GO$2=InputTable[[#This Row],[Delivery Date]],_xlfn.XLOOKUP(GO$1,$BH$2:$BR$2,$BH175:$BR175,0),0)</f>
        <v>0</v>
      </c>
      <c r="GP175" s="26">
        <f>IF(GP$2=InputTable[[#This Row],[Delivery Date]],_xlfn.XLOOKUP(GP$1,$BH$2:$BR$2,$BH175:$BR175,0),0)</f>
        <v>0</v>
      </c>
      <c r="GQ175" s="26">
        <f>IF(GQ$2=InputTable[[#This Row],[Delivery Date]],_xlfn.XLOOKUP(GQ$1,$BH$2:$BR$2,$BH175:$BR175,0),0)</f>
        <v>0</v>
      </c>
      <c r="GR175" s="26">
        <f>IF(GR$2=InputTable[[#This Row],[Delivery Date]],_xlfn.XLOOKUP(GR$1,$BH$2:$BR$2,$BH175:$BR175,0),0)</f>
        <v>0</v>
      </c>
      <c r="GS175" s="26">
        <f>IF(GS$2=InputTable[[#This Row],[Delivery Date]],_xlfn.XLOOKUP(GS$1,$BH$2:$BR$2,$BH175:$BR175,0),0)</f>
        <v>0</v>
      </c>
      <c r="GT175" s="26">
        <f>IF(GT$2=InputTable[[#This Row],[Delivery Date]],_xlfn.XLOOKUP(GT$1,$BH$2:$BR$2,$BH175:$BR175,0),0)</f>
        <v>0</v>
      </c>
      <c r="GV175" s="26" t="e">
        <f>IF(GV$2=InputTable[[#This Row],[Delivery Date]],_xlfn.XLOOKUP(GV$1,$BH$2:$BR$2,$BH175:$BR175,0),0)</f>
        <v>#REF!</v>
      </c>
      <c r="GW175" s="26">
        <f>IF(GW$2=InputTable[[#This Row],[Delivery Date]],_xlfn.XLOOKUP(GW$1,$BH$2:$BR$2,$BH175:$BR175,0),0)</f>
        <v>0</v>
      </c>
      <c r="GX175" s="26">
        <f>IF(GX$2=InputTable[[#This Row],[Delivery Date]],_xlfn.XLOOKUP(GX$1,$BH$2:$BR$2,$BH175:$BR175,0),0)</f>
        <v>0</v>
      </c>
      <c r="GY175" s="26">
        <f>IF(GY$2=InputTable[[#This Row],[Delivery Date]],_xlfn.XLOOKUP(GY$1,$BH$2:$BR$2,$BH175:$BR175,0),0)</f>
        <v>0</v>
      </c>
      <c r="GZ175" s="26">
        <f>IF(GZ$2=InputTable[[#This Row],[Delivery Date]],_xlfn.XLOOKUP(GZ$1,$BH$2:$BR$2,$BH175:$BR175,0),0)</f>
        <v>0</v>
      </c>
      <c r="HA175" s="26">
        <f>IF(HA$2=InputTable[[#This Row],[Delivery Date]],_xlfn.XLOOKUP(HA$1,$BH$2:$BR$2,$BH175:$BR175,0),0)</f>
        <v>0</v>
      </c>
      <c r="HB175" s="26">
        <f>IF(HB$2=InputTable[[#This Row],[Delivery Date]],_xlfn.XLOOKUP(HB$1,$BH$2:$BR$2,$BH175:$BR175,0),0)</f>
        <v>0</v>
      </c>
      <c r="HC175" s="26">
        <f>IF(HC$2=InputTable[[#This Row],[Delivery Date]],_xlfn.XLOOKUP(HC$1,$BH$2:$BR$2,$BH175:$BR175,0),0)</f>
        <v>0</v>
      </c>
      <c r="HD175" s="26">
        <f>IF(HD$2=InputTable[[#This Row],[Delivery Date]],_xlfn.XLOOKUP(HD$1,$BH$2:$BR$2,$BH175:$BR175,0),0)</f>
        <v>0</v>
      </c>
      <c r="HF175" s="26" t="e">
        <f>IF(HF$2=InputTable[[#This Row],[Delivery Date]],_xlfn.XLOOKUP(HF$1,$BH$2:$BR$2,$BH175:$BR175,0),0)</f>
        <v>#REF!</v>
      </c>
      <c r="HG175" s="26">
        <f>IF(HG$2=InputTable[[#This Row],[Delivery Date]],_xlfn.XLOOKUP(HG$1,$BH$2:$BR$2,$BH175:$BR175,0),0)</f>
        <v>0</v>
      </c>
      <c r="HH175" s="26">
        <f>IF(HH$2=InputTable[[#This Row],[Delivery Date]],_xlfn.XLOOKUP(HH$1,$BH$2:$BR$2,$BH175:$BR175,0),0)</f>
        <v>0</v>
      </c>
      <c r="HI175" s="26">
        <f>IF(HI$2=InputTable[[#This Row],[Delivery Date]],_xlfn.XLOOKUP(HI$1,$BH$2:$BR$2,$BH175:$BR175,0),0)</f>
        <v>0</v>
      </c>
      <c r="HJ175" s="26">
        <f>IF(HJ$2=InputTable[[#This Row],[Delivery Date]],_xlfn.XLOOKUP(HJ$1,$BH$2:$BR$2,$BH175:$BR175,0),0)</f>
        <v>0</v>
      </c>
      <c r="HK175" s="26">
        <f>IF(HK$2=InputTable[[#This Row],[Delivery Date]],_xlfn.XLOOKUP(HK$1,$BH$2:$BR$2,$BH175:$BR175,0),0)</f>
        <v>0</v>
      </c>
      <c r="HL175" s="26">
        <f>IF(HL$2=InputTable[[#This Row],[Delivery Date]],_xlfn.XLOOKUP(HL$1,$BH$2:$BR$2,$BH175:$BR175,0),0)</f>
        <v>0</v>
      </c>
      <c r="HM175" s="26">
        <f>IF(HM$2=InputTable[[#This Row],[Delivery Date]],_xlfn.XLOOKUP(HM$1,$BH$2:$BR$2,$BH175:$BR175,0),0)</f>
        <v>0</v>
      </c>
      <c r="HN175" s="26">
        <f>IF(HN$2=InputTable[[#This Row],[Delivery Date]],_xlfn.XLOOKUP(HN$1,$BH$2:$BR$2,$BH175:$BR175,0),0)</f>
        <v>0</v>
      </c>
      <c r="HP175" s="26" t="e">
        <f>IF(HP$2=InputTable[[#This Row],[Delivery Date]],_xlfn.XLOOKUP(HP$1,$BH$2:$BR$2,$BH175:$BR175,0),0)</f>
        <v>#REF!</v>
      </c>
      <c r="HQ175" s="26">
        <f>IF(HQ$2=InputTable[[#This Row],[Delivery Date]],_xlfn.XLOOKUP(HQ$1,$BH$2:$BR$2,$BH175:$BR175,0),0)</f>
        <v>0</v>
      </c>
      <c r="HR175" s="26">
        <f>IF(HR$2=InputTable[[#This Row],[Delivery Date]],_xlfn.XLOOKUP(HR$1,$BH$2:$BR$2,$BH175:$BR175,0),0)</f>
        <v>0</v>
      </c>
      <c r="HS175" s="26">
        <f>IF(HS$2=InputTable[[#This Row],[Delivery Date]],_xlfn.XLOOKUP(HS$1,$BH$2:$BR$2,$BH175:$BR175,0),0)</f>
        <v>0</v>
      </c>
      <c r="HT175" s="26">
        <f>IF(HT$2=InputTable[[#This Row],[Delivery Date]],_xlfn.XLOOKUP(HT$1,$BH$2:$BR$2,$BH175:$BR175,0),0)</f>
        <v>0</v>
      </c>
      <c r="HU175" s="26">
        <f>IF(HU$2=InputTable[[#This Row],[Delivery Date]],_xlfn.XLOOKUP(HU$1,$BH$2:$BR$2,$BH175:$BR175,0),0)</f>
        <v>0</v>
      </c>
      <c r="HV175" s="26">
        <f>IF(HV$2=InputTable[[#This Row],[Delivery Date]],_xlfn.XLOOKUP(HV$1,$BH$2:$BR$2,$BH175:$BR175,0),0)</f>
        <v>0</v>
      </c>
      <c r="HW175" s="26">
        <f>IF(HW$2=InputTable[[#This Row],[Delivery Date]],_xlfn.XLOOKUP(HW$1,$BH$2:$BR$2,$BH175:$BR175,0),0)</f>
        <v>0</v>
      </c>
      <c r="HX175" s="26">
        <f>IF(HX$2=InputTable[[#This Row],[Delivery Date]],_xlfn.XLOOKUP(HX$1,$BH$2:$BR$2,$BH175:$BR175,0),0)</f>
        <v>0</v>
      </c>
      <c r="HZ175" s="26" t="e">
        <f>IF(HZ$2=InputTable[[#This Row],[Delivery Date]],_xlfn.XLOOKUP(HZ$1,$BH$2:$BR$2,$BH175:$BR175,0),0)</f>
        <v>#REF!</v>
      </c>
      <c r="IA175" s="26">
        <f>IF(IA$2=InputTable[[#This Row],[Delivery Date]],_xlfn.XLOOKUP(IA$1,$BH$2:$BR$2,$BH175:$BR175,0),0)</f>
        <v>0</v>
      </c>
      <c r="IB175" s="26">
        <f>IF(IB$2=InputTable[[#This Row],[Delivery Date]],_xlfn.XLOOKUP(IB$1,$BH$2:$BR$2,$BH175:$BR175,0),0)</f>
        <v>0</v>
      </c>
      <c r="IC175" s="26">
        <f>IF(IC$2=InputTable[[#This Row],[Delivery Date]],_xlfn.XLOOKUP(IC$1,$BH$2:$BR$2,$BH175:$BR175,0),0)</f>
        <v>0</v>
      </c>
      <c r="ID175" s="26">
        <f>IF(ID$2=InputTable[[#This Row],[Delivery Date]],_xlfn.XLOOKUP(ID$1,$BH$2:$BR$2,$BH175:$BR175,0),0)</f>
        <v>0</v>
      </c>
      <c r="IE175" s="26">
        <f>IF(IE$2=InputTable[[#This Row],[Delivery Date]],_xlfn.XLOOKUP(IE$1,$BH$2:$BR$2,$BH175:$BR175,0),0)</f>
        <v>0</v>
      </c>
      <c r="IF175" s="26">
        <f>IF(IF$2=InputTable[[#This Row],[Delivery Date]],_xlfn.XLOOKUP(IF$1,$BH$2:$BR$2,$BH175:$BR175,0),0)</f>
        <v>0</v>
      </c>
      <c r="IG175" s="26">
        <f>IF(IG$2=InputTable[[#This Row],[Delivery Date]],_xlfn.XLOOKUP(IG$1,$BH$2:$BR$2,$BH175:$BR175,0),0)</f>
        <v>0</v>
      </c>
      <c r="IH175" s="26">
        <f>IF(IH$2=InputTable[[#This Row],[Delivery Date]],_xlfn.XLOOKUP(IH$1,$BH$2:$BR$2,$BH175:$BR175,0),0)</f>
        <v>0</v>
      </c>
      <c r="IJ175" s="26" t="e">
        <f>IF(IJ$2=InputTable[[#This Row],[Delivery Date]],_xlfn.XLOOKUP(IJ$1,$BH$2:$BR$2,$BH175:$BR175,0),0)</f>
        <v>#REF!</v>
      </c>
      <c r="IK175" s="26">
        <f>IF(IK$2=InputTable[[#This Row],[Delivery Date]],_xlfn.XLOOKUP(IK$1,$BH$2:$BR$2,$BH175:$BR175,0),0)</f>
        <v>0</v>
      </c>
      <c r="IL175" s="26">
        <f>IF(IL$2=InputTable[[#This Row],[Delivery Date]],_xlfn.XLOOKUP(IL$1,$BH$2:$BR$2,$BH175:$BR175,0),0)</f>
        <v>0</v>
      </c>
      <c r="IM175" s="26">
        <f>IF(IM$2=InputTable[[#This Row],[Delivery Date]],_xlfn.XLOOKUP(IM$1,$BH$2:$BR$2,$BH175:$BR175,0),0)</f>
        <v>0</v>
      </c>
      <c r="IN175" s="26">
        <f>IF(IN$2=InputTable[[#This Row],[Delivery Date]],_xlfn.XLOOKUP(IN$1,$BH$2:$BR$2,$BH175:$BR175,0),0)</f>
        <v>0</v>
      </c>
      <c r="IO175" s="26">
        <f>IF(IO$2=InputTable[[#This Row],[Delivery Date]],_xlfn.XLOOKUP(IO$1,$BH$2:$BR$2,$BH175:$BR175,0),0)</f>
        <v>0</v>
      </c>
      <c r="IP175" s="26">
        <f>IF(IP$2=InputTable[[#This Row],[Delivery Date]],_xlfn.XLOOKUP(IP$1,$BH$2:$BR$2,$BH175:$BR175,0),0)</f>
        <v>0</v>
      </c>
      <c r="IQ175" s="26">
        <f>IF(IQ$2=InputTable[[#This Row],[Delivery Date]],_xlfn.XLOOKUP(IQ$1,$BH$2:$BR$2,$BH175:$BR175,0),0)</f>
        <v>0</v>
      </c>
      <c r="IR175" s="26">
        <f>IF(IR$2=InputTable[[#This Row],[Delivery Date]],_xlfn.XLOOKUP(IR$1,$BH$2:$BR$2,$BH175:$BR175,0),0)</f>
        <v>0</v>
      </c>
      <c r="IT175" s="26" t="e">
        <f>IF(IT$2=InputTable[[#This Row],[Delivery Date]],_xlfn.XLOOKUP(IT$1,$BH$2:$BR$2,$BH175:$BR175,0),0)</f>
        <v>#REF!</v>
      </c>
      <c r="IU175" s="26">
        <f>IF(IU$2=InputTable[[#This Row],[Delivery Date]],_xlfn.XLOOKUP(IU$1,$BH$2:$BR$2,$BH175:$BR175,0),0)</f>
        <v>0</v>
      </c>
      <c r="IV175" s="26">
        <f>IF(IV$2=InputTable[[#This Row],[Delivery Date]],_xlfn.XLOOKUP(IV$1,$BH$2:$BR$2,$BH175:$BR175,0),0)</f>
        <v>0</v>
      </c>
      <c r="IW175" s="26">
        <f>IF(IW$2=InputTable[[#This Row],[Delivery Date]],_xlfn.XLOOKUP(IW$1,$BH$2:$BR$2,$BH175:$BR175,0),0)</f>
        <v>0</v>
      </c>
      <c r="IX175" s="26">
        <f>IF(IX$2=InputTable[[#This Row],[Delivery Date]],_xlfn.XLOOKUP(IX$1,$BH$2:$BR$2,$BH175:$BR175,0),0)</f>
        <v>0</v>
      </c>
      <c r="IY175" s="26">
        <f>IF(IY$2=InputTable[[#This Row],[Delivery Date]],_xlfn.XLOOKUP(IY$1,$BH$2:$BR$2,$BH175:$BR175,0),0)</f>
        <v>0</v>
      </c>
      <c r="IZ175" s="26">
        <f>IF(IZ$2=InputTable[[#This Row],[Delivery Date]],_xlfn.XLOOKUP(IZ$1,$BH$2:$BR$2,$BH175:$BR175,0),0)</f>
        <v>0</v>
      </c>
      <c r="JA175" s="26">
        <f>IF(JA$2=InputTable[[#This Row],[Delivery Date]],_xlfn.XLOOKUP(JA$1,$BH$2:$BR$2,$BH175:$BR175,0),0)</f>
        <v>0</v>
      </c>
      <c r="JB175" s="26">
        <f>IF(JB$2=InputTable[[#This Row],[Delivery Date]],_xlfn.XLOOKUP(JB$1,$BH$2:$BR$2,$BH175:$BR175,0),0)</f>
        <v>0</v>
      </c>
      <c r="JD175" s="26" t="e">
        <f>IF(JD$2=InputTable[[#This Row],[Delivery Date]],_xlfn.XLOOKUP(JD$1,$BH$2:$BR$2,$BH175:$BR175,0),0)</f>
        <v>#REF!</v>
      </c>
      <c r="JE175" s="26">
        <f>IF(JE$2=InputTable[[#This Row],[Delivery Date]],_xlfn.XLOOKUP(JE$1,$BH$2:$BR$2,$BH175:$BR175,0),0)</f>
        <v>0</v>
      </c>
      <c r="JF175" s="26">
        <f>IF(JF$2=InputTable[[#This Row],[Delivery Date]],_xlfn.XLOOKUP(JF$1,$BH$2:$BR$2,$BH175:$BR175,0),0)</f>
        <v>0</v>
      </c>
      <c r="JG175" s="26">
        <f>IF(JG$2=InputTable[[#This Row],[Delivery Date]],_xlfn.XLOOKUP(JG$1,$BH$2:$BR$2,$BH175:$BR175,0),0)</f>
        <v>0</v>
      </c>
      <c r="JH175" s="26">
        <f>IF(JH$2=InputTable[[#This Row],[Delivery Date]],_xlfn.XLOOKUP(JH$1,$BH$2:$BR$2,$BH175:$BR175,0),0)</f>
        <v>0</v>
      </c>
      <c r="JI175" s="26">
        <f>IF(JI$2=InputTable[[#This Row],[Delivery Date]],_xlfn.XLOOKUP(JI$1,$BH$2:$BR$2,$BH175:$BR175,0),0)</f>
        <v>0</v>
      </c>
      <c r="JJ175" s="26">
        <f>IF(JJ$2=InputTable[[#This Row],[Delivery Date]],_xlfn.XLOOKUP(JJ$1,$BH$2:$BR$2,$BH175:$BR175,0),0)</f>
        <v>0</v>
      </c>
      <c r="JK175" s="26">
        <f>IF(JK$2=InputTable[[#This Row],[Delivery Date]],_xlfn.XLOOKUP(JK$1,$BH$2:$BR$2,$BH175:$BR175,0),0)</f>
        <v>0</v>
      </c>
      <c r="JL175" s="26">
        <f>IF(JL$2=InputTable[[#This Row],[Delivery Date]],_xlfn.XLOOKUP(JL$1,$BH$2:$BR$2,$BH175:$BR175,0),0)</f>
        <v>0</v>
      </c>
      <c r="JN175" s="26" t="e">
        <f>IF(JN$2=InputTable[[#This Row],[Delivery Date]],_xlfn.XLOOKUP(JN$1,$BH$2:$BR$2,$BH175:$BR175,0),0)</f>
        <v>#REF!</v>
      </c>
      <c r="JO175" s="26">
        <f>IF(JO$2=InputTable[[#This Row],[Delivery Date]],_xlfn.XLOOKUP(JO$1,$BH$2:$BR$2,$BH175:$BR175,0),0)</f>
        <v>0</v>
      </c>
      <c r="JP175" s="26">
        <f>IF(JP$2=InputTable[[#This Row],[Delivery Date]],_xlfn.XLOOKUP(JP$1,$BH$2:$BR$2,$BH175:$BR175,0),0)</f>
        <v>0</v>
      </c>
      <c r="JQ175" s="26">
        <f>IF(JQ$2=InputTable[[#This Row],[Delivery Date]],_xlfn.XLOOKUP(JQ$1,$BH$2:$BR$2,$BH175:$BR175,0),0)</f>
        <v>0</v>
      </c>
      <c r="JR175" s="26">
        <f>IF(JR$2=InputTable[[#This Row],[Delivery Date]],_xlfn.XLOOKUP(JR$1,$BH$2:$BR$2,$BH175:$BR175,0),0)</f>
        <v>0</v>
      </c>
      <c r="JS175" s="26">
        <f>IF(JS$2=InputTable[[#This Row],[Delivery Date]],_xlfn.XLOOKUP(JS$1,$BH$2:$BR$2,$BH175:$BR175,0),0)</f>
        <v>0</v>
      </c>
      <c r="JT175" s="26">
        <f>IF(JT$2=InputTable[[#This Row],[Delivery Date]],_xlfn.XLOOKUP(JT$1,$BH$2:$BR$2,$BH175:$BR175,0),0)</f>
        <v>0</v>
      </c>
      <c r="JU175" s="26">
        <f>IF(JU$2=InputTable[[#This Row],[Delivery Date]],_xlfn.XLOOKUP(JU$1,$BH$2:$BR$2,$BH175:$BR175,0),0)</f>
        <v>0</v>
      </c>
      <c r="JV175" s="26">
        <f>IF(JV$2=InputTable[[#This Row],[Delivery Date]],_xlfn.XLOOKUP(JV$1,$BH$2:$BR$2,$BH175:$BR175,0),0)</f>
        <v>0</v>
      </c>
      <c r="JX175" s="26" t="e">
        <f>IF(JX$2=InputTable[[#This Row],[Delivery Date]],_xlfn.XLOOKUP(JX$1,$BH$2:$BR$2,$BH175:$BR175,0),0)</f>
        <v>#REF!</v>
      </c>
      <c r="JY175" s="26">
        <f>IF(JY$2=InputTable[[#This Row],[Delivery Date]],_xlfn.XLOOKUP(JY$1,$BH$2:$BR$2,$BH175:$BR175,0),0)</f>
        <v>0</v>
      </c>
      <c r="JZ175" s="26">
        <f>IF(JZ$2=InputTable[[#This Row],[Delivery Date]],_xlfn.XLOOKUP(JZ$1,$BH$2:$BR$2,$BH175:$BR175,0),0)</f>
        <v>0</v>
      </c>
      <c r="KA175" s="26">
        <f>IF(KA$2=InputTable[[#This Row],[Delivery Date]],_xlfn.XLOOKUP(KA$1,$BH$2:$BR$2,$BH175:$BR175,0),0)</f>
        <v>0</v>
      </c>
      <c r="KB175" s="26">
        <f>IF(KB$2=InputTable[[#This Row],[Delivery Date]],_xlfn.XLOOKUP(KB$1,$BH$2:$BR$2,$BH175:$BR175,0),0)</f>
        <v>0</v>
      </c>
      <c r="KC175" s="26">
        <f>IF(KC$2=InputTable[[#This Row],[Delivery Date]],_xlfn.XLOOKUP(KC$1,$BH$2:$BR$2,$BH175:$BR175,0),0)</f>
        <v>0</v>
      </c>
      <c r="KD175" s="26">
        <f>IF(KD$2=InputTable[[#This Row],[Delivery Date]],_xlfn.XLOOKUP(KD$1,$BH$2:$BR$2,$BH175:$BR175,0),0)</f>
        <v>0</v>
      </c>
      <c r="KE175" s="26">
        <f>IF(KE$2=InputTable[[#This Row],[Delivery Date]],_xlfn.XLOOKUP(KE$1,$BH$2:$BR$2,$BH175:$BR175,0),0)</f>
        <v>0</v>
      </c>
      <c r="KF175" s="26">
        <f>IF(KF$2=InputTable[[#This Row],[Delivery Date]],_xlfn.XLOOKUP(KF$1,$BH$2:$BR$2,$BH175:$BR175,0),0)</f>
        <v>0</v>
      </c>
    </row>
    <row r="176" spans="1:292" ht="34.799999999999997" x14ac:dyDescent="0.25">
      <c r="A176" s="125"/>
      <c r="B176" s="118"/>
      <c r="C176" s="92"/>
      <c r="D176" s="92"/>
      <c r="E176" s="103"/>
      <c r="F176" s="104"/>
      <c r="G176" s="104"/>
      <c r="H176" s="104"/>
      <c r="I176" s="104"/>
      <c r="J176" s="105"/>
      <c r="K176" s="95" t="e">
        <f>VLOOKUP((InputTable[[#This Row],[Starting Date]]&amp; " - " &amp;InputTable[[#This Row],[Delivery Date]]),'System List'!$F$40:$H$83,2,FALSE)</f>
        <v>#N/A</v>
      </c>
      <c r="L176" s="95" t="e">
        <f>VLOOKUP(InputTable[[#This Row],[Duration]],Duration,2,FALSE)</f>
        <v>#N/A</v>
      </c>
      <c r="M176" s="105"/>
      <c r="N176" s="104"/>
      <c r="O176" s="104"/>
      <c r="P176" s="104"/>
      <c r="Q176" s="104"/>
      <c r="R176" s="104"/>
      <c r="S176" s="92"/>
      <c r="T176" s="95"/>
      <c r="U176" s="138"/>
      <c r="V176" s="104"/>
      <c r="W176" s="104"/>
      <c r="X176" s="104"/>
      <c r="Y176" s="104"/>
      <c r="Z176" s="104"/>
      <c r="AA176" s="104"/>
      <c r="AB176" s="104"/>
      <c r="AC176" s="104"/>
      <c r="AD176" s="92">
        <f>COUNTA(InputTable[[#This Row],[CORPHRFIN]:[SALES]])</f>
        <v>0</v>
      </c>
      <c r="AE176" s="88" cm="1">
        <f t="array" ref="AE176">SUM(
_xlfn.XLOOKUP(InputTable[[#This Row],[CORPHRFIN]:[SALES]],'System List'!$F$4:$F$7,'System List'!$H$4:$H$7,0))</f>
        <v>0</v>
      </c>
      <c r="AF176" s="140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88" cm="1">
        <f t="array" ref="AR176">SUM(
_xlfn.XLOOKUP(InputTable[[#This Row],[Impact on - CIAL]:[Impact on - STRAT]],'System List'!$F$4:$F$7,'System List'!$H$4:$H$7,0))</f>
        <v>0</v>
      </c>
      <c r="AS176" s="88" t="e">
        <f>VLOOKUP(InputTable[[#This Row],[Duration]],Duration,2,FALSE)+InputTable[[#This Row],[Resource Score]]</f>
        <v>#N/A</v>
      </c>
      <c r="AT17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6" s="24" t="e">
        <f>InputTable[[#This Row],[Value Score]]/InputTable[[#This Row],[EFFORT SCORE]]*100</f>
        <v>#N/A</v>
      </c>
      <c r="AV176" s="25" t="s">
        <v>467</v>
      </c>
      <c r="AW176" s="25"/>
      <c r="AX176" s="208"/>
      <c r="AY176" s="25"/>
      <c r="AZ176" s="189">
        <v>0</v>
      </c>
      <c r="BA176" s="189">
        <v>0</v>
      </c>
      <c r="BB176" s="189"/>
      <c r="BC176" s="189"/>
      <c r="BD176" s="188"/>
      <c r="BE176" s="188"/>
      <c r="BF176" s="70"/>
      <c r="BH176" s="2">
        <f>IFERROR(VLOOKUP(InputTable[[#This Row],[Impact on - CIAL]],'System List'!$F$4:$H$7,3,FALSE),0)</f>
        <v>0</v>
      </c>
      <c r="BI176" s="2">
        <f>IFERROR(VLOOKUP(InputTable[[#This Row],[Impact on - COM]],'System List'!$F$4:$H$7,3,FALSE),0)</f>
        <v>0</v>
      </c>
      <c r="BJ176" s="2">
        <f>IFERROR(VLOOKUP(InputTable[[#This Row],[Impact on - FIN]],'System List'!$F$4:$H$7,3,FALSE),0)</f>
        <v>0</v>
      </c>
      <c r="BK176" s="2">
        <f>IFERROR(VLOOKUP(InputTable[[#This Row],[Impact on - GEN SEC]],'System List'!$F$4:$H$7,3,FALSE),0)</f>
        <v>0</v>
      </c>
      <c r="BL176" s="2">
        <f>IFERROR(VLOOKUP(InputTable[[#This Row],[Impact on - HR]],'System List'!$F$4:$H$7,3,FALSE),0)</f>
        <v>0</v>
      </c>
      <c r="BM176" s="2">
        <f>IFERROR(VLOOKUP(InputTable[[#This Row],[Impact on - IS]],'System List'!$F$4:$H$7,3,FALSE),0)</f>
        <v>0</v>
      </c>
      <c r="BN176" s="2">
        <f>IFERROR(VLOOKUP(InputTable[[#This Row],[Impact on - OPS]],'System List'!$F$4:$H$7,3,FALSE),0)</f>
        <v>0</v>
      </c>
      <c r="BO176" s="2">
        <f>IFERROR(VLOOKUP(InputTable[[#This Row],[Impact on - ROLL STOCK]],'System List'!$F$4:$H$7,3,FALSE),0)</f>
        <v>0</v>
      </c>
      <c r="BP176" s="2">
        <f>IFERROR(VLOOKUP(InputTable[[#This Row],[Impact on - SAFETY]],'System List'!$F$4:$H$7,3,FALSE),0)</f>
        <v>0</v>
      </c>
      <c r="BQ176" s="2">
        <f>IFERROR(VLOOKUP(InputTable[[#This Row],[Impact on - STATION]],'System List'!$F$4:$H$7,3,FALSE),0)</f>
        <v>0</v>
      </c>
      <c r="BR176" s="2">
        <f>IFERROR(VLOOKUP(InputTable[[#This Row],[Impact on - STRAT]],'System List'!$F$4:$H$7,3,FALSE),0)</f>
        <v>0</v>
      </c>
      <c r="BT176" s="2">
        <f>IFERROR(VLOOKUP(InputTable[[#This Row],[CORPHRFIN]],'System List'!$F$4:$H$7,3,FALSE),0)</f>
        <v>0</v>
      </c>
      <c r="BU176" s="2">
        <f>IFERROR(VLOOKUP(InputTable[[#This Row],[CUST]],'System List'!$F$4:$H$7,3,FALSE),0)</f>
        <v>0</v>
      </c>
      <c r="BV176" s="2">
        <f>IFERROR(VLOOKUP(InputTable[[#This Row],[CYBER]],'System List'!$F$4:$H$7,3,FALSE),0)</f>
        <v>0</v>
      </c>
      <c r="BW176" s="2">
        <f>IFERROR(VLOOKUP(InputTable[[#This Row],[DATA]],'System List'!$F$4:$H$7,3,FALSE),0)</f>
        <v>0</v>
      </c>
      <c r="BX176" s="2">
        <f>IFERROR(VLOOKUP(InputTable[[#This Row],[INFRA]],'System List'!$F$4:$H$7,3,FALSE),0)</f>
        <v>0</v>
      </c>
      <c r="BY176" s="2">
        <f>IFERROR(VLOOKUP(InputTable[[#This Row],[OPERATIONS]],'System List'!$F$4:$H$7,3,FALSE),0)</f>
        <v>0</v>
      </c>
      <c r="BZ176" s="2">
        <f>IFERROR(VLOOKUP(InputTable[[#This Row],[PMO]],'System List'!$F$4:$H$7,3,FALSE),0)</f>
        <v>0</v>
      </c>
      <c r="CA176" s="2">
        <f>IFERROR(VLOOKUP(InputTable[[#This Row],[SALES]],'System List'!$F$4:$H$7,3,FALSE),0)</f>
        <v>0</v>
      </c>
      <c r="CC176" s="2" cm="1">
        <f t="array" ref="CC17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6" s="2" cm="1">
        <f t="array" ref="CD17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6" s="2" cm="1">
        <f t="array" ref="CE17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6" s="2" cm="1">
        <f t="array" ref="CF17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6" s="2" cm="1">
        <f t="array" ref="CG17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6" s="2" cm="1">
        <f t="array" ref="CH17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6" s="2" cm="1">
        <f t="array" ref="CI17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6" s="2" cm="1">
        <f t="array" ref="CJ17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6" s="2" cm="1">
        <f t="array" ref="CK17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6" s="26">
        <f t="shared" si="451"/>
        <v>0</v>
      </c>
      <c r="CY176" s="26">
        <f t="shared" si="452"/>
        <v>0</v>
      </c>
      <c r="CZ176" s="26">
        <f t="shared" si="453"/>
        <v>0</v>
      </c>
      <c r="DA176" s="26">
        <f t="shared" si="454"/>
        <v>0</v>
      </c>
      <c r="DB176" s="26">
        <f t="shared" si="455"/>
        <v>0</v>
      </c>
      <c r="DC176" s="26">
        <f t="shared" si="456"/>
        <v>0</v>
      </c>
      <c r="DD176" s="26">
        <f t="shared" si="457"/>
        <v>0</v>
      </c>
      <c r="DE176" s="26">
        <f t="shared" si="458"/>
        <v>0</v>
      </c>
      <c r="DF176" s="26">
        <f t="shared" si="459"/>
        <v>0</v>
      </c>
      <c r="DH176" s="26">
        <f t="shared" si="460"/>
        <v>0</v>
      </c>
      <c r="DI176" s="26">
        <f t="shared" si="461"/>
        <v>0</v>
      </c>
      <c r="DJ176" s="26">
        <f t="shared" si="462"/>
        <v>0</v>
      </c>
      <c r="DK176" s="26">
        <f t="shared" si="463"/>
        <v>0</v>
      </c>
      <c r="DL176" s="26">
        <f t="shared" si="464"/>
        <v>0</v>
      </c>
      <c r="DM176" s="26">
        <f t="shared" si="465"/>
        <v>0</v>
      </c>
      <c r="DN176" s="26">
        <f t="shared" si="466"/>
        <v>0</v>
      </c>
      <c r="DO176" s="26">
        <f t="shared" si="467"/>
        <v>0</v>
      </c>
      <c r="DP176" s="26">
        <f t="shared" si="468"/>
        <v>0</v>
      </c>
      <c r="DR176" s="26">
        <f t="shared" si="469"/>
        <v>0</v>
      </c>
      <c r="DS176" s="26">
        <f t="shared" si="470"/>
        <v>0</v>
      </c>
      <c r="DT176" s="26">
        <f t="shared" si="471"/>
        <v>0</v>
      </c>
      <c r="DU176" s="26">
        <f t="shared" si="472"/>
        <v>0</v>
      </c>
      <c r="DV176" s="26">
        <f t="shared" si="473"/>
        <v>0</v>
      </c>
      <c r="DW176" s="26">
        <f t="shared" si="474"/>
        <v>0</v>
      </c>
      <c r="DX176" s="26">
        <f t="shared" si="475"/>
        <v>0</v>
      </c>
      <c r="DY176" s="26">
        <f t="shared" si="476"/>
        <v>0</v>
      </c>
      <c r="DZ176" s="26">
        <f t="shared" si="477"/>
        <v>0</v>
      </c>
      <c r="EB176" s="26">
        <f t="shared" si="478"/>
        <v>0</v>
      </c>
      <c r="EC176" s="26">
        <f t="shared" si="479"/>
        <v>0</v>
      </c>
      <c r="ED176" s="26">
        <f t="shared" si="480"/>
        <v>0</v>
      </c>
      <c r="EE176" s="26">
        <f t="shared" si="481"/>
        <v>0</v>
      </c>
      <c r="EF176" s="26">
        <f t="shared" si="482"/>
        <v>0</v>
      </c>
      <c r="EG176" s="26">
        <f t="shared" si="483"/>
        <v>0</v>
      </c>
      <c r="EH176" s="26">
        <f t="shared" si="484"/>
        <v>0</v>
      </c>
      <c r="EI176" s="26">
        <f t="shared" si="485"/>
        <v>0</v>
      </c>
      <c r="EJ176" s="26">
        <f t="shared" si="486"/>
        <v>0</v>
      </c>
      <c r="EL176" s="26">
        <f t="shared" si="487"/>
        <v>0</v>
      </c>
      <c r="EM176" s="26">
        <f t="shared" si="488"/>
        <v>0</v>
      </c>
      <c r="EN176" s="26">
        <f t="shared" si="489"/>
        <v>0</v>
      </c>
      <c r="EO176" s="26">
        <f t="shared" si="490"/>
        <v>0</v>
      </c>
      <c r="EP176" s="26">
        <f t="shared" si="491"/>
        <v>0</v>
      </c>
      <c r="EQ176" s="26">
        <f t="shared" si="492"/>
        <v>0</v>
      </c>
      <c r="ER176" s="26">
        <f t="shared" si="493"/>
        <v>0</v>
      </c>
      <c r="ES176" s="26">
        <f t="shared" si="494"/>
        <v>0</v>
      </c>
      <c r="ET176" s="26">
        <f t="shared" si="495"/>
        <v>0</v>
      </c>
      <c r="EV176" s="26">
        <f t="shared" si="496"/>
        <v>0</v>
      </c>
      <c r="EW176" s="26">
        <f t="shared" si="497"/>
        <v>0</v>
      </c>
      <c r="EX176" s="26">
        <f t="shared" si="498"/>
        <v>0</v>
      </c>
      <c r="EY176" s="26">
        <f t="shared" si="499"/>
        <v>0</v>
      </c>
      <c r="EZ176" s="26">
        <f t="shared" si="500"/>
        <v>0</v>
      </c>
      <c r="FA176" s="26">
        <f t="shared" si="501"/>
        <v>0</v>
      </c>
      <c r="FB176" s="26">
        <f t="shared" si="502"/>
        <v>0</v>
      </c>
      <c r="FC176" s="26">
        <f t="shared" si="503"/>
        <v>0</v>
      </c>
      <c r="FD176" s="26">
        <f t="shared" si="504"/>
        <v>0</v>
      </c>
      <c r="FF176" s="26">
        <f t="shared" si="505"/>
        <v>0</v>
      </c>
      <c r="FG176" s="26">
        <f t="shared" si="506"/>
        <v>0</v>
      </c>
      <c r="FH176" s="26">
        <f t="shared" si="507"/>
        <v>0</v>
      </c>
      <c r="FI176" s="26">
        <f t="shared" si="508"/>
        <v>0</v>
      </c>
      <c r="FJ176" s="26">
        <f t="shared" si="509"/>
        <v>0</v>
      </c>
      <c r="FK176" s="26">
        <f t="shared" si="510"/>
        <v>0</v>
      </c>
      <c r="FL176" s="26">
        <f t="shared" si="511"/>
        <v>0</v>
      </c>
      <c r="FM176" s="26">
        <f t="shared" si="512"/>
        <v>0</v>
      </c>
      <c r="FN176" s="26">
        <f t="shared" si="513"/>
        <v>0</v>
      </c>
      <c r="FP176" s="26" t="e">
        <f t="shared" si="514"/>
        <v>#REF!</v>
      </c>
      <c r="FQ176" s="26" t="e">
        <f t="shared" si="515"/>
        <v>#REF!</v>
      </c>
      <c r="FR176" s="26" t="e">
        <f t="shared" si="516"/>
        <v>#REF!</v>
      </c>
      <c r="FS176" s="26" t="e">
        <f t="shared" si="517"/>
        <v>#REF!</v>
      </c>
      <c r="FT176" s="26" t="e">
        <f t="shared" si="518"/>
        <v>#REF!</v>
      </c>
      <c r="FU176" s="26" t="e">
        <f t="shared" si="519"/>
        <v>#REF!</v>
      </c>
      <c r="FV176" s="26" t="e">
        <f t="shared" si="520"/>
        <v>#REF!</v>
      </c>
      <c r="FW176" s="26" t="e">
        <f t="shared" si="521"/>
        <v>#REF!</v>
      </c>
      <c r="FX176" s="26" t="e">
        <f t="shared" si="522"/>
        <v>#REF!</v>
      </c>
      <c r="GB176" s="26" t="e">
        <f>IF(GB$2=InputTable[[#This Row],[Delivery Date]],_xlfn.XLOOKUP(GB$1,$BH$2:$BR$2,$BH176:$BR176,0),0)</f>
        <v>#REF!</v>
      </c>
      <c r="GC176" s="26">
        <f>IF(GC$2=InputTable[[#This Row],[Delivery Date]],_xlfn.XLOOKUP(GC$1,$BH$2:$BR$2,$BH176:$BR176,0),0)</f>
        <v>0</v>
      </c>
      <c r="GD176" s="26">
        <f>IF(GD$2=InputTable[[#This Row],[Delivery Date]],_xlfn.XLOOKUP(GD$1,$BH$2:$BR$2,$BH176:$BR176,0),0)</f>
        <v>0</v>
      </c>
      <c r="GE176" s="26">
        <f>IF(GE$2=InputTable[[#This Row],[Delivery Date]],_xlfn.XLOOKUP(GE$1,$BH$2:$BR$2,$BH176:$BR176,0),0)</f>
        <v>0</v>
      </c>
      <c r="GF176" s="26">
        <f>IF(GF$2=InputTable[[#This Row],[Delivery Date]],_xlfn.XLOOKUP(GF$1,$BH$2:$BR$2,$BH176:$BR176,0),0)</f>
        <v>0</v>
      </c>
      <c r="GG176" s="26">
        <f>IF(GG$2=InputTable[[#This Row],[Delivery Date]],_xlfn.XLOOKUP(GG$1,$BH$2:$BR$2,$BH176:$BR176,0),0)</f>
        <v>0</v>
      </c>
      <c r="GH176" s="26">
        <f>IF(GH$2=InputTable[[#This Row],[Delivery Date]],_xlfn.XLOOKUP(GH$1,$BH$2:$BR$2,$BH176:$BR176,0),0)</f>
        <v>0</v>
      </c>
      <c r="GI176" s="26">
        <f>IF(GI$2=InputTable[[#This Row],[Delivery Date]],_xlfn.XLOOKUP(GI$1,$BH$2:$BR$2,$BH176:$BR176,0),0)</f>
        <v>0</v>
      </c>
      <c r="GJ176" s="26">
        <f>IF(GJ$2=InputTable[[#This Row],[Delivery Date]],_xlfn.XLOOKUP(GJ$1,$BH$2:$BR$2,$BH176:$BR176,0),0)</f>
        <v>0</v>
      </c>
      <c r="GL176" s="26" t="e">
        <f>IF(GL$2=InputTable[[#This Row],[Delivery Date]],_xlfn.XLOOKUP(GL$1,$BH$2:$BR$2,$BH176:$BR176,0),0)</f>
        <v>#REF!</v>
      </c>
      <c r="GM176" s="26">
        <f>IF(GM$2=InputTable[[#This Row],[Delivery Date]],_xlfn.XLOOKUP(GM$1,$BH$2:$BR$2,$BH176:$BR176,0),0)</f>
        <v>0</v>
      </c>
      <c r="GN176" s="26">
        <f>IF(GN$2=InputTable[[#This Row],[Delivery Date]],_xlfn.XLOOKUP(GN$1,$BH$2:$BR$2,$BH176:$BR176,0),0)</f>
        <v>0</v>
      </c>
      <c r="GO176" s="26">
        <f>IF(GO$2=InputTable[[#This Row],[Delivery Date]],_xlfn.XLOOKUP(GO$1,$BH$2:$BR$2,$BH176:$BR176,0),0)</f>
        <v>0</v>
      </c>
      <c r="GP176" s="26">
        <f>IF(GP$2=InputTable[[#This Row],[Delivery Date]],_xlfn.XLOOKUP(GP$1,$BH$2:$BR$2,$BH176:$BR176,0),0)</f>
        <v>0</v>
      </c>
      <c r="GQ176" s="26">
        <f>IF(GQ$2=InputTable[[#This Row],[Delivery Date]],_xlfn.XLOOKUP(GQ$1,$BH$2:$BR$2,$BH176:$BR176,0),0)</f>
        <v>0</v>
      </c>
      <c r="GR176" s="26">
        <f>IF(GR$2=InputTable[[#This Row],[Delivery Date]],_xlfn.XLOOKUP(GR$1,$BH$2:$BR$2,$BH176:$BR176,0),0)</f>
        <v>0</v>
      </c>
      <c r="GS176" s="26">
        <f>IF(GS$2=InputTable[[#This Row],[Delivery Date]],_xlfn.XLOOKUP(GS$1,$BH$2:$BR$2,$BH176:$BR176,0),0)</f>
        <v>0</v>
      </c>
      <c r="GT176" s="26">
        <f>IF(GT$2=InputTable[[#This Row],[Delivery Date]],_xlfn.XLOOKUP(GT$1,$BH$2:$BR$2,$BH176:$BR176,0),0)</f>
        <v>0</v>
      </c>
      <c r="GV176" s="26" t="e">
        <f>IF(GV$2=InputTable[[#This Row],[Delivery Date]],_xlfn.XLOOKUP(GV$1,$BH$2:$BR$2,$BH176:$BR176,0),0)</f>
        <v>#REF!</v>
      </c>
      <c r="GW176" s="26">
        <f>IF(GW$2=InputTable[[#This Row],[Delivery Date]],_xlfn.XLOOKUP(GW$1,$BH$2:$BR$2,$BH176:$BR176,0),0)</f>
        <v>0</v>
      </c>
      <c r="GX176" s="26">
        <f>IF(GX$2=InputTable[[#This Row],[Delivery Date]],_xlfn.XLOOKUP(GX$1,$BH$2:$BR$2,$BH176:$BR176,0),0)</f>
        <v>0</v>
      </c>
      <c r="GY176" s="26">
        <f>IF(GY$2=InputTable[[#This Row],[Delivery Date]],_xlfn.XLOOKUP(GY$1,$BH$2:$BR$2,$BH176:$BR176,0),0)</f>
        <v>0</v>
      </c>
      <c r="GZ176" s="26">
        <f>IF(GZ$2=InputTable[[#This Row],[Delivery Date]],_xlfn.XLOOKUP(GZ$1,$BH$2:$BR$2,$BH176:$BR176,0),0)</f>
        <v>0</v>
      </c>
      <c r="HA176" s="26">
        <f>IF(HA$2=InputTable[[#This Row],[Delivery Date]],_xlfn.XLOOKUP(HA$1,$BH$2:$BR$2,$BH176:$BR176,0),0)</f>
        <v>0</v>
      </c>
      <c r="HB176" s="26">
        <f>IF(HB$2=InputTable[[#This Row],[Delivery Date]],_xlfn.XLOOKUP(HB$1,$BH$2:$BR$2,$BH176:$BR176,0),0)</f>
        <v>0</v>
      </c>
      <c r="HC176" s="26">
        <f>IF(HC$2=InputTable[[#This Row],[Delivery Date]],_xlfn.XLOOKUP(HC$1,$BH$2:$BR$2,$BH176:$BR176,0),0)</f>
        <v>0</v>
      </c>
      <c r="HD176" s="26">
        <f>IF(HD$2=InputTable[[#This Row],[Delivery Date]],_xlfn.XLOOKUP(HD$1,$BH$2:$BR$2,$BH176:$BR176,0),0)</f>
        <v>0</v>
      </c>
      <c r="HF176" s="26" t="e">
        <f>IF(HF$2=InputTable[[#This Row],[Delivery Date]],_xlfn.XLOOKUP(HF$1,$BH$2:$BR$2,$BH176:$BR176,0),0)</f>
        <v>#REF!</v>
      </c>
      <c r="HG176" s="26">
        <f>IF(HG$2=InputTable[[#This Row],[Delivery Date]],_xlfn.XLOOKUP(HG$1,$BH$2:$BR$2,$BH176:$BR176,0),0)</f>
        <v>0</v>
      </c>
      <c r="HH176" s="26">
        <f>IF(HH$2=InputTable[[#This Row],[Delivery Date]],_xlfn.XLOOKUP(HH$1,$BH$2:$BR$2,$BH176:$BR176,0),0)</f>
        <v>0</v>
      </c>
      <c r="HI176" s="26">
        <f>IF(HI$2=InputTable[[#This Row],[Delivery Date]],_xlfn.XLOOKUP(HI$1,$BH$2:$BR$2,$BH176:$BR176,0),0)</f>
        <v>0</v>
      </c>
      <c r="HJ176" s="26">
        <f>IF(HJ$2=InputTable[[#This Row],[Delivery Date]],_xlfn.XLOOKUP(HJ$1,$BH$2:$BR$2,$BH176:$BR176,0),0)</f>
        <v>0</v>
      </c>
      <c r="HK176" s="26">
        <f>IF(HK$2=InputTable[[#This Row],[Delivery Date]],_xlfn.XLOOKUP(HK$1,$BH$2:$BR$2,$BH176:$BR176,0),0)</f>
        <v>0</v>
      </c>
      <c r="HL176" s="26">
        <f>IF(HL$2=InputTable[[#This Row],[Delivery Date]],_xlfn.XLOOKUP(HL$1,$BH$2:$BR$2,$BH176:$BR176,0),0)</f>
        <v>0</v>
      </c>
      <c r="HM176" s="26">
        <f>IF(HM$2=InputTable[[#This Row],[Delivery Date]],_xlfn.XLOOKUP(HM$1,$BH$2:$BR$2,$BH176:$BR176,0),0)</f>
        <v>0</v>
      </c>
      <c r="HN176" s="26">
        <f>IF(HN$2=InputTable[[#This Row],[Delivery Date]],_xlfn.XLOOKUP(HN$1,$BH$2:$BR$2,$BH176:$BR176,0),0)</f>
        <v>0</v>
      </c>
      <c r="HP176" s="26" t="e">
        <f>IF(HP$2=InputTable[[#This Row],[Delivery Date]],_xlfn.XLOOKUP(HP$1,$BH$2:$BR$2,$BH176:$BR176,0),0)</f>
        <v>#REF!</v>
      </c>
      <c r="HQ176" s="26">
        <f>IF(HQ$2=InputTable[[#This Row],[Delivery Date]],_xlfn.XLOOKUP(HQ$1,$BH$2:$BR$2,$BH176:$BR176,0),0)</f>
        <v>0</v>
      </c>
      <c r="HR176" s="26">
        <f>IF(HR$2=InputTable[[#This Row],[Delivery Date]],_xlfn.XLOOKUP(HR$1,$BH$2:$BR$2,$BH176:$BR176,0),0)</f>
        <v>0</v>
      </c>
      <c r="HS176" s="26">
        <f>IF(HS$2=InputTable[[#This Row],[Delivery Date]],_xlfn.XLOOKUP(HS$1,$BH$2:$BR$2,$BH176:$BR176,0),0)</f>
        <v>0</v>
      </c>
      <c r="HT176" s="26">
        <f>IF(HT$2=InputTable[[#This Row],[Delivery Date]],_xlfn.XLOOKUP(HT$1,$BH$2:$BR$2,$BH176:$BR176,0),0)</f>
        <v>0</v>
      </c>
      <c r="HU176" s="26">
        <f>IF(HU$2=InputTable[[#This Row],[Delivery Date]],_xlfn.XLOOKUP(HU$1,$BH$2:$BR$2,$BH176:$BR176,0),0)</f>
        <v>0</v>
      </c>
      <c r="HV176" s="26">
        <f>IF(HV$2=InputTable[[#This Row],[Delivery Date]],_xlfn.XLOOKUP(HV$1,$BH$2:$BR$2,$BH176:$BR176,0),0)</f>
        <v>0</v>
      </c>
      <c r="HW176" s="26">
        <f>IF(HW$2=InputTable[[#This Row],[Delivery Date]],_xlfn.XLOOKUP(HW$1,$BH$2:$BR$2,$BH176:$BR176,0),0)</f>
        <v>0</v>
      </c>
      <c r="HX176" s="26">
        <f>IF(HX$2=InputTable[[#This Row],[Delivery Date]],_xlfn.XLOOKUP(HX$1,$BH$2:$BR$2,$BH176:$BR176,0),0)</f>
        <v>0</v>
      </c>
      <c r="HZ176" s="26" t="e">
        <f>IF(HZ$2=InputTable[[#This Row],[Delivery Date]],_xlfn.XLOOKUP(HZ$1,$BH$2:$BR$2,$BH176:$BR176,0),0)</f>
        <v>#REF!</v>
      </c>
      <c r="IA176" s="26">
        <f>IF(IA$2=InputTable[[#This Row],[Delivery Date]],_xlfn.XLOOKUP(IA$1,$BH$2:$BR$2,$BH176:$BR176,0),0)</f>
        <v>0</v>
      </c>
      <c r="IB176" s="26">
        <f>IF(IB$2=InputTable[[#This Row],[Delivery Date]],_xlfn.XLOOKUP(IB$1,$BH$2:$BR$2,$BH176:$BR176,0),0)</f>
        <v>0</v>
      </c>
      <c r="IC176" s="26">
        <f>IF(IC$2=InputTable[[#This Row],[Delivery Date]],_xlfn.XLOOKUP(IC$1,$BH$2:$BR$2,$BH176:$BR176,0),0)</f>
        <v>0</v>
      </c>
      <c r="ID176" s="26">
        <f>IF(ID$2=InputTable[[#This Row],[Delivery Date]],_xlfn.XLOOKUP(ID$1,$BH$2:$BR$2,$BH176:$BR176,0),0)</f>
        <v>0</v>
      </c>
      <c r="IE176" s="26">
        <f>IF(IE$2=InputTable[[#This Row],[Delivery Date]],_xlfn.XLOOKUP(IE$1,$BH$2:$BR$2,$BH176:$BR176,0),0)</f>
        <v>0</v>
      </c>
      <c r="IF176" s="26">
        <f>IF(IF$2=InputTable[[#This Row],[Delivery Date]],_xlfn.XLOOKUP(IF$1,$BH$2:$BR$2,$BH176:$BR176,0),0)</f>
        <v>0</v>
      </c>
      <c r="IG176" s="26">
        <f>IF(IG$2=InputTable[[#This Row],[Delivery Date]],_xlfn.XLOOKUP(IG$1,$BH$2:$BR$2,$BH176:$BR176,0),0)</f>
        <v>0</v>
      </c>
      <c r="IH176" s="26">
        <f>IF(IH$2=InputTable[[#This Row],[Delivery Date]],_xlfn.XLOOKUP(IH$1,$BH$2:$BR$2,$BH176:$BR176,0),0)</f>
        <v>0</v>
      </c>
      <c r="IJ176" s="26" t="e">
        <f>IF(IJ$2=InputTable[[#This Row],[Delivery Date]],_xlfn.XLOOKUP(IJ$1,$BH$2:$BR$2,$BH176:$BR176,0),0)</f>
        <v>#REF!</v>
      </c>
      <c r="IK176" s="26">
        <f>IF(IK$2=InputTable[[#This Row],[Delivery Date]],_xlfn.XLOOKUP(IK$1,$BH$2:$BR$2,$BH176:$BR176,0),0)</f>
        <v>0</v>
      </c>
      <c r="IL176" s="26">
        <f>IF(IL$2=InputTable[[#This Row],[Delivery Date]],_xlfn.XLOOKUP(IL$1,$BH$2:$BR$2,$BH176:$BR176,0),0)</f>
        <v>0</v>
      </c>
      <c r="IM176" s="26">
        <f>IF(IM$2=InputTable[[#This Row],[Delivery Date]],_xlfn.XLOOKUP(IM$1,$BH$2:$BR$2,$BH176:$BR176,0),0)</f>
        <v>0</v>
      </c>
      <c r="IN176" s="26">
        <f>IF(IN$2=InputTable[[#This Row],[Delivery Date]],_xlfn.XLOOKUP(IN$1,$BH$2:$BR$2,$BH176:$BR176,0),0)</f>
        <v>0</v>
      </c>
      <c r="IO176" s="26">
        <f>IF(IO$2=InputTable[[#This Row],[Delivery Date]],_xlfn.XLOOKUP(IO$1,$BH$2:$BR$2,$BH176:$BR176,0),0)</f>
        <v>0</v>
      </c>
      <c r="IP176" s="26">
        <f>IF(IP$2=InputTable[[#This Row],[Delivery Date]],_xlfn.XLOOKUP(IP$1,$BH$2:$BR$2,$BH176:$BR176,0),0)</f>
        <v>0</v>
      </c>
      <c r="IQ176" s="26">
        <f>IF(IQ$2=InputTable[[#This Row],[Delivery Date]],_xlfn.XLOOKUP(IQ$1,$BH$2:$BR$2,$BH176:$BR176,0),0)</f>
        <v>0</v>
      </c>
      <c r="IR176" s="26">
        <f>IF(IR$2=InputTable[[#This Row],[Delivery Date]],_xlfn.XLOOKUP(IR$1,$BH$2:$BR$2,$BH176:$BR176,0),0)</f>
        <v>0</v>
      </c>
      <c r="IT176" s="26" t="e">
        <f>IF(IT$2=InputTable[[#This Row],[Delivery Date]],_xlfn.XLOOKUP(IT$1,$BH$2:$BR$2,$BH176:$BR176,0),0)</f>
        <v>#REF!</v>
      </c>
      <c r="IU176" s="26">
        <f>IF(IU$2=InputTable[[#This Row],[Delivery Date]],_xlfn.XLOOKUP(IU$1,$BH$2:$BR$2,$BH176:$BR176,0),0)</f>
        <v>0</v>
      </c>
      <c r="IV176" s="26">
        <f>IF(IV$2=InputTable[[#This Row],[Delivery Date]],_xlfn.XLOOKUP(IV$1,$BH$2:$BR$2,$BH176:$BR176,0),0)</f>
        <v>0</v>
      </c>
      <c r="IW176" s="26">
        <f>IF(IW$2=InputTable[[#This Row],[Delivery Date]],_xlfn.XLOOKUP(IW$1,$BH$2:$BR$2,$BH176:$BR176,0),0)</f>
        <v>0</v>
      </c>
      <c r="IX176" s="26">
        <f>IF(IX$2=InputTable[[#This Row],[Delivery Date]],_xlfn.XLOOKUP(IX$1,$BH$2:$BR$2,$BH176:$BR176,0),0)</f>
        <v>0</v>
      </c>
      <c r="IY176" s="26">
        <f>IF(IY$2=InputTable[[#This Row],[Delivery Date]],_xlfn.XLOOKUP(IY$1,$BH$2:$BR$2,$BH176:$BR176,0),0)</f>
        <v>0</v>
      </c>
      <c r="IZ176" s="26">
        <f>IF(IZ$2=InputTable[[#This Row],[Delivery Date]],_xlfn.XLOOKUP(IZ$1,$BH$2:$BR$2,$BH176:$BR176,0),0)</f>
        <v>0</v>
      </c>
      <c r="JA176" s="26">
        <f>IF(JA$2=InputTable[[#This Row],[Delivery Date]],_xlfn.XLOOKUP(JA$1,$BH$2:$BR$2,$BH176:$BR176,0),0)</f>
        <v>0</v>
      </c>
      <c r="JB176" s="26">
        <f>IF(JB$2=InputTable[[#This Row],[Delivery Date]],_xlfn.XLOOKUP(JB$1,$BH$2:$BR$2,$BH176:$BR176,0),0)</f>
        <v>0</v>
      </c>
      <c r="JD176" s="26" t="e">
        <f>IF(JD$2=InputTable[[#This Row],[Delivery Date]],_xlfn.XLOOKUP(JD$1,$BH$2:$BR$2,$BH176:$BR176,0),0)</f>
        <v>#REF!</v>
      </c>
      <c r="JE176" s="26">
        <f>IF(JE$2=InputTable[[#This Row],[Delivery Date]],_xlfn.XLOOKUP(JE$1,$BH$2:$BR$2,$BH176:$BR176,0),0)</f>
        <v>0</v>
      </c>
      <c r="JF176" s="26">
        <f>IF(JF$2=InputTable[[#This Row],[Delivery Date]],_xlfn.XLOOKUP(JF$1,$BH$2:$BR$2,$BH176:$BR176,0),0)</f>
        <v>0</v>
      </c>
      <c r="JG176" s="26">
        <f>IF(JG$2=InputTable[[#This Row],[Delivery Date]],_xlfn.XLOOKUP(JG$1,$BH$2:$BR$2,$BH176:$BR176,0),0)</f>
        <v>0</v>
      </c>
      <c r="JH176" s="26">
        <f>IF(JH$2=InputTable[[#This Row],[Delivery Date]],_xlfn.XLOOKUP(JH$1,$BH$2:$BR$2,$BH176:$BR176,0),0)</f>
        <v>0</v>
      </c>
      <c r="JI176" s="26">
        <f>IF(JI$2=InputTable[[#This Row],[Delivery Date]],_xlfn.XLOOKUP(JI$1,$BH$2:$BR$2,$BH176:$BR176,0),0)</f>
        <v>0</v>
      </c>
      <c r="JJ176" s="26">
        <f>IF(JJ$2=InputTable[[#This Row],[Delivery Date]],_xlfn.XLOOKUP(JJ$1,$BH$2:$BR$2,$BH176:$BR176,0),0)</f>
        <v>0</v>
      </c>
      <c r="JK176" s="26">
        <f>IF(JK$2=InputTable[[#This Row],[Delivery Date]],_xlfn.XLOOKUP(JK$1,$BH$2:$BR$2,$BH176:$BR176,0),0)</f>
        <v>0</v>
      </c>
      <c r="JL176" s="26">
        <f>IF(JL$2=InputTable[[#This Row],[Delivery Date]],_xlfn.XLOOKUP(JL$1,$BH$2:$BR$2,$BH176:$BR176,0),0)</f>
        <v>0</v>
      </c>
      <c r="JN176" s="26" t="e">
        <f>IF(JN$2=InputTable[[#This Row],[Delivery Date]],_xlfn.XLOOKUP(JN$1,$BH$2:$BR$2,$BH176:$BR176,0),0)</f>
        <v>#REF!</v>
      </c>
      <c r="JO176" s="26">
        <f>IF(JO$2=InputTable[[#This Row],[Delivery Date]],_xlfn.XLOOKUP(JO$1,$BH$2:$BR$2,$BH176:$BR176,0),0)</f>
        <v>0</v>
      </c>
      <c r="JP176" s="26">
        <f>IF(JP$2=InputTable[[#This Row],[Delivery Date]],_xlfn.XLOOKUP(JP$1,$BH$2:$BR$2,$BH176:$BR176,0),0)</f>
        <v>0</v>
      </c>
      <c r="JQ176" s="26">
        <f>IF(JQ$2=InputTable[[#This Row],[Delivery Date]],_xlfn.XLOOKUP(JQ$1,$BH$2:$BR$2,$BH176:$BR176,0),0)</f>
        <v>0</v>
      </c>
      <c r="JR176" s="26">
        <f>IF(JR$2=InputTable[[#This Row],[Delivery Date]],_xlfn.XLOOKUP(JR$1,$BH$2:$BR$2,$BH176:$BR176,0),0)</f>
        <v>0</v>
      </c>
      <c r="JS176" s="26">
        <f>IF(JS$2=InputTable[[#This Row],[Delivery Date]],_xlfn.XLOOKUP(JS$1,$BH$2:$BR$2,$BH176:$BR176,0),0)</f>
        <v>0</v>
      </c>
      <c r="JT176" s="26">
        <f>IF(JT$2=InputTable[[#This Row],[Delivery Date]],_xlfn.XLOOKUP(JT$1,$BH$2:$BR$2,$BH176:$BR176,0),0)</f>
        <v>0</v>
      </c>
      <c r="JU176" s="26">
        <f>IF(JU$2=InputTable[[#This Row],[Delivery Date]],_xlfn.XLOOKUP(JU$1,$BH$2:$BR$2,$BH176:$BR176,0),0)</f>
        <v>0</v>
      </c>
      <c r="JV176" s="26">
        <f>IF(JV$2=InputTable[[#This Row],[Delivery Date]],_xlfn.XLOOKUP(JV$1,$BH$2:$BR$2,$BH176:$BR176,0),0)</f>
        <v>0</v>
      </c>
      <c r="JX176" s="26" t="e">
        <f>IF(JX$2=InputTable[[#This Row],[Delivery Date]],_xlfn.XLOOKUP(JX$1,$BH$2:$BR$2,$BH176:$BR176,0),0)</f>
        <v>#REF!</v>
      </c>
      <c r="JY176" s="26">
        <f>IF(JY$2=InputTable[[#This Row],[Delivery Date]],_xlfn.XLOOKUP(JY$1,$BH$2:$BR$2,$BH176:$BR176,0),0)</f>
        <v>0</v>
      </c>
      <c r="JZ176" s="26">
        <f>IF(JZ$2=InputTable[[#This Row],[Delivery Date]],_xlfn.XLOOKUP(JZ$1,$BH$2:$BR$2,$BH176:$BR176,0),0)</f>
        <v>0</v>
      </c>
      <c r="KA176" s="26">
        <f>IF(KA$2=InputTable[[#This Row],[Delivery Date]],_xlfn.XLOOKUP(KA$1,$BH$2:$BR$2,$BH176:$BR176,0),0)</f>
        <v>0</v>
      </c>
      <c r="KB176" s="26">
        <f>IF(KB$2=InputTable[[#This Row],[Delivery Date]],_xlfn.XLOOKUP(KB$1,$BH$2:$BR$2,$BH176:$BR176,0),0)</f>
        <v>0</v>
      </c>
      <c r="KC176" s="26">
        <f>IF(KC$2=InputTable[[#This Row],[Delivery Date]],_xlfn.XLOOKUP(KC$1,$BH$2:$BR$2,$BH176:$BR176,0),0)</f>
        <v>0</v>
      </c>
      <c r="KD176" s="26">
        <f>IF(KD$2=InputTable[[#This Row],[Delivery Date]],_xlfn.XLOOKUP(KD$1,$BH$2:$BR$2,$BH176:$BR176,0),0)</f>
        <v>0</v>
      </c>
      <c r="KE176" s="26">
        <f>IF(KE$2=InputTable[[#This Row],[Delivery Date]],_xlfn.XLOOKUP(KE$1,$BH$2:$BR$2,$BH176:$BR176,0),0)</f>
        <v>0</v>
      </c>
      <c r="KF176" s="26">
        <f>IF(KF$2=InputTable[[#This Row],[Delivery Date]],_xlfn.XLOOKUP(KF$1,$BH$2:$BR$2,$BH176:$BR176,0),0)</f>
        <v>0</v>
      </c>
    </row>
    <row r="177" spans="1:292" ht="34.799999999999997" x14ac:dyDescent="0.25">
      <c r="A177" s="125"/>
      <c r="B177" s="118"/>
      <c r="C177" s="92"/>
      <c r="D177" s="92"/>
      <c r="E177" s="103"/>
      <c r="F177" s="104"/>
      <c r="G177" s="104"/>
      <c r="H177" s="104"/>
      <c r="I177" s="104"/>
      <c r="J177" s="105"/>
      <c r="K177" s="95" t="e">
        <f>VLOOKUP((InputTable[[#This Row],[Starting Date]]&amp; " - " &amp;InputTable[[#This Row],[Delivery Date]]),'System List'!$F$40:$H$83,2,FALSE)</f>
        <v>#N/A</v>
      </c>
      <c r="L177" s="95" t="e">
        <f>VLOOKUP(InputTable[[#This Row],[Duration]],Duration,2,FALSE)</f>
        <v>#N/A</v>
      </c>
      <c r="M177" s="105"/>
      <c r="N177" s="104"/>
      <c r="O177" s="104"/>
      <c r="P177" s="104"/>
      <c r="Q177" s="104"/>
      <c r="R177" s="104"/>
      <c r="S177" s="92"/>
      <c r="T177" s="95"/>
      <c r="U177" s="138"/>
      <c r="V177" s="104"/>
      <c r="W177" s="104"/>
      <c r="X177" s="104"/>
      <c r="Y177" s="104"/>
      <c r="Z177" s="104"/>
      <c r="AA177" s="104"/>
      <c r="AB177" s="104"/>
      <c r="AC177" s="104"/>
      <c r="AD177" s="92">
        <f>COUNTA(InputTable[[#This Row],[CORPHRFIN]:[SALES]])</f>
        <v>0</v>
      </c>
      <c r="AE177" s="88" cm="1">
        <f t="array" ref="AE177">SUM(
_xlfn.XLOOKUP(InputTable[[#This Row],[CORPHRFIN]:[SALES]],'System List'!$F$4:$F$7,'System List'!$H$4:$H$7,0))</f>
        <v>0</v>
      </c>
      <c r="AF177" s="140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88" cm="1">
        <f t="array" ref="AR177">SUM(
_xlfn.XLOOKUP(InputTable[[#This Row],[Impact on - CIAL]:[Impact on - STRAT]],'System List'!$F$4:$F$7,'System List'!$H$4:$H$7,0))</f>
        <v>0</v>
      </c>
      <c r="AS177" s="88" t="e">
        <f>VLOOKUP(InputTable[[#This Row],[Duration]],Duration,2,FALSE)+InputTable[[#This Row],[Resource Score]]</f>
        <v>#N/A</v>
      </c>
      <c r="AT17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7" s="24" t="e">
        <f>InputTable[[#This Row],[Value Score]]/InputTable[[#This Row],[EFFORT SCORE]]*100</f>
        <v>#N/A</v>
      </c>
      <c r="AV177" s="25" t="s">
        <v>468</v>
      </c>
      <c r="AW177" s="25"/>
      <c r="AX177" s="208"/>
      <c r="AY177" s="25"/>
      <c r="AZ177" s="189">
        <v>0</v>
      </c>
      <c r="BA177" s="189">
        <v>0</v>
      </c>
      <c r="BB177" s="189"/>
      <c r="BC177" s="189"/>
      <c r="BD177" s="188"/>
      <c r="BE177" s="188"/>
      <c r="BF177" s="70"/>
      <c r="BH177" s="2">
        <f>IFERROR(VLOOKUP(InputTable[[#This Row],[Impact on - CIAL]],'System List'!$F$4:$H$7,3,FALSE),0)</f>
        <v>0</v>
      </c>
      <c r="BI177" s="2">
        <f>IFERROR(VLOOKUP(InputTable[[#This Row],[Impact on - COM]],'System List'!$F$4:$H$7,3,FALSE),0)</f>
        <v>0</v>
      </c>
      <c r="BJ177" s="2">
        <f>IFERROR(VLOOKUP(InputTable[[#This Row],[Impact on - FIN]],'System List'!$F$4:$H$7,3,FALSE),0)</f>
        <v>0</v>
      </c>
      <c r="BK177" s="2">
        <f>IFERROR(VLOOKUP(InputTable[[#This Row],[Impact on - GEN SEC]],'System List'!$F$4:$H$7,3,FALSE),0)</f>
        <v>0</v>
      </c>
      <c r="BL177" s="2">
        <f>IFERROR(VLOOKUP(InputTable[[#This Row],[Impact on - HR]],'System List'!$F$4:$H$7,3,FALSE),0)</f>
        <v>0</v>
      </c>
      <c r="BM177" s="2">
        <f>IFERROR(VLOOKUP(InputTable[[#This Row],[Impact on - IS]],'System List'!$F$4:$H$7,3,FALSE),0)</f>
        <v>0</v>
      </c>
      <c r="BN177" s="2">
        <f>IFERROR(VLOOKUP(InputTable[[#This Row],[Impact on - OPS]],'System List'!$F$4:$H$7,3,FALSE),0)</f>
        <v>0</v>
      </c>
      <c r="BO177" s="2">
        <f>IFERROR(VLOOKUP(InputTable[[#This Row],[Impact on - ROLL STOCK]],'System List'!$F$4:$H$7,3,FALSE),0)</f>
        <v>0</v>
      </c>
      <c r="BP177" s="2">
        <f>IFERROR(VLOOKUP(InputTable[[#This Row],[Impact on - SAFETY]],'System List'!$F$4:$H$7,3,FALSE),0)</f>
        <v>0</v>
      </c>
      <c r="BQ177" s="2">
        <f>IFERROR(VLOOKUP(InputTable[[#This Row],[Impact on - STATION]],'System List'!$F$4:$H$7,3,FALSE),0)</f>
        <v>0</v>
      </c>
      <c r="BR177" s="2">
        <f>IFERROR(VLOOKUP(InputTable[[#This Row],[Impact on - STRAT]],'System List'!$F$4:$H$7,3,FALSE),0)</f>
        <v>0</v>
      </c>
      <c r="BT177" s="2">
        <f>IFERROR(VLOOKUP(InputTable[[#This Row],[CORPHRFIN]],'System List'!$F$4:$H$7,3,FALSE),0)</f>
        <v>0</v>
      </c>
      <c r="BU177" s="2">
        <f>IFERROR(VLOOKUP(InputTable[[#This Row],[CUST]],'System List'!$F$4:$H$7,3,FALSE),0)</f>
        <v>0</v>
      </c>
      <c r="BV177" s="2">
        <f>IFERROR(VLOOKUP(InputTable[[#This Row],[CYBER]],'System List'!$F$4:$H$7,3,FALSE),0)</f>
        <v>0</v>
      </c>
      <c r="BW177" s="2">
        <f>IFERROR(VLOOKUP(InputTable[[#This Row],[DATA]],'System List'!$F$4:$H$7,3,FALSE),0)</f>
        <v>0</v>
      </c>
      <c r="BX177" s="2">
        <f>IFERROR(VLOOKUP(InputTable[[#This Row],[INFRA]],'System List'!$F$4:$H$7,3,FALSE),0)</f>
        <v>0</v>
      </c>
      <c r="BY177" s="2">
        <f>IFERROR(VLOOKUP(InputTable[[#This Row],[OPERATIONS]],'System List'!$F$4:$H$7,3,FALSE),0)</f>
        <v>0</v>
      </c>
      <c r="BZ177" s="2">
        <f>IFERROR(VLOOKUP(InputTable[[#This Row],[PMO]],'System List'!$F$4:$H$7,3,FALSE),0)</f>
        <v>0</v>
      </c>
      <c r="CA177" s="2">
        <f>IFERROR(VLOOKUP(InputTable[[#This Row],[SALES]],'System List'!$F$4:$H$7,3,FALSE),0)</f>
        <v>0</v>
      </c>
      <c r="CC177" s="2" cm="1">
        <f t="array" ref="CC17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7" s="2" cm="1">
        <f t="array" ref="CD17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7" s="2" cm="1">
        <f t="array" ref="CE17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7" s="2" cm="1">
        <f t="array" ref="CF17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7" s="2" cm="1">
        <f t="array" ref="CG17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7" s="2" cm="1">
        <f t="array" ref="CH17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7" s="2" cm="1">
        <f t="array" ref="CI17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7" s="2" cm="1">
        <f t="array" ref="CJ17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7" s="2" cm="1">
        <f t="array" ref="CK17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7" s="26">
        <f t="shared" si="451"/>
        <v>0</v>
      </c>
      <c r="CY177" s="26">
        <f t="shared" si="452"/>
        <v>0</v>
      </c>
      <c r="CZ177" s="26">
        <f t="shared" si="453"/>
        <v>0</v>
      </c>
      <c r="DA177" s="26">
        <f t="shared" si="454"/>
        <v>0</v>
      </c>
      <c r="DB177" s="26">
        <f t="shared" si="455"/>
        <v>0</v>
      </c>
      <c r="DC177" s="26">
        <f t="shared" si="456"/>
        <v>0</v>
      </c>
      <c r="DD177" s="26">
        <f t="shared" si="457"/>
        <v>0</v>
      </c>
      <c r="DE177" s="26">
        <f t="shared" si="458"/>
        <v>0</v>
      </c>
      <c r="DF177" s="26">
        <f t="shared" si="459"/>
        <v>0</v>
      </c>
      <c r="DH177" s="26">
        <f t="shared" si="460"/>
        <v>0</v>
      </c>
      <c r="DI177" s="26">
        <f t="shared" si="461"/>
        <v>0</v>
      </c>
      <c r="DJ177" s="26">
        <f t="shared" si="462"/>
        <v>0</v>
      </c>
      <c r="DK177" s="26">
        <f t="shared" si="463"/>
        <v>0</v>
      </c>
      <c r="DL177" s="26">
        <f t="shared" si="464"/>
        <v>0</v>
      </c>
      <c r="DM177" s="26">
        <f t="shared" si="465"/>
        <v>0</v>
      </c>
      <c r="DN177" s="26">
        <f t="shared" si="466"/>
        <v>0</v>
      </c>
      <c r="DO177" s="26">
        <f t="shared" si="467"/>
        <v>0</v>
      </c>
      <c r="DP177" s="26">
        <f t="shared" si="468"/>
        <v>0</v>
      </c>
      <c r="DR177" s="26">
        <f t="shared" si="469"/>
        <v>0</v>
      </c>
      <c r="DS177" s="26">
        <f t="shared" si="470"/>
        <v>0</v>
      </c>
      <c r="DT177" s="26">
        <f t="shared" si="471"/>
        <v>0</v>
      </c>
      <c r="DU177" s="26">
        <f t="shared" si="472"/>
        <v>0</v>
      </c>
      <c r="DV177" s="26">
        <f t="shared" si="473"/>
        <v>0</v>
      </c>
      <c r="DW177" s="26">
        <f t="shared" si="474"/>
        <v>0</v>
      </c>
      <c r="DX177" s="26">
        <f t="shared" si="475"/>
        <v>0</v>
      </c>
      <c r="DY177" s="26">
        <f t="shared" si="476"/>
        <v>0</v>
      </c>
      <c r="DZ177" s="26">
        <f t="shared" si="477"/>
        <v>0</v>
      </c>
      <c r="EB177" s="26">
        <f t="shared" si="478"/>
        <v>0</v>
      </c>
      <c r="EC177" s="26">
        <f t="shared" si="479"/>
        <v>0</v>
      </c>
      <c r="ED177" s="26">
        <f t="shared" si="480"/>
        <v>0</v>
      </c>
      <c r="EE177" s="26">
        <f t="shared" si="481"/>
        <v>0</v>
      </c>
      <c r="EF177" s="26">
        <f t="shared" si="482"/>
        <v>0</v>
      </c>
      <c r="EG177" s="26">
        <f t="shared" si="483"/>
        <v>0</v>
      </c>
      <c r="EH177" s="26">
        <f t="shared" si="484"/>
        <v>0</v>
      </c>
      <c r="EI177" s="26">
        <f t="shared" si="485"/>
        <v>0</v>
      </c>
      <c r="EJ177" s="26">
        <f t="shared" si="486"/>
        <v>0</v>
      </c>
      <c r="EL177" s="26">
        <f t="shared" si="487"/>
        <v>0</v>
      </c>
      <c r="EM177" s="26">
        <f t="shared" si="488"/>
        <v>0</v>
      </c>
      <c r="EN177" s="26">
        <f t="shared" si="489"/>
        <v>0</v>
      </c>
      <c r="EO177" s="26">
        <f t="shared" si="490"/>
        <v>0</v>
      </c>
      <c r="EP177" s="26">
        <f t="shared" si="491"/>
        <v>0</v>
      </c>
      <c r="EQ177" s="26">
        <f t="shared" si="492"/>
        <v>0</v>
      </c>
      <c r="ER177" s="26">
        <f t="shared" si="493"/>
        <v>0</v>
      </c>
      <c r="ES177" s="26">
        <f t="shared" si="494"/>
        <v>0</v>
      </c>
      <c r="ET177" s="26">
        <f t="shared" si="495"/>
        <v>0</v>
      </c>
      <c r="EV177" s="26">
        <f t="shared" si="496"/>
        <v>0</v>
      </c>
      <c r="EW177" s="26">
        <f t="shared" si="497"/>
        <v>0</v>
      </c>
      <c r="EX177" s="26">
        <f t="shared" si="498"/>
        <v>0</v>
      </c>
      <c r="EY177" s="26">
        <f t="shared" si="499"/>
        <v>0</v>
      </c>
      <c r="EZ177" s="26">
        <f t="shared" si="500"/>
        <v>0</v>
      </c>
      <c r="FA177" s="26">
        <f t="shared" si="501"/>
        <v>0</v>
      </c>
      <c r="FB177" s="26">
        <f t="shared" si="502"/>
        <v>0</v>
      </c>
      <c r="FC177" s="26">
        <f t="shared" si="503"/>
        <v>0</v>
      </c>
      <c r="FD177" s="26">
        <f t="shared" si="504"/>
        <v>0</v>
      </c>
      <c r="FF177" s="26">
        <f t="shared" si="505"/>
        <v>0</v>
      </c>
      <c r="FG177" s="26">
        <f t="shared" si="506"/>
        <v>0</v>
      </c>
      <c r="FH177" s="26">
        <f t="shared" si="507"/>
        <v>0</v>
      </c>
      <c r="FI177" s="26">
        <f t="shared" si="508"/>
        <v>0</v>
      </c>
      <c r="FJ177" s="26">
        <f t="shared" si="509"/>
        <v>0</v>
      </c>
      <c r="FK177" s="26">
        <f t="shared" si="510"/>
        <v>0</v>
      </c>
      <c r="FL177" s="26">
        <f t="shared" si="511"/>
        <v>0</v>
      </c>
      <c r="FM177" s="26">
        <f t="shared" si="512"/>
        <v>0</v>
      </c>
      <c r="FN177" s="26">
        <f t="shared" si="513"/>
        <v>0</v>
      </c>
      <c r="FP177" s="26" t="e">
        <f t="shared" si="514"/>
        <v>#REF!</v>
      </c>
      <c r="FQ177" s="26" t="e">
        <f t="shared" si="515"/>
        <v>#REF!</v>
      </c>
      <c r="FR177" s="26" t="e">
        <f t="shared" si="516"/>
        <v>#REF!</v>
      </c>
      <c r="FS177" s="26" t="e">
        <f t="shared" si="517"/>
        <v>#REF!</v>
      </c>
      <c r="FT177" s="26" t="e">
        <f t="shared" si="518"/>
        <v>#REF!</v>
      </c>
      <c r="FU177" s="26" t="e">
        <f t="shared" si="519"/>
        <v>#REF!</v>
      </c>
      <c r="FV177" s="26" t="e">
        <f t="shared" si="520"/>
        <v>#REF!</v>
      </c>
      <c r="FW177" s="26" t="e">
        <f t="shared" si="521"/>
        <v>#REF!</v>
      </c>
      <c r="FX177" s="26" t="e">
        <f t="shared" si="522"/>
        <v>#REF!</v>
      </c>
      <c r="GB177" s="26" t="e">
        <f>IF(GB$2=InputTable[[#This Row],[Delivery Date]],_xlfn.XLOOKUP(GB$1,$BH$2:$BR$2,$BH177:$BR177,0),0)</f>
        <v>#REF!</v>
      </c>
      <c r="GC177" s="26">
        <f>IF(GC$2=InputTable[[#This Row],[Delivery Date]],_xlfn.XLOOKUP(GC$1,$BH$2:$BR$2,$BH177:$BR177,0),0)</f>
        <v>0</v>
      </c>
      <c r="GD177" s="26">
        <f>IF(GD$2=InputTable[[#This Row],[Delivery Date]],_xlfn.XLOOKUP(GD$1,$BH$2:$BR$2,$BH177:$BR177,0),0)</f>
        <v>0</v>
      </c>
      <c r="GE177" s="26">
        <f>IF(GE$2=InputTable[[#This Row],[Delivery Date]],_xlfn.XLOOKUP(GE$1,$BH$2:$BR$2,$BH177:$BR177,0),0)</f>
        <v>0</v>
      </c>
      <c r="GF177" s="26">
        <f>IF(GF$2=InputTable[[#This Row],[Delivery Date]],_xlfn.XLOOKUP(GF$1,$BH$2:$BR$2,$BH177:$BR177,0),0)</f>
        <v>0</v>
      </c>
      <c r="GG177" s="26">
        <f>IF(GG$2=InputTable[[#This Row],[Delivery Date]],_xlfn.XLOOKUP(GG$1,$BH$2:$BR$2,$BH177:$BR177,0),0)</f>
        <v>0</v>
      </c>
      <c r="GH177" s="26">
        <f>IF(GH$2=InputTable[[#This Row],[Delivery Date]],_xlfn.XLOOKUP(GH$1,$BH$2:$BR$2,$BH177:$BR177,0),0)</f>
        <v>0</v>
      </c>
      <c r="GI177" s="26">
        <f>IF(GI$2=InputTable[[#This Row],[Delivery Date]],_xlfn.XLOOKUP(GI$1,$BH$2:$BR$2,$BH177:$BR177,0),0)</f>
        <v>0</v>
      </c>
      <c r="GJ177" s="26">
        <f>IF(GJ$2=InputTable[[#This Row],[Delivery Date]],_xlfn.XLOOKUP(GJ$1,$BH$2:$BR$2,$BH177:$BR177,0),0)</f>
        <v>0</v>
      </c>
      <c r="GL177" s="26" t="e">
        <f>IF(GL$2=InputTable[[#This Row],[Delivery Date]],_xlfn.XLOOKUP(GL$1,$BH$2:$BR$2,$BH177:$BR177,0),0)</f>
        <v>#REF!</v>
      </c>
      <c r="GM177" s="26">
        <f>IF(GM$2=InputTable[[#This Row],[Delivery Date]],_xlfn.XLOOKUP(GM$1,$BH$2:$BR$2,$BH177:$BR177,0),0)</f>
        <v>0</v>
      </c>
      <c r="GN177" s="26">
        <f>IF(GN$2=InputTable[[#This Row],[Delivery Date]],_xlfn.XLOOKUP(GN$1,$BH$2:$BR$2,$BH177:$BR177,0),0)</f>
        <v>0</v>
      </c>
      <c r="GO177" s="26">
        <f>IF(GO$2=InputTable[[#This Row],[Delivery Date]],_xlfn.XLOOKUP(GO$1,$BH$2:$BR$2,$BH177:$BR177,0),0)</f>
        <v>0</v>
      </c>
      <c r="GP177" s="26">
        <f>IF(GP$2=InputTable[[#This Row],[Delivery Date]],_xlfn.XLOOKUP(GP$1,$BH$2:$BR$2,$BH177:$BR177,0),0)</f>
        <v>0</v>
      </c>
      <c r="GQ177" s="26">
        <f>IF(GQ$2=InputTable[[#This Row],[Delivery Date]],_xlfn.XLOOKUP(GQ$1,$BH$2:$BR$2,$BH177:$BR177,0),0)</f>
        <v>0</v>
      </c>
      <c r="GR177" s="26">
        <f>IF(GR$2=InputTable[[#This Row],[Delivery Date]],_xlfn.XLOOKUP(GR$1,$BH$2:$BR$2,$BH177:$BR177,0),0)</f>
        <v>0</v>
      </c>
      <c r="GS177" s="26">
        <f>IF(GS$2=InputTable[[#This Row],[Delivery Date]],_xlfn.XLOOKUP(GS$1,$BH$2:$BR$2,$BH177:$BR177,0),0)</f>
        <v>0</v>
      </c>
      <c r="GT177" s="26">
        <f>IF(GT$2=InputTable[[#This Row],[Delivery Date]],_xlfn.XLOOKUP(GT$1,$BH$2:$BR$2,$BH177:$BR177,0),0)</f>
        <v>0</v>
      </c>
      <c r="GV177" s="26" t="e">
        <f>IF(GV$2=InputTable[[#This Row],[Delivery Date]],_xlfn.XLOOKUP(GV$1,$BH$2:$BR$2,$BH177:$BR177,0),0)</f>
        <v>#REF!</v>
      </c>
      <c r="GW177" s="26">
        <f>IF(GW$2=InputTable[[#This Row],[Delivery Date]],_xlfn.XLOOKUP(GW$1,$BH$2:$BR$2,$BH177:$BR177,0),0)</f>
        <v>0</v>
      </c>
      <c r="GX177" s="26">
        <f>IF(GX$2=InputTable[[#This Row],[Delivery Date]],_xlfn.XLOOKUP(GX$1,$BH$2:$BR$2,$BH177:$BR177,0),0)</f>
        <v>0</v>
      </c>
      <c r="GY177" s="26">
        <f>IF(GY$2=InputTable[[#This Row],[Delivery Date]],_xlfn.XLOOKUP(GY$1,$BH$2:$BR$2,$BH177:$BR177,0),0)</f>
        <v>0</v>
      </c>
      <c r="GZ177" s="26">
        <f>IF(GZ$2=InputTable[[#This Row],[Delivery Date]],_xlfn.XLOOKUP(GZ$1,$BH$2:$BR$2,$BH177:$BR177,0),0)</f>
        <v>0</v>
      </c>
      <c r="HA177" s="26">
        <f>IF(HA$2=InputTable[[#This Row],[Delivery Date]],_xlfn.XLOOKUP(HA$1,$BH$2:$BR$2,$BH177:$BR177,0),0)</f>
        <v>0</v>
      </c>
      <c r="HB177" s="26">
        <f>IF(HB$2=InputTable[[#This Row],[Delivery Date]],_xlfn.XLOOKUP(HB$1,$BH$2:$BR$2,$BH177:$BR177,0),0)</f>
        <v>0</v>
      </c>
      <c r="HC177" s="26">
        <f>IF(HC$2=InputTable[[#This Row],[Delivery Date]],_xlfn.XLOOKUP(HC$1,$BH$2:$BR$2,$BH177:$BR177,0),0)</f>
        <v>0</v>
      </c>
      <c r="HD177" s="26">
        <f>IF(HD$2=InputTable[[#This Row],[Delivery Date]],_xlfn.XLOOKUP(HD$1,$BH$2:$BR$2,$BH177:$BR177,0),0)</f>
        <v>0</v>
      </c>
      <c r="HF177" s="26" t="e">
        <f>IF(HF$2=InputTable[[#This Row],[Delivery Date]],_xlfn.XLOOKUP(HF$1,$BH$2:$BR$2,$BH177:$BR177,0),0)</f>
        <v>#REF!</v>
      </c>
      <c r="HG177" s="26">
        <f>IF(HG$2=InputTable[[#This Row],[Delivery Date]],_xlfn.XLOOKUP(HG$1,$BH$2:$BR$2,$BH177:$BR177,0),0)</f>
        <v>0</v>
      </c>
      <c r="HH177" s="26">
        <f>IF(HH$2=InputTable[[#This Row],[Delivery Date]],_xlfn.XLOOKUP(HH$1,$BH$2:$BR$2,$BH177:$BR177,0),0)</f>
        <v>0</v>
      </c>
      <c r="HI177" s="26">
        <f>IF(HI$2=InputTable[[#This Row],[Delivery Date]],_xlfn.XLOOKUP(HI$1,$BH$2:$BR$2,$BH177:$BR177,0),0)</f>
        <v>0</v>
      </c>
      <c r="HJ177" s="26">
        <f>IF(HJ$2=InputTable[[#This Row],[Delivery Date]],_xlfn.XLOOKUP(HJ$1,$BH$2:$BR$2,$BH177:$BR177,0),0)</f>
        <v>0</v>
      </c>
      <c r="HK177" s="26">
        <f>IF(HK$2=InputTable[[#This Row],[Delivery Date]],_xlfn.XLOOKUP(HK$1,$BH$2:$BR$2,$BH177:$BR177,0),0)</f>
        <v>0</v>
      </c>
      <c r="HL177" s="26">
        <f>IF(HL$2=InputTable[[#This Row],[Delivery Date]],_xlfn.XLOOKUP(HL$1,$BH$2:$BR$2,$BH177:$BR177,0),0)</f>
        <v>0</v>
      </c>
      <c r="HM177" s="26">
        <f>IF(HM$2=InputTable[[#This Row],[Delivery Date]],_xlfn.XLOOKUP(HM$1,$BH$2:$BR$2,$BH177:$BR177,0),0)</f>
        <v>0</v>
      </c>
      <c r="HN177" s="26">
        <f>IF(HN$2=InputTable[[#This Row],[Delivery Date]],_xlfn.XLOOKUP(HN$1,$BH$2:$BR$2,$BH177:$BR177,0),0)</f>
        <v>0</v>
      </c>
      <c r="HP177" s="26" t="e">
        <f>IF(HP$2=InputTable[[#This Row],[Delivery Date]],_xlfn.XLOOKUP(HP$1,$BH$2:$BR$2,$BH177:$BR177,0),0)</f>
        <v>#REF!</v>
      </c>
      <c r="HQ177" s="26">
        <f>IF(HQ$2=InputTable[[#This Row],[Delivery Date]],_xlfn.XLOOKUP(HQ$1,$BH$2:$BR$2,$BH177:$BR177,0),0)</f>
        <v>0</v>
      </c>
      <c r="HR177" s="26">
        <f>IF(HR$2=InputTable[[#This Row],[Delivery Date]],_xlfn.XLOOKUP(HR$1,$BH$2:$BR$2,$BH177:$BR177,0),0)</f>
        <v>0</v>
      </c>
      <c r="HS177" s="26">
        <f>IF(HS$2=InputTable[[#This Row],[Delivery Date]],_xlfn.XLOOKUP(HS$1,$BH$2:$BR$2,$BH177:$BR177,0),0)</f>
        <v>0</v>
      </c>
      <c r="HT177" s="26">
        <f>IF(HT$2=InputTable[[#This Row],[Delivery Date]],_xlfn.XLOOKUP(HT$1,$BH$2:$BR$2,$BH177:$BR177,0),0)</f>
        <v>0</v>
      </c>
      <c r="HU177" s="26">
        <f>IF(HU$2=InputTable[[#This Row],[Delivery Date]],_xlfn.XLOOKUP(HU$1,$BH$2:$BR$2,$BH177:$BR177,0),0)</f>
        <v>0</v>
      </c>
      <c r="HV177" s="26">
        <f>IF(HV$2=InputTable[[#This Row],[Delivery Date]],_xlfn.XLOOKUP(HV$1,$BH$2:$BR$2,$BH177:$BR177,0),0)</f>
        <v>0</v>
      </c>
      <c r="HW177" s="26">
        <f>IF(HW$2=InputTable[[#This Row],[Delivery Date]],_xlfn.XLOOKUP(HW$1,$BH$2:$BR$2,$BH177:$BR177,0),0)</f>
        <v>0</v>
      </c>
      <c r="HX177" s="26">
        <f>IF(HX$2=InputTable[[#This Row],[Delivery Date]],_xlfn.XLOOKUP(HX$1,$BH$2:$BR$2,$BH177:$BR177,0),0)</f>
        <v>0</v>
      </c>
      <c r="HZ177" s="26" t="e">
        <f>IF(HZ$2=InputTable[[#This Row],[Delivery Date]],_xlfn.XLOOKUP(HZ$1,$BH$2:$BR$2,$BH177:$BR177,0),0)</f>
        <v>#REF!</v>
      </c>
      <c r="IA177" s="26">
        <f>IF(IA$2=InputTable[[#This Row],[Delivery Date]],_xlfn.XLOOKUP(IA$1,$BH$2:$BR$2,$BH177:$BR177,0),0)</f>
        <v>0</v>
      </c>
      <c r="IB177" s="26">
        <f>IF(IB$2=InputTable[[#This Row],[Delivery Date]],_xlfn.XLOOKUP(IB$1,$BH$2:$BR$2,$BH177:$BR177,0),0)</f>
        <v>0</v>
      </c>
      <c r="IC177" s="26">
        <f>IF(IC$2=InputTable[[#This Row],[Delivery Date]],_xlfn.XLOOKUP(IC$1,$BH$2:$BR$2,$BH177:$BR177,0),0)</f>
        <v>0</v>
      </c>
      <c r="ID177" s="26">
        <f>IF(ID$2=InputTable[[#This Row],[Delivery Date]],_xlfn.XLOOKUP(ID$1,$BH$2:$BR$2,$BH177:$BR177,0),0)</f>
        <v>0</v>
      </c>
      <c r="IE177" s="26">
        <f>IF(IE$2=InputTable[[#This Row],[Delivery Date]],_xlfn.XLOOKUP(IE$1,$BH$2:$BR$2,$BH177:$BR177,0),0)</f>
        <v>0</v>
      </c>
      <c r="IF177" s="26">
        <f>IF(IF$2=InputTable[[#This Row],[Delivery Date]],_xlfn.XLOOKUP(IF$1,$BH$2:$BR$2,$BH177:$BR177,0),0)</f>
        <v>0</v>
      </c>
      <c r="IG177" s="26">
        <f>IF(IG$2=InputTable[[#This Row],[Delivery Date]],_xlfn.XLOOKUP(IG$1,$BH$2:$BR$2,$BH177:$BR177,0),0)</f>
        <v>0</v>
      </c>
      <c r="IH177" s="26">
        <f>IF(IH$2=InputTable[[#This Row],[Delivery Date]],_xlfn.XLOOKUP(IH$1,$BH$2:$BR$2,$BH177:$BR177,0),0)</f>
        <v>0</v>
      </c>
      <c r="IJ177" s="26" t="e">
        <f>IF(IJ$2=InputTable[[#This Row],[Delivery Date]],_xlfn.XLOOKUP(IJ$1,$BH$2:$BR$2,$BH177:$BR177,0),0)</f>
        <v>#REF!</v>
      </c>
      <c r="IK177" s="26">
        <f>IF(IK$2=InputTable[[#This Row],[Delivery Date]],_xlfn.XLOOKUP(IK$1,$BH$2:$BR$2,$BH177:$BR177,0),0)</f>
        <v>0</v>
      </c>
      <c r="IL177" s="26">
        <f>IF(IL$2=InputTable[[#This Row],[Delivery Date]],_xlfn.XLOOKUP(IL$1,$BH$2:$BR$2,$BH177:$BR177,0),0)</f>
        <v>0</v>
      </c>
      <c r="IM177" s="26">
        <f>IF(IM$2=InputTable[[#This Row],[Delivery Date]],_xlfn.XLOOKUP(IM$1,$BH$2:$BR$2,$BH177:$BR177,0),0)</f>
        <v>0</v>
      </c>
      <c r="IN177" s="26">
        <f>IF(IN$2=InputTable[[#This Row],[Delivery Date]],_xlfn.XLOOKUP(IN$1,$BH$2:$BR$2,$BH177:$BR177,0),0)</f>
        <v>0</v>
      </c>
      <c r="IO177" s="26">
        <f>IF(IO$2=InputTable[[#This Row],[Delivery Date]],_xlfn.XLOOKUP(IO$1,$BH$2:$BR$2,$BH177:$BR177,0),0)</f>
        <v>0</v>
      </c>
      <c r="IP177" s="26">
        <f>IF(IP$2=InputTable[[#This Row],[Delivery Date]],_xlfn.XLOOKUP(IP$1,$BH$2:$BR$2,$BH177:$BR177,0),0)</f>
        <v>0</v>
      </c>
      <c r="IQ177" s="26">
        <f>IF(IQ$2=InputTable[[#This Row],[Delivery Date]],_xlfn.XLOOKUP(IQ$1,$BH$2:$BR$2,$BH177:$BR177,0),0)</f>
        <v>0</v>
      </c>
      <c r="IR177" s="26">
        <f>IF(IR$2=InputTable[[#This Row],[Delivery Date]],_xlfn.XLOOKUP(IR$1,$BH$2:$BR$2,$BH177:$BR177,0),0)</f>
        <v>0</v>
      </c>
      <c r="IT177" s="26" t="e">
        <f>IF(IT$2=InputTable[[#This Row],[Delivery Date]],_xlfn.XLOOKUP(IT$1,$BH$2:$BR$2,$BH177:$BR177,0),0)</f>
        <v>#REF!</v>
      </c>
      <c r="IU177" s="26">
        <f>IF(IU$2=InputTable[[#This Row],[Delivery Date]],_xlfn.XLOOKUP(IU$1,$BH$2:$BR$2,$BH177:$BR177,0),0)</f>
        <v>0</v>
      </c>
      <c r="IV177" s="26">
        <f>IF(IV$2=InputTable[[#This Row],[Delivery Date]],_xlfn.XLOOKUP(IV$1,$BH$2:$BR$2,$BH177:$BR177,0),0)</f>
        <v>0</v>
      </c>
      <c r="IW177" s="26">
        <f>IF(IW$2=InputTable[[#This Row],[Delivery Date]],_xlfn.XLOOKUP(IW$1,$BH$2:$BR$2,$BH177:$BR177,0),0)</f>
        <v>0</v>
      </c>
      <c r="IX177" s="26">
        <f>IF(IX$2=InputTable[[#This Row],[Delivery Date]],_xlfn.XLOOKUP(IX$1,$BH$2:$BR$2,$BH177:$BR177,0),0)</f>
        <v>0</v>
      </c>
      <c r="IY177" s="26">
        <f>IF(IY$2=InputTable[[#This Row],[Delivery Date]],_xlfn.XLOOKUP(IY$1,$BH$2:$BR$2,$BH177:$BR177,0),0)</f>
        <v>0</v>
      </c>
      <c r="IZ177" s="26">
        <f>IF(IZ$2=InputTable[[#This Row],[Delivery Date]],_xlfn.XLOOKUP(IZ$1,$BH$2:$BR$2,$BH177:$BR177,0),0)</f>
        <v>0</v>
      </c>
      <c r="JA177" s="26">
        <f>IF(JA$2=InputTable[[#This Row],[Delivery Date]],_xlfn.XLOOKUP(JA$1,$BH$2:$BR$2,$BH177:$BR177,0),0)</f>
        <v>0</v>
      </c>
      <c r="JB177" s="26">
        <f>IF(JB$2=InputTable[[#This Row],[Delivery Date]],_xlfn.XLOOKUP(JB$1,$BH$2:$BR$2,$BH177:$BR177,0),0)</f>
        <v>0</v>
      </c>
      <c r="JD177" s="26" t="e">
        <f>IF(JD$2=InputTable[[#This Row],[Delivery Date]],_xlfn.XLOOKUP(JD$1,$BH$2:$BR$2,$BH177:$BR177,0),0)</f>
        <v>#REF!</v>
      </c>
      <c r="JE177" s="26">
        <f>IF(JE$2=InputTable[[#This Row],[Delivery Date]],_xlfn.XLOOKUP(JE$1,$BH$2:$BR$2,$BH177:$BR177,0),0)</f>
        <v>0</v>
      </c>
      <c r="JF177" s="26">
        <f>IF(JF$2=InputTable[[#This Row],[Delivery Date]],_xlfn.XLOOKUP(JF$1,$BH$2:$BR$2,$BH177:$BR177,0),0)</f>
        <v>0</v>
      </c>
      <c r="JG177" s="26">
        <f>IF(JG$2=InputTable[[#This Row],[Delivery Date]],_xlfn.XLOOKUP(JG$1,$BH$2:$BR$2,$BH177:$BR177,0),0)</f>
        <v>0</v>
      </c>
      <c r="JH177" s="26">
        <f>IF(JH$2=InputTable[[#This Row],[Delivery Date]],_xlfn.XLOOKUP(JH$1,$BH$2:$BR$2,$BH177:$BR177,0),0)</f>
        <v>0</v>
      </c>
      <c r="JI177" s="26">
        <f>IF(JI$2=InputTable[[#This Row],[Delivery Date]],_xlfn.XLOOKUP(JI$1,$BH$2:$BR$2,$BH177:$BR177,0),0)</f>
        <v>0</v>
      </c>
      <c r="JJ177" s="26">
        <f>IF(JJ$2=InputTable[[#This Row],[Delivery Date]],_xlfn.XLOOKUP(JJ$1,$BH$2:$BR$2,$BH177:$BR177,0),0)</f>
        <v>0</v>
      </c>
      <c r="JK177" s="26">
        <f>IF(JK$2=InputTable[[#This Row],[Delivery Date]],_xlfn.XLOOKUP(JK$1,$BH$2:$BR$2,$BH177:$BR177,0),0)</f>
        <v>0</v>
      </c>
      <c r="JL177" s="26">
        <f>IF(JL$2=InputTable[[#This Row],[Delivery Date]],_xlfn.XLOOKUP(JL$1,$BH$2:$BR$2,$BH177:$BR177,0),0)</f>
        <v>0</v>
      </c>
      <c r="JN177" s="26" t="e">
        <f>IF(JN$2=InputTable[[#This Row],[Delivery Date]],_xlfn.XLOOKUP(JN$1,$BH$2:$BR$2,$BH177:$BR177,0),0)</f>
        <v>#REF!</v>
      </c>
      <c r="JO177" s="26">
        <f>IF(JO$2=InputTable[[#This Row],[Delivery Date]],_xlfn.XLOOKUP(JO$1,$BH$2:$BR$2,$BH177:$BR177,0),0)</f>
        <v>0</v>
      </c>
      <c r="JP177" s="26">
        <f>IF(JP$2=InputTable[[#This Row],[Delivery Date]],_xlfn.XLOOKUP(JP$1,$BH$2:$BR$2,$BH177:$BR177,0),0)</f>
        <v>0</v>
      </c>
      <c r="JQ177" s="26">
        <f>IF(JQ$2=InputTable[[#This Row],[Delivery Date]],_xlfn.XLOOKUP(JQ$1,$BH$2:$BR$2,$BH177:$BR177,0),0)</f>
        <v>0</v>
      </c>
      <c r="JR177" s="26">
        <f>IF(JR$2=InputTable[[#This Row],[Delivery Date]],_xlfn.XLOOKUP(JR$1,$BH$2:$BR$2,$BH177:$BR177,0),0)</f>
        <v>0</v>
      </c>
      <c r="JS177" s="26">
        <f>IF(JS$2=InputTable[[#This Row],[Delivery Date]],_xlfn.XLOOKUP(JS$1,$BH$2:$BR$2,$BH177:$BR177,0),0)</f>
        <v>0</v>
      </c>
      <c r="JT177" s="26">
        <f>IF(JT$2=InputTable[[#This Row],[Delivery Date]],_xlfn.XLOOKUP(JT$1,$BH$2:$BR$2,$BH177:$BR177,0),0)</f>
        <v>0</v>
      </c>
      <c r="JU177" s="26">
        <f>IF(JU$2=InputTable[[#This Row],[Delivery Date]],_xlfn.XLOOKUP(JU$1,$BH$2:$BR$2,$BH177:$BR177,0),0)</f>
        <v>0</v>
      </c>
      <c r="JV177" s="26">
        <f>IF(JV$2=InputTable[[#This Row],[Delivery Date]],_xlfn.XLOOKUP(JV$1,$BH$2:$BR$2,$BH177:$BR177,0),0)</f>
        <v>0</v>
      </c>
      <c r="JX177" s="26" t="e">
        <f>IF(JX$2=InputTable[[#This Row],[Delivery Date]],_xlfn.XLOOKUP(JX$1,$BH$2:$BR$2,$BH177:$BR177,0),0)</f>
        <v>#REF!</v>
      </c>
      <c r="JY177" s="26">
        <f>IF(JY$2=InputTable[[#This Row],[Delivery Date]],_xlfn.XLOOKUP(JY$1,$BH$2:$BR$2,$BH177:$BR177,0),0)</f>
        <v>0</v>
      </c>
      <c r="JZ177" s="26">
        <f>IF(JZ$2=InputTable[[#This Row],[Delivery Date]],_xlfn.XLOOKUP(JZ$1,$BH$2:$BR$2,$BH177:$BR177,0),0)</f>
        <v>0</v>
      </c>
      <c r="KA177" s="26">
        <f>IF(KA$2=InputTable[[#This Row],[Delivery Date]],_xlfn.XLOOKUP(KA$1,$BH$2:$BR$2,$BH177:$BR177,0),0)</f>
        <v>0</v>
      </c>
      <c r="KB177" s="26">
        <f>IF(KB$2=InputTable[[#This Row],[Delivery Date]],_xlfn.XLOOKUP(KB$1,$BH$2:$BR$2,$BH177:$BR177,0),0)</f>
        <v>0</v>
      </c>
      <c r="KC177" s="26">
        <f>IF(KC$2=InputTable[[#This Row],[Delivery Date]],_xlfn.XLOOKUP(KC$1,$BH$2:$BR$2,$BH177:$BR177,0),0)</f>
        <v>0</v>
      </c>
      <c r="KD177" s="26">
        <f>IF(KD$2=InputTable[[#This Row],[Delivery Date]],_xlfn.XLOOKUP(KD$1,$BH$2:$BR$2,$BH177:$BR177,0),0)</f>
        <v>0</v>
      </c>
      <c r="KE177" s="26">
        <f>IF(KE$2=InputTable[[#This Row],[Delivery Date]],_xlfn.XLOOKUP(KE$1,$BH$2:$BR$2,$BH177:$BR177,0),0)</f>
        <v>0</v>
      </c>
      <c r="KF177" s="26">
        <f>IF(KF$2=InputTable[[#This Row],[Delivery Date]],_xlfn.XLOOKUP(KF$1,$BH$2:$BR$2,$BH177:$BR177,0),0)</f>
        <v>0</v>
      </c>
    </row>
    <row r="178" spans="1:292" ht="34.799999999999997" x14ac:dyDescent="0.25">
      <c r="A178" s="125"/>
      <c r="B178" s="118"/>
      <c r="C178" s="92"/>
      <c r="D178" s="92"/>
      <c r="E178" s="103"/>
      <c r="F178" s="104"/>
      <c r="G178" s="104"/>
      <c r="H178" s="104"/>
      <c r="I178" s="104"/>
      <c r="J178" s="105"/>
      <c r="K178" s="95" t="e">
        <f>VLOOKUP((InputTable[[#This Row],[Starting Date]]&amp; " - " &amp;InputTable[[#This Row],[Delivery Date]]),'System List'!$F$40:$H$83,2,FALSE)</f>
        <v>#N/A</v>
      </c>
      <c r="L178" s="95" t="e">
        <f>VLOOKUP(InputTable[[#This Row],[Duration]],Duration,2,FALSE)</f>
        <v>#N/A</v>
      </c>
      <c r="M178" s="105"/>
      <c r="N178" s="104"/>
      <c r="O178" s="104"/>
      <c r="P178" s="104"/>
      <c r="Q178" s="104"/>
      <c r="R178" s="104"/>
      <c r="S178" s="92"/>
      <c r="T178" s="95"/>
      <c r="U178" s="138"/>
      <c r="V178" s="104"/>
      <c r="W178" s="104"/>
      <c r="X178" s="104"/>
      <c r="Y178" s="104"/>
      <c r="Z178" s="104"/>
      <c r="AA178" s="104"/>
      <c r="AB178" s="104"/>
      <c r="AC178" s="104"/>
      <c r="AD178" s="92">
        <f>COUNTA(InputTable[[#This Row],[CORPHRFIN]:[SALES]])</f>
        <v>0</v>
      </c>
      <c r="AE178" s="88" cm="1">
        <f t="array" ref="AE178">SUM(
_xlfn.XLOOKUP(InputTable[[#This Row],[CORPHRFIN]:[SALES]],'System List'!$F$4:$F$7,'System List'!$H$4:$H$7,0))</f>
        <v>0</v>
      </c>
      <c r="AF178" s="140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88" cm="1">
        <f t="array" ref="AR178">SUM(
_xlfn.XLOOKUP(InputTable[[#This Row],[Impact on - CIAL]:[Impact on - STRAT]],'System List'!$F$4:$F$7,'System List'!$H$4:$H$7,0))</f>
        <v>0</v>
      </c>
      <c r="AS178" s="88" t="e">
        <f>VLOOKUP(InputTable[[#This Row],[Duration]],Duration,2,FALSE)+InputTable[[#This Row],[Resource Score]]</f>
        <v>#N/A</v>
      </c>
      <c r="AT17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8" s="24" t="e">
        <f>InputTable[[#This Row],[Value Score]]/InputTable[[#This Row],[EFFORT SCORE]]*100</f>
        <v>#N/A</v>
      </c>
      <c r="AV178" s="25" t="s">
        <v>469</v>
      </c>
      <c r="AW178" s="25"/>
      <c r="AX178" s="208"/>
      <c r="AY178" s="25"/>
      <c r="AZ178" s="189">
        <v>0</v>
      </c>
      <c r="BA178" s="189">
        <v>0</v>
      </c>
      <c r="BB178" s="189"/>
      <c r="BC178" s="189"/>
      <c r="BD178" s="188"/>
      <c r="BE178" s="188"/>
      <c r="BF178" s="70"/>
      <c r="BH178" s="2">
        <f>IFERROR(VLOOKUP(InputTable[[#This Row],[Impact on - CIAL]],'System List'!$F$4:$H$7,3,FALSE),0)</f>
        <v>0</v>
      </c>
      <c r="BI178" s="2">
        <f>IFERROR(VLOOKUP(InputTable[[#This Row],[Impact on - COM]],'System List'!$F$4:$H$7,3,FALSE),0)</f>
        <v>0</v>
      </c>
      <c r="BJ178" s="2">
        <f>IFERROR(VLOOKUP(InputTable[[#This Row],[Impact on - FIN]],'System List'!$F$4:$H$7,3,FALSE),0)</f>
        <v>0</v>
      </c>
      <c r="BK178" s="2">
        <f>IFERROR(VLOOKUP(InputTable[[#This Row],[Impact on - GEN SEC]],'System List'!$F$4:$H$7,3,FALSE),0)</f>
        <v>0</v>
      </c>
      <c r="BL178" s="2">
        <f>IFERROR(VLOOKUP(InputTable[[#This Row],[Impact on - HR]],'System List'!$F$4:$H$7,3,FALSE),0)</f>
        <v>0</v>
      </c>
      <c r="BM178" s="2">
        <f>IFERROR(VLOOKUP(InputTable[[#This Row],[Impact on - IS]],'System List'!$F$4:$H$7,3,FALSE),0)</f>
        <v>0</v>
      </c>
      <c r="BN178" s="2">
        <f>IFERROR(VLOOKUP(InputTable[[#This Row],[Impact on - OPS]],'System List'!$F$4:$H$7,3,FALSE),0)</f>
        <v>0</v>
      </c>
      <c r="BO178" s="2">
        <f>IFERROR(VLOOKUP(InputTable[[#This Row],[Impact on - ROLL STOCK]],'System List'!$F$4:$H$7,3,FALSE),0)</f>
        <v>0</v>
      </c>
      <c r="BP178" s="2">
        <f>IFERROR(VLOOKUP(InputTable[[#This Row],[Impact on - SAFETY]],'System List'!$F$4:$H$7,3,FALSE),0)</f>
        <v>0</v>
      </c>
      <c r="BQ178" s="2">
        <f>IFERROR(VLOOKUP(InputTable[[#This Row],[Impact on - STATION]],'System List'!$F$4:$H$7,3,FALSE),0)</f>
        <v>0</v>
      </c>
      <c r="BR178" s="2">
        <f>IFERROR(VLOOKUP(InputTable[[#This Row],[Impact on - STRAT]],'System List'!$F$4:$H$7,3,FALSE),0)</f>
        <v>0</v>
      </c>
      <c r="BT178" s="2">
        <f>IFERROR(VLOOKUP(InputTable[[#This Row],[CORPHRFIN]],'System List'!$F$4:$H$7,3,FALSE),0)</f>
        <v>0</v>
      </c>
      <c r="BU178" s="2">
        <f>IFERROR(VLOOKUP(InputTable[[#This Row],[CUST]],'System List'!$F$4:$H$7,3,FALSE),0)</f>
        <v>0</v>
      </c>
      <c r="BV178" s="2">
        <f>IFERROR(VLOOKUP(InputTable[[#This Row],[CYBER]],'System List'!$F$4:$H$7,3,FALSE),0)</f>
        <v>0</v>
      </c>
      <c r="BW178" s="2">
        <f>IFERROR(VLOOKUP(InputTable[[#This Row],[DATA]],'System List'!$F$4:$H$7,3,FALSE),0)</f>
        <v>0</v>
      </c>
      <c r="BX178" s="2">
        <f>IFERROR(VLOOKUP(InputTable[[#This Row],[INFRA]],'System List'!$F$4:$H$7,3,FALSE),0)</f>
        <v>0</v>
      </c>
      <c r="BY178" s="2">
        <f>IFERROR(VLOOKUP(InputTable[[#This Row],[OPERATIONS]],'System List'!$F$4:$H$7,3,FALSE),0)</f>
        <v>0</v>
      </c>
      <c r="BZ178" s="2">
        <f>IFERROR(VLOOKUP(InputTable[[#This Row],[PMO]],'System List'!$F$4:$H$7,3,FALSE),0)</f>
        <v>0</v>
      </c>
      <c r="CA178" s="2">
        <f>IFERROR(VLOOKUP(InputTable[[#This Row],[SALES]],'System List'!$F$4:$H$7,3,FALSE),0)</f>
        <v>0</v>
      </c>
      <c r="CC178" s="2" cm="1">
        <f t="array" ref="CC17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8" s="2" cm="1">
        <f t="array" ref="CD17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8" s="2" cm="1">
        <f t="array" ref="CE17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8" s="2" cm="1">
        <f t="array" ref="CF17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8" s="2" cm="1">
        <f t="array" ref="CG17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8" s="2" cm="1">
        <f t="array" ref="CH17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8" s="2" cm="1">
        <f t="array" ref="CI17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8" s="2" cm="1">
        <f t="array" ref="CJ17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8" s="2" cm="1">
        <f t="array" ref="CK17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8" s="26">
        <f t="shared" si="451"/>
        <v>0</v>
      </c>
      <c r="CY178" s="26">
        <f t="shared" si="452"/>
        <v>0</v>
      </c>
      <c r="CZ178" s="26">
        <f t="shared" si="453"/>
        <v>0</v>
      </c>
      <c r="DA178" s="26">
        <f t="shared" si="454"/>
        <v>0</v>
      </c>
      <c r="DB178" s="26">
        <f t="shared" si="455"/>
        <v>0</v>
      </c>
      <c r="DC178" s="26">
        <f t="shared" si="456"/>
        <v>0</v>
      </c>
      <c r="DD178" s="26">
        <f t="shared" si="457"/>
        <v>0</v>
      </c>
      <c r="DE178" s="26">
        <f t="shared" si="458"/>
        <v>0</v>
      </c>
      <c r="DF178" s="26">
        <f t="shared" si="459"/>
        <v>0</v>
      </c>
      <c r="DH178" s="26">
        <f t="shared" si="460"/>
        <v>0</v>
      </c>
      <c r="DI178" s="26">
        <f t="shared" si="461"/>
        <v>0</v>
      </c>
      <c r="DJ178" s="26">
        <f t="shared" si="462"/>
        <v>0</v>
      </c>
      <c r="DK178" s="26">
        <f t="shared" si="463"/>
        <v>0</v>
      </c>
      <c r="DL178" s="26">
        <f t="shared" si="464"/>
        <v>0</v>
      </c>
      <c r="DM178" s="26">
        <f t="shared" si="465"/>
        <v>0</v>
      </c>
      <c r="DN178" s="26">
        <f t="shared" si="466"/>
        <v>0</v>
      </c>
      <c r="DO178" s="26">
        <f t="shared" si="467"/>
        <v>0</v>
      </c>
      <c r="DP178" s="26">
        <f t="shared" si="468"/>
        <v>0</v>
      </c>
      <c r="DR178" s="26">
        <f t="shared" si="469"/>
        <v>0</v>
      </c>
      <c r="DS178" s="26">
        <f t="shared" si="470"/>
        <v>0</v>
      </c>
      <c r="DT178" s="26">
        <f t="shared" si="471"/>
        <v>0</v>
      </c>
      <c r="DU178" s="26">
        <f t="shared" si="472"/>
        <v>0</v>
      </c>
      <c r="DV178" s="26">
        <f t="shared" si="473"/>
        <v>0</v>
      </c>
      <c r="DW178" s="26">
        <f t="shared" si="474"/>
        <v>0</v>
      </c>
      <c r="DX178" s="26">
        <f t="shared" si="475"/>
        <v>0</v>
      </c>
      <c r="DY178" s="26">
        <f t="shared" si="476"/>
        <v>0</v>
      </c>
      <c r="DZ178" s="26">
        <f t="shared" si="477"/>
        <v>0</v>
      </c>
      <c r="EB178" s="26">
        <f t="shared" si="478"/>
        <v>0</v>
      </c>
      <c r="EC178" s="26">
        <f t="shared" si="479"/>
        <v>0</v>
      </c>
      <c r="ED178" s="26">
        <f t="shared" si="480"/>
        <v>0</v>
      </c>
      <c r="EE178" s="26">
        <f t="shared" si="481"/>
        <v>0</v>
      </c>
      <c r="EF178" s="26">
        <f t="shared" si="482"/>
        <v>0</v>
      </c>
      <c r="EG178" s="26">
        <f t="shared" si="483"/>
        <v>0</v>
      </c>
      <c r="EH178" s="26">
        <f t="shared" si="484"/>
        <v>0</v>
      </c>
      <c r="EI178" s="26">
        <f t="shared" si="485"/>
        <v>0</v>
      </c>
      <c r="EJ178" s="26">
        <f t="shared" si="486"/>
        <v>0</v>
      </c>
      <c r="EL178" s="26">
        <f t="shared" si="487"/>
        <v>0</v>
      </c>
      <c r="EM178" s="26">
        <f t="shared" si="488"/>
        <v>0</v>
      </c>
      <c r="EN178" s="26">
        <f t="shared" si="489"/>
        <v>0</v>
      </c>
      <c r="EO178" s="26">
        <f t="shared" si="490"/>
        <v>0</v>
      </c>
      <c r="EP178" s="26">
        <f t="shared" si="491"/>
        <v>0</v>
      </c>
      <c r="EQ178" s="26">
        <f t="shared" si="492"/>
        <v>0</v>
      </c>
      <c r="ER178" s="26">
        <f t="shared" si="493"/>
        <v>0</v>
      </c>
      <c r="ES178" s="26">
        <f t="shared" si="494"/>
        <v>0</v>
      </c>
      <c r="ET178" s="26">
        <f t="shared" si="495"/>
        <v>0</v>
      </c>
      <c r="EV178" s="26">
        <f t="shared" si="496"/>
        <v>0</v>
      </c>
      <c r="EW178" s="26">
        <f t="shared" si="497"/>
        <v>0</v>
      </c>
      <c r="EX178" s="26">
        <f t="shared" si="498"/>
        <v>0</v>
      </c>
      <c r="EY178" s="26">
        <f t="shared" si="499"/>
        <v>0</v>
      </c>
      <c r="EZ178" s="26">
        <f t="shared" si="500"/>
        <v>0</v>
      </c>
      <c r="FA178" s="26">
        <f t="shared" si="501"/>
        <v>0</v>
      </c>
      <c r="FB178" s="26">
        <f t="shared" si="502"/>
        <v>0</v>
      </c>
      <c r="FC178" s="26">
        <f t="shared" si="503"/>
        <v>0</v>
      </c>
      <c r="FD178" s="26">
        <f t="shared" si="504"/>
        <v>0</v>
      </c>
      <c r="FF178" s="26">
        <f t="shared" si="505"/>
        <v>0</v>
      </c>
      <c r="FG178" s="26">
        <f t="shared" si="506"/>
        <v>0</v>
      </c>
      <c r="FH178" s="26">
        <f t="shared" si="507"/>
        <v>0</v>
      </c>
      <c r="FI178" s="26">
        <f t="shared" si="508"/>
        <v>0</v>
      </c>
      <c r="FJ178" s="26">
        <f t="shared" si="509"/>
        <v>0</v>
      </c>
      <c r="FK178" s="26">
        <f t="shared" si="510"/>
        <v>0</v>
      </c>
      <c r="FL178" s="26">
        <f t="shared" si="511"/>
        <v>0</v>
      </c>
      <c r="FM178" s="26">
        <f t="shared" si="512"/>
        <v>0</v>
      </c>
      <c r="FN178" s="26">
        <f t="shared" si="513"/>
        <v>0</v>
      </c>
      <c r="FP178" s="26" t="e">
        <f t="shared" si="514"/>
        <v>#REF!</v>
      </c>
      <c r="FQ178" s="26" t="e">
        <f t="shared" si="515"/>
        <v>#REF!</v>
      </c>
      <c r="FR178" s="26" t="e">
        <f t="shared" si="516"/>
        <v>#REF!</v>
      </c>
      <c r="FS178" s="26" t="e">
        <f t="shared" si="517"/>
        <v>#REF!</v>
      </c>
      <c r="FT178" s="26" t="e">
        <f t="shared" si="518"/>
        <v>#REF!</v>
      </c>
      <c r="FU178" s="26" t="e">
        <f t="shared" si="519"/>
        <v>#REF!</v>
      </c>
      <c r="FV178" s="26" t="e">
        <f t="shared" si="520"/>
        <v>#REF!</v>
      </c>
      <c r="FW178" s="26" t="e">
        <f t="shared" si="521"/>
        <v>#REF!</v>
      </c>
      <c r="FX178" s="26" t="e">
        <f t="shared" si="522"/>
        <v>#REF!</v>
      </c>
      <c r="GB178" s="26" t="e">
        <f>IF(GB$2=InputTable[[#This Row],[Delivery Date]],_xlfn.XLOOKUP(GB$1,$BH$2:$BR$2,$BH178:$BR178,0),0)</f>
        <v>#REF!</v>
      </c>
      <c r="GC178" s="26">
        <f>IF(GC$2=InputTable[[#This Row],[Delivery Date]],_xlfn.XLOOKUP(GC$1,$BH$2:$BR$2,$BH178:$BR178,0),0)</f>
        <v>0</v>
      </c>
      <c r="GD178" s="26">
        <f>IF(GD$2=InputTable[[#This Row],[Delivery Date]],_xlfn.XLOOKUP(GD$1,$BH$2:$BR$2,$BH178:$BR178,0),0)</f>
        <v>0</v>
      </c>
      <c r="GE178" s="26">
        <f>IF(GE$2=InputTable[[#This Row],[Delivery Date]],_xlfn.XLOOKUP(GE$1,$BH$2:$BR$2,$BH178:$BR178,0),0)</f>
        <v>0</v>
      </c>
      <c r="GF178" s="26">
        <f>IF(GF$2=InputTable[[#This Row],[Delivery Date]],_xlfn.XLOOKUP(GF$1,$BH$2:$BR$2,$BH178:$BR178,0),0)</f>
        <v>0</v>
      </c>
      <c r="GG178" s="26">
        <f>IF(GG$2=InputTable[[#This Row],[Delivery Date]],_xlfn.XLOOKUP(GG$1,$BH$2:$BR$2,$BH178:$BR178,0),0)</f>
        <v>0</v>
      </c>
      <c r="GH178" s="26">
        <f>IF(GH$2=InputTable[[#This Row],[Delivery Date]],_xlfn.XLOOKUP(GH$1,$BH$2:$BR$2,$BH178:$BR178,0),0)</f>
        <v>0</v>
      </c>
      <c r="GI178" s="26">
        <f>IF(GI$2=InputTable[[#This Row],[Delivery Date]],_xlfn.XLOOKUP(GI$1,$BH$2:$BR$2,$BH178:$BR178,0),0)</f>
        <v>0</v>
      </c>
      <c r="GJ178" s="26">
        <f>IF(GJ$2=InputTable[[#This Row],[Delivery Date]],_xlfn.XLOOKUP(GJ$1,$BH$2:$BR$2,$BH178:$BR178,0),0)</f>
        <v>0</v>
      </c>
      <c r="GL178" s="26" t="e">
        <f>IF(GL$2=InputTable[[#This Row],[Delivery Date]],_xlfn.XLOOKUP(GL$1,$BH$2:$BR$2,$BH178:$BR178,0),0)</f>
        <v>#REF!</v>
      </c>
      <c r="GM178" s="26">
        <f>IF(GM$2=InputTable[[#This Row],[Delivery Date]],_xlfn.XLOOKUP(GM$1,$BH$2:$BR$2,$BH178:$BR178,0),0)</f>
        <v>0</v>
      </c>
      <c r="GN178" s="26">
        <f>IF(GN$2=InputTable[[#This Row],[Delivery Date]],_xlfn.XLOOKUP(GN$1,$BH$2:$BR$2,$BH178:$BR178,0),0)</f>
        <v>0</v>
      </c>
      <c r="GO178" s="26">
        <f>IF(GO$2=InputTable[[#This Row],[Delivery Date]],_xlfn.XLOOKUP(GO$1,$BH$2:$BR$2,$BH178:$BR178,0),0)</f>
        <v>0</v>
      </c>
      <c r="GP178" s="26">
        <f>IF(GP$2=InputTable[[#This Row],[Delivery Date]],_xlfn.XLOOKUP(GP$1,$BH$2:$BR$2,$BH178:$BR178,0),0)</f>
        <v>0</v>
      </c>
      <c r="GQ178" s="26">
        <f>IF(GQ$2=InputTable[[#This Row],[Delivery Date]],_xlfn.XLOOKUP(GQ$1,$BH$2:$BR$2,$BH178:$BR178,0),0)</f>
        <v>0</v>
      </c>
      <c r="GR178" s="26">
        <f>IF(GR$2=InputTable[[#This Row],[Delivery Date]],_xlfn.XLOOKUP(GR$1,$BH$2:$BR$2,$BH178:$BR178,0),0)</f>
        <v>0</v>
      </c>
      <c r="GS178" s="26">
        <f>IF(GS$2=InputTable[[#This Row],[Delivery Date]],_xlfn.XLOOKUP(GS$1,$BH$2:$BR$2,$BH178:$BR178,0),0)</f>
        <v>0</v>
      </c>
      <c r="GT178" s="26">
        <f>IF(GT$2=InputTable[[#This Row],[Delivery Date]],_xlfn.XLOOKUP(GT$1,$BH$2:$BR$2,$BH178:$BR178,0),0)</f>
        <v>0</v>
      </c>
      <c r="GV178" s="26" t="e">
        <f>IF(GV$2=InputTable[[#This Row],[Delivery Date]],_xlfn.XLOOKUP(GV$1,$BH$2:$BR$2,$BH178:$BR178,0),0)</f>
        <v>#REF!</v>
      </c>
      <c r="GW178" s="26">
        <f>IF(GW$2=InputTable[[#This Row],[Delivery Date]],_xlfn.XLOOKUP(GW$1,$BH$2:$BR$2,$BH178:$BR178,0),0)</f>
        <v>0</v>
      </c>
      <c r="GX178" s="26">
        <f>IF(GX$2=InputTable[[#This Row],[Delivery Date]],_xlfn.XLOOKUP(GX$1,$BH$2:$BR$2,$BH178:$BR178,0),0)</f>
        <v>0</v>
      </c>
      <c r="GY178" s="26">
        <f>IF(GY$2=InputTable[[#This Row],[Delivery Date]],_xlfn.XLOOKUP(GY$1,$BH$2:$BR$2,$BH178:$BR178,0),0)</f>
        <v>0</v>
      </c>
      <c r="GZ178" s="26">
        <f>IF(GZ$2=InputTable[[#This Row],[Delivery Date]],_xlfn.XLOOKUP(GZ$1,$BH$2:$BR$2,$BH178:$BR178,0),0)</f>
        <v>0</v>
      </c>
      <c r="HA178" s="26">
        <f>IF(HA$2=InputTable[[#This Row],[Delivery Date]],_xlfn.XLOOKUP(HA$1,$BH$2:$BR$2,$BH178:$BR178,0),0)</f>
        <v>0</v>
      </c>
      <c r="HB178" s="26">
        <f>IF(HB$2=InputTable[[#This Row],[Delivery Date]],_xlfn.XLOOKUP(HB$1,$BH$2:$BR$2,$BH178:$BR178,0),0)</f>
        <v>0</v>
      </c>
      <c r="HC178" s="26">
        <f>IF(HC$2=InputTable[[#This Row],[Delivery Date]],_xlfn.XLOOKUP(HC$1,$BH$2:$BR$2,$BH178:$BR178,0),0)</f>
        <v>0</v>
      </c>
      <c r="HD178" s="26">
        <f>IF(HD$2=InputTable[[#This Row],[Delivery Date]],_xlfn.XLOOKUP(HD$1,$BH$2:$BR$2,$BH178:$BR178,0),0)</f>
        <v>0</v>
      </c>
      <c r="HF178" s="26" t="e">
        <f>IF(HF$2=InputTable[[#This Row],[Delivery Date]],_xlfn.XLOOKUP(HF$1,$BH$2:$BR$2,$BH178:$BR178,0),0)</f>
        <v>#REF!</v>
      </c>
      <c r="HG178" s="26">
        <f>IF(HG$2=InputTable[[#This Row],[Delivery Date]],_xlfn.XLOOKUP(HG$1,$BH$2:$BR$2,$BH178:$BR178,0),0)</f>
        <v>0</v>
      </c>
      <c r="HH178" s="26">
        <f>IF(HH$2=InputTable[[#This Row],[Delivery Date]],_xlfn.XLOOKUP(HH$1,$BH$2:$BR$2,$BH178:$BR178,0),0)</f>
        <v>0</v>
      </c>
      <c r="HI178" s="26">
        <f>IF(HI$2=InputTable[[#This Row],[Delivery Date]],_xlfn.XLOOKUP(HI$1,$BH$2:$BR$2,$BH178:$BR178,0),0)</f>
        <v>0</v>
      </c>
      <c r="HJ178" s="26">
        <f>IF(HJ$2=InputTable[[#This Row],[Delivery Date]],_xlfn.XLOOKUP(HJ$1,$BH$2:$BR$2,$BH178:$BR178,0),0)</f>
        <v>0</v>
      </c>
      <c r="HK178" s="26">
        <f>IF(HK$2=InputTable[[#This Row],[Delivery Date]],_xlfn.XLOOKUP(HK$1,$BH$2:$BR$2,$BH178:$BR178,0),0)</f>
        <v>0</v>
      </c>
      <c r="HL178" s="26">
        <f>IF(HL$2=InputTable[[#This Row],[Delivery Date]],_xlfn.XLOOKUP(HL$1,$BH$2:$BR$2,$BH178:$BR178,0),0)</f>
        <v>0</v>
      </c>
      <c r="HM178" s="26">
        <f>IF(HM$2=InputTable[[#This Row],[Delivery Date]],_xlfn.XLOOKUP(HM$1,$BH$2:$BR$2,$BH178:$BR178,0),0)</f>
        <v>0</v>
      </c>
      <c r="HN178" s="26">
        <f>IF(HN$2=InputTable[[#This Row],[Delivery Date]],_xlfn.XLOOKUP(HN$1,$BH$2:$BR$2,$BH178:$BR178,0),0)</f>
        <v>0</v>
      </c>
      <c r="HP178" s="26" t="e">
        <f>IF(HP$2=InputTable[[#This Row],[Delivery Date]],_xlfn.XLOOKUP(HP$1,$BH$2:$BR$2,$BH178:$BR178,0),0)</f>
        <v>#REF!</v>
      </c>
      <c r="HQ178" s="26">
        <f>IF(HQ$2=InputTable[[#This Row],[Delivery Date]],_xlfn.XLOOKUP(HQ$1,$BH$2:$BR$2,$BH178:$BR178,0),0)</f>
        <v>0</v>
      </c>
      <c r="HR178" s="26">
        <f>IF(HR$2=InputTable[[#This Row],[Delivery Date]],_xlfn.XLOOKUP(HR$1,$BH$2:$BR$2,$BH178:$BR178,0),0)</f>
        <v>0</v>
      </c>
      <c r="HS178" s="26">
        <f>IF(HS$2=InputTable[[#This Row],[Delivery Date]],_xlfn.XLOOKUP(HS$1,$BH$2:$BR$2,$BH178:$BR178,0),0)</f>
        <v>0</v>
      </c>
      <c r="HT178" s="26">
        <f>IF(HT$2=InputTable[[#This Row],[Delivery Date]],_xlfn.XLOOKUP(HT$1,$BH$2:$BR$2,$BH178:$BR178,0),0)</f>
        <v>0</v>
      </c>
      <c r="HU178" s="26">
        <f>IF(HU$2=InputTable[[#This Row],[Delivery Date]],_xlfn.XLOOKUP(HU$1,$BH$2:$BR$2,$BH178:$BR178,0),0)</f>
        <v>0</v>
      </c>
      <c r="HV178" s="26">
        <f>IF(HV$2=InputTable[[#This Row],[Delivery Date]],_xlfn.XLOOKUP(HV$1,$BH$2:$BR$2,$BH178:$BR178,0),0)</f>
        <v>0</v>
      </c>
      <c r="HW178" s="26">
        <f>IF(HW$2=InputTable[[#This Row],[Delivery Date]],_xlfn.XLOOKUP(HW$1,$BH$2:$BR$2,$BH178:$BR178,0),0)</f>
        <v>0</v>
      </c>
      <c r="HX178" s="26">
        <f>IF(HX$2=InputTable[[#This Row],[Delivery Date]],_xlfn.XLOOKUP(HX$1,$BH$2:$BR$2,$BH178:$BR178,0),0)</f>
        <v>0</v>
      </c>
      <c r="HZ178" s="26" t="e">
        <f>IF(HZ$2=InputTable[[#This Row],[Delivery Date]],_xlfn.XLOOKUP(HZ$1,$BH$2:$BR$2,$BH178:$BR178,0),0)</f>
        <v>#REF!</v>
      </c>
      <c r="IA178" s="26">
        <f>IF(IA$2=InputTable[[#This Row],[Delivery Date]],_xlfn.XLOOKUP(IA$1,$BH$2:$BR$2,$BH178:$BR178,0),0)</f>
        <v>0</v>
      </c>
      <c r="IB178" s="26">
        <f>IF(IB$2=InputTable[[#This Row],[Delivery Date]],_xlfn.XLOOKUP(IB$1,$BH$2:$BR$2,$BH178:$BR178,0),0)</f>
        <v>0</v>
      </c>
      <c r="IC178" s="26">
        <f>IF(IC$2=InputTable[[#This Row],[Delivery Date]],_xlfn.XLOOKUP(IC$1,$BH$2:$BR$2,$BH178:$BR178,0),0)</f>
        <v>0</v>
      </c>
      <c r="ID178" s="26">
        <f>IF(ID$2=InputTable[[#This Row],[Delivery Date]],_xlfn.XLOOKUP(ID$1,$BH$2:$BR$2,$BH178:$BR178,0),0)</f>
        <v>0</v>
      </c>
      <c r="IE178" s="26">
        <f>IF(IE$2=InputTable[[#This Row],[Delivery Date]],_xlfn.XLOOKUP(IE$1,$BH$2:$BR$2,$BH178:$BR178,0),0)</f>
        <v>0</v>
      </c>
      <c r="IF178" s="26">
        <f>IF(IF$2=InputTable[[#This Row],[Delivery Date]],_xlfn.XLOOKUP(IF$1,$BH$2:$BR$2,$BH178:$BR178,0),0)</f>
        <v>0</v>
      </c>
      <c r="IG178" s="26">
        <f>IF(IG$2=InputTable[[#This Row],[Delivery Date]],_xlfn.XLOOKUP(IG$1,$BH$2:$BR$2,$BH178:$BR178,0),0)</f>
        <v>0</v>
      </c>
      <c r="IH178" s="26">
        <f>IF(IH$2=InputTable[[#This Row],[Delivery Date]],_xlfn.XLOOKUP(IH$1,$BH$2:$BR$2,$BH178:$BR178,0),0)</f>
        <v>0</v>
      </c>
      <c r="IJ178" s="26" t="e">
        <f>IF(IJ$2=InputTable[[#This Row],[Delivery Date]],_xlfn.XLOOKUP(IJ$1,$BH$2:$BR$2,$BH178:$BR178,0),0)</f>
        <v>#REF!</v>
      </c>
      <c r="IK178" s="26">
        <f>IF(IK$2=InputTable[[#This Row],[Delivery Date]],_xlfn.XLOOKUP(IK$1,$BH$2:$BR$2,$BH178:$BR178,0),0)</f>
        <v>0</v>
      </c>
      <c r="IL178" s="26">
        <f>IF(IL$2=InputTable[[#This Row],[Delivery Date]],_xlfn.XLOOKUP(IL$1,$BH$2:$BR$2,$BH178:$BR178,0),0)</f>
        <v>0</v>
      </c>
      <c r="IM178" s="26">
        <f>IF(IM$2=InputTable[[#This Row],[Delivery Date]],_xlfn.XLOOKUP(IM$1,$BH$2:$BR$2,$BH178:$BR178,0),0)</f>
        <v>0</v>
      </c>
      <c r="IN178" s="26">
        <f>IF(IN$2=InputTable[[#This Row],[Delivery Date]],_xlfn.XLOOKUP(IN$1,$BH$2:$BR$2,$BH178:$BR178,0),0)</f>
        <v>0</v>
      </c>
      <c r="IO178" s="26">
        <f>IF(IO$2=InputTable[[#This Row],[Delivery Date]],_xlfn.XLOOKUP(IO$1,$BH$2:$BR$2,$BH178:$BR178,0),0)</f>
        <v>0</v>
      </c>
      <c r="IP178" s="26">
        <f>IF(IP$2=InputTable[[#This Row],[Delivery Date]],_xlfn.XLOOKUP(IP$1,$BH$2:$BR$2,$BH178:$BR178,0),0)</f>
        <v>0</v>
      </c>
      <c r="IQ178" s="26">
        <f>IF(IQ$2=InputTable[[#This Row],[Delivery Date]],_xlfn.XLOOKUP(IQ$1,$BH$2:$BR$2,$BH178:$BR178,0),0)</f>
        <v>0</v>
      </c>
      <c r="IR178" s="26">
        <f>IF(IR$2=InputTable[[#This Row],[Delivery Date]],_xlfn.XLOOKUP(IR$1,$BH$2:$BR$2,$BH178:$BR178,0),0)</f>
        <v>0</v>
      </c>
      <c r="IT178" s="26" t="e">
        <f>IF(IT$2=InputTable[[#This Row],[Delivery Date]],_xlfn.XLOOKUP(IT$1,$BH$2:$BR$2,$BH178:$BR178,0),0)</f>
        <v>#REF!</v>
      </c>
      <c r="IU178" s="26">
        <f>IF(IU$2=InputTable[[#This Row],[Delivery Date]],_xlfn.XLOOKUP(IU$1,$BH$2:$BR$2,$BH178:$BR178,0),0)</f>
        <v>0</v>
      </c>
      <c r="IV178" s="26">
        <f>IF(IV$2=InputTable[[#This Row],[Delivery Date]],_xlfn.XLOOKUP(IV$1,$BH$2:$BR$2,$BH178:$BR178,0),0)</f>
        <v>0</v>
      </c>
      <c r="IW178" s="26">
        <f>IF(IW$2=InputTable[[#This Row],[Delivery Date]],_xlfn.XLOOKUP(IW$1,$BH$2:$BR$2,$BH178:$BR178,0),0)</f>
        <v>0</v>
      </c>
      <c r="IX178" s="26">
        <f>IF(IX$2=InputTable[[#This Row],[Delivery Date]],_xlfn.XLOOKUP(IX$1,$BH$2:$BR$2,$BH178:$BR178,0),0)</f>
        <v>0</v>
      </c>
      <c r="IY178" s="26">
        <f>IF(IY$2=InputTable[[#This Row],[Delivery Date]],_xlfn.XLOOKUP(IY$1,$BH$2:$BR$2,$BH178:$BR178,0),0)</f>
        <v>0</v>
      </c>
      <c r="IZ178" s="26">
        <f>IF(IZ$2=InputTable[[#This Row],[Delivery Date]],_xlfn.XLOOKUP(IZ$1,$BH$2:$BR$2,$BH178:$BR178,0),0)</f>
        <v>0</v>
      </c>
      <c r="JA178" s="26">
        <f>IF(JA$2=InputTable[[#This Row],[Delivery Date]],_xlfn.XLOOKUP(JA$1,$BH$2:$BR$2,$BH178:$BR178,0),0)</f>
        <v>0</v>
      </c>
      <c r="JB178" s="26">
        <f>IF(JB$2=InputTable[[#This Row],[Delivery Date]],_xlfn.XLOOKUP(JB$1,$BH$2:$BR$2,$BH178:$BR178,0),0)</f>
        <v>0</v>
      </c>
      <c r="JD178" s="26" t="e">
        <f>IF(JD$2=InputTable[[#This Row],[Delivery Date]],_xlfn.XLOOKUP(JD$1,$BH$2:$BR$2,$BH178:$BR178,0),0)</f>
        <v>#REF!</v>
      </c>
      <c r="JE178" s="26">
        <f>IF(JE$2=InputTable[[#This Row],[Delivery Date]],_xlfn.XLOOKUP(JE$1,$BH$2:$BR$2,$BH178:$BR178,0),0)</f>
        <v>0</v>
      </c>
      <c r="JF178" s="26">
        <f>IF(JF$2=InputTable[[#This Row],[Delivery Date]],_xlfn.XLOOKUP(JF$1,$BH$2:$BR$2,$BH178:$BR178,0),0)</f>
        <v>0</v>
      </c>
      <c r="JG178" s="26">
        <f>IF(JG$2=InputTable[[#This Row],[Delivery Date]],_xlfn.XLOOKUP(JG$1,$BH$2:$BR$2,$BH178:$BR178,0),0)</f>
        <v>0</v>
      </c>
      <c r="JH178" s="26">
        <f>IF(JH$2=InputTable[[#This Row],[Delivery Date]],_xlfn.XLOOKUP(JH$1,$BH$2:$BR$2,$BH178:$BR178,0),0)</f>
        <v>0</v>
      </c>
      <c r="JI178" s="26">
        <f>IF(JI$2=InputTable[[#This Row],[Delivery Date]],_xlfn.XLOOKUP(JI$1,$BH$2:$BR$2,$BH178:$BR178,0),0)</f>
        <v>0</v>
      </c>
      <c r="JJ178" s="26">
        <f>IF(JJ$2=InputTable[[#This Row],[Delivery Date]],_xlfn.XLOOKUP(JJ$1,$BH$2:$BR$2,$BH178:$BR178,0),0)</f>
        <v>0</v>
      </c>
      <c r="JK178" s="26">
        <f>IF(JK$2=InputTable[[#This Row],[Delivery Date]],_xlfn.XLOOKUP(JK$1,$BH$2:$BR$2,$BH178:$BR178,0),0)</f>
        <v>0</v>
      </c>
      <c r="JL178" s="26">
        <f>IF(JL$2=InputTable[[#This Row],[Delivery Date]],_xlfn.XLOOKUP(JL$1,$BH$2:$BR$2,$BH178:$BR178,0),0)</f>
        <v>0</v>
      </c>
      <c r="JN178" s="26" t="e">
        <f>IF(JN$2=InputTable[[#This Row],[Delivery Date]],_xlfn.XLOOKUP(JN$1,$BH$2:$BR$2,$BH178:$BR178,0),0)</f>
        <v>#REF!</v>
      </c>
      <c r="JO178" s="26">
        <f>IF(JO$2=InputTable[[#This Row],[Delivery Date]],_xlfn.XLOOKUP(JO$1,$BH$2:$BR$2,$BH178:$BR178,0),0)</f>
        <v>0</v>
      </c>
      <c r="JP178" s="26">
        <f>IF(JP$2=InputTable[[#This Row],[Delivery Date]],_xlfn.XLOOKUP(JP$1,$BH$2:$BR$2,$BH178:$BR178,0),0)</f>
        <v>0</v>
      </c>
      <c r="JQ178" s="26">
        <f>IF(JQ$2=InputTable[[#This Row],[Delivery Date]],_xlfn.XLOOKUP(JQ$1,$BH$2:$BR$2,$BH178:$BR178,0),0)</f>
        <v>0</v>
      </c>
      <c r="JR178" s="26">
        <f>IF(JR$2=InputTable[[#This Row],[Delivery Date]],_xlfn.XLOOKUP(JR$1,$BH$2:$BR$2,$BH178:$BR178,0),0)</f>
        <v>0</v>
      </c>
      <c r="JS178" s="26">
        <f>IF(JS$2=InputTable[[#This Row],[Delivery Date]],_xlfn.XLOOKUP(JS$1,$BH$2:$BR$2,$BH178:$BR178,0),0)</f>
        <v>0</v>
      </c>
      <c r="JT178" s="26">
        <f>IF(JT$2=InputTable[[#This Row],[Delivery Date]],_xlfn.XLOOKUP(JT$1,$BH$2:$BR$2,$BH178:$BR178,0),0)</f>
        <v>0</v>
      </c>
      <c r="JU178" s="26">
        <f>IF(JU$2=InputTable[[#This Row],[Delivery Date]],_xlfn.XLOOKUP(JU$1,$BH$2:$BR$2,$BH178:$BR178,0),0)</f>
        <v>0</v>
      </c>
      <c r="JV178" s="26">
        <f>IF(JV$2=InputTable[[#This Row],[Delivery Date]],_xlfn.XLOOKUP(JV$1,$BH$2:$BR$2,$BH178:$BR178,0),0)</f>
        <v>0</v>
      </c>
      <c r="JX178" s="26" t="e">
        <f>IF(JX$2=InputTable[[#This Row],[Delivery Date]],_xlfn.XLOOKUP(JX$1,$BH$2:$BR$2,$BH178:$BR178,0),0)</f>
        <v>#REF!</v>
      </c>
      <c r="JY178" s="26">
        <f>IF(JY$2=InputTable[[#This Row],[Delivery Date]],_xlfn.XLOOKUP(JY$1,$BH$2:$BR$2,$BH178:$BR178,0),0)</f>
        <v>0</v>
      </c>
      <c r="JZ178" s="26">
        <f>IF(JZ$2=InputTable[[#This Row],[Delivery Date]],_xlfn.XLOOKUP(JZ$1,$BH$2:$BR$2,$BH178:$BR178,0),0)</f>
        <v>0</v>
      </c>
      <c r="KA178" s="26">
        <f>IF(KA$2=InputTable[[#This Row],[Delivery Date]],_xlfn.XLOOKUP(KA$1,$BH$2:$BR$2,$BH178:$BR178,0),0)</f>
        <v>0</v>
      </c>
      <c r="KB178" s="26">
        <f>IF(KB$2=InputTable[[#This Row],[Delivery Date]],_xlfn.XLOOKUP(KB$1,$BH$2:$BR$2,$BH178:$BR178,0),0)</f>
        <v>0</v>
      </c>
      <c r="KC178" s="26">
        <f>IF(KC$2=InputTable[[#This Row],[Delivery Date]],_xlfn.XLOOKUP(KC$1,$BH$2:$BR$2,$BH178:$BR178,0),0)</f>
        <v>0</v>
      </c>
      <c r="KD178" s="26">
        <f>IF(KD$2=InputTable[[#This Row],[Delivery Date]],_xlfn.XLOOKUP(KD$1,$BH$2:$BR$2,$BH178:$BR178,0),0)</f>
        <v>0</v>
      </c>
      <c r="KE178" s="26">
        <f>IF(KE$2=InputTable[[#This Row],[Delivery Date]],_xlfn.XLOOKUP(KE$1,$BH$2:$BR$2,$BH178:$BR178,0),0)</f>
        <v>0</v>
      </c>
      <c r="KF178" s="26">
        <f>IF(KF$2=InputTable[[#This Row],[Delivery Date]],_xlfn.XLOOKUP(KF$1,$BH$2:$BR$2,$BH178:$BR178,0),0)</f>
        <v>0</v>
      </c>
    </row>
    <row r="179" spans="1:292" ht="34.799999999999997" x14ac:dyDescent="0.25">
      <c r="A179" s="125"/>
      <c r="B179" s="118"/>
      <c r="C179" s="92"/>
      <c r="D179" s="92"/>
      <c r="E179" s="103"/>
      <c r="F179" s="104"/>
      <c r="G179" s="104"/>
      <c r="H179" s="104"/>
      <c r="I179" s="104"/>
      <c r="J179" s="105"/>
      <c r="K179" s="95" t="e">
        <f>VLOOKUP((InputTable[[#This Row],[Starting Date]]&amp; " - " &amp;InputTable[[#This Row],[Delivery Date]]),'System List'!$F$40:$H$83,2,FALSE)</f>
        <v>#N/A</v>
      </c>
      <c r="L179" s="95" t="e">
        <f>VLOOKUP(InputTable[[#This Row],[Duration]],Duration,2,FALSE)</f>
        <v>#N/A</v>
      </c>
      <c r="M179" s="105"/>
      <c r="N179" s="104"/>
      <c r="O179" s="104"/>
      <c r="P179" s="104"/>
      <c r="Q179" s="104"/>
      <c r="R179" s="104"/>
      <c r="S179" s="92"/>
      <c r="T179" s="95"/>
      <c r="U179" s="138"/>
      <c r="V179" s="104"/>
      <c r="W179" s="104"/>
      <c r="X179" s="104"/>
      <c r="Y179" s="104"/>
      <c r="Z179" s="104"/>
      <c r="AA179" s="104"/>
      <c r="AB179" s="104"/>
      <c r="AC179" s="104"/>
      <c r="AD179" s="92">
        <f>COUNTA(InputTable[[#This Row],[CORPHRFIN]:[SALES]])</f>
        <v>0</v>
      </c>
      <c r="AE179" s="88" cm="1">
        <f t="array" ref="AE179">SUM(
_xlfn.XLOOKUP(InputTable[[#This Row],[CORPHRFIN]:[SALES]],'System List'!$F$4:$F$7,'System List'!$H$4:$H$7,0))</f>
        <v>0</v>
      </c>
      <c r="AF179" s="140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88" cm="1">
        <f t="array" ref="AR179">SUM(
_xlfn.XLOOKUP(InputTable[[#This Row],[Impact on - CIAL]:[Impact on - STRAT]],'System List'!$F$4:$F$7,'System List'!$H$4:$H$7,0))</f>
        <v>0</v>
      </c>
      <c r="AS179" s="88" t="e">
        <f>VLOOKUP(InputTable[[#This Row],[Duration]],Duration,2,FALSE)+InputTable[[#This Row],[Resource Score]]</f>
        <v>#N/A</v>
      </c>
      <c r="AT17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79" s="24" t="e">
        <f>InputTable[[#This Row],[Value Score]]/InputTable[[#This Row],[EFFORT SCORE]]*100</f>
        <v>#N/A</v>
      </c>
      <c r="AV179" s="25" t="s">
        <v>470</v>
      </c>
      <c r="AW179" s="25"/>
      <c r="AX179" s="208"/>
      <c r="AY179" s="25"/>
      <c r="AZ179" s="189">
        <v>0</v>
      </c>
      <c r="BA179" s="189">
        <v>0</v>
      </c>
      <c r="BB179" s="189"/>
      <c r="BC179" s="189"/>
      <c r="BD179" s="188"/>
      <c r="BE179" s="188"/>
      <c r="BF179" s="70"/>
      <c r="BH179" s="2">
        <f>IFERROR(VLOOKUP(InputTable[[#This Row],[Impact on - CIAL]],'System List'!$F$4:$H$7,3,FALSE),0)</f>
        <v>0</v>
      </c>
      <c r="BI179" s="2">
        <f>IFERROR(VLOOKUP(InputTable[[#This Row],[Impact on - COM]],'System List'!$F$4:$H$7,3,FALSE),0)</f>
        <v>0</v>
      </c>
      <c r="BJ179" s="2">
        <f>IFERROR(VLOOKUP(InputTable[[#This Row],[Impact on - FIN]],'System List'!$F$4:$H$7,3,FALSE),0)</f>
        <v>0</v>
      </c>
      <c r="BK179" s="2">
        <f>IFERROR(VLOOKUP(InputTable[[#This Row],[Impact on - GEN SEC]],'System List'!$F$4:$H$7,3,FALSE),0)</f>
        <v>0</v>
      </c>
      <c r="BL179" s="2">
        <f>IFERROR(VLOOKUP(InputTable[[#This Row],[Impact on - HR]],'System List'!$F$4:$H$7,3,FALSE),0)</f>
        <v>0</v>
      </c>
      <c r="BM179" s="2">
        <f>IFERROR(VLOOKUP(InputTable[[#This Row],[Impact on - IS]],'System List'!$F$4:$H$7,3,FALSE),0)</f>
        <v>0</v>
      </c>
      <c r="BN179" s="2">
        <f>IFERROR(VLOOKUP(InputTable[[#This Row],[Impact on - OPS]],'System List'!$F$4:$H$7,3,FALSE),0)</f>
        <v>0</v>
      </c>
      <c r="BO179" s="2">
        <f>IFERROR(VLOOKUP(InputTable[[#This Row],[Impact on - ROLL STOCK]],'System List'!$F$4:$H$7,3,FALSE),0)</f>
        <v>0</v>
      </c>
      <c r="BP179" s="2">
        <f>IFERROR(VLOOKUP(InputTable[[#This Row],[Impact on - SAFETY]],'System List'!$F$4:$H$7,3,FALSE),0)</f>
        <v>0</v>
      </c>
      <c r="BQ179" s="2">
        <f>IFERROR(VLOOKUP(InputTable[[#This Row],[Impact on - STATION]],'System List'!$F$4:$H$7,3,FALSE),0)</f>
        <v>0</v>
      </c>
      <c r="BR179" s="2">
        <f>IFERROR(VLOOKUP(InputTable[[#This Row],[Impact on - STRAT]],'System List'!$F$4:$H$7,3,FALSE),0)</f>
        <v>0</v>
      </c>
      <c r="BT179" s="2">
        <f>IFERROR(VLOOKUP(InputTable[[#This Row],[CORPHRFIN]],'System List'!$F$4:$H$7,3,FALSE),0)</f>
        <v>0</v>
      </c>
      <c r="BU179" s="2">
        <f>IFERROR(VLOOKUP(InputTable[[#This Row],[CUST]],'System List'!$F$4:$H$7,3,FALSE),0)</f>
        <v>0</v>
      </c>
      <c r="BV179" s="2">
        <f>IFERROR(VLOOKUP(InputTable[[#This Row],[CYBER]],'System List'!$F$4:$H$7,3,FALSE),0)</f>
        <v>0</v>
      </c>
      <c r="BW179" s="2">
        <f>IFERROR(VLOOKUP(InputTable[[#This Row],[DATA]],'System List'!$F$4:$H$7,3,FALSE),0)</f>
        <v>0</v>
      </c>
      <c r="BX179" s="2">
        <f>IFERROR(VLOOKUP(InputTable[[#This Row],[INFRA]],'System List'!$F$4:$H$7,3,FALSE),0)</f>
        <v>0</v>
      </c>
      <c r="BY179" s="2">
        <f>IFERROR(VLOOKUP(InputTable[[#This Row],[OPERATIONS]],'System List'!$F$4:$H$7,3,FALSE),0)</f>
        <v>0</v>
      </c>
      <c r="BZ179" s="2">
        <f>IFERROR(VLOOKUP(InputTable[[#This Row],[PMO]],'System List'!$F$4:$H$7,3,FALSE),0)</f>
        <v>0</v>
      </c>
      <c r="CA179" s="2">
        <f>IFERROR(VLOOKUP(InputTable[[#This Row],[SALES]],'System List'!$F$4:$H$7,3,FALSE),0)</f>
        <v>0</v>
      </c>
      <c r="CC179" s="2" cm="1">
        <f t="array" ref="CC17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79" s="2" cm="1">
        <f t="array" ref="CD17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79" s="2" cm="1">
        <f t="array" ref="CE17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79" s="2" cm="1">
        <f t="array" ref="CF17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79" s="2" cm="1">
        <f t="array" ref="CG17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79" s="2" cm="1">
        <f t="array" ref="CH17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79" s="2" cm="1">
        <f t="array" ref="CI17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79" s="2" cm="1">
        <f t="array" ref="CJ17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79" s="2" cm="1">
        <f t="array" ref="CK17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7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7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7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7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7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7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7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7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7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79" s="26">
        <f t="shared" si="451"/>
        <v>0</v>
      </c>
      <c r="CY179" s="26">
        <f t="shared" si="452"/>
        <v>0</v>
      </c>
      <c r="CZ179" s="26">
        <f t="shared" si="453"/>
        <v>0</v>
      </c>
      <c r="DA179" s="26">
        <f t="shared" si="454"/>
        <v>0</v>
      </c>
      <c r="DB179" s="26">
        <f t="shared" si="455"/>
        <v>0</v>
      </c>
      <c r="DC179" s="26">
        <f t="shared" si="456"/>
        <v>0</v>
      </c>
      <c r="DD179" s="26">
        <f t="shared" si="457"/>
        <v>0</v>
      </c>
      <c r="DE179" s="26">
        <f t="shared" si="458"/>
        <v>0</v>
      </c>
      <c r="DF179" s="26">
        <f t="shared" si="459"/>
        <v>0</v>
      </c>
      <c r="DH179" s="26">
        <f t="shared" si="460"/>
        <v>0</v>
      </c>
      <c r="DI179" s="26">
        <f t="shared" si="461"/>
        <v>0</v>
      </c>
      <c r="DJ179" s="26">
        <f t="shared" si="462"/>
        <v>0</v>
      </c>
      <c r="DK179" s="26">
        <f t="shared" si="463"/>
        <v>0</v>
      </c>
      <c r="DL179" s="26">
        <f t="shared" si="464"/>
        <v>0</v>
      </c>
      <c r="DM179" s="26">
        <f t="shared" si="465"/>
        <v>0</v>
      </c>
      <c r="DN179" s="26">
        <f t="shared" si="466"/>
        <v>0</v>
      </c>
      <c r="DO179" s="26">
        <f t="shared" si="467"/>
        <v>0</v>
      </c>
      <c r="DP179" s="26">
        <f t="shared" si="468"/>
        <v>0</v>
      </c>
      <c r="DR179" s="26">
        <f t="shared" si="469"/>
        <v>0</v>
      </c>
      <c r="DS179" s="26">
        <f t="shared" si="470"/>
        <v>0</v>
      </c>
      <c r="DT179" s="26">
        <f t="shared" si="471"/>
        <v>0</v>
      </c>
      <c r="DU179" s="26">
        <f t="shared" si="472"/>
        <v>0</v>
      </c>
      <c r="DV179" s="26">
        <f t="shared" si="473"/>
        <v>0</v>
      </c>
      <c r="DW179" s="26">
        <f t="shared" si="474"/>
        <v>0</v>
      </c>
      <c r="DX179" s="26">
        <f t="shared" si="475"/>
        <v>0</v>
      </c>
      <c r="DY179" s="26">
        <f t="shared" si="476"/>
        <v>0</v>
      </c>
      <c r="DZ179" s="26">
        <f t="shared" si="477"/>
        <v>0</v>
      </c>
      <c r="EB179" s="26">
        <f t="shared" si="478"/>
        <v>0</v>
      </c>
      <c r="EC179" s="26">
        <f t="shared" si="479"/>
        <v>0</v>
      </c>
      <c r="ED179" s="26">
        <f t="shared" si="480"/>
        <v>0</v>
      </c>
      <c r="EE179" s="26">
        <f t="shared" si="481"/>
        <v>0</v>
      </c>
      <c r="EF179" s="26">
        <f t="shared" si="482"/>
        <v>0</v>
      </c>
      <c r="EG179" s="26">
        <f t="shared" si="483"/>
        <v>0</v>
      </c>
      <c r="EH179" s="26">
        <f t="shared" si="484"/>
        <v>0</v>
      </c>
      <c r="EI179" s="26">
        <f t="shared" si="485"/>
        <v>0</v>
      </c>
      <c r="EJ179" s="26">
        <f t="shared" si="486"/>
        <v>0</v>
      </c>
      <c r="EL179" s="26">
        <f t="shared" si="487"/>
        <v>0</v>
      </c>
      <c r="EM179" s="26">
        <f t="shared" si="488"/>
        <v>0</v>
      </c>
      <c r="EN179" s="26">
        <f t="shared" si="489"/>
        <v>0</v>
      </c>
      <c r="EO179" s="26">
        <f t="shared" si="490"/>
        <v>0</v>
      </c>
      <c r="EP179" s="26">
        <f t="shared" si="491"/>
        <v>0</v>
      </c>
      <c r="EQ179" s="26">
        <f t="shared" si="492"/>
        <v>0</v>
      </c>
      <c r="ER179" s="26">
        <f t="shared" si="493"/>
        <v>0</v>
      </c>
      <c r="ES179" s="26">
        <f t="shared" si="494"/>
        <v>0</v>
      </c>
      <c r="ET179" s="26">
        <f t="shared" si="495"/>
        <v>0</v>
      </c>
      <c r="EV179" s="26">
        <f t="shared" si="496"/>
        <v>0</v>
      </c>
      <c r="EW179" s="26">
        <f t="shared" si="497"/>
        <v>0</v>
      </c>
      <c r="EX179" s="26">
        <f t="shared" si="498"/>
        <v>0</v>
      </c>
      <c r="EY179" s="26">
        <f t="shared" si="499"/>
        <v>0</v>
      </c>
      <c r="EZ179" s="26">
        <f t="shared" si="500"/>
        <v>0</v>
      </c>
      <c r="FA179" s="26">
        <f t="shared" si="501"/>
        <v>0</v>
      </c>
      <c r="FB179" s="26">
        <f t="shared" si="502"/>
        <v>0</v>
      </c>
      <c r="FC179" s="26">
        <f t="shared" si="503"/>
        <v>0</v>
      </c>
      <c r="FD179" s="26">
        <f t="shared" si="504"/>
        <v>0</v>
      </c>
      <c r="FF179" s="26">
        <f t="shared" si="505"/>
        <v>0</v>
      </c>
      <c r="FG179" s="26">
        <f t="shared" si="506"/>
        <v>0</v>
      </c>
      <c r="FH179" s="26">
        <f t="shared" si="507"/>
        <v>0</v>
      </c>
      <c r="FI179" s="26">
        <f t="shared" si="508"/>
        <v>0</v>
      </c>
      <c r="FJ179" s="26">
        <f t="shared" si="509"/>
        <v>0</v>
      </c>
      <c r="FK179" s="26">
        <f t="shared" si="510"/>
        <v>0</v>
      </c>
      <c r="FL179" s="26">
        <f t="shared" si="511"/>
        <v>0</v>
      </c>
      <c r="FM179" s="26">
        <f t="shared" si="512"/>
        <v>0</v>
      </c>
      <c r="FN179" s="26">
        <f t="shared" si="513"/>
        <v>0</v>
      </c>
      <c r="FP179" s="26" t="e">
        <f t="shared" si="514"/>
        <v>#REF!</v>
      </c>
      <c r="FQ179" s="26" t="e">
        <f t="shared" si="515"/>
        <v>#REF!</v>
      </c>
      <c r="FR179" s="26" t="e">
        <f t="shared" si="516"/>
        <v>#REF!</v>
      </c>
      <c r="FS179" s="26" t="e">
        <f t="shared" si="517"/>
        <v>#REF!</v>
      </c>
      <c r="FT179" s="26" t="e">
        <f t="shared" si="518"/>
        <v>#REF!</v>
      </c>
      <c r="FU179" s="26" t="e">
        <f t="shared" si="519"/>
        <v>#REF!</v>
      </c>
      <c r="FV179" s="26" t="e">
        <f t="shared" si="520"/>
        <v>#REF!</v>
      </c>
      <c r="FW179" s="26" t="e">
        <f t="shared" si="521"/>
        <v>#REF!</v>
      </c>
      <c r="FX179" s="26" t="e">
        <f t="shared" si="522"/>
        <v>#REF!</v>
      </c>
      <c r="GB179" s="26" t="e">
        <f>IF(GB$2=InputTable[[#This Row],[Delivery Date]],_xlfn.XLOOKUP(GB$1,$BH$2:$BR$2,$BH179:$BR179,0),0)</f>
        <v>#REF!</v>
      </c>
      <c r="GC179" s="26">
        <f>IF(GC$2=InputTable[[#This Row],[Delivery Date]],_xlfn.XLOOKUP(GC$1,$BH$2:$BR$2,$BH179:$BR179,0),0)</f>
        <v>0</v>
      </c>
      <c r="GD179" s="26">
        <f>IF(GD$2=InputTable[[#This Row],[Delivery Date]],_xlfn.XLOOKUP(GD$1,$BH$2:$BR$2,$BH179:$BR179,0),0)</f>
        <v>0</v>
      </c>
      <c r="GE179" s="26">
        <f>IF(GE$2=InputTable[[#This Row],[Delivery Date]],_xlfn.XLOOKUP(GE$1,$BH$2:$BR$2,$BH179:$BR179,0),0)</f>
        <v>0</v>
      </c>
      <c r="GF179" s="26">
        <f>IF(GF$2=InputTable[[#This Row],[Delivery Date]],_xlfn.XLOOKUP(GF$1,$BH$2:$BR$2,$BH179:$BR179,0),0)</f>
        <v>0</v>
      </c>
      <c r="GG179" s="26">
        <f>IF(GG$2=InputTable[[#This Row],[Delivery Date]],_xlfn.XLOOKUP(GG$1,$BH$2:$BR$2,$BH179:$BR179,0),0)</f>
        <v>0</v>
      </c>
      <c r="GH179" s="26">
        <f>IF(GH$2=InputTable[[#This Row],[Delivery Date]],_xlfn.XLOOKUP(GH$1,$BH$2:$BR$2,$BH179:$BR179,0),0)</f>
        <v>0</v>
      </c>
      <c r="GI179" s="26">
        <f>IF(GI$2=InputTable[[#This Row],[Delivery Date]],_xlfn.XLOOKUP(GI$1,$BH$2:$BR$2,$BH179:$BR179,0),0)</f>
        <v>0</v>
      </c>
      <c r="GJ179" s="26">
        <f>IF(GJ$2=InputTable[[#This Row],[Delivery Date]],_xlfn.XLOOKUP(GJ$1,$BH$2:$BR$2,$BH179:$BR179,0),0)</f>
        <v>0</v>
      </c>
      <c r="GL179" s="26" t="e">
        <f>IF(GL$2=InputTable[[#This Row],[Delivery Date]],_xlfn.XLOOKUP(GL$1,$BH$2:$BR$2,$BH179:$BR179,0),0)</f>
        <v>#REF!</v>
      </c>
      <c r="GM179" s="26">
        <f>IF(GM$2=InputTable[[#This Row],[Delivery Date]],_xlfn.XLOOKUP(GM$1,$BH$2:$BR$2,$BH179:$BR179,0),0)</f>
        <v>0</v>
      </c>
      <c r="GN179" s="26">
        <f>IF(GN$2=InputTable[[#This Row],[Delivery Date]],_xlfn.XLOOKUP(GN$1,$BH$2:$BR$2,$BH179:$BR179,0),0)</f>
        <v>0</v>
      </c>
      <c r="GO179" s="26">
        <f>IF(GO$2=InputTable[[#This Row],[Delivery Date]],_xlfn.XLOOKUP(GO$1,$BH$2:$BR$2,$BH179:$BR179,0),0)</f>
        <v>0</v>
      </c>
      <c r="GP179" s="26">
        <f>IF(GP$2=InputTable[[#This Row],[Delivery Date]],_xlfn.XLOOKUP(GP$1,$BH$2:$BR$2,$BH179:$BR179,0),0)</f>
        <v>0</v>
      </c>
      <c r="GQ179" s="26">
        <f>IF(GQ$2=InputTable[[#This Row],[Delivery Date]],_xlfn.XLOOKUP(GQ$1,$BH$2:$BR$2,$BH179:$BR179,0),0)</f>
        <v>0</v>
      </c>
      <c r="GR179" s="26">
        <f>IF(GR$2=InputTable[[#This Row],[Delivery Date]],_xlfn.XLOOKUP(GR$1,$BH$2:$BR$2,$BH179:$BR179,0),0)</f>
        <v>0</v>
      </c>
      <c r="GS179" s="26">
        <f>IF(GS$2=InputTable[[#This Row],[Delivery Date]],_xlfn.XLOOKUP(GS$1,$BH$2:$BR$2,$BH179:$BR179,0),0)</f>
        <v>0</v>
      </c>
      <c r="GT179" s="26">
        <f>IF(GT$2=InputTable[[#This Row],[Delivery Date]],_xlfn.XLOOKUP(GT$1,$BH$2:$BR$2,$BH179:$BR179,0),0)</f>
        <v>0</v>
      </c>
      <c r="GV179" s="26" t="e">
        <f>IF(GV$2=InputTable[[#This Row],[Delivery Date]],_xlfn.XLOOKUP(GV$1,$BH$2:$BR$2,$BH179:$BR179,0),0)</f>
        <v>#REF!</v>
      </c>
      <c r="GW179" s="26">
        <f>IF(GW$2=InputTable[[#This Row],[Delivery Date]],_xlfn.XLOOKUP(GW$1,$BH$2:$BR$2,$BH179:$BR179,0),0)</f>
        <v>0</v>
      </c>
      <c r="GX179" s="26">
        <f>IF(GX$2=InputTable[[#This Row],[Delivery Date]],_xlfn.XLOOKUP(GX$1,$BH$2:$BR$2,$BH179:$BR179,0),0)</f>
        <v>0</v>
      </c>
      <c r="GY179" s="26">
        <f>IF(GY$2=InputTable[[#This Row],[Delivery Date]],_xlfn.XLOOKUP(GY$1,$BH$2:$BR$2,$BH179:$BR179,0),0)</f>
        <v>0</v>
      </c>
      <c r="GZ179" s="26">
        <f>IF(GZ$2=InputTable[[#This Row],[Delivery Date]],_xlfn.XLOOKUP(GZ$1,$BH$2:$BR$2,$BH179:$BR179,0),0)</f>
        <v>0</v>
      </c>
      <c r="HA179" s="26">
        <f>IF(HA$2=InputTable[[#This Row],[Delivery Date]],_xlfn.XLOOKUP(HA$1,$BH$2:$BR$2,$BH179:$BR179,0),0)</f>
        <v>0</v>
      </c>
      <c r="HB179" s="26">
        <f>IF(HB$2=InputTable[[#This Row],[Delivery Date]],_xlfn.XLOOKUP(HB$1,$BH$2:$BR$2,$BH179:$BR179,0),0)</f>
        <v>0</v>
      </c>
      <c r="HC179" s="26">
        <f>IF(HC$2=InputTable[[#This Row],[Delivery Date]],_xlfn.XLOOKUP(HC$1,$BH$2:$BR$2,$BH179:$BR179,0),0)</f>
        <v>0</v>
      </c>
      <c r="HD179" s="26">
        <f>IF(HD$2=InputTable[[#This Row],[Delivery Date]],_xlfn.XLOOKUP(HD$1,$BH$2:$BR$2,$BH179:$BR179,0),0)</f>
        <v>0</v>
      </c>
      <c r="HF179" s="26" t="e">
        <f>IF(HF$2=InputTable[[#This Row],[Delivery Date]],_xlfn.XLOOKUP(HF$1,$BH$2:$BR$2,$BH179:$BR179,0),0)</f>
        <v>#REF!</v>
      </c>
      <c r="HG179" s="26">
        <f>IF(HG$2=InputTable[[#This Row],[Delivery Date]],_xlfn.XLOOKUP(HG$1,$BH$2:$BR$2,$BH179:$BR179,0),0)</f>
        <v>0</v>
      </c>
      <c r="HH179" s="26">
        <f>IF(HH$2=InputTable[[#This Row],[Delivery Date]],_xlfn.XLOOKUP(HH$1,$BH$2:$BR$2,$BH179:$BR179,0),0)</f>
        <v>0</v>
      </c>
      <c r="HI179" s="26">
        <f>IF(HI$2=InputTable[[#This Row],[Delivery Date]],_xlfn.XLOOKUP(HI$1,$BH$2:$BR$2,$BH179:$BR179,0),0)</f>
        <v>0</v>
      </c>
      <c r="HJ179" s="26">
        <f>IF(HJ$2=InputTable[[#This Row],[Delivery Date]],_xlfn.XLOOKUP(HJ$1,$BH$2:$BR$2,$BH179:$BR179,0),0)</f>
        <v>0</v>
      </c>
      <c r="HK179" s="26">
        <f>IF(HK$2=InputTable[[#This Row],[Delivery Date]],_xlfn.XLOOKUP(HK$1,$BH$2:$BR$2,$BH179:$BR179,0),0)</f>
        <v>0</v>
      </c>
      <c r="HL179" s="26">
        <f>IF(HL$2=InputTable[[#This Row],[Delivery Date]],_xlfn.XLOOKUP(HL$1,$BH$2:$BR$2,$BH179:$BR179,0),0)</f>
        <v>0</v>
      </c>
      <c r="HM179" s="26">
        <f>IF(HM$2=InputTable[[#This Row],[Delivery Date]],_xlfn.XLOOKUP(HM$1,$BH$2:$BR$2,$BH179:$BR179,0),0)</f>
        <v>0</v>
      </c>
      <c r="HN179" s="26">
        <f>IF(HN$2=InputTable[[#This Row],[Delivery Date]],_xlfn.XLOOKUP(HN$1,$BH$2:$BR$2,$BH179:$BR179,0),0)</f>
        <v>0</v>
      </c>
      <c r="HP179" s="26" t="e">
        <f>IF(HP$2=InputTable[[#This Row],[Delivery Date]],_xlfn.XLOOKUP(HP$1,$BH$2:$BR$2,$BH179:$BR179,0),0)</f>
        <v>#REF!</v>
      </c>
      <c r="HQ179" s="26">
        <f>IF(HQ$2=InputTable[[#This Row],[Delivery Date]],_xlfn.XLOOKUP(HQ$1,$BH$2:$BR$2,$BH179:$BR179,0),0)</f>
        <v>0</v>
      </c>
      <c r="HR179" s="26">
        <f>IF(HR$2=InputTable[[#This Row],[Delivery Date]],_xlfn.XLOOKUP(HR$1,$BH$2:$BR$2,$BH179:$BR179,0),0)</f>
        <v>0</v>
      </c>
      <c r="HS179" s="26">
        <f>IF(HS$2=InputTable[[#This Row],[Delivery Date]],_xlfn.XLOOKUP(HS$1,$BH$2:$BR$2,$BH179:$BR179,0),0)</f>
        <v>0</v>
      </c>
      <c r="HT179" s="26">
        <f>IF(HT$2=InputTable[[#This Row],[Delivery Date]],_xlfn.XLOOKUP(HT$1,$BH$2:$BR$2,$BH179:$BR179,0),0)</f>
        <v>0</v>
      </c>
      <c r="HU179" s="26">
        <f>IF(HU$2=InputTable[[#This Row],[Delivery Date]],_xlfn.XLOOKUP(HU$1,$BH$2:$BR$2,$BH179:$BR179,0),0)</f>
        <v>0</v>
      </c>
      <c r="HV179" s="26">
        <f>IF(HV$2=InputTable[[#This Row],[Delivery Date]],_xlfn.XLOOKUP(HV$1,$BH$2:$BR$2,$BH179:$BR179,0),0)</f>
        <v>0</v>
      </c>
      <c r="HW179" s="26">
        <f>IF(HW$2=InputTable[[#This Row],[Delivery Date]],_xlfn.XLOOKUP(HW$1,$BH$2:$BR$2,$BH179:$BR179,0),0)</f>
        <v>0</v>
      </c>
      <c r="HX179" s="26">
        <f>IF(HX$2=InputTable[[#This Row],[Delivery Date]],_xlfn.XLOOKUP(HX$1,$BH$2:$BR$2,$BH179:$BR179,0),0)</f>
        <v>0</v>
      </c>
      <c r="HZ179" s="26" t="e">
        <f>IF(HZ$2=InputTable[[#This Row],[Delivery Date]],_xlfn.XLOOKUP(HZ$1,$BH$2:$BR$2,$BH179:$BR179,0),0)</f>
        <v>#REF!</v>
      </c>
      <c r="IA179" s="26">
        <f>IF(IA$2=InputTable[[#This Row],[Delivery Date]],_xlfn.XLOOKUP(IA$1,$BH$2:$BR$2,$BH179:$BR179,0),0)</f>
        <v>0</v>
      </c>
      <c r="IB179" s="26">
        <f>IF(IB$2=InputTable[[#This Row],[Delivery Date]],_xlfn.XLOOKUP(IB$1,$BH$2:$BR$2,$BH179:$BR179,0),0)</f>
        <v>0</v>
      </c>
      <c r="IC179" s="26">
        <f>IF(IC$2=InputTable[[#This Row],[Delivery Date]],_xlfn.XLOOKUP(IC$1,$BH$2:$BR$2,$BH179:$BR179,0),0)</f>
        <v>0</v>
      </c>
      <c r="ID179" s="26">
        <f>IF(ID$2=InputTable[[#This Row],[Delivery Date]],_xlfn.XLOOKUP(ID$1,$BH$2:$BR$2,$BH179:$BR179,0),0)</f>
        <v>0</v>
      </c>
      <c r="IE179" s="26">
        <f>IF(IE$2=InputTable[[#This Row],[Delivery Date]],_xlfn.XLOOKUP(IE$1,$BH$2:$BR$2,$BH179:$BR179,0),0)</f>
        <v>0</v>
      </c>
      <c r="IF179" s="26">
        <f>IF(IF$2=InputTable[[#This Row],[Delivery Date]],_xlfn.XLOOKUP(IF$1,$BH$2:$BR$2,$BH179:$BR179,0),0)</f>
        <v>0</v>
      </c>
      <c r="IG179" s="26">
        <f>IF(IG$2=InputTable[[#This Row],[Delivery Date]],_xlfn.XLOOKUP(IG$1,$BH$2:$BR$2,$BH179:$BR179,0),0)</f>
        <v>0</v>
      </c>
      <c r="IH179" s="26">
        <f>IF(IH$2=InputTable[[#This Row],[Delivery Date]],_xlfn.XLOOKUP(IH$1,$BH$2:$BR$2,$BH179:$BR179,0),0)</f>
        <v>0</v>
      </c>
      <c r="IJ179" s="26" t="e">
        <f>IF(IJ$2=InputTable[[#This Row],[Delivery Date]],_xlfn.XLOOKUP(IJ$1,$BH$2:$BR$2,$BH179:$BR179,0),0)</f>
        <v>#REF!</v>
      </c>
      <c r="IK179" s="26">
        <f>IF(IK$2=InputTable[[#This Row],[Delivery Date]],_xlfn.XLOOKUP(IK$1,$BH$2:$BR$2,$BH179:$BR179,0),0)</f>
        <v>0</v>
      </c>
      <c r="IL179" s="26">
        <f>IF(IL$2=InputTable[[#This Row],[Delivery Date]],_xlfn.XLOOKUP(IL$1,$BH$2:$BR$2,$BH179:$BR179,0),0)</f>
        <v>0</v>
      </c>
      <c r="IM179" s="26">
        <f>IF(IM$2=InputTable[[#This Row],[Delivery Date]],_xlfn.XLOOKUP(IM$1,$BH$2:$BR$2,$BH179:$BR179,0),0)</f>
        <v>0</v>
      </c>
      <c r="IN179" s="26">
        <f>IF(IN$2=InputTable[[#This Row],[Delivery Date]],_xlfn.XLOOKUP(IN$1,$BH$2:$BR$2,$BH179:$BR179,0),0)</f>
        <v>0</v>
      </c>
      <c r="IO179" s="26">
        <f>IF(IO$2=InputTable[[#This Row],[Delivery Date]],_xlfn.XLOOKUP(IO$1,$BH$2:$BR$2,$BH179:$BR179,0),0)</f>
        <v>0</v>
      </c>
      <c r="IP179" s="26">
        <f>IF(IP$2=InputTable[[#This Row],[Delivery Date]],_xlfn.XLOOKUP(IP$1,$BH$2:$BR$2,$BH179:$BR179,0),0)</f>
        <v>0</v>
      </c>
      <c r="IQ179" s="26">
        <f>IF(IQ$2=InputTable[[#This Row],[Delivery Date]],_xlfn.XLOOKUP(IQ$1,$BH$2:$BR$2,$BH179:$BR179,0),0)</f>
        <v>0</v>
      </c>
      <c r="IR179" s="26">
        <f>IF(IR$2=InputTable[[#This Row],[Delivery Date]],_xlfn.XLOOKUP(IR$1,$BH$2:$BR$2,$BH179:$BR179,0),0)</f>
        <v>0</v>
      </c>
      <c r="IT179" s="26" t="e">
        <f>IF(IT$2=InputTable[[#This Row],[Delivery Date]],_xlfn.XLOOKUP(IT$1,$BH$2:$BR$2,$BH179:$BR179,0),0)</f>
        <v>#REF!</v>
      </c>
      <c r="IU179" s="26">
        <f>IF(IU$2=InputTable[[#This Row],[Delivery Date]],_xlfn.XLOOKUP(IU$1,$BH$2:$BR$2,$BH179:$BR179,0),0)</f>
        <v>0</v>
      </c>
      <c r="IV179" s="26">
        <f>IF(IV$2=InputTable[[#This Row],[Delivery Date]],_xlfn.XLOOKUP(IV$1,$BH$2:$BR$2,$BH179:$BR179,0),0)</f>
        <v>0</v>
      </c>
      <c r="IW179" s="26">
        <f>IF(IW$2=InputTable[[#This Row],[Delivery Date]],_xlfn.XLOOKUP(IW$1,$BH$2:$BR$2,$BH179:$BR179,0),0)</f>
        <v>0</v>
      </c>
      <c r="IX179" s="26">
        <f>IF(IX$2=InputTable[[#This Row],[Delivery Date]],_xlfn.XLOOKUP(IX$1,$BH$2:$BR$2,$BH179:$BR179,0),0)</f>
        <v>0</v>
      </c>
      <c r="IY179" s="26">
        <f>IF(IY$2=InputTable[[#This Row],[Delivery Date]],_xlfn.XLOOKUP(IY$1,$BH$2:$BR$2,$BH179:$BR179,0),0)</f>
        <v>0</v>
      </c>
      <c r="IZ179" s="26">
        <f>IF(IZ$2=InputTable[[#This Row],[Delivery Date]],_xlfn.XLOOKUP(IZ$1,$BH$2:$BR$2,$BH179:$BR179,0),0)</f>
        <v>0</v>
      </c>
      <c r="JA179" s="26">
        <f>IF(JA$2=InputTable[[#This Row],[Delivery Date]],_xlfn.XLOOKUP(JA$1,$BH$2:$BR$2,$BH179:$BR179,0),0)</f>
        <v>0</v>
      </c>
      <c r="JB179" s="26">
        <f>IF(JB$2=InputTable[[#This Row],[Delivery Date]],_xlfn.XLOOKUP(JB$1,$BH$2:$BR$2,$BH179:$BR179,0),0)</f>
        <v>0</v>
      </c>
      <c r="JD179" s="26" t="e">
        <f>IF(JD$2=InputTable[[#This Row],[Delivery Date]],_xlfn.XLOOKUP(JD$1,$BH$2:$BR$2,$BH179:$BR179,0),0)</f>
        <v>#REF!</v>
      </c>
      <c r="JE179" s="26">
        <f>IF(JE$2=InputTable[[#This Row],[Delivery Date]],_xlfn.XLOOKUP(JE$1,$BH$2:$BR$2,$BH179:$BR179,0),0)</f>
        <v>0</v>
      </c>
      <c r="JF179" s="26">
        <f>IF(JF$2=InputTable[[#This Row],[Delivery Date]],_xlfn.XLOOKUP(JF$1,$BH$2:$BR$2,$BH179:$BR179,0),0)</f>
        <v>0</v>
      </c>
      <c r="JG179" s="26">
        <f>IF(JG$2=InputTable[[#This Row],[Delivery Date]],_xlfn.XLOOKUP(JG$1,$BH$2:$BR$2,$BH179:$BR179,0),0)</f>
        <v>0</v>
      </c>
      <c r="JH179" s="26">
        <f>IF(JH$2=InputTable[[#This Row],[Delivery Date]],_xlfn.XLOOKUP(JH$1,$BH$2:$BR$2,$BH179:$BR179,0),0)</f>
        <v>0</v>
      </c>
      <c r="JI179" s="26">
        <f>IF(JI$2=InputTable[[#This Row],[Delivery Date]],_xlfn.XLOOKUP(JI$1,$BH$2:$BR$2,$BH179:$BR179,0),0)</f>
        <v>0</v>
      </c>
      <c r="JJ179" s="26">
        <f>IF(JJ$2=InputTable[[#This Row],[Delivery Date]],_xlfn.XLOOKUP(JJ$1,$BH$2:$BR$2,$BH179:$BR179,0),0)</f>
        <v>0</v>
      </c>
      <c r="JK179" s="26">
        <f>IF(JK$2=InputTable[[#This Row],[Delivery Date]],_xlfn.XLOOKUP(JK$1,$BH$2:$BR$2,$BH179:$BR179,0),0)</f>
        <v>0</v>
      </c>
      <c r="JL179" s="26">
        <f>IF(JL$2=InputTable[[#This Row],[Delivery Date]],_xlfn.XLOOKUP(JL$1,$BH$2:$BR$2,$BH179:$BR179,0),0)</f>
        <v>0</v>
      </c>
      <c r="JN179" s="26" t="e">
        <f>IF(JN$2=InputTable[[#This Row],[Delivery Date]],_xlfn.XLOOKUP(JN$1,$BH$2:$BR$2,$BH179:$BR179,0),0)</f>
        <v>#REF!</v>
      </c>
      <c r="JO179" s="26">
        <f>IF(JO$2=InputTable[[#This Row],[Delivery Date]],_xlfn.XLOOKUP(JO$1,$BH$2:$BR$2,$BH179:$BR179,0),0)</f>
        <v>0</v>
      </c>
      <c r="JP179" s="26">
        <f>IF(JP$2=InputTable[[#This Row],[Delivery Date]],_xlfn.XLOOKUP(JP$1,$BH$2:$BR$2,$BH179:$BR179,0),0)</f>
        <v>0</v>
      </c>
      <c r="JQ179" s="26">
        <f>IF(JQ$2=InputTable[[#This Row],[Delivery Date]],_xlfn.XLOOKUP(JQ$1,$BH$2:$BR$2,$BH179:$BR179,0),0)</f>
        <v>0</v>
      </c>
      <c r="JR179" s="26">
        <f>IF(JR$2=InputTable[[#This Row],[Delivery Date]],_xlfn.XLOOKUP(JR$1,$BH$2:$BR$2,$BH179:$BR179,0),0)</f>
        <v>0</v>
      </c>
      <c r="JS179" s="26">
        <f>IF(JS$2=InputTable[[#This Row],[Delivery Date]],_xlfn.XLOOKUP(JS$1,$BH$2:$BR$2,$BH179:$BR179,0),0)</f>
        <v>0</v>
      </c>
      <c r="JT179" s="26">
        <f>IF(JT$2=InputTable[[#This Row],[Delivery Date]],_xlfn.XLOOKUP(JT$1,$BH$2:$BR$2,$BH179:$BR179,0),0)</f>
        <v>0</v>
      </c>
      <c r="JU179" s="26">
        <f>IF(JU$2=InputTable[[#This Row],[Delivery Date]],_xlfn.XLOOKUP(JU$1,$BH$2:$BR$2,$BH179:$BR179,0),0)</f>
        <v>0</v>
      </c>
      <c r="JV179" s="26">
        <f>IF(JV$2=InputTable[[#This Row],[Delivery Date]],_xlfn.XLOOKUP(JV$1,$BH$2:$BR$2,$BH179:$BR179,0),0)</f>
        <v>0</v>
      </c>
      <c r="JX179" s="26" t="e">
        <f>IF(JX$2=InputTable[[#This Row],[Delivery Date]],_xlfn.XLOOKUP(JX$1,$BH$2:$BR$2,$BH179:$BR179,0),0)</f>
        <v>#REF!</v>
      </c>
      <c r="JY179" s="26">
        <f>IF(JY$2=InputTable[[#This Row],[Delivery Date]],_xlfn.XLOOKUP(JY$1,$BH$2:$BR$2,$BH179:$BR179,0),0)</f>
        <v>0</v>
      </c>
      <c r="JZ179" s="26">
        <f>IF(JZ$2=InputTable[[#This Row],[Delivery Date]],_xlfn.XLOOKUP(JZ$1,$BH$2:$BR$2,$BH179:$BR179,0),0)</f>
        <v>0</v>
      </c>
      <c r="KA179" s="26">
        <f>IF(KA$2=InputTable[[#This Row],[Delivery Date]],_xlfn.XLOOKUP(KA$1,$BH$2:$BR$2,$BH179:$BR179,0),0)</f>
        <v>0</v>
      </c>
      <c r="KB179" s="26">
        <f>IF(KB$2=InputTable[[#This Row],[Delivery Date]],_xlfn.XLOOKUP(KB$1,$BH$2:$BR$2,$BH179:$BR179,0),0)</f>
        <v>0</v>
      </c>
      <c r="KC179" s="26">
        <f>IF(KC$2=InputTable[[#This Row],[Delivery Date]],_xlfn.XLOOKUP(KC$1,$BH$2:$BR$2,$BH179:$BR179,0),0)</f>
        <v>0</v>
      </c>
      <c r="KD179" s="26">
        <f>IF(KD$2=InputTable[[#This Row],[Delivery Date]],_xlfn.XLOOKUP(KD$1,$BH$2:$BR$2,$BH179:$BR179,0),0)</f>
        <v>0</v>
      </c>
      <c r="KE179" s="26">
        <f>IF(KE$2=InputTable[[#This Row],[Delivery Date]],_xlfn.XLOOKUP(KE$1,$BH$2:$BR$2,$BH179:$BR179,0),0)</f>
        <v>0</v>
      </c>
      <c r="KF179" s="26">
        <f>IF(KF$2=InputTable[[#This Row],[Delivery Date]],_xlfn.XLOOKUP(KF$1,$BH$2:$BR$2,$BH179:$BR179,0),0)</f>
        <v>0</v>
      </c>
    </row>
    <row r="180" spans="1:292" ht="34.799999999999997" x14ac:dyDescent="0.25">
      <c r="A180" s="125"/>
      <c r="B180" s="118"/>
      <c r="C180" s="92"/>
      <c r="D180" s="92"/>
      <c r="E180" s="103"/>
      <c r="F180" s="104"/>
      <c r="G180" s="104"/>
      <c r="H180" s="104"/>
      <c r="I180" s="104"/>
      <c r="J180" s="105"/>
      <c r="K180" s="95" t="e">
        <f>VLOOKUP((InputTable[[#This Row],[Starting Date]]&amp; " - " &amp;InputTable[[#This Row],[Delivery Date]]),'System List'!$F$40:$H$83,2,FALSE)</f>
        <v>#N/A</v>
      </c>
      <c r="L180" s="95" t="e">
        <f>VLOOKUP(InputTable[[#This Row],[Duration]],Duration,2,FALSE)</f>
        <v>#N/A</v>
      </c>
      <c r="M180" s="105"/>
      <c r="N180" s="104"/>
      <c r="O180" s="104"/>
      <c r="P180" s="104"/>
      <c r="Q180" s="104"/>
      <c r="R180" s="104"/>
      <c r="S180" s="92"/>
      <c r="T180" s="95"/>
      <c r="U180" s="138"/>
      <c r="V180" s="104"/>
      <c r="W180" s="104"/>
      <c r="X180" s="104"/>
      <c r="Y180" s="104"/>
      <c r="Z180" s="104"/>
      <c r="AA180" s="104"/>
      <c r="AB180" s="104"/>
      <c r="AC180" s="104"/>
      <c r="AD180" s="92">
        <f>COUNTA(InputTable[[#This Row],[CORPHRFIN]:[SALES]])</f>
        <v>0</v>
      </c>
      <c r="AE180" s="88" cm="1">
        <f t="array" ref="AE180">SUM(
_xlfn.XLOOKUP(InputTable[[#This Row],[CORPHRFIN]:[SALES]],'System List'!$F$4:$F$7,'System List'!$H$4:$H$7,0))</f>
        <v>0</v>
      </c>
      <c r="AF180" s="140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88" cm="1">
        <f t="array" ref="AR180">SUM(
_xlfn.XLOOKUP(InputTable[[#This Row],[Impact on - CIAL]:[Impact on - STRAT]],'System List'!$F$4:$F$7,'System List'!$H$4:$H$7,0))</f>
        <v>0</v>
      </c>
      <c r="AS180" s="88" t="e">
        <f>VLOOKUP(InputTable[[#This Row],[Duration]],Duration,2,FALSE)+InputTable[[#This Row],[Resource Score]]</f>
        <v>#N/A</v>
      </c>
      <c r="AT18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0" s="24" t="e">
        <f>InputTable[[#This Row],[Value Score]]/InputTable[[#This Row],[EFFORT SCORE]]*100</f>
        <v>#N/A</v>
      </c>
      <c r="AV180" s="25" t="s">
        <v>471</v>
      </c>
      <c r="AW180" s="25"/>
      <c r="AX180" s="208"/>
      <c r="AY180" s="25"/>
      <c r="AZ180" s="189">
        <v>0</v>
      </c>
      <c r="BA180" s="189">
        <v>0</v>
      </c>
      <c r="BB180" s="189"/>
      <c r="BC180" s="189"/>
      <c r="BD180" s="188"/>
      <c r="BE180" s="188"/>
      <c r="BF180" s="70"/>
      <c r="BH180" s="2">
        <f>IFERROR(VLOOKUP(InputTable[[#This Row],[Impact on - CIAL]],'System List'!$F$4:$H$7,3,FALSE),0)</f>
        <v>0</v>
      </c>
      <c r="BI180" s="2">
        <f>IFERROR(VLOOKUP(InputTable[[#This Row],[Impact on - COM]],'System List'!$F$4:$H$7,3,FALSE),0)</f>
        <v>0</v>
      </c>
      <c r="BJ180" s="2">
        <f>IFERROR(VLOOKUP(InputTable[[#This Row],[Impact on - FIN]],'System List'!$F$4:$H$7,3,FALSE),0)</f>
        <v>0</v>
      </c>
      <c r="BK180" s="2">
        <f>IFERROR(VLOOKUP(InputTable[[#This Row],[Impact on - GEN SEC]],'System List'!$F$4:$H$7,3,FALSE),0)</f>
        <v>0</v>
      </c>
      <c r="BL180" s="2">
        <f>IFERROR(VLOOKUP(InputTable[[#This Row],[Impact on - HR]],'System List'!$F$4:$H$7,3,FALSE),0)</f>
        <v>0</v>
      </c>
      <c r="BM180" s="2">
        <f>IFERROR(VLOOKUP(InputTable[[#This Row],[Impact on - IS]],'System List'!$F$4:$H$7,3,FALSE),0)</f>
        <v>0</v>
      </c>
      <c r="BN180" s="2">
        <f>IFERROR(VLOOKUP(InputTable[[#This Row],[Impact on - OPS]],'System List'!$F$4:$H$7,3,FALSE),0)</f>
        <v>0</v>
      </c>
      <c r="BO180" s="2">
        <f>IFERROR(VLOOKUP(InputTable[[#This Row],[Impact on - ROLL STOCK]],'System List'!$F$4:$H$7,3,FALSE),0)</f>
        <v>0</v>
      </c>
      <c r="BP180" s="2">
        <f>IFERROR(VLOOKUP(InputTable[[#This Row],[Impact on - SAFETY]],'System List'!$F$4:$H$7,3,FALSE),0)</f>
        <v>0</v>
      </c>
      <c r="BQ180" s="2">
        <f>IFERROR(VLOOKUP(InputTable[[#This Row],[Impact on - STATION]],'System List'!$F$4:$H$7,3,FALSE),0)</f>
        <v>0</v>
      </c>
      <c r="BR180" s="2">
        <f>IFERROR(VLOOKUP(InputTable[[#This Row],[Impact on - STRAT]],'System List'!$F$4:$H$7,3,FALSE),0)</f>
        <v>0</v>
      </c>
      <c r="BT180" s="2">
        <f>IFERROR(VLOOKUP(InputTable[[#This Row],[CORPHRFIN]],'System List'!$F$4:$H$7,3,FALSE),0)</f>
        <v>0</v>
      </c>
      <c r="BU180" s="2">
        <f>IFERROR(VLOOKUP(InputTable[[#This Row],[CUST]],'System List'!$F$4:$H$7,3,FALSE),0)</f>
        <v>0</v>
      </c>
      <c r="BV180" s="2">
        <f>IFERROR(VLOOKUP(InputTable[[#This Row],[CYBER]],'System List'!$F$4:$H$7,3,FALSE),0)</f>
        <v>0</v>
      </c>
      <c r="BW180" s="2">
        <f>IFERROR(VLOOKUP(InputTable[[#This Row],[DATA]],'System List'!$F$4:$H$7,3,FALSE),0)</f>
        <v>0</v>
      </c>
      <c r="BX180" s="2">
        <f>IFERROR(VLOOKUP(InputTable[[#This Row],[INFRA]],'System List'!$F$4:$H$7,3,FALSE),0)</f>
        <v>0</v>
      </c>
      <c r="BY180" s="2">
        <f>IFERROR(VLOOKUP(InputTable[[#This Row],[OPERATIONS]],'System List'!$F$4:$H$7,3,FALSE),0)</f>
        <v>0</v>
      </c>
      <c r="BZ180" s="2">
        <f>IFERROR(VLOOKUP(InputTable[[#This Row],[PMO]],'System List'!$F$4:$H$7,3,FALSE),0)</f>
        <v>0</v>
      </c>
      <c r="CA180" s="2">
        <f>IFERROR(VLOOKUP(InputTable[[#This Row],[SALES]],'System List'!$F$4:$H$7,3,FALSE),0)</f>
        <v>0</v>
      </c>
      <c r="CC180" s="2" cm="1">
        <f t="array" ref="CC18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0" s="2" cm="1">
        <f t="array" ref="CD18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0" s="2" cm="1">
        <f t="array" ref="CE18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0" s="2" cm="1">
        <f t="array" ref="CF18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0" s="2" cm="1">
        <f t="array" ref="CG18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0" s="2" cm="1">
        <f t="array" ref="CH18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0" s="2" cm="1">
        <f t="array" ref="CI18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0" s="2" cm="1">
        <f t="array" ref="CJ18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0" s="2" cm="1">
        <f t="array" ref="CK18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0" s="26">
        <f t="shared" si="451"/>
        <v>0</v>
      </c>
      <c r="CY180" s="26">
        <f t="shared" si="452"/>
        <v>0</v>
      </c>
      <c r="CZ180" s="26">
        <f t="shared" si="453"/>
        <v>0</v>
      </c>
      <c r="DA180" s="26">
        <f t="shared" si="454"/>
        <v>0</v>
      </c>
      <c r="DB180" s="26">
        <f t="shared" si="455"/>
        <v>0</v>
      </c>
      <c r="DC180" s="26">
        <f t="shared" si="456"/>
        <v>0</v>
      </c>
      <c r="DD180" s="26">
        <f t="shared" si="457"/>
        <v>0</v>
      </c>
      <c r="DE180" s="26">
        <f t="shared" si="458"/>
        <v>0</v>
      </c>
      <c r="DF180" s="26">
        <f t="shared" si="459"/>
        <v>0</v>
      </c>
      <c r="DH180" s="26">
        <f t="shared" si="460"/>
        <v>0</v>
      </c>
      <c r="DI180" s="26">
        <f t="shared" si="461"/>
        <v>0</v>
      </c>
      <c r="DJ180" s="26">
        <f t="shared" si="462"/>
        <v>0</v>
      </c>
      <c r="DK180" s="26">
        <f t="shared" si="463"/>
        <v>0</v>
      </c>
      <c r="DL180" s="26">
        <f t="shared" si="464"/>
        <v>0</v>
      </c>
      <c r="DM180" s="26">
        <f t="shared" si="465"/>
        <v>0</v>
      </c>
      <c r="DN180" s="26">
        <f t="shared" si="466"/>
        <v>0</v>
      </c>
      <c r="DO180" s="26">
        <f t="shared" si="467"/>
        <v>0</v>
      </c>
      <c r="DP180" s="26">
        <f t="shared" si="468"/>
        <v>0</v>
      </c>
      <c r="DR180" s="26">
        <f t="shared" si="469"/>
        <v>0</v>
      </c>
      <c r="DS180" s="26">
        <f t="shared" si="470"/>
        <v>0</v>
      </c>
      <c r="DT180" s="26">
        <f t="shared" si="471"/>
        <v>0</v>
      </c>
      <c r="DU180" s="26">
        <f t="shared" si="472"/>
        <v>0</v>
      </c>
      <c r="DV180" s="26">
        <f t="shared" si="473"/>
        <v>0</v>
      </c>
      <c r="DW180" s="26">
        <f t="shared" si="474"/>
        <v>0</v>
      </c>
      <c r="DX180" s="26">
        <f t="shared" si="475"/>
        <v>0</v>
      </c>
      <c r="DY180" s="26">
        <f t="shared" si="476"/>
        <v>0</v>
      </c>
      <c r="DZ180" s="26">
        <f t="shared" si="477"/>
        <v>0</v>
      </c>
      <c r="EB180" s="26">
        <f t="shared" si="478"/>
        <v>0</v>
      </c>
      <c r="EC180" s="26">
        <f t="shared" si="479"/>
        <v>0</v>
      </c>
      <c r="ED180" s="26">
        <f t="shared" si="480"/>
        <v>0</v>
      </c>
      <c r="EE180" s="26">
        <f t="shared" si="481"/>
        <v>0</v>
      </c>
      <c r="EF180" s="26">
        <f t="shared" si="482"/>
        <v>0</v>
      </c>
      <c r="EG180" s="26">
        <f t="shared" si="483"/>
        <v>0</v>
      </c>
      <c r="EH180" s="26">
        <f t="shared" si="484"/>
        <v>0</v>
      </c>
      <c r="EI180" s="26">
        <f t="shared" si="485"/>
        <v>0</v>
      </c>
      <c r="EJ180" s="26">
        <f t="shared" si="486"/>
        <v>0</v>
      </c>
      <c r="EL180" s="26">
        <f t="shared" si="487"/>
        <v>0</v>
      </c>
      <c r="EM180" s="26">
        <f t="shared" si="488"/>
        <v>0</v>
      </c>
      <c r="EN180" s="26">
        <f t="shared" si="489"/>
        <v>0</v>
      </c>
      <c r="EO180" s="26">
        <f t="shared" si="490"/>
        <v>0</v>
      </c>
      <c r="EP180" s="26">
        <f t="shared" si="491"/>
        <v>0</v>
      </c>
      <c r="EQ180" s="26">
        <f t="shared" si="492"/>
        <v>0</v>
      </c>
      <c r="ER180" s="26">
        <f t="shared" si="493"/>
        <v>0</v>
      </c>
      <c r="ES180" s="26">
        <f t="shared" si="494"/>
        <v>0</v>
      </c>
      <c r="ET180" s="26">
        <f t="shared" si="495"/>
        <v>0</v>
      </c>
      <c r="EV180" s="26">
        <f t="shared" si="496"/>
        <v>0</v>
      </c>
      <c r="EW180" s="26">
        <f t="shared" si="497"/>
        <v>0</v>
      </c>
      <c r="EX180" s="26">
        <f t="shared" si="498"/>
        <v>0</v>
      </c>
      <c r="EY180" s="26">
        <f t="shared" si="499"/>
        <v>0</v>
      </c>
      <c r="EZ180" s="26">
        <f t="shared" si="500"/>
        <v>0</v>
      </c>
      <c r="FA180" s="26">
        <f t="shared" si="501"/>
        <v>0</v>
      </c>
      <c r="FB180" s="26">
        <f t="shared" si="502"/>
        <v>0</v>
      </c>
      <c r="FC180" s="26">
        <f t="shared" si="503"/>
        <v>0</v>
      </c>
      <c r="FD180" s="26">
        <f t="shared" si="504"/>
        <v>0</v>
      </c>
      <c r="FF180" s="26">
        <f t="shared" si="505"/>
        <v>0</v>
      </c>
      <c r="FG180" s="26">
        <f t="shared" si="506"/>
        <v>0</v>
      </c>
      <c r="FH180" s="26">
        <f t="shared" si="507"/>
        <v>0</v>
      </c>
      <c r="FI180" s="26">
        <f t="shared" si="508"/>
        <v>0</v>
      </c>
      <c r="FJ180" s="26">
        <f t="shared" si="509"/>
        <v>0</v>
      </c>
      <c r="FK180" s="26">
        <f t="shared" si="510"/>
        <v>0</v>
      </c>
      <c r="FL180" s="26">
        <f t="shared" si="511"/>
        <v>0</v>
      </c>
      <c r="FM180" s="26">
        <f t="shared" si="512"/>
        <v>0</v>
      </c>
      <c r="FN180" s="26">
        <f t="shared" si="513"/>
        <v>0</v>
      </c>
      <c r="FP180" s="26" t="e">
        <f t="shared" si="514"/>
        <v>#REF!</v>
      </c>
      <c r="FQ180" s="26" t="e">
        <f t="shared" si="515"/>
        <v>#REF!</v>
      </c>
      <c r="FR180" s="26" t="e">
        <f t="shared" si="516"/>
        <v>#REF!</v>
      </c>
      <c r="FS180" s="26" t="e">
        <f t="shared" si="517"/>
        <v>#REF!</v>
      </c>
      <c r="FT180" s="26" t="e">
        <f t="shared" si="518"/>
        <v>#REF!</v>
      </c>
      <c r="FU180" s="26" t="e">
        <f t="shared" si="519"/>
        <v>#REF!</v>
      </c>
      <c r="FV180" s="26" t="e">
        <f t="shared" si="520"/>
        <v>#REF!</v>
      </c>
      <c r="FW180" s="26" t="e">
        <f t="shared" si="521"/>
        <v>#REF!</v>
      </c>
      <c r="FX180" s="26" t="e">
        <f t="shared" si="522"/>
        <v>#REF!</v>
      </c>
      <c r="GB180" s="26" t="e">
        <f>IF(GB$2=InputTable[[#This Row],[Delivery Date]],_xlfn.XLOOKUP(GB$1,$BH$2:$BR$2,$BH180:$BR180,0),0)</f>
        <v>#REF!</v>
      </c>
      <c r="GC180" s="26">
        <f>IF(GC$2=InputTable[[#This Row],[Delivery Date]],_xlfn.XLOOKUP(GC$1,$BH$2:$BR$2,$BH180:$BR180,0),0)</f>
        <v>0</v>
      </c>
      <c r="GD180" s="26">
        <f>IF(GD$2=InputTable[[#This Row],[Delivery Date]],_xlfn.XLOOKUP(GD$1,$BH$2:$BR$2,$BH180:$BR180,0),0)</f>
        <v>0</v>
      </c>
      <c r="GE180" s="26">
        <f>IF(GE$2=InputTable[[#This Row],[Delivery Date]],_xlfn.XLOOKUP(GE$1,$BH$2:$BR$2,$BH180:$BR180,0),0)</f>
        <v>0</v>
      </c>
      <c r="GF180" s="26">
        <f>IF(GF$2=InputTable[[#This Row],[Delivery Date]],_xlfn.XLOOKUP(GF$1,$BH$2:$BR$2,$BH180:$BR180,0),0)</f>
        <v>0</v>
      </c>
      <c r="GG180" s="26">
        <f>IF(GG$2=InputTable[[#This Row],[Delivery Date]],_xlfn.XLOOKUP(GG$1,$BH$2:$BR$2,$BH180:$BR180,0),0)</f>
        <v>0</v>
      </c>
      <c r="GH180" s="26">
        <f>IF(GH$2=InputTable[[#This Row],[Delivery Date]],_xlfn.XLOOKUP(GH$1,$BH$2:$BR$2,$BH180:$BR180,0),0)</f>
        <v>0</v>
      </c>
      <c r="GI180" s="26">
        <f>IF(GI$2=InputTable[[#This Row],[Delivery Date]],_xlfn.XLOOKUP(GI$1,$BH$2:$BR$2,$BH180:$BR180,0),0)</f>
        <v>0</v>
      </c>
      <c r="GJ180" s="26">
        <f>IF(GJ$2=InputTable[[#This Row],[Delivery Date]],_xlfn.XLOOKUP(GJ$1,$BH$2:$BR$2,$BH180:$BR180,0),0)</f>
        <v>0</v>
      </c>
      <c r="GL180" s="26" t="e">
        <f>IF(GL$2=InputTable[[#This Row],[Delivery Date]],_xlfn.XLOOKUP(GL$1,$BH$2:$BR$2,$BH180:$BR180,0),0)</f>
        <v>#REF!</v>
      </c>
      <c r="GM180" s="26">
        <f>IF(GM$2=InputTable[[#This Row],[Delivery Date]],_xlfn.XLOOKUP(GM$1,$BH$2:$BR$2,$BH180:$BR180,0),0)</f>
        <v>0</v>
      </c>
      <c r="GN180" s="26">
        <f>IF(GN$2=InputTable[[#This Row],[Delivery Date]],_xlfn.XLOOKUP(GN$1,$BH$2:$BR$2,$BH180:$BR180,0),0)</f>
        <v>0</v>
      </c>
      <c r="GO180" s="26">
        <f>IF(GO$2=InputTable[[#This Row],[Delivery Date]],_xlfn.XLOOKUP(GO$1,$BH$2:$BR$2,$BH180:$BR180,0),0)</f>
        <v>0</v>
      </c>
      <c r="GP180" s="26">
        <f>IF(GP$2=InputTable[[#This Row],[Delivery Date]],_xlfn.XLOOKUP(GP$1,$BH$2:$BR$2,$BH180:$BR180,0),0)</f>
        <v>0</v>
      </c>
      <c r="GQ180" s="26">
        <f>IF(GQ$2=InputTable[[#This Row],[Delivery Date]],_xlfn.XLOOKUP(GQ$1,$BH$2:$BR$2,$BH180:$BR180,0),0)</f>
        <v>0</v>
      </c>
      <c r="GR180" s="26">
        <f>IF(GR$2=InputTable[[#This Row],[Delivery Date]],_xlfn.XLOOKUP(GR$1,$BH$2:$BR$2,$BH180:$BR180,0),0)</f>
        <v>0</v>
      </c>
      <c r="GS180" s="26">
        <f>IF(GS$2=InputTable[[#This Row],[Delivery Date]],_xlfn.XLOOKUP(GS$1,$BH$2:$BR$2,$BH180:$BR180,0),0)</f>
        <v>0</v>
      </c>
      <c r="GT180" s="26">
        <f>IF(GT$2=InputTable[[#This Row],[Delivery Date]],_xlfn.XLOOKUP(GT$1,$BH$2:$BR$2,$BH180:$BR180,0),0)</f>
        <v>0</v>
      </c>
      <c r="GV180" s="26" t="e">
        <f>IF(GV$2=InputTable[[#This Row],[Delivery Date]],_xlfn.XLOOKUP(GV$1,$BH$2:$BR$2,$BH180:$BR180,0),0)</f>
        <v>#REF!</v>
      </c>
      <c r="GW180" s="26">
        <f>IF(GW$2=InputTable[[#This Row],[Delivery Date]],_xlfn.XLOOKUP(GW$1,$BH$2:$BR$2,$BH180:$BR180,0),0)</f>
        <v>0</v>
      </c>
      <c r="GX180" s="26">
        <f>IF(GX$2=InputTable[[#This Row],[Delivery Date]],_xlfn.XLOOKUP(GX$1,$BH$2:$BR$2,$BH180:$BR180,0),0)</f>
        <v>0</v>
      </c>
      <c r="GY180" s="26">
        <f>IF(GY$2=InputTable[[#This Row],[Delivery Date]],_xlfn.XLOOKUP(GY$1,$BH$2:$BR$2,$BH180:$BR180,0),0)</f>
        <v>0</v>
      </c>
      <c r="GZ180" s="26">
        <f>IF(GZ$2=InputTable[[#This Row],[Delivery Date]],_xlfn.XLOOKUP(GZ$1,$BH$2:$BR$2,$BH180:$BR180,0),0)</f>
        <v>0</v>
      </c>
      <c r="HA180" s="26">
        <f>IF(HA$2=InputTable[[#This Row],[Delivery Date]],_xlfn.XLOOKUP(HA$1,$BH$2:$BR$2,$BH180:$BR180,0),0)</f>
        <v>0</v>
      </c>
      <c r="HB180" s="26">
        <f>IF(HB$2=InputTable[[#This Row],[Delivery Date]],_xlfn.XLOOKUP(HB$1,$BH$2:$BR$2,$BH180:$BR180,0),0)</f>
        <v>0</v>
      </c>
      <c r="HC180" s="26">
        <f>IF(HC$2=InputTable[[#This Row],[Delivery Date]],_xlfn.XLOOKUP(HC$1,$BH$2:$BR$2,$BH180:$BR180,0),0)</f>
        <v>0</v>
      </c>
      <c r="HD180" s="26">
        <f>IF(HD$2=InputTable[[#This Row],[Delivery Date]],_xlfn.XLOOKUP(HD$1,$BH$2:$BR$2,$BH180:$BR180,0),0)</f>
        <v>0</v>
      </c>
      <c r="HF180" s="26" t="e">
        <f>IF(HF$2=InputTable[[#This Row],[Delivery Date]],_xlfn.XLOOKUP(HF$1,$BH$2:$BR$2,$BH180:$BR180,0),0)</f>
        <v>#REF!</v>
      </c>
      <c r="HG180" s="26">
        <f>IF(HG$2=InputTable[[#This Row],[Delivery Date]],_xlfn.XLOOKUP(HG$1,$BH$2:$BR$2,$BH180:$BR180,0),0)</f>
        <v>0</v>
      </c>
      <c r="HH180" s="26">
        <f>IF(HH$2=InputTable[[#This Row],[Delivery Date]],_xlfn.XLOOKUP(HH$1,$BH$2:$BR$2,$BH180:$BR180,0),0)</f>
        <v>0</v>
      </c>
      <c r="HI180" s="26">
        <f>IF(HI$2=InputTable[[#This Row],[Delivery Date]],_xlfn.XLOOKUP(HI$1,$BH$2:$BR$2,$BH180:$BR180,0),0)</f>
        <v>0</v>
      </c>
      <c r="HJ180" s="26">
        <f>IF(HJ$2=InputTable[[#This Row],[Delivery Date]],_xlfn.XLOOKUP(HJ$1,$BH$2:$BR$2,$BH180:$BR180,0),0)</f>
        <v>0</v>
      </c>
      <c r="HK180" s="26">
        <f>IF(HK$2=InputTable[[#This Row],[Delivery Date]],_xlfn.XLOOKUP(HK$1,$BH$2:$BR$2,$BH180:$BR180,0),0)</f>
        <v>0</v>
      </c>
      <c r="HL180" s="26">
        <f>IF(HL$2=InputTable[[#This Row],[Delivery Date]],_xlfn.XLOOKUP(HL$1,$BH$2:$BR$2,$BH180:$BR180,0),0)</f>
        <v>0</v>
      </c>
      <c r="HM180" s="26">
        <f>IF(HM$2=InputTable[[#This Row],[Delivery Date]],_xlfn.XLOOKUP(HM$1,$BH$2:$BR$2,$BH180:$BR180,0),0)</f>
        <v>0</v>
      </c>
      <c r="HN180" s="26">
        <f>IF(HN$2=InputTable[[#This Row],[Delivery Date]],_xlfn.XLOOKUP(HN$1,$BH$2:$BR$2,$BH180:$BR180,0),0)</f>
        <v>0</v>
      </c>
      <c r="HP180" s="26" t="e">
        <f>IF(HP$2=InputTable[[#This Row],[Delivery Date]],_xlfn.XLOOKUP(HP$1,$BH$2:$BR$2,$BH180:$BR180,0),0)</f>
        <v>#REF!</v>
      </c>
      <c r="HQ180" s="26">
        <f>IF(HQ$2=InputTable[[#This Row],[Delivery Date]],_xlfn.XLOOKUP(HQ$1,$BH$2:$BR$2,$BH180:$BR180,0),0)</f>
        <v>0</v>
      </c>
      <c r="HR180" s="26">
        <f>IF(HR$2=InputTable[[#This Row],[Delivery Date]],_xlfn.XLOOKUP(HR$1,$BH$2:$BR$2,$BH180:$BR180,0),0)</f>
        <v>0</v>
      </c>
      <c r="HS180" s="26">
        <f>IF(HS$2=InputTable[[#This Row],[Delivery Date]],_xlfn.XLOOKUP(HS$1,$BH$2:$BR$2,$BH180:$BR180,0),0)</f>
        <v>0</v>
      </c>
      <c r="HT180" s="26">
        <f>IF(HT$2=InputTable[[#This Row],[Delivery Date]],_xlfn.XLOOKUP(HT$1,$BH$2:$BR$2,$BH180:$BR180,0),0)</f>
        <v>0</v>
      </c>
      <c r="HU180" s="26">
        <f>IF(HU$2=InputTable[[#This Row],[Delivery Date]],_xlfn.XLOOKUP(HU$1,$BH$2:$BR$2,$BH180:$BR180,0),0)</f>
        <v>0</v>
      </c>
      <c r="HV180" s="26">
        <f>IF(HV$2=InputTable[[#This Row],[Delivery Date]],_xlfn.XLOOKUP(HV$1,$BH$2:$BR$2,$BH180:$BR180,0),0)</f>
        <v>0</v>
      </c>
      <c r="HW180" s="26">
        <f>IF(HW$2=InputTable[[#This Row],[Delivery Date]],_xlfn.XLOOKUP(HW$1,$BH$2:$BR$2,$BH180:$BR180,0),0)</f>
        <v>0</v>
      </c>
      <c r="HX180" s="26">
        <f>IF(HX$2=InputTable[[#This Row],[Delivery Date]],_xlfn.XLOOKUP(HX$1,$BH$2:$BR$2,$BH180:$BR180,0),0)</f>
        <v>0</v>
      </c>
      <c r="HZ180" s="26" t="e">
        <f>IF(HZ$2=InputTable[[#This Row],[Delivery Date]],_xlfn.XLOOKUP(HZ$1,$BH$2:$BR$2,$BH180:$BR180,0),0)</f>
        <v>#REF!</v>
      </c>
      <c r="IA180" s="26">
        <f>IF(IA$2=InputTable[[#This Row],[Delivery Date]],_xlfn.XLOOKUP(IA$1,$BH$2:$BR$2,$BH180:$BR180,0),0)</f>
        <v>0</v>
      </c>
      <c r="IB180" s="26">
        <f>IF(IB$2=InputTable[[#This Row],[Delivery Date]],_xlfn.XLOOKUP(IB$1,$BH$2:$BR$2,$BH180:$BR180,0),0)</f>
        <v>0</v>
      </c>
      <c r="IC180" s="26">
        <f>IF(IC$2=InputTable[[#This Row],[Delivery Date]],_xlfn.XLOOKUP(IC$1,$BH$2:$BR$2,$BH180:$BR180,0),0)</f>
        <v>0</v>
      </c>
      <c r="ID180" s="26">
        <f>IF(ID$2=InputTable[[#This Row],[Delivery Date]],_xlfn.XLOOKUP(ID$1,$BH$2:$BR$2,$BH180:$BR180,0),0)</f>
        <v>0</v>
      </c>
      <c r="IE180" s="26">
        <f>IF(IE$2=InputTable[[#This Row],[Delivery Date]],_xlfn.XLOOKUP(IE$1,$BH$2:$BR$2,$BH180:$BR180,0),0)</f>
        <v>0</v>
      </c>
      <c r="IF180" s="26">
        <f>IF(IF$2=InputTable[[#This Row],[Delivery Date]],_xlfn.XLOOKUP(IF$1,$BH$2:$BR$2,$BH180:$BR180,0),0)</f>
        <v>0</v>
      </c>
      <c r="IG180" s="26">
        <f>IF(IG$2=InputTable[[#This Row],[Delivery Date]],_xlfn.XLOOKUP(IG$1,$BH$2:$BR$2,$BH180:$BR180,0),0)</f>
        <v>0</v>
      </c>
      <c r="IH180" s="26">
        <f>IF(IH$2=InputTable[[#This Row],[Delivery Date]],_xlfn.XLOOKUP(IH$1,$BH$2:$BR$2,$BH180:$BR180,0),0)</f>
        <v>0</v>
      </c>
      <c r="IJ180" s="26" t="e">
        <f>IF(IJ$2=InputTable[[#This Row],[Delivery Date]],_xlfn.XLOOKUP(IJ$1,$BH$2:$BR$2,$BH180:$BR180,0),0)</f>
        <v>#REF!</v>
      </c>
      <c r="IK180" s="26">
        <f>IF(IK$2=InputTable[[#This Row],[Delivery Date]],_xlfn.XLOOKUP(IK$1,$BH$2:$BR$2,$BH180:$BR180,0),0)</f>
        <v>0</v>
      </c>
      <c r="IL180" s="26">
        <f>IF(IL$2=InputTable[[#This Row],[Delivery Date]],_xlfn.XLOOKUP(IL$1,$BH$2:$BR$2,$BH180:$BR180,0),0)</f>
        <v>0</v>
      </c>
      <c r="IM180" s="26">
        <f>IF(IM$2=InputTable[[#This Row],[Delivery Date]],_xlfn.XLOOKUP(IM$1,$BH$2:$BR$2,$BH180:$BR180,0),0)</f>
        <v>0</v>
      </c>
      <c r="IN180" s="26">
        <f>IF(IN$2=InputTable[[#This Row],[Delivery Date]],_xlfn.XLOOKUP(IN$1,$BH$2:$BR$2,$BH180:$BR180,0),0)</f>
        <v>0</v>
      </c>
      <c r="IO180" s="26">
        <f>IF(IO$2=InputTable[[#This Row],[Delivery Date]],_xlfn.XLOOKUP(IO$1,$BH$2:$BR$2,$BH180:$BR180,0),0)</f>
        <v>0</v>
      </c>
      <c r="IP180" s="26">
        <f>IF(IP$2=InputTable[[#This Row],[Delivery Date]],_xlfn.XLOOKUP(IP$1,$BH$2:$BR$2,$BH180:$BR180,0),0)</f>
        <v>0</v>
      </c>
      <c r="IQ180" s="26">
        <f>IF(IQ$2=InputTable[[#This Row],[Delivery Date]],_xlfn.XLOOKUP(IQ$1,$BH$2:$BR$2,$BH180:$BR180,0),0)</f>
        <v>0</v>
      </c>
      <c r="IR180" s="26">
        <f>IF(IR$2=InputTable[[#This Row],[Delivery Date]],_xlfn.XLOOKUP(IR$1,$BH$2:$BR$2,$BH180:$BR180,0),0)</f>
        <v>0</v>
      </c>
      <c r="IT180" s="26" t="e">
        <f>IF(IT$2=InputTable[[#This Row],[Delivery Date]],_xlfn.XLOOKUP(IT$1,$BH$2:$BR$2,$BH180:$BR180,0),0)</f>
        <v>#REF!</v>
      </c>
      <c r="IU180" s="26">
        <f>IF(IU$2=InputTable[[#This Row],[Delivery Date]],_xlfn.XLOOKUP(IU$1,$BH$2:$BR$2,$BH180:$BR180,0),0)</f>
        <v>0</v>
      </c>
      <c r="IV180" s="26">
        <f>IF(IV$2=InputTable[[#This Row],[Delivery Date]],_xlfn.XLOOKUP(IV$1,$BH$2:$BR$2,$BH180:$BR180,0),0)</f>
        <v>0</v>
      </c>
      <c r="IW180" s="26">
        <f>IF(IW$2=InputTable[[#This Row],[Delivery Date]],_xlfn.XLOOKUP(IW$1,$BH$2:$BR$2,$BH180:$BR180,0),0)</f>
        <v>0</v>
      </c>
      <c r="IX180" s="26">
        <f>IF(IX$2=InputTable[[#This Row],[Delivery Date]],_xlfn.XLOOKUP(IX$1,$BH$2:$BR$2,$BH180:$BR180,0),0)</f>
        <v>0</v>
      </c>
      <c r="IY180" s="26">
        <f>IF(IY$2=InputTable[[#This Row],[Delivery Date]],_xlfn.XLOOKUP(IY$1,$BH$2:$BR$2,$BH180:$BR180,0),0)</f>
        <v>0</v>
      </c>
      <c r="IZ180" s="26">
        <f>IF(IZ$2=InputTable[[#This Row],[Delivery Date]],_xlfn.XLOOKUP(IZ$1,$BH$2:$BR$2,$BH180:$BR180,0),0)</f>
        <v>0</v>
      </c>
      <c r="JA180" s="26">
        <f>IF(JA$2=InputTable[[#This Row],[Delivery Date]],_xlfn.XLOOKUP(JA$1,$BH$2:$BR$2,$BH180:$BR180,0),0)</f>
        <v>0</v>
      </c>
      <c r="JB180" s="26">
        <f>IF(JB$2=InputTable[[#This Row],[Delivery Date]],_xlfn.XLOOKUP(JB$1,$BH$2:$BR$2,$BH180:$BR180,0),0)</f>
        <v>0</v>
      </c>
      <c r="JD180" s="26" t="e">
        <f>IF(JD$2=InputTable[[#This Row],[Delivery Date]],_xlfn.XLOOKUP(JD$1,$BH$2:$BR$2,$BH180:$BR180,0),0)</f>
        <v>#REF!</v>
      </c>
      <c r="JE180" s="26">
        <f>IF(JE$2=InputTable[[#This Row],[Delivery Date]],_xlfn.XLOOKUP(JE$1,$BH$2:$BR$2,$BH180:$BR180,0),0)</f>
        <v>0</v>
      </c>
      <c r="JF180" s="26">
        <f>IF(JF$2=InputTable[[#This Row],[Delivery Date]],_xlfn.XLOOKUP(JF$1,$BH$2:$BR$2,$BH180:$BR180,0),0)</f>
        <v>0</v>
      </c>
      <c r="JG180" s="26">
        <f>IF(JG$2=InputTable[[#This Row],[Delivery Date]],_xlfn.XLOOKUP(JG$1,$BH$2:$BR$2,$BH180:$BR180,0),0)</f>
        <v>0</v>
      </c>
      <c r="JH180" s="26">
        <f>IF(JH$2=InputTable[[#This Row],[Delivery Date]],_xlfn.XLOOKUP(JH$1,$BH$2:$BR$2,$BH180:$BR180,0),0)</f>
        <v>0</v>
      </c>
      <c r="JI180" s="26">
        <f>IF(JI$2=InputTable[[#This Row],[Delivery Date]],_xlfn.XLOOKUP(JI$1,$BH$2:$BR$2,$BH180:$BR180,0),0)</f>
        <v>0</v>
      </c>
      <c r="JJ180" s="26">
        <f>IF(JJ$2=InputTable[[#This Row],[Delivery Date]],_xlfn.XLOOKUP(JJ$1,$BH$2:$BR$2,$BH180:$BR180,0),0)</f>
        <v>0</v>
      </c>
      <c r="JK180" s="26">
        <f>IF(JK$2=InputTable[[#This Row],[Delivery Date]],_xlfn.XLOOKUP(JK$1,$BH$2:$BR$2,$BH180:$BR180,0),0)</f>
        <v>0</v>
      </c>
      <c r="JL180" s="26">
        <f>IF(JL$2=InputTable[[#This Row],[Delivery Date]],_xlfn.XLOOKUP(JL$1,$BH$2:$BR$2,$BH180:$BR180,0),0)</f>
        <v>0</v>
      </c>
      <c r="JN180" s="26" t="e">
        <f>IF(JN$2=InputTable[[#This Row],[Delivery Date]],_xlfn.XLOOKUP(JN$1,$BH$2:$BR$2,$BH180:$BR180,0),0)</f>
        <v>#REF!</v>
      </c>
      <c r="JO180" s="26">
        <f>IF(JO$2=InputTable[[#This Row],[Delivery Date]],_xlfn.XLOOKUP(JO$1,$BH$2:$BR$2,$BH180:$BR180,0),0)</f>
        <v>0</v>
      </c>
      <c r="JP180" s="26">
        <f>IF(JP$2=InputTable[[#This Row],[Delivery Date]],_xlfn.XLOOKUP(JP$1,$BH$2:$BR$2,$BH180:$BR180,0),0)</f>
        <v>0</v>
      </c>
      <c r="JQ180" s="26">
        <f>IF(JQ$2=InputTable[[#This Row],[Delivery Date]],_xlfn.XLOOKUP(JQ$1,$BH$2:$BR$2,$BH180:$BR180,0),0)</f>
        <v>0</v>
      </c>
      <c r="JR180" s="26">
        <f>IF(JR$2=InputTable[[#This Row],[Delivery Date]],_xlfn.XLOOKUP(JR$1,$BH$2:$BR$2,$BH180:$BR180,0),0)</f>
        <v>0</v>
      </c>
      <c r="JS180" s="26">
        <f>IF(JS$2=InputTable[[#This Row],[Delivery Date]],_xlfn.XLOOKUP(JS$1,$BH$2:$BR$2,$BH180:$BR180,0),0)</f>
        <v>0</v>
      </c>
      <c r="JT180" s="26">
        <f>IF(JT$2=InputTable[[#This Row],[Delivery Date]],_xlfn.XLOOKUP(JT$1,$BH$2:$BR$2,$BH180:$BR180,0),0)</f>
        <v>0</v>
      </c>
      <c r="JU180" s="26">
        <f>IF(JU$2=InputTable[[#This Row],[Delivery Date]],_xlfn.XLOOKUP(JU$1,$BH$2:$BR$2,$BH180:$BR180,0),0)</f>
        <v>0</v>
      </c>
      <c r="JV180" s="26">
        <f>IF(JV$2=InputTable[[#This Row],[Delivery Date]],_xlfn.XLOOKUP(JV$1,$BH$2:$BR$2,$BH180:$BR180,0),0)</f>
        <v>0</v>
      </c>
      <c r="JX180" s="26" t="e">
        <f>IF(JX$2=InputTable[[#This Row],[Delivery Date]],_xlfn.XLOOKUP(JX$1,$BH$2:$BR$2,$BH180:$BR180,0),0)</f>
        <v>#REF!</v>
      </c>
      <c r="JY180" s="26">
        <f>IF(JY$2=InputTable[[#This Row],[Delivery Date]],_xlfn.XLOOKUP(JY$1,$BH$2:$BR$2,$BH180:$BR180,0),0)</f>
        <v>0</v>
      </c>
      <c r="JZ180" s="26">
        <f>IF(JZ$2=InputTable[[#This Row],[Delivery Date]],_xlfn.XLOOKUP(JZ$1,$BH$2:$BR$2,$BH180:$BR180,0),0)</f>
        <v>0</v>
      </c>
      <c r="KA180" s="26">
        <f>IF(KA$2=InputTable[[#This Row],[Delivery Date]],_xlfn.XLOOKUP(KA$1,$BH$2:$BR$2,$BH180:$BR180,0),0)</f>
        <v>0</v>
      </c>
      <c r="KB180" s="26">
        <f>IF(KB$2=InputTable[[#This Row],[Delivery Date]],_xlfn.XLOOKUP(KB$1,$BH$2:$BR$2,$BH180:$BR180,0),0)</f>
        <v>0</v>
      </c>
      <c r="KC180" s="26">
        <f>IF(KC$2=InputTable[[#This Row],[Delivery Date]],_xlfn.XLOOKUP(KC$1,$BH$2:$BR$2,$BH180:$BR180,0),0)</f>
        <v>0</v>
      </c>
      <c r="KD180" s="26">
        <f>IF(KD$2=InputTable[[#This Row],[Delivery Date]],_xlfn.XLOOKUP(KD$1,$BH$2:$BR$2,$BH180:$BR180,0),0)</f>
        <v>0</v>
      </c>
      <c r="KE180" s="26">
        <f>IF(KE$2=InputTable[[#This Row],[Delivery Date]],_xlfn.XLOOKUP(KE$1,$BH$2:$BR$2,$BH180:$BR180,0),0)</f>
        <v>0</v>
      </c>
      <c r="KF180" s="26">
        <f>IF(KF$2=InputTable[[#This Row],[Delivery Date]],_xlfn.XLOOKUP(KF$1,$BH$2:$BR$2,$BH180:$BR180,0),0)</f>
        <v>0</v>
      </c>
    </row>
    <row r="181" spans="1:292" ht="34.799999999999997" x14ac:dyDescent="0.25">
      <c r="A181" s="125"/>
      <c r="B181" s="118"/>
      <c r="C181" s="92"/>
      <c r="D181" s="92"/>
      <c r="E181" s="103"/>
      <c r="F181" s="104"/>
      <c r="G181" s="104"/>
      <c r="H181" s="104"/>
      <c r="I181" s="104"/>
      <c r="J181" s="105"/>
      <c r="K181" s="95" t="e">
        <f>VLOOKUP((InputTable[[#This Row],[Starting Date]]&amp; " - " &amp;InputTable[[#This Row],[Delivery Date]]),'System List'!$F$40:$H$83,2,FALSE)</f>
        <v>#N/A</v>
      </c>
      <c r="L181" s="95" t="e">
        <f>VLOOKUP(InputTable[[#This Row],[Duration]],Duration,2,FALSE)</f>
        <v>#N/A</v>
      </c>
      <c r="M181" s="105"/>
      <c r="N181" s="104"/>
      <c r="O181" s="104"/>
      <c r="P181" s="104"/>
      <c r="Q181" s="104"/>
      <c r="R181" s="104"/>
      <c r="S181" s="92"/>
      <c r="T181" s="95"/>
      <c r="U181" s="138"/>
      <c r="V181" s="104"/>
      <c r="W181" s="104"/>
      <c r="X181" s="104"/>
      <c r="Y181" s="104"/>
      <c r="Z181" s="104"/>
      <c r="AA181" s="104"/>
      <c r="AB181" s="104"/>
      <c r="AC181" s="104"/>
      <c r="AD181" s="92">
        <f>COUNTA(InputTable[[#This Row],[CORPHRFIN]:[SALES]])</f>
        <v>0</v>
      </c>
      <c r="AE181" s="88" cm="1">
        <f t="array" ref="AE181">SUM(
_xlfn.XLOOKUP(InputTable[[#This Row],[CORPHRFIN]:[SALES]],'System List'!$F$4:$F$7,'System List'!$H$4:$H$7,0))</f>
        <v>0</v>
      </c>
      <c r="AF181" s="140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88" cm="1">
        <f t="array" ref="AR181">SUM(
_xlfn.XLOOKUP(InputTable[[#This Row],[Impact on - CIAL]:[Impact on - STRAT]],'System List'!$F$4:$F$7,'System List'!$H$4:$H$7,0))</f>
        <v>0</v>
      </c>
      <c r="AS181" s="88" t="e">
        <f>VLOOKUP(InputTable[[#This Row],[Duration]],Duration,2,FALSE)+InputTable[[#This Row],[Resource Score]]</f>
        <v>#N/A</v>
      </c>
      <c r="AT18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1" s="24" t="e">
        <f>InputTable[[#This Row],[Value Score]]/InputTable[[#This Row],[EFFORT SCORE]]*100</f>
        <v>#N/A</v>
      </c>
      <c r="AV181" s="25" t="s">
        <v>472</v>
      </c>
      <c r="AW181" s="25"/>
      <c r="AX181" s="208"/>
      <c r="AY181" s="25"/>
      <c r="AZ181" s="189">
        <v>0</v>
      </c>
      <c r="BA181" s="189">
        <v>0</v>
      </c>
      <c r="BB181" s="189"/>
      <c r="BC181" s="189"/>
      <c r="BD181" s="188"/>
      <c r="BE181" s="188"/>
      <c r="BF181" s="70"/>
      <c r="BH181" s="2">
        <f>IFERROR(VLOOKUP(InputTable[[#This Row],[Impact on - CIAL]],'System List'!$F$4:$H$7,3,FALSE),0)</f>
        <v>0</v>
      </c>
      <c r="BI181" s="2">
        <f>IFERROR(VLOOKUP(InputTable[[#This Row],[Impact on - COM]],'System List'!$F$4:$H$7,3,FALSE),0)</f>
        <v>0</v>
      </c>
      <c r="BJ181" s="2">
        <f>IFERROR(VLOOKUP(InputTable[[#This Row],[Impact on - FIN]],'System List'!$F$4:$H$7,3,FALSE),0)</f>
        <v>0</v>
      </c>
      <c r="BK181" s="2">
        <f>IFERROR(VLOOKUP(InputTable[[#This Row],[Impact on - GEN SEC]],'System List'!$F$4:$H$7,3,FALSE),0)</f>
        <v>0</v>
      </c>
      <c r="BL181" s="2">
        <f>IFERROR(VLOOKUP(InputTable[[#This Row],[Impact on - HR]],'System List'!$F$4:$H$7,3,FALSE),0)</f>
        <v>0</v>
      </c>
      <c r="BM181" s="2">
        <f>IFERROR(VLOOKUP(InputTable[[#This Row],[Impact on - IS]],'System List'!$F$4:$H$7,3,FALSE),0)</f>
        <v>0</v>
      </c>
      <c r="BN181" s="2">
        <f>IFERROR(VLOOKUP(InputTable[[#This Row],[Impact on - OPS]],'System List'!$F$4:$H$7,3,FALSE),0)</f>
        <v>0</v>
      </c>
      <c r="BO181" s="2">
        <f>IFERROR(VLOOKUP(InputTable[[#This Row],[Impact on - ROLL STOCK]],'System List'!$F$4:$H$7,3,FALSE),0)</f>
        <v>0</v>
      </c>
      <c r="BP181" s="2">
        <f>IFERROR(VLOOKUP(InputTable[[#This Row],[Impact on - SAFETY]],'System List'!$F$4:$H$7,3,FALSE),0)</f>
        <v>0</v>
      </c>
      <c r="BQ181" s="2">
        <f>IFERROR(VLOOKUP(InputTable[[#This Row],[Impact on - STATION]],'System List'!$F$4:$H$7,3,FALSE),0)</f>
        <v>0</v>
      </c>
      <c r="BR181" s="2">
        <f>IFERROR(VLOOKUP(InputTable[[#This Row],[Impact on - STRAT]],'System List'!$F$4:$H$7,3,FALSE),0)</f>
        <v>0</v>
      </c>
      <c r="BT181" s="2">
        <f>IFERROR(VLOOKUP(InputTable[[#This Row],[CORPHRFIN]],'System List'!$F$4:$H$7,3,FALSE),0)</f>
        <v>0</v>
      </c>
      <c r="BU181" s="2">
        <f>IFERROR(VLOOKUP(InputTable[[#This Row],[CUST]],'System List'!$F$4:$H$7,3,FALSE),0)</f>
        <v>0</v>
      </c>
      <c r="BV181" s="2">
        <f>IFERROR(VLOOKUP(InputTable[[#This Row],[CYBER]],'System List'!$F$4:$H$7,3,FALSE),0)</f>
        <v>0</v>
      </c>
      <c r="BW181" s="2">
        <f>IFERROR(VLOOKUP(InputTable[[#This Row],[DATA]],'System List'!$F$4:$H$7,3,FALSE),0)</f>
        <v>0</v>
      </c>
      <c r="BX181" s="2">
        <f>IFERROR(VLOOKUP(InputTable[[#This Row],[INFRA]],'System List'!$F$4:$H$7,3,FALSE),0)</f>
        <v>0</v>
      </c>
      <c r="BY181" s="2">
        <f>IFERROR(VLOOKUP(InputTable[[#This Row],[OPERATIONS]],'System List'!$F$4:$H$7,3,FALSE),0)</f>
        <v>0</v>
      </c>
      <c r="BZ181" s="2">
        <f>IFERROR(VLOOKUP(InputTable[[#This Row],[PMO]],'System List'!$F$4:$H$7,3,FALSE),0)</f>
        <v>0</v>
      </c>
      <c r="CA181" s="2">
        <f>IFERROR(VLOOKUP(InputTable[[#This Row],[SALES]],'System List'!$F$4:$H$7,3,FALSE),0)</f>
        <v>0</v>
      </c>
      <c r="CC181" s="2" cm="1">
        <f t="array" ref="CC18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1" s="2" cm="1">
        <f t="array" ref="CD18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1" s="2" cm="1">
        <f t="array" ref="CE18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1" s="2" cm="1">
        <f t="array" ref="CF18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1" s="2" cm="1">
        <f t="array" ref="CG18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1" s="2" cm="1">
        <f t="array" ref="CH18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1" s="2" cm="1">
        <f t="array" ref="CI18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1" s="2" cm="1">
        <f t="array" ref="CJ18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1" s="2" cm="1">
        <f t="array" ref="CK18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1" s="26">
        <f t="shared" si="451"/>
        <v>0</v>
      </c>
      <c r="CY181" s="26">
        <f t="shared" si="452"/>
        <v>0</v>
      </c>
      <c r="CZ181" s="26">
        <f t="shared" si="453"/>
        <v>0</v>
      </c>
      <c r="DA181" s="26">
        <f t="shared" si="454"/>
        <v>0</v>
      </c>
      <c r="DB181" s="26">
        <f t="shared" si="455"/>
        <v>0</v>
      </c>
      <c r="DC181" s="26">
        <f t="shared" si="456"/>
        <v>0</v>
      </c>
      <c r="DD181" s="26">
        <f t="shared" si="457"/>
        <v>0</v>
      </c>
      <c r="DE181" s="26">
        <f t="shared" si="458"/>
        <v>0</v>
      </c>
      <c r="DF181" s="26">
        <f t="shared" si="459"/>
        <v>0</v>
      </c>
      <c r="DH181" s="26">
        <f t="shared" si="460"/>
        <v>0</v>
      </c>
      <c r="DI181" s="26">
        <f t="shared" si="461"/>
        <v>0</v>
      </c>
      <c r="DJ181" s="26">
        <f t="shared" si="462"/>
        <v>0</v>
      </c>
      <c r="DK181" s="26">
        <f t="shared" si="463"/>
        <v>0</v>
      </c>
      <c r="DL181" s="26">
        <f t="shared" si="464"/>
        <v>0</v>
      </c>
      <c r="DM181" s="26">
        <f t="shared" si="465"/>
        <v>0</v>
      </c>
      <c r="DN181" s="26">
        <f t="shared" si="466"/>
        <v>0</v>
      </c>
      <c r="DO181" s="26">
        <f t="shared" si="467"/>
        <v>0</v>
      </c>
      <c r="DP181" s="26">
        <f t="shared" si="468"/>
        <v>0</v>
      </c>
      <c r="DR181" s="26">
        <f t="shared" si="469"/>
        <v>0</v>
      </c>
      <c r="DS181" s="26">
        <f t="shared" si="470"/>
        <v>0</v>
      </c>
      <c r="DT181" s="26">
        <f t="shared" si="471"/>
        <v>0</v>
      </c>
      <c r="DU181" s="26">
        <f t="shared" si="472"/>
        <v>0</v>
      </c>
      <c r="DV181" s="26">
        <f t="shared" si="473"/>
        <v>0</v>
      </c>
      <c r="DW181" s="26">
        <f t="shared" si="474"/>
        <v>0</v>
      </c>
      <c r="DX181" s="26">
        <f t="shared" si="475"/>
        <v>0</v>
      </c>
      <c r="DY181" s="26">
        <f t="shared" si="476"/>
        <v>0</v>
      </c>
      <c r="DZ181" s="26">
        <f t="shared" si="477"/>
        <v>0</v>
      </c>
      <c r="EB181" s="26">
        <f t="shared" si="478"/>
        <v>0</v>
      </c>
      <c r="EC181" s="26">
        <f t="shared" si="479"/>
        <v>0</v>
      </c>
      <c r="ED181" s="26">
        <f t="shared" si="480"/>
        <v>0</v>
      </c>
      <c r="EE181" s="26">
        <f t="shared" si="481"/>
        <v>0</v>
      </c>
      <c r="EF181" s="26">
        <f t="shared" si="482"/>
        <v>0</v>
      </c>
      <c r="EG181" s="26">
        <f t="shared" si="483"/>
        <v>0</v>
      </c>
      <c r="EH181" s="26">
        <f t="shared" si="484"/>
        <v>0</v>
      </c>
      <c r="EI181" s="26">
        <f t="shared" si="485"/>
        <v>0</v>
      </c>
      <c r="EJ181" s="26">
        <f t="shared" si="486"/>
        <v>0</v>
      </c>
      <c r="EL181" s="26">
        <f t="shared" si="487"/>
        <v>0</v>
      </c>
      <c r="EM181" s="26">
        <f t="shared" si="488"/>
        <v>0</v>
      </c>
      <c r="EN181" s="26">
        <f t="shared" si="489"/>
        <v>0</v>
      </c>
      <c r="EO181" s="26">
        <f t="shared" si="490"/>
        <v>0</v>
      </c>
      <c r="EP181" s="26">
        <f t="shared" si="491"/>
        <v>0</v>
      </c>
      <c r="EQ181" s="26">
        <f t="shared" si="492"/>
        <v>0</v>
      </c>
      <c r="ER181" s="26">
        <f t="shared" si="493"/>
        <v>0</v>
      </c>
      <c r="ES181" s="26">
        <f t="shared" si="494"/>
        <v>0</v>
      </c>
      <c r="ET181" s="26">
        <f t="shared" si="495"/>
        <v>0</v>
      </c>
      <c r="EV181" s="26">
        <f t="shared" si="496"/>
        <v>0</v>
      </c>
      <c r="EW181" s="26">
        <f t="shared" si="497"/>
        <v>0</v>
      </c>
      <c r="EX181" s="26">
        <f t="shared" si="498"/>
        <v>0</v>
      </c>
      <c r="EY181" s="26">
        <f t="shared" si="499"/>
        <v>0</v>
      </c>
      <c r="EZ181" s="26">
        <f t="shared" si="500"/>
        <v>0</v>
      </c>
      <c r="FA181" s="26">
        <f t="shared" si="501"/>
        <v>0</v>
      </c>
      <c r="FB181" s="26">
        <f t="shared" si="502"/>
        <v>0</v>
      </c>
      <c r="FC181" s="26">
        <f t="shared" si="503"/>
        <v>0</v>
      </c>
      <c r="FD181" s="26">
        <f t="shared" si="504"/>
        <v>0</v>
      </c>
      <c r="FF181" s="26">
        <f t="shared" si="505"/>
        <v>0</v>
      </c>
      <c r="FG181" s="26">
        <f t="shared" si="506"/>
        <v>0</v>
      </c>
      <c r="FH181" s="26">
        <f t="shared" si="507"/>
        <v>0</v>
      </c>
      <c r="FI181" s="26">
        <f t="shared" si="508"/>
        <v>0</v>
      </c>
      <c r="FJ181" s="26">
        <f t="shared" si="509"/>
        <v>0</v>
      </c>
      <c r="FK181" s="26">
        <f t="shared" si="510"/>
        <v>0</v>
      </c>
      <c r="FL181" s="26">
        <f t="shared" si="511"/>
        <v>0</v>
      </c>
      <c r="FM181" s="26">
        <f t="shared" si="512"/>
        <v>0</v>
      </c>
      <c r="FN181" s="26">
        <f t="shared" si="513"/>
        <v>0</v>
      </c>
      <c r="FP181" s="26" t="e">
        <f t="shared" si="514"/>
        <v>#REF!</v>
      </c>
      <c r="FQ181" s="26" t="e">
        <f t="shared" si="515"/>
        <v>#REF!</v>
      </c>
      <c r="FR181" s="26" t="e">
        <f t="shared" si="516"/>
        <v>#REF!</v>
      </c>
      <c r="FS181" s="26" t="e">
        <f t="shared" si="517"/>
        <v>#REF!</v>
      </c>
      <c r="FT181" s="26" t="e">
        <f t="shared" si="518"/>
        <v>#REF!</v>
      </c>
      <c r="FU181" s="26" t="e">
        <f t="shared" si="519"/>
        <v>#REF!</v>
      </c>
      <c r="FV181" s="26" t="e">
        <f t="shared" si="520"/>
        <v>#REF!</v>
      </c>
      <c r="FW181" s="26" t="e">
        <f t="shared" si="521"/>
        <v>#REF!</v>
      </c>
      <c r="FX181" s="26" t="e">
        <f t="shared" si="522"/>
        <v>#REF!</v>
      </c>
      <c r="GB181" s="26" t="e">
        <f>IF(GB$2=InputTable[[#This Row],[Delivery Date]],_xlfn.XLOOKUP(GB$1,$BH$2:$BR$2,$BH181:$BR181,0),0)</f>
        <v>#REF!</v>
      </c>
      <c r="GC181" s="26">
        <f>IF(GC$2=InputTable[[#This Row],[Delivery Date]],_xlfn.XLOOKUP(GC$1,$BH$2:$BR$2,$BH181:$BR181,0),0)</f>
        <v>0</v>
      </c>
      <c r="GD181" s="26">
        <f>IF(GD$2=InputTable[[#This Row],[Delivery Date]],_xlfn.XLOOKUP(GD$1,$BH$2:$BR$2,$BH181:$BR181,0),0)</f>
        <v>0</v>
      </c>
      <c r="GE181" s="26">
        <f>IF(GE$2=InputTable[[#This Row],[Delivery Date]],_xlfn.XLOOKUP(GE$1,$BH$2:$BR$2,$BH181:$BR181,0),0)</f>
        <v>0</v>
      </c>
      <c r="GF181" s="26">
        <f>IF(GF$2=InputTable[[#This Row],[Delivery Date]],_xlfn.XLOOKUP(GF$1,$BH$2:$BR$2,$BH181:$BR181,0),0)</f>
        <v>0</v>
      </c>
      <c r="GG181" s="26">
        <f>IF(GG$2=InputTable[[#This Row],[Delivery Date]],_xlfn.XLOOKUP(GG$1,$BH$2:$BR$2,$BH181:$BR181,0),0)</f>
        <v>0</v>
      </c>
      <c r="GH181" s="26">
        <f>IF(GH$2=InputTable[[#This Row],[Delivery Date]],_xlfn.XLOOKUP(GH$1,$BH$2:$BR$2,$BH181:$BR181,0),0)</f>
        <v>0</v>
      </c>
      <c r="GI181" s="26">
        <f>IF(GI$2=InputTable[[#This Row],[Delivery Date]],_xlfn.XLOOKUP(GI$1,$BH$2:$BR$2,$BH181:$BR181,0),0)</f>
        <v>0</v>
      </c>
      <c r="GJ181" s="26">
        <f>IF(GJ$2=InputTable[[#This Row],[Delivery Date]],_xlfn.XLOOKUP(GJ$1,$BH$2:$BR$2,$BH181:$BR181,0),0)</f>
        <v>0</v>
      </c>
      <c r="GL181" s="26" t="e">
        <f>IF(GL$2=InputTable[[#This Row],[Delivery Date]],_xlfn.XLOOKUP(GL$1,$BH$2:$BR$2,$BH181:$BR181,0),0)</f>
        <v>#REF!</v>
      </c>
      <c r="GM181" s="26">
        <f>IF(GM$2=InputTable[[#This Row],[Delivery Date]],_xlfn.XLOOKUP(GM$1,$BH$2:$BR$2,$BH181:$BR181,0),0)</f>
        <v>0</v>
      </c>
      <c r="GN181" s="26">
        <f>IF(GN$2=InputTable[[#This Row],[Delivery Date]],_xlfn.XLOOKUP(GN$1,$BH$2:$BR$2,$BH181:$BR181,0),0)</f>
        <v>0</v>
      </c>
      <c r="GO181" s="26">
        <f>IF(GO$2=InputTable[[#This Row],[Delivery Date]],_xlfn.XLOOKUP(GO$1,$BH$2:$BR$2,$BH181:$BR181,0),0)</f>
        <v>0</v>
      </c>
      <c r="GP181" s="26">
        <f>IF(GP$2=InputTable[[#This Row],[Delivery Date]],_xlfn.XLOOKUP(GP$1,$BH$2:$BR$2,$BH181:$BR181,0),0)</f>
        <v>0</v>
      </c>
      <c r="GQ181" s="26">
        <f>IF(GQ$2=InputTable[[#This Row],[Delivery Date]],_xlfn.XLOOKUP(GQ$1,$BH$2:$BR$2,$BH181:$BR181,0),0)</f>
        <v>0</v>
      </c>
      <c r="GR181" s="26">
        <f>IF(GR$2=InputTable[[#This Row],[Delivery Date]],_xlfn.XLOOKUP(GR$1,$BH$2:$BR$2,$BH181:$BR181,0),0)</f>
        <v>0</v>
      </c>
      <c r="GS181" s="26">
        <f>IF(GS$2=InputTable[[#This Row],[Delivery Date]],_xlfn.XLOOKUP(GS$1,$BH$2:$BR$2,$BH181:$BR181,0),0)</f>
        <v>0</v>
      </c>
      <c r="GT181" s="26">
        <f>IF(GT$2=InputTable[[#This Row],[Delivery Date]],_xlfn.XLOOKUP(GT$1,$BH$2:$BR$2,$BH181:$BR181,0),0)</f>
        <v>0</v>
      </c>
      <c r="GV181" s="26" t="e">
        <f>IF(GV$2=InputTable[[#This Row],[Delivery Date]],_xlfn.XLOOKUP(GV$1,$BH$2:$BR$2,$BH181:$BR181,0),0)</f>
        <v>#REF!</v>
      </c>
      <c r="GW181" s="26">
        <f>IF(GW$2=InputTable[[#This Row],[Delivery Date]],_xlfn.XLOOKUP(GW$1,$BH$2:$BR$2,$BH181:$BR181,0),0)</f>
        <v>0</v>
      </c>
      <c r="GX181" s="26">
        <f>IF(GX$2=InputTable[[#This Row],[Delivery Date]],_xlfn.XLOOKUP(GX$1,$BH$2:$BR$2,$BH181:$BR181,0),0)</f>
        <v>0</v>
      </c>
      <c r="GY181" s="26">
        <f>IF(GY$2=InputTable[[#This Row],[Delivery Date]],_xlfn.XLOOKUP(GY$1,$BH$2:$BR$2,$BH181:$BR181,0),0)</f>
        <v>0</v>
      </c>
      <c r="GZ181" s="26">
        <f>IF(GZ$2=InputTable[[#This Row],[Delivery Date]],_xlfn.XLOOKUP(GZ$1,$BH$2:$BR$2,$BH181:$BR181,0),0)</f>
        <v>0</v>
      </c>
      <c r="HA181" s="26">
        <f>IF(HA$2=InputTable[[#This Row],[Delivery Date]],_xlfn.XLOOKUP(HA$1,$BH$2:$BR$2,$BH181:$BR181,0),0)</f>
        <v>0</v>
      </c>
      <c r="HB181" s="26">
        <f>IF(HB$2=InputTable[[#This Row],[Delivery Date]],_xlfn.XLOOKUP(HB$1,$BH$2:$BR$2,$BH181:$BR181,0),0)</f>
        <v>0</v>
      </c>
      <c r="HC181" s="26">
        <f>IF(HC$2=InputTable[[#This Row],[Delivery Date]],_xlfn.XLOOKUP(HC$1,$BH$2:$BR$2,$BH181:$BR181,0),0)</f>
        <v>0</v>
      </c>
      <c r="HD181" s="26">
        <f>IF(HD$2=InputTable[[#This Row],[Delivery Date]],_xlfn.XLOOKUP(HD$1,$BH$2:$BR$2,$BH181:$BR181,0),0)</f>
        <v>0</v>
      </c>
      <c r="HF181" s="26" t="e">
        <f>IF(HF$2=InputTable[[#This Row],[Delivery Date]],_xlfn.XLOOKUP(HF$1,$BH$2:$BR$2,$BH181:$BR181,0),0)</f>
        <v>#REF!</v>
      </c>
      <c r="HG181" s="26">
        <f>IF(HG$2=InputTable[[#This Row],[Delivery Date]],_xlfn.XLOOKUP(HG$1,$BH$2:$BR$2,$BH181:$BR181,0),0)</f>
        <v>0</v>
      </c>
      <c r="HH181" s="26">
        <f>IF(HH$2=InputTable[[#This Row],[Delivery Date]],_xlfn.XLOOKUP(HH$1,$BH$2:$BR$2,$BH181:$BR181,0),0)</f>
        <v>0</v>
      </c>
      <c r="HI181" s="26">
        <f>IF(HI$2=InputTable[[#This Row],[Delivery Date]],_xlfn.XLOOKUP(HI$1,$BH$2:$BR$2,$BH181:$BR181,0),0)</f>
        <v>0</v>
      </c>
      <c r="HJ181" s="26">
        <f>IF(HJ$2=InputTable[[#This Row],[Delivery Date]],_xlfn.XLOOKUP(HJ$1,$BH$2:$BR$2,$BH181:$BR181,0),0)</f>
        <v>0</v>
      </c>
      <c r="HK181" s="26">
        <f>IF(HK$2=InputTable[[#This Row],[Delivery Date]],_xlfn.XLOOKUP(HK$1,$BH$2:$BR$2,$BH181:$BR181,0),0)</f>
        <v>0</v>
      </c>
      <c r="HL181" s="26">
        <f>IF(HL$2=InputTable[[#This Row],[Delivery Date]],_xlfn.XLOOKUP(HL$1,$BH$2:$BR$2,$BH181:$BR181,0),0)</f>
        <v>0</v>
      </c>
      <c r="HM181" s="26">
        <f>IF(HM$2=InputTable[[#This Row],[Delivery Date]],_xlfn.XLOOKUP(HM$1,$BH$2:$BR$2,$BH181:$BR181,0),0)</f>
        <v>0</v>
      </c>
      <c r="HN181" s="26">
        <f>IF(HN$2=InputTable[[#This Row],[Delivery Date]],_xlfn.XLOOKUP(HN$1,$BH$2:$BR$2,$BH181:$BR181,0),0)</f>
        <v>0</v>
      </c>
      <c r="HP181" s="26" t="e">
        <f>IF(HP$2=InputTable[[#This Row],[Delivery Date]],_xlfn.XLOOKUP(HP$1,$BH$2:$BR$2,$BH181:$BR181,0),0)</f>
        <v>#REF!</v>
      </c>
      <c r="HQ181" s="26">
        <f>IF(HQ$2=InputTable[[#This Row],[Delivery Date]],_xlfn.XLOOKUP(HQ$1,$BH$2:$BR$2,$BH181:$BR181,0),0)</f>
        <v>0</v>
      </c>
      <c r="HR181" s="26">
        <f>IF(HR$2=InputTable[[#This Row],[Delivery Date]],_xlfn.XLOOKUP(HR$1,$BH$2:$BR$2,$BH181:$BR181,0),0)</f>
        <v>0</v>
      </c>
      <c r="HS181" s="26">
        <f>IF(HS$2=InputTable[[#This Row],[Delivery Date]],_xlfn.XLOOKUP(HS$1,$BH$2:$BR$2,$BH181:$BR181,0),0)</f>
        <v>0</v>
      </c>
      <c r="HT181" s="26">
        <f>IF(HT$2=InputTable[[#This Row],[Delivery Date]],_xlfn.XLOOKUP(HT$1,$BH$2:$BR$2,$BH181:$BR181,0),0)</f>
        <v>0</v>
      </c>
      <c r="HU181" s="26">
        <f>IF(HU$2=InputTable[[#This Row],[Delivery Date]],_xlfn.XLOOKUP(HU$1,$BH$2:$BR$2,$BH181:$BR181,0),0)</f>
        <v>0</v>
      </c>
      <c r="HV181" s="26">
        <f>IF(HV$2=InputTable[[#This Row],[Delivery Date]],_xlfn.XLOOKUP(HV$1,$BH$2:$BR$2,$BH181:$BR181,0),0)</f>
        <v>0</v>
      </c>
      <c r="HW181" s="26">
        <f>IF(HW$2=InputTable[[#This Row],[Delivery Date]],_xlfn.XLOOKUP(HW$1,$BH$2:$BR$2,$BH181:$BR181,0),0)</f>
        <v>0</v>
      </c>
      <c r="HX181" s="26">
        <f>IF(HX$2=InputTable[[#This Row],[Delivery Date]],_xlfn.XLOOKUP(HX$1,$BH$2:$BR$2,$BH181:$BR181,0),0)</f>
        <v>0</v>
      </c>
      <c r="HZ181" s="26" t="e">
        <f>IF(HZ$2=InputTable[[#This Row],[Delivery Date]],_xlfn.XLOOKUP(HZ$1,$BH$2:$BR$2,$BH181:$BR181,0),0)</f>
        <v>#REF!</v>
      </c>
      <c r="IA181" s="26">
        <f>IF(IA$2=InputTable[[#This Row],[Delivery Date]],_xlfn.XLOOKUP(IA$1,$BH$2:$BR$2,$BH181:$BR181,0),0)</f>
        <v>0</v>
      </c>
      <c r="IB181" s="26">
        <f>IF(IB$2=InputTable[[#This Row],[Delivery Date]],_xlfn.XLOOKUP(IB$1,$BH$2:$BR$2,$BH181:$BR181,0),0)</f>
        <v>0</v>
      </c>
      <c r="IC181" s="26">
        <f>IF(IC$2=InputTable[[#This Row],[Delivery Date]],_xlfn.XLOOKUP(IC$1,$BH$2:$BR$2,$BH181:$BR181,0),0)</f>
        <v>0</v>
      </c>
      <c r="ID181" s="26">
        <f>IF(ID$2=InputTable[[#This Row],[Delivery Date]],_xlfn.XLOOKUP(ID$1,$BH$2:$BR$2,$BH181:$BR181,0),0)</f>
        <v>0</v>
      </c>
      <c r="IE181" s="26">
        <f>IF(IE$2=InputTable[[#This Row],[Delivery Date]],_xlfn.XLOOKUP(IE$1,$BH$2:$BR$2,$BH181:$BR181,0),0)</f>
        <v>0</v>
      </c>
      <c r="IF181" s="26">
        <f>IF(IF$2=InputTable[[#This Row],[Delivery Date]],_xlfn.XLOOKUP(IF$1,$BH$2:$BR$2,$BH181:$BR181,0),0)</f>
        <v>0</v>
      </c>
      <c r="IG181" s="26">
        <f>IF(IG$2=InputTable[[#This Row],[Delivery Date]],_xlfn.XLOOKUP(IG$1,$BH$2:$BR$2,$BH181:$BR181,0),0)</f>
        <v>0</v>
      </c>
      <c r="IH181" s="26">
        <f>IF(IH$2=InputTable[[#This Row],[Delivery Date]],_xlfn.XLOOKUP(IH$1,$BH$2:$BR$2,$BH181:$BR181,0),0)</f>
        <v>0</v>
      </c>
      <c r="IJ181" s="26" t="e">
        <f>IF(IJ$2=InputTable[[#This Row],[Delivery Date]],_xlfn.XLOOKUP(IJ$1,$BH$2:$BR$2,$BH181:$BR181,0),0)</f>
        <v>#REF!</v>
      </c>
      <c r="IK181" s="26">
        <f>IF(IK$2=InputTable[[#This Row],[Delivery Date]],_xlfn.XLOOKUP(IK$1,$BH$2:$BR$2,$BH181:$BR181,0),0)</f>
        <v>0</v>
      </c>
      <c r="IL181" s="26">
        <f>IF(IL$2=InputTable[[#This Row],[Delivery Date]],_xlfn.XLOOKUP(IL$1,$BH$2:$BR$2,$BH181:$BR181,0),0)</f>
        <v>0</v>
      </c>
      <c r="IM181" s="26">
        <f>IF(IM$2=InputTable[[#This Row],[Delivery Date]],_xlfn.XLOOKUP(IM$1,$BH$2:$BR$2,$BH181:$BR181,0),0)</f>
        <v>0</v>
      </c>
      <c r="IN181" s="26">
        <f>IF(IN$2=InputTable[[#This Row],[Delivery Date]],_xlfn.XLOOKUP(IN$1,$BH$2:$BR$2,$BH181:$BR181,0),0)</f>
        <v>0</v>
      </c>
      <c r="IO181" s="26">
        <f>IF(IO$2=InputTable[[#This Row],[Delivery Date]],_xlfn.XLOOKUP(IO$1,$BH$2:$BR$2,$BH181:$BR181,0),0)</f>
        <v>0</v>
      </c>
      <c r="IP181" s="26">
        <f>IF(IP$2=InputTable[[#This Row],[Delivery Date]],_xlfn.XLOOKUP(IP$1,$BH$2:$BR$2,$BH181:$BR181,0),0)</f>
        <v>0</v>
      </c>
      <c r="IQ181" s="26">
        <f>IF(IQ$2=InputTable[[#This Row],[Delivery Date]],_xlfn.XLOOKUP(IQ$1,$BH$2:$BR$2,$BH181:$BR181,0),0)</f>
        <v>0</v>
      </c>
      <c r="IR181" s="26">
        <f>IF(IR$2=InputTable[[#This Row],[Delivery Date]],_xlfn.XLOOKUP(IR$1,$BH$2:$BR$2,$BH181:$BR181,0),0)</f>
        <v>0</v>
      </c>
      <c r="IT181" s="26" t="e">
        <f>IF(IT$2=InputTable[[#This Row],[Delivery Date]],_xlfn.XLOOKUP(IT$1,$BH$2:$BR$2,$BH181:$BR181,0),0)</f>
        <v>#REF!</v>
      </c>
      <c r="IU181" s="26">
        <f>IF(IU$2=InputTable[[#This Row],[Delivery Date]],_xlfn.XLOOKUP(IU$1,$BH$2:$BR$2,$BH181:$BR181,0),0)</f>
        <v>0</v>
      </c>
      <c r="IV181" s="26">
        <f>IF(IV$2=InputTable[[#This Row],[Delivery Date]],_xlfn.XLOOKUP(IV$1,$BH$2:$BR$2,$BH181:$BR181,0),0)</f>
        <v>0</v>
      </c>
      <c r="IW181" s="26">
        <f>IF(IW$2=InputTable[[#This Row],[Delivery Date]],_xlfn.XLOOKUP(IW$1,$BH$2:$BR$2,$BH181:$BR181,0),0)</f>
        <v>0</v>
      </c>
      <c r="IX181" s="26">
        <f>IF(IX$2=InputTable[[#This Row],[Delivery Date]],_xlfn.XLOOKUP(IX$1,$BH$2:$BR$2,$BH181:$BR181,0),0)</f>
        <v>0</v>
      </c>
      <c r="IY181" s="26">
        <f>IF(IY$2=InputTable[[#This Row],[Delivery Date]],_xlfn.XLOOKUP(IY$1,$BH$2:$BR$2,$BH181:$BR181,0),0)</f>
        <v>0</v>
      </c>
      <c r="IZ181" s="26">
        <f>IF(IZ$2=InputTable[[#This Row],[Delivery Date]],_xlfn.XLOOKUP(IZ$1,$BH$2:$BR$2,$BH181:$BR181,0),0)</f>
        <v>0</v>
      </c>
      <c r="JA181" s="26">
        <f>IF(JA$2=InputTable[[#This Row],[Delivery Date]],_xlfn.XLOOKUP(JA$1,$BH$2:$BR$2,$BH181:$BR181,0),0)</f>
        <v>0</v>
      </c>
      <c r="JB181" s="26">
        <f>IF(JB$2=InputTable[[#This Row],[Delivery Date]],_xlfn.XLOOKUP(JB$1,$BH$2:$BR$2,$BH181:$BR181,0),0)</f>
        <v>0</v>
      </c>
      <c r="JD181" s="26" t="e">
        <f>IF(JD$2=InputTable[[#This Row],[Delivery Date]],_xlfn.XLOOKUP(JD$1,$BH$2:$BR$2,$BH181:$BR181,0),0)</f>
        <v>#REF!</v>
      </c>
      <c r="JE181" s="26">
        <f>IF(JE$2=InputTable[[#This Row],[Delivery Date]],_xlfn.XLOOKUP(JE$1,$BH$2:$BR$2,$BH181:$BR181,0),0)</f>
        <v>0</v>
      </c>
      <c r="JF181" s="26">
        <f>IF(JF$2=InputTable[[#This Row],[Delivery Date]],_xlfn.XLOOKUP(JF$1,$BH$2:$BR$2,$BH181:$BR181,0),0)</f>
        <v>0</v>
      </c>
      <c r="JG181" s="26">
        <f>IF(JG$2=InputTable[[#This Row],[Delivery Date]],_xlfn.XLOOKUP(JG$1,$BH$2:$BR$2,$BH181:$BR181,0),0)</f>
        <v>0</v>
      </c>
      <c r="JH181" s="26">
        <f>IF(JH$2=InputTable[[#This Row],[Delivery Date]],_xlfn.XLOOKUP(JH$1,$BH$2:$BR$2,$BH181:$BR181,0),0)</f>
        <v>0</v>
      </c>
      <c r="JI181" s="26">
        <f>IF(JI$2=InputTable[[#This Row],[Delivery Date]],_xlfn.XLOOKUP(JI$1,$BH$2:$BR$2,$BH181:$BR181,0),0)</f>
        <v>0</v>
      </c>
      <c r="JJ181" s="26">
        <f>IF(JJ$2=InputTable[[#This Row],[Delivery Date]],_xlfn.XLOOKUP(JJ$1,$BH$2:$BR$2,$BH181:$BR181,0),0)</f>
        <v>0</v>
      </c>
      <c r="JK181" s="26">
        <f>IF(JK$2=InputTable[[#This Row],[Delivery Date]],_xlfn.XLOOKUP(JK$1,$BH$2:$BR$2,$BH181:$BR181,0),0)</f>
        <v>0</v>
      </c>
      <c r="JL181" s="26">
        <f>IF(JL$2=InputTable[[#This Row],[Delivery Date]],_xlfn.XLOOKUP(JL$1,$BH$2:$BR$2,$BH181:$BR181,0),0)</f>
        <v>0</v>
      </c>
      <c r="JN181" s="26" t="e">
        <f>IF(JN$2=InputTable[[#This Row],[Delivery Date]],_xlfn.XLOOKUP(JN$1,$BH$2:$BR$2,$BH181:$BR181,0),0)</f>
        <v>#REF!</v>
      </c>
      <c r="JO181" s="26">
        <f>IF(JO$2=InputTable[[#This Row],[Delivery Date]],_xlfn.XLOOKUP(JO$1,$BH$2:$BR$2,$BH181:$BR181,0),0)</f>
        <v>0</v>
      </c>
      <c r="JP181" s="26">
        <f>IF(JP$2=InputTable[[#This Row],[Delivery Date]],_xlfn.XLOOKUP(JP$1,$BH$2:$BR$2,$BH181:$BR181,0),0)</f>
        <v>0</v>
      </c>
      <c r="JQ181" s="26">
        <f>IF(JQ$2=InputTable[[#This Row],[Delivery Date]],_xlfn.XLOOKUP(JQ$1,$BH$2:$BR$2,$BH181:$BR181,0),0)</f>
        <v>0</v>
      </c>
      <c r="JR181" s="26">
        <f>IF(JR$2=InputTable[[#This Row],[Delivery Date]],_xlfn.XLOOKUP(JR$1,$BH$2:$BR$2,$BH181:$BR181,0),0)</f>
        <v>0</v>
      </c>
      <c r="JS181" s="26">
        <f>IF(JS$2=InputTable[[#This Row],[Delivery Date]],_xlfn.XLOOKUP(JS$1,$BH$2:$BR$2,$BH181:$BR181,0),0)</f>
        <v>0</v>
      </c>
      <c r="JT181" s="26">
        <f>IF(JT$2=InputTable[[#This Row],[Delivery Date]],_xlfn.XLOOKUP(JT$1,$BH$2:$BR$2,$BH181:$BR181,0),0)</f>
        <v>0</v>
      </c>
      <c r="JU181" s="26">
        <f>IF(JU$2=InputTable[[#This Row],[Delivery Date]],_xlfn.XLOOKUP(JU$1,$BH$2:$BR$2,$BH181:$BR181,0),0)</f>
        <v>0</v>
      </c>
      <c r="JV181" s="26">
        <f>IF(JV$2=InputTable[[#This Row],[Delivery Date]],_xlfn.XLOOKUP(JV$1,$BH$2:$BR$2,$BH181:$BR181,0),0)</f>
        <v>0</v>
      </c>
      <c r="JX181" s="26" t="e">
        <f>IF(JX$2=InputTable[[#This Row],[Delivery Date]],_xlfn.XLOOKUP(JX$1,$BH$2:$BR$2,$BH181:$BR181,0),0)</f>
        <v>#REF!</v>
      </c>
      <c r="JY181" s="26">
        <f>IF(JY$2=InputTable[[#This Row],[Delivery Date]],_xlfn.XLOOKUP(JY$1,$BH$2:$BR$2,$BH181:$BR181,0),0)</f>
        <v>0</v>
      </c>
      <c r="JZ181" s="26">
        <f>IF(JZ$2=InputTable[[#This Row],[Delivery Date]],_xlfn.XLOOKUP(JZ$1,$BH$2:$BR$2,$BH181:$BR181,0),0)</f>
        <v>0</v>
      </c>
      <c r="KA181" s="26">
        <f>IF(KA$2=InputTable[[#This Row],[Delivery Date]],_xlfn.XLOOKUP(KA$1,$BH$2:$BR$2,$BH181:$BR181,0),0)</f>
        <v>0</v>
      </c>
      <c r="KB181" s="26">
        <f>IF(KB$2=InputTable[[#This Row],[Delivery Date]],_xlfn.XLOOKUP(KB$1,$BH$2:$BR$2,$BH181:$BR181,0),0)</f>
        <v>0</v>
      </c>
      <c r="KC181" s="26">
        <f>IF(KC$2=InputTable[[#This Row],[Delivery Date]],_xlfn.XLOOKUP(KC$1,$BH$2:$BR$2,$BH181:$BR181,0),0)</f>
        <v>0</v>
      </c>
      <c r="KD181" s="26">
        <f>IF(KD$2=InputTable[[#This Row],[Delivery Date]],_xlfn.XLOOKUP(KD$1,$BH$2:$BR$2,$BH181:$BR181,0),0)</f>
        <v>0</v>
      </c>
      <c r="KE181" s="26">
        <f>IF(KE$2=InputTable[[#This Row],[Delivery Date]],_xlfn.XLOOKUP(KE$1,$BH$2:$BR$2,$BH181:$BR181,0),0)</f>
        <v>0</v>
      </c>
      <c r="KF181" s="26">
        <f>IF(KF$2=InputTable[[#This Row],[Delivery Date]],_xlfn.XLOOKUP(KF$1,$BH$2:$BR$2,$BH181:$BR181,0),0)</f>
        <v>0</v>
      </c>
    </row>
    <row r="182" spans="1:292" ht="34.799999999999997" x14ac:dyDescent="0.25">
      <c r="A182" s="125"/>
      <c r="B182" s="118"/>
      <c r="C182" s="92"/>
      <c r="D182" s="92"/>
      <c r="E182" s="103"/>
      <c r="F182" s="104"/>
      <c r="G182" s="104"/>
      <c r="H182" s="104"/>
      <c r="I182" s="104"/>
      <c r="J182" s="105"/>
      <c r="K182" s="95" t="e">
        <f>VLOOKUP((InputTable[[#This Row],[Starting Date]]&amp; " - " &amp;InputTable[[#This Row],[Delivery Date]]),'System List'!$F$40:$H$83,2,FALSE)</f>
        <v>#N/A</v>
      </c>
      <c r="L182" s="95" t="e">
        <f>VLOOKUP(InputTable[[#This Row],[Duration]],Duration,2,FALSE)</f>
        <v>#N/A</v>
      </c>
      <c r="M182" s="105"/>
      <c r="N182" s="104"/>
      <c r="O182" s="104"/>
      <c r="P182" s="104"/>
      <c r="Q182" s="104"/>
      <c r="R182" s="104"/>
      <c r="S182" s="92"/>
      <c r="T182" s="95"/>
      <c r="U182" s="138"/>
      <c r="V182" s="104"/>
      <c r="W182" s="104"/>
      <c r="X182" s="104"/>
      <c r="Y182" s="104"/>
      <c r="Z182" s="104"/>
      <c r="AA182" s="104"/>
      <c r="AB182" s="104"/>
      <c r="AC182" s="104"/>
      <c r="AD182" s="92">
        <f>COUNTA(InputTable[[#This Row],[CORPHRFIN]:[SALES]])</f>
        <v>0</v>
      </c>
      <c r="AE182" s="88" cm="1">
        <f t="array" ref="AE182">SUM(
_xlfn.XLOOKUP(InputTable[[#This Row],[CORPHRFIN]:[SALES]],'System List'!$F$4:$F$7,'System List'!$H$4:$H$7,0))</f>
        <v>0</v>
      </c>
      <c r="AF182" s="140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88" cm="1">
        <f t="array" ref="AR182">SUM(
_xlfn.XLOOKUP(InputTable[[#This Row],[Impact on - CIAL]:[Impact on - STRAT]],'System List'!$F$4:$F$7,'System List'!$H$4:$H$7,0))</f>
        <v>0</v>
      </c>
      <c r="AS182" s="88" t="e">
        <f>VLOOKUP(InputTable[[#This Row],[Duration]],Duration,2,FALSE)+InputTable[[#This Row],[Resource Score]]</f>
        <v>#N/A</v>
      </c>
      <c r="AT18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2" s="24" t="e">
        <f>InputTable[[#This Row],[Value Score]]/InputTable[[#This Row],[EFFORT SCORE]]*100</f>
        <v>#N/A</v>
      </c>
      <c r="AV182" s="25" t="s">
        <v>473</v>
      </c>
      <c r="AW182" s="25"/>
      <c r="AX182" s="208"/>
      <c r="AY182" s="25"/>
      <c r="AZ182" s="189">
        <v>0</v>
      </c>
      <c r="BA182" s="189">
        <v>0</v>
      </c>
      <c r="BB182" s="189"/>
      <c r="BC182" s="189"/>
      <c r="BD182" s="188"/>
      <c r="BE182" s="188"/>
      <c r="BF182" s="70"/>
      <c r="BH182" s="2">
        <f>IFERROR(VLOOKUP(InputTable[[#This Row],[Impact on - CIAL]],'System List'!$F$4:$H$7,3,FALSE),0)</f>
        <v>0</v>
      </c>
      <c r="BI182" s="2">
        <f>IFERROR(VLOOKUP(InputTable[[#This Row],[Impact on - COM]],'System List'!$F$4:$H$7,3,FALSE),0)</f>
        <v>0</v>
      </c>
      <c r="BJ182" s="2">
        <f>IFERROR(VLOOKUP(InputTable[[#This Row],[Impact on - FIN]],'System List'!$F$4:$H$7,3,FALSE),0)</f>
        <v>0</v>
      </c>
      <c r="BK182" s="2">
        <f>IFERROR(VLOOKUP(InputTable[[#This Row],[Impact on - GEN SEC]],'System List'!$F$4:$H$7,3,FALSE),0)</f>
        <v>0</v>
      </c>
      <c r="BL182" s="2">
        <f>IFERROR(VLOOKUP(InputTable[[#This Row],[Impact on - HR]],'System List'!$F$4:$H$7,3,FALSE),0)</f>
        <v>0</v>
      </c>
      <c r="BM182" s="2">
        <f>IFERROR(VLOOKUP(InputTable[[#This Row],[Impact on - IS]],'System List'!$F$4:$H$7,3,FALSE),0)</f>
        <v>0</v>
      </c>
      <c r="BN182" s="2">
        <f>IFERROR(VLOOKUP(InputTable[[#This Row],[Impact on - OPS]],'System List'!$F$4:$H$7,3,FALSE),0)</f>
        <v>0</v>
      </c>
      <c r="BO182" s="2">
        <f>IFERROR(VLOOKUP(InputTable[[#This Row],[Impact on - ROLL STOCK]],'System List'!$F$4:$H$7,3,FALSE),0)</f>
        <v>0</v>
      </c>
      <c r="BP182" s="2">
        <f>IFERROR(VLOOKUP(InputTable[[#This Row],[Impact on - SAFETY]],'System List'!$F$4:$H$7,3,FALSE),0)</f>
        <v>0</v>
      </c>
      <c r="BQ182" s="2">
        <f>IFERROR(VLOOKUP(InputTable[[#This Row],[Impact on - STATION]],'System List'!$F$4:$H$7,3,FALSE),0)</f>
        <v>0</v>
      </c>
      <c r="BR182" s="2">
        <f>IFERROR(VLOOKUP(InputTable[[#This Row],[Impact on - STRAT]],'System List'!$F$4:$H$7,3,FALSE),0)</f>
        <v>0</v>
      </c>
      <c r="BT182" s="2">
        <f>IFERROR(VLOOKUP(InputTable[[#This Row],[CORPHRFIN]],'System List'!$F$4:$H$7,3,FALSE),0)</f>
        <v>0</v>
      </c>
      <c r="BU182" s="2">
        <f>IFERROR(VLOOKUP(InputTable[[#This Row],[CUST]],'System List'!$F$4:$H$7,3,FALSE),0)</f>
        <v>0</v>
      </c>
      <c r="BV182" s="2">
        <f>IFERROR(VLOOKUP(InputTable[[#This Row],[CYBER]],'System List'!$F$4:$H$7,3,FALSE),0)</f>
        <v>0</v>
      </c>
      <c r="BW182" s="2">
        <f>IFERROR(VLOOKUP(InputTable[[#This Row],[DATA]],'System List'!$F$4:$H$7,3,FALSE),0)</f>
        <v>0</v>
      </c>
      <c r="BX182" s="2">
        <f>IFERROR(VLOOKUP(InputTable[[#This Row],[INFRA]],'System List'!$F$4:$H$7,3,FALSE),0)</f>
        <v>0</v>
      </c>
      <c r="BY182" s="2">
        <f>IFERROR(VLOOKUP(InputTable[[#This Row],[OPERATIONS]],'System List'!$F$4:$H$7,3,FALSE),0)</f>
        <v>0</v>
      </c>
      <c r="BZ182" s="2">
        <f>IFERROR(VLOOKUP(InputTable[[#This Row],[PMO]],'System List'!$F$4:$H$7,3,FALSE),0)</f>
        <v>0</v>
      </c>
      <c r="CA182" s="2">
        <f>IFERROR(VLOOKUP(InputTable[[#This Row],[SALES]],'System List'!$F$4:$H$7,3,FALSE),0)</f>
        <v>0</v>
      </c>
      <c r="CC182" s="2" cm="1">
        <f t="array" ref="CC18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2" s="2" cm="1">
        <f t="array" ref="CD18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2" s="2" cm="1">
        <f t="array" ref="CE18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2" s="2" cm="1">
        <f t="array" ref="CF18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2" s="2" cm="1">
        <f t="array" ref="CG18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2" s="2" cm="1">
        <f t="array" ref="CH18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2" s="2" cm="1">
        <f t="array" ref="CI18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2" s="2" cm="1">
        <f t="array" ref="CJ18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2" s="2" cm="1">
        <f t="array" ref="CK18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2" s="26">
        <f t="shared" si="451"/>
        <v>0</v>
      </c>
      <c r="CY182" s="26">
        <f t="shared" si="452"/>
        <v>0</v>
      </c>
      <c r="CZ182" s="26">
        <f t="shared" si="453"/>
        <v>0</v>
      </c>
      <c r="DA182" s="26">
        <f t="shared" si="454"/>
        <v>0</v>
      </c>
      <c r="DB182" s="26">
        <f t="shared" si="455"/>
        <v>0</v>
      </c>
      <c r="DC182" s="26">
        <f t="shared" si="456"/>
        <v>0</v>
      </c>
      <c r="DD182" s="26">
        <f t="shared" si="457"/>
        <v>0</v>
      </c>
      <c r="DE182" s="26">
        <f t="shared" si="458"/>
        <v>0</v>
      </c>
      <c r="DF182" s="26">
        <f t="shared" si="459"/>
        <v>0</v>
      </c>
      <c r="DH182" s="26">
        <f t="shared" si="460"/>
        <v>0</v>
      </c>
      <c r="DI182" s="26">
        <f t="shared" si="461"/>
        <v>0</v>
      </c>
      <c r="DJ182" s="26">
        <f t="shared" si="462"/>
        <v>0</v>
      </c>
      <c r="DK182" s="26">
        <f t="shared" si="463"/>
        <v>0</v>
      </c>
      <c r="DL182" s="26">
        <f t="shared" si="464"/>
        <v>0</v>
      </c>
      <c r="DM182" s="26">
        <f t="shared" si="465"/>
        <v>0</v>
      </c>
      <c r="DN182" s="26">
        <f t="shared" si="466"/>
        <v>0</v>
      </c>
      <c r="DO182" s="26">
        <f t="shared" si="467"/>
        <v>0</v>
      </c>
      <c r="DP182" s="26">
        <f t="shared" si="468"/>
        <v>0</v>
      </c>
      <c r="DR182" s="26">
        <f t="shared" si="469"/>
        <v>0</v>
      </c>
      <c r="DS182" s="26">
        <f t="shared" si="470"/>
        <v>0</v>
      </c>
      <c r="DT182" s="26">
        <f t="shared" si="471"/>
        <v>0</v>
      </c>
      <c r="DU182" s="26">
        <f t="shared" si="472"/>
        <v>0</v>
      </c>
      <c r="DV182" s="26">
        <f t="shared" si="473"/>
        <v>0</v>
      </c>
      <c r="DW182" s="26">
        <f t="shared" si="474"/>
        <v>0</v>
      </c>
      <c r="DX182" s="26">
        <f t="shared" si="475"/>
        <v>0</v>
      </c>
      <c r="DY182" s="26">
        <f t="shared" si="476"/>
        <v>0</v>
      </c>
      <c r="DZ182" s="26">
        <f t="shared" si="477"/>
        <v>0</v>
      </c>
      <c r="EB182" s="26">
        <f t="shared" si="478"/>
        <v>0</v>
      </c>
      <c r="EC182" s="26">
        <f t="shared" si="479"/>
        <v>0</v>
      </c>
      <c r="ED182" s="26">
        <f t="shared" si="480"/>
        <v>0</v>
      </c>
      <c r="EE182" s="26">
        <f t="shared" si="481"/>
        <v>0</v>
      </c>
      <c r="EF182" s="26">
        <f t="shared" si="482"/>
        <v>0</v>
      </c>
      <c r="EG182" s="26">
        <f t="shared" si="483"/>
        <v>0</v>
      </c>
      <c r="EH182" s="26">
        <f t="shared" si="484"/>
        <v>0</v>
      </c>
      <c r="EI182" s="26">
        <f t="shared" si="485"/>
        <v>0</v>
      </c>
      <c r="EJ182" s="26">
        <f t="shared" si="486"/>
        <v>0</v>
      </c>
      <c r="EL182" s="26">
        <f t="shared" si="487"/>
        <v>0</v>
      </c>
      <c r="EM182" s="26">
        <f t="shared" si="488"/>
        <v>0</v>
      </c>
      <c r="EN182" s="26">
        <f t="shared" si="489"/>
        <v>0</v>
      </c>
      <c r="EO182" s="26">
        <f t="shared" si="490"/>
        <v>0</v>
      </c>
      <c r="EP182" s="26">
        <f t="shared" si="491"/>
        <v>0</v>
      </c>
      <c r="EQ182" s="26">
        <f t="shared" si="492"/>
        <v>0</v>
      </c>
      <c r="ER182" s="26">
        <f t="shared" si="493"/>
        <v>0</v>
      </c>
      <c r="ES182" s="26">
        <f t="shared" si="494"/>
        <v>0</v>
      </c>
      <c r="ET182" s="26">
        <f t="shared" si="495"/>
        <v>0</v>
      </c>
      <c r="EV182" s="26">
        <f t="shared" si="496"/>
        <v>0</v>
      </c>
      <c r="EW182" s="26">
        <f t="shared" si="497"/>
        <v>0</v>
      </c>
      <c r="EX182" s="26">
        <f t="shared" si="498"/>
        <v>0</v>
      </c>
      <c r="EY182" s="26">
        <f t="shared" si="499"/>
        <v>0</v>
      </c>
      <c r="EZ182" s="26">
        <f t="shared" si="500"/>
        <v>0</v>
      </c>
      <c r="FA182" s="26">
        <f t="shared" si="501"/>
        <v>0</v>
      </c>
      <c r="FB182" s="26">
        <f t="shared" si="502"/>
        <v>0</v>
      </c>
      <c r="FC182" s="26">
        <f t="shared" si="503"/>
        <v>0</v>
      </c>
      <c r="FD182" s="26">
        <f t="shared" si="504"/>
        <v>0</v>
      </c>
      <c r="FF182" s="26">
        <f t="shared" si="505"/>
        <v>0</v>
      </c>
      <c r="FG182" s="26">
        <f t="shared" si="506"/>
        <v>0</v>
      </c>
      <c r="FH182" s="26">
        <f t="shared" si="507"/>
        <v>0</v>
      </c>
      <c r="FI182" s="26">
        <f t="shared" si="508"/>
        <v>0</v>
      </c>
      <c r="FJ182" s="26">
        <f t="shared" si="509"/>
        <v>0</v>
      </c>
      <c r="FK182" s="26">
        <f t="shared" si="510"/>
        <v>0</v>
      </c>
      <c r="FL182" s="26">
        <f t="shared" si="511"/>
        <v>0</v>
      </c>
      <c r="FM182" s="26">
        <f t="shared" si="512"/>
        <v>0</v>
      </c>
      <c r="FN182" s="26">
        <f t="shared" si="513"/>
        <v>0</v>
      </c>
      <c r="FP182" s="26" t="e">
        <f t="shared" si="514"/>
        <v>#REF!</v>
      </c>
      <c r="FQ182" s="26" t="e">
        <f t="shared" si="515"/>
        <v>#REF!</v>
      </c>
      <c r="FR182" s="26" t="e">
        <f t="shared" si="516"/>
        <v>#REF!</v>
      </c>
      <c r="FS182" s="26" t="e">
        <f t="shared" si="517"/>
        <v>#REF!</v>
      </c>
      <c r="FT182" s="26" t="e">
        <f t="shared" si="518"/>
        <v>#REF!</v>
      </c>
      <c r="FU182" s="26" t="e">
        <f t="shared" si="519"/>
        <v>#REF!</v>
      </c>
      <c r="FV182" s="26" t="e">
        <f t="shared" si="520"/>
        <v>#REF!</v>
      </c>
      <c r="FW182" s="26" t="e">
        <f t="shared" si="521"/>
        <v>#REF!</v>
      </c>
      <c r="FX182" s="26" t="e">
        <f t="shared" si="522"/>
        <v>#REF!</v>
      </c>
      <c r="GB182" s="26" t="e">
        <f>IF(GB$2=InputTable[[#This Row],[Delivery Date]],_xlfn.XLOOKUP(GB$1,$BH$2:$BR$2,$BH182:$BR182,0),0)</f>
        <v>#REF!</v>
      </c>
      <c r="GC182" s="26">
        <f>IF(GC$2=InputTable[[#This Row],[Delivery Date]],_xlfn.XLOOKUP(GC$1,$BH$2:$BR$2,$BH182:$BR182,0),0)</f>
        <v>0</v>
      </c>
      <c r="GD182" s="26">
        <f>IF(GD$2=InputTable[[#This Row],[Delivery Date]],_xlfn.XLOOKUP(GD$1,$BH$2:$BR$2,$BH182:$BR182,0),0)</f>
        <v>0</v>
      </c>
      <c r="GE182" s="26">
        <f>IF(GE$2=InputTable[[#This Row],[Delivery Date]],_xlfn.XLOOKUP(GE$1,$BH$2:$BR$2,$BH182:$BR182,0),0)</f>
        <v>0</v>
      </c>
      <c r="GF182" s="26">
        <f>IF(GF$2=InputTable[[#This Row],[Delivery Date]],_xlfn.XLOOKUP(GF$1,$BH$2:$BR$2,$BH182:$BR182,0),0)</f>
        <v>0</v>
      </c>
      <c r="GG182" s="26">
        <f>IF(GG$2=InputTable[[#This Row],[Delivery Date]],_xlfn.XLOOKUP(GG$1,$BH$2:$BR$2,$BH182:$BR182,0),0)</f>
        <v>0</v>
      </c>
      <c r="GH182" s="26">
        <f>IF(GH$2=InputTable[[#This Row],[Delivery Date]],_xlfn.XLOOKUP(GH$1,$BH$2:$BR$2,$BH182:$BR182,0),0)</f>
        <v>0</v>
      </c>
      <c r="GI182" s="26">
        <f>IF(GI$2=InputTable[[#This Row],[Delivery Date]],_xlfn.XLOOKUP(GI$1,$BH$2:$BR$2,$BH182:$BR182,0),0)</f>
        <v>0</v>
      </c>
      <c r="GJ182" s="26">
        <f>IF(GJ$2=InputTable[[#This Row],[Delivery Date]],_xlfn.XLOOKUP(GJ$1,$BH$2:$BR$2,$BH182:$BR182,0),0)</f>
        <v>0</v>
      </c>
      <c r="GL182" s="26" t="e">
        <f>IF(GL$2=InputTable[[#This Row],[Delivery Date]],_xlfn.XLOOKUP(GL$1,$BH$2:$BR$2,$BH182:$BR182,0),0)</f>
        <v>#REF!</v>
      </c>
      <c r="GM182" s="26">
        <f>IF(GM$2=InputTable[[#This Row],[Delivery Date]],_xlfn.XLOOKUP(GM$1,$BH$2:$BR$2,$BH182:$BR182,0),0)</f>
        <v>0</v>
      </c>
      <c r="GN182" s="26">
        <f>IF(GN$2=InputTable[[#This Row],[Delivery Date]],_xlfn.XLOOKUP(GN$1,$BH$2:$BR$2,$BH182:$BR182,0),0)</f>
        <v>0</v>
      </c>
      <c r="GO182" s="26">
        <f>IF(GO$2=InputTable[[#This Row],[Delivery Date]],_xlfn.XLOOKUP(GO$1,$BH$2:$BR$2,$BH182:$BR182,0),0)</f>
        <v>0</v>
      </c>
      <c r="GP182" s="26">
        <f>IF(GP$2=InputTable[[#This Row],[Delivery Date]],_xlfn.XLOOKUP(GP$1,$BH$2:$BR$2,$BH182:$BR182,0),0)</f>
        <v>0</v>
      </c>
      <c r="GQ182" s="26">
        <f>IF(GQ$2=InputTable[[#This Row],[Delivery Date]],_xlfn.XLOOKUP(GQ$1,$BH$2:$BR$2,$BH182:$BR182,0),0)</f>
        <v>0</v>
      </c>
      <c r="GR182" s="26">
        <f>IF(GR$2=InputTable[[#This Row],[Delivery Date]],_xlfn.XLOOKUP(GR$1,$BH$2:$BR$2,$BH182:$BR182,0),0)</f>
        <v>0</v>
      </c>
      <c r="GS182" s="26">
        <f>IF(GS$2=InputTable[[#This Row],[Delivery Date]],_xlfn.XLOOKUP(GS$1,$BH$2:$BR$2,$BH182:$BR182,0),0)</f>
        <v>0</v>
      </c>
      <c r="GT182" s="26">
        <f>IF(GT$2=InputTable[[#This Row],[Delivery Date]],_xlfn.XLOOKUP(GT$1,$BH$2:$BR$2,$BH182:$BR182,0),0)</f>
        <v>0</v>
      </c>
      <c r="GV182" s="26" t="e">
        <f>IF(GV$2=InputTable[[#This Row],[Delivery Date]],_xlfn.XLOOKUP(GV$1,$BH$2:$BR$2,$BH182:$BR182,0),0)</f>
        <v>#REF!</v>
      </c>
      <c r="GW182" s="26">
        <f>IF(GW$2=InputTable[[#This Row],[Delivery Date]],_xlfn.XLOOKUP(GW$1,$BH$2:$BR$2,$BH182:$BR182,0),0)</f>
        <v>0</v>
      </c>
      <c r="GX182" s="26">
        <f>IF(GX$2=InputTable[[#This Row],[Delivery Date]],_xlfn.XLOOKUP(GX$1,$BH$2:$BR$2,$BH182:$BR182,0),0)</f>
        <v>0</v>
      </c>
      <c r="GY182" s="26">
        <f>IF(GY$2=InputTable[[#This Row],[Delivery Date]],_xlfn.XLOOKUP(GY$1,$BH$2:$BR$2,$BH182:$BR182,0),0)</f>
        <v>0</v>
      </c>
      <c r="GZ182" s="26">
        <f>IF(GZ$2=InputTable[[#This Row],[Delivery Date]],_xlfn.XLOOKUP(GZ$1,$BH$2:$BR$2,$BH182:$BR182,0),0)</f>
        <v>0</v>
      </c>
      <c r="HA182" s="26">
        <f>IF(HA$2=InputTable[[#This Row],[Delivery Date]],_xlfn.XLOOKUP(HA$1,$BH$2:$BR$2,$BH182:$BR182,0),0)</f>
        <v>0</v>
      </c>
      <c r="HB182" s="26">
        <f>IF(HB$2=InputTable[[#This Row],[Delivery Date]],_xlfn.XLOOKUP(HB$1,$BH$2:$BR$2,$BH182:$BR182,0),0)</f>
        <v>0</v>
      </c>
      <c r="HC182" s="26">
        <f>IF(HC$2=InputTable[[#This Row],[Delivery Date]],_xlfn.XLOOKUP(HC$1,$BH$2:$BR$2,$BH182:$BR182,0),0)</f>
        <v>0</v>
      </c>
      <c r="HD182" s="26">
        <f>IF(HD$2=InputTable[[#This Row],[Delivery Date]],_xlfn.XLOOKUP(HD$1,$BH$2:$BR$2,$BH182:$BR182,0),0)</f>
        <v>0</v>
      </c>
      <c r="HF182" s="26" t="e">
        <f>IF(HF$2=InputTable[[#This Row],[Delivery Date]],_xlfn.XLOOKUP(HF$1,$BH$2:$BR$2,$BH182:$BR182,0),0)</f>
        <v>#REF!</v>
      </c>
      <c r="HG182" s="26">
        <f>IF(HG$2=InputTable[[#This Row],[Delivery Date]],_xlfn.XLOOKUP(HG$1,$BH$2:$BR$2,$BH182:$BR182,0),0)</f>
        <v>0</v>
      </c>
      <c r="HH182" s="26">
        <f>IF(HH$2=InputTable[[#This Row],[Delivery Date]],_xlfn.XLOOKUP(HH$1,$BH$2:$BR$2,$BH182:$BR182,0),0)</f>
        <v>0</v>
      </c>
      <c r="HI182" s="26">
        <f>IF(HI$2=InputTable[[#This Row],[Delivery Date]],_xlfn.XLOOKUP(HI$1,$BH$2:$BR$2,$BH182:$BR182,0),0)</f>
        <v>0</v>
      </c>
      <c r="HJ182" s="26">
        <f>IF(HJ$2=InputTable[[#This Row],[Delivery Date]],_xlfn.XLOOKUP(HJ$1,$BH$2:$BR$2,$BH182:$BR182,0),0)</f>
        <v>0</v>
      </c>
      <c r="HK182" s="26">
        <f>IF(HK$2=InputTable[[#This Row],[Delivery Date]],_xlfn.XLOOKUP(HK$1,$BH$2:$BR$2,$BH182:$BR182,0),0)</f>
        <v>0</v>
      </c>
      <c r="HL182" s="26">
        <f>IF(HL$2=InputTable[[#This Row],[Delivery Date]],_xlfn.XLOOKUP(HL$1,$BH$2:$BR$2,$BH182:$BR182,0),0)</f>
        <v>0</v>
      </c>
      <c r="HM182" s="26">
        <f>IF(HM$2=InputTable[[#This Row],[Delivery Date]],_xlfn.XLOOKUP(HM$1,$BH$2:$BR$2,$BH182:$BR182,0),0)</f>
        <v>0</v>
      </c>
      <c r="HN182" s="26">
        <f>IF(HN$2=InputTable[[#This Row],[Delivery Date]],_xlfn.XLOOKUP(HN$1,$BH$2:$BR$2,$BH182:$BR182,0),0)</f>
        <v>0</v>
      </c>
      <c r="HP182" s="26" t="e">
        <f>IF(HP$2=InputTable[[#This Row],[Delivery Date]],_xlfn.XLOOKUP(HP$1,$BH$2:$BR$2,$BH182:$BR182,0),0)</f>
        <v>#REF!</v>
      </c>
      <c r="HQ182" s="26">
        <f>IF(HQ$2=InputTable[[#This Row],[Delivery Date]],_xlfn.XLOOKUP(HQ$1,$BH$2:$BR$2,$BH182:$BR182,0),0)</f>
        <v>0</v>
      </c>
      <c r="HR182" s="26">
        <f>IF(HR$2=InputTable[[#This Row],[Delivery Date]],_xlfn.XLOOKUP(HR$1,$BH$2:$BR$2,$BH182:$BR182,0),0)</f>
        <v>0</v>
      </c>
      <c r="HS182" s="26">
        <f>IF(HS$2=InputTable[[#This Row],[Delivery Date]],_xlfn.XLOOKUP(HS$1,$BH$2:$BR$2,$BH182:$BR182,0),0)</f>
        <v>0</v>
      </c>
      <c r="HT182" s="26">
        <f>IF(HT$2=InputTable[[#This Row],[Delivery Date]],_xlfn.XLOOKUP(HT$1,$BH$2:$BR$2,$BH182:$BR182,0),0)</f>
        <v>0</v>
      </c>
      <c r="HU182" s="26">
        <f>IF(HU$2=InputTable[[#This Row],[Delivery Date]],_xlfn.XLOOKUP(HU$1,$BH$2:$BR$2,$BH182:$BR182,0),0)</f>
        <v>0</v>
      </c>
      <c r="HV182" s="26">
        <f>IF(HV$2=InputTable[[#This Row],[Delivery Date]],_xlfn.XLOOKUP(HV$1,$BH$2:$BR$2,$BH182:$BR182,0),0)</f>
        <v>0</v>
      </c>
      <c r="HW182" s="26">
        <f>IF(HW$2=InputTable[[#This Row],[Delivery Date]],_xlfn.XLOOKUP(HW$1,$BH$2:$BR$2,$BH182:$BR182,0),0)</f>
        <v>0</v>
      </c>
      <c r="HX182" s="26">
        <f>IF(HX$2=InputTable[[#This Row],[Delivery Date]],_xlfn.XLOOKUP(HX$1,$BH$2:$BR$2,$BH182:$BR182,0),0)</f>
        <v>0</v>
      </c>
      <c r="HZ182" s="26" t="e">
        <f>IF(HZ$2=InputTable[[#This Row],[Delivery Date]],_xlfn.XLOOKUP(HZ$1,$BH$2:$BR$2,$BH182:$BR182,0),0)</f>
        <v>#REF!</v>
      </c>
      <c r="IA182" s="26">
        <f>IF(IA$2=InputTable[[#This Row],[Delivery Date]],_xlfn.XLOOKUP(IA$1,$BH$2:$BR$2,$BH182:$BR182,0),0)</f>
        <v>0</v>
      </c>
      <c r="IB182" s="26">
        <f>IF(IB$2=InputTable[[#This Row],[Delivery Date]],_xlfn.XLOOKUP(IB$1,$BH$2:$BR$2,$BH182:$BR182,0),0)</f>
        <v>0</v>
      </c>
      <c r="IC182" s="26">
        <f>IF(IC$2=InputTable[[#This Row],[Delivery Date]],_xlfn.XLOOKUP(IC$1,$BH$2:$BR$2,$BH182:$BR182,0),0)</f>
        <v>0</v>
      </c>
      <c r="ID182" s="26">
        <f>IF(ID$2=InputTable[[#This Row],[Delivery Date]],_xlfn.XLOOKUP(ID$1,$BH$2:$BR$2,$BH182:$BR182,0),0)</f>
        <v>0</v>
      </c>
      <c r="IE182" s="26">
        <f>IF(IE$2=InputTable[[#This Row],[Delivery Date]],_xlfn.XLOOKUP(IE$1,$BH$2:$BR$2,$BH182:$BR182,0),0)</f>
        <v>0</v>
      </c>
      <c r="IF182" s="26">
        <f>IF(IF$2=InputTable[[#This Row],[Delivery Date]],_xlfn.XLOOKUP(IF$1,$BH$2:$BR$2,$BH182:$BR182,0),0)</f>
        <v>0</v>
      </c>
      <c r="IG182" s="26">
        <f>IF(IG$2=InputTable[[#This Row],[Delivery Date]],_xlfn.XLOOKUP(IG$1,$BH$2:$BR$2,$BH182:$BR182,0),0)</f>
        <v>0</v>
      </c>
      <c r="IH182" s="26">
        <f>IF(IH$2=InputTable[[#This Row],[Delivery Date]],_xlfn.XLOOKUP(IH$1,$BH$2:$BR$2,$BH182:$BR182,0),0)</f>
        <v>0</v>
      </c>
      <c r="IJ182" s="26" t="e">
        <f>IF(IJ$2=InputTable[[#This Row],[Delivery Date]],_xlfn.XLOOKUP(IJ$1,$BH$2:$BR$2,$BH182:$BR182,0),0)</f>
        <v>#REF!</v>
      </c>
      <c r="IK182" s="26">
        <f>IF(IK$2=InputTable[[#This Row],[Delivery Date]],_xlfn.XLOOKUP(IK$1,$BH$2:$BR$2,$BH182:$BR182,0),0)</f>
        <v>0</v>
      </c>
      <c r="IL182" s="26">
        <f>IF(IL$2=InputTable[[#This Row],[Delivery Date]],_xlfn.XLOOKUP(IL$1,$BH$2:$BR$2,$BH182:$BR182,0),0)</f>
        <v>0</v>
      </c>
      <c r="IM182" s="26">
        <f>IF(IM$2=InputTable[[#This Row],[Delivery Date]],_xlfn.XLOOKUP(IM$1,$BH$2:$BR$2,$BH182:$BR182,0),0)</f>
        <v>0</v>
      </c>
      <c r="IN182" s="26">
        <f>IF(IN$2=InputTable[[#This Row],[Delivery Date]],_xlfn.XLOOKUP(IN$1,$BH$2:$BR$2,$BH182:$BR182,0),0)</f>
        <v>0</v>
      </c>
      <c r="IO182" s="26">
        <f>IF(IO$2=InputTable[[#This Row],[Delivery Date]],_xlfn.XLOOKUP(IO$1,$BH$2:$BR$2,$BH182:$BR182,0),0)</f>
        <v>0</v>
      </c>
      <c r="IP182" s="26">
        <f>IF(IP$2=InputTable[[#This Row],[Delivery Date]],_xlfn.XLOOKUP(IP$1,$BH$2:$BR$2,$BH182:$BR182,0),0)</f>
        <v>0</v>
      </c>
      <c r="IQ182" s="26">
        <f>IF(IQ$2=InputTable[[#This Row],[Delivery Date]],_xlfn.XLOOKUP(IQ$1,$BH$2:$BR$2,$BH182:$BR182,0),0)</f>
        <v>0</v>
      </c>
      <c r="IR182" s="26">
        <f>IF(IR$2=InputTable[[#This Row],[Delivery Date]],_xlfn.XLOOKUP(IR$1,$BH$2:$BR$2,$BH182:$BR182,0),0)</f>
        <v>0</v>
      </c>
      <c r="IT182" s="26" t="e">
        <f>IF(IT$2=InputTable[[#This Row],[Delivery Date]],_xlfn.XLOOKUP(IT$1,$BH$2:$BR$2,$BH182:$BR182,0),0)</f>
        <v>#REF!</v>
      </c>
      <c r="IU182" s="26">
        <f>IF(IU$2=InputTable[[#This Row],[Delivery Date]],_xlfn.XLOOKUP(IU$1,$BH$2:$BR$2,$BH182:$BR182,0),0)</f>
        <v>0</v>
      </c>
      <c r="IV182" s="26">
        <f>IF(IV$2=InputTable[[#This Row],[Delivery Date]],_xlfn.XLOOKUP(IV$1,$BH$2:$BR$2,$BH182:$BR182,0),0)</f>
        <v>0</v>
      </c>
      <c r="IW182" s="26">
        <f>IF(IW$2=InputTable[[#This Row],[Delivery Date]],_xlfn.XLOOKUP(IW$1,$BH$2:$BR$2,$BH182:$BR182,0),0)</f>
        <v>0</v>
      </c>
      <c r="IX182" s="26">
        <f>IF(IX$2=InputTable[[#This Row],[Delivery Date]],_xlfn.XLOOKUP(IX$1,$BH$2:$BR$2,$BH182:$BR182,0),0)</f>
        <v>0</v>
      </c>
      <c r="IY182" s="26">
        <f>IF(IY$2=InputTable[[#This Row],[Delivery Date]],_xlfn.XLOOKUP(IY$1,$BH$2:$BR$2,$BH182:$BR182,0),0)</f>
        <v>0</v>
      </c>
      <c r="IZ182" s="26">
        <f>IF(IZ$2=InputTable[[#This Row],[Delivery Date]],_xlfn.XLOOKUP(IZ$1,$BH$2:$BR$2,$BH182:$BR182,0),0)</f>
        <v>0</v>
      </c>
      <c r="JA182" s="26">
        <f>IF(JA$2=InputTable[[#This Row],[Delivery Date]],_xlfn.XLOOKUP(JA$1,$BH$2:$BR$2,$BH182:$BR182,0),0)</f>
        <v>0</v>
      </c>
      <c r="JB182" s="26">
        <f>IF(JB$2=InputTable[[#This Row],[Delivery Date]],_xlfn.XLOOKUP(JB$1,$BH$2:$BR$2,$BH182:$BR182,0),0)</f>
        <v>0</v>
      </c>
      <c r="JD182" s="26" t="e">
        <f>IF(JD$2=InputTable[[#This Row],[Delivery Date]],_xlfn.XLOOKUP(JD$1,$BH$2:$BR$2,$BH182:$BR182,0),0)</f>
        <v>#REF!</v>
      </c>
      <c r="JE182" s="26">
        <f>IF(JE$2=InputTable[[#This Row],[Delivery Date]],_xlfn.XLOOKUP(JE$1,$BH$2:$BR$2,$BH182:$BR182,0),0)</f>
        <v>0</v>
      </c>
      <c r="JF182" s="26">
        <f>IF(JF$2=InputTable[[#This Row],[Delivery Date]],_xlfn.XLOOKUP(JF$1,$BH$2:$BR$2,$BH182:$BR182,0),0)</f>
        <v>0</v>
      </c>
      <c r="JG182" s="26">
        <f>IF(JG$2=InputTable[[#This Row],[Delivery Date]],_xlfn.XLOOKUP(JG$1,$BH$2:$BR$2,$BH182:$BR182,0),0)</f>
        <v>0</v>
      </c>
      <c r="JH182" s="26">
        <f>IF(JH$2=InputTable[[#This Row],[Delivery Date]],_xlfn.XLOOKUP(JH$1,$BH$2:$BR$2,$BH182:$BR182,0),0)</f>
        <v>0</v>
      </c>
      <c r="JI182" s="26">
        <f>IF(JI$2=InputTable[[#This Row],[Delivery Date]],_xlfn.XLOOKUP(JI$1,$BH$2:$BR$2,$BH182:$BR182,0),0)</f>
        <v>0</v>
      </c>
      <c r="JJ182" s="26">
        <f>IF(JJ$2=InputTable[[#This Row],[Delivery Date]],_xlfn.XLOOKUP(JJ$1,$BH$2:$BR$2,$BH182:$BR182,0),0)</f>
        <v>0</v>
      </c>
      <c r="JK182" s="26">
        <f>IF(JK$2=InputTable[[#This Row],[Delivery Date]],_xlfn.XLOOKUP(JK$1,$BH$2:$BR$2,$BH182:$BR182,0),0)</f>
        <v>0</v>
      </c>
      <c r="JL182" s="26">
        <f>IF(JL$2=InputTable[[#This Row],[Delivery Date]],_xlfn.XLOOKUP(JL$1,$BH$2:$BR$2,$BH182:$BR182,0),0)</f>
        <v>0</v>
      </c>
      <c r="JN182" s="26" t="e">
        <f>IF(JN$2=InputTable[[#This Row],[Delivery Date]],_xlfn.XLOOKUP(JN$1,$BH$2:$BR$2,$BH182:$BR182,0),0)</f>
        <v>#REF!</v>
      </c>
      <c r="JO182" s="26">
        <f>IF(JO$2=InputTable[[#This Row],[Delivery Date]],_xlfn.XLOOKUP(JO$1,$BH$2:$BR$2,$BH182:$BR182,0),0)</f>
        <v>0</v>
      </c>
      <c r="JP182" s="26">
        <f>IF(JP$2=InputTable[[#This Row],[Delivery Date]],_xlfn.XLOOKUP(JP$1,$BH$2:$BR$2,$BH182:$BR182,0),0)</f>
        <v>0</v>
      </c>
      <c r="JQ182" s="26">
        <f>IF(JQ$2=InputTable[[#This Row],[Delivery Date]],_xlfn.XLOOKUP(JQ$1,$BH$2:$BR$2,$BH182:$BR182,0),0)</f>
        <v>0</v>
      </c>
      <c r="JR182" s="26">
        <f>IF(JR$2=InputTable[[#This Row],[Delivery Date]],_xlfn.XLOOKUP(JR$1,$BH$2:$BR$2,$BH182:$BR182,0),0)</f>
        <v>0</v>
      </c>
      <c r="JS182" s="26">
        <f>IF(JS$2=InputTable[[#This Row],[Delivery Date]],_xlfn.XLOOKUP(JS$1,$BH$2:$BR$2,$BH182:$BR182,0),0)</f>
        <v>0</v>
      </c>
      <c r="JT182" s="26">
        <f>IF(JT$2=InputTable[[#This Row],[Delivery Date]],_xlfn.XLOOKUP(JT$1,$BH$2:$BR$2,$BH182:$BR182,0),0)</f>
        <v>0</v>
      </c>
      <c r="JU182" s="26">
        <f>IF(JU$2=InputTable[[#This Row],[Delivery Date]],_xlfn.XLOOKUP(JU$1,$BH$2:$BR$2,$BH182:$BR182,0),0)</f>
        <v>0</v>
      </c>
      <c r="JV182" s="26">
        <f>IF(JV$2=InputTable[[#This Row],[Delivery Date]],_xlfn.XLOOKUP(JV$1,$BH$2:$BR$2,$BH182:$BR182,0),0)</f>
        <v>0</v>
      </c>
      <c r="JX182" s="26" t="e">
        <f>IF(JX$2=InputTable[[#This Row],[Delivery Date]],_xlfn.XLOOKUP(JX$1,$BH$2:$BR$2,$BH182:$BR182,0),0)</f>
        <v>#REF!</v>
      </c>
      <c r="JY182" s="26">
        <f>IF(JY$2=InputTable[[#This Row],[Delivery Date]],_xlfn.XLOOKUP(JY$1,$BH$2:$BR$2,$BH182:$BR182,0),0)</f>
        <v>0</v>
      </c>
      <c r="JZ182" s="26">
        <f>IF(JZ$2=InputTable[[#This Row],[Delivery Date]],_xlfn.XLOOKUP(JZ$1,$BH$2:$BR$2,$BH182:$BR182,0),0)</f>
        <v>0</v>
      </c>
      <c r="KA182" s="26">
        <f>IF(KA$2=InputTable[[#This Row],[Delivery Date]],_xlfn.XLOOKUP(KA$1,$BH$2:$BR$2,$BH182:$BR182,0),0)</f>
        <v>0</v>
      </c>
      <c r="KB182" s="26">
        <f>IF(KB$2=InputTable[[#This Row],[Delivery Date]],_xlfn.XLOOKUP(KB$1,$BH$2:$BR$2,$BH182:$BR182,0),0)</f>
        <v>0</v>
      </c>
      <c r="KC182" s="26">
        <f>IF(KC$2=InputTable[[#This Row],[Delivery Date]],_xlfn.XLOOKUP(KC$1,$BH$2:$BR$2,$BH182:$BR182,0),0)</f>
        <v>0</v>
      </c>
      <c r="KD182" s="26">
        <f>IF(KD$2=InputTable[[#This Row],[Delivery Date]],_xlfn.XLOOKUP(KD$1,$BH$2:$BR$2,$BH182:$BR182,0),0)</f>
        <v>0</v>
      </c>
      <c r="KE182" s="26">
        <f>IF(KE$2=InputTable[[#This Row],[Delivery Date]],_xlfn.XLOOKUP(KE$1,$BH$2:$BR$2,$BH182:$BR182,0),0)</f>
        <v>0</v>
      </c>
      <c r="KF182" s="26">
        <f>IF(KF$2=InputTable[[#This Row],[Delivery Date]],_xlfn.XLOOKUP(KF$1,$BH$2:$BR$2,$BH182:$BR182,0),0)</f>
        <v>0</v>
      </c>
    </row>
    <row r="183" spans="1:292" ht="34.799999999999997" x14ac:dyDescent="0.25">
      <c r="A183" s="125"/>
      <c r="B183" s="118"/>
      <c r="C183" s="92"/>
      <c r="D183" s="92"/>
      <c r="E183" s="103"/>
      <c r="F183" s="104"/>
      <c r="G183" s="104"/>
      <c r="H183" s="104"/>
      <c r="I183" s="104"/>
      <c r="J183" s="105"/>
      <c r="K183" s="95" t="e">
        <f>VLOOKUP((InputTable[[#This Row],[Starting Date]]&amp; " - " &amp;InputTable[[#This Row],[Delivery Date]]),'System List'!$F$40:$H$83,2,FALSE)</f>
        <v>#N/A</v>
      </c>
      <c r="L183" s="95" t="e">
        <f>VLOOKUP(InputTable[[#This Row],[Duration]],Duration,2,FALSE)</f>
        <v>#N/A</v>
      </c>
      <c r="M183" s="105"/>
      <c r="N183" s="104"/>
      <c r="O183" s="104"/>
      <c r="P183" s="104"/>
      <c r="Q183" s="104"/>
      <c r="R183" s="104"/>
      <c r="S183" s="92"/>
      <c r="T183" s="95"/>
      <c r="U183" s="138"/>
      <c r="V183" s="104"/>
      <c r="W183" s="104"/>
      <c r="X183" s="104"/>
      <c r="Y183" s="104"/>
      <c r="Z183" s="104"/>
      <c r="AA183" s="104"/>
      <c r="AB183" s="104"/>
      <c r="AC183" s="104"/>
      <c r="AD183" s="92">
        <f>COUNTA(InputTable[[#This Row],[CORPHRFIN]:[SALES]])</f>
        <v>0</v>
      </c>
      <c r="AE183" s="88" cm="1">
        <f t="array" ref="AE183">SUM(
_xlfn.XLOOKUP(InputTable[[#This Row],[CORPHRFIN]:[SALES]],'System List'!$F$4:$F$7,'System List'!$H$4:$H$7,0))</f>
        <v>0</v>
      </c>
      <c r="AF183" s="140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88" cm="1">
        <f t="array" ref="AR183">SUM(
_xlfn.XLOOKUP(InputTable[[#This Row],[Impact on - CIAL]:[Impact on - STRAT]],'System List'!$F$4:$F$7,'System List'!$H$4:$H$7,0))</f>
        <v>0</v>
      </c>
      <c r="AS183" s="88" t="e">
        <f>VLOOKUP(InputTable[[#This Row],[Duration]],Duration,2,FALSE)+InputTable[[#This Row],[Resource Score]]</f>
        <v>#N/A</v>
      </c>
      <c r="AT18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3" s="24" t="e">
        <f>InputTable[[#This Row],[Value Score]]/InputTable[[#This Row],[EFFORT SCORE]]*100</f>
        <v>#N/A</v>
      </c>
      <c r="AV183" s="25" t="s">
        <v>474</v>
      </c>
      <c r="AW183" s="25"/>
      <c r="AX183" s="144"/>
      <c r="AY183" s="25"/>
      <c r="AZ183" s="189">
        <v>0</v>
      </c>
      <c r="BA183" s="189">
        <v>0</v>
      </c>
      <c r="BB183" s="189"/>
      <c r="BC183" s="189"/>
      <c r="BD183" s="188"/>
      <c r="BE183" s="188"/>
      <c r="BF183" s="70"/>
      <c r="BH183" s="2">
        <f>IFERROR(VLOOKUP(InputTable[[#This Row],[Impact on - CIAL]],'System List'!$F$4:$H$7,3,FALSE),0)</f>
        <v>0</v>
      </c>
      <c r="BI183" s="2">
        <f>IFERROR(VLOOKUP(InputTable[[#This Row],[Impact on - COM]],'System List'!$F$4:$H$7,3,FALSE),0)</f>
        <v>0</v>
      </c>
      <c r="BJ183" s="2">
        <f>IFERROR(VLOOKUP(InputTable[[#This Row],[Impact on - FIN]],'System List'!$F$4:$H$7,3,FALSE),0)</f>
        <v>0</v>
      </c>
      <c r="BK183" s="2">
        <f>IFERROR(VLOOKUP(InputTable[[#This Row],[Impact on - GEN SEC]],'System List'!$F$4:$H$7,3,FALSE),0)</f>
        <v>0</v>
      </c>
      <c r="BL183" s="2">
        <f>IFERROR(VLOOKUP(InputTable[[#This Row],[Impact on - HR]],'System List'!$F$4:$H$7,3,FALSE),0)</f>
        <v>0</v>
      </c>
      <c r="BM183" s="2">
        <f>IFERROR(VLOOKUP(InputTable[[#This Row],[Impact on - IS]],'System List'!$F$4:$H$7,3,FALSE),0)</f>
        <v>0</v>
      </c>
      <c r="BN183" s="2">
        <f>IFERROR(VLOOKUP(InputTable[[#This Row],[Impact on - OPS]],'System List'!$F$4:$H$7,3,FALSE),0)</f>
        <v>0</v>
      </c>
      <c r="BO183" s="2">
        <f>IFERROR(VLOOKUP(InputTable[[#This Row],[Impact on - ROLL STOCK]],'System List'!$F$4:$H$7,3,FALSE),0)</f>
        <v>0</v>
      </c>
      <c r="BP183" s="2">
        <f>IFERROR(VLOOKUP(InputTable[[#This Row],[Impact on - SAFETY]],'System List'!$F$4:$H$7,3,FALSE),0)</f>
        <v>0</v>
      </c>
      <c r="BQ183" s="2">
        <f>IFERROR(VLOOKUP(InputTable[[#This Row],[Impact on - STATION]],'System List'!$F$4:$H$7,3,FALSE),0)</f>
        <v>0</v>
      </c>
      <c r="BR183" s="2">
        <f>IFERROR(VLOOKUP(InputTable[[#This Row],[Impact on - STRAT]],'System List'!$F$4:$H$7,3,FALSE),0)</f>
        <v>0</v>
      </c>
      <c r="BT183" s="2">
        <f>IFERROR(VLOOKUP(InputTable[[#This Row],[CORPHRFIN]],'System List'!$F$4:$H$7,3,FALSE),0)</f>
        <v>0</v>
      </c>
      <c r="BU183" s="2">
        <f>IFERROR(VLOOKUP(InputTable[[#This Row],[CUST]],'System List'!$F$4:$H$7,3,FALSE),0)</f>
        <v>0</v>
      </c>
      <c r="BV183" s="2">
        <f>IFERROR(VLOOKUP(InputTable[[#This Row],[CYBER]],'System List'!$F$4:$H$7,3,FALSE),0)</f>
        <v>0</v>
      </c>
      <c r="BW183" s="2">
        <f>IFERROR(VLOOKUP(InputTable[[#This Row],[DATA]],'System List'!$F$4:$H$7,3,FALSE),0)</f>
        <v>0</v>
      </c>
      <c r="BX183" s="2">
        <f>IFERROR(VLOOKUP(InputTable[[#This Row],[INFRA]],'System List'!$F$4:$H$7,3,FALSE),0)</f>
        <v>0</v>
      </c>
      <c r="BY183" s="2">
        <f>IFERROR(VLOOKUP(InputTable[[#This Row],[OPERATIONS]],'System List'!$F$4:$H$7,3,FALSE),0)</f>
        <v>0</v>
      </c>
      <c r="BZ183" s="2">
        <f>IFERROR(VLOOKUP(InputTable[[#This Row],[PMO]],'System List'!$F$4:$H$7,3,FALSE),0)</f>
        <v>0</v>
      </c>
      <c r="CA183" s="2">
        <f>IFERROR(VLOOKUP(InputTable[[#This Row],[SALES]],'System List'!$F$4:$H$7,3,FALSE),0)</f>
        <v>0</v>
      </c>
      <c r="CC183" s="2" cm="1">
        <f t="array" ref="CC18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3" s="2" cm="1">
        <f t="array" ref="CD18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3" s="2" cm="1">
        <f t="array" ref="CE18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3" s="2" cm="1">
        <f t="array" ref="CF18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3" s="2" cm="1">
        <f t="array" ref="CG18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3" s="2" cm="1">
        <f t="array" ref="CH18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3" s="2" cm="1">
        <f t="array" ref="CI18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3" s="2" cm="1">
        <f t="array" ref="CJ18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3" s="2" cm="1">
        <f t="array" ref="CK18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3" s="26">
        <f t="shared" si="451"/>
        <v>0</v>
      </c>
      <c r="CY183" s="26">
        <f t="shared" si="452"/>
        <v>0</v>
      </c>
      <c r="CZ183" s="26">
        <f t="shared" si="453"/>
        <v>0</v>
      </c>
      <c r="DA183" s="26">
        <f t="shared" si="454"/>
        <v>0</v>
      </c>
      <c r="DB183" s="26">
        <f t="shared" si="455"/>
        <v>0</v>
      </c>
      <c r="DC183" s="26">
        <f t="shared" si="456"/>
        <v>0</v>
      </c>
      <c r="DD183" s="26">
        <f t="shared" si="457"/>
        <v>0</v>
      </c>
      <c r="DE183" s="26">
        <f t="shared" si="458"/>
        <v>0</v>
      </c>
      <c r="DF183" s="26">
        <f t="shared" si="459"/>
        <v>0</v>
      </c>
      <c r="DH183" s="26">
        <f t="shared" si="460"/>
        <v>0</v>
      </c>
      <c r="DI183" s="26">
        <f t="shared" si="461"/>
        <v>0</v>
      </c>
      <c r="DJ183" s="26">
        <f t="shared" si="462"/>
        <v>0</v>
      </c>
      <c r="DK183" s="26">
        <f t="shared" si="463"/>
        <v>0</v>
      </c>
      <c r="DL183" s="26">
        <f t="shared" si="464"/>
        <v>0</v>
      </c>
      <c r="DM183" s="26">
        <f t="shared" si="465"/>
        <v>0</v>
      </c>
      <c r="DN183" s="26">
        <f t="shared" si="466"/>
        <v>0</v>
      </c>
      <c r="DO183" s="26">
        <f t="shared" si="467"/>
        <v>0</v>
      </c>
      <c r="DP183" s="26">
        <f t="shared" si="468"/>
        <v>0</v>
      </c>
      <c r="DR183" s="26">
        <f t="shared" si="469"/>
        <v>0</v>
      </c>
      <c r="DS183" s="26">
        <f t="shared" si="470"/>
        <v>0</v>
      </c>
      <c r="DT183" s="26">
        <f t="shared" si="471"/>
        <v>0</v>
      </c>
      <c r="DU183" s="26">
        <f t="shared" si="472"/>
        <v>0</v>
      </c>
      <c r="DV183" s="26">
        <f t="shared" si="473"/>
        <v>0</v>
      </c>
      <c r="DW183" s="26">
        <f t="shared" si="474"/>
        <v>0</v>
      </c>
      <c r="DX183" s="26">
        <f t="shared" si="475"/>
        <v>0</v>
      </c>
      <c r="DY183" s="26">
        <f t="shared" si="476"/>
        <v>0</v>
      </c>
      <c r="DZ183" s="26">
        <f t="shared" si="477"/>
        <v>0</v>
      </c>
      <c r="EB183" s="26">
        <f t="shared" si="478"/>
        <v>0</v>
      </c>
      <c r="EC183" s="26">
        <f t="shared" si="479"/>
        <v>0</v>
      </c>
      <c r="ED183" s="26">
        <f t="shared" si="480"/>
        <v>0</v>
      </c>
      <c r="EE183" s="26">
        <f t="shared" si="481"/>
        <v>0</v>
      </c>
      <c r="EF183" s="26">
        <f t="shared" si="482"/>
        <v>0</v>
      </c>
      <c r="EG183" s="26">
        <f t="shared" si="483"/>
        <v>0</v>
      </c>
      <c r="EH183" s="26">
        <f t="shared" si="484"/>
        <v>0</v>
      </c>
      <c r="EI183" s="26">
        <f t="shared" si="485"/>
        <v>0</v>
      </c>
      <c r="EJ183" s="26">
        <f t="shared" si="486"/>
        <v>0</v>
      </c>
      <c r="EL183" s="26">
        <f t="shared" si="487"/>
        <v>0</v>
      </c>
      <c r="EM183" s="26">
        <f t="shared" si="488"/>
        <v>0</v>
      </c>
      <c r="EN183" s="26">
        <f t="shared" si="489"/>
        <v>0</v>
      </c>
      <c r="EO183" s="26">
        <f t="shared" si="490"/>
        <v>0</v>
      </c>
      <c r="EP183" s="26">
        <f t="shared" si="491"/>
        <v>0</v>
      </c>
      <c r="EQ183" s="26">
        <f t="shared" si="492"/>
        <v>0</v>
      </c>
      <c r="ER183" s="26">
        <f t="shared" si="493"/>
        <v>0</v>
      </c>
      <c r="ES183" s="26">
        <f t="shared" si="494"/>
        <v>0</v>
      </c>
      <c r="ET183" s="26">
        <f t="shared" si="495"/>
        <v>0</v>
      </c>
      <c r="EV183" s="26">
        <f t="shared" si="496"/>
        <v>0</v>
      </c>
      <c r="EW183" s="26">
        <f t="shared" si="497"/>
        <v>0</v>
      </c>
      <c r="EX183" s="26">
        <f t="shared" si="498"/>
        <v>0</v>
      </c>
      <c r="EY183" s="26">
        <f t="shared" si="499"/>
        <v>0</v>
      </c>
      <c r="EZ183" s="26">
        <f t="shared" si="500"/>
        <v>0</v>
      </c>
      <c r="FA183" s="26">
        <f t="shared" si="501"/>
        <v>0</v>
      </c>
      <c r="FB183" s="26">
        <f t="shared" si="502"/>
        <v>0</v>
      </c>
      <c r="FC183" s="26">
        <f t="shared" si="503"/>
        <v>0</v>
      </c>
      <c r="FD183" s="26">
        <f t="shared" si="504"/>
        <v>0</v>
      </c>
      <c r="FF183" s="26">
        <f t="shared" si="505"/>
        <v>0</v>
      </c>
      <c r="FG183" s="26">
        <f t="shared" si="506"/>
        <v>0</v>
      </c>
      <c r="FH183" s="26">
        <f t="shared" si="507"/>
        <v>0</v>
      </c>
      <c r="FI183" s="26">
        <f t="shared" si="508"/>
        <v>0</v>
      </c>
      <c r="FJ183" s="26">
        <f t="shared" si="509"/>
        <v>0</v>
      </c>
      <c r="FK183" s="26">
        <f t="shared" si="510"/>
        <v>0</v>
      </c>
      <c r="FL183" s="26">
        <f t="shared" si="511"/>
        <v>0</v>
      </c>
      <c r="FM183" s="26">
        <f t="shared" si="512"/>
        <v>0</v>
      </c>
      <c r="FN183" s="26">
        <f t="shared" si="513"/>
        <v>0</v>
      </c>
      <c r="FP183" s="26" t="e">
        <f t="shared" si="514"/>
        <v>#REF!</v>
      </c>
      <c r="FQ183" s="26" t="e">
        <f t="shared" si="515"/>
        <v>#REF!</v>
      </c>
      <c r="FR183" s="26" t="e">
        <f t="shared" si="516"/>
        <v>#REF!</v>
      </c>
      <c r="FS183" s="26" t="e">
        <f t="shared" si="517"/>
        <v>#REF!</v>
      </c>
      <c r="FT183" s="26" t="e">
        <f t="shared" si="518"/>
        <v>#REF!</v>
      </c>
      <c r="FU183" s="26" t="e">
        <f t="shared" si="519"/>
        <v>#REF!</v>
      </c>
      <c r="FV183" s="26" t="e">
        <f t="shared" si="520"/>
        <v>#REF!</v>
      </c>
      <c r="FW183" s="26" t="e">
        <f t="shared" si="521"/>
        <v>#REF!</v>
      </c>
      <c r="FX183" s="26" t="e">
        <f t="shared" si="522"/>
        <v>#REF!</v>
      </c>
      <c r="GB183" s="26" t="e">
        <f>IF(GB$2=InputTable[[#This Row],[Delivery Date]],_xlfn.XLOOKUP(GB$1,$BH$2:$BR$2,$BH183:$BR183,0),0)</f>
        <v>#REF!</v>
      </c>
      <c r="GC183" s="26">
        <f>IF(GC$2=InputTable[[#This Row],[Delivery Date]],_xlfn.XLOOKUP(GC$1,$BH$2:$BR$2,$BH183:$BR183,0),0)</f>
        <v>0</v>
      </c>
      <c r="GD183" s="26">
        <f>IF(GD$2=InputTable[[#This Row],[Delivery Date]],_xlfn.XLOOKUP(GD$1,$BH$2:$BR$2,$BH183:$BR183,0),0)</f>
        <v>0</v>
      </c>
      <c r="GE183" s="26">
        <f>IF(GE$2=InputTable[[#This Row],[Delivery Date]],_xlfn.XLOOKUP(GE$1,$BH$2:$BR$2,$BH183:$BR183,0),0)</f>
        <v>0</v>
      </c>
      <c r="GF183" s="26">
        <f>IF(GF$2=InputTable[[#This Row],[Delivery Date]],_xlfn.XLOOKUP(GF$1,$BH$2:$BR$2,$BH183:$BR183,0),0)</f>
        <v>0</v>
      </c>
      <c r="GG183" s="26">
        <f>IF(GG$2=InputTable[[#This Row],[Delivery Date]],_xlfn.XLOOKUP(GG$1,$BH$2:$BR$2,$BH183:$BR183,0),0)</f>
        <v>0</v>
      </c>
      <c r="GH183" s="26">
        <f>IF(GH$2=InputTable[[#This Row],[Delivery Date]],_xlfn.XLOOKUP(GH$1,$BH$2:$BR$2,$BH183:$BR183,0),0)</f>
        <v>0</v>
      </c>
      <c r="GI183" s="26">
        <f>IF(GI$2=InputTable[[#This Row],[Delivery Date]],_xlfn.XLOOKUP(GI$1,$BH$2:$BR$2,$BH183:$BR183,0),0)</f>
        <v>0</v>
      </c>
      <c r="GJ183" s="26">
        <f>IF(GJ$2=InputTable[[#This Row],[Delivery Date]],_xlfn.XLOOKUP(GJ$1,$BH$2:$BR$2,$BH183:$BR183,0),0)</f>
        <v>0</v>
      </c>
      <c r="GL183" s="26" t="e">
        <f>IF(GL$2=InputTable[[#This Row],[Delivery Date]],_xlfn.XLOOKUP(GL$1,$BH$2:$BR$2,$BH183:$BR183,0),0)</f>
        <v>#REF!</v>
      </c>
      <c r="GM183" s="26">
        <f>IF(GM$2=InputTable[[#This Row],[Delivery Date]],_xlfn.XLOOKUP(GM$1,$BH$2:$BR$2,$BH183:$BR183,0),0)</f>
        <v>0</v>
      </c>
      <c r="GN183" s="26">
        <f>IF(GN$2=InputTable[[#This Row],[Delivery Date]],_xlfn.XLOOKUP(GN$1,$BH$2:$BR$2,$BH183:$BR183,0),0)</f>
        <v>0</v>
      </c>
      <c r="GO183" s="26">
        <f>IF(GO$2=InputTable[[#This Row],[Delivery Date]],_xlfn.XLOOKUP(GO$1,$BH$2:$BR$2,$BH183:$BR183,0),0)</f>
        <v>0</v>
      </c>
      <c r="GP183" s="26">
        <f>IF(GP$2=InputTable[[#This Row],[Delivery Date]],_xlfn.XLOOKUP(GP$1,$BH$2:$BR$2,$BH183:$BR183,0),0)</f>
        <v>0</v>
      </c>
      <c r="GQ183" s="26">
        <f>IF(GQ$2=InputTable[[#This Row],[Delivery Date]],_xlfn.XLOOKUP(GQ$1,$BH$2:$BR$2,$BH183:$BR183,0),0)</f>
        <v>0</v>
      </c>
      <c r="GR183" s="26">
        <f>IF(GR$2=InputTable[[#This Row],[Delivery Date]],_xlfn.XLOOKUP(GR$1,$BH$2:$BR$2,$BH183:$BR183,0),0)</f>
        <v>0</v>
      </c>
      <c r="GS183" s="26">
        <f>IF(GS$2=InputTable[[#This Row],[Delivery Date]],_xlfn.XLOOKUP(GS$1,$BH$2:$BR$2,$BH183:$BR183,0),0)</f>
        <v>0</v>
      </c>
      <c r="GT183" s="26">
        <f>IF(GT$2=InputTable[[#This Row],[Delivery Date]],_xlfn.XLOOKUP(GT$1,$BH$2:$BR$2,$BH183:$BR183,0),0)</f>
        <v>0</v>
      </c>
      <c r="GV183" s="26" t="e">
        <f>IF(GV$2=InputTable[[#This Row],[Delivery Date]],_xlfn.XLOOKUP(GV$1,$BH$2:$BR$2,$BH183:$BR183,0),0)</f>
        <v>#REF!</v>
      </c>
      <c r="GW183" s="26">
        <f>IF(GW$2=InputTable[[#This Row],[Delivery Date]],_xlfn.XLOOKUP(GW$1,$BH$2:$BR$2,$BH183:$BR183,0),0)</f>
        <v>0</v>
      </c>
      <c r="GX183" s="26">
        <f>IF(GX$2=InputTable[[#This Row],[Delivery Date]],_xlfn.XLOOKUP(GX$1,$BH$2:$BR$2,$BH183:$BR183,0),0)</f>
        <v>0</v>
      </c>
      <c r="GY183" s="26">
        <f>IF(GY$2=InputTable[[#This Row],[Delivery Date]],_xlfn.XLOOKUP(GY$1,$BH$2:$BR$2,$BH183:$BR183,0),0)</f>
        <v>0</v>
      </c>
      <c r="GZ183" s="26">
        <f>IF(GZ$2=InputTable[[#This Row],[Delivery Date]],_xlfn.XLOOKUP(GZ$1,$BH$2:$BR$2,$BH183:$BR183,0),0)</f>
        <v>0</v>
      </c>
      <c r="HA183" s="26">
        <f>IF(HA$2=InputTable[[#This Row],[Delivery Date]],_xlfn.XLOOKUP(HA$1,$BH$2:$BR$2,$BH183:$BR183,0),0)</f>
        <v>0</v>
      </c>
      <c r="HB183" s="26">
        <f>IF(HB$2=InputTable[[#This Row],[Delivery Date]],_xlfn.XLOOKUP(HB$1,$BH$2:$BR$2,$BH183:$BR183,0),0)</f>
        <v>0</v>
      </c>
      <c r="HC183" s="26">
        <f>IF(HC$2=InputTable[[#This Row],[Delivery Date]],_xlfn.XLOOKUP(HC$1,$BH$2:$BR$2,$BH183:$BR183,0),0)</f>
        <v>0</v>
      </c>
      <c r="HD183" s="26">
        <f>IF(HD$2=InputTable[[#This Row],[Delivery Date]],_xlfn.XLOOKUP(HD$1,$BH$2:$BR$2,$BH183:$BR183,0),0)</f>
        <v>0</v>
      </c>
      <c r="HF183" s="26" t="e">
        <f>IF(HF$2=InputTable[[#This Row],[Delivery Date]],_xlfn.XLOOKUP(HF$1,$BH$2:$BR$2,$BH183:$BR183,0),0)</f>
        <v>#REF!</v>
      </c>
      <c r="HG183" s="26">
        <f>IF(HG$2=InputTable[[#This Row],[Delivery Date]],_xlfn.XLOOKUP(HG$1,$BH$2:$BR$2,$BH183:$BR183,0),0)</f>
        <v>0</v>
      </c>
      <c r="HH183" s="26">
        <f>IF(HH$2=InputTable[[#This Row],[Delivery Date]],_xlfn.XLOOKUP(HH$1,$BH$2:$BR$2,$BH183:$BR183,0),0)</f>
        <v>0</v>
      </c>
      <c r="HI183" s="26">
        <f>IF(HI$2=InputTable[[#This Row],[Delivery Date]],_xlfn.XLOOKUP(HI$1,$BH$2:$BR$2,$BH183:$BR183,0),0)</f>
        <v>0</v>
      </c>
      <c r="HJ183" s="26">
        <f>IF(HJ$2=InputTable[[#This Row],[Delivery Date]],_xlfn.XLOOKUP(HJ$1,$BH$2:$BR$2,$BH183:$BR183,0),0)</f>
        <v>0</v>
      </c>
      <c r="HK183" s="26">
        <f>IF(HK$2=InputTable[[#This Row],[Delivery Date]],_xlfn.XLOOKUP(HK$1,$BH$2:$BR$2,$BH183:$BR183,0),0)</f>
        <v>0</v>
      </c>
      <c r="HL183" s="26">
        <f>IF(HL$2=InputTable[[#This Row],[Delivery Date]],_xlfn.XLOOKUP(HL$1,$BH$2:$BR$2,$BH183:$BR183,0),0)</f>
        <v>0</v>
      </c>
      <c r="HM183" s="26">
        <f>IF(HM$2=InputTable[[#This Row],[Delivery Date]],_xlfn.XLOOKUP(HM$1,$BH$2:$BR$2,$BH183:$BR183,0),0)</f>
        <v>0</v>
      </c>
      <c r="HN183" s="26">
        <f>IF(HN$2=InputTable[[#This Row],[Delivery Date]],_xlfn.XLOOKUP(HN$1,$BH$2:$BR$2,$BH183:$BR183,0),0)</f>
        <v>0</v>
      </c>
      <c r="HP183" s="26" t="e">
        <f>IF(HP$2=InputTable[[#This Row],[Delivery Date]],_xlfn.XLOOKUP(HP$1,$BH$2:$BR$2,$BH183:$BR183,0),0)</f>
        <v>#REF!</v>
      </c>
      <c r="HQ183" s="26">
        <f>IF(HQ$2=InputTable[[#This Row],[Delivery Date]],_xlfn.XLOOKUP(HQ$1,$BH$2:$BR$2,$BH183:$BR183,0),0)</f>
        <v>0</v>
      </c>
      <c r="HR183" s="26">
        <f>IF(HR$2=InputTable[[#This Row],[Delivery Date]],_xlfn.XLOOKUP(HR$1,$BH$2:$BR$2,$BH183:$BR183,0),0)</f>
        <v>0</v>
      </c>
      <c r="HS183" s="26">
        <f>IF(HS$2=InputTable[[#This Row],[Delivery Date]],_xlfn.XLOOKUP(HS$1,$BH$2:$BR$2,$BH183:$BR183,0),0)</f>
        <v>0</v>
      </c>
      <c r="HT183" s="26">
        <f>IF(HT$2=InputTable[[#This Row],[Delivery Date]],_xlfn.XLOOKUP(HT$1,$BH$2:$BR$2,$BH183:$BR183,0),0)</f>
        <v>0</v>
      </c>
      <c r="HU183" s="26">
        <f>IF(HU$2=InputTable[[#This Row],[Delivery Date]],_xlfn.XLOOKUP(HU$1,$BH$2:$BR$2,$BH183:$BR183,0),0)</f>
        <v>0</v>
      </c>
      <c r="HV183" s="26">
        <f>IF(HV$2=InputTable[[#This Row],[Delivery Date]],_xlfn.XLOOKUP(HV$1,$BH$2:$BR$2,$BH183:$BR183,0),0)</f>
        <v>0</v>
      </c>
      <c r="HW183" s="26">
        <f>IF(HW$2=InputTable[[#This Row],[Delivery Date]],_xlfn.XLOOKUP(HW$1,$BH$2:$BR$2,$BH183:$BR183,0),0)</f>
        <v>0</v>
      </c>
      <c r="HX183" s="26">
        <f>IF(HX$2=InputTable[[#This Row],[Delivery Date]],_xlfn.XLOOKUP(HX$1,$BH$2:$BR$2,$BH183:$BR183,0),0)</f>
        <v>0</v>
      </c>
      <c r="HZ183" s="26" t="e">
        <f>IF(HZ$2=InputTable[[#This Row],[Delivery Date]],_xlfn.XLOOKUP(HZ$1,$BH$2:$BR$2,$BH183:$BR183,0),0)</f>
        <v>#REF!</v>
      </c>
      <c r="IA183" s="26">
        <f>IF(IA$2=InputTable[[#This Row],[Delivery Date]],_xlfn.XLOOKUP(IA$1,$BH$2:$BR$2,$BH183:$BR183,0),0)</f>
        <v>0</v>
      </c>
      <c r="IB183" s="26">
        <f>IF(IB$2=InputTable[[#This Row],[Delivery Date]],_xlfn.XLOOKUP(IB$1,$BH$2:$BR$2,$BH183:$BR183,0),0)</f>
        <v>0</v>
      </c>
      <c r="IC183" s="26">
        <f>IF(IC$2=InputTable[[#This Row],[Delivery Date]],_xlfn.XLOOKUP(IC$1,$BH$2:$BR$2,$BH183:$BR183,0),0)</f>
        <v>0</v>
      </c>
      <c r="ID183" s="26">
        <f>IF(ID$2=InputTable[[#This Row],[Delivery Date]],_xlfn.XLOOKUP(ID$1,$BH$2:$BR$2,$BH183:$BR183,0),0)</f>
        <v>0</v>
      </c>
      <c r="IE183" s="26">
        <f>IF(IE$2=InputTable[[#This Row],[Delivery Date]],_xlfn.XLOOKUP(IE$1,$BH$2:$BR$2,$BH183:$BR183,0),0)</f>
        <v>0</v>
      </c>
      <c r="IF183" s="26">
        <f>IF(IF$2=InputTable[[#This Row],[Delivery Date]],_xlfn.XLOOKUP(IF$1,$BH$2:$BR$2,$BH183:$BR183,0),0)</f>
        <v>0</v>
      </c>
      <c r="IG183" s="26">
        <f>IF(IG$2=InputTable[[#This Row],[Delivery Date]],_xlfn.XLOOKUP(IG$1,$BH$2:$BR$2,$BH183:$BR183,0),0)</f>
        <v>0</v>
      </c>
      <c r="IH183" s="26">
        <f>IF(IH$2=InputTable[[#This Row],[Delivery Date]],_xlfn.XLOOKUP(IH$1,$BH$2:$BR$2,$BH183:$BR183,0),0)</f>
        <v>0</v>
      </c>
      <c r="IJ183" s="26" t="e">
        <f>IF(IJ$2=InputTable[[#This Row],[Delivery Date]],_xlfn.XLOOKUP(IJ$1,$BH$2:$BR$2,$BH183:$BR183,0),0)</f>
        <v>#REF!</v>
      </c>
      <c r="IK183" s="26">
        <f>IF(IK$2=InputTable[[#This Row],[Delivery Date]],_xlfn.XLOOKUP(IK$1,$BH$2:$BR$2,$BH183:$BR183,0),0)</f>
        <v>0</v>
      </c>
      <c r="IL183" s="26">
        <f>IF(IL$2=InputTable[[#This Row],[Delivery Date]],_xlfn.XLOOKUP(IL$1,$BH$2:$BR$2,$BH183:$BR183,0),0)</f>
        <v>0</v>
      </c>
      <c r="IM183" s="26">
        <f>IF(IM$2=InputTable[[#This Row],[Delivery Date]],_xlfn.XLOOKUP(IM$1,$BH$2:$BR$2,$BH183:$BR183,0),0)</f>
        <v>0</v>
      </c>
      <c r="IN183" s="26">
        <f>IF(IN$2=InputTable[[#This Row],[Delivery Date]],_xlfn.XLOOKUP(IN$1,$BH$2:$BR$2,$BH183:$BR183,0),0)</f>
        <v>0</v>
      </c>
      <c r="IO183" s="26">
        <f>IF(IO$2=InputTable[[#This Row],[Delivery Date]],_xlfn.XLOOKUP(IO$1,$BH$2:$BR$2,$BH183:$BR183,0),0)</f>
        <v>0</v>
      </c>
      <c r="IP183" s="26">
        <f>IF(IP$2=InputTable[[#This Row],[Delivery Date]],_xlfn.XLOOKUP(IP$1,$BH$2:$BR$2,$BH183:$BR183,0),0)</f>
        <v>0</v>
      </c>
      <c r="IQ183" s="26">
        <f>IF(IQ$2=InputTable[[#This Row],[Delivery Date]],_xlfn.XLOOKUP(IQ$1,$BH$2:$BR$2,$BH183:$BR183,0),0)</f>
        <v>0</v>
      </c>
      <c r="IR183" s="26">
        <f>IF(IR$2=InputTable[[#This Row],[Delivery Date]],_xlfn.XLOOKUP(IR$1,$BH$2:$BR$2,$BH183:$BR183,0),0)</f>
        <v>0</v>
      </c>
      <c r="IT183" s="26" t="e">
        <f>IF(IT$2=InputTable[[#This Row],[Delivery Date]],_xlfn.XLOOKUP(IT$1,$BH$2:$BR$2,$BH183:$BR183,0),0)</f>
        <v>#REF!</v>
      </c>
      <c r="IU183" s="26">
        <f>IF(IU$2=InputTable[[#This Row],[Delivery Date]],_xlfn.XLOOKUP(IU$1,$BH$2:$BR$2,$BH183:$BR183,0),0)</f>
        <v>0</v>
      </c>
      <c r="IV183" s="26">
        <f>IF(IV$2=InputTable[[#This Row],[Delivery Date]],_xlfn.XLOOKUP(IV$1,$BH$2:$BR$2,$BH183:$BR183,0),0)</f>
        <v>0</v>
      </c>
      <c r="IW183" s="26">
        <f>IF(IW$2=InputTable[[#This Row],[Delivery Date]],_xlfn.XLOOKUP(IW$1,$BH$2:$BR$2,$BH183:$BR183,0),0)</f>
        <v>0</v>
      </c>
      <c r="IX183" s="26">
        <f>IF(IX$2=InputTable[[#This Row],[Delivery Date]],_xlfn.XLOOKUP(IX$1,$BH$2:$BR$2,$BH183:$BR183,0),0)</f>
        <v>0</v>
      </c>
      <c r="IY183" s="26">
        <f>IF(IY$2=InputTable[[#This Row],[Delivery Date]],_xlfn.XLOOKUP(IY$1,$BH$2:$BR$2,$BH183:$BR183,0),0)</f>
        <v>0</v>
      </c>
      <c r="IZ183" s="26">
        <f>IF(IZ$2=InputTable[[#This Row],[Delivery Date]],_xlfn.XLOOKUP(IZ$1,$BH$2:$BR$2,$BH183:$BR183,0),0)</f>
        <v>0</v>
      </c>
      <c r="JA183" s="26">
        <f>IF(JA$2=InputTable[[#This Row],[Delivery Date]],_xlfn.XLOOKUP(JA$1,$BH$2:$BR$2,$BH183:$BR183,0),0)</f>
        <v>0</v>
      </c>
      <c r="JB183" s="26">
        <f>IF(JB$2=InputTable[[#This Row],[Delivery Date]],_xlfn.XLOOKUP(JB$1,$BH$2:$BR$2,$BH183:$BR183,0),0)</f>
        <v>0</v>
      </c>
      <c r="JD183" s="26" t="e">
        <f>IF(JD$2=InputTable[[#This Row],[Delivery Date]],_xlfn.XLOOKUP(JD$1,$BH$2:$BR$2,$BH183:$BR183,0),0)</f>
        <v>#REF!</v>
      </c>
      <c r="JE183" s="26">
        <f>IF(JE$2=InputTable[[#This Row],[Delivery Date]],_xlfn.XLOOKUP(JE$1,$BH$2:$BR$2,$BH183:$BR183,0),0)</f>
        <v>0</v>
      </c>
      <c r="JF183" s="26">
        <f>IF(JF$2=InputTable[[#This Row],[Delivery Date]],_xlfn.XLOOKUP(JF$1,$BH$2:$BR$2,$BH183:$BR183,0),0)</f>
        <v>0</v>
      </c>
      <c r="JG183" s="26">
        <f>IF(JG$2=InputTable[[#This Row],[Delivery Date]],_xlfn.XLOOKUP(JG$1,$BH$2:$BR$2,$BH183:$BR183,0),0)</f>
        <v>0</v>
      </c>
      <c r="JH183" s="26">
        <f>IF(JH$2=InputTable[[#This Row],[Delivery Date]],_xlfn.XLOOKUP(JH$1,$BH$2:$BR$2,$BH183:$BR183,0),0)</f>
        <v>0</v>
      </c>
      <c r="JI183" s="26">
        <f>IF(JI$2=InputTable[[#This Row],[Delivery Date]],_xlfn.XLOOKUP(JI$1,$BH$2:$BR$2,$BH183:$BR183,0),0)</f>
        <v>0</v>
      </c>
      <c r="JJ183" s="26">
        <f>IF(JJ$2=InputTable[[#This Row],[Delivery Date]],_xlfn.XLOOKUP(JJ$1,$BH$2:$BR$2,$BH183:$BR183,0),0)</f>
        <v>0</v>
      </c>
      <c r="JK183" s="26">
        <f>IF(JK$2=InputTable[[#This Row],[Delivery Date]],_xlfn.XLOOKUP(JK$1,$BH$2:$BR$2,$BH183:$BR183,0),0)</f>
        <v>0</v>
      </c>
      <c r="JL183" s="26">
        <f>IF(JL$2=InputTable[[#This Row],[Delivery Date]],_xlfn.XLOOKUP(JL$1,$BH$2:$BR$2,$BH183:$BR183,0),0)</f>
        <v>0</v>
      </c>
      <c r="JN183" s="26" t="e">
        <f>IF(JN$2=InputTable[[#This Row],[Delivery Date]],_xlfn.XLOOKUP(JN$1,$BH$2:$BR$2,$BH183:$BR183,0),0)</f>
        <v>#REF!</v>
      </c>
      <c r="JO183" s="26">
        <f>IF(JO$2=InputTable[[#This Row],[Delivery Date]],_xlfn.XLOOKUP(JO$1,$BH$2:$BR$2,$BH183:$BR183,0),0)</f>
        <v>0</v>
      </c>
      <c r="JP183" s="26">
        <f>IF(JP$2=InputTable[[#This Row],[Delivery Date]],_xlfn.XLOOKUP(JP$1,$BH$2:$BR$2,$BH183:$BR183,0),0)</f>
        <v>0</v>
      </c>
      <c r="JQ183" s="26">
        <f>IF(JQ$2=InputTable[[#This Row],[Delivery Date]],_xlfn.XLOOKUP(JQ$1,$BH$2:$BR$2,$BH183:$BR183,0),0)</f>
        <v>0</v>
      </c>
      <c r="JR183" s="26">
        <f>IF(JR$2=InputTable[[#This Row],[Delivery Date]],_xlfn.XLOOKUP(JR$1,$BH$2:$BR$2,$BH183:$BR183,0),0)</f>
        <v>0</v>
      </c>
      <c r="JS183" s="26">
        <f>IF(JS$2=InputTable[[#This Row],[Delivery Date]],_xlfn.XLOOKUP(JS$1,$BH$2:$BR$2,$BH183:$BR183,0),0)</f>
        <v>0</v>
      </c>
      <c r="JT183" s="26">
        <f>IF(JT$2=InputTable[[#This Row],[Delivery Date]],_xlfn.XLOOKUP(JT$1,$BH$2:$BR$2,$BH183:$BR183,0),0)</f>
        <v>0</v>
      </c>
      <c r="JU183" s="26">
        <f>IF(JU$2=InputTable[[#This Row],[Delivery Date]],_xlfn.XLOOKUP(JU$1,$BH$2:$BR$2,$BH183:$BR183,0),0)</f>
        <v>0</v>
      </c>
      <c r="JV183" s="26">
        <f>IF(JV$2=InputTable[[#This Row],[Delivery Date]],_xlfn.XLOOKUP(JV$1,$BH$2:$BR$2,$BH183:$BR183,0),0)</f>
        <v>0</v>
      </c>
      <c r="JX183" s="26" t="e">
        <f>IF(JX$2=InputTable[[#This Row],[Delivery Date]],_xlfn.XLOOKUP(JX$1,$BH$2:$BR$2,$BH183:$BR183,0),0)</f>
        <v>#REF!</v>
      </c>
      <c r="JY183" s="26">
        <f>IF(JY$2=InputTable[[#This Row],[Delivery Date]],_xlfn.XLOOKUP(JY$1,$BH$2:$BR$2,$BH183:$BR183,0),0)</f>
        <v>0</v>
      </c>
      <c r="JZ183" s="26">
        <f>IF(JZ$2=InputTable[[#This Row],[Delivery Date]],_xlfn.XLOOKUP(JZ$1,$BH$2:$BR$2,$BH183:$BR183,0),0)</f>
        <v>0</v>
      </c>
      <c r="KA183" s="26">
        <f>IF(KA$2=InputTable[[#This Row],[Delivery Date]],_xlfn.XLOOKUP(KA$1,$BH$2:$BR$2,$BH183:$BR183,0),0)</f>
        <v>0</v>
      </c>
      <c r="KB183" s="26">
        <f>IF(KB$2=InputTable[[#This Row],[Delivery Date]],_xlfn.XLOOKUP(KB$1,$BH$2:$BR$2,$BH183:$BR183,0),0)</f>
        <v>0</v>
      </c>
      <c r="KC183" s="26">
        <f>IF(KC$2=InputTable[[#This Row],[Delivery Date]],_xlfn.XLOOKUP(KC$1,$BH$2:$BR$2,$BH183:$BR183,0),0)</f>
        <v>0</v>
      </c>
      <c r="KD183" s="26">
        <f>IF(KD$2=InputTable[[#This Row],[Delivery Date]],_xlfn.XLOOKUP(KD$1,$BH$2:$BR$2,$BH183:$BR183,0),0)</f>
        <v>0</v>
      </c>
      <c r="KE183" s="26">
        <f>IF(KE$2=InputTable[[#This Row],[Delivery Date]],_xlfn.XLOOKUP(KE$1,$BH$2:$BR$2,$BH183:$BR183,0),0)</f>
        <v>0</v>
      </c>
      <c r="KF183" s="26">
        <f>IF(KF$2=InputTable[[#This Row],[Delivery Date]],_xlfn.XLOOKUP(KF$1,$BH$2:$BR$2,$BH183:$BR183,0),0)</f>
        <v>0</v>
      </c>
    </row>
    <row r="184" spans="1:292" ht="34.799999999999997" x14ac:dyDescent="0.25">
      <c r="A184" s="125"/>
      <c r="B184" s="118"/>
      <c r="C184" s="92"/>
      <c r="D184" s="92"/>
      <c r="E184" s="103"/>
      <c r="F184" s="104"/>
      <c r="G184" s="104"/>
      <c r="H184" s="104"/>
      <c r="I184" s="104"/>
      <c r="J184" s="105"/>
      <c r="K184" s="95" t="e">
        <f>VLOOKUP((InputTable[[#This Row],[Starting Date]]&amp; " - " &amp;InputTable[[#This Row],[Delivery Date]]),'System List'!$F$40:$H$83,2,FALSE)</f>
        <v>#N/A</v>
      </c>
      <c r="L184" s="95" t="e">
        <f>VLOOKUP(InputTable[[#This Row],[Duration]],Duration,2,FALSE)</f>
        <v>#N/A</v>
      </c>
      <c r="M184" s="105"/>
      <c r="N184" s="104"/>
      <c r="O184" s="104"/>
      <c r="P184" s="104"/>
      <c r="Q184" s="104"/>
      <c r="R184" s="104"/>
      <c r="S184" s="92"/>
      <c r="T184" s="95"/>
      <c r="U184" s="138"/>
      <c r="V184" s="104"/>
      <c r="W184" s="104"/>
      <c r="X184" s="104"/>
      <c r="Y184" s="104"/>
      <c r="Z184" s="104"/>
      <c r="AA184" s="104"/>
      <c r="AB184" s="104"/>
      <c r="AC184" s="104"/>
      <c r="AD184" s="92">
        <f>COUNTA(InputTable[[#This Row],[CORPHRFIN]:[SALES]])</f>
        <v>0</v>
      </c>
      <c r="AE184" s="88" cm="1">
        <f t="array" ref="AE184">SUM(
_xlfn.XLOOKUP(InputTable[[#This Row],[CORPHRFIN]:[SALES]],'System List'!$F$4:$F$7,'System List'!$H$4:$H$7,0))</f>
        <v>0</v>
      </c>
      <c r="AF184" s="140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88" cm="1">
        <f t="array" ref="AR184">SUM(
_xlfn.XLOOKUP(InputTable[[#This Row],[Impact on - CIAL]:[Impact on - STRAT]],'System List'!$F$4:$F$7,'System List'!$H$4:$H$7,0))</f>
        <v>0</v>
      </c>
      <c r="AS184" s="88" t="e">
        <f>VLOOKUP(InputTable[[#This Row],[Duration]],Duration,2,FALSE)+InputTable[[#This Row],[Resource Score]]</f>
        <v>#N/A</v>
      </c>
      <c r="AT18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4" s="24" t="e">
        <f>InputTable[[#This Row],[Value Score]]/InputTable[[#This Row],[EFFORT SCORE]]*100</f>
        <v>#N/A</v>
      </c>
      <c r="AV184" s="25" t="s">
        <v>475</v>
      </c>
      <c r="AW184" s="25"/>
      <c r="AX184" s="144"/>
      <c r="AY184" s="25"/>
      <c r="AZ184" s="189">
        <v>0</v>
      </c>
      <c r="BA184" s="189">
        <v>0</v>
      </c>
      <c r="BB184" s="189"/>
      <c r="BC184" s="189"/>
      <c r="BD184" s="188"/>
      <c r="BE184" s="188"/>
      <c r="BF184" s="70"/>
      <c r="BH184" s="2">
        <f>IFERROR(VLOOKUP(InputTable[[#This Row],[Impact on - CIAL]],'System List'!$F$4:$H$7,3,FALSE),0)</f>
        <v>0</v>
      </c>
      <c r="BI184" s="2">
        <f>IFERROR(VLOOKUP(InputTable[[#This Row],[Impact on - COM]],'System List'!$F$4:$H$7,3,FALSE),0)</f>
        <v>0</v>
      </c>
      <c r="BJ184" s="2">
        <f>IFERROR(VLOOKUP(InputTable[[#This Row],[Impact on - FIN]],'System List'!$F$4:$H$7,3,FALSE),0)</f>
        <v>0</v>
      </c>
      <c r="BK184" s="2">
        <f>IFERROR(VLOOKUP(InputTable[[#This Row],[Impact on - GEN SEC]],'System List'!$F$4:$H$7,3,FALSE),0)</f>
        <v>0</v>
      </c>
      <c r="BL184" s="2">
        <f>IFERROR(VLOOKUP(InputTable[[#This Row],[Impact on - HR]],'System List'!$F$4:$H$7,3,FALSE),0)</f>
        <v>0</v>
      </c>
      <c r="BM184" s="2">
        <f>IFERROR(VLOOKUP(InputTable[[#This Row],[Impact on - IS]],'System List'!$F$4:$H$7,3,FALSE),0)</f>
        <v>0</v>
      </c>
      <c r="BN184" s="2">
        <f>IFERROR(VLOOKUP(InputTable[[#This Row],[Impact on - OPS]],'System List'!$F$4:$H$7,3,FALSE),0)</f>
        <v>0</v>
      </c>
      <c r="BO184" s="2">
        <f>IFERROR(VLOOKUP(InputTable[[#This Row],[Impact on - ROLL STOCK]],'System List'!$F$4:$H$7,3,FALSE),0)</f>
        <v>0</v>
      </c>
      <c r="BP184" s="2">
        <f>IFERROR(VLOOKUP(InputTable[[#This Row],[Impact on - SAFETY]],'System List'!$F$4:$H$7,3,FALSE),0)</f>
        <v>0</v>
      </c>
      <c r="BQ184" s="2">
        <f>IFERROR(VLOOKUP(InputTable[[#This Row],[Impact on - STATION]],'System List'!$F$4:$H$7,3,FALSE),0)</f>
        <v>0</v>
      </c>
      <c r="BR184" s="2">
        <f>IFERROR(VLOOKUP(InputTable[[#This Row],[Impact on - STRAT]],'System List'!$F$4:$H$7,3,FALSE),0)</f>
        <v>0</v>
      </c>
      <c r="BT184" s="2">
        <f>IFERROR(VLOOKUP(InputTable[[#This Row],[CORPHRFIN]],'System List'!$F$4:$H$7,3,FALSE),0)</f>
        <v>0</v>
      </c>
      <c r="BU184" s="2">
        <f>IFERROR(VLOOKUP(InputTable[[#This Row],[CUST]],'System List'!$F$4:$H$7,3,FALSE),0)</f>
        <v>0</v>
      </c>
      <c r="BV184" s="2">
        <f>IFERROR(VLOOKUP(InputTable[[#This Row],[CYBER]],'System List'!$F$4:$H$7,3,FALSE),0)</f>
        <v>0</v>
      </c>
      <c r="BW184" s="2">
        <f>IFERROR(VLOOKUP(InputTable[[#This Row],[DATA]],'System List'!$F$4:$H$7,3,FALSE),0)</f>
        <v>0</v>
      </c>
      <c r="BX184" s="2">
        <f>IFERROR(VLOOKUP(InputTable[[#This Row],[INFRA]],'System List'!$F$4:$H$7,3,FALSE),0)</f>
        <v>0</v>
      </c>
      <c r="BY184" s="2">
        <f>IFERROR(VLOOKUP(InputTable[[#This Row],[OPERATIONS]],'System List'!$F$4:$H$7,3,FALSE),0)</f>
        <v>0</v>
      </c>
      <c r="BZ184" s="2">
        <f>IFERROR(VLOOKUP(InputTable[[#This Row],[PMO]],'System List'!$F$4:$H$7,3,FALSE),0)</f>
        <v>0</v>
      </c>
      <c r="CA184" s="2">
        <f>IFERROR(VLOOKUP(InputTable[[#This Row],[SALES]],'System List'!$F$4:$H$7,3,FALSE),0)</f>
        <v>0</v>
      </c>
      <c r="CC184" s="2" cm="1">
        <f t="array" ref="CC18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4" s="2" cm="1">
        <f t="array" ref="CD18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4" s="2" cm="1">
        <f t="array" ref="CE18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4" s="2" cm="1">
        <f t="array" ref="CF18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4" s="2" cm="1">
        <f t="array" ref="CG18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4" s="2" cm="1">
        <f t="array" ref="CH18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4" s="2" cm="1">
        <f t="array" ref="CI18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4" s="2" cm="1">
        <f t="array" ref="CJ18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4" s="2" cm="1">
        <f t="array" ref="CK18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4" s="26">
        <f t="shared" si="451"/>
        <v>0</v>
      </c>
      <c r="CY184" s="26">
        <f t="shared" si="452"/>
        <v>0</v>
      </c>
      <c r="CZ184" s="26">
        <f t="shared" si="453"/>
        <v>0</v>
      </c>
      <c r="DA184" s="26">
        <f t="shared" si="454"/>
        <v>0</v>
      </c>
      <c r="DB184" s="26">
        <f t="shared" si="455"/>
        <v>0</v>
      </c>
      <c r="DC184" s="26">
        <f t="shared" si="456"/>
        <v>0</v>
      </c>
      <c r="DD184" s="26">
        <f t="shared" si="457"/>
        <v>0</v>
      </c>
      <c r="DE184" s="26">
        <f t="shared" si="458"/>
        <v>0</v>
      </c>
      <c r="DF184" s="26">
        <f t="shared" si="459"/>
        <v>0</v>
      </c>
      <c r="DH184" s="26">
        <f t="shared" si="460"/>
        <v>0</v>
      </c>
      <c r="DI184" s="26">
        <f t="shared" si="461"/>
        <v>0</v>
      </c>
      <c r="DJ184" s="26">
        <f t="shared" si="462"/>
        <v>0</v>
      </c>
      <c r="DK184" s="26">
        <f t="shared" si="463"/>
        <v>0</v>
      </c>
      <c r="DL184" s="26">
        <f t="shared" si="464"/>
        <v>0</v>
      </c>
      <c r="DM184" s="26">
        <f t="shared" si="465"/>
        <v>0</v>
      </c>
      <c r="DN184" s="26">
        <f t="shared" si="466"/>
        <v>0</v>
      </c>
      <c r="DO184" s="26">
        <f t="shared" si="467"/>
        <v>0</v>
      </c>
      <c r="DP184" s="26">
        <f t="shared" si="468"/>
        <v>0</v>
      </c>
      <c r="DR184" s="26">
        <f t="shared" si="469"/>
        <v>0</v>
      </c>
      <c r="DS184" s="26">
        <f t="shared" si="470"/>
        <v>0</v>
      </c>
      <c r="DT184" s="26">
        <f t="shared" si="471"/>
        <v>0</v>
      </c>
      <c r="DU184" s="26">
        <f t="shared" si="472"/>
        <v>0</v>
      </c>
      <c r="DV184" s="26">
        <f t="shared" si="473"/>
        <v>0</v>
      </c>
      <c r="DW184" s="26">
        <f t="shared" si="474"/>
        <v>0</v>
      </c>
      <c r="DX184" s="26">
        <f t="shared" si="475"/>
        <v>0</v>
      </c>
      <c r="DY184" s="26">
        <f t="shared" si="476"/>
        <v>0</v>
      </c>
      <c r="DZ184" s="26">
        <f t="shared" si="477"/>
        <v>0</v>
      </c>
      <c r="EB184" s="26">
        <f t="shared" si="478"/>
        <v>0</v>
      </c>
      <c r="EC184" s="26">
        <f t="shared" si="479"/>
        <v>0</v>
      </c>
      <c r="ED184" s="26">
        <f t="shared" si="480"/>
        <v>0</v>
      </c>
      <c r="EE184" s="26">
        <f t="shared" si="481"/>
        <v>0</v>
      </c>
      <c r="EF184" s="26">
        <f t="shared" si="482"/>
        <v>0</v>
      </c>
      <c r="EG184" s="26">
        <f t="shared" si="483"/>
        <v>0</v>
      </c>
      <c r="EH184" s="26">
        <f t="shared" si="484"/>
        <v>0</v>
      </c>
      <c r="EI184" s="26">
        <f t="shared" si="485"/>
        <v>0</v>
      </c>
      <c r="EJ184" s="26">
        <f t="shared" si="486"/>
        <v>0</v>
      </c>
      <c r="EL184" s="26">
        <f t="shared" si="487"/>
        <v>0</v>
      </c>
      <c r="EM184" s="26">
        <f t="shared" si="488"/>
        <v>0</v>
      </c>
      <c r="EN184" s="26">
        <f t="shared" si="489"/>
        <v>0</v>
      </c>
      <c r="EO184" s="26">
        <f t="shared" si="490"/>
        <v>0</v>
      </c>
      <c r="EP184" s="26">
        <f t="shared" si="491"/>
        <v>0</v>
      </c>
      <c r="EQ184" s="26">
        <f t="shared" si="492"/>
        <v>0</v>
      </c>
      <c r="ER184" s="26">
        <f t="shared" si="493"/>
        <v>0</v>
      </c>
      <c r="ES184" s="26">
        <f t="shared" si="494"/>
        <v>0</v>
      </c>
      <c r="ET184" s="26">
        <f t="shared" si="495"/>
        <v>0</v>
      </c>
      <c r="EV184" s="26">
        <f t="shared" si="496"/>
        <v>0</v>
      </c>
      <c r="EW184" s="26">
        <f t="shared" si="497"/>
        <v>0</v>
      </c>
      <c r="EX184" s="26">
        <f t="shared" si="498"/>
        <v>0</v>
      </c>
      <c r="EY184" s="26">
        <f t="shared" si="499"/>
        <v>0</v>
      </c>
      <c r="EZ184" s="26">
        <f t="shared" si="500"/>
        <v>0</v>
      </c>
      <c r="FA184" s="26">
        <f t="shared" si="501"/>
        <v>0</v>
      </c>
      <c r="FB184" s="26">
        <f t="shared" si="502"/>
        <v>0</v>
      </c>
      <c r="FC184" s="26">
        <f t="shared" si="503"/>
        <v>0</v>
      </c>
      <c r="FD184" s="26">
        <f t="shared" si="504"/>
        <v>0</v>
      </c>
      <c r="FF184" s="26">
        <f t="shared" si="505"/>
        <v>0</v>
      </c>
      <c r="FG184" s="26">
        <f t="shared" si="506"/>
        <v>0</v>
      </c>
      <c r="FH184" s="26">
        <f t="shared" si="507"/>
        <v>0</v>
      </c>
      <c r="FI184" s="26">
        <f t="shared" si="508"/>
        <v>0</v>
      </c>
      <c r="FJ184" s="26">
        <f t="shared" si="509"/>
        <v>0</v>
      </c>
      <c r="FK184" s="26">
        <f t="shared" si="510"/>
        <v>0</v>
      </c>
      <c r="FL184" s="26">
        <f t="shared" si="511"/>
        <v>0</v>
      </c>
      <c r="FM184" s="26">
        <f t="shared" si="512"/>
        <v>0</v>
      </c>
      <c r="FN184" s="26">
        <f t="shared" si="513"/>
        <v>0</v>
      </c>
      <c r="FP184" s="26" t="e">
        <f t="shared" si="514"/>
        <v>#REF!</v>
      </c>
      <c r="FQ184" s="26" t="e">
        <f t="shared" si="515"/>
        <v>#REF!</v>
      </c>
      <c r="FR184" s="26" t="e">
        <f t="shared" si="516"/>
        <v>#REF!</v>
      </c>
      <c r="FS184" s="26" t="e">
        <f t="shared" si="517"/>
        <v>#REF!</v>
      </c>
      <c r="FT184" s="26" t="e">
        <f t="shared" si="518"/>
        <v>#REF!</v>
      </c>
      <c r="FU184" s="26" t="e">
        <f t="shared" si="519"/>
        <v>#REF!</v>
      </c>
      <c r="FV184" s="26" t="e">
        <f t="shared" si="520"/>
        <v>#REF!</v>
      </c>
      <c r="FW184" s="26" t="e">
        <f t="shared" si="521"/>
        <v>#REF!</v>
      </c>
      <c r="FX184" s="26" t="e">
        <f t="shared" si="522"/>
        <v>#REF!</v>
      </c>
      <c r="GB184" s="26" t="e">
        <f>IF(GB$2=InputTable[[#This Row],[Delivery Date]],_xlfn.XLOOKUP(GB$1,$BH$2:$BR$2,$BH184:$BR184,0),0)</f>
        <v>#REF!</v>
      </c>
      <c r="GC184" s="26">
        <f>IF(GC$2=InputTable[[#This Row],[Delivery Date]],_xlfn.XLOOKUP(GC$1,$BH$2:$BR$2,$BH184:$BR184,0),0)</f>
        <v>0</v>
      </c>
      <c r="GD184" s="26">
        <f>IF(GD$2=InputTable[[#This Row],[Delivery Date]],_xlfn.XLOOKUP(GD$1,$BH$2:$BR$2,$BH184:$BR184,0),0)</f>
        <v>0</v>
      </c>
      <c r="GE184" s="26">
        <f>IF(GE$2=InputTable[[#This Row],[Delivery Date]],_xlfn.XLOOKUP(GE$1,$BH$2:$BR$2,$BH184:$BR184,0),0)</f>
        <v>0</v>
      </c>
      <c r="GF184" s="26">
        <f>IF(GF$2=InputTable[[#This Row],[Delivery Date]],_xlfn.XLOOKUP(GF$1,$BH$2:$BR$2,$BH184:$BR184,0),0)</f>
        <v>0</v>
      </c>
      <c r="GG184" s="26">
        <f>IF(GG$2=InputTable[[#This Row],[Delivery Date]],_xlfn.XLOOKUP(GG$1,$BH$2:$BR$2,$BH184:$BR184,0),0)</f>
        <v>0</v>
      </c>
      <c r="GH184" s="26">
        <f>IF(GH$2=InputTable[[#This Row],[Delivery Date]],_xlfn.XLOOKUP(GH$1,$BH$2:$BR$2,$BH184:$BR184,0),0)</f>
        <v>0</v>
      </c>
      <c r="GI184" s="26">
        <f>IF(GI$2=InputTable[[#This Row],[Delivery Date]],_xlfn.XLOOKUP(GI$1,$BH$2:$BR$2,$BH184:$BR184,0),0)</f>
        <v>0</v>
      </c>
      <c r="GJ184" s="26">
        <f>IF(GJ$2=InputTable[[#This Row],[Delivery Date]],_xlfn.XLOOKUP(GJ$1,$BH$2:$BR$2,$BH184:$BR184,0),0)</f>
        <v>0</v>
      </c>
      <c r="GL184" s="26" t="e">
        <f>IF(GL$2=InputTable[[#This Row],[Delivery Date]],_xlfn.XLOOKUP(GL$1,$BH$2:$BR$2,$BH184:$BR184,0),0)</f>
        <v>#REF!</v>
      </c>
      <c r="GM184" s="26">
        <f>IF(GM$2=InputTable[[#This Row],[Delivery Date]],_xlfn.XLOOKUP(GM$1,$BH$2:$BR$2,$BH184:$BR184,0),0)</f>
        <v>0</v>
      </c>
      <c r="GN184" s="26">
        <f>IF(GN$2=InputTable[[#This Row],[Delivery Date]],_xlfn.XLOOKUP(GN$1,$BH$2:$BR$2,$BH184:$BR184,0),0)</f>
        <v>0</v>
      </c>
      <c r="GO184" s="26">
        <f>IF(GO$2=InputTable[[#This Row],[Delivery Date]],_xlfn.XLOOKUP(GO$1,$BH$2:$BR$2,$BH184:$BR184,0),0)</f>
        <v>0</v>
      </c>
      <c r="GP184" s="26">
        <f>IF(GP$2=InputTable[[#This Row],[Delivery Date]],_xlfn.XLOOKUP(GP$1,$BH$2:$BR$2,$BH184:$BR184,0),0)</f>
        <v>0</v>
      </c>
      <c r="GQ184" s="26">
        <f>IF(GQ$2=InputTable[[#This Row],[Delivery Date]],_xlfn.XLOOKUP(GQ$1,$BH$2:$BR$2,$BH184:$BR184,0),0)</f>
        <v>0</v>
      </c>
      <c r="GR184" s="26">
        <f>IF(GR$2=InputTable[[#This Row],[Delivery Date]],_xlfn.XLOOKUP(GR$1,$BH$2:$BR$2,$BH184:$BR184,0),0)</f>
        <v>0</v>
      </c>
      <c r="GS184" s="26">
        <f>IF(GS$2=InputTable[[#This Row],[Delivery Date]],_xlfn.XLOOKUP(GS$1,$BH$2:$BR$2,$BH184:$BR184,0),0)</f>
        <v>0</v>
      </c>
      <c r="GT184" s="26">
        <f>IF(GT$2=InputTable[[#This Row],[Delivery Date]],_xlfn.XLOOKUP(GT$1,$BH$2:$BR$2,$BH184:$BR184,0),0)</f>
        <v>0</v>
      </c>
      <c r="GV184" s="26" t="e">
        <f>IF(GV$2=InputTable[[#This Row],[Delivery Date]],_xlfn.XLOOKUP(GV$1,$BH$2:$BR$2,$BH184:$BR184,0),0)</f>
        <v>#REF!</v>
      </c>
      <c r="GW184" s="26">
        <f>IF(GW$2=InputTable[[#This Row],[Delivery Date]],_xlfn.XLOOKUP(GW$1,$BH$2:$BR$2,$BH184:$BR184,0),0)</f>
        <v>0</v>
      </c>
      <c r="GX184" s="26">
        <f>IF(GX$2=InputTable[[#This Row],[Delivery Date]],_xlfn.XLOOKUP(GX$1,$BH$2:$BR$2,$BH184:$BR184,0),0)</f>
        <v>0</v>
      </c>
      <c r="GY184" s="26">
        <f>IF(GY$2=InputTable[[#This Row],[Delivery Date]],_xlfn.XLOOKUP(GY$1,$BH$2:$BR$2,$BH184:$BR184,0),0)</f>
        <v>0</v>
      </c>
      <c r="GZ184" s="26">
        <f>IF(GZ$2=InputTable[[#This Row],[Delivery Date]],_xlfn.XLOOKUP(GZ$1,$BH$2:$BR$2,$BH184:$BR184,0),0)</f>
        <v>0</v>
      </c>
      <c r="HA184" s="26">
        <f>IF(HA$2=InputTable[[#This Row],[Delivery Date]],_xlfn.XLOOKUP(HA$1,$BH$2:$BR$2,$BH184:$BR184,0),0)</f>
        <v>0</v>
      </c>
      <c r="HB184" s="26">
        <f>IF(HB$2=InputTable[[#This Row],[Delivery Date]],_xlfn.XLOOKUP(HB$1,$BH$2:$BR$2,$BH184:$BR184,0),0)</f>
        <v>0</v>
      </c>
      <c r="HC184" s="26">
        <f>IF(HC$2=InputTable[[#This Row],[Delivery Date]],_xlfn.XLOOKUP(HC$1,$BH$2:$BR$2,$BH184:$BR184,0),0)</f>
        <v>0</v>
      </c>
      <c r="HD184" s="26">
        <f>IF(HD$2=InputTable[[#This Row],[Delivery Date]],_xlfn.XLOOKUP(HD$1,$BH$2:$BR$2,$BH184:$BR184,0),0)</f>
        <v>0</v>
      </c>
      <c r="HF184" s="26" t="e">
        <f>IF(HF$2=InputTable[[#This Row],[Delivery Date]],_xlfn.XLOOKUP(HF$1,$BH$2:$BR$2,$BH184:$BR184,0),0)</f>
        <v>#REF!</v>
      </c>
      <c r="HG184" s="26">
        <f>IF(HG$2=InputTable[[#This Row],[Delivery Date]],_xlfn.XLOOKUP(HG$1,$BH$2:$BR$2,$BH184:$BR184,0),0)</f>
        <v>0</v>
      </c>
      <c r="HH184" s="26">
        <f>IF(HH$2=InputTable[[#This Row],[Delivery Date]],_xlfn.XLOOKUP(HH$1,$BH$2:$BR$2,$BH184:$BR184,0),0)</f>
        <v>0</v>
      </c>
      <c r="HI184" s="26">
        <f>IF(HI$2=InputTable[[#This Row],[Delivery Date]],_xlfn.XLOOKUP(HI$1,$BH$2:$BR$2,$BH184:$BR184,0),0)</f>
        <v>0</v>
      </c>
      <c r="HJ184" s="26">
        <f>IF(HJ$2=InputTable[[#This Row],[Delivery Date]],_xlfn.XLOOKUP(HJ$1,$BH$2:$BR$2,$BH184:$BR184,0),0)</f>
        <v>0</v>
      </c>
      <c r="HK184" s="26">
        <f>IF(HK$2=InputTable[[#This Row],[Delivery Date]],_xlfn.XLOOKUP(HK$1,$BH$2:$BR$2,$BH184:$BR184,0),0)</f>
        <v>0</v>
      </c>
      <c r="HL184" s="26">
        <f>IF(HL$2=InputTable[[#This Row],[Delivery Date]],_xlfn.XLOOKUP(HL$1,$BH$2:$BR$2,$BH184:$BR184,0),0)</f>
        <v>0</v>
      </c>
      <c r="HM184" s="26">
        <f>IF(HM$2=InputTable[[#This Row],[Delivery Date]],_xlfn.XLOOKUP(HM$1,$BH$2:$BR$2,$BH184:$BR184,0),0)</f>
        <v>0</v>
      </c>
      <c r="HN184" s="26">
        <f>IF(HN$2=InputTable[[#This Row],[Delivery Date]],_xlfn.XLOOKUP(HN$1,$BH$2:$BR$2,$BH184:$BR184,0),0)</f>
        <v>0</v>
      </c>
      <c r="HP184" s="26" t="e">
        <f>IF(HP$2=InputTable[[#This Row],[Delivery Date]],_xlfn.XLOOKUP(HP$1,$BH$2:$BR$2,$BH184:$BR184,0),0)</f>
        <v>#REF!</v>
      </c>
      <c r="HQ184" s="26">
        <f>IF(HQ$2=InputTable[[#This Row],[Delivery Date]],_xlfn.XLOOKUP(HQ$1,$BH$2:$BR$2,$BH184:$BR184,0),0)</f>
        <v>0</v>
      </c>
      <c r="HR184" s="26">
        <f>IF(HR$2=InputTable[[#This Row],[Delivery Date]],_xlfn.XLOOKUP(HR$1,$BH$2:$BR$2,$BH184:$BR184,0),0)</f>
        <v>0</v>
      </c>
      <c r="HS184" s="26">
        <f>IF(HS$2=InputTable[[#This Row],[Delivery Date]],_xlfn.XLOOKUP(HS$1,$BH$2:$BR$2,$BH184:$BR184,0),0)</f>
        <v>0</v>
      </c>
      <c r="HT184" s="26">
        <f>IF(HT$2=InputTable[[#This Row],[Delivery Date]],_xlfn.XLOOKUP(HT$1,$BH$2:$BR$2,$BH184:$BR184,0),0)</f>
        <v>0</v>
      </c>
      <c r="HU184" s="26">
        <f>IF(HU$2=InputTable[[#This Row],[Delivery Date]],_xlfn.XLOOKUP(HU$1,$BH$2:$BR$2,$BH184:$BR184,0),0)</f>
        <v>0</v>
      </c>
      <c r="HV184" s="26">
        <f>IF(HV$2=InputTable[[#This Row],[Delivery Date]],_xlfn.XLOOKUP(HV$1,$BH$2:$BR$2,$BH184:$BR184,0),0)</f>
        <v>0</v>
      </c>
      <c r="HW184" s="26">
        <f>IF(HW$2=InputTable[[#This Row],[Delivery Date]],_xlfn.XLOOKUP(HW$1,$BH$2:$BR$2,$BH184:$BR184,0),0)</f>
        <v>0</v>
      </c>
      <c r="HX184" s="26">
        <f>IF(HX$2=InputTable[[#This Row],[Delivery Date]],_xlfn.XLOOKUP(HX$1,$BH$2:$BR$2,$BH184:$BR184,0),0)</f>
        <v>0</v>
      </c>
      <c r="HZ184" s="26" t="e">
        <f>IF(HZ$2=InputTable[[#This Row],[Delivery Date]],_xlfn.XLOOKUP(HZ$1,$BH$2:$BR$2,$BH184:$BR184,0),0)</f>
        <v>#REF!</v>
      </c>
      <c r="IA184" s="26">
        <f>IF(IA$2=InputTable[[#This Row],[Delivery Date]],_xlfn.XLOOKUP(IA$1,$BH$2:$BR$2,$BH184:$BR184,0),0)</f>
        <v>0</v>
      </c>
      <c r="IB184" s="26">
        <f>IF(IB$2=InputTable[[#This Row],[Delivery Date]],_xlfn.XLOOKUP(IB$1,$BH$2:$BR$2,$BH184:$BR184,0),0)</f>
        <v>0</v>
      </c>
      <c r="IC184" s="26">
        <f>IF(IC$2=InputTable[[#This Row],[Delivery Date]],_xlfn.XLOOKUP(IC$1,$BH$2:$BR$2,$BH184:$BR184,0),0)</f>
        <v>0</v>
      </c>
      <c r="ID184" s="26">
        <f>IF(ID$2=InputTable[[#This Row],[Delivery Date]],_xlfn.XLOOKUP(ID$1,$BH$2:$BR$2,$BH184:$BR184,0),0)</f>
        <v>0</v>
      </c>
      <c r="IE184" s="26">
        <f>IF(IE$2=InputTable[[#This Row],[Delivery Date]],_xlfn.XLOOKUP(IE$1,$BH$2:$BR$2,$BH184:$BR184,0),0)</f>
        <v>0</v>
      </c>
      <c r="IF184" s="26">
        <f>IF(IF$2=InputTable[[#This Row],[Delivery Date]],_xlfn.XLOOKUP(IF$1,$BH$2:$BR$2,$BH184:$BR184,0),0)</f>
        <v>0</v>
      </c>
      <c r="IG184" s="26">
        <f>IF(IG$2=InputTable[[#This Row],[Delivery Date]],_xlfn.XLOOKUP(IG$1,$BH$2:$BR$2,$BH184:$BR184,0),0)</f>
        <v>0</v>
      </c>
      <c r="IH184" s="26">
        <f>IF(IH$2=InputTable[[#This Row],[Delivery Date]],_xlfn.XLOOKUP(IH$1,$BH$2:$BR$2,$BH184:$BR184,0),0)</f>
        <v>0</v>
      </c>
      <c r="IJ184" s="26" t="e">
        <f>IF(IJ$2=InputTable[[#This Row],[Delivery Date]],_xlfn.XLOOKUP(IJ$1,$BH$2:$BR$2,$BH184:$BR184,0),0)</f>
        <v>#REF!</v>
      </c>
      <c r="IK184" s="26">
        <f>IF(IK$2=InputTable[[#This Row],[Delivery Date]],_xlfn.XLOOKUP(IK$1,$BH$2:$BR$2,$BH184:$BR184,0),0)</f>
        <v>0</v>
      </c>
      <c r="IL184" s="26">
        <f>IF(IL$2=InputTable[[#This Row],[Delivery Date]],_xlfn.XLOOKUP(IL$1,$BH$2:$BR$2,$BH184:$BR184,0),0)</f>
        <v>0</v>
      </c>
      <c r="IM184" s="26">
        <f>IF(IM$2=InputTable[[#This Row],[Delivery Date]],_xlfn.XLOOKUP(IM$1,$BH$2:$BR$2,$BH184:$BR184,0),0)</f>
        <v>0</v>
      </c>
      <c r="IN184" s="26">
        <f>IF(IN$2=InputTable[[#This Row],[Delivery Date]],_xlfn.XLOOKUP(IN$1,$BH$2:$BR$2,$BH184:$BR184,0),0)</f>
        <v>0</v>
      </c>
      <c r="IO184" s="26">
        <f>IF(IO$2=InputTable[[#This Row],[Delivery Date]],_xlfn.XLOOKUP(IO$1,$BH$2:$BR$2,$BH184:$BR184,0),0)</f>
        <v>0</v>
      </c>
      <c r="IP184" s="26">
        <f>IF(IP$2=InputTable[[#This Row],[Delivery Date]],_xlfn.XLOOKUP(IP$1,$BH$2:$BR$2,$BH184:$BR184,0),0)</f>
        <v>0</v>
      </c>
      <c r="IQ184" s="26">
        <f>IF(IQ$2=InputTable[[#This Row],[Delivery Date]],_xlfn.XLOOKUP(IQ$1,$BH$2:$BR$2,$BH184:$BR184,0),0)</f>
        <v>0</v>
      </c>
      <c r="IR184" s="26">
        <f>IF(IR$2=InputTable[[#This Row],[Delivery Date]],_xlfn.XLOOKUP(IR$1,$BH$2:$BR$2,$BH184:$BR184,0),0)</f>
        <v>0</v>
      </c>
      <c r="IT184" s="26" t="e">
        <f>IF(IT$2=InputTable[[#This Row],[Delivery Date]],_xlfn.XLOOKUP(IT$1,$BH$2:$BR$2,$BH184:$BR184,0),0)</f>
        <v>#REF!</v>
      </c>
      <c r="IU184" s="26">
        <f>IF(IU$2=InputTable[[#This Row],[Delivery Date]],_xlfn.XLOOKUP(IU$1,$BH$2:$BR$2,$BH184:$BR184,0),0)</f>
        <v>0</v>
      </c>
      <c r="IV184" s="26">
        <f>IF(IV$2=InputTable[[#This Row],[Delivery Date]],_xlfn.XLOOKUP(IV$1,$BH$2:$BR$2,$BH184:$BR184,0),0)</f>
        <v>0</v>
      </c>
      <c r="IW184" s="26">
        <f>IF(IW$2=InputTable[[#This Row],[Delivery Date]],_xlfn.XLOOKUP(IW$1,$BH$2:$BR$2,$BH184:$BR184,0),0)</f>
        <v>0</v>
      </c>
      <c r="IX184" s="26">
        <f>IF(IX$2=InputTable[[#This Row],[Delivery Date]],_xlfn.XLOOKUP(IX$1,$BH$2:$BR$2,$BH184:$BR184,0),0)</f>
        <v>0</v>
      </c>
      <c r="IY184" s="26">
        <f>IF(IY$2=InputTable[[#This Row],[Delivery Date]],_xlfn.XLOOKUP(IY$1,$BH$2:$BR$2,$BH184:$BR184,0),0)</f>
        <v>0</v>
      </c>
      <c r="IZ184" s="26">
        <f>IF(IZ$2=InputTable[[#This Row],[Delivery Date]],_xlfn.XLOOKUP(IZ$1,$BH$2:$BR$2,$BH184:$BR184,0),0)</f>
        <v>0</v>
      </c>
      <c r="JA184" s="26">
        <f>IF(JA$2=InputTable[[#This Row],[Delivery Date]],_xlfn.XLOOKUP(JA$1,$BH$2:$BR$2,$BH184:$BR184,0),0)</f>
        <v>0</v>
      </c>
      <c r="JB184" s="26">
        <f>IF(JB$2=InputTable[[#This Row],[Delivery Date]],_xlfn.XLOOKUP(JB$1,$BH$2:$BR$2,$BH184:$BR184,0),0)</f>
        <v>0</v>
      </c>
      <c r="JD184" s="26" t="e">
        <f>IF(JD$2=InputTable[[#This Row],[Delivery Date]],_xlfn.XLOOKUP(JD$1,$BH$2:$BR$2,$BH184:$BR184,0),0)</f>
        <v>#REF!</v>
      </c>
      <c r="JE184" s="26">
        <f>IF(JE$2=InputTable[[#This Row],[Delivery Date]],_xlfn.XLOOKUP(JE$1,$BH$2:$BR$2,$BH184:$BR184,0),0)</f>
        <v>0</v>
      </c>
      <c r="JF184" s="26">
        <f>IF(JF$2=InputTable[[#This Row],[Delivery Date]],_xlfn.XLOOKUP(JF$1,$BH$2:$BR$2,$BH184:$BR184,0),0)</f>
        <v>0</v>
      </c>
      <c r="JG184" s="26">
        <f>IF(JG$2=InputTable[[#This Row],[Delivery Date]],_xlfn.XLOOKUP(JG$1,$BH$2:$BR$2,$BH184:$BR184,0),0)</f>
        <v>0</v>
      </c>
      <c r="JH184" s="26">
        <f>IF(JH$2=InputTable[[#This Row],[Delivery Date]],_xlfn.XLOOKUP(JH$1,$BH$2:$BR$2,$BH184:$BR184,0),0)</f>
        <v>0</v>
      </c>
      <c r="JI184" s="26">
        <f>IF(JI$2=InputTable[[#This Row],[Delivery Date]],_xlfn.XLOOKUP(JI$1,$BH$2:$BR$2,$BH184:$BR184,0),0)</f>
        <v>0</v>
      </c>
      <c r="JJ184" s="26">
        <f>IF(JJ$2=InputTable[[#This Row],[Delivery Date]],_xlfn.XLOOKUP(JJ$1,$BH$2:$BR$2,$BH184:$BR184,0),0)</f>
        <v>0</v>
      </c>
      <c r="JK184" s="26">
        <f>IF(JK$2=InputTable[[#This Row],[Delivery Date]],_xlfn.XLOOKUP(JK$1,$BH$2:$BR$2,$BH184:$BR184,0),0)</f>
        <v>0</v>
      </c>
      <c r="JL184" s="26">
        <f>IF(JL$2=InputTable[[#This Row],[Delivery Date]],_xlfn.XLOOKUP(JL$1,$BH$2:$BR$2,$BH184:$BR184,0),0)</f>
        <v>0</v>
      </c>
      <c r="JN184" s="26" t="e">
        <f>IF(JN$2=InputTable[[#This Row],[Delivery Date]],_xlfn.XLOOKUP(JN$1,$BH$2:$BR$2,$BH184:$BR184,0),0)</f>
        <v>#REF!</v>
      </c>
      <c r="JO184" s="26">
        <f>IF(JO$2=InputTable[[#This Row],[Delivery Date]],_xlfn.XLOOKUP(JO$1,$BH$2:$BR$2,$BH184:$BR184,0),0)</f>
        <v>0</v>
      </c>
      <c r="JP184" s="26">
        <f>IF(JP$2=InputTable[[#This Row],[Delivery Date]],_xlfn.XLOOKUP(JP$1,$BH$2:$BR$2,$BH184:$BR184,0),0)</f>
        <v>0</v>
      </c>
      <c r="JQ184" s="26">
        <f>IF(JQ$2=InputTable[[#This Row],[Delivery Date]],_xlfn.XLOOKUP(JQ$1,$BH$2:$BR$2,$BH184:$BR184,0),0)</f>
        <v>0</v>
      </c>
      <c r="JR184" s="26">
        <f>IF(JR$2=InputTable[[#This Row],[Delivery Date]],_xlfn.XLOOKUP(JR$1,$BH$2:$BR$2,$BH184:$BR184,0),0)</f>
        <v>0</v>
      </c>
      <c r="JS184" s="26">
        <f>IF(JS$2=InputTable[[#This Row],[Delivery Date]],_xlfn.XLOOKUP(JS$1,$BH$2:$BR$2,$BH184:$BR184,0),0)</f>
        <v>0</v>
      </c>
      <c r="JT184" s="26">
        <f>IF(JT$2=InputTable[[#This Row],[Delivery Date]],_xlfn.XLOOKUP(JT$1,$BH$2:$BR$2,$BH184:$BR184,0),0)</f>
        <v>0</v>
      </c>
      <c r="JU184" s="26">
        <f>IF(JU$2=InputTable[[#This Row],[Delivery Date]],_xlfn.XLOOKUP(JU$1,$BH$2:$BR$2,$BH184:$BR184,0),0)</f>
        <v>0</v>
      </c>
      <c r="JV184" s="26">
        <f>IF(JV$2=InputTable[[#This Row],[Delivery Date]],_xlfn.XLOOKUP(JV$1,$BH$2:$BR$2,$BH184:$BR184,0),0)</f>
        <v>0</v>
      </c>
      <c r="JX184" s="26" t="e">
        <f>IF(JX$2=InputTable[[#This Row],[Delivery Date]],_xlfn.XLOOKUP(JX$1,$BH$2:$BR$2,$BH184:$BR184,0),0)</f>
        <v>#REF!</v>
      </c>
      <c r="JY184" s="26">
        <f>IF(JY$2=InputTable[[#This Row],[Delivery Date]],_xlfn.XLOOKUP(JY$1,$BH$2:$BR$2,$BH184:$BR184,0),0)</f>
        <v>0</v>
      </c>
      <c r="JZ184" s="26">
        <f>IF(JZ$2=InputTable[[#This Row],[Delivery Date]],_xlfn.XLOOKUP(JZ$1,$BH$2:$BR$2,$BH184:$BR184,0),0)</f>
        <v>0</v>
      </c>
      <c r="KA184" s="26">
        <f>IF(KA$2=InputTable[[#This Row],[Delivery Date]],_xlfn.XLOOKUP(KA$1,$BH$2:$BR$2,$BH184:$BR184,0),0)</f>
        <v>0</v>
      </c>
      <c r="KB184" s="26">
        <f>IF(KB$2=InputTable[[#This Row],[Delivery Date]],_xlfn.XLOOKUP(KB$1,$BH$2:$BR$2,$BH184:$BR184,0),0)</f>
        <v>0</v>
      </c>
      <c r="KC184" s="26">
        <f>IF(KC$2=InputTable[[#This Row],[Delivery Date]],_xlfn.XLOOKUP(KC$1,$BH$2:$BR$2,$BH184:$BR184,0),0)</f>
        <v>0</v>
      </c>
      <c r="KD184" s="26">
        <f>IF(KD$2=InputTable[[#This Row],[Delivery Date]],_xlfn.XLOOKUP(KD$1,$BH$2:$BR$2,$BH184:$BR184,0),0)</f>
        <v>0</v>
      </c>
      <c r="KE184" s="26">
        <f>IF(KE$2=InputTable[[#This Row],[Delivery Date]],_xlfn.XLOOKUP(KE$1,$BH$2:$BR$2,$BH184:$BR184,0),0)</f>
        <v>0</v>
      </c>
      <c r="KF184" s="26">
        <f>IF(KF$2=InputTable[[#This Row],[Delivery Date]],_xlfn.XLOOKUP(KF$1,$BH$2:$BR$2,$BH184:$BR184,0),0)</f>
        <v>0</v>
      </c>
    </row>
    <row r="185" spans="1:292" ht="34.799999999999997" x14ac:dyDescent="0.25">
      <c r="A185" s="125"/>
      <c r="B185" s="118"/>
      <c r="C185" s="92"/>
      <c r="D185" s="92"/>
      <c r="E185" s="103"/>
      <c r="F185" s="104"/>
      <c r="G185" s="104"/>
      <c r="H185" s="104"/>
      <c r="I185" s="104"/>
      <c r="J185" s="105"/>
      <c r="K185" s="95" t="e">
        <f>VLOOKUP((InputTable[[#This Row],[Starting Date]]&amp; " - " &amp;InputTable[[#This Row],[Delivery Date]]),'System List'!$F$40:$H$83,2,FALSE)</f>
        <v>#N/A</v>
      </c>
      <c r="L185" s="95" t="e">
        <f>VLOOKUP(InputTable[[#This Row],[Duration]],Duration,2,FALSE)</f>
        <v>#N/A</v>
      </c>
      <c r="M185" s="105"/>
      <c r="N185" s="104"/>
      <c r="O185" s="104"/>
      <c r="P185" s="104"/>
      <c r="Q185" s="104"/>
      <c r="R185" s="104"/>
      <c r="S185" s="92"/>
      <c r="T185" s="95"/>
      <c r="U185" s="138"/>
      <c r="V185" s="104"/>
      <c r="W185" s="104"/>
      <c r="X185" s="104"/>
      <c r="Y185" s="104"/>
      <c r="Z185" s="104"/>
      <c r="AA185" s="104"/>
      <c r="AB185" s="104"/>
      <c r="AC185" s="104"/>
      <c r="AD185" s="92">
        <f>COUNTA(InputTable[[#This Row],[CORPHRFIN]:[SALES]])</f>
        <v>0</v>
      </c>
      <c r="AE185" s="88" cm="1">
        <f t="array" ref="AE185">SUM(
_xlfn.XLOOKUP(InputTable[[#This Row],[CORPHRFIN]:[SALES]],'System List'!$F$4:$F$7,'System List'!$H$4:$H$7,0))</f>
        <v>0</v>
      </c>
      <c r="AF185" s="140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88" cm="1">
        <f t="array" ref="AR185">SUM(
_xlfn.XLOOKUP(InputTable[[#This Row],[Impact on - CIAL]:[Impact on - STRAT]],'System List'!$F$4:$F$7,'System List'!$H$4:$H$7,0))</f>
        <v>0</v>
      </c>
      <c r="AS185" s="88" t="e">
        <f>VLOOKUP(InputTable[[#This Row],[Duration]],Duration,2,FALSE)+InputTable[[#This Row],[Resource Score]]</f>
        <v>#N/A</v>
      </c>
      <c r="AT18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5" s="24" t="e">
        <f>InputTable[[#This Row],[Value Score]]/InputTable[[#This Row],[EFFORT SCORE]]*100</f>
        <v>#N/A</v>
      </c>
      <c r="AV185" s="25" t="s">
        <v>476</v>
      </c>
      <c r="AW185" s="25"/>
      <c r="AX185" s="144"/>
      <c r="AY185" s="25"/>
      <c r="AZ185" s="189">
        <v>0</v>
      </c>
      <c r="BA185" s="189">
        <v>0</v>
      </c>
      <c r="BB185" s="189"/>
      <c r="BC185" s="189"/>
      <c r="BD185" s="188"/>
      <c r="BE185" s="188"/>
      <c r="BF185" s="70"/>
      <c r="BH185" s="2">
        <f>IFERROR(VLOOKUP(InputTable[[#This Row],[Impact on - CIAL]],'System List'!$F$4:$H$7,3,FALSE),0)</f>
        <v>0</v>
      </c>
      <c r="BI185" s="2">
        <f>IFERROR(VLOOKUP(InputTable[[#This Row],[Impact on - COM]],'System List'!$F$4:$H$7,3,FALSE),0)</f>
        <v>0</v>
      </c>
      <c r="BJ185" s="2">
        <f>IFERROR(VLOOKUP(InputTable[[#This Row],[Impact on - FIN]],'System List'!$F$4:$H$7,3,FALSE),0)</f>
        <v>0</v>
      </c>
      <c r="BK185" s="2">
        <f>IFERROR(VLOOKUP(InputTable[[#This Row],[Impact on - GEN SEC]],'System List'!$F$4:$H$7,3,FALSE),0)</f>
        <v>0</v>
      </c>
      <c r="BL185" s="2">
        <f>IFERROR(VLOOKUP(InputTable[[#This Row],[Impact on - HR]],'System List'!$F$4:$H$7,3,FALSE),0)</f>
        <v>0</v>
      </c>
      <c r="BM185" s="2">
        <f>IFERROR(VLOOKUP(InputTable[[#This Row],[Impact on - IS]],'System List'!$F$4:$H$7,3,FALSE),0)</f>
        <v>0</v>
      </c>
      <c r="BN185" s="2">
        <f>IFERROR(VLOOKUP(InputTable[[#This Row],[Impact on - OPS]],'System List'!$F$4:$H$7,3,FALSE),0)</f>
        <v>0</v>
      </c>
      <c r="BO185" s="2">
        <f>IFERROR(VLOOKUP(InputTable[[#This Row],[Impact on - ROLL STOCK]],'System List'!$F$4:$H$7,3,FALSE),0)</f>
        <v>0</v>
      </c>
      <c r="BP185" s="2">
        <f>IFERROR(VLOOKUP(InputTable[[#This Row],[Impact on - SAFETY]],'System List'!$F$4:$H$7,3,FALSE),0)</f>
        <v>0</v>
      </c>
      <c r="BQ185" s="2">
        <f>IFERROR(VLOOKUP(InputTable[[#This Row],[Impact on - STATION]],'System List'!$F$4:$H$7,3,FALSE),0)</f>
        <v>0</v>
      </c>
      <c r="BR185" s="2">
        <f>IFERROR(VLOOKUP(InputTable[[#This Row],[Impact on - STRAT]],'System List'!$F$4:$H$7,3,FALSE),0)</f>
        <v>0</v>
      </c>
      <c r="BT185" s="2">
        <f>IFERROR(VLOOKUP(InputTable[[#This Row],[CORPHRFIN]],'System List'!$F$4:$H$7,3,FALSE),0)</f>
        <v>0</v>
      </c>
      <c r="BU185" s="2">
        <f>IFERROR(VLOOKUP(InputTable[[#This Row],[CUST]],'System List'!$F$4:$H$7,3,FALSE),0)</f>
        <v>0</v>
      </c>
      <c r="BV185" s="2">
        <f>IFERROR(VLOOKUP(InputTable[[#This Row],[CYBER]],'System List'!$F$4:$H$7,3,FALSE),0)</f>
        <v>0</v>
      </c>
      <c r="BW185" s="2">
        <f>IFERROR(VLOOKUP(InputTable[[#This Row],[DATA]],'System List'!$F$4:$H$7,3,FALSE),0)</f>
        <v>0</v>
      </c>
      <c r="BX185" s="2">
        <f>IFERROR(VLOOKUP(InputTable[[#This Row],[INFRA]],'System List'!$F$4:$H$7,3,FALSE),0)</f>
        <v>0</v>
      </c>
      <c r="BY185" s="2">
        <f>IFERROR(VLOOKUP(InputTable[[#This Row],[OPERATIONS]],'System List'!$F$4:$H$7,3,FALSE),0)</f>
        <v>0</v>
      </c>
      <c r="BZ185" s="2">
        <f>IFERROR(VLOOKUP(InputTable[[#This Row],[PMO]],'System List'!$F$4:$H$7,3,FALSE),0)</f>
        <v>0</v>
      </c>
      <c r="CA185" s="2">
        <f>IFERROR(VLOOKUP(InputTable[[#This Row],[SALES]],'System List'!$F$4:$H$7,3,FALSE),0)</f>
        <v>0</v>
      </c>
      <c r="CC185" s="2" cm="1">
        <f t="array" ref="CC18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5" s="2" cm="1">
        <f t="array" ref="CD18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5" s="2" cm="1">
        <f t="array" ref="CE18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5" s="2" cm="1">
        <f t="array" ref="CF18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5" s="2" cm="1">
        <f t="array" ref="CG18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5" s="2" cm="1">
        <f t="array" ref="CH18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5" s="2" cm="1">
        <f t="array" ref="CI18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5" s="2" cm="1">
        <f t="array" ref="CJ18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5" s="2" cm="1">
        <f t="array" ref="CK18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5" s="26">
        <f t="shared" si="451"/>
        <v>0</v>
      </c>
      <c r="CY185" s="26">
        <f t="shared" si="452"/>
        <v>0</v>
      </c>
      <c r="CZ185" s="26">
        <f t="shared" si="453"/>
        <v>0</v>
      </c>
      <c r="DA185" s="26">
        <f t="shared" si="454"/>
        <v>0</v>
      </c>
      <c r="DB185" s="26">
        <f t="shared" si="455"/>
        <v>0</v>
      </c>
      <c r="DC185" s="26">
        <f t="shared" si="456"/>
        <v>0</v>
      </c>
      <c r="DD185" s="26">
        <f t="shared" si="457"/>
        <v>0</v>
      </c>
      <c r="DE185" s="26">
        <f t="shared" si="458"/>
        <v>0</v>
      </c>
      <c r="DF185" s="26">
        <f t="shared" si="459"/>
        <v>0</v>
      </c>
      <c r="DH185" s="26">
        <f t="shared" si="460"/>
        <v>0</v>
      </c>
      <c r="DI185" s="26">
        <f t="shared" si="461"/>
        <v>0</v>
      </c>
      <c r="DJ185" s="26">
        <f t="shared" si="462"/>
        <v>0</v>
      </c>
      <c r="DK185" s="26">
        <f t="shared" si="463"/>
        <v>0</v>
      </c>
      <c r="DL185" s="26">
        <f t="shared" si="464"/>
        <v>0</v>
      </c>
      <c r="DM185" s="26">
        <f t="shared" si="465"/>
        <v>0</v>
      </c>
      <c r="DN185" s="26">
        <f t="shared" si="466"/>
        <v>0</v>
      </c>
      <c r="DO185" s="26">
        <f t="shared" si="467"/>
        <v>0</v>
      </c>
      <c r="DP185" s="26">
        <f t="shared" si="468"/>
        <v>0</v>
      </c>
      <c r="DR185" s="26">
        <f t="shared" si="469"/>
        <v>0</v>
      </c>
      <c r="DS185" s="26">
        <f t="shared" si="470"/>
        <v>0</v>
      </c>
      <c r="DT185" s="26">
        <f t="shared" si="471"/>
        <v>0</v>
      </c>
      <c r="DU185" s="26">
        <f t="shared" si="472"/>
        <v>0</v>
      </c>
      <c r="DV185" s="26">
        <f t="shared" si="473"/>
        <v>0</v>
      </c>
      <c r="DW185" s="26">
        <f t="shared" si="474"/>
        <v>0</v>
      </c>
      <c r="DX185" s="26">
        <f t="shared" si="475"/>
        <v>0</v>
      </c>
      <c r="DY185" s="26">
        <f t="shared" si="476"/>
        <v>0</v>
      </c>
      <c r="DZ185" s="26">
        <f t="shared" si="477"/>
        <v>0</v>
      </c>
      <c r="EB185" s="26">
        <f t="shared" si="478"/>
        <v>0</v>
      </c>
      <c r="EC185" s="26">
        <f t="shared" si="479"/>
        <v>0</v>
      </c>
      <c r="ED185" s="26">
        <f t="shared" si="480"/>
        <v>0</v>
      </c>
      <c r="EE185" s="26">
        <f t="shared" si="481"/>
        <v>0</v>
      </c>
      <c r="EF185" s="26">
        <f t="shared" si="482"/>
        <v>0</v>
      </c>
      <c r="EG185" s="26">
        <f t="shared" si="483"/>
        <v>0</v>
      </c>
      <c r="EH185" s="26">
        <f t="shared" si="484"/>
        <v>0</v>
      </c>
      <c r="EI185" s="26">
        <f t="shared" si="485"/>
        <v>0</v>
      </c>
      <c r="EJ185" s="26">
        <f t="shared" si="486"/>
        <v>0</v>
      </c>
      <c r="EL185" s="26">
        <f t="shared" si="487"/>
        <v>0</v>
      </c>
      <c r="EM185" s="26">
        <f t="shared" si="488"/>
        <v>0</v>
      </c>
      <c r="EN185" s="26">
        <f t="shared" si="489"/>
        <v>0</v>
      </c>
      <c r="EO185" s="26">
        <f t="shared" si="490"/>
        <v>0</v>
      </c>
      <c r="EP185" s="26">
        <f t="shared" si="491"/>
        <v>0</v>
      </c>
      <c r="EQ185" s="26">
        <f t="shared" si="492"/>
        <v>0</v>
      </c>
      <c r="ER185" s="26">
        <f t="shared" si="493"/>
        <v>0</v>
      </c>
      <c r="ES185" s="26">
        <f t="shared" si="494"/>
        <v>0</v>
      </c>
      <c r="ET185" s="26">
        <f t="shared" si="495"/>
        <v>0</v>
      </c>
      <c r="EV185" s="26">
        <f t="shared" si="496"/>
        <v>0</v>
      </c>
      <c r="EW185" s="26">
        <f t="shared" si="497"/>
        <v>0</v>
      </c>
      <c r="EX185" s="26">
        <f t="shared" si="498"/>
        <v>0</v>
      </c>
      <c r="EY185" s="26">
        <f t="shared" si="499"/>
        <v>0</v>
      </c>
      <c r="EZ185" s="26">
        <f t="shared" si="500"/>
        <v>0</v>
      </c>
      <c r="FA185" s="26">
        <f t="shared" si="501"/>
        <v>0</v>
      </c>
      <c r="FB185" s="26">
        <f t="shared" si="502"/>
        <v>0</v>
      </c>
      <c r="FC185" s="26">
        <f t="shared" si="503"/>
        <v>0</v>
      </c>
      <c r="FD185" s="26">
        <f t="shared" si="504"/>
        <v>0</v>
      </c>
      <c r="FF185" s="26">
        <f t="shared" si="505"/>
        <v>0</v>
      </c>
      <c r="FG185" s="26">
        <f t="shared" si="506"/>
        <v>0</v>
      </c>
      <c r="FH185" s="26">
        <f t="shared" si="507"/>
        <v>0</v>
      </c>
      <c r="FI185" s="26">
        <f t="shared" si="508"/>
        <v>0</v>
      </c>
      <c r="FJ185" s="26">
        <f t="shared" si="509"/>
        <v>0</v>
      </c>
      <c r="FK185" s="26">
        <f t="shared" si="510"/>
        <v>0</v>
      </c>
      <c r="FL185" s="26">
        <f t="shared" si="511"/>
        <v>0</v>
      </c>
      <c r="FM185" s="26">
        <f t="shared" si="512"/>
        <v>0</v>
      </c>
      <c r="FN185" s="26">
        <f t="shared" si="513"/>
        <v>0</v>
      </c>
      <c r="FP185" s="26" t="e">
        <f t="shared" si="514"/>
        <v>#REF!</v>
      </c>
      <c r="FQ185" s="26" t="e">
        <f t="shared" si="515"/>
        <v>#REF!</v>
      </c>
      <c r="FR185" s="26" t="e">
        <f t="shared" si="516"/>
        <v>#REF!</v>
      </c>
      <c r="FS185" s="26" t="e">
        <f t="shared" si="517"/>
        <v>#REF!</v>
      </c>
      <c r="FT185" s="26" t="e">
        <f t="shared" si="518"/>
        <v>#REF!</v>
      </c>
      <c r="FU185" s="26" t="e">
        <f t="shared" si="519"/>
        <v>#REF!</v>
      </c>
      <c r="FV185" s="26" t="e">
        <f t="shared" si="520"/>
        <v>#REF!</v>
      </c>
      <c r="FW185" s="26" t="e">
        <f t="shared" si="521"/>
        <v>#REF!</v>
      </c>
      <c r="FX185" s="26" t="e">
        <f t="shared" si="522"/>
        <v>#REF!</v>
      </c>
      <c r="GB185" s="26" t="e">
        <f>IF(GB$2=InputTable[[#This Row],[Delivery Date]],_xlfn.XLOOKUP(GB$1,$BH$2:$BR$2,$BH185:$BR185,0),0)</f>
        <v>#REF!</v>
      </c>
      <c r="GC185" s="26">
        <f>IF(GC$2=InputTable[[#This Row],[Delivery Date]],_xlfn.XLOOKUP(GC$1,$BH$2:$BR$2,$BH185:$BR185,0),0)</f>
        <v>0</v>
      </c>
      <c r="GD185" s="26">
        <f>IF(GD$2=InputTable[[#This Row],[Delivery Date]],_xlfn.XLOOKUP(GD$1,$BH$2:$BR$2,$BH185:$BR185,0),0)</f>
        <v>0</v>
      </c>
      <c r="GE185" s="26">
        <f>IF(GE$2=InputTable[[#This Row],[Delivery Date]],_xlfn.XLOOKUP(GE$1,$BH$2:$BR$2,$BH185:$BR185,0),0)</f>
        <v>0</v>
      </c>
      <c r="GF185" s="26">
        <f>IF(GF$2=InputTable[[#This Row],[Delivery Date]],_xlfn.XLOOKUP(GF$1,$BH$2:$BR$2,$BH185:$BR185,0),0)</f>
        <v>0</v>
      </c>
      <c r="GG185" s="26">
        <f>IF(GG$2=InputTable[[#This Row],[Delivery Date]],_xlfn.XLOOKUP(GG$1,$BH$2:$BR$2,$BH185:$BR185,0),0)</f>
        <v>0</v>
      </c>
      <c r="GH185" s="26">
        <f>IF(GH$2=InputTable[[#This Row],[Delivery Date]],_xlfn.XLOOKUP(GH$1,$BH$2:$BR$2,$BH185:$BR185,0),0)</f>
        <v>0</v>
      </c>
      <c r="GI185" s="26">
        <f>IF(GI$2=InputTable[[#This Row],[Delivery Date]],_xlfn.XLOOKUP(GI$1,$BH$2:$BR$2,$BH185:$BR185,0),0)</f>
        <v>0</v>
      </c>
      <c r="GJ185" s="26">
        <f>IF(GJ$2=InputTable[[#This Row],[Delivery Date]],_xlfn.XLOOKUP(GJ$1,$BH$2:$BR$2,$BH185:$BR185,0),0)</f>
        <v>0</v>
      </c>
      <c r="GL185" s="26" t="e">
        <f>IF(GL$2=InputTable[[#This Row],[Delivery Date]],_xlfn.XLOOKUP(GL$1,$BH$2:$BR$2,$BH185:$BR185,0),0)</f>
        <v>#REF!</v>
      </c>
      <c r="GM185" s="26">
        <f>IF(GM$2=InputTable[[#This Row],[Delivery Date]],_xlfn.XLOOKUP(GM$1,$BH$2:$BR$2,$BH185:$BR185,0),0)</f>
        <v>0</v>
      </c>
      <c r="GN185" s="26">
        <f>IF(GN$2=InputTable[[#This Row],[Delivery Date]],_xlfn.XLOOKUP(GN$1,$BH$2:$BR$2,$BH185:$BR185,0),0)</f>
        <v>0</v>
      </c>
      <c r="GO185" s="26">
        <f>IF(GO$2=InputTable[[#This Row],[Delivery Date]],_xlfn.XLOOKUP(GO$1,$BH$2:$BR$2,$BH185:$BR185,0),0)</f>
        <v>0</v>
      </c>
      <c r="GP185" s="26">
        <f>IF(GP$2=InputTable[[#This Row],[Delivery Date]],_xlfn.XLOOKUP(GP$1,$BH$2:$BR$2,$BH185:$BR185,0),0)</f>
        <v>0</v>
      </c>
      <c r="GQ185" s="26">
        <f>IF(GQ$2=InputTable[[#This Row],[Delivery Date]],_xlfn.XLOOKUP(GQ$1,$BH$2:$BR$2,$BH185:$BR185,0),0)</f>
        <v>0</v>
      </c>
      <c r="GR185" s="26">
        <f>IF(GR$2=InputTable[[#This Row],[Delivery Date]],_xlfn.XLOOKUP(GR$1,$BH$2:$BR$2,$BH185:$BR185,0),0)</f>
        <v>0</v>
      </c>
      <c r="GS185" s="26">
        <f>IF(GS$2=InputTable[[#This Row],[Delivery Date]],_xlfn.XLOOKUP(GS$1,$BH$2:$BR$2,$BH185:$BR185,0),0)</f>
        <v>0</v>
      </c>
      <c r="GT185" s="26">
        <f>IF(GT$2=InputTable[[#This Row],[Delivery Date]],_xlfn.XLOOKUP(GT$1,$BH$2:$BR$2,$BH185:$BR185,0),0)</f>
        <v>0</v>
      </c>
      <c r="GV185" s="26" t="e">
        <f>IF(GV$2=InputTable[[#This Row],[Delivery Date]],_xlfn.XLOOKUP(GV$1,$BH$2:$BR$2,$BH185:$BR185,0),0)</f>
        <v>#REF!</v>
      </c>
      <c r="GW185" s="26">
        <f>IF(GW$2=InputTable[[#This Row],[Delivery Date]],_xlfn.XLOOKUP(GW$1,$BH$2:$BR$2,$BH185:$BR185,0),0)</f>
        <v>0</v>
      </c>
      <c r="GX185" s="26">
        <f>IF(GX$2=InputTable[[#This Row],[Delivery Date]],_xlfn.XLOOKUP(GX$1,$BH$2:$BR$2,$BH185:$BR185,0),0)</f>
        <v>0</v>
      </c>
      <c r="GY185" s="26">
        <f>IF(GY$2=InputTable[[#This Row],[Delivery Date]],_xlfn.XLOOKUP(GY$1,$BH$2:$BR$2,$BH185:$BR185,0),0)</f>
        <v>0</v>
      </c>
      <c r="GZ185" s="26">
        <f>IF(GZ$2=InputTable[[#This Row],[Delivery Date]],_xlfn.XLOOKUP(GZ$1,$BH$2:$BR$2,$BH185:$BR185,0),0)</f>
        <v>0</v>
      </c>
      <c r="HA185" s="26">
        <f>IF(HA$2=InputTable[[#This Row],[Delivery Date]],_xlfn.XLOOKUP(HA$1,$BH$2:$BR$2,$BH185:$BR185,0),0)</f>
        <v>0</v>
      </c>
      <c r="HB185" s="26">
        <f>IF(HB$2=InputTable[[#This Row],[Delivery Date]],_xlfn.XLOOKUP(HB$1,$BH$2:$BR$2,$BH185:$BR185,0),0)</f>
        <v>0</v>
      </c>
      <c r="HC185" s="26">
        <f>IF(HC$2=InputTable[[#This Row],[Delivery Date]],_xlfn.XLOOKUP(HC$1,$BH$2:$BR$2,$BH185:$BR185,0),0)</f>
        <v>0</v>
      </c>
      <c r="HD185" s="26">
        <f>IF(HD$2=InputTable[[#This Row],[Delivery Date]],_xlfn.XLOOKUP(HD$1,$BH$2:$BR$2,$BH185:$BR185,0),0)</f>
        <v>0</v>
      </c>
      <c r="HF185" s="26" t="e">
        <f>IF(HF$2=InputTable[[#This Row],[Delivery Date]],_xlfn.XLOOKUP(HF$1,$BH$2:$BR$2,$BH185:$BR185,0),0)</f>
        <v>#REF!</v>
      </c>
      <c r="HG185" s="26">
        <f>IF(HG$2=InputTable[[#This Row],[Delivery Date]],_xlfn.XLOOKUP(HG$1,$BH$2:$BR$2,$BH185:$BR185,0),0)</f>
        <v>0</v>
      </c>
      <c r="HH185" s="26">
        <f>IF(HH$2=InputTable[[#This Row],[Delivery Date]],_xlfn.XLOOKUP(HH$1,$BH$2:$BR$2,$BH185:$BR185,0),0)</f>
        <v>0</v>
      </c>
      <c r="HI185" s="26">
        <f>IF(HI$2=InputTable[[#This Row],[Delivery Date]],_xlfn.XLOOKUP(HI$1,$BH$2:$BR$2,$BH185:$BR185,0),0)</f>
        <v>0</v>
      </c>
      <c r="HJ185" s="26">
        <f>IF(HJ$2=InputTable[[#This Row],[Delivery Date]],_xlfn.XLOOKUP(HJ$1,$BH$2:$BR$2,$BH185:$BR185,0),0)</f>
        <v>0</v>
      </c>
      <c r="HK185" s="26">
        <f>IF(HK$2=InputTable[[#This Row],[Delivery Date]],_xlfn.XLOOKUP(HK$1,$BH$2:$BR$2,$BH185:$BR185,0),0)</f>
        <v>0</v>
      </c>
      <c r="HL185" s="26">
        <f>IF(HL$2=InputTable[[#This Row],[Delivery Date]],_xlfn.XLOOKUP(HL$1,$BH$2:$BR$2,$BH185:$BR185,0),0)</f>
        <v>0</v>
      </c>
      <c r="HM185" s="26">
        <f>IF(HM$2=InputTable[[#This Row],[Delivery Date]],_xlfn.XLOOKUP(HM$1,$BH$2:$BR$2,$BH185:$BR185,0),0)</f>
        <v>0</v>
      </c>
      <c r="HN185" s="26">
        <f>IF(HN$2=InputTable[[#This Row],[Delivery Date]],_xlfn.XLOOKUP(HN$1,$BH$2:$BR$2,$BH185:$BR185,0),0)</f>
        <v>0</v>
      </c>
      <c r="HP185" s="26" t="e">
        <f>IF(HP$2=InputTable[[#This Row],[Delivery Date]],_xlfn.XLOOKUP(HP$1,$BH$2:$BR$2,$BH185:$BR185,0),0)</f>
        <v>#REF!</v>
      </c>
      <c r="HQ185" s="26">
        <f>IF(HQ$2=InputTable[[#This Row],[Delivery Date]],_xlfn.XLOOKUP(HQ$1,$BH$2:$BR$2,$BH185:$BR185,0),0)</f>
        <v>0</v>
      </c>
      <c r="HR185" s="26">
        <f>IF(HR$2=InputTable[[#This Row],[Delivery Date]],_xlfn.XLOOKUP(HR$1,$BH$2:$BR$2,$BH185:$BR185,0),0)</f>
        <v>0</v>
      </c>
      <c r="HS185" s="26">
        <f>IF(HS$2=InputTable[[#This Row],[Delivery Date]],_xlfn.XLOOKUP(HS$1,$BH$2:$BR$2,$BH185:$BR185,0),0)</f>
        <v>0</v>
      </c>
      <c r="HT185" s="26">
        <f>IF(HT$2=InputTable[[#This Row],[Delivery Date]],_xlfn.XLOOKUP(HT$1,$BH$2:$BR$2,$BH185:$BR185,0),0)</f>
        <v>0</v>
      </c>
      <c r="HU185" s="26">
        <f>IF(HU$2=InputTable[[#This Row],[Delivery Date]],_xlfn.XLOOKUP(HU$1,$BH$2:$BR$2,$BH185:$BR185,0),0)</f>
        <v>0</v>
      </c>
      <c r="HV185" s="26">
        <f>IF(HV$2=InputTable[[#This Row],[Delivery Date]],_xlfn.XLOOKUP(HV$1,$BH$2:$BR$2,$BH185:$BR185,0),0)</f>
        <v>0</v>
      </c>
      <c r="HW185" s="26">
        <f>IF(HW$2=InputTable[[#This Row],[Delivery Date]],_xlfn.XLOOKUP(HW$1,$BH$2:$BR$2,$BH185:$BR185,0),0)</f>
        <v>0</v>
      </c>
      <c r="HX185" s="26">
        <f>IF(HX$2=InputTable[[#This Row],[Delivery Date]],_xlfn.XLOOKUP(HX$1,$BH$2:$BR$2,$BH185:$BR185,0),0)</f>
        <v>0</v>
      </c>
      <c r="HZ185" s="26" t="e">
        <f>IF(HZ$2=InputTable[[#This Row],[Delivery Date]],_xlfn.XLOOKUP(HZ$1,$BH$2:$BR$2,$BH185:$BR185,0),0)</f>
        <v>#REF!</v>
      </c>
      <c r="IA185" s="26">
        <f>IF(IA$2=InputTable[[#This Row],[Delivery Date]],_xlfn.XLOOKUP(IA$1,$BH$2:$BR$2,$BH185:$BR185,0),0)</f>
        <v>0</v>
      </c>
      <c r="IB185" s="26">
        <f>IF(IB$2=InputTable[[#This Row],[Delivery Date]],_xlfn.XLOOKUP(IB$1,$BH$2:$BR$2,$BH185:$BR185,0),0)</f>
        <v>0</v>
      </c>
      <c r="IC185" s="26">
        <f>IF(IC$2=InputTable[[#This Row],[Delivery Date]],_xlfn.XLOOKUP(IC$1,$BH$2:$BR$2,$BH185:$BR185,0),0)</f>
        <v>0</v>
      </c>
      <c r="ID185" s="26">
        <f>IF(ID$2=InputTable[[#This Row],[Delivery Date]],_xlfn.XLOOKUP(ID$1,$BH$2:$BR$2,$BH185:$BR185,0),0)</f>
        <v>0</v>
      </c>
      <c r="IE185" s="26">
        <f>IF(IE$2=InputTable[[#This Row],[Delivery Date]],_xlfn.XLOOKUP(IE$1,$BH$2:$BR$2,$BH185:$BR185,0),0)</f>
        <v>0</v>
      </c>
      <c r="IF185" s="26">
        <f>IF(IF$2=InputTable[[#This Row],[Delivery Date]],_xlfn.XLOOKUP(IF$1,$BH$2:$BR$2,$BH185:$BR185,0),0)</f>
        <v>0</v>
      </c>
      <c r="IG185" s="26">
        <f>IF(IG$2=InputTable[[#This Row],[Delivery Date]],_xlfn.XLOOKUP(IG$1,$BH$2:$BR$2,$BH185:$BR185,0),0)</f>
        <v>0</v>
      </c>
      <c r="IH185" s="26">
        <f>IF(IH$2=InputTable[[#This Row],[Delivery Date]],_xlfn.XLOOKUP(IH$1,$BH$2:$BR$2,$BH185:$BR185,0),0)</f>
        <v>0</v>
      </c>
      <c r="IJ185" s="26" t="e">
        <f>IF(IJ$2=InputTable[[#This Row],[Delivery Date]],_xlfn.XLOOKUP(IJ$1,$BH$2:$BR$2,$BH185:$BR185,0),0)</f>
        <v>#REF!</v>
      </c>
      <c r="IK185" s="26">
        <f>IF(IK$2=InputTable[[#This Row],[Delivery Date]],_xlfn.XLOOKUP(IK$1,$BH$2:$BR$2,$BH185:$BR185,0),0)</f>
        <v>0</v>
      </c>
      <c r="IL185" s="26">
        <f>IF(IL$2=InputTable[[#This Row],[Delivery Date]],_xlfn.XLOOKUP(IL$1,$BH$2:$BR$2,$BH185:$BR185,0),0)</f>
        <v>0</v>
      </c>
      <c r="IM185" s="26">
        <f>IF(IM$2=InputTable[[#This Row],[Delivery Date]],_xlfn.XLOOKUP(IM$1,$BH$2:$BR$2,$BH185:$BR185,0),0)</f>
        <v>0</v>
      </c>
      <c r="IN185" s="26">
        <f>IF(IN$2=InputTable[[#This Row],[Delivery Date]],_xlfn.XLOOKUP(IN$1,$BH$2:$BR$2,$BH185:$BR185,0),0)</f>
        <v>0</v>
      </c>
      <c r="IO185" s="26">
        <f>IF(IO$2=InputTable[[#This Row],[Delivery Date]],_xlfn.XLOOKUP(IO$1,$BH$2:$BR$2,$BH185:$BR185,0),0)</f>
        <v>0</v>
      </c>
      <c r="IP185" s="26">
        <f>IF(IP$2=InputTable[[#This Row],[Delivery Date]],_xlfn.XLOOKUP(IP$1,$BH$2:$BR$2,$BH185:$BR185,0),0)</f>
        <v>0</v>
      </c>
      <c r="IQ185" s="26">
        <f>IF(IQ$2=InputTable[[#This Row],[Delivery Date]],_xlfn.XLOOKUP(IQ$1,$BH$2:$BR$2,$BH185:$BR185,0),0)</f>
        <v>0</v>
      </c>
      <c r="IR185" s="26">
        <f>IF(IR$2=InputTable[[#This Row],[Delivery Date]],_xlfn.XLOOKUP(IR$1,$BH$2:$BR$2,$BH185:$BR185,0),0)</f>
        <v>0</v>
      </c>
      <c r="IT185" s="26" t="e">
        <f>IF(IT$2=InputTable[[#This Row],[Delivery Date]],_xlfn.XLOOKUP(IT$1,$BH$2:$BR$2,$BH185:$BR185,0),0)</f>
        <v>#REF!</v>
      </c>
      <c r="IU185" s="26">
        <f>IF(IU$2=InputTable[[#This Row],[Delivery Date]],_xlfn.XLOOKUP(IU$1,$BH$2:$BR$2,$BH185:$BR185,0),0)</f>
        <v>0</v>
      </c>
      <c r="IV185" s="26">
        <f>IF(IV$2=InputTable[[#This Row],[Delivery Date]],_xlfn.XLOOKUP(IV$1,$BH$2:$BR$2,$BH185:$BR185,0),0)</f>
        <v>0</v>
      </c>
      <c r="IW185" s="26">
        <f>IF(IW$2=InputTable[[#This Row],[Delivery Date]],_xlfn.XLOOKUP(IW$1,$BH$2:$BR$2,$BH185:$BR185,0),0)</f>
        <v>0</v>
      </c>
      <c r="IX185" s="26">
        <f>IF(IX$2=InputTable[[#This Row],[Delivery Date]],_xlfn.XLOOKUP(IX$1,$BH$2:$BR$2,$BH185:$BR185,0),0)</f>
        <v>0</v>
      </c>
      <c r="IY185" s="26">
        <f>IF(IY$2=InputTable[[#This Row],[Delivery Date]],_xlfn.XLOOKUP(IY$1,$BH$2:$BR$2,$BH185:$BR185,0),0)</f>
        <v>0</v>
      </c>
      <c r="IZ185" s="26">
        <f>IF(IZ$2=InputTable[[#This Row],[Delivery Date]],_xlfn.XLOOKUP(IZ$1,$BH$2:$BR$2,$BH185:$BR185,0),0)</f>
        <v>0</v>
      </c>
      <c r="JA185" s="26">
        <f>IF(JA$2=InputTable[[#This Row],[Delivery Date]],_xlfn.XLOOKUP(JA$1,$BH$2:$BR$2,$BH185:$BR185,0),0)</f>
        <v>0</v>
      </c>
      <c r="JB185" s="26">
        <f>IF(JB$2=InputTable[[#This Row],[Delivery Date]],_xlfn.XLOOKUP(JB$1,$BH$2:$BR$2,$BH185:$BR185,0),0)</f>
        <v>0</v>
      </c>
      <c r="JD185" s="26" t="e">
        <f>IF(JD$2=InputTable[[#This Row],[Delivery Date]],_xlfn.XLOOKUP(JD$1,$BH$2:$BR$2,$BH185:$BR185,0),0)</f>
        <v>#REF!</v>
      </c>
      <c r="JE185" s="26">
        <f>IF(JE$2=InputTable[[#This Row],[Delivery Date]],_xlfn.XLOOKUP(JE$1,$BH$2:$BR$2,$BH185:$BR185,0),0)</f>
        <v>0</v>
      </c>
      <c r="JF185" s="26">
        <f>IF(JF$2=InputTable[[#This Row],[Delivery Date]],_xlfn.XLOOKUP(JF$1,$BH$2:$BR$2,$BH185:$BR185,0),0)</f>
        <v>0</v>
      </c>
      <c r="JG185" s="26">
        <f>IF(JG$2=InputTable[[#This Row],[Delivery Date]],_xlfn.XLOOKUP(JG$1,$BH$2:$BR$2,$BH185:$BR185,0),0)</f>
        <v>0</v>
      </c>
      <c r="JH185" s="26">
        <f>IF(JH$2=InputTable[[#This Row],[Delivery Date]],_xlfn.XLOOKUP(JH$1,$BH$2:$BR$2,$BH185:$BR185,0),0)</f>
        <v>0</v>
      </c>
      <c r="JI185" s="26">
        <f>IF(JI$2=InputTable[[#This Row],[Delivery Date]],_xlfn.XLOOKUP(JI$1,$BH$2:$BR$2,$BH185:$BR185,0),0)</f>
        <v>0</v>
      </c>
      <c r="JJ185" s="26">
        <f>IF(JJ$2=InputTable[[#This Row],[Delivery Date]],_xlfn.XLOOKUP(JJ$1,$BH$2:$BR$2,$BH185:$BR185,0),0)</f>
        <v>0</v>
      </c>
      <c r="JK185" s="26">
        <f>IF(JK$2=InputTable[[#This Row],[Delivery Date]],_xlfn.XLOOKUP(JK$1,$BH$2:$BR$2,$BH185:$BR185,0),0)</f>
        <v>0</v>
      </c>
      <c r="JL185" s="26">
        <f>IF(JL$2=InputTable[[#This Row],[Delivery Date]],_xlfn.XLOOKUP(JL$1,$BH$2:$BR$2,$BH185:$BR185,0),0)</f>
        <v>0</v>
      </c>
      <c r="JN185" s="26" t="e">
        <f>IF(JN$2=InputTable[[#This Row],[Delivery Date]],_xlfn.XLOOKUP(JN$1,$BH$2:$BR$2,$BH185:$BR185,0),0)</f>
        <v>#REF!</v>
      </c>
      <c r="JO185" s="26">
        <f>IF(JO$2=InputTable[[#This Row],[Delivery Date]],_xlfn.XLOOKUP(JO$1,$BH$2:$BR$2,$BH185:$BR185,0),0)</f>
        <v>0</v>
      </c>
      <c r="JP185" s="26">
        <f>IF(JP$2=InputTable[[#This Row],[Delivery Date]],_xlfn.XLOOKUP(JP$1,$BH$2:$BR$2,$BH185:$BR185,0),0)</f>
        <v>0</v>
      </c>
      <c r="JQ185" s="26">
        <f>IF(JQ$2=InputTable[[#This Row],[Delivery Date]],_xlfn.XLOOKUP(JQ$1,$BH$2:$BR$2,$BH185:$BR185,0),0)</f>
        <v>0</v>
      </c>
      <c r="JR185" s="26">
        <f>IF(JR$2=InputTable[[#This Row],[Delivery Date]],_xlfn.XLOOKUP(JR$1,$BH$2:$BR$2,$BH185:$BR185,0),0)</f>
        <v>0</v>
      </c>
      <c r="JS185" s="26">
        <f>IF(JS$2=InputTable[[#This Row],[Delivery Date]],_xlfn.XLOOKUP(JS$1,$BH$2:$BR$2,$BH185:$BR185,0),0)</f>
        <v>0</v>
      </c>
      <c r="JT185" s="26">
        <f>IF(JT$2=InputTable[[#This Row],[Delivery Date]],_xlfn.XLOOKUP(JT$1,$BH$2:$BR$2,$BH185:$BR185,0),0)</f>
        <v>0</v>
      </c>
      <c r="JU185" s="26">
        <f>IF(JU$2=InputTable[[#This Row],[Delivery Date]],_xlfn.XLOOKUP(JU$1,$BH$2:$BR$2,$BH185:$BR185,0),0)</f>
        <v>0</v>
      </c>
      <c r="JV185" s="26">
        <f>IF(JV$2=InputTable[[#This Row],[Delivery Date]],_xlfn.XLOOKUP(JV$1,$BH$2:$BR$2,$BH185:$BR185,0),0)</f>
        <v>0</v>
      </c>
      <c r="JX185" s="26" t="e">
        <f>IF(JX$2=InputTable[[#This Row],[Delivery Date]],_xlfn.XLOOKUP(JX$1,$BH$2:$BR$2,$BH185:$BR185,0),0)</f>
        <v>#REF!</v>
      </c>
      <c r="JY185" s="26">
        <f>IF(JY$2=InputTable[[#This Row],[Delivery Date]],_xlfn.XLOOKUP(JY$1,$BH$2:$BR$2,$BH185:$BR185,0),0)</f>
        <v>0</v>
      </c>
      <c r="JZ185" s="26">
        <f>IF(JZ$2=InputTable[[#This Row],[Delivery Date]],_xlfn.XLOOKUP(JZ$1,$BH$2:$BR$2,$BH185:$BR185,0),0)</f>
        <v>0</v>
      </c>
      <c r="KA185" s="26">
        <f>IF(KA$2=InputTable[[#This Row],[Delivery Date]],_xlfn.XLOOKUP(KA$1,$BH$2:$BR$2,$BH185:$BR185,0),0)</f>
        <v>0</v>
      </c>
      <c r="KB185" s="26">
        <f>IF(KB$2=InputTable[[#This Row],[Delivery Date]],_xlfn.XLOOKUP(KB$1,$BH$2:$BR$2,$BH185:$BR185,0),0)</f>
        <v>0</v>
      </c>
      <c r="KC185" s="26">
        <f>IF(KC$2=InputTable[[#This Row],[Delivery Date]],_xlfn.XLOOKUP(KC$1,$BH$2:$BR$2,$BH185:$BR185,0),0)</f>
        <v>0</v>
      </c>
      <c r="KD185" s="26">
        <f>IF(KD$2=InputTable[[#This Row],[Delivery Date]],_xlfn.XLOOKUP(KD$1,$BH$2:$BR$2,$BH185:$BR185,0),0)</f>
        <v>0</v>
      </c>
      <c r="KE185" s="26">
        <f>IF(KE$2=InputTable[[#This Row],[Delivery Date]],_xlfn.XLOOKUP(KE$1,$BH$2:$BR$2,$BH185:$BR185,0),0)</f>
        <v>0</v>
      </c>
      <c r="KF185" s="26">
        <f>IF(KF$2=InputTable[[#This Row],[Delivery Date]],_xlfn.XLOOKUP(KF$1,$BH$2:$BR$2,$BH185:$BR185,0),0)</f>
        <v>0</v>
      </c>
    </row>
    <row r="186" spans="1:292" ht="34.799999999999997" x14ac:dyDescent="0.25">
      <c r="A186" s="125"/>
      <c r="B186" s="118"/>
      <c r="C186" s="92"/>
      <c r="D186" s="92"/>
      <c r="E186" s="103"/>
      <c r="F186" s="104"/>
      <c r="G186" s="104"/>
      <c r="H186" s="104"/>
      <c r="I186" s="104"/>
      <c r="J186" s="105"/>
      <c r="K186" s="95" t="e">
        <f>VLOOKUP((InputTable[[#This Row],[Starting Date]]&amp; " - " &amp;InputTable[[#This Row],[Delivery Date]]),'System List'!$F$40:$H$83,2,FALSE)</f>
        <v>#N/A</v>
      </c>
      <c r="L186" s="95" t="e">
        <f>VLOOKUP(InputTable[[#This Row],[Duration]],Duration,2,FALSE)</f>
        <v>#N/A</v>
      </c>
      <c r="M186" s="105"/>
      <c r="N186" s="104"/>
      <c r="O186" s="104"/>
      <c r="P186" s="104"/>
      <c r="Q186" s="104"/>
      <c r="R186" s="104"/>
      <c r="S186" s="92"/>
      <c r="T186" s="95"/>
      <c r="U186" s="138"/>
      <c r="V186" s="104"/>
      <c r="W186" s="104"/>
      <c r="X186" s="104"/>
      <c r="Y186" s="104"/>
      <c r="Z186" s="104"/>
      <c r="AA186" s="104"/>
      <c r="AB186" s="104"/>
      <c r="AC186" s="104"/>
      <c r="AD186" s="92">
        <f>COUNTA(InputTable[[#This Row],[CORPHRFIN]:[SALES]])</f>
        <v>0</v>
      </c>
      <c r="AE186" s="88" cm="1">
        <f t="array" ref="AE186">SUM(
_xlfn.XLOOKUP(InputTable[[#This Row],[CORPHRFIN]:[SALES]],'System List'!$F$4:$F$7,'System List'!$H$4:$H$7,0))</f>
        <v>0</v>
      </c>
      <c r="AF186" s="140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88" cm="1">
        <f t="array" ref="AR186">SUM(
_xlfn.XLOOKUP(InputTable[[#This Row],[Impact on - CIAL]:[Impact on - STRAT]],'System List'!$F$4:$F$7,'System List'!$H$4:$H$7,0))</f>
        <v>0</v>
      </c>
      <c r="AS186" s="88" t="e">
        <f>VLOOKUP(InputTable[[#This Row],[Duration]],Duration,2,FALSE)+InputTable[[#This Row],[Resource Score]]</f>
        <v>#N/A</v>
      </c>
      <c r="AT18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6" s="24" t="e">
        <f>InputTable[[#This Row],[Value Score]]/InputTable[[#This Row],[EFFORT SCORE]]*100</f>
        <v>#N/A</v>
      </c>
      <c r="AV186" s="25" t="s">
        <v>477</v>
      </c>
      <c r="AW186" s="25"/>
      <c r="AX186" s="144"/>
      <c r="AY186" s="25"/>
      <c r="AZ186" s="189">
        <v>0</v>
      </c>
      <c r="BA186" s="189">
        <v>0</v>
      </c>
      <c r="BB186" s="189"/>
      <c r="BC186" s="189"/>
      <c r="BD186" s="188"/>
      <c r="BE186" s="188"/>
      <c r="BF186" s="70"/>
      <c r="BH186" s="2">
        <f>IFERROR(VLOOKUP(InputTable[[#This Row],[Impact on - CIAL]],'System List'!$F$4:$H$7,3,FALSE),0)</f>
        <v>0</v>
      </c>
      <c r="BI186" s="2">
        <f>IFERROR(VLOOKUP(InputTable[[#This Row],[Impact on - COM]],'System List'!$F$4:$H$7,3,FALSE),0)</f>
        <v>0</v>
      </c>
      <c r="BJ186" s="2">
        <f>IFERROR(VLOOKUP(InputTable[[#This Row],[Impact on - FIN]],'System List'!$F$4:$H$7,3,FALSE),0)</f>
        <v>0</v>
      </c>
      <c r="BK186" s="2">
        <f>IFERROR(VLOOKUP(InputTable[[#This Row],[Impact on - GEN SEC]],'System List'!$F$4:$H$7,3,FALSE),0)</f>
        <v>0</v>
      </c>
      <c r="BL186" s="2">
        <f>IFERROR(VLOOKUP(InputTable[[#This Row],[Impact on - HR]],'System List'!$F$4:$H$7,3,FALSE),0)</f>
        <v>0</v>
      </c>
      <c r="BM186" s="2">
        <f>IFERROR(VLOOKUP(InputTable[[#This Row],[Impact on - IS]],'System List'!$F$4:$H$7,3,FALSE),0)</f>
        <v>0</v>
      </c>
      <c r="BN186" s="2">
        <f>IFERROR(VLOOKUP(InputTable[[#This Row],[Impact on - OPS]],'System List'!$F$4:$H$7,3,FALSE),0)</f>
        <v>0</v>
      </c>
      <c r="BO186" s="2">
        <f>IFERROR(VLOOKUP(InputTable[[#This Row],[Impact on - ROLL STOCK]],'System List'!$F$4:$H$7,3,FALSE),0)</f>
        <v>0</v>
      </c>
      <c r="BP186" s="2">
        <f>IFERROR(VLOOKUP(InputTable[[#This Row],[Impact on - SAFETY]],'System List'!$F$4:$H$7,3,FALSE),0)</f>
        <v>0</v>
      </c>
      <c r="BQ186" s="2">
        <f>IFERROR(VLOOKUP(InputTable[[#This Row],[Impact on - STATION]],'System List'!$F$4:$H$7,3,FALSE),0)</f>
        <v>0</v>
      </c>
      <c r="BR186" s="2">
        <f>IFERROR(VLOOKUP(InputTable[[#This Row],[Impact on - STRAT]],'System List'!$F$4:$H$7,3,FALSE),0)</f>
        <v>0</v>
      </c>
      <c r="BT186" s="2">
        <f>IFERROR(VLOOKUP(InputTable[[#This Row],[CORPHRFIN]],'System List'!$F$4:$H$7,3,FALSE),0)</f>
        <v>0</v>
      </c>
      <c r="BU186" s="2">
        <f>IFERROR(VLOOKUP(InputTable[[#This Row],[CUST]],'System List'!$F$4:$H$7,3,FALSE),0)</f>
        <v>0</v>
      </c>
      <c r="BV186" s="2">
        <f>IFERROR(VLOOKUP(InputTable[[#This Row],[CYBER]],'System List'!$F$4:$H$7,3,FALSE),0)</f>
        <v>0</v>
      </c>
      <c r="BW186" s="2">
        <f>IFERROR(VLOOKUP(InputTable[[#This Row],[DATA]],'System List'!$F$4:$H$7,3,FALSE),0)</f>
        <v>0</v>
      </c>
      <c r="BX186" s="2">
        <f>IFERROR(VLOOKUP(InputTable[[#This Row],[INFRA]],'System List'!$F$4:$H$7,3,FALSE),0)</f>
        <v>0</v>
      </c>
      <c r="BY186" s="2">
        <f>IFERROR(VLOOKUP(InputTable[[#This Row],[OPERATIONS]],'System List'!$F$4:$H$7,3,FALSE),0)</f>
        <v>0</v>
      </c>
      <c r="BZ186" s="2">
        <f>IFERROR(VLOOKUP(InputTable[[#This Row],[PMO]],'System List'!$F$4:$H$7,3,FALSE),0)</f>
        <v>0</v>
      </c>
      <c r="CA186" s="2">
        <f>IFERROR(VLOOKUP(InputTable[[#This Row],[SALES]],'System List'!$F$4:$H$7,3,FALSE),0)</f>
        <v>0</v>
      </c>
      <c r="CC186" s="2" cm="1">
        <f t="array" ref="CC18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6" s="2" cm="1">
        <f t="array" ref="CD18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6" s="2" cm="1">
        <f t="array" ref="CE18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6" s="2" cm="1">
        <f t="array" ref="CF18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6" s="2" cm="1">
        <f t="array" ref="CG18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6" s="2" cm="1">
        <f t="array" ref="CH18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6" s="2" cm="1">
        <f t="array" ref="CI18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6" s="2" cm="1">
        <f t="array" ref="CJ18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6" s="2" cm="1">
        <f t="array" ref="CK18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6" s="26">
        <f t="shared" si="451"/>
        <v>0</v>
      </c>
      <c r="CY186" s="26">
        <f t="shared" si="452"/>
        <v>0</v>
      </c>
      <c r="CZ186" s="26">
        <f t="shared" si="453"/>
        <v>0</v>
      </c>
      <c r="DA186" s="26">
        <f t="shared" si="454"/>
        <v>0</v>
      </c>
      <c r="DB186" s="26">
        <f t="shared" si="455"/>
        <v>0</v>
      </c>
      <c r="DC186" s="26">
        <f t="shared" si="456"/>
        <v>0</v>
      </c>
      <c r="DD186" s="26">
        <f t="shared" si="457"/>
        <v>0</v>
      </c>
      <c r="DE186" s="26">
        <f t="shared" si="458"/>
        <v>0</v>
      </c>
      <c r="DF186" s="26">
        <f t="shared" si="459"/>
        <v>0</v>
      </c>
      <c r="DH186" s="26">
        <f t="shared" si="460"/>
        <v>0</v>
      </c>
      <c r="DI186" s="26">
        <f t="shared" si="461"/>
        <v>0</v>
      </c>
      <c r="DJ186" s="26">
        <f t="shared" si="462"/>
        <v>0</v>
      </c>
      <c r="DK186" s="26">
        <f t="shared" si="463"/>
        <v>0</v>
      </c>
      <c r="DL186" s="26">
        <f t="shared" si="464"/>
        <v>0</v>
      </c>
      <c r="DM186" s="26">
        <f t="shared" si="465"/>
        <v>0</v>
      </c>
      <c r="DN186" s="26">
        <f t="shared" si="466"/>
        <v>0</v>
      </c>
      <c r="DO186" s="26">
        <f t="shared" si="467"/>
        <v>0</v>
      </c>
      <c r="DP186" s="26">
        <f t="shared" si="468"/>
        <v>0</v>
      </c>
      <c r="DR186" s="26">
        <f t="shared" si="469"/>
        <v>0</v>
      </c>
      <c r="DS186" s="26">
        <f t="shared" si="470"/>
        <v>0</v>
      </c>
      <c r="DT186" s="26">
        <f t="shared" si="471"/>
        <v>0</v>
      </c>
      <c r="DU186" s="26">
        <f t="shared" si="472"/>
        <v>0</v>
      </c>
      <c r="DV186" s="26">
        <f t="shared" si="473"/>
        <v>0</v>
      </c>
      <c r="DW186" s="26">
        <f t="shared" si="474"/>
        <v>0</v>
      </c>
      <c r="DX186" s="26">
        <f t="shared" si="475"/>
        <v>0</v>
      </c>
      <c r="DY186" s="26">
        <f t="shared" si="476"/>
        <v>0</v>
      </c>
      <c r="DZ186" s="26">
        <f t="shared" si="477"/>
        <v>0</v>
      </c>
      <c r="EB186" s="26">
        <f t="shared" si="478"/>
        <v>0</v>
      </c>
      <c r="EC186" s="26">
        <f t="shared" si="479"/>
        <v>0</v>
      </c>
      <c r="ED186" s="26">
        <f t="shared" si="480"/>
        <v>0</v>
      </c>
      <c r="EE186" s="26">
        <f t="shared" si="481"/>
        <v>0</v>
      </c>
      <c r="EF186" s="26">
        <f t="shared" si="482"/>
        <v>0</v>
      </c>
      <c r="EG186" s="26">
        <f t="shared" si="483"/>
        <v>0</v>
      </c>
      <c r="EH186" s="26">
        <f t="shared" si="484"/>
        <v>0</v>
      </c>
      <c r="EI186" s="26">
        <f t="shared" si="485"/>
        <v>0</v>
      </c>
      <c r="EJ186" s="26">
        <f t="shared" si="486"/>
        <v>0</v>
      </c>
      <c r="EL186" s="26">
        <f t="shared" si="487"/>
        <v>0</v>
      </c>
      <c r="EM186" s="26">
        <f t="shared" si="488"/>
        <v>0</v>
      </c>
      <c r="EN186" s="26">
        <f t="shared" si="489"/>
        <v>0</v>
      </c>
      <c r="EO186" s="26">
        <f t="shared" si="490"/>
        <v>0</v>
      </c>
      <c r="EP186" s="26">
        <f t="shared" si="491"/>
        <v>0</v>
      </c>
      <c r="EQ186" s="26">
        <f t="shared" si="492"/>
        <v>0</v>
      </c>
      <c r="ER186" s="26">
        <f t="shared" si="493"/>
        <v>0</v>
      </c>
      <c r="ES186" s="26">
        <f t="shared" si="494"/>
        <v>0</v>
      </c>
      <c r="ET186" s="26">
        <f t="shared" si="495"/>
        <v>0</v>
      </c>
      <c r="EV186" s="26">
        <f t="shared" si="496"/>
        <v>0</v>
      </c>
      <c r="EW186" s="26">
        <f t="shared" si="497"/>
        <v>0</v>
      </c>
      <c r="EX186" s="26">
        <f t="shared" si="498"/>
        <v>0</v>
      </c>
      <c r="EY186" s="26">
        <f t="shared" si="499"/>
        <v>0</v>
      </c>
      <c r="EZ186" s="26">
        <f t="shared" si="500"/>
        <v>0</v>
      </c>
      <c r="FA186" s="26">
        <f t="shared" si="501"/>
        <v>0</v>
      </c>
      <c r="FB186" s="26">
        <f t="shared" si="502"/>
        <v>0</v>
      </c>
      <c r="FC186" s="26">
        <f t="shared" si="503"/>
        <v>0</v>
      </c>
      <c r="FD186" s="26">
        <f t="shared" si="504"/>
        <v>0</v>
      </c>
      <c r="FF186" s="26">
        <f t="shared" si="505"/>
        <v>0</v>
      </c>
      <c r="FG186" s="26">
        <f t="shared" si="506"/>
        <v>0</v>
      </c>
      <c r="FH186" s="26">
        <f t="shared" si="507"/>
        <v>0</v>
      </c>
      <c r="FI186" s="26">
        <f t="shared" si="508"/>
        <v>0</v>
      </c>
      <c r="FJ186" s="26">
        <f t="shared" si="509"/>
        <v>0</v>
      </c>
      <c r="FK186" s="26">
        <f t="shared" si="510"/>
        <v>0</v>
      </c>
      <c r="FL186" s="26">
        <f t="shared" si="511"/>
        <v>0</v>
      </c>
      <c r="FM186" s="26">
        <f t="shared" si="512"/>
        <v>0</v>
      </c>
      <c r="FN186" s="26">
        <f t="shared" si="513"/>
        <v>0</v>
      </c>
      <c r="FP186" s="26" t="e">
        <f t="shared" si="514"/>
        <v>#REF!</v>
      </c>
      <c r="FQ186" s="26" t="e">
        <f t="shared" si="515"/>
        <v>#REF!</v>
      </c>
      <c r="FR186" s="26" t="e">
        <f t="shared" si="516"/>
        <v>#REF!</v>
      </c>
      <c r="FS186" s="26" t="e">
        <f t="shared" si="517"/>
        <v>#REF!</v>
      </c>
      <c r="FT186" s="26" t="e">
        <f t="shared" si="518"/>
        <v>#REF!</v>
      </c>
      <c r="FU186" s="26" t="e">
        <f t="shared" si="519"/>
        <v>#REF!</v>
      </c>
      <c r="FV186" s="26" t="e">
        <f t="shared" si="520"/>
        <v>#REF!</v>
      </c>
      <c r="FW186" s="26" t="e">
        <f t="shared" si="521"/>
        <v>#REF!</v>
      </c>
      <c r="FX186" s="26" t="e">
        <f t="shared" si="522"/>
        <v>#REF!</v>
      </c>
      <c r="GB186" s="26" t="e">
        <f>IF(GB$2=InputTable[[#This Row],[Delivery Date]],_xlfn.XLOOKUP(GB$1,$BH$2:$BR$2,$BH186:$BR186,0),0)</f>
        <v>#REF!</v>
      </c>
      <c r="GC186" s="26">
        <f>IF(GC$2=InputTable[[#This Row],[Delivery Date]],_xlfn.XLOOKUP(GC$1,$BH$2:$BR$2,$BH186:$BR186,0),0)</f>
        <v>0</v>
      </c>
      <c r="GD186" s="26">
        <f>IF(GD$2=InputTable[[#This Row],[Delivery Date]],_xlfn.XLOOKUP(GD$1,$BH$2:$BR$2,$BH186:$BR186,0),0)</f>
        <v>0</v>
      </c>
      <c r="GE186" s="26">
        <f>IF(GE$2=InputTable[[#This Row],[Delivery Date]],_xlfn.XLOOKUP(GE$1,$BH$2:$BR$2,$BH186:$BR186,0),0)</f>
        <v>0</v>
      </c>
      <c r="GF186" s="26">
        <f>IF(GF$2=InputTable[[#This Row],[Delivery Date]],_xlfn.XLOOKUP(GF$1,$BH$2:$BR$2,$BH186:$BR186,0),0)</f>
        <v>0</v>
      </c>
      <c r="GG186" s="26">
        <f>IF(GG$2=InputTable[[#This Row],[Delivery Date]],_xlfn.XLOOKUP(GG$1,$BH$2:$BR$2,$BH186:$BR186,0),0)</f>
        <v>0</v>
      </c>
      <c r="GH186" s="26">
        <f>IF(GH$2=InputTable[[#This Row],[Delivery Date]],_xlfn.XLOOKUP(GH$1,$BH$2:$BR$2,$BH186:$BR186,0),0)</f>
        <v>0</v>
      </c>
      <c r="GI186" s="26">
        <f>IF(GI$2=InputTable[[#This Row],[Delivery Date]],_xlfn.XLOOKUP(GI$1,$BH$2:$BR$2,$BH186:$BR186,0),0)</f>
        <v>0</v>
      </c>
      <c r="GJ186" s="26">
        <f>IF(GJ$2=InputTable[[#This Row],[Delivery Date]],_xlfn.XLOOKUP(GJ$1,$BH$2:$BR$2,$BH186:$BR186,0),0)</f>
        <v>0</v>
      </c>
      <c r="GL186" s="26" t="e">
        <f>IF(GL$2=InputTable[[#This Row],[Delivery Date]],_xlfn.XLOOKUP(GL$1,$BH$2:$BR$2,$BH186:$BR186,0),0)</f>
        <v>#REF!</v>
      </c>
      <c r="GM186" s="26">
        <f>IF(GM$2=InputTable[[#This Row],[Delivery Date]],_xlfn.XLOOKUP(GM$1,$BH$2:$BR$2,$BH186:$BR186,0),0)</f>
        <v>0</v>
      </c>
      <c r="GN186" s="26">
        <f>IF(GN$2=InputTable[[#This Row],[Delivery Date]],_xlfn.XLOOKUP(GN$1,$BH$2:$BR$2,$BH186:$BR186,0),0)</f>
        <v>0</v>
      </c>
      <c r="GO186" s="26">
        <f>IF(GO$2=InputTable[[#This Row],[Delivery Date]],_xlfn.XLOOKUP(GO$1,$BH$2:$BR$2,$BH186:$BR186,0),0)</f>
        <v>0</v>
      </c>
      <c r="GP186" s="26">
        <f>IF(GP$2=InputTable[[#This Row],[Delivery Date]],_xlfn.XLOOKUP(GP$1,$BH$2:$BR$2,$BH186:$BR186,0),0)</f>
        <v>0</v>
      </c>
      <c r="GQ186" s="26">
        <f>IF(GQ$2=InputTable[[#This Row],[Delivery Date]],_xlfn.XLOOKUP(GQ$1,$BH$2:$BR$2,$BH186:$BR186,0),0)</f>
        <v>0</v>
      </c>
      <c r="GR186" s="26">
        <f>IF(GR$2=InputTable[[#This Row],[Delivery Date]],_xlfn.XLOOKUP(GR$1,$BH$2:$BR$2,$BH186:$BR186,0),0)</f>
        <v>0</v>
      </c>
      <c r="GS186" s="26">
        <f>IF(GS$2=InputTable[[#This Row],[Delivery Date]],_xlfn.XLOOKUP(GS$1,$BH$2:$BR$2,$BH186:$BR186,0),0)</f>
        <v>0</v>
      </c>
      <c r="GT186" s="26">
        <f>IF(GT$2=InputTable[[#This Row],[Delivery Date]],_xlfn.XLOOKUP(GT$1,$BH$2:$BR$2,$BH186:$BR186,0),0)</f>
        <v>0</v>
      </c>
      <c r="GV186" s="26" t="e">
        <f>IF(GV$2=InputTable[[#This Row],[Delivery Date]],_xlfn.XLOOKUP(GV$1,$BH$2:$BR$2,$BH186:$BR186,0),0)</f>
        <v>#REF!</v>
      </c>
      <c r="GW186" s="26">
        <f>IF(GW$2=InputTable[[#This Row],[Delivery Date]],_xlfn.XLOOKUP(GW$1,$BH$2:$BR$2,$BH186:$BR186,0),0)</f>
        <v>0</v>
      </c>
      <c r="GX186" s="26">
        <f>IF(GX$2=InputTable[[#This Row],[Delivery Date]],_xlfn.XLOOKUP(GX$1,$BH$2:$BR$2,$BH186:$BR186,0),0)</f>
        <v>0</v>
      </c>
      <c r="GY186" s="26">
        <f>IF(GY$2=InputTable[[#This Row],[Delivery Date]],_xlfn.XLOOKUP(GY$1,$BH$2:$BR$2,$BH186:$BR186,0),0)</f>
        <v>0</v>
      </c>
      <c r="GZ186" s="26">
        <f>IF(GZ$2=InputTable[[#This Row],[Delivery Date]],_xlfn.XLOOKUP(GZ$1,$BH$2:$BR$2,$BH186:$BR186,0),0)</f>
        <v>0</v>
      </c>
      <c r="HA186" s="26">
        <f>IF(HA$2=InputTable[[#This Row],[Delivery Date]],_xlfn.XLOOKUP(HA$1,$BH$2:$BR$2,$BH186:$BR186,0),0)</f>
        <v>0</v>
      </c>
      <c r="HB186" s="26">
        <f>IF(HB$2=InputTable[[#This Row],[Delivery Date]],_xlfn.XLOOKUP(HB$1,$BH$2:$BR$2,$BH186:$BR186,0),0)</f>
        <v>0</v>
      </c>
      <c r="HC186" s="26">
        <f>IF(HC$2=InputTable[[#This Row],[Delivery Date]],_xlfn.XLOOKUP(HC$1,$BH$2:$BR$2,$BH186:$BR186,0),0)</f>
        <v>0</v>
      </c>
      <c r="HD186" s="26">
        <f>IF(HD$2=InputTable[[#This Row],[Delivery Date]],_xlfn.XLOOKUP(HD$1,$BH$2:$BR$2,$BH186:$BR186,0),0)</f>
        <v>0</v>
      </c>
      <c r="HF186" s="26" t="e">
        <f>IF(HF$2=InputTable[[#This Row],[Delivery Date]],_xlfn.XLOOKUP(HF$1,$BH$2:$BR$2,$BH186:$BR186,0),0)</f>
        <v>#REF!</v>
      </c>
      <c r="HG186" s="26">
        <f>IF(HG$2=InputTable[[#This Row],[Delivery Date]],_xlfn.XLOOKUP(HG$1,$BH$2:$BR$2,$BH186:$BR186,0),0)</f>
        <v>0</v>
      </c>
      <c r="HH186" s="26">
        <f>IF(HH$2=InputTable[[#This Row],[Delivery Date]],_xlfn.XLOOKUP(HH$1,$BH$2:$BR$2,$BH186:$BR186,0),0)</f>
        <v>0</v>
      </c>
      <c r="HI186" s="26">
        <f>IF(HI$2=InputTable[[#This Row],[Delivery Date]],_xlfn.XLOOKUP(HI$1,$BH$2:$BR$2,$BH186:$BR186,0),0)</f>
        <v>0</v>
      </c>
      <c r="HJ186" s="26">
        <f>IF(HJ$2=InputTable[[#This Row],[Delivery Date]],_xlfn.XLOOKUP(HJ$1,$BH$2:$BR$2,$BH186:$BR186,0),0)</f>
        <v>0</v>
      </c>
      <c r="HK186" s="26">
        <f>IF(HK$2=InputTable[[#This Row],[Delivery Date]],_xlfn.XLOOKUP(HK$1,$BH$2:$BR$2,$BH186:$BR186,0),0)</f>
        <v>0</v>
      </c>
      <c r="HL186" s="26">
        <f>IF(HL$2=InputTable[[#This Row],[Delivery Date]],_xlfn.XLOOKUP(HL$1,$BH$2:$BR$2,$BH186:$BR186,0),0)</f>
        <v>0</v>
      </c>
      <c r="HM186" s="26">
        <f>IF(HM$2=InputTable[[#This Row],[Delivery Date]],_xlfn.XLOOKUP(HM$1,$BH$2:$BR$2,$BH186:$BR186,0),0)</f>
        <v>0</v>
      </c>
      <c r="HN186" s="26">
        <f>IF(HN$2=InputTable[[#This Row],[Delivery Date]],_xlfn.XLOOKUP(HN$1,$BH$2:$BR$2,$BH186:$BR186,0),0)</f>
        <v>0</v>
      </c>
      <c r="HP186" s="26" t="e">
        <f>IF(HP$2=InputTable[[#This Row],[Delivery Date]],_xlfn.XLOOKUP(HP$1,$BH$2:$BR$2,$BH186:$BR186,0),0)</f>
        <v>#REF!</v>
      </c>
      <c r="HQ186" s="26">
        <f>IF(HQ$2=InputTable[[#This Row],[Delivery Date]],_xlfn.XLOOKUP(HQ$1,$BH$2:$BR$2,$BH186:$BR186,0),0)</f>
        <v>0</v>
      </c>
      <c r="HR186" s="26">
        <f>IF(HR$2=InputTable[[#This Row],[Delivery Date]],_xlfn.XLOOKUP(HR$1,$BH$2:$BR$2,$BH186:$BR186,0),0)</f>
        <v>0</v>
      </c>
      <c r="HS186" s="26">
        <f>IF(HS$2=InputTable[[#This Row],[Delivery Date]],_xlfn.XLOOKUP(HS$1,$BH$2:$BR$2,$BH186:$BR186,0),0)</f>
        <v>0</v>
      </c>
      <c r="HT186" s="26">
        <f>IF(HT$2=InputTable[[#This Row],[Delivery Date]],_xlfn.XLOOKUP(HT$1,$BH$2:$BR$2,$BH186:$BR186,0),0)</f>
        <v>0</v>
      </c>
      <c r="HU186" s="26">
        <f>IF(HU$2=InputTable[[#This Row],[Delivery Date]],_xlfn.XLOOKUP(HU$1,$BH$2:$BR$2,$BH186:$BR186,0),0)</f>
        <v>0</v>
      </c>
      <c r="HV186" s="26">
        <f>IF(HV$2=InputTable[[#This Row],[Delivery Date]],_xlfn.XLOOKUP(HV$1,$BH$2:$BR$2,$BH186:$BR186,0),0)</f>
        <v>0</v>
      </c>
      <c r="HW186" s="26">
        <f>IF(HW$2=InputTable[[#This Row],[Delivery Date]],_xlfn.XLOOKUP(HW$1,$BH$2:$BR$2,$BH186:$BR186,0),0)</f>
        <v>0</v>
      </c>
      <c r="HX186" s="26">
        <f>IF(HX$2=InputTable[[#This Row],[Delivery Date]],_xlfn.XLOOKUP(HX$1,$BH$2:$BR$2,$BH186:$BR186,0),0)</f>
        <v>0</v>
      </c>
      <c r="HZ186" s="26" t="e">
        <f>IF(HZ$2=InputTable[[#This Row],[Delivery Date]],_xlfn.XLOOKUP(HZ$1,$BH$2:$BR$2,$BH186:$BR186,0),0)</f>
        <v>#REF!</v>
      </c>
      <c r="IA186" s="26">
        <f>IF(IA$2=InputTable[[#This Row],[Delivery Date]],_xlfn.XLOOKUP(IA$1,$BH$2:$BR$2,$BH186:$BR186,0),0)</f>
        <v>0</v>
      </c>
      <c r="IB186" s="26">
        <f>IF(IB$2=InputTable[[#This Row],[Delivery Date]],_xlfn.XLOOKUP(IB$1,$BH$2:$BR$2,$BH186:$BR186,0),0)</f>
        <v>0</v>
      </c>
      <c r="IC186" s="26">
        <f>IF(IC$2=InputTable[[#This Row],[Delivery Date]],_xlfn.XLOOKUP(IC$1,$BH$2:$BR$2,$BH186:$BR186,0),0)</f>
        <v>0</v>
      </c>
      <c r="ID186" s="26">
        <f>IF(ID$2=InputTable[[#This Row],[Delivery Date]],_xlfn.XLOOKUP(ID$1,$BH$2:$BR$2,$BH186:$BR186,0),0)</f>
        <v>0</v>
      </c>
      <c r="IE186" s="26">
        <f>IF(IE$2=InputTable[[#This Row],[Delivery Date]],_xlfn.XLOOKUP(IE$1,$BH$2:$BR$2,$BH186:$BR186,0),0)</f>
        <v>0</v>
      </c>
      <c r="IF186" s="26">
        <f>IF(IF$2=InputTable[[#This Row],[Delivery Date]],_xlfn.XLOOKUP(IF$1,$BH$2:$BR$2,$BH186:$BR186,0),0)</f>
        <v>0</v>
      </c>
      <c r="IG186" s="26">
        <f>IF(IG$2=InputTable[[#This Row],[Delivery Date]],_xlfn.XLOOKUP(IG$1,$BH$2:$BR$2,$BH186:$BR186,0),0)</f>
        <v>0</v>
      </c>
      <c r="IH186" s="26">
        <f>IF(IH$2=InputTable[[#This Row],[Delivery Date]],_xlfn.XLOOKUP(IH$1,$BH$2:$BR$2,$BH186:$BR186,0),0)</f>
        <v>0</v>
      </c>
      <c r="IJ186" s="26" t="e">
        <f>IF(IJ$2=InputTable[[#This Row],[Delivery Date]],_xlfn.XLOOKUP(IJ$1,$BH$2:$BR$2,$BH186:$BR186,0),0)</f>
        <v>#REF!</v>
      </c>
      <c r="IK186" s="26">
        <f>IF(IK$2=InputTable[[#This Row],[Delivery Date]],_xlfn.XLOOKUP(IK$1,$BH$2:$BR$2,$BH186:$BR186,0),0)</f>
        <v>0</v>
      </c>
      <c r="IL186" s="26">
        <f>IF(IL$2=InputTable[[#This Row],[Delivery Date]],_xlfn.XLOOKUP(IL$1,$BH$2:$BR$2,$BH186:$BR186,0),0)</f>
        <v>0</v>
      </c>
      <c r="IM186" s="26">
        <f>IF(IM$2=InputTable[[#This Row],[Delivery Date]],_xlfn.XLOOKUP(IM$1,$BH$2:$BR$2,$BH186:$BR186,0),0)</f>
        <v>0</v>
      </c>
      <c r="IN186" s="26">
        <f>IF(IN$2=InputTable[[#This Row],[Delivery Date]],_xlfn.XLOOKUP(IN$1,$BH$2:$BR$2,$BH186:$BR186,0),0)</f>
        <v>0</v>
      </c>
      <c r="IO186" s="26">
        <f>IF(IO$2=InputTable[[#This Row],[Delivery Date]],_xlfn.XLOOKUP(IO$1,$BH$2:$BR$2,$BH186:$BR186,0),0)</f>
        <v>0</v>
      </c>
      <c r="IP186" s="26">
        <f>IF(IP$2=InputTable[[#This Row],[Delivery Date]],_xlfn.XLOOKUP(IP$1,$BH$2:$BR$2,$BH186:$BR186,0),0)</f>
        <v>0</v>
      </c>
      <c r="IQ186" s="26">
        <f>IF(IQ$2=InputTable[[#This Row],[Delivery Date]],_xlfn.XLOOKUP(IQ$1,$BH$2:$BR$2,$BH186:$BR186,0),0)</f>
        <v>0</v>
      </c>
      <c r="IR186" s="26">
        <f>IF(IR$2=InputTable[[#This Row],[Delivery Date]],_xlfn.XLOOKUP(IR$1,$BH$2:$BR$2,$BH186:$BR186,0),0)</f>
        <v>0</v>
      </c>
      <c r="IT186" s="26" t="e">
        <f>IF(IT$2=InputTable[[#This Row],[Delivery Date]],_xlfn.XLOOKUP(IT$1,$BH$2:$BR$2,$BH186:$BR186,0),0)</f>
        <v>#REF!</v>
      </c>
      <c r="IU186" s="26">
        <f>IF(IU$2=InputTable[[#This Row],[Delivery Date]],_xlfn.XLOOKUP(IU$1,$BH$2:$BR$2,$BH186:$BR186,0),0)</f>
        <v>0</v>
      </c>
      <c r="IV186" s="26">
        <f>IF(IV$2=InputTable[[#This Row],[Delivery Date]],_xlfn.XLOOKUP(IV$1,$BH$2:$BR$2,$BH186:$BR186,0),0)</f>
        <v>0</v>
      </c>
      <c r="IW186" s="26">
        <f>IF(IW$2=InputTable[[#This Row],[Delivery Date]],_xlfn.XLOOKUP(IW$1,$BH$2:$BR$2,$BH186:$BR186,0),0)</f>
        <v>0</v>
      </c>
      <c r="IX186" s="26">
        <f>IF(IX$2=InputTable[[#This Row],[Delivery Date]],_xlfn.XLOOKUP(IX$1,$BH$2:$BR$2,$BH186:$BR186,0),0)</f>
        <v>0</v>
      </c>
      <c r="IY186" s="26">
        <f>IF(IY$2=InputTable[[#This Row],[Delivery Date]],_xlfn.XLOOKUP(IY$1,$BH$2:$BR$2,$BH186:$BR186,0),0)</f>
        <v>0</v>
      </c>
      <c r="IZ186" s="26">
        <f>IF(IZ$2=InputTable[[#This Row],[Delivery Date]],_xlfn.XLOOKUP(IZ$1,$BH$2:$BR$2,$BH186:$BR186,0),0)</f>
        <v>0</v>
      </c>
      <c r="JA186" s="26">
        <f>IF(JA$2=InputTable[[#This Row],[Delivery Date]],_xlfn.XLOOKUP(JA$1,$BH$2:$BR$2,$BH186:$BR186,0),0)</f>
        <v>0</v>
      </c>
      <c r="JB186" s="26">
        <f>IF(JB$2=InputTable[[#This Row],[Delivery Date]],_xlfn.XLOOKUP(JB$1,$BH$2:$BR$2,$BH186:$BR186,0),0)</f>
        <v>0</v>
      </c>
      <c r="JD186" s="26" t="e">
        <f>IF(JD$2=InputTable[[#This Row],[Delivery Date]],_xlfn.XLOOKUP(JD$1,$BH$2:$BR$2,$BH186:$BR186,0),0)</f>
        <v>#REF!</v>
      </c>
      <c r="JE186" s="26">
        <f>IF(JE$2=InputTable[[#This Row],[Delivery Date]],_xlfn.XLOOKUP(JE$1,$BH$2:$BR$2,$BH186:$BR186,0),0)</f>
        <v>0</v>
      </c>
      <c r="JF186" s="26">
        <f>IF(JF$2=InputTable[[#This Row],[Delivery Date]],_xlfn.XLOOKUP(JF$1,$BH$2:$BR$2,$BH186:$BR186,0),0)</f>
        <v>0</v>
      </c>
      <c r="JG186" s="26">
        <f>IF(JG$2=InputTable[[#This Row],[Delivery Date]],_xlfn.XLOOKUP(JG$1,$BH$2:$BR$2,$BH186:$BR186,0),0)</f>
        <v>0</v>
      </c>
      <c r="JH186" s="26">
        <f>IF(JH$2=InputTable[[#This Row],[Delivery Date]],_xlfn.XLOOKUP(JH$1,$BH$2:$BR$2,$BH186:$BR186,0),0)</f>
        <v>0</v>
      </c>
      <c r="JI186" s="26">
        <f>IF(JI$2=InputTable[[#This Row],[Delivery Date]],_xlfn.XLOOKUP(JI$1,$BH$2:$BR$2,$BH186:$BR186,0),0)</f>
        <v>0</v>
      </c>
      <c r="JJ186" s="26">
        <f>IF(JJ$2=InputTable[[#This Row],[Delivery Date]],_xlfn.XLOOKUP(JJ$1,$BH$2:$BR$2,$BH186:$BR186,0),0)</f>
        <v>0</v>
      </c>
      <c r="JK186" s="26">
        <f>IF(JK$2=InputTable[[#This Row],[Delivery Date]],_xlfn.XLOOKUP(JK$1,$BH$2:$BR$2,$BH186:$BR186,0),0)</f>
        <v>0</v>
      </c>
      <c r="JL186" s="26">
        <f>IF(JL$2=InputTable[[#This Row],[Delivery Date]],_xlfn.XLOOKUP(JL$1,$BH$2:$BR$2,$BH186:$BR186,0),0)</f>
        <v>0</v>
      </c>
      <c r="JN186" s="26" t="e">
        <f>IF(JN$2=InputTable[[#This Row],[Delivery Date]],_xlfn.XLOOKUP(JN$1,$BH$2:$BR$2,$BH186:$BR186,0),0)</f>
        <v>#REF!</v>
      </c>
      <c r="JO186" s="26">
        <f>IF(JO$2=InputTable[[#This Row],[Delivery Date]],_xlfn.XLOOKUP(JO$1,$BH$2:$BR$2,$BH186:$BR186,0),0)</f>
        <v>0</v>
      </c>
      <c r="JP186" s="26">
        <f>IF(JP$2=InputTable[[#This Row],[Delivery Date]],_xlfn.XLOOKUP(JP$1,$BH$2:$BR$2,$BH186:$BR186,0),0)</f>
        <v>0</v>
      </c>
      <c r="JQ186" s="26">
        <f>IF(JQ$2=InputTable[[#This Row],[Delivery Date]],_xlfn.XLOOKUP(JQ$1,$BH$2:$BR$2,$BH186:$BR186,0),0)</f>
        <v>0</v>
      </c>
      <c r="JR186" s="26">
        <f>IF(JR$2=InputTable[[#This Row],[Delivery Date]],_xlfn.XLOOKUP(JR$1,$BH$2:$BR$2,$BH186:$BR186,0),0)</f>
        <v>0</v>
      </c>
      <c r="JS186" s="26">
        <f>IF(JS$2=InputTable[[#This Row],[Delivery Date]],_xlfn.XLOOKUP(JS$1,$BH$2:$BR$2,$BH186:$BR186,0),0)</f>
        <v>0</v>
      </c>
      <c r="JT186" s="26">
        <f>IF(JT$2=InputTable[[#This Row],[Delivery Date]],_xlfn.XLOOKUP(JT$1,$BH$2:$BR$2,$BH186:$BR186,0),0)</f>
        <v>0</v>
      </c>
      <c r="JU186" s="26">
        <f>IF(JU$2=InputTable[[#This Row],[Delivery Date]],_xlfn.XLOOKUP(JU$1,$BH$2:$BR$2,$BH186:$BR186,0),0)</f>
        <v>0</v>
      </c>
      <c r="JV186" s="26">
        <f>IF(JV$2=InputTable[[#This Row],[Delivery Date]],_xlfn.XLOOKUP(JV$1,$BH$2:$BR$2,$BH186:$BR186,0),0)</f>
        <v>0</v>
      </c>
      <c r="JX186" s="26" t="e">
        <f>IF(JX$2=InputTable[[#This Row],[Delivery Date]],_xlfn.XLOOKUP(JX$1,$BH$2:$BR$2,$BH186:$BR186,0),0)</f>
        <v>#REF!</v>
      </c>
      <c r="JY186" s="26">
        <f>IF(JY$2=InputTable[[#This Row],[Delivery Date]],_xlfn.XLOOKUP(JY$1,$BH$2:$BR$2,$BH186:$BR186,0),0)</f>
        <v>0</v>
      </c>
      <c r="JZ186" s="26">
        <f>IF(JZ$2=InputTable[[#This Row],[Delivery Date]],_xlfn.XLOOKUP(JZ$1,$BH$2:$BR$2,$BH186:$BR186,0),0)</f>
        <v>0</v>
      </c>
      <c r="KA186" s="26">
        <f>IF(KA$2=InputTable[[#This Row],[Delivery Date]],_xlfn.XLOOKUP(KA$1,$BH$2:$BR$2,$BH186:$BR186,0),0)</f>
        <v>0</v>
      </c>
      <c r="KB186" s="26">
        <f>IF(KB$2=InputTable[[#This Row],[Delivery Date]],_xlfn.XLOOKUP(KB$1,$BH$2:$BR$2,$BH186:$BR186,0),0)</f>
        <v>0</v>
      </c>
      <c r="KC186" s="26">
        <f>IF(KC$2=InputTable[[#This Row],[Delivery Date]],_xlfn.XLOOKUP(KC$1,$BH$2:$BR$2,$BH186:$BR186,0),0)</f>
        <v>0</v>
      </c>
      <c r="KD186" s="26">
        <f>IF(KD$2=InputTable[[#This Row],[Delivery Date]],_xlfn.XLOOKUP(KD$1,$BH$2:$BR$2,$BH186:$BR186,0),0)</f>
        <v>0</v>
      </c>
      <c r="KE186" s="26">
        <f>IF(KE$2=InputTable[[#This Row],[Delivery Date]],_xlfn.XLOOKUP(KE$1,$BH$2:$BR$2,$BH186:$BR186,0),0)</f>
        <v>0</v>
      </c>
      <c r="KF186" s="26">
        <f>IF(KF$2=InputTable[[#This Row],[Delivery Date]],_xlfn.XLOOKUP(KF$1,$BH$2:$BR$2,$BH186:$BR186,0),0)</f>
        <v>0</v>
      </c>
    </row>
    <row r="187" spans="1:292" ht="34.799999999999997" x14ac:dyDescent="0.25">
      <c r="A187" s="125"/>
      <c r="B187" s="118"/>
      <c r="C187" s="92"/>
      <c r="D187" s="92"/>
      <c r="E187" s="103"/>
      <c r="F187" s="104"/>
      <c r="G187" s="104"/>
      <c r="H187" s="104"/>
      <c r="I187" s="104"/>
      <c r="J187" s="105"/>
      <c r="K187" s="95" t="e">
        <f>VLOOKUP((InputTable[[#This Row],[Starting Date]]&amp; " - " &amp;InputTable[[#This Row],[Delivery Date]]),'System List'!$F$40:$H$83,2,FALSE)</f>
        <v>#N/A</v>
      </c>
      <c r="L187" s="95" t="e">
        <f>VLOOKUP(InputTable[[#This Row],[Duration]],Duration,2,FALSE)</f>
        <v>#N/A</v>
      </c>
      <c r="M187" s="105"/>
      <c r="N187" s="104"/>
      <c r="O187" s="104"/>
      <c r="P187" s="104"/>
      <c r="Q187" s="104"/>
      <c r="R187" s="104"/>
      <c r="S187" s="92"/>
      <c r="T187" s="95"/>
      <c r="U187" s="138"/>
      <c r="V187" s="104"/>
      <c r="W187" s="104"/>
      <c r="X187" s="104"/>
      <c r="Y187" s="104"/>
      <c r="Z187" s="104"/>
      <c r="AA187" s="104"/>
      <c r="AB187" s="104"/>
      <c r="AC187" s="104"/>
      <c r="AD187" s="92">
        <f>COUNTA(InputTable[[#This Row],[CORPHRFIN]:[SALES]])</f>
        <v>0</v>
      </c>
      <c r="AE187" s="88" cm="1">
        <f t="array" ref="AE187">SUM(
_xlfn.XLOOKUP(InputTable[[#This Row],[CORPHRFIN]:[SALES]],'System List'!$F$4:$F$7,'System List'!$H$4:$H$7,0))</f>
        <v>0</v>
      </c>
      <c r="AF187" s="140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88" cm="1">
        <f t="array" ref="AR187">SUM(
_xlfn.XLOOKUP(InputTable[[#This Row],[Impact on - CIAL]:[Impact on - STRAT]],'System List'!$F$4:$F$7,'System List'!$H$4:$H$7,0))</f>
        <v>0</v>
      </c>
      <c r="AS187" s="88" t="e">
        <f>VLOOKUP(InputTable[[#This Row],[Duration]],Duration,2,FALSE)+InputTable[[#This Row],[Resource Score]]</f>
        <v>#N/A</v>
      </c>
      <c r="AT18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7" s="24" t="e">
        <f>InputTable[[#This Row],[Value Score]]/InputTable[[#This Row],[EFFORT SCORE]]*100</f>
        <v>#N/A</v>
      </c>
      <c r="AV187" s="25" t="s">
        <v>478</v>
      </c>
      <c r="AW187" s="25"/>
      <c r="AX187" s="144"/>
      <c r="AY187" s="25"/>
      <c r="AZ187" s="189">
        <v>0</v>
      </c>
      <c r="BA187" s="189">
        <v>0</v>
      </c>
      <c r="BB187" s="189"/>
      <c r="BC187" s="189"/>
      <c r="BD187" s="188"/>
      <c r="BE187" s="188"/>
      <c r="BF187" s="70"/>
      <c r="BH187" s="2">
        <f>IFERROR(VLOOKUP(InputTable[[#This Row],[Impact on - CIAL]],'System List'!$F$4:$H$7,3,FALSE),0)</f>
        <v>0</v>
      </c>
      <c r="BI187" s="2">
        <f>IFERROR(VLOOKUP(InputTable[[#This Row],[Impact on - COM]],'System List'!$F$4:$H$7,3,FALSE),0)</f>
        <v>0</v>
      </c>
      <c r="BJ187" s="2">
        <f>IFERROR(VLOOKUP(InputTable[[#This Row],[Impact on - FIN]],'System List'!$F$4:$H$7,3,FALSE),0)</f>
        <v>0</v>
      </c>
      <c r="BK187" s="2">
        <f>IFERROR(VLOOKUP(InputTable[[#This Row],[Impact on - GEN SEC]],'System List'!$F$4:$H$7,3,FALSE),0)</f>
        <v>0</v>
      </c>
      <c r="BL187" s="2">
        <f>IFERROR(VLOOKUP(InputTable[[#This Row],[Impact on - HR]],'System List'!$F$4:$H$7,3,FALSE),0)</f>
        <v>0</v>
      </c>
      <c r="BM187" s="2">
        <f>IFERROR(VLOOKUP(InputTable[[#This Row],[Impact on - IS]],'System List'!$F$4:$H$7,3,FALSE),0)</f>
        <v>0</v>
      </c>
      <c r="BN187" s="2">
        <f>IFERROR(VLOOKUP(InputTable[[#This Row],[Impact on - OPS]],'System List'!$F$4:$H$7,3,FALSE),0)</f>
        <v>0</v>
      </c>
      <c r="BO187" s="2">
        <f>IFERROR(VLOOKUP(InputTable[[#This Row],[Impact on - ROLL STOCK]],'System List'!$F$4:$H$7,3,FALSE),0)</f>
        <v>0</v>
      </c>
      <c r="BP187" s="2">
        <f>IFERROR(VLOOKUP(InputTable[[#This Row],[Impact on - SAFETY]],'System List'!$F$4:$H$7,3,FALSE),0)</f>
        <v>0</v>
      </c>
      <c r="BQ187" s="2">
        <f>IFERROR(VLOOKUP(InputTable[[#This Row],[Impact on - STATION]],'System List'!$F$4:$H$7,3,FALSE),0)</f>
        <v>0</v>
      </c>
      <c r="BR187" s="2">
        <f>IFERROR(VLOOKUP(InputTable[[#This Row],[Impact on - STRAT]],'System List'!$F$4:$H$7,3,FALSE),0)</f>
        <v>0</v>
      </c>
      <c r="BT187" s="2">
        <f>IFERROR(VLOOKUP(InputTable[[#This Row],[CORPHRFIN]],'System List'!$F$4:$H$7,3,FALSE),0)</f>
        <v>0</v>
      </c>
      <c r="BU187" s="2">
        <f>IFERROR(VLOOKUP(InputTable[[#This Row],[CUST]],'System List'!$F$4:$H$7,3,FALSE),0)</f>
        <v>0</v>
      </c>
      <c r="BV187" s="2">
        <f>IFERROR(VLOOKUP(InputTable[[#This Row],[CYBER]],'System List'!$F$4:$H$7,3,FALSE),0)</f>
        <v>0</v>
      </c>
      <c r="BW187" s="2">
        <f>IFERROR(VLOOKUP(InputTable[[#This Row],[DATA]],'System List'!$F$4:$H$7,3,FALSE),0)</f>
        <v>0</v>
      </c>
      <c r="BX187" s="2">
        <f>IFERROR(VLOOKUP(InputTable[[#This Row],[INFRA]],'System List'!$F$4:$H$7,3,FALSE),0)</f>
        <v>0</v>
      </c>
      <c r="BY187" s="2">
        <f>IFERROR(VLOOKUP(InputTable[[#This Row],[OPERATIONS]],'System List'!$F$4:$H$7,3,FALSE),0)</f>
        <v>0</v>
      </c>
      <c r="BZ187" s="2">
        <f>IFERROR(VLOOKUP(InputTable[[#This Row],[PMO]],'System List'!$F$4:$H$7,3,FALSE),0)</f>
        <v>0</v>
      </c>
      <c r="CA187" s="2">
        <f>IFERROR(VLOOKUP(InputTable[[#This Row],[SALES]],'System List'!$F$4:$H$7,3,FALSE),0)</f>
        <v>0</v>
      </c>
      <c r="CC187" s="2" cm="1">
        <f t="array" ref="CC18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7" s="2" cm="1">
        <f t="array" ref="CD18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7" s="2" cm="1">
        <f t="array" ref="CE18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7" s="2" cm="1">
        <f t="array" ref="CF18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7" s="2" cm="1">
        <f t="array" ref="CG18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7" s="2" cm="1">
        <f t="array" ref="CH18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7" s="2" cm="1">
        <f t="array" ref="CI18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7" s="2" cm="1">
        <f t="array" ref="CJ18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7" s="2" cm="1">
        <f t="array" ref="CK18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7" s="26">
        <f t="shared" si="451"/>
        <v>0</v>
      </c>
      <c r="CY187" s="26">
        <f t="shared" si="452"/>
        <v>0</v>
      </c>
      <c r="CZ187" s="26">
        <f t="shared" si="453"/>
        <v>0</v>
      </c>
      <c r="DA187" s="26">
        <f t="shared" si="454"/>
        <v>0</v>
      </c>
      <c r="DB187" s="26">
        <f t="shared" si="455"/>
        <v>0</v>
      </c>
      <c r="DC187" s="26">
        <f t="shared" si="456"/>
        <v>0</v>
      </c>
      <c r="DD187" s="26">
        <f t="shared" si="457"/>
        <v>0</v>
      </c>
      <c r="DE187" s="26">
        <f t="shared" si="458"/>
        <v>0</v>
      </c>
      <c r="DF187" s="26">
        <f t="shared" si="459"/>
        <v>0</v>
      </c>
      <c r="DH187" s="26">
        <f t="shared" si="460"/>
        <v>0</v>
      </c>
      <c r="DI187" s="26">
        <f t="shared" si="461"/>
        <v>0</v>
      </c>
      <c r="DJ187" s="26">
        <f t="shared" si="462"/>
        <v>0</v>
      </c>
      <c r="DK187" s="26">
        <f t="shared" si="463"/>
        <v>0</v>
      </c>
      <c r="DL187" s="26">
        <f t="shared" si="464"/>
        <v>0</v>
      </c>
      <c r="DM187" s="26">
        <f t="shared" si="465"/>
        <v>0</v>
      </c>
      <c r="DN187" s="26">
        <f t="shared" si="466"/>
        <v>0</v>
      </c>
      <c r="DO187" s="26">
        <f t="shared" si="467"/>
        <v>0</v>
      </c>
      <c r="DP187" s="26">
        <f t="shared" si="468"/>
        <v>0</v>
      </c>
      <c r="DR187" s="26">
        <f t="shared" si="469"/>
        <v>0</v>
      </c>
      <c r="DS187" s="26">
        <f t="shared" si="470"/>
        <v>0</v>
      </c>
      <c r="DT187" s="26">
        <f t="shared" si="471"/>
        <v>0</v>
      </c>
      <c r="DU187" s="26">
        <f t="shared" si="472"/>
        <v>0</v>
      </c>
      <c r="DV187" s="26">
        <f t="shared" si="473"/>
        <v>0</v>
      </c>
      <c r="DW187" s="26">
        <f t="shared" si="474"/>
        <v>0</v>
      </c>
      <c r="DX187" s="26">
        <f t="shared" si="475"/>
        <v>0</v>
      </c>
      <c r="DY187" s="26">
        <f t="shared" si="476"/>
        <v>0</v>
      </c>
      <c r="DZ187" s="26">
        <f t="shared" si="477"/>
        <v>0</v>
      </c>
      <c r="EB187" s="26">
        <f t="shared" si="478"/>
        <v>0</v>
      </c>
      <c r="EC187" s="26">
        <f t="shared" si="479"/>
        <v>0</v>
      </c>
      <c r="ED187" s="26">
        <f t="shared" si="480"/>
        <v>0</v>
      </c>
      <c r="EE187" s="26">
        <f t="shared" si="481"/>
        <v>0</v>
      </c>
      <c r="EF187" s="26">
        <f t="shared" si="482"/>
        <v>0</v>
      </c>
      <c r="EG187" s="26">
        <f t="shared" si="483"/>
        <v>0</v>
      </c>
      <c r="EH187" s="26">
        <f t="shared" si="484"/>
        <v>0</v>
      </c>
      <c r="EI187" s="26">
        <f t="shared" si="485"/>
        <v>0</v>
      </c>
      <c r="EJ187" s="26">
        <f t="shared" si="486"/>
        <v>0</v>
      </c>
      <c r="EL187" s="26">
        <f t="shared" si="487"/>
        <v>0</v>
      </c>
      <c r="EM187" s="26">
        <f t="shared" si="488"/>
        <v>0</v>
      </c>
      <c r="EN187" s="26">
        <f t="shared" si="489"/>
        <v>0</v>
      </c>
      <c r="EO187" s="26">
        <f t="shared" si="490"/>
        <v>0</v>
      </c>
      <c r="EP187" s="26">
        <f t="shared" si="491"/>
        <v>0</v>
      </c>
      <c r="EQ187" s="26">
        <f t="shared" si="492"/>
        <v>0</v>
      </c>
      <c r="ER187" s="26">
        <f t="shared" si="493"/>
        <v>0</v>
      </c>
      <c r="ES187" s="26">
        <f t="shared" si="494"/>
        <v>0</v>
      </c>
      <c r="ET187" s="26">
        <f t="shared" si="495"/>
        <v>0</v>
      </c>
      <c r="EV187" s="26">
        <f t="shared" si="496"/>
        <v>0</v>
      </c>
      <c r="EW187" s="26">
        <f t="shared" si="497"/>
        <v>0</v>
      </c>
      <c r="EX187" s="26">
        <f t="shared" si="498"/>
        <v>0</v>
      </c>
      <c r="EY187" s="26">
        <f t="shared" si="499"/>
        <v>0</v>
      </c>
      <c r="EZ187" s="26">
        <f t="shared" si="500"/>
        <v>0</v>
      </c>
      <c r="FA187" s="26">
        <f t="shared" si="501"/>
        <v>0</v>
      </c>
      <c r="FB187" s="26">
        <f t="shared" si="502"/>
        <v>0</v>
      </c>
      <c r="FC187" s="26">
        <f t="shared" si="503"/>
        <v>0</v>
      </c>
      <c r="FD187" s="26">
        <f t="shared" si="504"/>
        <v>0</v>
      </c>
      <c r="FF187" s="26">
        <f t="shared" si="505"/>
        <v>0</v>
      </c>
      <c r="FG187" s="26">
        <f t="shared" si="506"/>
        <v>0</v>
      </c>
      <c r="FH187" s="26">
        <f t="shared" si="507"/>
        <v>0</v>
      </c>
      <c r="FI187" s="26">
        <f t="shared" si="508"/>
        <v>0</v>
      </c>
      <c r="FJ187" s="26">
        <f t="shared" si="509"/>
        <v>0</v>
      </c>
      <c r="FK187" s="26">
        <f t="shared" si="510"/>
        <v>0</v>
      </c>
      <c r="FL187" s="26">
        <f t="shared" si="511"/>
        <v>0</v>
      </c>
      <c r="FM187" s="26">
        <f t="shared" si="512"/>
        <v>0</v>
      </c>
      <c r="FN187" s="26">
        <f t="shared" si="513"/>
        <v>0</v>
      </c>
      <c r="FP187" s="26" t="e">
        <f t="shared" si="514"/>
        <v>#REF!</v>
      </c>
      <c r="FQ187" s="26" t="e">
        <f t="shared" si="515"/>
        <v>#REF!</v>
      </c>
      <c r="FR187" s="26" t="e">
        <f t="shared" si="516"/>
        <v>#REF!</v>
      </c>
      <c r="FS187" s="26" t="e">
        <f t="shared" si="517"/>
        <v>#REF!</v>
      </c>
      <c r="FT187" s="26" t="e">
        <f t="shared" si="518"/>
        <v>#REF!</v>
      </c>
      <c r="FU187" s="26" t="e">
        <f t="shared" si="519"/>
        <v>#REF!</v>
      </c>
      <c r="FV187" s="26" t="e">
        <f t="shared" si="520"/>
        <v>#REF!</v>
      </c>
      <c r="FW187" s="26" t="e">
        <f t="shared" si="521"/>
        <v>#REF!</v>
      </c>
      <c r="FX187" s="26" t="e">
        <f t="shared" si="522"/>
        <v>#REF!</v>
      </c>
      <c r="GB187" s="26" t="e">
        <f>IF(GB$2=InputTable[[#This Row],[Delivery Date]],_xlfn.XLOOKUP(GB$1,$BH$2:$BR$2,$BH187:$BR187,0),0)</f>
        <v>#REF!</v>
      </c>
      <c r="GC187" s="26">
        <f>IF(GC$2=InputTable[[#This Row],[Delivery Date]],_xlfn.XLOOKUP(GC$1,$BH$2:$BR$2,$BH187:$BR187,0),0)</f>
        <v>0</v>
      </c>
      <c r="GD187" s="26">
        <f>IF(GD$2=InputTable[[#This Row],[Delivery Date]],_xlfn.XLOOKUP(GD$1,$BH$2:$BR$2,$BH187:$BR187,0),0)</f>
        <v>0</v>
      </c>
      <c r="GE187" s="26">
        <f>IF(GE$2=InputTable[[#This Row],[Delivery Date]],_xlfn.XLOOKUP(GE$1,$BH$2:$BR$2,$BH187:$BR187,0),0)</f>
        <v>0</v>
      </c>
      <c r="GF187" s="26">
        <f>IF(GF$2=InputTable[[#This Row],[Delivery Date]],_xlfn.XLOOKUP(GF$1,$BH$2:$BR$2,$BH187:$BR187,0),0)</f>
        <v>0</v>
      </c>
      <c r="GG187" s="26">
        <f>IF(GG$2=InputTable[[#This Row],[Delivery Date]],_xlfn.XLOOKUP(GG$1,$BH$2:$BR$2,$BH187:$BR187,0),0)</f>
        <v>0</v>
      </c>
      <c r="GH187" s="26">
        <f>IF(GH$2=InputTable[[#This Row],[Delivery Date]],_xlfn.XLOOKUP(GH$1,$BH$2:$BR$2,$BH187:$BR187,0),0)</f>
        <v>0</v>
      </c>
      <c r="GI187" s="26">
        <f>IF(GI$2=InputTable[[#This Row],[Delivery Date]],_xlfn.XLOOKUP(GI$1,$BH$2:$BR$2,$BH187:$BR187,0),0)</f>
        <v>0</v>
      </c>
      <c r="GJ187" s="26">
        <f>IF(GJ$2=InputTable[[#This Row],[Delivery Date]],_xlfn.XLOOKUP(GJ$1,$BH$2:$BR$2,$BH187:$BR187,0),0)</f>
        <v>0</v>
      </c>
      <c r="GL187" s="26" t="e">
        <f>IF(GL$2=InputTable[[#This Row],[Delivery Date]],_xlfn.XLOOKUP(GL$1,$BH$2:$BR$2,$BH187:$BR187,0),0)</f>
        <v>#REF!</v>
      </c>
      <c r="GM187" s="26">
        <f>IF(GM$2=InputTable[[#This Row],[Delivery Date]],_xlfn.XLOOKUP(GM$1,$BH$2:$BR$2,$BH187:$BR187,0),0)</f>
        <v>0</v>
      </c>
      <c r="GN187" s="26">
        <f>IF(GN$2=InputTable[[#This Row],[Delivery Date]],_xlfn.XLOOKUP(GN$1,$BH$2:$BR$2,$BH187:$BR187,0),0)</f>
        <v>0</v>
      </c>
      <c r="GO187" s="26">
        <f>IF(GO$2=InputTable[[#This Row],[Delivery Date]],_xlfn.XLOOKUP(GO$1,$BH$2:$BR$2,$BH187:$BR187,0),0)</f>
        <v>0</v>
      </c>
      <c r="GP187" s="26">
        <f>IF(GP$2=InputTable[[#This Row],[Delivery Date]],_xlfn.XLOOKUP(GP$1,$BH$2:$BR$2,$BH187:$BR187,0),0)</f>
        <v>0</v>
      </c>
      <c r="GQ187" s="26">
        <f>IF(GQ$2=InputTable[[#This Row],[Delivery Date]],_xlfn.XLOOKUP(GQ$1,$BH$2:$BR$2,$BH187:$BR187,0),0)</f>
        <v>0</v>
      </c>
      <c r="GR187" s="26">
        <f>IF(GR$2=InputTable[[#This Row],[Delivery Date]],_xlfn.XLOOKUP(GR$1,$BH$2:$BR$2,$BH187:$BR187,0),0)</f>
        <v>0</v>
      </c>
      <c r="GS187" s="26">
        <f>IF(GS$2=InputTable[[#This Row],[Delivery Date]],_xlfn.XLOOKUP(GS$1,$BH$2:$BR$2,$BH187:$BR187,0),0)</f>
        <v>0</v>
      </c>
      <c r="GT187" s="26">
        <f>IF(GT$2=InputTable[[#This Row],[Delivery Date]],_xlfn.XLOOKUP(GT$1,$BH$2:$BR$2,$BH187:$BR187,0),0)</f>
        <v>0</v>
      </c>
      <c r="GV187" s="26" t="e">
        <f>IF(GV$2=InputTable[[#This Row],[Delivery Date]],_xlfn.XLOOKUP(GV$1,$BH$2:$BR$2,$BH187:$BR187,0),0)</f>
        <v>#REF!</v>
      </c>
      <c r="GW187" s="26">
        <f>IF(GW$2=InputTable[[#This Row],[Delivery Date]],_xlfn.XLOOKUP(GW$1,$BH$2:$BR$2,$BH187:$BR187,0),0)</f>
        <v>0</v>
      </c>
      <c r="GX187" s="26">
        <f>IF(GX$2=InputTable[[#This Row],[Delivery Date]],_xlfn.XLOOKUP(GX$1,$BH$2:$BR$2,$BH187:$BR187,0),0)</f>
        <v>0</v>
      </c>
      <c r="GY187" s="26">
        <f>IF(GY$2=InputTable[[#This Row],[Delivery Date]],_xlfn.XLOOKUP(GY$1,$BH$2:$BR$2,$BH187:$BR187,0),0)</f>
        <v>0</v>
      </c>
      <c r="GZ187" s="26">
        <f>IF(GZ$2=InputTable[[#This Row],[Delivery Date]],_xlfn.XLOOKUP(GZ$1,$BH$2:$BR$2,$BH187:$BR187,0),0)</f>
        <v>0</v>
      </c>
      <c r="HA187" s="26">
        <f>IF(HA$2=InputTable[[#This Row],[Delivery Date]],_xlfn.XLOOKUP(HA$1,$BH$2:$BR$2,$BH187:$BR187,0),0)</f>
        <v>0</v>
      </c>
      <c r="HB187" s="26">
        <f>IF(HB$2=InputTable[[#This Row],[Delivery Date]],_xlfn.XLOOKUP(HB$1,$BH$2:$BR$2,$BH187:$BR187,0),0)</f>
        <v>0</v>
      </c>
      <c r="HC187" s="26">
        <f>IF(HC$2=InputTable[[#This Row],[Delivery Date]],_xlfn.XLOOKUP(HC$1,$BH$2:$BR$2,$BH187:$BR187,0),0)</f>
        <v>0</v>
      </c>
      <c r="HD187" s="26">
        <f>IF(HD$2=InputTable[[#This Row],[Delivery Date]],_xlfn.XLOOKUP(HD$1,$BH$2:$BR$2,$BH187:$BR187,0),0)</f>
        <v>0</v>
      </c>
      <c r="HF187" s="26" t="e">
        <f>IF(HF$2=InputTable[[#This Row],[Delivery Date]],_xlfn.XLOOKUP(HF$1,$BH$2:$BR$2,$BH187:$BR187,0),0)</f>
        <v>#REF!</v>
      </c>
      <c r="HG187" s="26">
        <f>IF(HG$2=InputTable[[#This Row],[Delivery Date]],_xlfn.XLOOKUP(HG$1,$BH$2:$BR$2,$BH187:$BR187,0),0)</f>
        <v>0</v>
      </c>
      <c r="HH187" s="26">
        <f>IF(HH$2=InputTable[[#This Row],[Delivery Date]],_xlfn.XLOOKUP(HH$1,$BH$2:$BR$2,$BH187:$BR187,0),0)</f>
        <v>0</v>
      </c>
      <c r="HI187" s="26">
        <f>IF(HI$2=InputTable[[#This Row],[Delivery Date]],_xlfn.XLOOKUP(HI$1,$BH$2:$BR$2,$BH187:$BR187,0),0)</f>
        <v>0</v>
      </c>
      <c r="HJ187" s="26">
        <f>IF(HJ$2=InputTable[[#This Row],[Delivery Date]],_xlfn.XLOOKUP(HJ$1,$BH$2:$BR$2,$BH187:$BR187,0),0)</f>
        <v>0</v>
      </c>
      <c r="HK187" s="26">
        <f>IF(HK$2=InputTable[[#This Row],[Delivery Date]],_xlfn.XLOOKUP(HK$1,$BH$2:$BR$2,$BH187:$BR187,0),0)</f>
        <v>0</v>
      </c>
      <c r="HL187" s="26">
        <f>IF(HL$2=InputTable[[#This Row],[Delivery Date]],_xlfn.XLOOKUP(HL$1,$BH$2:$BR$2,$BH187:$BR187,0),0)</f>
        <v>0</v>
      </c>
      <c r="HM187" s="26">
        <f>IF(HM$2=InputTable[[#This Row],[Delivery Date]],_xlfn.XLOOKUP(HM$1,$BH$2:$BR$2,$BH187:$BR187,0),0)</f>
        <v>0</v>
      </c>
      <c r="HN187" s="26">
        <f>IF(HN$2=InputTable[[#This Row],[Delivery Date]],_xlfn.XLOOKUP(HN$1,$BH$2:$BR$2,$BH187:$BR187,0),0)</f>
        <v>0</v>
      </c>
      <c r="HP187" s="26" t="e">
        <f>IF(HP$2=InputTable[[#This Row],[Delivery Date]],_xlfn.XLOOKUP(HP$1,$BH$2:$BR$2,$BH187:$BR187,0),0)</f>
        <v>#REF!</v>
      </c>
      <c r="HQ187" s="26">
        <f>IF(HQ$2=InputTable[[#This Row],[Delivery Date]],_xlfn.XLOOKUP(HQ$1,$BH$2:$BR$2,$BH187:$BR187,0),0)</f>
        <v>0</v>
      </c>
      <c r="HR187" s="26">
        <f>IF(HR$2=InputTable[[#This Row],[Delivery Date]],_xlfn.XLOOKUP(HR$1,$BH$2:$BR$2,$BH187:$BR187,0),0)</f>
        <v>0</v>
      </c>
      <c r="HS187" s="26">
        <f>IF(HS$2=InputTable[[#This Row],[Delivery Date]],_xlfn.XLOOKUP(HS$1,$BH$2:$BR$2,$BH187:$BR187,0),0)</f>
        <v>0</v>
      </c>
      <c r="HT187" s="26">
        <f>IF(HT$2=InputTable[[#This Row],[Delivery Date]],_xlfn.XLOOKUP(HT$1,$BH$2:$BR$2,$BH187:$BR187,0),0)</f>
        <v>0</v>
      </c>
      <c r="HU187" s="26">
        <f>IF(HU$2=InputTable[[#This Row],[Delivery Date]],_xlfn.XLOOKUP(HU$1,$BH$2:$BR$2,$BH187:$BR187,0),0)</f>
        <v>0</v>
      </c>
      <c r="HV187" s="26">
        <f>IF(HV$2=InputTable[[#This Row],[Delivery Date]],_xlfn.XLOOKUP(HV$1,$BH$2:$BR$2,$BH187:$BR187,0),0)</f>
        <v>0</v>
      </c>
      <c r="HW187" s="26">
        <f>IF(HW$2=InputTable[[#This Row],[Delivery Date]],_xlfn.XLOOKUP(HW$1,$BH$2:$BR$2,$BH187:$BR187,0),0)</f>
        <v>0</v>
      </c>
      <c r="HX187" s="26">
        <f>IF(HX$2=InputTable[[#This Row],[Delivery Date]],_xlfn.XLOOKUP(HX$1,$BH$2:$BR$2,$BH187:$BR187,0),0)</f>
        <v>0</v>
      </c>
      <c r="HZ187" s="26" t="e">
        <f>IF(HZ$2=InputTable[[#This Row],[Delivery Date]],_xlfn.XLOOKUP(HZ$1,$BH$2:$BR$2,$BH187:$BR187,0),0)</f>
        <v>#REF!</v>
      </c>
      <c r="IA187" s="26">
        <f>IF(IA$2=InputTable[[#This Row],[Delivery Date]],_xlfn.XLOOKUP(IA$1,$BH$2:$BR$2,$BH187:$BR187,0),0)</f>
        <v>0</v>
      </c>
      <c r="IB187" s="26">
        <f>IF(IB$2=InputTable[[#This Row],[Delivery Date]],_xlfn.XLOOKUP(IB$1,$BH$2:$BR$2,$BH187:$BR187,0),0)</f>
        <v>0</v>
      </c>
      <c r="IC187" s="26">
        <f>IF(IC$2=InputTable[[#This Row],[Delivery Date]],_xlfn.XLOOKUP(IC$1,$BH$2:$BR$2,$BH187:$BR187,0),0)</f>
        <v>0</v>
      </c>
      <c r="ID187" s="26">
        <f>IF(ID$2=InputTable[[#This Row],[Delivery Date]],_xlfn.XLOOKUP(ID$1,$BH$2:$BR$2,$BH187:$BR187,0),0)</f>
        <v>0</v>
      </c>
      <c r="IE187" s="26">
        <f>IF(IE$2=InputTable[[#This Row],[Delivery Date]],_xlfn.XLOOKUP(IE$1,$BH$2:$BR$2,$BH187:$BR187,0),0)</f>
        <v>0</v>
      </c>
      <c r="IF187" s="26">
        <f>IF(IF$2=InputTable[[#This Row],[Delivery Date]],_xlfn.XLOOKUP(IF$1,$BH$2:$BR$2,$BH187:$BR187,0),0)</f>
        <v>0</v>
      </c>
      <c r="IG187" s="26">
        <f>IF(IG$2=InputTable[[#This Row],[Delivery Date]],_xlfn.XLOOKUP(IG$1,$BH$2:$BR$2,$BH187:$BR187,0),0)</f>
        <v>0</v>
      </c>
      <c r="IH187" s="26">
        <f>IF(IH$2=InputTable[[#This Row],[Delivery Date]],_xlfn.XLOOKUP(IH$1,$BH$2:$BR$2,$BH187:$BR187,0),0)</f>
        <v>0</v>
      </c>
      <c r="IJ187" s="26" t="e">
        <f>IF(IJ$2=InputTable[[#This Row],[Delivery Date]],_xlfn.XLOOKUP(IJ$1,$BH$2:$BR$2,$BH187:$BR187,0),0)</f>
        <v>#REF!</v>
      </c>
      <c r="IK187" s="26">
        <f>IF(IK$2=InputTable[[#This Row],[Delivery Date]],_xlfn.XLOOKUP(IK$1,$BH$2:$BR$2,$BH187:$BR187,0),0)</f>
        <v>0</v>
      </c>
      <c r="IL187" s="26">
        <f>IF(IL$2=InputTable[[#This Row],[Delivery Date]],_xlfn.XLOOKUP(IL$1,$BH$2:$BR$2,$BH187:$BR187,0),0)</f>
        <v>0</v>
      </c>
      <c r="IM187" s="26">
        <f>IF(IM$2=InputTable[[#This Row],[Delivery Date]],_xlfn.XLOOKUP(IM$1,$BH$2:$BR$2,$BH187:$BR187,0),0)</f>
        <v>0</v>
      </c>
      <c r="IN187" s="26">
        <f>IF(IN$2=InputTable[[#This Row],[Delivery Date]],_xlfn.XLOOKUP(IN$1,$BH$2:$BR$2,$BH187:$BR187,0),0)</f>
        <v>0</v>
      </c>
      <c r="IO187" s="26">
        <f>IF(IO$2=InputTable[[#This Row],[Delivery Date]],_xlfn.XLOOKUP(IO$1,$BH$2:$BR$2,$BH187:$BR187,0),0)</f>
        <v>0</v>
      </c>
      <c r="IP187" s="26">
        <f>IF(IP$2=InputTable[[#This Row],[Delivery Date]],_xlfn.XLOOKUP(IP$1,$BH$2:$BR$2,$BH187:$BR187,0),0)</f>
        <v>0</v>
      </c>
      <c r="IQ187" s="26">
        <f>IF(IQ$2=InputTable[[#This Row],[Delivery Date]],_xlfn.XLOOKUP(IQ$1,$BH$2:$BR$2,$BH187:$BR187,0),0)</f>
        <v>0</v>
      </c>
      <c r="IR187" s="26">
        <f>IF(IR$2=InputTable[[#This Row],[Delivery Date]],_xlfn.XLOOKUP(IR$1,$BH$2:$BR$2,$BH187:$BR187,0),0)</f>
        <v>0</v>
      </c>
      <c r="IT187" s="26" t="e">
        <f>IF(IT$2=InputTable[[#This Row],[Delivery Date]],_xlfn.XLOOKUP(IT$1,$BH$2:$BR$2,$BH187:$BR187,0),0)</f>
        <v>#REF!</v>
      </c>
      <c r="IU187" s="26">
        <f>IF(IU$2=InputTable[[#This Row],[Delivery Date]],_xlfn.XLOOKUP(IU$1,$BH$2:$BR$2,$BH187:$BR187,0),0)</f>
        <v>0</v>
      </c>
      <c r="IV187" s="26">
        <f>IF(IV$2=InputTable[[#This Row],[Delivery Date]],_xlfn.XLOOKUP(IV$1,$BH$2:$BR$2,$BH187:$BR187,0),0)</f>
        <v>0</v>
      </c>
      <c r="IW187" s="26">
        <f>IF(IW$2=InputTable[[#This Row],[Delivery Date]],_xlfn.XLOOKUP(IW$1,$BH$2:$BR$2,$BH187:$BR187,0),0)</f>
        <v>0</v>
      </c>
      <c r="IX187" s="26">
        <f>IF(IX$2=InputTable[[#This Row],[Delivery Date]],_xlfn.XLOOKUP(IX$1,$BH$2:$BR$2,$BH187:$BR187,0),0)</f>
        <v>0</v>
      </c>
      <c r="IY187" s="26">
        <f>IF(IY$2=InputTable[[#This Row],[Delivery Date]],_xlfn.XLOOKUP(IY$1,$BH$2:$BR$2,$BH187:$BR187,0),0)</f>
        <v>0</v>
      </c>
      <c r="IZ187" s="26">
        <f>IF(IZ$2=InputTable[[#This Row],[Delivery Date]],_xlfn.XLOOKUP(IZ$1,$BH$2:$BR$2,$BH187:$BR187,0),0)</f>
        <v>0</v>
      </c>
      <c r="JA187" s="26">
        <f>IF(JA$2=InputTable[[#This Row],[Delivery Date]],_xlfn.XLOOKUP(JA$1,$BH$2:$BR$2,$BH187:$BR187,0),0)</f>
        <v>0</v>
      </c>
      <c r="JB187" s="26">
        <f>IF(JB$2=InputTable[[#This Row],[Delivery Date]],_xlfn.XLOOKUP(JB$1,$BH$2:$BR$2,$BH187:$BR187,0),0)</f>
        <v>0</v>
      </c>
      <c r="JD187" s="26" t="e">
        <f>IF(JD$2=InputTable[[#This Row],[Delivery Date]],_xlfn.XLOOKUP(JD$1,$BH$2:$BR$2,$BH187:$BR187,0),0)</f>
        <v>#REF!</v>
      </c>
      <c r="JE187" s="26">
        <f>IF(JE$2=InputTable[[#This Row],[Delivery Date]],_xlfn.XLOOKUP(JE$1,$BH$2:$BR$2,$BH187:$BR187,0),0)</f>
        <v>0</v>
      </c>
      <c r="JF187" s="26">
        <f>IF(JF$2=InputTable[[#This Row],[Delivery Date]],_xlfn.XLOOKUP(JF$1,$BH$2:$BR$2,$BH187:$BR187,0),0)</f>
        <v>0</v>
      </c>
      <c r="JG187" s="26">
        <f>IF(JG$2=InputTable[[#This Row],[Delivery Date]],_xlfn.XLOOKUP(JG$1,$BH$2:$BR$2,$BH187:$BR187,0),0)</f>
        <v>0</v>
      </c>
      <c r="JH187" s="26">
        <f>IF(JH$2=InputTable[[#This Row],[Delivery Date]],_xlfn.XLOOKUP(JH$1,$BH$2:$BR$2,$BH187:$BR187,0),0)</f>
        <v>0</v>
      </c>
      <c r="JI187" s="26">
        <f>IF(JI$2=InputTable[[#This Row],[Delivery Date]],_xlfn.XLOOKUP(JI$1,$BH$2:$BR$2,$BH187:$BR187,0),0)</f>
        <v>0</v>
      </c>
      <c r="JJ187" s="26">
        <f>IF(JJ$2=InputTable[[#This Row],[Delivery Date]],_xlfn.XLOOKUP(JJ$1,$BH$2:$BR$2,$BH187:$BR187,0),0)</f>
        <v>0</v>
      </c>
      <c r="JK187" s="26">
        <f>IF(JK$2=InputTable[[#This Row],[Delivery Date]],_xlfn.XLOOKUP(JK$1,$BH$2:$BR$2,$BH187:$BR187,0),0)</f>
        <v>0</v>
      </c>
      <c r="JL187" s="26">
        <f>IF(JL$2=InputTable[[#This Row],[Delivery Date]],_xlfn.XLOOKUP(JL$1,$BH$2:$BR$2,$BH187:$BR187,0),0)</f>
        <v>0</v>
      </c>
      <c r="JN187" s="26" t="e">
        <f>IF(JN$2=InputTable[[#This Row],[Delivery Date]],_xlfn.XLOOKUP(JN$1,$BH$2:$BR$2,$BH187:$BR187,0),0)</f>
        <v>#REF!</v>
      </c>
      <c r="JO187" s="26">
        <f>IF(JO$2=InputTable[[#This Row],[Delivery Date]],_xlfn.XLOOKUP(JO$1,$BH$2:$BR$2,$BH187:$BR187,0),0)</f>
        <v>0</v>
      </c>
      <c r="JP187" s="26">
        <f>IF(JP$2=InputTable[[#This Row],[Delivery Date]],_xlfn.XLOOKUP(JP$1,$BH$2:$BR$2,$BH187:$BR187,0),0)</f>
        <v>0</v>
      </c>
      <c r="JQ187" s="26">
        <f>IF(JQ$2=InputTable[[#This Row],[Delivery Date]],_xlfn.XLOOKUP(JQ$1,$BH$2:$BR$2,$BH187:$BR187,0),0)</f>
        <v>0</v>
      </c>
      <c r="JR187" s="26">
        <f>IF(JR$2=InputTable[[#This Row],[Delivery Date]],_xlfn.XLOOKUP(JR$1,$BH$2:$BR$2,$BH187:$BR187,0),0)</f>
        <v>0</v>
      </c>
      <c r="JS187" s="26">
        <f>IF(JS$2=InputTable[[#This Row],[Delivery Date]],_xlfn.XLOOKUP(JS$1,$BH$2:$BR$2,$BH187:$BR187,0),0)</f>
        <v>0</v>
      </c>
      <c r="JT187" s="26">
        <f>IF(JT$2=InputTable[[#This Row],[Delivery Date]],_xlfn.XLOOKUP(JT$1,$BH$2:$BR$2,$BH187:$BR187,0),0)</f>
        <v>0</v>
      </c>
      <c r="JU187" s="26">
        <f>IF(JU$2=InputTable[[#This Row],[Delivery Date]],_xlfn.XLOOKUP(JU$1,$BH$2:$BR$2,$BH187:$BR187,0),0)</f>
        <v>0</v>
      </c>
      <c r="JV187" s="26">
        <f>IF(JV$2=InputTable[[#This Row],[Delivery Date]],_xlfn.XLOOKUP(JV$1,$BH$2:$BR$2,$BH187:$BR187,0),0)</f>
        <v>0</v>
      </c>
      <c r="JX187" s="26" t="e">
        <f>IF(JX$2=InputTable[[#This Row],[Delivery Date]],_xlfn.XLOOKUP(JX$1,$BH$2:$BR$2,$BH187:$BR187,0),0)</f>
        <v>#REF!</v>
      </c>
      <c r="JY187" s="26">
        <f>IF(JY$2=InputTable[[#This Row],[Delivery Date]],_xlfn.XLOOKUP(JY$1,$BH$2:$BR$2,$BH187:$BR187,0),0)</f>
        <v>0</v>
      </c>
      <c r="JZ187" s="26">
        <f>IF(JZ$2=InputTable[[#This Row],[Delivery Date]],_xlfn.XLOOKUP(JZ$1,$BH$2:$BR$2,$BH187:$BR187,0),0)</f>
        <v>0</v>
      </c>
      <c r="KA187" s="26">
        <f>IF(KA$2=InputTable[[#This Row],[Delivery Date]],_xlfn.XLOOKUP(KA$1,$BH$2:$BR$2,$BH187:$BR187,0),0)</f>
        <v>0</v>
      </c>
      <c r="KB187" s="26">
        <f>IF(KB$2=InputTable[[#This Row],[Delivery Date]],_xlfn.XLOOKUP(KB$1,$BH$2:$BR$2,$BH187:$BR187,0),0)</f>
        <v>0</v>
      </c>
      <c r="KC187" s="26">
        <f>IF(KC$2=InputTable[[#This Row],[Delivery Date]],_xlfn.XLOOKUP(KC$1,$BH$2:$BR$2,$BH187:$BR187,0),0)</f>
        <v>0</v>
      </c>
      <c r="KD187" s="26">
        <f>IF(KD$2=InputTable[[#This Row],[Delivery Date]],_xlfn.XLOOKUP(KD$1,$BH$2:$BR$2,$BH187:$BR187,0),0)</f>
        <v>0</v>
      </c>
      <c r="KE187" s="26">
        <f>IF(KE$2=InputTable[[#This Row],[Delivery Date]],_xlfn.XLOOKUP(KE$1,$BH$2:$BR$2,$BH187:$BR187,0),0)</f>
        <v>0</v>
      </c>
      <c r="KF187" s="26">
        <f>IF(KF$2=InputTable[[#This Row],[Delivery Date]],_xlfn.XLOOKUP(KF$1,$BH$2:$BR$2,$BH187:$BR187,0),0)</f>
        <v>0</v>
      </c>
    </row>
    <row r="188" spans="1:292" ht="34.799999999999997" x14ac:dyDescent="0.25">
      <c r="A188" s="125"/>
      <c r="B188" s="118"/>
      <c r="C188" s="92"/>
      <c r="D188" s="92"/>
      <c r="E188" s="103"/>
      <c r="F188" s="104"/>
      <c r="G188" s="104"/>
      <c r="H188" s="104"/>
      <c r="I188" s="104"/>
      <c r="J188" s="105"/>
      <c r="K188" s="95" t="e">
        <f>VLOOKUP((InputTable[[#This Row],[Starting Date]]&amp; " - " &amp;InputTable[[#This Row],[Delivery Date]]),'System List'!$F$40:$H$83,2,FALSE)</f>
        <v>#N/A</v>
      </c>
      <c r="L188" s="95" t="e">
        <f>VLOOKUP(InputTable[[#This Row],[Duration]],Duration,2,FALSE)</f>
        <v>#N/A</v>
      </c>
      <c r="M188" s="105"/>
      <c r="N188" s="104"/>
      <c r="O188" s="104"/>
      <c r="P188" s="104"/>
      <c r="Q188" s="104"/>
      <c r="R188" s="104"/>
      <c r="S188" s="92"/>
      <c r="T188" s="95"/>
      <c r="U188" s="138"/>
      <c r="V188" s="104"/>
      <c r="W188" s="104"/>
      <c r="X188" s="104"/>
      <c r="Y188" s="104"/>
      <c r="Z188" s="104"/>
      <c r="AA188" s="104"/>
      <c r="AB188" s="104"/>
      <c r="AC188" s="104"/>
      <c r="AD188" s="92">
        <f>COUNTA(InputTable[[#This Row],[CORPHRFIN]:[SALES]])</f>
        <v>0</v>
      </c>
      <c r="AE188" s="88" cm="1">
        <f t="array" ref="AE188">SUM(
_xlfn.XLOOKUP(InputTable[[#This Row],[CORPHRFIN]:[SALES]],'System List'!$F$4:$F$7,'System List'!$H$4:$H$7,0))</f>
        <v>0</v>
      </c>
      <c r="AF188" s="140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88" cm="1">
        <f t="array" ref="AR188">SUM(
_xlfn.XLOOKUP(InputTable[[#This Row],[Impact on - CIAL]:[Impact on - STRAT]],'System List'!$F$4:$F$7,'System List'!$H$4:$H$7,0))</f>
        <v>0</v>
      </c>
      <c r="AS188" s="88" t="e">
        <f>VLOOKUP(InputTable[[#This Row],[Duration]],Duration,2,FALSE)+InputTable[[#This Row],[Resource Score]]</f>
        <v>#N/A</v>
      </c>
      <c r="AT18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8" s="24" t="e">
        <f>InputTable[[#This Row],[Value Score]]/InputTable[[#This Row],[EFFORT SCORE]]*100</f>
        <v>#N/A</v>
      </c>
      <c r="AV188" s="25" t="s">
        <v>479</v>
      </c>
      <c r="AW188" s="25"/>
      <c r="AX188" s="144"/>
      <c r="AY188" s="25"/>
      <c r="AZ188" s="189">
        <v>0</v>
      </c>
      <c r="BA188" s="189">
        <v>0</v>
      </c>
      <c r="BB188" s="189"/>
      <c r="BC188" s="189"/>
      <c r="BD188" s="188"/>
      <c r="BE188" s="188"/>
      <c r="BF188" s="70"/>
      <c r="BH188" s="2">
        <f>IFERROR(VLOOKUP(InputTable[[#This Row],[Impact on - CIAL]],'System List'!$F$4:$H$7,3,FALSE),0)</f>
        <v>0</v>
      </c>
      <c r="BI188" s="2">
        <f>IFERROR(VLOOKUP(InputTable[[#This Row],[Impact on - COM]],'System List'!$F$4:$H$7,3,FALSE),0)</f>
        <v>0</v>
      </c>
      <c r="BJ188" s="2">
        <f>IFERROR(VLOOKUP(InputTable[[#This Row],[Impact on - FIN]],'System List'!$F$4:$H$7,3,FALSE),0)</f>
        <v>0</v>
      </c>
      <c r="BK188" s="2">
        <f>IFERROR(VLOOKUP(InputTable[[#This Row],[Impact on - GEN SEC]],'System List'!$F$4:$H$7,3,FALSE),0)</f>
        <v>0</v>
      </c>
      <c r="BL188" s="2">
        <f>IFERROR(VLOOKUP(InputTable[[#This Row],[Impact on - HR]],'System List'!$F$4:$H$7,3,FALSE),0)</f>
        <v>0</v>
      </c>
      <c r="BM188" s="2">
        <f>IFERROR(VLOOKUP(InputTable[[#This Row],[Impact on - IS]],'System List'!$F$4:$H$7,3,FALSE),0)</f>
        <v>0</v>
      </c>
      <c r="BN188" s="2">
        <f>IFERROR(VLOOKUP(InputTable[[#This Row],[Impact on - OPS]],'System List'!$F$4:$H$7,3,FALSE),0)</f>
        <v>0</v>
      </c>
      <c r="BO188" s="2">
        <f>IFERROR(VLOOKUP(InputTable[[#This Row],[Impact on - ROLL STOCK]],'System List'!$F$4:$H$7,3,FALSE),0)</f>
        <v>0</v>
      </c>
      <c r="BP188" s="2">
        <f>IFERROR(VLOOKUP(InputTable[[#This Row],[Impact on - SAFETY]],'System List'!$F$4:$H$7,3,FALSE),0)</f>
        <v>0</v>
      </c>
      <c r="BQ188" s="2">
        <f>IFERROR(VLOOKUP(InputTable[[#This Row],[Impact on - STATION]],'System List'!$F$4:$H$7,3,FALSE),0)</f>
        <v>0</v>
      </c>
      <c r="BR188" s="2">
        <f>IFERROR(VLOOKUP(InputTable[[#This Row],[Impact on - STRAT]],'System List'!$F$4:$H$7,3,FALSE),0)</f>
        <v>0</v>
      </c>
      <c r="BT188" s="2">
        <f>IFERROR(VLOOKUP(InputTable[[#This Row],[CORPHRFIN]],'System List'!$F$4:$H$7,3,FALSE),0)</f>
        <v>0</v>
      </c>
      <c r="BU188" s="2">
        <f>IFERROR(VLOOKUP(InputTable[[#This Row],[CUST]],'System List'!$F$4:$H$7,3,FALSE),0)</f>
        <v>0</v>
      </c>
      <c r="BV188" s="2">
        <f>IFERROR(VLOOKUP(InputTable[[#This Row],[CYBER]],'System List'!$F$4:$H$7,3,FALSE),0)</f>
        <v>0</v>
      </c>
      <c r="BW188" s="2">
        <f>IFERROR(VLOOKUP(InputTable[[#This Row],[DATA]],'System List'!$F$4:$H$7,3,FALSE),0)</f>
        <v>0</v>
      </c>
      <c r="BX188" s="2">
        <f>IFERROR(VLOOKUP(InputTable[[#This Row],[INFRA]],'System List'!$F$4:$H$7,3,FALSE),0)</f>
        <v>0</v>
      </c>
      <c r="BY188" s="2">
        <f>IFERROR(VLOOKUP(InputTable[[#This Row],[OPERATIONS]],'System List'!$F$4:$H$7,3,FALSE),0)</f>
        <v>0</v>
      </c>
      <c r="BZ188" s="2">
        <f>IFERROR(VLOOKUP(InputTable[[#This Row],[PMO]],'System List'!$F$4:$H$7,3,FALSE),0)</f>
        <v>0</v>
      </c>
      <c r="CA188" s="2">
        <f>IFERROR(VLOOKUP(InputTable[[#This Row],[SALES]],'System List'!$F$4:$H$7,3,FALSE),0)</f>
        <v>0</v>
      </c>
      <c r="CC188" s="2" cm="1">
        <f t="array" ref="CC18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8" s="2" cm="1">
        <f t="array" ref="CD18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8" s="2" cm="1">
        <f t="array" ref="CE18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8" s="2" cm="1">
        <f t="array" ref="CF18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8" s="2" cm="1">
        <f t="array" ref="CG18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8" s="2" cm="1">
        <f t="array" ref="CH18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8" s="2" cm="1">
        <f t="array" ref="CI18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8" s="2" cm="1">
        <f t="array" ref="CJ18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8" s="2" cm="1">
        <f t="array" ref="CK18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8" s="26">
        <f t="shared" si="451"/>
        <v>0</v>
      </c>
      <c r="CY188" s="26">
        <f t="shared" si="452"/>
        <v>0</v>
      </c>
      <c r="CZ188" s="26">
        <f t="shared" si="453"/>
        <v>0</v>
      </c>
      <c r="DA188" s="26">
        <f t="shared" si="454"/>
        <v>0</v>
      </c>
      <c r="DB188" s="26">
        <f t="shared" si="455"/>
        <v>0</v>
      </c>
      <c r="DC188" s="26">
        <f t="shared" si="456"/>
        <v>0</v>
      </c>
      <c r="DD188" s="26">
        <f t="shared" si="457"/>
        <v>0</v>
      </c>
      <c r="DE188" s="26">
        <f t="shared" si="458"/>
        <v>0</v>
      </c>
      <c r="DF188" s="26">
        <f t="shared" si="459"/>
        <v>0</v>
      </c>
      <c r="DH188" s="26">
        <f t="shared" si="460"/>
        <v>0</v>
      </c>
      <c r="DI188" s="26">
        <f t="shared" si="461"/>
        <v>0</v>
      </c>
      <c r="DJ188" s="26">
        <f t="shared" si="462"/>
        <v>0</v>
      </c>
      <c r="DK188" s="26">
        <f t="shared" si="463"/>
        <v>0</v>
      </c>
      <c r="DL188" s="26">
        <f t="shared" si="464"/>
        <v>0</v>
      </c>
      <c r="DM188" s="26">
        <f t="shared" si="465"/>
        <v>0</v>
      </c>
      <c r="DN188" s="26">
        <f t="shared" si="466"/>
        <v>0</v>
      </c>
      <c r="DO188" s="26">
        <f t="shared" si="467"/>
        <v>0</v>
      </c>
      <c r="DP188" s="26">
        <f t="shared" si="468"/>
        <v>0</v>
      </c>
      <c r="DR188" s="26">
        <f t="shared" si="469"/>
        <v>0</v>
      </c>
      <c r="DS188" s="26">
        <f t="shared" si="470"/>
        <v>0</v>
      </c>
      <c r="DT188" s="26">
        <f t="shared" si="471"/>
        <v>0</v>
      </c>
      <c r="DU188" s="26">
        <f t="shared" si="472"/>
        <v>0</v>
      </c>
      <c r="DV188" s="26">
        <f t="shared" si="473"/>
        <v>0</v>
      </c>
      <c r="DW188" s="26">
        <f t="shared" si="474"/>
        <v>0</v>
      </c>
      <c r="DX188" s="26">
        <f t="shared" si="475"/>
        <v>0</v>
      </c>
      <c r="DY188" s="26">
        <f t="shared" si="476"/>
        <v>0</v>
      </c>
      <c r="DZ188" s="26">
        <f t="shared" si="477"/>
        <v>0</v>
      </c>
      <c r="EB188" s="26">
        <f t="shared" si="478"/>
        <v>0</v>
      </c>
      <c r="EC188" s="26">
        <f t="shared" si="479"/>
        <v>0</v>
      </c>
      <c r="ED188" s="26">
        <f t="shared" si="480"/>
        <v>0</v>
      </c>
      <c r="EE188" s="26">
        <f t="shared" si="481"/>
        <v>0</v>
      </c>
      <c r="EF188" s="26">
        <f t="shared" si="482"/>
        <v>0</v>
      </c>
      <c r="EG188" s="26">
        <f t="shared" si="483"/>
        <v>0</v>
      </c>
      <c r="EH188" s="26">
        <f t="shared" si="484"/>
        <v>0</v>
      </c>
      <c r="EI188" s="26">
        <f t="shared" si="485"/>
        <v>0</v>
      </c>
      <c r="EJ188" s="26">
        <f t="shared" si="486"/>
        <v>0</v>
      </c>
      <c r="EL188" s="26">
        <f t="shared" si="487"/>
        <v>0</v>
      </c>
      <c r="EM188" s="26">
        <f t="shared" si="488"/>
        <v>0</v>
      </c>
      <c r="EN188" s="26">
        <f t="shared" si="489"/>
        <v>0</v>
      </c>
      <c r="EO188" s="26">
        <f t="shared" si="490"/>
        <v>0</v>
      </c>
      <c r="EP188" s="26">
        <f t="shared" si="491"/>
        <v>0</v>
      </c>
      <c r="EQ188" s="26">
        <f t="shared" si="492"/>
        <v>0</v>
      </c>
      <c r="ER188" s="26">
        <f t="shared" si="493"/>
        <v>0</v>
      </c>
      <c r="ES188" s="26">
        <f t="shared" si="494"/>
        <v>0</v>
      </c>
      <c r="ET188" s="26">
        <f t="shared" si="495"/>
        <v>0</v>
      </c>
      <c r="EV188" s="26">
        <f t="shared" si="496"/>
        <v>0</v>
      </c>
      <c r="EW188" s="26">
        <f t="shared" si="497"/>
        <v>0</v>
      </c>
      <c r="EX188" s="26">
        <f t="shared" si="498"/>
        <v>0</v>
      </c>
      <c r="EY188" s="26">
        <f t="shared" si="499"/>
        <v>0</v>
      </c>
      <c r="EZ188" s="26">
        <f t="shared" si="500"/>
        <v>0</v>
      </c>
      <c r="FA188" s="26">
        <f t="shared" si="501"/>
        <v>0</v>
      </c>
      <c r="FB188" s="26">
        <f t="shared" si="502"/>
        <v>0</v>
      </c>
      <c r="FC188" s="26">
        <f t="shared" si="503"/>
        <v>0</v>
      </c>
      <c r="FD188" s="26">
        <f t="shared" si="504"/>
        <v>0</v>
      </c>
      <c r="FF188" s="26">
        <f t="shared" si="505"/>
        <v>0</v>
      </c>
      <c r="FG188" s="26">
        <f t="shared" si="506"/>
        <v>0</v>
      </c>
      <c r="FH188" s="26">
        <f t="shared" si="507"/>
        <v>0</v>
      </c>
      <c r="FI188" s="26">
        <f t="shared" si="508"/>
        <v>0</v>
      </c>
      <c r="FJ188" s="26">
        <f t="shared" si="509"/>
        <v>0</v>
      </c>
      <c r="FK188" s="26">
        <f t="shared" si="510"/>
        <v>0</v>
      </c>
      <c r="FL188" s="26">
        <f t="shared" si="511"/>
        <v>0</v>
      </c>
      <c r="FM188" s="26">
        <f t="shared" si="512"/>
        <v>0</v>
      </c>
      <c r="FN188" s="26">
        <f t="shared" si="513"/>
        <v>0</v>
      </c>
      <c r="FP188" s="26" t="e">
        <f t="shared" si="514"/>
        <v>#REF!</v>
      </c>
      <c r="FQ188" s="26" t="e">
        <f t="shared" si="515"/>
        <v>#REF!</v>
      </c>
      <c r="FR188" s="26" t="e">
        <f t="shared" si="516"/>
        <v>#REF!</v>
      </c>
      <c r="FS188" s="26" t="e">
        <f t="shared" si="517"/>
        <v>#REF!</v>
      </c>
      <c r="FT188" s="26" t="e">
        <f t="shared" si="518"/>
        <v>#REF!</v>
      </c>
      <c r="FU188" s="26" t="e">
        <f t="shared" si="519"/>
        <v>#REF!</v>
      </c>
      <c r="FV188" s="26" t="e">
        <f t="shared" si="520"/>
        <v>#REF!</v>
      </c>
      <c r="FW188" s="26" t="e">
        <f t="shared" si="521"/>
        <v>#REF!</v>
      </c>
      <c r="FX188" s="26" t="e">
        <f t="shared" si="522"/>
        <v>#REF!</v>
      </c>
      <c r="GB188" s="26" t="e">
        <f>IF(GB$2=InputTable[[#This Row],[Delivery Date]],_xlfn.XLOOKUP(GB$1,$BH$2:$BR$2,$BH188:$BR188,0),0)</f>
        <v>#REF!</v>
      </c>
      <c r="GC188" s="26">
        <f>IF(GC$2=InputTable[[#This Row],[Delivery Date]],_xlfn.XLOOKUP(GC$1,$BH$2:$BR$2,$BH188:$BR188,0),0)</f>
        <v>0</v>
      </c>
      <c r="GD188" s="26">
        <f>IF(GD$2=InputTable[[#This Row],[Delivery Date]],_xlfn.XLOOKUP(GD$1,$BH$2:$BR$2,$BH188:$BR188,0),0)</f>
        <v>0</v>
      </c>
      <c r="GE188" s="26">
        <f>IF(GE$2=InputTable[[#This Row],[Delivery Date]],_xlfn.XLOOKUP(GE$1,$BH$2:$BR$2,$BH188:$BR188,0),0)</f>
        <v>0</v>
      </c>
      <c r="GF188" s="26">
        <f>IF(GF$2=InputTable[[#This Row],[Delivery Date]],_xlfn.XLOOKUP(GF$1,$BH$2:$BR$2,$BH188:$BR188,0),0)</f>
        <v>0</v>
      </c>
      <c r="GG188" s="26">
        <f>IF(GG$2=InputTable[[#This Row],[Delivery Date]],_xlfn.XLOOKUP(GG$1,$BH$2:$BR$2,$BH188:$BR188,0),0)</f>
        <v>0</v>
      </c>
      <c r="GH188" s="26">
        <f>IF(GH$2=InputTable[[#This Row],[Delivery Date]],_xlfn.XLOOKUP(GH$1,$BH$2:$BR$2,$BH188:$BR188,0),0)</f>
        <v>0</v>
      </c>
      <c r="GI188" s="26">
        <f>IF(GI$2=InputTable[[#This Row],[Delivery Date]],_xlfn.XLOOKUP(GI$1,$BH$2:$BR$2,$BH188:$BR188,0),0)</f>
        <v>0</v>
      </c>
      <c r="GJ188" s="26">
        <f>IF(GJ$2=InputTable[[#This Row],[Delivery Date]],_xlfn.XLOOKUP(GJ$1,$BH$2:$BR$2,$BH188:$BR188,0),0)</f>
        <v>0</v>
      </c>
      <c r="GL188" s="26" t="e">
        <f>IF(GL$2=InputTable[[#This Row],[Delivery Date]],_xlfn.XLOOKUP(GL$1,$BH$2:$BR$2,$BH188:$BR188,0),0)</f>
        <v>#REF!</v>
      </c>
      <c r="GM188" s="26">
        <f>IF(GM$2=InputTable[[#This Row],[Delivery Date]],_xlfn.XLOOKUP(GM$1,$BH$2:$BR$2,$BH188:$BR188,0),0)</f>
        <v>0</v>
      </c>
      <c r="GN188" s="26">
        <f>IF(GN$2=InputTable[[#This Row],[Delivery Date]],_xlfn.XLOOKUP(GN$1,$BH$2:$BR$2,$BH188:$BR188,0),0)</f>
        <v>0</v>
      </c>
      <c r="GO188" s="26">
        <f>IF(GO$2=InputTable[[#This Row],[Delivery Date]],_xlfn.XLOOKUP(GO$1,$BH$2:$BR$2,$BH188:$BR188,0),0)</f>
        <v>0</v>
      </c>
      <c r="GP188" s="26">
        <f>IF(GP$2=InputTable[[#This Row],[Delivery Date]],_xlfn.XLOOKUP(GP$1,$BH$2:$BR$2,$BH188:$BR188,0),0)</f>
        <v>0</v>
      </c>
      <c r="GQ188" s="26">
        <f>IF(GQ$2=InputTable[[#This Row],[Delivery Date]],_xlfn.XLOOKUP(GQ$1,$BH$2:$BR$2,$BH188:$BR188,0),0)</f>
        <v>0</v>
      </c>
      <c r="GR188" s="26">
        <f>IF(GR$2=InputTable[[#This Row],[Delivery Date]],_xlfn.XLOOKUP(GR$1,$BH$2:$BR$2,$BH188:$BR188,0),0)</f>
        <v>0</v>
      </c>
      <c r="GS188" s="26">
        <f>IF(GS$2=InputTable[[#This Row],[Delivery Date]],_xlfn.XLOOKUP(GS$1,$BH$2:$BR$2,$BH188:$BR188,0),0)</f>
        <v>0</v>
      </c>
      <c r="GT188" s="26">
        <f>IF(GT$2=InputTable[[#This Row],[Delivery Date]],_xlfn.XLOOKUP(GT$1,$BH$2:$BR$2,$BH188:$BR188,0),0)</f>
        <v>0</v>
      </c>
      <c r="GV188" s="26" t="e">
        <f>IF(GV$2=InputTable[[#This Row],[Delivery Date]],_xlfn.XLOOKUP(GV$1,$BH$2:$BR$2,$BH188:$BR188,0),0)</f>
        <v>#REF!</v>
      </c>
      <c r="GW188" s="26">
        <f>IF(GW$2=InputTable[[#This Row],[Delivery Date]],_xlfn.XLOOKUP(GW$1,$BH$2:$BR$2,$BH188:$BR188,0),0)</f>
        <v>0</v>
      </c>
      <c r="GX188" s="26">
        <f>IF(GX$2=InputTable[[#This Row],[Delivery Date]],_xlfn.XLOOKUP(GX$1,$BH$2:$BR$2,$BH188:$BR188,0),0)</f>
        <v>0</v>
      </c>
      <c r="GY188" s="26">
        <f>IF(GY$2=InputTable[[#This Row],[Delivery Date]],_xlfn.XLOOKUP(GY$1,$BH$2:$BR$2,$BH188:$BR188,0),0)</f>
        <v>0</v>
      </c>
      <c r="GZ188" s="26">
        <f>IF(GZ$2=InputTable[[#This Row],[Delivery Date]],_xlfn.XLOOKUP(GZ$1,$BH$2:$BR$2,$BH188:$BR188,0),0)</f>
        <v>0</v>
      </c>
      <c r="HA188" s="26">
        <f>IF(HA$2=InputTable[[#This Row],[Delivery Date]],_xlfn.XLOOKUP(HA$1,$BH$2:$BR$2,$BH188:$BR188,0),0)</f>
        <v>0</v>
      </c>
      <c r="HB188" s="26">
        <f>IF(HB$2=InputTable[[#This Row],[Delivery Date]],_xlfn.XLOOKUP(HB$1,$BH$2:$BR$2,$BH188:$BR188,0),0)</f>
        <v>0</v>
      </c>
      <c r="HC188" s="26">
        <f>IF(HC$2=InputTable[[#This Row],[Delivery Date]],_xlfn.XLOOKUP(HC$1,$BH$2:$BR$2,$BH188:$BR188,0),0)</f>
        <v>0</v>
      </c>
      <c r="HD188" s="26">
        <f>IF(HD$2=InputTable[[#This Row],[Delivery Date]],_xlfn.XLOOKUP(HD$1,$BH$2:$BR$2,$BH188:$BR188,0),0)</f>
        <v>0</v>
      </c>
      <c r="HF188" s="26" t="e">
        <f>IF(HF$2=InputTable[[#This Row],[Delivery Date]],_xlfn.XLOOKUP(HF$1,$BH$2:$BR$2,$BH188:$BR188,0),0)</f>
        <v>#REF!</v>
      </c>
      <c r="HG188" s="26">
        <f>IF(HG$2=InputTable[[#This Row],[Delivery Date]],_xlfn.XLOOKUP(HG$1,$BH$2:$BR$2,$BH188:$BR188,0),0)</f>
        <v>0</v>
      </c>
      <c r="HH188" s="26">
        <f>IF(HH$2=InputTable[[#This Row],[Delivery Date]],_xlfn.XLOOKUP(HH$1,$BH$2:$BR$2,$BH188:$BR188,0),0)</f>
        <v>0</v>
      </c>
      <c r="HI188" s="26">
        <f>IF(HI$2=InputTable[[#This Row],[Delivery Date]],_xlfn.XLOOKUP(HI$1,$BH$2:$BR$2,$BH188:$BR188,0),0)</f>
        <v>0</v>
      </c>
      <c r="HJ188" s="26">
        <f>IF(HJ$2=InputTable[[#This Row],[Delivery Date]],_xlfn.XLOOKUP(HJ$1,$BH$2:$BR$2,$BH188:$BR188,0),0)</f>
        <v>0</v>
      </c>
      <c r="HK188" s="26">
        <f>IF(HK$2=InputTable[[#This Row],[Delivery Date]],_xlfn.XLOOKUP(HK$1,$BH$2:$BR$2,$BH188:$BR188,0),0)</f>
        <v>0</v>
      </c>
      <c r="HL188" s="26">
        <f>IF(HL$2=InputTable[[#This Row],[Delivery Date]],_xlfn.XLOOKUP(HL$1,$BH$2:$BR$2,$BH188:$BR188,0),0)</f>
        <v>0</v>
      </c>
      <c r="HM188" s="26">
        <f>IF(HM$2=InputTable[[#This Row],[Delivery Date]],_xlfn.XLOOKUP(HM$1,$BH$2:$BR$2,$BH188:$BR188,0),0)</f>
        <v>0</v>
      </c>
      <c r="HN188" s="26">
        <f>IF(HN$2=InputTable[[#This Row],[Delivery Date]],_xlfn.XLOOKUP(HN$1,$BH$2:$BR$2,$BH188:$BR188,0),0)</f>
        <v>0</v>
      </c>
      <c r="HP188" s="26" t="e">
        <f>IF(HP$2=InputTable[[#This Row],[Delivery Date]],_xlfn.XLOOKUP(HP$1,$BH$2:$BR$2,$BH188:$BR188,0),0)</f>
        <v>#REF!</v>
      </c>
      <c r="HQ188" s="26">
        <f>IF(HQ$2=InputTable[[#This Row],[Delivery Date]],_xlfn.XLOOKUP(HQ$1,$BH$2:$BR$2,$BH188:$BR188,0),0)</f>
        <v>0</v>
      </c>
      <c r="HR188" s="26">
        <f>IF(HR$2=InputTable[[#This Row],[Delivery Date]],_xlfn.XLOOKUP(HR$1,$BH$2:$BR$2,$BH188:$BR188,0),0)</f>
        <v>0</v>
      </c>
      <c r="HS188" s="26">
        <f>IF(HS$2=InputTable[[#This Row],[Delivery Date]],_xlfn.XLOOKUP(HS$1,$BH$2:$BR$2,$BH188:$BR188,0),0)</f>
        <v>0</v>
      </c>
      <c r="HT188" s="26">
        <f>IF(HT$2=InputTable[[#This Row],[Delivery Date]],_xlfn.XLOOKUP(HT$1,$BH$2:$BR$2,$BH188:$BR188,0),0)</f>
        <v>0</v>
      </c>
      <c r="HU188" s="26">
        <f>IF(HU$2=InputTable[[#This Row],[Delivery Date]],_xlfn.XLOOKUP(HU$1,$BH$2:$BR$2,$BH188:$BR188,0),0)</f>
        <v>0</v>
      </c>
      <c r="HV188" s="26">
        <f>IF(HV$2=InputTable[[#This Row],[Delivery Date]],_xlfn.XLOOKUP(HV$1,$BH$2:$BR$2,$BH188:$BR188,0),0)</f>
        <v>0</v>
      </c>
      <c r="HW188" s="26">
        <f>IF(HW$2=InputTable[[#This Row],[Delivery Date]],_xlfn.XLOOKUP(HW$1,$BH$2:$BR$2,$BH188:$BR188,0),0)</f>
        <v>0</v>
      </c>
      <c r="HX188" s="26">
        <f>IF(HX$2=InputTable[[#This Row],[Delivery Date]],_xlfn.XLOOKUP(HX$1,$BH$2:$BR$2,$BH188:$BR188,0),0)</f>
        <v>0</v>
      </c>
      <c r="HZ188" s="26" t="e">
        <f>IF(HZ$2=InputTable[[#This Row],[Delivery Date]],_xlfn.XLOOKUP(HZ$1,$BH$2:$BR$2,$BH188:$BR188,0),0)</f>
        <v>#REF!</v>
      </c>
      <c r="IA188" s="26">
        <f>IF(IA$2=InputTable[[#This Row],[Delivery Date]],_xlfn.XLOOKUP(IA$1,$BH$2:$BR$2,$BH188:$BR188,0),0)</f>
        <v>0</v>
      </c>
      <c r="IB188" s="26">
        <f>IF(IB$2=InputTable[[#This Row],[Delivery Date]],_xlfn.XLOOKUP(IB$1,$BH$2:$BR$2,$BH188:$BR188,0),0)</f>
        <v>0</v>
      </c>
      <c r="IC188" s="26">
        <f>IF(IC$2=InputTable[[#This Row],[Delivery Date]],_xlfn.XLOOKUP(IC$1,$BH$2:$BR$2,$BH188:$BR188,0),0)</f>
        <v>0</v>
      </c>
      <c r="ID188" s="26">
        <f>IF(ID$2=InputTable[[#This Row],[Delivery Date]],_xlfn.XLOOKUP(ID$1,$BH$2:$BR$2,$BH188:$BR188,0),0)</f>
        <v>0</v>
      </c>
      <c r="IE188" s="26">
        <f>IF(IE$2=InputTable[[#This Row],[Delivery Date]],_xlfn.XLOOKUP(IE$1,$BH$2:$BR$2,$BH188:$BR188,0),0)</f>
        <v>0</v>
      </c>
      <c r="IF188" s="26">
        <f>IF(IF$2=InputTable[[#This Row],[Delivery Date]],_xlfn.XLOOKUP(IF$1,$BH$2:$BR$2,$BH188:$BR188,0),0)</f>
        <v>0</v>
      </c>
      <c r="IG188" s="26">
        <f>IF(IG$2=InputTable[[#This Row],[Delivery Date]],_xlfn.XLOOKUP(IG$1,$BH$2:$BR$2,$BH188:$BR188,0),0)</f>
        <v>0</v>
      </c>
      <c r="IH188" s="26">
        <f>IF(IH$2=InputTable[[#This Row],[Delivery Date]],_xlfn.XLOOKUP(IH$1,$BH$2:$BR$2,$BH188:$BR188,0),0)</f>
        <v>0</v>
      </c>
      <c r="IJ188" s="26" t="e">
        <f>IF(IJ$2=InputTable[[#This Row],[Delivery Date]],_xlfn.XLOOKUP(IJ$1,$BH$2:$BR$2,$BH188:$BR188,0),0)</f>
        <v>#REF!</v>
      </c>
      <c r="IK188" s="26">
        <f>IF(IK$2=InputTable[[#This Row],[Delivery Date]],_xlfn.XLOOKUP(IK$1,$BH$2:$BR$2,$BH188:$BR188,0),0)</f>
        <v>0</v>
      </c>
      <c r="IL188" s="26">
        <f>IF(IL$2=InputTable[[#This Row],[Delivery Date]],_xlfn.XLOOKUP(IL$1,$BH$2:$BR$2,$BH188:$BR188,0),0)</f>
        <v>0</v>
      </c>
      <c r="IM188" s="26">
        <f>IF(IM$2=InputTable[[#This Row],[Delivery Date]],_xlfn.XLOOKUP(IM$1,$BH$2:$BR$2,$BH188:$BR188,0),0)</f>
        <v>0</v>
      </c>
      <c r="IN188" s="26">
        <f>IF(IN$2=InputTable[[#This Row],[Delivery Date]],_xlfn.XLOOKUP(IN$1,$BH$2:$BR$2,$BH188:$BR188,0),0)</f>
        <v>0</v>
      </c>
      <c r="IO188" s="26">
        <f>IF(IO$2=InputTable[[#This Row],[Delivery Date]],_xlfn.XLOOKUP(IO$1,$BH$2:$BR$2,$BH188:$BR188,0),0)</f>
        <v>0</v>
      </c>
      <c r="IP188" s="26">
        <f>IF(IP$2=InputTable[[#This Row],[Delivery Date]],_xlfn.XLOOKUP(IP$1,$BH$2:$BR$2,$BH188:$BR188,0),0)</f>
        <v>0</v>
      </c>
      <c r="IQ188" s="26">
        <f>IF(IQ$2=InputTable[[#This Row],[Delivery Date]],_xlfn.XLOOKUP(IQ$1,$BH$2:$BR$2,$BH188:$BR188,0),0)</f>
        <v>0</v>
      </c>
      <c r="IR188" s="26">
        <f>IF(IR$2=InputTable[[#This Row],[Delivery Date]],_xlfn.XLOOKUP(IR$1,$BH$2:$BR$2,$BH188:$BR188,0),0)</f>
        <v>0</v>
      </c>
      <c r="IT188" s="26" t="e">
        <f>IF(IT$2=InputTable[[#This Row],[Delivery Date]],_xlfn.XLOOKUP(IT$1,$BH$2:$BR$2,$BH188:$BR188,0),0)</f>
        <v>#REF!</v>
      </c>
      <c r="IU188" s="26">
        <f>IF(IU$2=InputTable[[#This Row],[Delivery Date]],_xlfn.XLOOKUP(IU$1,$BH$2:$BR$2,$BH188:$BR188,0),0)</f>
        <v>0</v>
      </c>
      <c r="IV188" s="26">
        <f>IF(IV$2=InputTable[[#This Row],[Delivery Date]],_xlfn.XLOOKUP(IV$1,$BH$2:$BR$2,$BH188:$BR188,0),0)</f>
        <v>0</v>
      </c>
      <c r="IW188" s="26">
        <f>IF(IW$2=InputTable[[#This Row],[Delivery Date]],_xlfn.XLOOKUP(IW$1,$BH$2:$BR$2,$BH188:$BR188,0),0)</f>
        <v>0</v>
      </c>
      <c r="IX188" s="26">
        <f>IF(IX$2=InputTable[[#This Row],[Delivery Date]],_xlfn.XLOOKUP(IX$1,$BH$2:$BR$2,$BH188:$BR188,0),0)</f>
        <v>0</v>
      </c>
      <c r="IY188" s="26">
        <f>IF(IY$2=InputTable[[#This Row],[Delivery Date]],_xlfn.XLOOKUP(IY$1,$BH$2:$BR$2,$BH188:$BR188,0),0)</f>
        <v>0</v>
      </c>
      <c r="IZ188" s="26">
        <f>IF(IZ$2=InputTable[[#This Row],[Delivery Date]],_xlfn.XLOOKUP(IZ$1,$BH$2:$BR$2,$BH188:$BR188,0),0)</f>
        <v>0</v>
      </c>
      <c r="JA188" s="26">
        <f>IF(JA$2=InputTable[[#This Row],[Delivery Date]],_xlfn.XLOOKUP(JA$1,$BH$2:$BR$2,$BH188:$BR188,0),0)</f>
        <v>0</v>
      </c>
      <c r="JB188" s="26">
        <f>IF(JB$2=InputTable[[#This Row],[Delivery Date]],_xlfn.XLOOKUP(JB$1,$BH$2:$BR$2,$BH188:$BR188,0),0)</f>
        <v>0</v>
      </c>
      <c r="JD188" s="26" t="e">
        <f>IF(JD$2=InputTable[[#This Row],[Delivery Date]],_xlfn.XLOOKUP(JD$1,$BH$2:$BR$2,$BH188:$BR188,0),0)</f>
        <v>#REF!</v>
      </c>
      <c r="JE188" s="26">
        <f>IF(JE$2=InputTable[[#This Row],[Delivery Date]],_xlfn.XLOOKUP(JE$1,$BH$2:$BR$2,$BH188:$BR188,0),0)</f>
        <v>0</v>
      </c>
      <c r="JF188" s="26">
        <f>IF(JF$2=InputTable[[#This Row],[Delivery Date]],_xlfn.XLOOKUP(JF$1,$BH$2:$BR$2,$BH188:$BR188,0),0)</f>
        <v>0</v>
      </c>
      <c r="JG188" s="26">
        <f>IF(JG$2=InputTable[[#This Row],[Delivery Date]],_xlfn.XLOOKUP(JG$1,$BH$2:$BR$2,$BH188:$BR188,0),0)</f>
        <v>0</v>
      </c>
      <c r="JH188" s="26">
        <f>IF(JH$2=InputTable[[#This Row],[Delivery Date]],_xlfn.XLOOKUP(JH$1,$BH$2:$BR$2,$BH188:$BR188,0),0)</f>
        <v>0</v>
      </c>
      <c r="JI188" s="26">
        <f>IF(JI$2=InputTable[[#This Row],[Delivery Date]],_xlfn.XLOOKUP(JI$1,$BH$2:$BR$2,$BH188:$BR188,0),0)</f>
        <v>0</v>
      </c>
      <c r="JJ188" s="26">
        <f>IF(JJ$2=InputTable[[#This Row],[Delivery Date]],_xlfn.XLOOKUP(JJ$1,$BH$2:$BR$2,$BH188:$BR188,0),0)</f>
        <v>0</v>
      </c>
      <c r="JK188" s="26">
        <f>IF(JK$2=InputTable[[#This Row],[Delivery Date]],_xlfn.XLOOKUP(JK$1,$BH$2:$BR$2,$BH188:$BR188,0),0)</f>
        <v>0</v>
      </c>
      <c r="JL188" s="26">
        <f>IF(JL$2=InputTable[[#This Row],[Delivery Date]],_xlfn.XLOOKUP(JL$1,$BH$2:$BR$2,$BH188:$BR188,0),0)</f>
        <v>0</v>
      </c>
      <c r="JN188" s="26" t="e">
        <f>IF(JN$2=InputTable[[#This Row],[Delivery Date]],_xlfn.XLOOKUP(JN$1,$BH$2:$BR$2,$BH188:$BR188,0),0)</f>
        <v>#REF!</v>
      </c>
      <c r="JO188" s="26">
        <f>IF(JO$2=InputTable[[#This Row],[Delivery Date]],_xlfn.XLOOKUP(JO$1,$BH$2:$BR$2,$BH188:$BR188,0),0)</f>
        <v>0</v>
      </c>
      <c r="JP188" s="26">
        <f>IF(JP$2=InputTable[[#This Row],[Delivery Date]],_xlfn.XLOOKUP(JP$1,$BH$2:$BR$2,$BH188:$BR188,0),0)</f>
        <v>0</v>
      </c>
      <c r="JQ188" s="26">
        <f>IF(JQ$2=InputTable[[#This Row],[Delivery Date]],_xlfn.XLOOKUP(JQ$1,$BH$2:$BR$2,$BH188:$BR188,0),0)</f>
        <v>0</v>
      </c>
      <c r="JR188" s="26">
        <f>IF(JR$2=InputTable[[#This Row],[Delivery Date]],_xlfn.XLOOKUP(JR$1,$BH$2:$BR$2,$BH188:$BR188,0),0)</f>
        <v>0</v>
      </c>
      <c r="JS188" s="26">
        <f>IF(JS$2=InputTable[[#This Row],[Delivery Date]],_xlfn.XLOOKUP(JS$1,$BH$2:$BR$2,$BH188:$BR188,0),0)</f>
        <v>0</v>
      </c>
      <c r="JT188" s="26">
        <f>IF(JT$2=InputTable[[#This Row],[Delivery Date]],_xlfn.XLOOKUP(JT$1,$BH$2:$BR$2,$BH188:$BR188,0),0)</f>
        <v>0</v>
      </c>
      <c r="JU188" s="26">
        <f>IF(JU$2=InputTable[[#This Row],[Delivery Date]],_xlfn.XLOOKUP(JU$1,$BH$2:$BR$2,$BH188:$BR188,0),0)</f>
        <v>0</v>
      </c>
      <c r="JV188" s="26">
        <f>IF(JV$2=InputTable[[#This Row],[Delivery Date]],_xlfn.XLOOKUP(JV$1,$BH$2:$BR$2,$BH188:$BR188,0),0)</f>
        <v>0</v>
      </c>
      <c r="JX188" s="26" t="e">
        <f>IF(JX$2=InputTable[[#This Row],[Delivery Date]],_xlfn.XLOOKUP(JX$1,$BH$2:$BR$2,$BH188:$BR188,0),0)</f>
        <v>#REF!</v>
      </c>
      <c r="JY188" s="26">
        <f>IF(JY$2=InputTable[[#This Row],[Delivery Date]],_xlfn.XLOOKUP(JY$1,$BH$2:$BR$2,$BH188:$BR188,0),0)</f>
        <v>0</v>
      </c>
      <c r="JZ188" s="26">
        <f>IF(JZ$2=InputTable[[#This Row],[Delivery Date]],_xlfn.XLOOKUP(JZ$1,$BH$2:$BR$2,$BH188:$BR188,0),0)</f>
        <v>0</v>
      </c>
      <c r="KA188" s="26">
        <f>IF(KA$2=InputTable[[#This Row],[Delivery Date]],_xlfn.XLOOKUP(KA$1,$BH$2:$BR$2,$BH188:$BR188,0),0)</f>
        <v>0</v>
      </c>
      <c r="KB188" s="26">
        <f>IF(KB$2=InputTable[[#This Row],[Delivery Date]],_xlfn.XLOOKUP(KB$1,$BH$2:$BR$2,$BH188:$BR188,0),0)</f>
        <v>0</v>
      </c>
      <c r="KC188" s="26">
        <f>IF(KC$2=InputTable[[#This Row],[Delivery Date]],_xlfn.XLOOKUP(KC$1,$BH$2:$BR$2,$BH188:$BR188,0),0)</f>
        <v>0</v>
      </c>
      <c r="KD188" s="26">
        <f>IF(KD$2=InputTable[[#This Row],[Delivery Date]],_xlfn.XLOOKUP(KD$1,$BH$2:$BR$2,$BH188:$BR188,0),0)</f>
        <v>0</v>
      </c>
      <c r="KE188" s="26">
        <f>IF(KE$2=InputTable[[#This Row],[Delivery Date]],_xlfn.XLOOKUP(KE$1,$BH$2:$BR$2,$BH188:$BR188,0),0)</f>
        <v>0</v>
      </c>
      <c r="KF188" s="26">
        <f>IF(KF$2=InputTable[[#This Row],[Delivery Date]],_xlfn.XLOOKUP(KF$1,$BH$2:$BR$2,$BH188:$BR188,0),0)</f>
        <v>0</v>
      </c>
    </row>
    <row r="189" spans="1:292" ht="34.799999999999997" x14ac:dyDescent="0.25">
      <c r="A189" s="125"/>
      <c r="B189" s="118"/>
      <c r="C189" s="92"/>
      <c r="D189" s="92"/>
      <c r="E189" s="107"/>
      <c r="F189" s="108"/>
      <c r="G189" s="109"/>
      <c r="H189" s="109"/>
      <c r="I189" s="108"/>
      <c r="J189" s="110"/>
      <c r="K189" s="95" t="e">
        <f>VLOOKUP((InputTable[[#This Row],[Starting Date]]&amp; " - " &amp;InputTable[[#This Row],[Delivery Date]]),'System List'!$F$40:$H$83,2,FALSE)</f>
        <v>#N/A</v>
      </c>
      <c r="L189" s="95" t="e">
        <f>VLOOKUP(InputTable[[#This Row],[Duration]],Duration,2,FALSE)</f>
        <v>#N/A</v>
      </c>
      <c r="M189" s="110"/>
      <c r="N189" s="108"/>
      <c r="O189" s="108"/>
      <c r="P189" s="108"/>
      <c r="Q189" s="108"/>
      <c r="R189" s="108"/>
      <c r="S189" s="92"/>
      <c r="T189" s="95"/>
      <c r="U189" s="138"/>
      <c r="V189" s="108"/>
      <c r="W189" s="108"/>
      <c r="X189" s="108"/>
      <c r="Y189" s="108"/>
      <c r="Z189" s="108"/>
      <c r="AA189" s="108"/>
      <c r="AB189" s="108"/>
      <c r="AC189" s="108"/>
      <c r="AD189" s="92">
        <f>COUNTA(InputTable[[#This Row],[CORPHRFIN]:[SALES]])</f>
        <v>0</v>
      </c>
      <c r="AE189" s="88" cm="1">
        <f t="array" ref="AE189">SUM(
_xlfn.XLOOKUP(InputTable[[#This Row],[CORPHRFIN]:[SALES]],'System List'!$F$4:$F$7,'System List'!$H$4:$H$7,0))</f>
        <v>0</v>
      </c>
      <c r="AF189" s="140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88" cm="1">
        <f t="array" ref="AR189">SUM(
_xlfn.XLOOKUP(InputTable[[#This Row],[Impact on - CIAL]:[Impact on - STRAT]],'System List'!$F$4:$F$7,'System List'!$H$4:$H$7,0))</f>
        <v>0</v>
      </c>
      <c r="AS189" s="88" t="e">
        <f>VLOOKUP(InputTable[[#This Row],[Duration]],Duration,2,FALSE)+InputTable[[#This Row],[Resource Score]]</f>
        <v>#N/A</v>
      </c>
      <c r="AT18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89" s="24" t="e">
        <f>InputTable[[#This Row],[Value Score]]/InputTable[[#This Row],[EFFORT SCORE]]*100</f>
        <v>#N/A</v>
      </c>
      <c r="AV189" s="25" t="s">
        <v>480</v>
      </c>
      <c r="AW189" s="25"/>
      <c r="AX189" s="144"/>
      <c r="AY189" s="25"/>
      <c r="AZ189" s="189">
        <v>0</v>
      </c>
      <c r="BA189" s="189">
        <v>0</v>
      </c>
      <c r="BB189" s="189"/>
      <c r="BC189" s="189"/>
      <c r="BD189" s="188"/>
      <c r="BE189" s="188"/>
      <c r="BF189" s="70"/>
      <c r="BH189" s="2">
        <f>IFERROR(VLOOKUP(InputTable[[#This Row],[Impact on - CIAL]],'System List'!$F$4:$H$7,3,FALSE),0)</f>
        <v>0</v>
      </c>
      <c r="BI189" s="2">
        <f>IFERROR(VLOOKUP(InputTable[[#This Row],[Impact on - COM]],'System List'!$F$4:$H$7,3,FALSE),0)</f>
        <v>0</v>
      </c>
      <c r="BJ189" s="2">
        <f>IFERROR(VLOOKUP(InputTable[[#This Row],[Impact on - FIN]],'System List'!$F$4:$H$7,3,FALSE),0)</f>
        <v>0</v>
      </c>
      <c r="BK189" s="2">
        <f>IFERROR(VLOOKUP(InputTable[[#This Row],[Impact on - GEN SEC]],'System List'!$F$4:$H$7,3,FALSE),0)</f>
        <v>0</v>
      </c>
      <c r="BL189" s="2">
        <f>IFERROR(VLOOKUP(InputTable[[#This Row],[Impact on - HR]],'System List'!$F$4:$H$7,3,FALSE),0)</f>
        <v>0</v>
      </c>
      <c r="BM189" s="2">
        <f>IFERROR(VLOOKUP(InputTable[[#This Row],[Impact on - IS]],'System List'!$F$4:$H$7,3,FALSE),0)</f>
        <v>0</v>
      </c>
      <c r="BN189" s="2">
        <f>IFERROR(VLOOKUP(InputTable[[#This Row],[Impact on - OPS]],'System List'!$F$4:$H$7,3,FALSE),0)</f>
        <v>0</v>
      </c>
      <c r="BO189" s="2">
        <f>IFERROR(VLOOKUP(InputTable[[#This Row],[Impact on - ROLL STOCK]],'System List'!$F$4:$H$7,3,FALSE),0)</f>
        <v>0</v>
      </c>
      <c r="BP189" s="2">
        <f>IFERROR(VLOOKUP(InputTable[[#This Row],[Impact on - SAFETY]],'System List'!$F$4:$H$7,3,FALSE),0)</f>
        <v>0</v>
      </c>
      <c r="BQ189" s="2">
        <f>IFERROR(VLOOKUP(InputTable[[#This Row],[Impact on - STATION]],'System List'!$F$4:$H$7,3,FALSE),0)</f>
        <v>0</v>
      </c>
      <c r="BR189" s="2">
        <f>IFERROR(VLOOKUP(InputTable[[#This Row],[Impact on - STRAT]],'System List'!$F$4:$H$7,3,FALSE),0)</f>
        <v>0</v>
      </c>
      <c r="BT189" s="2">
        <f>IFERROR(VLOOKUP(InputTable[[#This Row],[CORPHRFIN]],'System List'!$F$4:$H$7,3,FALSE),0)</f>
        <v>0</v>
      </c>
      <c r="BU189" s="2">
        <f>IFERROR(VLOOKUP(InputTable[[#This Row],[CUST]],'System List'!$F$4:$H$7,3,FALSE),0)</f>
        <v>0</v>
      </c>
      <c r="BV189" s="2">
        <f>IFERROR(VLOOKUP(InputTable[[#This Row],[CYBER]],'System List'!$F$4:$H$7,3,FALSE),0)</f>
        <v>0</v>
      </c>
      <c r="BW189" s="2">
        <f>IFERROR(VLOOKUP(InputTable[[#This Row],[DATA]],'System List'!$F$4:$H$7,3,FALSE),0)</f>
        <v>0</v>
      </c>
      <c r="BX189" s="2">
        <f>IFERROR(VLOOKUP(InputTable[[#This Row],[INFRA]],'System List'!$F$4:$H$7,3,FALSE),0)</f>
        <v>0</v>
      </c>
      <c r="BY189" s="2">
        <f>IFERROR(VLOOKUP(InputTable[[#This Row],[OPERATIONS]],'System List'!$F$4:$H$7,3,FALSE),0)</f>
        <v>0</v>
      </c>
      <c r="BZ189" s="2">
        <f>IFERROR(VLOOKUP(InputTable[[#This Row],[PMO]],'System List'!$F$4:$H$7,3,FALSE),0)</f>
        <v>0</v>
      </c>
      <c r="CA189" s="2">
        <f>IFERROR(VLOOKUP(InputTable[[#This Row],[SALES]],'System List'!$F$4:$H$7,3,FALSE),0)</f>
        <v>0</v>
      </c>
      <c r="CC189" s="2" cm="1">
        <f t="array" ref="CC18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89" s="2" cm="1">
        <f t="array" ref="CD18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89" s="2" cm="1">
        <f t="array" ref="CE18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89" s="2" cm="1">
        <f t="array" ref="CF18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89" s="2" cm="1">
        <f t="array" ref="CG18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89" s="2" cm="1">
        <f t="array" ref="CH18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89" s="2" cm="1">
        <f t="array" ref="CI18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89" s="2" cm="1">
        <f t="array" ref="CJ18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89" s="2" cm="1">
        <f t="array" ref="CK18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8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8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8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8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8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8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8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8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8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89" s="26">
        <f t="shared" si="451"/>
        <v>0</v>
      </c>
      <c r="CY189" s="26">
        <f t="shared" si="452"/>
        <v>0</v>
      </c>
      <c r="CZ189" s="26">
        <f t="shared" si="453"/>
        <v>0</v>
      </c>
      <c r="DA189" s="26">
        <f t="shared" si="454"/>
        <v>0</v>
      </c>
      <c r="DB189" s="26">
        <f t="shared" si="455"/>
        <v>0</v>
      </c>
      <c r="DC189" s="26">
        <f t="shared" si="456"/>
        <v>0</v>
      </c>
      <c r="DD189" s="26">
        <f t="shared" si="457"/>
        <v>0</v>
      </c>
      <c r="DE189" s="26">
        <f t="shared" si="458"/>
        <v>0</v>
      </c>
      <c r="DF189" s="26">
        <f t="shared" si="459"/>
        <v>0</v>
      </c>
      <c r="DH189" s="26">
        <f t="shared" si="460"/>
        <v>0</v>
      </c>
      <c r="DI189" s="26">
        <f t="shared" si="461"/>
        <v>0</v>
      </c>
      <c r="DJ189" s="26">
        <f t="shared" si="462"/>
        <v>0</v>
      </c>
      <c r="DK189" s="26">
        <f t="shared" si="463"/>
        <v>0</v>
      </c>
      <c r="DL189" s="26">
        <f t="shared" si="464"/>
        <v>0</v>
      </c>
      <c r="DM189" s="26">
        <f t="shared" si="465"/>
        <v>0</v>
      </c>
      <c r="DN189" s="26">
        <f t="shared" si="466"/>
        <v>0</v>
      </c>
      <c r="DO189" s="26">
        <f t="shared" si="467"/>
        <v>0</v>
      </c>
      <c r="DP189" s="26">
        <f t="shared" si="468"/>
        <v>0</v>
      </c>
      <c r="DR189" s="26">
        <f t="shared" si="469"/>
        <v>0</v>
      </c>
      <c r="DS189" s="26">
        <f t="shared" si="470"/>
        <v>0</v>
      </c>
      <c r="DT189" s="26">
        <f t="shared" si="471"/>
        <v>0</v>
      </c>
      <c r="DU189" s="26">
        <f t="shared" si="472"/>
        <v>0</v>
      </c>
      <c r="DV189" s="26">
        <f t="shared" si="473"/>
        <v>0</v>
      </c>
      <c r="DW189" s="26">
        <f t="shared" si="474"/>
        <v>0</v>
      </c>
      <c r="DX189" s="26">
        <f t="shared" si="475"/>
        <v>0</v>
      </c>
      <c r="DY189" s="26">
        <f t="shared" si="476"/>
        <v>0</v>
      </c>
      <c r="DZ189" s="26">
        <f t="shared" si="477"/>
        <v>0</v>
      </c>
      <c r="EB189" s="26">
        <f t="shared" si="478"/>
        <v>0</v>
      </c>
      <c r="EC189" s="26">
        <f t="shared" si="479"/>
        <v>0</v>
      </c>
      <c r="ED189" s="26">
        <f t="shared" si="480"/>
        <v>0</v>
      </c>
      <c r="EE189" s="26">
        <f t="shared" si="481"/>
        <v>0</v>
      </c>
      <c r="EF189" s="26">
        <f t="shared" si="482"/>
        <v>0</v>
      </c>
      <c r="EG189" s="26">
        <f t="shared" si="483"/>
        <v>0</v>
      </c>
      <c r="EH189" s="26">
        <f t="shared" si="484"/>
        <v>0</v>
      </c>
      <c r="EI189" s="26">
        <f t="shared" si="485"/>
        <v>0</v>
      </c>
      <c r="EJ189" s="26">
        <f t="shared" si="486"/>
        <v>0</v>
      </c>
      <c r="EL189" s="26">
        <f t="shared" si="487"/>
        <v>0</v>
      </c>
      <c r="EM189" s="26">
        <f t="shared" si="488"/>
        <v>0</v>
      </c>
      <c r="EN189" s="26">
        <f t="shared" si="489"/>
        <v>0</v>
      </c>
      <c r="EO189" s="26">
        <f t="shared" si="490"/>
        <v>0</v>
      </c>
      <c r="EP189" s="26">
        <f t="shared" si="491"/>
        <v>0</v>
      </c>
      <c r="EQ189" s="26">
        <f t="shared" si="492"/>
        <v>0</v>
      </c>
      <c r="ER189" s="26">
        <f t="shared" si="493"/>
        <v>0</v>
      </c>
      <c r="ES189" s="26">
        <f t="shared" si="494"/>
        <v>0</v>
      </c>
      <c r="ET189" s="26">
        <f t="shared" si="495"/>
        <v>0</v>
      </c>
      <c r="EV189" s="26">
        <f t="shared" si="496"/>
        <v>0</v>
      </c>
      <c r="EW189" s="26">
        <f t="shared" si="497"/>
        <v>0</v>
      </c>
      <c r="EX189" s="26">
        <f t="shared" si="498"/>
        <v>0</v>
      </c>
      <c r="EY189" s="26">
        <f t="shared" si="499"/>
        <v>0</v>
      </c>
      <c r="EZ189" s="26">
        <f t="shared" si="500"/>
        <v>0</v>
      </c>
      <c r="FA189" s="26">
        <f t="shared" si="501"/>
        <v>0</v>
      </c>
      <c r="FB189" s="26">
        <f t="shared" si="502"/>
        <v>0</v>
      </c>
      <c r="FC189" s="26">
        <f t="shared" si="503"/>
        <v>0</v>
      </c>
      <c r="FD189" s="26">
        <f t="shared" si="504"/>
        <v>0</v>
      </c>
      <c r="FF189" s="26">
        <f t="shared" si="505"/>
        <v>0</v>
      </c>
      <c r="FG189" s="26">
        <f t="shared" si="506"/>
        <v>0</v>
      </c>
      <c r="FH189" s="26">
        <f t="shared" si="507"/>
        <v>0</v>
      </c>
      <c r="FI189" s="26">
        <f t="shared" si="508"/>
        <v>0</v>
      </c>
      <c r="FJ189" s="26">
        <f t="shared" si="509"/>
        <v>0</v>
      </c>
      <c r="FK189" s="26">
        <f t="shared" si="510"/>
        <v>0</v>
      </c>
      <c r="FL189" s="26">
        <f t="shared" si="511"/>
        <v>0</v>
      </c>
      <c r="FM189" s="26">
        <f t="shared" si="512"/>
        <v>0</v>
      </c>
      <c r="FN189" s="26">
        <f t="shared" si="513"/>
        <v>0</v>
      </c>
      <c r="FP189" s="26" t="e">
        <f t="shared" si="514"/>
        <v>#REF!</v>
      </c>
      <c r="FQ189" s="26" t="e">
        <f t="shared" si="515"/>
        <v>#REF!</v>
      </c>
      <c r="FR189" s="26" t="e">
        <f t="shared" si="516"/>
        <v>#REF!</v>
      </c>
      <c r="FS189" s="26" t="e">
        <f t="shared" si="517"/>
        <v>#REF!</v>
      </c>
      <c r="FT189" s="26" t="e">
        <f t="shared" si="518"/>
        <v>#REF!</v>
      </c>
      <c r="FU189" s="26" t="e">
        <f t="shared" si="519"/>
        <v>#REF!</v>
      </c>
      <c r="FV189" s="26" t="e">
        <f t="shared" si="520"/>
        <v>#REF!</v>
      </c>
      <c r="FW189" s="26" t="e">
        <f t="shared" si="521"/>
        <v>#REF!</v>
      </c>
      <c r="FX189" s="26" t="e">
        <f t="shared" si="522"/>
        <v>#REF!</v>
      </c>
      <c r="GB189" s="26" t="e">
        <f>IF(GB$2=InputTable[[#This Row],[Delivery Date]],_xlfn.XLOOKUP(GB$1,$BH$2:$BR$2,$BH189:$BR189,0),0)</f>
        <v>#REF!</v>
      </c>
      <c r="GC189" s="26">
        <f>IF(GC$2=InputTable[[#This Row],[Delivery Date]],_xlfn.XLOOKUP(GC$1,$BH$2:$BR$2,$BH189:$BR189,0),0)</f>
        <v>0</v>
      </c>
      <c r="GD189" s="26">
        <f>IF(GD$2=InputTable[[#This Row],[Delivery Date]],_xlfn.XLOOKUP(GD$1,$BH$2:$BR$2,$BH189:$BR189,0),0)</f>
        <v>0</v>
      </c>
      <c r="GE189" s="26">
        <f>IF(GE$2=InputTable[[#This Row],[Delivery Date]],_xlfn.XLOOKUP(GE$1,$BH$2:$BR$2,$BH189:$BR189,0),0)</f>
        <v>0</v>
      </c>
      <c r="GF189" s="26">
        <f>IF(GF$2=InputTable[[#This Row],[Delivery Date]],_xlfn.XLOOKUP(GF$1,$BH$2:$BR$2,$BH189:$BR189,0),0)</f>
        <v>0</v>
      </c>
      <c r="GG189" s="26">
        <f>IF(GG$2=InputTable[[#This Row],[Delivery Date]],_xlfn.XLOOKUP(GG$1,$BH$2:$BR$2,$BH189:$BR189,0),0)</f>
        <v>0</v>
      </c>
      <c r="GH189" s="26">
        <f>IF(GH$2=InputTable[[#This Row],[Delivery Date]],_xlfn.XLOOKUP(GH$1,$BH$2:$BR$2,$BH189:$BR189,0),0)</f>
        <v>0</v>
      </c>
      <c r="GI189" s="26">
        <f>IF(GI$2=InputTable[[#This Row],[Delivery Date]],_xlfn.XLOOKUP(GI$1,$BH$2:$BR$2,$BH189:$BR189,0),0)</f>
        <v>0</v>
      </c>
      <c r="GJ189" s="26">
        <f>IF(GJ$2=InputTable[[#This Row],[Delivery Date]],_xlfn.XLOOKUP(GJ$1,$BH$2:$BR$2,$BH189:$BR189,0),0)</f>
        <v>0</v>
      </c>
      <c r="GL189" s="26" t="e">
        <f>IF(GL$2=InputTable[[#This Row],[Delivery Date]],_xlfn.XLOOKUP(GL$1,$BH$2:$BR$2,$BH189:$BR189,0),0)</f>
        <v>#REF!</v>
      </c>
      <c r="GM189" s="26">
        <f>IF(GM$2=InputTable[[#This Row],[Delivery Date]],_xlfn.XLOOKUP(GM$1,$BH$2:$BR$2,$BH189:$BR189,0),0)</f>
        <v>0</v>
      </c>
      <c r="GN189" s="26">
        <f>IF(GN$2=InputTable[[#This Row],[Delivery Date]],_xlfn.XLOOKUP(GN$1,$BH$2:$BR$2,$BH189:$BR189,0),0)</f>
        <v>0</v>
      </c>
      <c r="GO189" s="26">
        <f>IF(GO$2=InputTable[[#This Row],[Delivery Date]],_xlfn.XLOOKUP(GO$1,$BH$2:$BR$2,$BH189:$BR189,0),0)</f>
        <v>0</v>
      </c>
      <c r="GP189" s="26">
        <f>IF(GP$2=InputTable[[#This Row],[Delivery Date]],_xlfn.XLOOKUP(GP$1,$BH$2:$BR$2,$BH189:$BR189,0),0)</f>
        <v>0</v>
      </c>
      <c r="GQ189" s="26">
        <f>IF(GQ$2=InputTable[[#This Row],[Delivery Date]],_xlfn.XLOOKUP(GQ$1,$BH$2:$BR$2,$BH189:$BR189,0),0)</f>
        <v>0</v>
      </c>
      <c r="GR189" s="26">
        <f>IF(GR$2=InputTable[[#This Row],[Delivery Date]],_xlfn.XLOOKUP(GR$1,$BH$2:$BR$2,$BH189:$BR189,0),0)</f>
        <v>0</v>
      </c>
      <c r="GS189" s="26">
        <f>IF(GS$2=InputTable[[#This Row],[Delivery Date]],_xlfn.XLOOKUP(GS$1,$BH$2:$BR$2,$BH189:$BR189,0),0)</f>
        <v>0</v>
      </c>
      <c r="GT189" s="26">
        <f>IF(GT$2=InputTable[[#This Row],[Delivery Date]],_xlfn.XLOOKUP(GT$1,$BH$2:$BR$2,$BH189:$BR189,0),0)</f>
        <v>0</v>
      </c>
      <c r="GV189" s="26" t="e">
        <f>IF(GV$2=InputTable[[#This Row],[Delivery Date]],_xlfn.XLOOKUP(GV$1,$BH$2:$BR$2,$BH189:$BR189,0),0)</f>
        <v>#REF!</v>
      </c>
      <c r="GW189" s="26">
        <f>IF(GW$2=InputTable[[#This Row],[Delivery Date]],_xlfn.XLOOKUP(GW$1,$BH$2:$BR$2,$BH189:$BR189,0),0)</f>
        <v>0</v>
      </c>
      <c r="GX189" s="26">
        <f>IF(GX$2=InputTable[[#This Row],[Delivery Date]],_xlfn.XLOOKUP(GX$1,$BH$2:$BR$2,$BH189:$BR189,0),0)</f>
        <v>0</v>
      </c>
      <c r="GY189" s="26">
        <f>IF(GY$2=InputTable[[#This Row],[Delivery Date]],_xlfn.XLOOKUP(GY$1,$BH$2:$BR$2,$BH189:$BR189,0),0)</f>
        <v>0</v>
      </c>
      <c r="GZ189" s="26">
        <f>IF(GZ$2=InputTable[[#This Row],[Delivery Date]],_xlfn.XLOOKUP(GZ$1,$BH$2:$BR$2,$BH189:$BR189,0),0)</f>
        <v>0</v>
      </c>
      <c r="HA189" s="26">
        <f>IF(HA$2=InputTable[[#This Row],[Delivery Date]],_xlfn.XLOOKUP(HA$1,$BH$2:$BR$2,$BH189:$BR189,0),0)</f>
        <v>0</v>
      </c>
      <c r="HB189" s="26">
        <f>IF(HB$2=InputTable[[#This Row],[Delivery Date]],_xlfn.XLOOKUP(HB$1,$BH$2:$BR$2,$BH189:$BR189,0),0)</f>
        <v>0</v>
      </c>
      <c r="HC189" s="26">
        <f>IF(HC$2=InputTable[[#This Row],[Delivery Date]],_xlfn.XLOOKUP(HC$1,$BH$2:$BR$2,$BH189:$BR189,0),0)</f>
        <v>0</v>
      </c>
      <c r="HD189" s="26">
        <f>IF(HD$2=InputTable[[#This Row],[Delivery Date]],_xlfn.XLOOKUP(HD$1,$BH$2:$BR$2,$BH189:$BR189,0),0)</f>
        <v>0</v>
      </c>
      <c r="HF189" s="26" t="e">
        <f>IF(HF$2=InputTable[[#This Row],[Delivery Date]],_xlfn.XLOOKUP(HF$1,$BH$2:$BR$2,$BH189:$BR189,0),0)</f>
        <v>#REF!</v>
      </c>
      <c r="HG189" s="26">
        <f>IF(HG$2=InputTable[[#This Row],[Delivery Date]],_xlfn.XLOOKUP(HG$1,$BH$2:$BR$2,$BH189:$BR189,0),0)</f>
        <v>0</v>
      </c>
      <c r="HH189" s="26">
        <f>IF(HH$2=InputTable[[#This Row],[Delivery Date]],_xlfn.XLOOKUP(HH$1,$BH$2:$BR$2,$BH189:$BR189,0),0)</f>
        <v>0</v>
      </c>
      <c r="HI189" s="26">
        <f>IF(HI$2=InputTable[[#This Row],[Delivery Date]],_xlfn.XLOOKUP(HI$1,$BH$2:$BR$2,$BH189:$BR189,0),0)</f>
        <v>0</v>
      </c>
      <c r="HJ189" s="26">
        <f>IF(HJ$2=InputTable[[#This Row],[Delivery Date]],_xlfn.XLOOKUP(HJ$1,$BH$2:$BR$2,$BH189:$BR189,0),0)</f>
        <v>0</v>
      </c>
      <c r="HK189" s="26">
        <f>IF(HK$2=InputTable[[#This Row],[Delivery Date]],_xlfn.XLOOKUP(HK$1,$BH$2:$BR$2,$BH189:$BR189,0),0)</f>
        <v>0</v>
      </c>
      <c r="HL189" s="26">
        <f>IF(HL$2=InputTable[[#This Row],[Delivery Date]],_xlfn.XLOOKUP(HL$1,$BH$2:$BR$2,$BH189:$BR189,0),0)</f>
        <v>0</v>
      </c>
      <c r="HM189" s="26">
        <f>IF(HM$2=InputTable[[#This Row],[Delivery Date]],_xlfn.XLOOKUP(HM$1,$BH$2:$BR$2,$BH189:$BR189,0),0)</f>
        <v>0</v>
      </c>
      <c r="HN189" s="26">
        <f>IF(HN$2=InputTable[[#This Row],[Delivery Date]],_xlfn.XLOOKUP(HN$1,$BH$2:$BR$2,$BH189:$BR189,0),0)</f>
        <v>0</v>
      </c>
      <c r="HP189" s="26" t="e">
        <f>IF(HP$2=InputTable[[#This Row],[Delivery Date]],_xlfn.XLOOKUP(HP$1,$BH$2:$BR$2,$BH189:$BR189,0),0)</f>
        <v>#REF!</v>
      </c>
      <c r="HQ189" s="26">
        <f>IF(HQ$2=InputTable[[#This Row],[Delivery Date]],_xlfn.XLOOKUP(HQ$1,$BH$2:$BR$2,$BH189:$BR189,0),0)</f>
        <v>0</v>
      </c>
      <c r="HR189" s="26">
        <f>IF(HR$2=InputTable[[#This Row],[Delivery Date]],_xlfn.XLOOKUP(HR$1,$BH$2:$BR$2,$BH189:$BR189,0),0)</f>
        <v>0</v>
      </c>
      <c r="HS189" s="26">
        <f>IF(HS$2=InputTable[[#This Row],[Delivery Date]],_xlfn.XLOOKUP(HS$1,$BH$2:$BR$2,$BH189:$BR189,0),0)</f>
        <v>0</v>
      </c>
      <c r="HT189" s="26">
        <f>IF(HT$2=InputTable[[#This Row],[Delivery Date]],_xlfn.XLOOKUP(HT$1,$BH$2:$BR$2,$BH189:$BR189,0),0)</f>
        <v>0</v>
      </c>
      <c r="HU189" s="26">
        <f>IF(HU$2=InputTable[[#This Row],[Delivery Date]],_xlfn.XLOOKUP(HU$1,$BH$2:$BR$2,$BH189:$BR189,0),0)</f>
        <v>0</v>
      </c>
      <c r="HV189" s="26">
        <f>IF(HV$2=InputTable[[#This Row],[Delivery Date]],_xlfn.XLOOKUP(HV$1,$BH$2:$BR$2,$BH189:$BR189,0),0)</f>
        <v>0</v>
      </c>
      <c r="HW189" s="26">
        <f>IF(HW$2=InputTable[[#This Row],[Delivery Date]],_xlfn.XLOOKUP(HW$1,$BH$2:$BR$2,$BH189:$BR189,0),0)</f>
        <v>0</v>
      </c>
      <c r="HX189" s="26">
        <f>IF(HX$2=InputTable[[#This Row],[Delivery Date]],_xlfn.XLOOKUP(HX$1,$BH$2:$BR$2,$BH189:$BR189,0),0)</f>
        <v>0</v>
      </c>
      <c r="HZ189" s="26" t="e">
        <f>IF(HZ$2=InputTable[[#This Row],[Delivery Date]],_xlfn.XLOOKUP(HZ$1,$BH$2:$BR$2,$BH189:$BR189,0),0)</f>
        <v>#REF!</v>
      </c>
      <c r="IA189" s="26">
        <f>IF(IA$2=InputTable[[#This Row],[Delivery Date]],_xlfn.XLOOKUP(IA$1,$BH$2:$BR$2,$BH189:$BR189,0),0)</f>
        <v>0</v>
      </c>
      <c r="IB189" s="26">
        <f>IF(IB$2=InputTable[[#This Row],[Delivery Date]],_xlfn.XLOOKUP(IB$1,$BH$2:$BR$2,$BH189:$BR189,0),0)</f>
        <v>0</v>
      </c>
      <c r="IC189" s="26">
        <f>IF(IC$2=InputTable[[#This Row],[Delivery Date]],_xlfn.XLOOKUP(IC$1,$BH$2:$BR$2,$BH189:$BR189,0),0)</f>
        <v>0</v>
      </c>
      <c r="ID189" s="26">
        <f>IF(ID$2=InputTable[[#This Row],[Delivery Date]],_xlfn.XLOOKUP(ID$1,$BH$2:$BR$2,$BH189:$BR189,0),0)</f>
        <v>0</v>
      </c>
      <c r="IE189" s="26">
        <f>IF(IE$2=InputTable[[#This Row],[Delivery Date]],_xlfn.XLOOKUP(IE$1,$BH$2:$BR$2,$BH189:$BR189,0),0)</f>
        <v>0</v>
      </c>
      <c r="IF189" s="26">
        <f>IF(IF$2=InputTable[[#This Row],[Delivery Date]],_xlfn.XLOOKUP(IF$1,$BH$2:$BR$2,$BH189:$BR189,0),0)</f>
        <v>0</v>
      </c>
      <c r="IG189" s="26">
        <f>IF(IG$2=InputTable[[#This Row],[Delivery Date]],_xlfn.XLOOKUP(IG$1,$BH$2:$BR$2,$BH189:$BR189,0),0)</f>
        <v>0</v>
      </c>
      <c r="IH189" s="26">
        <f>IF(IH$2=InputTable[[#This Row],[Delivery Date]],_xlfn.XLOOKUP(IH$1,$BH$2:$BR$2,$BH189:$BR189,0),0)</f>
        <v>0</v>
      </c>
      <c r="IJ189" s="26" t="e">
        <f>IF(IJ$2=InputTable[[#This Row],[Delivery Date]],_xlfn.XLOOKUP(IJ$1,$BH$2:$BR$2,$BH189:$BR189,0),0)</f>
        <v>#REF!</v>
      </c>
      <c r="IK189" s="26">
        <f>IF(IK$2=InputTable[[#This Row],[Delivery Date]],_xlfn.XLOOKUP(IK$1,$BH$2:$BR$2,$BH189:$BR189,0),0)</f>
        <v>0</v>
      </c>
      <c r="IL189" s="26">
        <f>IF(IL$2=InputTable[[#This Row],[Delivery Date]],_xlfn.XLOOKUP(IL$1,$BH$2:$BR$2,$BH189:$BR189,0),0)</f>
        <v>0</v>
      </c>
      <c r="IM189" s="26">
        <f>IF(IM$2=InputTable[[#This Row],[Delivery Date]],_xlfn.XLOOKUP(IM$1,$BH$2:$BR$2,$BH189:$BR189,0),0)</f>
        <v>0</v>
      </c>
      <c r="IN189" s="26">
        <f>IF(IN$2=InputTable[[#This Row],[Delivery Date]],_xlfn.XLOOKUP(IN$1,$BH$2:$BR$2,$BH189:$BR189,0),0)</f>
        <v>0</v>
      </c>
      <c r="IO189" s="26">
        <f>IF(IO$2=InputTable[[#This Row],[Delivery Date]],_xlfn.XLOOKUP(IO$1,$BH$2:$BR$2,$BH189:$BR189,0),0)</f>
        <v>0</v>
      </c>
      <c r="IP189" s="26">
        <f>IF(IP$2=InputTable[[#This Row],[Delivery Date]],_xlfn.XLOOKUP(IP$1,$BH$2:$BR$2,$BH189:$BR189,0),0)</f>
        <v>0</v>
      </c>
      <c r="IQ189" s="26">
        <f>IF(IQ$2=InputTable[[#This Row],[Delivery Date]],_xlfn.XLOOKUP(IQ$1,$BH$2:$BR$2,$BH189:$BR189,0),0)</f>
        <v>0</v>
      </c>
      <c r="IR189" s="26">
        <f>IF(IR$2=InputTable[[#This Row],[Delivery Date]],_xlfn.XLOOKUP(IR$1,$BH$2:$BR$2,$BH189:$BR189,0),0)</f>
        <v>0</v>
      </c>
      <c r="IT189" s="26" t="e">
        <f>IF(IT$2=InputTable[[#This Row],[Delivery Date]],_xlfn.XLOOKUP(IT$1,$BH$2:$BR$2,$BH189:$BR189,0),0)</f>
        <v>#REF!</v>
      </c>
      <c r="IU189" s="26">
        <f>IF(IU$2=InputTable[[#This Row],[Delivery Date]],_xlfn.XLOOKUP(IU$1,$BH$2:$BR$2,$BH189:$BR189,0),0)</f>
        <v>0</v>
      </c>
      <c r="IV189" s="26">
        <f>IF(IV$2=InputTable[[#This Row],[Delivery Date]],_xlfn.XLOOKUP(IV$1,$BH$2:$BR$2,$BH189:$BR189,0),0)</f>
        <v>0</v>
      </c>
      <c r="IW189" s="26">
        <f>IF(IW$2=InputTable[[#This Row],[Delivery Date]],_xlfn.XLOOKUP(IW$1,$BH$2:$BR$2,$BH189:$BR189,0),0)</f>
        <v>0</v>
      </c>
      <c r="IX189" s="26">
        <f>IF(IX$2=InputTable[[#This Row],[Delivery Date]],_xlfn.XLOOKUP(IX$1,$BH$2:$BR$2,$BH189:$BR189,0),0)</f>
        <v>0</v>
      </c>
      <c r="IY189" s="26">
        <f>IF(IY$2=InputTable[[#This Row],[Delivery Date]],_xlfn.XLOOKUP(IY$1,$BH$2:$BR$2,$BH189:$BR189,0),0)</f>
        <v>0</v>
      </c>
      <c r="IZ189" s="26">
        <f>IF(IZ$2=InputTable[[#This Row],[Delivery Date]],_xlfn.XLOOKUP(IZ$1,$BH$2:$BR$2,$BH189:$BR189,0),0)</f>
        <v>0</v>
      </c>
      <c r="JA189" s="26">
        <f>IF(JA$2=InputTable[[#This Row],[Delivery Date]],_xlfn.XLOOKUP(JA$1,$BH$2:$BR$2,$BH189:$BR189,0),0)</f>
        <v>0</v>
      </c>
      <c r="JB189" s="26">
        <f>IF(JB$2=InputTable[[#This Row],[Delivery Date]],_xlfn.XLOOKUP(JB$1,$BH$2:$BR$2,$BH189:$BR189,0),0)</f>
        <v>0</v>
      </c>
      <c r="JD189" s="26" t="e">
        <f>IF(JD$2=InputTable[[#This Row],[Delivery Date]],_xlfn.XLOOKUP(JD$1,$BH$2:$BR$2,$BH189:$BR189,0),0)</f>
        <v>#REF!</v>
      </c>
      <c r="JE189" s="26">
        <f>IF(JE$2=InputTable[[#This Row],[Delivery Date]],_xlfn.XLOOKUP(JE$1,$BH$2:$BR$2,$BH189:$BR189,0),0)</f>
        <v>0</v>
      </c>
      <c r="JF189" s="26">
        <f>IF(JF$2=InputTable[[#This Row],[Delivery Date]],_xlfn.XLOOKUP(JF$1,$BH$2:$BR$2,$BH189:$BR189,0),0)</f>
        <v>0</v>
      </c>
      <c r="JG189" s="26">
        <f>IF(JG$2=InputTable[[#This Row],[Delivery Date]],_xlfn.XLOOKUP(JG$1,$BH$2:$BR$2,$BH189:$BR189,0),0)</f>
        <v>0</v>
      </c>
      <c r="JH189" s="26">
        <f>IF(JH$2=InputTable[[#This Row],[Delivery Date]],_xlfn.XLOOKUP(JH$1,$BH$2:$BR$2,$BH189:$BR189,0),0)</f>
        <v>0</v>
      </c>
      <c r="JI189" s="26">
        <f>IF(JI$2=InputTable[[#This Row],[Delivery Date]],_xlfn.XLOOKUP(JI$1,$BH$2:$BR$2,$BH189:$BR189,0),0)</f>
        <v>0</v>
      </c>
      <c r="JJ189" s="26">
        <f>IF(JJ$2=InputTable[[#This Row],[Delivery Date]],_xlfn.XLOOKUP(JJ$1,$BH$2:$BR$2,$BH189:$BR189,0),0)</f>
        <v>0</v>
      </c>
      <c r="JK189" s="26">
        <f>IF(JK$2=InputTable[[#This Row],[Delivery Date]],_xlfn.XLOOKUP(JK$1,$BH$2:$BR$2,$BH189:$BR189,0),0)</f>
        <v>0</v>
      </c>
      <c r="JL189" s="26">
        <f>IF(JL$2=InputTable[[#This Row],[Delivery Date]],_xlfn.XLOOKUP(JL$1,$BH$2:$BR$2,$BH189:$BR189,0),0)</f>
        <v>0</v>
      </c>
      <c r="JN189" s="26" t="e">
        <f>IF(JN$2=InputTable[[#This Row],[Delivery Date]],_xlfn.XLOOKUP(JN$1,$BH$2:$BR$2,$BH189:$BR189,0),0)</f>
        <v>#REF!</v>
      </c>
      <c r="JO189" s="26">
        <f>IF(JO$2=InputTable[[#This Row],[Delivery Date]],_xlfn.XLOOKUP(JO$1,$BH$2:$BR$2,$BH189:$BR189,0),0)</f>
        <v>0</v>
      </c>
      <c r="JP189" s="26">
        <f>IF(JP$2=InputTable[[#This Row],[Delivery Date]],_xlfn.XLOOKUP(JP$1,$BH$2:$BR$2,$BH189:$BR189,0),0)</f>
        <v>0</v>
      </c>
      <c r="JQ189" s="26">
        <f>IF(JQ$2=InputTable[[#This Row],[Delivery Date]],_xlfn.XLOOKUP(JQ$1,$BH$2:$BR$2,$BH189:$BR189,0),0)</f>
        <v>0</v>
      </c>
      <c r="JR189" s="26">
        <f>IF(JR$2=InputTable[[#This Row],[Delivery Date]],_xlfn.XLOOKUP(JR$1,$BH$2:$BR$2,$BH189:$BR189,0),0)</f>
        <v>0</v>
      </c>
      <c r="JS189" s="26">
        <f>IF(JS$2=InputTable[[#This Row],[Delivery Date]],_xlfn.XLOOKUP(JS$1,$BH$2:$BR$2,$BH189:$BR189,0),0)</f>
        <v>0</v>
      </c>
      <c r="JT189" s="26">
        <f>IF(JT$2=InputTable[[#This Row],[Delivery Date]],_xlfn.XLOOKUP(JT$1,$BH$2:$BR$2,$BH189:$BR189,0),0)</f>
        <v>0</v>
      </c>
      <c r="JU189" s="26">
        <f>IF(JU$2=InputTable[[#This Row],[Delivery Date]],_xlfn.XLOOKUP(JU$1,$BH$2:$BR$2,$BH189:$BR189,0),0)</f>
        <v>0</v>
      </c>
      <c r="JV189" s="26">
        <f>IF(JV$2=InputTable[[#This Row],[Delivery Date]],_xlfn.XLOOKUP(JV$1,$BH$2:$BR$2,$BH189:$BR189,0),0)</f>
        <v>0</v>
      </c>
      <c r="JX189" s="26" t="e">
        <f>IF(JX$2=InputTable[[#This Row],[Delivery Date]],_xlfn.XLOOKUP(JX$1,$BH$2:$BR$2,$BH189:$BR189,0),0)</f>
        <v>#REF!</v>
      </c>
      <c r="JY189" s="26">
        <f>IF(JY$2=InputTable[[#This Row],[Delivery Date]],_xlfn.XLOOKUP(JY$1,$BH$2:$BR$2,$BH189:$BR189,0),0)</f>
        <v>0</v>
      </c>
      <c r="JZ189" s="26">
        <f>IF(JZ$2=InputTable[[#This Row],[Delivery Date]],_xlfn.XLOOKUP(JZ$1,$BH$2:$BR$2,$BH189:$BR189,0),0)</f>
        <v>0</v>
      </c>
      <c r="KA189" s="26">
        <f>IF(KA$2=InputTable[[#This Row],[Delivery Date]],_xlfn.XLOOKUP(KA$1,$BH$2:$BR$2,$BH189:$BR189,0),0)</f>
        <v>0</v>
      </c>
      <c r="KB189" s="26">
        <f>IF(KB$2=InputTable[[#This Row],[Delivery Date]],_xlfn.XLOOKUP(KB$1,$BH$2:$BR$2,$BH189:$BR189,0),0)</f>
        <v>0</v>
      </c>
      <c r="KC189" s="26">
        <f>IF(KC$2=InputTable[[#This Row],[Delivery Date]],_xlfn.XLOOKUP(KC$1,$BH$2:$BR$2,$BH189:$BR189,0),0)</f>
        <v>0</v>
      </c>
      <c r="KD189" s="26">
        <f>IF(KD$2=InputTable[[#This Row],[Delivery Date]],_xlfn.XLOOKUP(KD$1,$BH$2:$BR$2,$BH189:$BR189,0),0)</f>
        <v>0</v>
      </c>
      <c r="KE189" s="26">
        <f>IF(KE$2=InputTable[[#This Row],[Delivery Date]],_xlfn.XLOOKUP(KE$1,$BH$2:$BR$2,$BH189:$BR189,0),0)</f>
        <v>0</v>
      </c>
      <c r="KF189" s="26">
        <f>IF(KF$2=InputTable[[#This Row],[Delivery Date]],_xlfn.XLOOKUP(KF$1,$BH$2:$BR$2,$BH189:$BR189,0),0)</f>
        <v>0</v>
      </c>
    </row>
    <row r="190" spans="1:292" ht="34.799999999999997" x14ac:dyDescent="0.25">
      <c r="A190" s="125"/>
      <c r="B190" s="118"/>
      <c r="C190" s="92"/>
      <c r="D190" s="92"/>
      <c r="E190" s="107"/>
      <c r="F190" s="108"/>
      <c r="G190" s="109"/>
      <c r="H190" s="109"/>
      <c r="I190" s="108"/>
      <c r="J190" s="110"/>
      <c r="K190" s="95" t="e">
        <f>VLOOKUP((InputTable[[#This Row],[Starting Date]]&amp; " - " &amp;InputTable[[#This Row],[Delivery Date]]),'System List'!$F$40:$H$83,2,FALSE)</f>
        <v>#N/A</v>
      </c>
      <c r="L190" s="95" t="e">
        <f>VLOOKUP(InputTable[[#This Row],[Duration]],Duration,2,FALSE)</f>
        <v>#N/A</v>
      </c>
      <c r="M190" s="110"/>
      <c r="N190" s="108"/>
      <c r="O190" s="108"/>
      <c r="P190" s="108"/>
      <c r="Q190" s="108"/>
      <c r="R190" s="108"/>
      <c r="S190" s="92"/>
      <c r="T190" s="95"/>
      <c r="U190" s="138"/>
      <c r="V190" s="108"/>
      <c r="W190" s="108"/>
      <c r="X190" s="108"/>
      <c r="Y190" s="108"/>
      <c r="Z190" s="108"/>
      <c r="AA190" s="108"/>
      <c r="AB190" s="108"/>
      <c r="AC190" s="108"/>
      <c r="AD190" s="92">
        <f>COUNTA(InputTable[[#This Row],[CORPHRFIN]:[SALES]])</f>
        <v>0</v>
      </c>
      <c r="AE190" s="88" cm="1">
        <f t="array" ref="AE190">SUM(
_xlfn.XLOOKUP(InputTable[[#This Row],[CORPHRFIN]:[SALES]],'System List'!$F$4:$F$7,'System List'!$H$4:$H$7,0))</f>
        <v>0</v>
      </c>
      <c r="AF190" s="140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88" cm="1">
        <f t="array" ref="AR190">SUM(
_xlfn.XLOOKUP(InputTable[[#This Row],[Impact on - CIAL]:[Impact on - STRAT]],'System List'!$F$4:$F$7,'System List'!$H$4:$H$7,0))</f>
        <v>0</v>
      </c>
      <c r="AS190" s="88" t="e">
        <f>VLOOKUP(InputTable[[#This Row],[Duration]],Duration,2,FALSE)+InputTable[[#This Row],[Resource Score]]</f>
        <v>#N/A</v>
      </c>
      <c r="AT19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0" s="24" t="e">
        <f>InputTable[[#This Row],[Value Score]]/InputTable[[#This Row],[EFFORT SCORE]]*100</f>
        <v>#N/A</v>
      </c>
      <c r="AV190" s="25" t="s">
        <v>481</v>
      </c>
      <c r="AW190" s="25"/>
      <c r="AX190" s="144"/>
      <c r="AY190" s="25"/>
      <c r="AZ190" s="189">
        <v>0</v>
      </c>
      <c r="BA190" s="189">
        <v>0</v>
      </c>
      <c r="BB190" s="189"/>
      <c r="BC190" s="189"/>
      <c r="BD190" s="188"/>
      <c r="BE190" s="188"/>
      <c r="BF190" s="70"/>
      <c r="BH190" s="2">
        <f>IFERROR(VLOOKUP(InputTable[[#This Row],[Impact on - CIAL]],'System List'!$F$4:$H$7,3,FALSE),0)</f>
        <v>0</v>
      </c>
      <c r="BI190" s="2">
        <f>IFERROR(VLOOKUP(InputTable[[#This Row],[Impact on - COM]],'System List'!$F$4:$H$7,3,FALSE),0)</f>
        <v>0</v>
      </c>
      <c r="BJ190" s="2">
        <f>IFERROR(VLOOKUP(InputTable[[#This Row],[Impact on - FIN]],'System List'!$F$4:$H$7,3,FALSE),0)</f>
        <v>0</v>
      </c>
      <c r="BK190" s="2">
        <f>IFERROR(VLOOKUP(InputTable[[#This Row],[Impact on - GEN SEC]],'System List'!$F$4:$H$7,3,FALSE),0)</f>
        <v>0</v>
      </c>
      <c r="BL190" s="2">
        <f>IFERROR(VLOOKUP(InputTable[[#This Row],[Impact on - HR]],'System List'!$F$4:$H$7,3,FALSE),0)</f>
        <v>0</v>
      </c>
      <c r="BM190" s="2">
        <f>IFERROR(VLOOKUP(InputTable[[#This Row],[Impact on - IS]],'System List'!$F$4:$H$7,3,FALSE),0)</f>
        <v>0</v>
      </c>
      <c r="BN190" s="2">
        <f>IFERROR(VLOOKUP(InputTable[[#This Row],[Impact on - OPS]],'System List'!$F$4:$H$7,3,FALSE),0)</f>
        <v>0</v>
      </c>
      <c r="BO190" s="2">
        <f>IFERROR(VLOOKUP(InputTable[[#This Row],[Impact on - ROLL STOCK]],'System List'!$F$4:$H$7,3,FALSE),0)</f>
        <v>0</v>
      </c>
      <c r="BP190" s="2">
        <f>IFERROR(VLOOKUP(InputTable[[#This Row],[Impact on - SAFETY]],'System List'!$F$4:$H$7,3,FALSE),0)</f>
        <v>0</v>
      </c>
      <c r="BQ190" s="2">
        <f>IFERROR(VLOOKUP(InputTable[[#This Row],[Impact on - STATION]],'System List'!$F$4:$H$7,3,FALSE),0)</f>
        <v>0</v>
      </c>
      <c r="BR190" s="2">
        <f>IFERROR(VLOOKUP(InputTable[[#This Row],[Impact on - STRAT]],'System List'!$F$4:$H$7,3,FALSE),0)</f>
        <v>0</v>
      </c>
      <c r="BT190" s="2">
        <f>IFERROR(VLOOKUP(InputTable[[#This Row],[CORPHRFIN]],'System List'!$F$4:$H$7,3,FALSE),0)</f>
        <v>0</v>
      </c>
      <c r="BU190" s="2">
        <f>IFERROR(VLOOKUP(InputTable[[#This Row],[CUST]],'System List'!$F$4:$H$7,3,FALSE),0)</f>
        <v>0</v>
      </c>
      <c r="BV190" s="2">
        <f>IFERROR(VLOOKUP(InputTable[[#This Row],[CYBER]],'System List'!$F$4:$H$7,3,FALSE),0)</f>
        <v>0</v>
      </c>
      <c r="BW190" s="2">
        <f>IFERROR(VLOOKUP(InputTable[[#This Row],[DATA]],'System List'!$F$4:$H$7,3,FALSE),0)</f>
        <v>0</v>
      </c>
      <c r="BX190" s="2">
        <f>IFERROR(VLOOKUP(InputTable[[#This Row],[INFRA]],'System List'!$F$4:$H$7,3,FALSE),0)</f>
        <v>0</v>
      </c>
      <c r="BY190" s="2">
        <f>IFERROR(VLOOKUP(InputTable[[#This Row],[OPERATIONS]],'System List'!$F$4:$H$7,3,FALSE),0)</f>
        <v>0</v>
      </c>
      <c r="BZ190" s="2">
        <f>IFERROR(VLOOKUP(InputTable[[#This Row],[PMO]],'System List'!$F$4:$H$7,3,FALSE),0)</f>
        <v>0</v>
      </c>
      <c r="CA190" s="2">
        <f>IFERROR(VLOOKUP(InputTable[[#This Row],[SALES]],'System List'!$F$4:$H$7,3,FALSE),0)</f>
        <v>0</v>
      </c>
      <c r="CC190" s="2" cm="1">
        <f t="array" ref="CC19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0" s="2" cm="1">
        <f t="array" ref="CD19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0" s="2" cm="1">
        <f t="array" ref="CE19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0" s="2" cm="1">
        <f t="array" ref="CF19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0" s="2" cm="1">
        <f t="array" ref="CG19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0" s="2" cm="1">
        <f t="array" ref="CH19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0" s="2" cm="1">
        <f t="array" ref="CI19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0" s="2" cm="1">
        <f t="array" ref="CJ19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0" s="2" cm="1">
        <f t="array" ref="CK19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0" s="26">
        <f t="shared" si="451"/>
        <v>0</v>
      </c>
      <c r="CY190" s="26">
        <f t="shared" si="452"/>
        <v>0</v>
      </c>
      <c r="CZ190" s="26">
        <f t="shared" si="453"/>
        <v>0</v>
      </c>
      <c r="DA190" s="26">
        <f t="shared" si="454"/>
        <v>0</v>
      </c>
      <c r="DB190" s="26">
        <f t="shared" si="455"/>
        <v>0</v>
      </c>
      <c r="DC190" s="26">
        <f t="shared" si="456"/>
        <v>0</v>
      </c>
      <c r="DD190" s="26">
        <f t="shared" si="457"/>
        <v>0</v>
      </c>
      <c r="DE190" s="26">
        <f t="shared" si="458"/>
        <v>0</v>
      </c>
      <c r="DF190" s="26">
        <f t="shared" si="459"/>
        <v>0</v>
      </c>
      <c r="DH190" s="26">
        <f t="shared" si="460"/>
        <v>0</v>
      </c>
      <c r="DI190" s="26">
        <f t="shared" si="461"/>
        <v>0</v>
      </c>
      <c r="DJ190" s="26">
        <f t="shared" si="462"/>
        <v>0</v>
      </c>
      <c r="DK190" s="26">
        <f t="shared" si="463"/>
        <v>0</v>
      </c>
      <c r="DL190" s="26">
        <f t="shared" si="464"/>
        <v>0</v>
      </c>
      <c r="DM190" s="26">
        <f t="shared" si="465"/>
        <v>0</v>
      </c>
      <c r="DN190" s="26">
        <f t="shared" si="466"/>
        <v>0</v>
      </c>
      <c r="DO190" s="26">
        <f t="shared" si="467"/>
        <v>0</v>
      </c>
      <c r="DP190" s="26">
        <f t="shared" si="468"/>
        <v>0</v>
      </c>
      <c r="DR190" s="26">
        <f t="shared" si="469"/>
        <v>0</v>
      </c>
      <c r="DS190" s="26">
        <f t="shared" si="470"/>
        <v>0</v>
      </c>
      <c r="DT190" s="26">
        <f t="shared" si="471"/>
        <v>0</v>
      </c>
      <c r="DU190" s="26">
        <f t="shared" si="472"/>
        <v>0</v>
      </c>
      <c r="DV190" s="26">
        <f t="shared" si="473"/>
        <v>0</v>
      </c>
      <c r="DW190" s="26">
        <f t="shared" si="474"/>
        <v>0</v>
      </c>
      <c r="DX190" s="26">
        <f t="shared" si="475"/>
        <v>0</v>
      </c>
      <c r="DY190" s="26">
        <f t="shared" si="476"/>
        <v>0</v>
      </c>
      <c r="DZ190" s="26">
        <f t="shared" si="477"/>
        <v>0</v>
      </c>
      <c r="EB190" s="26">
        <f t="shared" si="478"/>
        <v>0</v>
      </c>
      <c r="EC190" s="26">
        <f t="shared" si="479"/>
        <v>0</v>
      </c>
      <c r="ED190" s="26">
        <f t="shared" si="480"/>
        <v>0</v>
      </c>
      <c r="EE190" s="26">
        <f t="shared" si="481"/>
        <v>0</v>
      </c>
      <c r="EF190" s="26">
        <f t="shared" si="482"/>
        <v>0</v>
      </c>
      <c r="EG190" s="26">
        <f t="shared" si="483"/>
        <v>0</v>
      </c>
      <c r="EH190" s="26">
        <f t="shared" si="484"/>
        <v>0</v>
      </c>
      <c r="EI190" s="26">
        <f t="shared" si="485"/>
        <v>0</v>
      </c>
      <c r="EJ190" s="26">
        <f t="shared" si="486"/>
        <v>0</v>
      </c>
      <c r="EL190" s="26">
        <f t="shared" si="487"/>
        <v>0</v>
      </c>
      <c r="EM190" s="26">
        <f t="shared" si="488"/>
        <v>0</v>
      </c>
      <c r="EN190" s="26">
        <f t="shared" si="489"/>
        <v>0</v>
      </c>
      <c r="EO190" s="26">
        <f t="shared" si="490"/>
        <v>0</v>
      </c>
      <c r="EP190" s="26">
        <f t="shared" si="491"/>
        <v>0</v>
      </c>
      <c r="EQ190" s="26">
        <f t="shared" si="492"/>
        <v>0</v>
      </c>
      <c r="ER190" s="26">
        <f t="shared" si="493"/>
        <v>0</v>
      </c>
      <c r="ES190" s="26">
        <f t="shared" si="494"/>
        <v>0</v>
      </c>
      <c r="ET190" s="26">
        <f t="shared" si="495"/>
        <v>0</v>
      </c>
      <c r="EV190" s="26">
        <f t="shared" si="496"/>
        <v>0</v>
      </c>
      <c r="EW190" s="26">
        <f t="shared" si="497"/>
        <v>0</v>
      </c>
      <c r="EX190" s="26">
        <f t="shared" si="498"/>
        <v>0</v>
      </c>
      <c r="EY190" s="26">
        <f t="shared" si="499"/>
        <v>0</v>
      </c>
      <c r="EZ190" s="26">
        <f t="shared" si="500"/>
        <v>0</v>
      </c>
      <c r="FA190" s="26">
        <f t="shared" si="501"/>
        <v>0</v>
      </c>
      <c r="FB190" s="26">
        <f t="shared" si="502"/>
        <v>0</v>
      </c>
      <c r="FC190" s="26">
        <f t="shared" si="503"/>
        <v>0</v>
      </c>
      <c r="FD190" s="26">
        <f t="shared" si="504"/>
        <v>0</v>
      </c>
      <c r="FF190" s="26">
        <f t="shared" si="505"/>
        <v>0</v>
      </c>
      <c r="FG190" s="26">
        <f t="shared" si="506"/>
        <v>0</v>
      </c>
      <c r="FH190" s="26">
        <f t="shared" si="507"/>
        <v>0</v>
      </c>
      <c r="FI190" s="26">
        <f t="shared" si="508"/>
        <v>0</v>
      </c>
      <c r="FJ190" s="26">
        <f t="shared" si="509"/>
        <v>0</v>
      </c>
      <c r="FK190" s="26">
        <f t="shared" si="510"/>
        <v>0</v>
      </c>
      <c r="FL190" s="26">
        <f t="shared" si="511"/>
        <v>0</v>
      </c>
      <c r="FM190" s="26">
        <f t="shared" si="512"/>
        <v>0</v>
      </c>
      <c r="FN190" s="26">
        <f t="shared" si="513"/>
        <v>0</v>
      </c>
      <c r="FP190" s="26" t="e">
        <f t="shared" si="514"/>
        <v>#REF!</v>
      </c>
      <c r="FQ190" s="26" t="e">
        <f t="shared" si="515"/>
        <v>#REF!</v>
      </c>
      <c r="FR190" s="26" t="e">
        <f t="shared" si="516"/>
        <v>#REF!</v>
      </c>
      <c r="FS190" s="26" t="e">
        <f t="shared" si="517"/>
        <v>#REF!</v>
      </c>
      <c r="FT190" s="26" t="e">
        <f t="shared" si="518"/>
        <v>#REF!</v>
      </c>
      <c r="FU190" s="26" t="e">
        <f t="shared" si="519"/>
        <v>#REF!</v>
      </c>
      <c r="FV190" s="26" t="e">
        <f t="shared" si="520"/>
        <v>#REF!</v>
      </c>
      <c r="FW190" s="26" t="e">
        <f t="shared" si="521"/>
        <v>#REF!</v>
      </c>
      <c r="FX190" s="26" t="e">
        <f t="shared" si="522"/>
        <v>#REF!</v>
      </c>
      <c r="GB190" s="26" t="e">
        <f>IF(GB$2=InputTable[[#This Row],[Delivery Date]],_xlfn.XLOOKUP(GB$1,$BH$2:$BR$2,$BH190:$BR190,0),0)</f>
        <v>#REF!</v>
      </c>
      <c r="GC190" s="26">
        <f>IF(GC$2=InputTable[[#This Row],[Delivery Date]],_xlfn.XLOOKUP(GC$1,$BH$2:$BR$2,$BH190:$BR190,0),0)</f>
        <v>0</v>
      </c>
      <c r="GD190" s="26">
        <f>IF(GD$2=InputTable[[#This Row],[Delivery Date]],_xlfn.XLOOKUP(GD$1,$BH$2:$BR$2,$BH190:$BR190,0),0)</f>
        <v>0</v>
      </c>
      <c r="GE190" s="26">
        <f>IF(GE$2=InputTable[[#This Row],[Delivery Date]],_xlfn.XLOOKUP(GE$1,$BH$2:$BR$2,$BH190:$BR190,0),0)</f>
        <v>0</v>
      </c>
      <c r="GF190" s="26">
        <f>IF(GF$2=InputTable[[#This Row],[Delivery Date]],_xlfn.XLOOKUP(GF$1,$BH$2:$BR$2,$BH190:$BR190,0),0)</f>
        <v>0</v>
      </c>
      <c r="GG190" s="26">
        <f>IF(GG$2=InputTable[[#This Row],[Delivery Date]],_xlfn.XLOOKUP(GG$1,$BH$2:$BR$2,$BH190:$BR190,0),0)</f>
        <v>0</v>
      </c>
      <c r="GH190" s="26">
        <f>IF(GH$2=InputTable[[#This Row],[Delivery Date]],_xlfn.XLOOKUP(GH$1,$BH$2:$BR$2,$BH190:$BR190,0),0)</f>
        <v>0</v>
      </c>
      <c r="GI190" s="26">
        <f>IF(GI$2=InputTable[[#This Row],[Delivery Date]],_xlfn.XLOOKUP(GI$1,$BH$2:$BR$2,$BH190:$BR190,0),0)</f>
        <v>0</v>
      </c>
      <c r="GJ190" s="26">
        <f>IF(GJ$2=InputTable[[#This Row],[Delivery Date]],_xlfn.XLOOKUP(GJ$1,$BH$2:$BR$2,$BH190:$BR190,0),0)</f>
        <v>0</v>
      </c>
      <c r="GL190" s="26" t="e">
        <f>IF(GL$2=InputTable[[#This Row],[Delivery Date]],_xlfn.XLOOKUP(GL$1,$BH$2:$BR$2,$BH190:$BR190,0),0)</f>
        <v>#REF!</v>
      </c>
      <c r="GM190" s="26">
        <f>IF(GM$2=InputTable[[#This Row],[Delivery Date]],_xlfn.XLOOKUP(GM$1,$BH$2:$BR$2,$BH190:$BR190,0),0)</f>
        <v>0</v>
      </c>
      <c r="GN190" s="26">
        <f>IF(GN$2=InputTable[[#This Row],[Delivery Date]],_xlfn.XLOOKUP(GN$1,$BH$2:$BR$2,$BH190:$BR190,0),0)</f>
        <v>0</v>
      </c>
      <c r="GO190" s="26">
        <f>IF(GO$2=InputTable[[#This Row],[Delivery Date]],_xlfn.XLOOKUP(GO$1,$BH$2:$BR$2,$BH190:$BR190,0),0)</f>
        <v>0</v>
      </c>
      <c r="GP190" s="26">
        <f>IF(GP$2=InputTable[[#This Row],[Delivery Date]],_xlfn.XLOOKUP(GP$1,$BH$2:$BR$2,$BH190:$BR190,0),0)</f>
        <v>0</v>
      </c>
      <c r="GQ190" s="26">
        <f>IF(GQ$2=InputTable[[#This Row],[Delivery Date]],_xlfn.XLOOKUP(GQ$1,$BH$2:$BR$2,$BH190:$BR190,0),0)</f>
        <v>0</v>
      </c>
      <c r="GR190" s="26">
        <f>IF(GR$2=InputTable[[#This Row],[Delivery Date]],_xlfn.XLOOKUP(GR$1,$BH$2:$BR$2,$BH190:$BR190,0),0)</f>
        <v>0</v>
      </c>
      <c r="GS190" s="26">
        <f>IF(GS$2=InputTable[[#This Row],[Delivery Date]],_xlfn.XLOOKUP(GS$1,$BH$2:$BR$2,$BH190:$BR190,0),0)</f>
        <v>0</v>
      </c>
      <c r="GT190" s="26">
        <f>IF(GT$2=InputTable[[#This Row],[Delivery Date]],_xlfn.XLOOKUP(GT$1,$BH$2:$BR$2,$BH190:$BR190,0),0)</f>
        <v>0</v>
      </c>
      <c r="GV190" s="26" t="e">
        <f>IF(GV$2=InputTable[[#This Row],[Delivery Date]],_xlfn.XLOOKUP(GV$1,$BH$2:$BR$2,$BH190:$BR190,0),0)</f>
        <v>#REF!</v>
      </c>
      <c r="GW190" s="26">
        <f>IF(GW$2=InputTable[[#This Row],[Delivery Date]],_xlfn.XLOOKUP(GW$1,$BH$2:$BR$2,$BH190:$BR190,0),0)</f>
        <v>0</v>
      </c>
      <c r="GX190" s="26">
        <f>IF(GX$2=InputTable[[#This Row],[Delivery Date]],_xlfn.XLOOKUP(GX$1,$BH$2:$BR$2,$BH190:$BR190,0),0)</f>
        <v>0</v>
      </c>
      <c r="GY190" s="26">
        <f>IF(GY$2=InputTable[[#This Row],[Delivery Date]],_xlfn.XLOOKUP(GY$1,$BH$2:$BR$2,$BH190:$BR190,0),0)</f>
        <v>0</v>
      </c>
      <c r="GZ190" s="26">
        <f>IF(GZ$2=InputTable[[#This Row],[Delivery Date]],_xlfn.XLOOKUP(GZ$1,$BH$2:$BR$2,$BH190:$BR190,0),0)</f>
        <v>0</v>
      </c>
      <c r="HA190" s="26">
        <f>IF(HA$2=InputTable[[#This Row],[Delivery Date]],_xlfn.XLOOKUP(HA$1,$BH$2:$BR$2,$BH190:$BR190,0),0)</f>
        <v>0</v>
      </c>
      <c r="HB190" s="26">
        <f>IF(HB$2=InputTable[[#This Row],[Delivery Date]],_xlfn.XLOOKUP(HB$1,$BH$2:$BR$2,$BH190:$BR190,0),0)</f>
        <v>0</v>
      </c>
      <c r="HC190" s="26">
        <f>IF(HC$2=InputTable[[#This Row],[Delivery Date]],_xlfn.XLOOKUP(HC$1,$BH$2:$BR$2,$BH190:$BR190,0),0)</f>
        <v>0</v>
      </c>
      <c r="HD190" s="26">
        <f>IF(HD$2=InputTable[[#This Row],[Delivery Date]],_xlfn.XLOOKUP(HD$1,$BH$2:$BR$2,$BH190:$BR190,0),0)</f>
        <v>0</v>
      </c>
      <c r="HF190" s="26" t="e">
        <f>IF(HF$2=InputTable[[#This Row],[Delivery Date]],_xlfn.XLOOKUP(HF$1,$BH$2:$BR$2,$BH190:$BR190,0),0)</f>
        <v>#REF!</v>
      </c>
      <c r="HG190" s="26">
        <f>IF(HG$2=InputTable[[#This Row],[Delivery Date]],_xlfn.XLOOKUP(HG$1,$BH$2:$BR$2,$BH190:$BR190,0),0)</f>
        <v>0</v>
      </c>
      <c r="HH190" s="26">
        <f>IF(HH$2=InputTable[[#This Row],[Delivery Date]],_xlfn.XLOOKUP(HH$1,$BH$2:$BR$2,$BH190:$BR190,0),0)</f>
        <v>0</v>
      </c>
      <c r="HI190" s="26">
        <f>IF(HI$2=InputTable[[#This Row],[Delivery Date]],_xlfn.XLOOKUP(HI$1,$BH$2:$BR$2,$BH190:$BR190,0),0)</f>
        <v>0</v>
      </c>
      <c r="HJ190" s="26">
        <f>IF(HJ$2=InputTable[[#This Row],[Delivery Date]],_xlfn.XLOOKUP(HJ$1,$BH$2:$BR$2,$BH190:$BR190,0),0)</f>
        <v>0</v>
      </c>
      <c r="HK190" s="26">
        <f>IF(HK$2=InputTable[[#This Row],[Delivery Date]],_xlfn.XLOOKUP(HK$1,$BH$2:$BR$2,$BH190:$BR190,0),0)</f>
        <v>0</v>
      </c>
      <c r="HL190" s="26">
        <f>IF(HL$2=InputTable[[#This Row],[Delivery Date]],_xlfn.XLOOKUP(HL$1,$BH$2:$BR$2,$BH190:$BR190,0),0)</f>
        <v>0</v>
      </c>
      <c r="HM190" s="26">
        <f>IF(HM$2=InputTable[[#This Row],[Delivery Date]],_xlfn.XLOOKUP(HM$1,$BH$2:$BR$2,$BH190:$BR190,0),0)</f>
        <v>0</v>
      </c>
      <c r="HN190" s="26">
        <f>IF(HN$2=InputTable[[#This Row],[Delivery Date]],_xlfn.XLOOKUP(HN$1,$BH$2:$BR$2,$BH190:$BR190,0),0)</f>
        <v>0</v>
      </c>
      <c r="HP190" s="26" t="e">
        <f>IF(HP$2=InputTable[[#This Row],[Delivery Date]],_xlfn.XLOOKUP(HP$1,$BH$2:$BR$2,$BH190:$BR190,0),0)</f>
        <v>#REF!</v>
      </c>
      <c r="HQ190" s="26">
        <f>IF(HQ$2=InputTable[[#This Row],[Delivery Date]],_xlfn.XLOOKUP(HQ$1,$BH$2:$BR$2,$BH190:$BR190,0),0)</f>
        <v>0</v>
      </c>
      <c r="HR190" s="26">
        <f>IF(HR$2=InputTable[[#This Row],[Delivery Date]],_xlfn.XLOOKUP(HR$1,$BH$2:$BR$2,$BH190:$BR190,0),0)</f>
        <v>0</v>
      </c>
      <c r="HS190" s="26">
        <f>IF(HS$2=InputTable[[#This Row],[Delivery Date]],_xlfn.XLOOKUP(HS$1,$BH$2:$BR$2,$BH190:$BR190,0),0)</f>
        <v>0</v>
      </c>
      <c r="HT190" s="26">
        <f>IF(HT$2=InputTable[[#This Row],[Delivery Date]],_xlfn.XLOOKUP(HT$1,$BH$2:$BR$2,$BH190:$BR190,0),0)</f>
        <v>0</v>
      </c>
      <c r="HU190" s="26">
        <f>IF(HU$2=InputTable[[#This Row],[Delivery Date]],_xlfn.XLOOKUP(HU$1,$BH$2:$BR$2,$BH190:$BR190,0),0)</f>
        <v>0</v>
      </c>
      <c r="HV190" s="26">
        <f>IF(HV$2=InputTable[[#This Row],[Delivery Date]],_xlfn.XLOOKUP(HV$1,$BH$2:$BR$2,$BH190:$BR190,0),0)</f>
        <v>0</v>
      </c>
      <c r="HW190" s="26">
        <f>IF(HW$2=InputTable[[#This Row],[Delivery Date]],_xlfn.XLOOKUP(HW$1,$BH$2:$BR$2,$BH190:$BR190,0),0)</f>
        <v>0</v>
      </c>
      <c r="HX190" s="26">
        <f>IF(HX$2=InputTable[[#This Row],[Delivery Date]],_xlfn.XLOOKUP(HX$1,$BH$2:$BR$2,$BH190:$BR190,0),0)</f>
        <v>0</v>
      </c>
      <c r="HZ190" s="26" t="e">
        <f>IF(HZ$2=InputTable[[#This Row],[Delivery Date]],_xlfn.XLOOKUP(HZ$1,$BH$2:$BR$2,$BH190:$BR190,0),0)</f>
        <v>#REF!</v>
      </c>
      <c r="IA190" s="26">
        <f>IF(IA$2=InputTable[[#This Row],[Delivery Date]],_xlfn.XLOOKUP(IA$1,$BH$2:$BR$2,$BH190:$BR190,0),0)</f>
        <v>0</v>
      </c>
      <c r="IB190" s="26">
        <f>IF(IB$2=InputTable[[#This Row],[Delivery Date]],_xlfn.XLOOKUP(IB$1,$BH$2:$BR$2,$BH190:$BR190,0),0)</f>
        <v>0</v>
      </c>
      <c r="IC190" s="26">
        <f>IF(IC$2=InputTable[[#This Row],[Delivery Date]],_xlfn.XLOOKUP(IC$1,$BH$2:$BR$2,$BH190:$BR190,0),0)</f>
        <v>0</v>
      </c>
      <c r="ID190" s="26">
        <f>IF(ID$2=InputTable[[#This Row],[Delivery Date]],_xlfn.XLOOKUP(ID$1,$BH$2:$BR$2,$BH190:$BR190,0),0)</f>
        <v>0</v>
      </c>
      <c r="IE190" s="26">
        <f>IF(IE$2=InputTable[[#This Row],[Delivery Date]],_xlfn.XLOOKUP(IE$1,$BH$2:$BR$2,$BH190:$BR190,0),0)</f>
        <v>0</v>
      </c>
      <c r="IF190" s="26">
        <f>IF(IF$2=InputTable[[#This Row],[Delivery Date]],_xlfn.XLOOKUP(IF$1,$BH$2:$BR$2,$BH190:$BR190,0),0)</f>
        <v>0</v>
      </c>
      <c r="IG190" s="26">
        <f>IF(IG$2=InputTable[[#This Row],[Delivery Date]],_xlfn.XLOOKUP(IG$1,$BH$2:$BR$2,$BH190:$BR190,0),0)</f>
        <v>0</v>
      </c>
      <c r="IH190" s="26">
        <f>IF(IH$2=InputTable[[#This Row],[Delivery Date]],_xlfn.XLOOKUP(IH$1,$BH$2:$BR$2,$BH190:$BR190,0),0)</f>
        <v>0</v>
      </c>
      <c r="IJ190" s="26" t="e">
        <f>IF(IJ$2=InputTable[[#This Row],[Delivery Date]],_xlfn.XLOOKUP(IJ$1,$BH$2:$BR$2,$BH190:$BR190,0),0)</f>
        <v>#REF!</v>
      </c>
      <c r="IK190" s="26">
        <f>IF(IK$2=InputTable[[#This Row],[Delivery Date]],_xlfn.XLOOKUP(IK$1,$BH$2:$BR$2,$BH190:$BR190,0),0)</f>
        <v>0</v>
      </c>
      <c r="IL190" s="26">
        <f>IF(IL$2=InputTable[[#This Row],[Delivery Date]],_xlfn.XLOOKUP(IL$1,$BH$2:$BR$2,$BH190:$BR190,0),0)</f>
        <v>0</v>
      </c>
      <c r="IM190" s="26">
        <f>IF(IM$2=InputTable[[#This Row],[Delivery Date]],_xlfn.XLOOKUP(IM$1,$BH$2:$BR$2,$BH190:$BR190,0),0)</f>
        <v>0</v>
      </c>
      <c r="IN190" s="26">
        <f>IF(IN$2=InputTable[[#This Row],[Delivery Date]],_xlfn.XLOOKUP(IN$1,$BH$2:$BR$2,$BH190:$BR190,0),0)</f>
        <v>0</v>
      </c>
      <c r="IO190" s="26">
        <f>IF(IO$2=InputTable[[#This Row],[Delivery Date]],_xlfn.XLOOKUP(IO$1,$BH$2:$BR$2,$BH190:$BR190,0),0)</f>
        <v>0</v>
      </c>
      <c r="IP190" s="26">
        <f>IF(IP$2=InputTable[[#This Row],[Delivery Date]],_xlfn.XLOOKUP(IP$1,$BH$2:$BR$2,$BH190:$BR190,0),0)</f>
        <v>0</v>
      </c>
      <c r="IQ190" s="26">
        <f>IF(IQ$2=InputTable[[#This Row],[Delivery Date]],_xlfn.XLOOKUP(IQ$1,$BH$2:$BR$2,$BH190:$BR190,0),0)</f>
        <v>0</v>
      </c>
      <c r="IR190" s="26">
        <f>IF(IR$2=InputTable[[#This Row],[Delivery Date]],_xlfn.XLOOKUP(IR$1,$BH$2:$BR$2,$BH190:$BR190,0),0)</f>
        <v>0</v>
      </c>
      <c r="IT190" s="26" t="e">
        <f>IF(IT$2=InputTable[[#This Row],[Delivery Date]],_xlfn.XLOOKUP(IT$1,$BH$2:$BR$2,$BH190:$BR190,0),0)</f>
        <v>#REF!</v>
      </c>
      <c r="IU190" s="26">
        <f>IF(IU$2=InputTable[[#This Row],[Delivery Date]],_xlfn.XLOOKUP(IU$1,$BH$2:$BR$2,$BH190:$BR190,0),0)</f>
        <v>0</v>
      </c>
      <c r="IV190" s="26">
        <f>IF(IV$2=InputTable[[#This Row],[Delivery Date]],_xlfn.XLOOKUP(IV$1,$BH$2:$BR$2,$BH190:$BR190,0),0)</f>
        <v>0</v>
      </c>
      <c r="IW190" s="26">
        <f>IF(IW$2=InputTable[[#This Row],[Delivery Date]],_xlfn.XLOOKUP(IW$1,$BH$2:$BR$2,$BH190:$BR190,0),0)</f>
        <v>0</v>
      </c>
      <c r="IX190" s="26">
        <f>IF(IX$2=InputTable[[#This Row],[Delivery Date]],_xlfn.XLOOKUP(IX$1,$BH$2:$BR$2,$BH190:$BR190,0),0)</f>
        <v>0</v>
      </c>
      <c r="IY190" s="26">
        <f>IF(IY$2=InputTable[[#This Row],[Delivery Date]],_xlfn.XLOOKUP(IY$1,$BH$2:$BR$2,$BH190:$BR190,0),0)</f>
        <v>0</v>
      </c>
      <c r="IZ190" s="26">
        <f>IF(IZ$2=InputTable[[#This Row],[Delivery Date]],_xlfn.XLOOKUP(IZ$1,$BH$2:$BR$2,$BH190:$BR190,0),0)</f>
        <v>0</v>
      </c>
      <c r="JA190" s="26">
        <f>IF(JA$2=InputTable[[#This Row],[Delivery Date]],_xlfn.XLOOKUP(JA$1,$BH$2:$BR$2,$BH190:$BR190,0),0)</f>
        <v>0</v>
      </c>
      <c r="JB190" s="26">
        <f>IF(JB$2=InputTable[[#This Row],[Delivery Date]],_xlfn.XLOOKUP(JB$1,$BH$2:$BR$2,$BH190:$BR190,0),0)</f>
        <v>0</v>
      </c>
      <c r="JD190" s="26" t="e">
        <f>IF(JD$2=InputTable[[#This Row],[Delivery Date]],_xlfn.XLOOKUP(JD$1,$BH$2:$BR$2,$BH190:$BR190,0),0)</f>
        <v>#REF!</v>
      </c>
      <c r="JE190" s="26">
        <f>IF(JE$2=InputTable[[#This Row],[Delivery Date]],_xlfn.XLOOKUP(JE$1,$BH$2:$BR$2,$BH190:$BR190,0),0)</f>
        <v>0</v>
      </c>
      <c r="JF190" s="26">
        <f>IF(JF$2=InputTable[[#This Row],[Delivery Date]],_xlfn.XLOOKUP(JF$1,$BH$2:$BR$2,$BH190:$BR190,0),0)</f>
        <v>0</v>
      </c>
      <c r="JG190" s="26">
        <f>IF(JG$2=InputTable[[#This Row],[Delivery Date]],_xlfn.XLOOKUP(JG$1,$BH$2:$BR$2,$BH190:$BR190,0),0)</f>
        <v>0</v>
      </c>
      <c r="JH190" s="26">
        <f>IF(JH$2=InputTable[[#This Row],[Delivery Date]],_xlfn.XLOOKUP(JH$1,$BH$2:$BR$2,$BH190:$BR190,0),0)</f>
        <v>0</v>
      </c>
      <c r="JI190" s="26">
        <f>IF(JI$2=InputTable[[#This Row],[Delivery Date]],_xlfn.XLOOKUP(JI$1,$BH$2:$BR$2,$BH190:$BR190,0),0)</f>
        <v>0</v>
      </c>
      <c r="JJ190" s="26">
        <f>IF(JJ$2=InputTable[[#This Row],[Delivery Date]],_xlfn.XLOOKUP(JJ$1,$BH$2:$BR$2,$BH190:$BR190,0),0)</f>
        <v>0</v>
      </c>
      <c r="JK190" s="26">
        <f>IF(JK$2=InputTable[[#This Row],[Delivery Date]],_xlfn.XLOOKUP(JK$1,$BH$2:$BR$2,$BH190:$BR190,0),0)</f>
        <v>0</v>
      </c>
      <c r="JL190" s="26">
        <f>IF(JL$2=InputTable[[#This Row],[Delivery Date]],_xlfn.XLOOKUP(JL$1,$BH$2:$BR$2,$BH190:$BR190,0),0)</f>
        <v>0</v>
      </c>
      <c r="JN190" s="26" t="e">
        <f>IF(JN$2=InputTable[[#This Row],[Delivery Date]],_xlfn.XLOOKUP(JN$1,$BH$2:$BR$2,$BH190:$BR190,0),0)</f>
        <v>#REF!</v>
      </c>
      <c r="JO190" s="26">
        <f>IF(JO$2=InputTable[[#This Row],[Delivery Date]],_xlfn.XLOOKUP(JO$1,$BH$2:$BR$2,$BH190:$BR190,0),0)</f>
        <v>0</v>
      </c>
      <c r="JP190" s="26">
        <f>IF(JP$2=InputTable[[#This Row],[Delivery Date]],_xlfn.XLOOKUP(JP$1,$BH$2:$BR$2,$BH190:$BR190,0),0)</f>
        <v>0</v>
      </c>
      <c r="JQ190" s="26">
        <f>IF(JQ$2=InputTable[[#This Row],[Delivery Date]],_xlfn.XLOOKUP(JQ$1,$BH$2:$BR$2,$BH190:$BR190,0),0)</f>
        <v>0</v>
      </c>
      <c r="JR190" s="26">
        <f>IF(JR$2=InputTable[[#This Row],[Delivery Date]],_xlfn.XLOOKUP(JR$1,$BH$2:$BR$2,$BH190:$BR190,0),0)</f>
        <v>0</v>
      </c>
      <c r="JS190" s="26">
        <f>IF(JS$2=InputTable[[#This Row],[Delivery Date]],_xlfn.XLOOKUP(JS$1,$BH$2:$BR$2,$BH190:$BR190,0),0)</f>
        <v>0</v>
      </c>
      <c r="JT190" s="26">
        <f>IF(JT$2=InputTable[[#This Row],[Delivery Date]],_xlfn.XLOOKUP(JT$1,$BH$2:$BR$2,$BH190:$BR190,0),0)</f>
        <v>0</v>
      </c>
      <c r="JU190" s="26">
        <f>IF(JU$2=InputTable[[#This Row],[Delivery Date]],_xlfn.XLOOKUP(JU$1,$BH$2:$BR$2,$BH190:$BR190,0),0)</f>
        <v>0</v>
      </c>
      <c r="JV190" s="26">
        <f>IF(JV$2=InputTable[[#This Row],[Delivery Date]],_xlfn.XLOOKUP(JV$1,$BH$2:$BR$2,$BH190:$BR190,0),0)</f>
        <v>0</v>
      </c>
      <c r="JX190" s="26" t="e">
        <f>IF(JX$2=InputTable[[#This Row],[Delivery Date]],_xlfn.XLOOKUP(JX$1,$BH$2:$BR$2,$BH190:$BR190,0),0)</f>
        <v>#REF!</v>
      </c>
      <c r="JY190" s="26">
        <f>IF(JY$2=InputTable[[#This Row],[Delivery Date]],_xlfn.XLOOKUP(JY$1,$BH$2:$BR$2,$BH190:$BR190,0),0)</f>
        <v>0</v>
      </c>
      <c r="JZ190" s="26">
        <f>IF(JZ$2=InputTable[[#This Row],[Delivery Date]],_xlfn.XLOOKUP(JZ$1,$BH$2:$BR$2,$BH190:$BR190,0),0)</f>
        <v>0</v>
      </c>
      <c r="KA190" s="26">
        <f>IF(KA$2=InputTable[[#This Row],[Delivery Date]],_xlfn.XLOOKUP(KA$1,$BH$2:$BR$2,$BH190:$BR190,0),0)</f>
        <v>0</v>
      </c>
      <c r="KB190" s="26">
        <f>IF(KB$2=InputTable[[#This Row],[Delivery Date]],_xlfn.XLOOKUP(KB$1,$BH$2:$BR$2,$BH190:$BR190,0),0)</f>
        <v>0</v>
      </c>
      <c r="KC190" s="26">
        <f>IF(KC$2=InputTable[[#This Row],[Delivery Date]],_xlfn.XLOOKUP(KC$1,$BH$2:$BR$2,$BH190:$BR190,0),0)</f>
        <v>0</v>
      </c>
      <c r="KD190" s="26">
        <f>IF(KD$2=InputTable[[#This Row],[Delivery Date]],_xlfn.XLOOKUP(KD$1,$BH$2:$BR$2,$BH190:$BR190,0),0)</f>
        <v>0</v>
      </c>
      <c r="KE190" s="26">
        <f>IF(KE$2=InputTable[[#This Row],[Delivery Date]],_xlfn.XLOOKUP(KE$1,$BH$2:$BR$2,$BH190:$BR190,0),0)</f>
        <v>0</v>
      </c>
      <c r="KF190" s="26">
        <f>IF(KF$2=InputTable[[#This Row],[Delivery Date]],_xlfn.XLOOKUP(KF$1,$BH$2:$BR$2,$BH190:$BR190,0),0)</f>
        <v>0</v>
      </c>
    </row>
    <row r="191" spans="1:292" ht="34.799999999999997" x14ac:dyDescent="0.25">
      <c r="A191" s="125"/>
      <c r="B191" s="118"/>
      <c r="C191" s="92"/>
      <c r="D191" s="92"/>
      <c r="E191" s="107"/>
      <c r="F191" s="108"/>
      <c r="G191" s="109"/>
      <c r="H191" s="109"/>
      <c r="I191" s="108"/>
      <c r="J191" s="110"/>
      <c r="K191" s="95" t="e">
        <f>VLOOKUP((InputTable[[#This Row],[Starting Date]]&amp; " - " &amp;InputTable[[#This Row],[Delivery Date]]),'System List'!$F$40:$H$83,2,FALSE)</f>
        <v>#N/A</v>
      </c>
      <c r="L191" s="95" t="e">
        <f>VLOOKUP(InputTable[[#This Row],[Duration]],Duration,2,FALSE)</f>
        <v>#N/A</v>
      </c>
      <c r="M191" s="110"/>
      <c r="N191" s="108"/>
      <c r="O191" s="108"/>
      <c r="P191" s="108"/>
      <c r="Q191" s="108"/>
      <c r="R191" s="108"/>
      <c r="S191" s="92"/>
      <c r="T191" s="95"/>
      <c r="U191" s="138"/>
      <c r="V191" s="108"/>
      <c r="W191" s="108"/>
      <c r="X191" s="108"/>
      <c r="Y191" s="108"/>
      <c r="Z191" s="108"/>
      <c r="AA191" s="108"/>
      <c r="AB191" s="108"/>
      <c r="AC191" s="108"/>
      <c r="AD191" s="92">
        <f>COUNTA(InputTable[[#This Row],[CORPHRFIN]:[SALES]])</f>
        <v>0</v>
      </c>
      <c r="AE191" s="88" cm="1">
        <f t="array" ref="AE191">SUM(
_xlfn.XLOOKUP(InputTable[[#This Row],[CORPHRFIN]:[SALES]],'System List'!$F$4:$F$7,'System List'!$H$4:$H$7,0))</f>
        <v>0</v>
      </c>
      <c r="AF191" s="140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88" cm="1">
        <f t="array" ref="AR191">SUM(
_xlfn.XLOOKUP(InputTable[[#This Row],[Impact on - CIAL]:[Impact on - STRAT]],'System List'!$F$4:$F$7,'System List'!$H$4:$H$7,0))</f>
        <v>0</v>
      </c>
      <c r="AS191" s="88" t="e">
        <f>VLOOKUP(InputTable[[#This Row],[Duration]],Duration,2,FALSE)+InputTable[[#This Row],[Resource Score]]</f>
        <v>#N/A</v>
      </c>
      <c r="AT19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1" s="24" t="e">
        <f>InputTable[[#This Row],[Value Score]]/InputTable[[#This Row],[EFFORT SCORE]]*100</f>
        <v>#N/A</v>
      </c>
      <c r="AV191" s="25" t="s">
        <v>482</v>
      </c>
      <c r="AW191" s="25"/>
      <c r="AX191" s="144"/>
      <c r="AY191" s="25"/>
      <c r="AZ191" s="189">
        <v>0</v>
      </c>
      <c r="BA191" s="189">
        <v>0</v>
      </c>
      <c r="BB191" s="189"/>
      <c r="BC191" s="189"/>
      <c r="BD191" s="188"/>
      <c r="BE191" s="188"/>
      <c r="BF191" s="70"/>
      <c r="BH191" s="2">
        <f>IFERROR(VLOOKUP(InputTable[[#This Row],[Impact on - CIAL]],'System List'!$F$4:$H$7,3,FALSE),0)</f>
        <v>0</v>
      </c>
      <c r="BI191" s="2">
        <f>IFERROR(VLOOKUP(InputTable[[#This Row],[Impact on - COM]],'System List'!$F$4:$H$7,3,FALSE),0)</f>
        <v>0</v>
      </c>
      <c r="BJ191" s="2">
        <f>IFERROR(VLOOKUP(InputTable[[#This Row],[Impact on - FIN]],'System List'!$F$4:$H$7,3,FALSE),0)</f>
        <v>0</v>
      </c>
      <c r="BK191" s="2">
        <f>IFERROR(VLOOKUP(InputTable[[#This Row],[Impact on - GEN SEC]],'System List'!$F$4:$H$7,3,FALSE),0)</f>
        <v>0</v>
      </c>
      <c r="BL191" s="2">
        <f>IFERROR(VLOOKUP(InputTable[[#This Row],[Impact on - HR]],'System List'!$F$4:$H$7,3,FALSE),0)</f>
        <v>0</v>
      </c>
      <c r="BM191" s="2">
        <f>IFERROR(VLOOKUP(InputTable[[#This Row],[Impact on - IS]],'System List'!$F$4:$H$7,3,FALSE),0)</f>
        <v>0</v>
      </c>
      <c r="BN191" s="2">
        <f>IFERROR(VLOOKUP(InputTable[[#This Row],[Impact on - OPS]],'System List'!$F$4:$H$7,3,FALSE),0)</f>
        <v>0</v>
      </c>
      <c r="BO191" s="2">
        <f>IFERROR(VLOOKUP(InputTable[[#This Row],[Impact on - ROLL STOCK]],'System List'!$F$4:$H$7,3,FALSE),0)</f>
        <v>0</v>
      </c>
      <c r="BP191" s="2">
        <f>IFERROR(VLOOKUP(InputTable[[#This Row],[Impact on - SAFETY]],'System List'!$F$4:$H$7,3,FALSE),0)</f>
        <v>0</v>
      </c>
      <c r="BQ191" s="2">
        <f>IFERROR(VLOOKUP(InputTable[[#This Row],[Impact on - STATION]],'System List'!$F$4:$H$7,3,FALSE),0)</f>
        <v>0</v>
      </c>
      <c r="BR191" s="2">
        <f>IFERROR(VLOOKUP(InputTable[[#This Row],[Impact on - STRAT]],'System List'!$F$4:$H$7,3,FALSE),0)</f>
        <v>0</v>
      </c>
      <c r="BT191" s="2">
        <f>IFERROR(VLOOKUP(InputTable[[#This Row],[CORPHRFIN]],'System List'!$F$4:$H$7,3,FALSE),0)</f>
        <v>0</v>
      </c>
      <c r="BU191" s="2">
        <f>IFERROR(VLOOKUP(InputTable[[#This Row],[CUST]],'System List'!$F$4:$H$7,3,FALSE),0)</f>
        <v>0</v>
      </c>
      <c r="BV191" s="2">
        <f>IFERROR(VLOOKUP(InputTable[[#This Row],[CYBER]],'System List'!$F$4:$H$7,3,FALSE),0)</f>
        <v>0</v>
      </c>
      <c r="BW191" s="2">
        <f>IFERROR(VLOOKUP(InputTable[[#This Row],[DATA]],'System List'!$F$4:$H$7,3,FALSE),0)</f>
        <v>0</v>
      </c>
      <c r="BX191" s="2">
        <f>IFERROR(VLOOKUP(InputTable[[#This Row],[INFRA]],'System List'!$F$4:$H$7,3,FALSE),0)</f>
        <v>0</v>
      </c>
      <c r="BY191" s="2">
        <f>IFERROR(VLOOKUP(InputTable[[#This Row],[OPERATIONS]],'System List'!$F$4:$H$7,3,FALSE),0)</f>
        <v>0</v>
      </c>
      <c r="BZ191" s="2">
        <f>IFERROR(VLOOKUP(InputTable[[#This Row],[PMO]],'System List'!$F$4:$H$7,3,FALSE),0)</f>
        <v>0</v>
      </c>
      <c r="CA191" s="2">
        <f>IFERROR(VLOOKUP(InputTable[[#This Row],[SALES]],'System List'!$F$4:$H$7,3,FALSE),0)</f>
        <v>0</v>
      </c>
      <c r="CC191" s="2" cm="1">
        <f t="array" ref="CC19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1" s="2" cm="1">
        <f t="array" ref="CD19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1" s="2" cm="1">
        <f t="array" ref="CE19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1" s="2" cm="1">
        <f t="array" ref="CF19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1" s="2" cm="1">
        <f t="array" ref="CG19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1" s="2" cm="1">
        <f t="array" ref="CH19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1" s="2" cm="1">
        <f t="array" ref="CI19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1" s="2" cm="1">
        <f t="array" ref="CJ19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1" s="2" cm="1">
        <f t="array" ref="CK19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1" s="26">
        <f t="shared" si="451"/>
        <v>0</v>
      </c>
      <c r="CY191" s="26">
        <f t="shared" si="452"/>
        <v>0</v>
      </c>
      <c r="CZ191" s="26">
        <f t="shared" si="453"/>
        <v>0</v>
      </c>
      <c r="DA191" s="26">
        <f t="shared" si="454"/>
        <v>0</v>
      </c>
      <c r="DB191" s="26">
        <f t="shared" si="455"/>
        <v>0</v>
      </c>
      <c r="DC191" s="26">
        <f t="shared" si="456"/>
        <v>0</v>
      </c>
      <c r="DD191" s="26">
        <f t="shared" si="457"/>
        <v>0</v>
      </c>
      <c r="DE191" s="26">
        <f t="shared" si="458"/>
        <v>0</v>
      </c>
      <c r="DF191" s="26">
        <f t="shared" si="459"/>
        <v>0</v>
      </c>
      <c r="DH191" s="26">
        <f t="shared" si="460"/>
        <v>0</v>
      </c>
      <c r="DI191" s="26">
        <f t="shared" si="461"/>
        <v>0</v>
      </c>
      <c r="DJ191" s="26">
        <f t="shared" si="462"/>
        <v>0</v>
      </c>
      <c r="DK191" s="26">
        <f t="shared" si="463"/>
        <v>0</v>
      </c>
      <c r="DL191" s="26">
        <f t="shared" si="464"/>
        <v>0</v>
      </c>
      <c r="DM191" s="26">
        <f t="shared" si="465"/>
        <v>0</v>
      </c>
      <c r="DN191" s="26">
        <f t="shared" si="466"/>
        <v>0</v>
      </c>
      <c r="DO191" s="26">
        <f t="shared" si="467"/>
        <v>0</v>
      </c>
      <c r="DP191" s="26">
        <f t="shared" si="468"/>
        <v>0</v>
      </c>
      <c r="DR191" s="26">
        <f t="shared" si="469"/>
        <v>0</v>
      </c>
      <c r="DS191" s="26">
        <f t="shared" si="470"/>
        <v>0</v>
      </c>
      <c r="DT191" s="26">
        <f t="shared" si="471"/>
        <v>0</v>
      </c>
      <c r="DU191" s="26">
        <f t="shared" si="472"/>
        <v>0</v>
      </c>
      <c r="DV191" s="26">
        <f t="shared" si="473"/>
        <v>0</v>
      </c>
      <c r="DW191" s="26">
        <f t="shared" si="474"/>
        <v>0</v>
      </c>
      <c r="DX191" s="26">
        <f t="shared" si="475"/>
        <v>0</v>
      </c>
      <c r="DY191" s="26">
        <f t="shared" si="476"/>
        <v>0</v>
      </c>
      <c r="DZ191" s="26">
        <f t="shared" si="477"/>
        <v>0</v>
      </c>
      <c r="EB191" s="26">
        <f t="shared" si="478"/>
        <v>0</v>
      </c>
      <c r="EC191" s="26">
        <f t="shared" si="479"/>
        <v>0</v>
      </c>
      <c r="ED191" s="26">
        <f t="shared" si="480"/>
        <v>0</v>
      </c>
      <c r="EE191" s="26">
        <f t="shared" si="481"/>
        <v>0</v>
      </c>
      <c r="EF191" s="26">
        <f t="shared" si="482"/>
        <v>0</v>
      </c>
      <c r="EG191" s="26">
        <f t="shared" si="483"/>
        <v>0</v>
      </c>
      <c r="EH191" s="26">
        <f t="shared" si="484"/>
        <v>0</v>
      </c>
      <c r="EI191" s="26">
        <f t="shared" si="485"/>
        <v>0</v>
      </c>
      <c r="EJ191" s="26">
        <f t="shared" si="486"/>
        <v>0</v>
      </c>
      <c r="EL191" s="26">
        <f t="shared" si="487"/>
        <v>0</v>
      </c>
      <c r="EM191" s="26">
        <f t="shared" si="488"/>
        <v>0</v>
      </c>
      <c r="EN191" s="26">
        <f t="shared" si="489"/>
        <v>0</v>
      </c>
      <c r="EO191" s="26">
        <f t="shared" si="490"/>
        <v>0</v>
      </c>
      <c r="EP191" s="26">
        <f t="shared" si="491"/>
        <v>0</v>
      </c>
      <c r="EQ191" s="26">
        <f t="shared" si="492"/>
        <v>0</v>
      </c>
      <c r="ER191" s="26">
        <f t="shared" si="493"/>
        <v>0</v>
      </c>
      <c r="ES191" s="26">
        <f t="shared" si="494"/>
        <v>0</v>
      </c>
      <c r="ET191" s="26">
        <f t="shared" si="495"/>
        <v>0</v>
      </c>
      <c r="EV191" s="26">
        <f t="shared" si="496"/>
        <v>0</v>
      </c>
      <c r="EW191" s="26">
        <f t="shared" si="497"/>
        <v>0</v>
      </c>
      <c r="EX191" s="26">
        <f t="shared" si="498"/>
        <v>0</v>
      </c>
      <c r="EY191" s="26">
        <f t="shared" si="499"/>
        <v>0</v>
      </c>
      <c r="EZ191" s="26">
        <f t="shared" si="500"/>
        <v>0</v>
      </c>
      <c r="FA191" s="26">
        <f t="shared" si="501"/>
        <v>0</v>
      </c>
      <c r="FB191" s="26">
        <f t="shared" si="502"/>
        <v>0</v>
      </c>
      <c r="FC191" s="26">
        <f t="shared" si="503"/>
        <v>0</v>
      </c>
      <c r="FD191" s="26">
        <f t="shared" si="504"/>
        <v>0</v>
      </c>
      <c r="FF191" s="26">
        <f t="shared" si="505"/>
        <v>0</v>
      </c>
      <c r="FG191" s="26">
        <f t="shared" si="506"/>
        <v>0</v>
      </c>
      <c r="FH191" s="26">
        <f t="shared" si="507"/>
        <v>0</v>
      </c>
      <c r="FI191" s="26">
        <f t="shared" si="508"/>
        <v>0</v>
      </c>
      <c r="FJ191" s="26">
        <f t="shared" si="509"/>
        <v>0</v>
      </c>
      <c r="FK191" s="26">
        <f t="shared" si="510"/>
        <v>0</v>
      </c>
      <c r="FL191" s="26">
        <f t="shared" si="511"/>
        <v>0</v>
      </c>
      <c r="FM191" s="26">
        <f t="shared" si="512"/>
        <v>0</v>
      </c>
      <c r="FN191" s="26">
        <f t="shared" si="513"/>
        <v>0</v>
      </c>
      <c r="FP191" s="26" t="e">
        <f t="shared" si="514"/>
        <v>#REF!</v>
      </c>
      <c r="FQ191" s="26" t="e">
        <f t="shared" si="515"/>
        <v>#REF!</v>
      </c>
      <c r="FR191" s="26" t="e">
        <f t="shared" si="516"/>
        <v>#REF!</v>
      </c>
      <c r="FS191" s="26" t="e">
        <f t="shared" si="517"/>
        <v>#REF!</v>
      </c>
      <c r="FT191" s="26" t="e">
        <f t="shared" si="518"/>
        <v>#REF!</v>
      </c>
      <c r="FU191" s="26" t="e">
        <f t="shared" si="519"/>
        <v>#REF!</v>
      </c>
      <c r="FV191" s="26" t="e">
        <f t="shared" si="520"/>
        <v>#REF!</v>
      </c>
      <c r="FW191" s="26" t="e">
        <f t="shared" si="521"/>
        <v>#REF!</v>
      </c>
      <c r="FX191" s="26" t="e">
        <f t="shared" si="522"/>
        <v>#REF!</v>
      </c>
      <c r="GB191" s="26" t="e">
        <f>IF(GB$2=InputTable[[#This Row],[Delivery Date]],_xlfn.XLOOKUP(GB$1,$BH$2:$BR$2,$BH191:$BR191,0),0)</f>
        <v>#REF!</v>
      </c>
      <c r="GC191" s="26">
        <f>IF(GC$2=InputTable[[#This Row],[Delivery Date]],_xlfn.XLOOKUP(GC$1,$BH$2:$BR$2,$BH191:$BR191,0),0)</f>
        <v>0</v>
      </c>
      <c r="GD191" s="26">
        <f>IF(GD$2=InputTable[[#This Row],[Delivery Date]],_xlfn.XLOOKUP(GD$1,$BH$2:$BR$2,$BH191:$BR191,0),0)</f>
        <v>0</v>
      </c>
      <c r="GE191" s="26">
        <f>IF(GE$2=InputTable[[#This Row],[Delivery Date]],_xlfn.XLOOKUP(GE$1,$BH$2:$BR$2,$BH191:$BR191,0),0)</f>
        <v>0</v>
      </c>
      <c r="GF191" s="26">
        <f>IF(GF$2=InputTable[[#This Row],[Delivery Date]],_xlfn.XLOOKUP(GF$1,$BH$2:$BR$2,$BH191:$BR191,0),0)</f>
        <v>0</v>
      </c>
      <c r="GG191" s="26">
        <f>IF(GG$2=InputTable[[#This Row],[Delivery Date]],_xlfn.XLOOKUP(GG$1,$BH$2:$BR$2,$BH191:$BR191,0),0)</f>
        <v>0</v>
      </c>
      <c r="GH191" s="26">
        <f>IF(GH$2=InputTable[[#This Row],[Delivery Date]],_xlfn.XLOOKUP(GH$1,$BH$2:$BR$2,$BH191:$BR191,0),0)</f>
        <v>0</v>
      </c>
      <c r="GI191" s="26">
        <f>IF(GI$2=InputTable[[#This Row],[Delivery Date]],_xlfn.XLOOKUP(GI$1,$BH$2:$BR$2,$BH191:$BR191,0),0)</f>
        <v>0</v>
      </c>
      <c r="GJ191" s="26">
        <f>IF(GJ$2=InputTable[[#This Row],[Delivery Date]],_xlfn.XLOOKUP(GJ$1,$BH$2:$BR$2,$BH191:$BR191,0),0)</f>
        <v>0</v>
      </c>
      <c r="GL191" s="26" t="e">
        <f>IF(GL$2=InputTable[[#This Row],[Delivery Date]],_xlfn.XLOOKUP(GL$1,$BH$2:$BR$2,$BH191:$BR191,0),0)</f>
        <v>#REF!</v>
      </c>
      <c r="GM191" s="26">
        <f>IF(GM$2=InputTable[[#This Row],[Delivery Date]],_xlfn.XLOOKUP(GM$1,$BH$2:$BR$2,$BH191:$BR191,0),0)</f>
        <v>0</v>
      </c>
      <c r="GN191" s="26">
        <f>IF(GN$2=InputTable[[#This Row],[Delivery Date]],_xlfn.XLOOKUP(GN$1,$BH$2:$BR$2,$BH191:$BR191,0),0)</f>
        <v>0</v>
      </c>
      <c r="GO191" s="26">
        <f>IF(GO$2=InputTable[[#This Row],[Delivery Date]],_xlfn.XLOOKUP(GO$1,$BH$2:$BR$2,$BH191:$BR191,0),0)</f>
        <v>0</v>
      </c>
      <c r="GP191" s="26">
        <f>IF(GP$2=InputTable[[#This Row],[Delivery Date]],_xlfn.XLOOKUP(GP$1,$BH$2:$BR$2,$BH191:$BR191,0),0)</f>
        <v>0</v>
      </c>
      <c r="GQ191" s="26">
        <f>IF(GQ$2=InputTable[[#This Row],[Delivery Date]],_xlfn.XLOOKUP(GQ$1,$BH$2:$BR$2,$BH191:$BR191,0),0)</f>
        <v>0</v>
      </c>
      <c r="GR191" s="26">
        <f>IF(GR$2=InputTable[[#This Row],[Delivery Date]],_xlfn.XLOOKUP(GR$1,$BH$2:$BR$2,$BH191:$BR191,0),0)</f>
        <v>0</v>
      </c>
      <c r="GS191" s="26">
        <f>IF(GS$2=InputTable[[#This Row],[Delivery Date]],_xlfn.XLOOKUP(GS$1,$BH$2:$BR$2,$BH191:$BR191,0),0)</f>
        <v>0</v>
      </c>
      <c r="GT191" s="26">
        <f>IF(GT$2=InputTable[[#This Row],[Delivery Date]],_xlfn.XLOOKUP(GT$1,$BH$2:$BR$2,$BH191:$BR191,0),0)</f>
        <v>0</v>
      </c>
      <c r="GV191" s="26" t="e">
        <f>IF(GV$2=InputTable[[#This Row],[Delivery Date]],_xlfn.XLOOKUP(GV$1,$BH$2:$BR$2,$BH191:$BR191,0),0)</f>
        <v>#REF!</v>
      </c>
      <c r="GW191" s="26">
        <f>IF(GW$2=InputTable[[#This Row],[Delivery Date]],_xlfn.XLOOKUP(GW$1,$BH$2:$BR$2,$BH191:$BR191,0),0)</f>
        <v>0</v>
      </c>
      <c r="GX191" s="26">
        <f>IF(GX$2=InputTable[[#This Row],[Delivery Date]],_xlfn.XLOOKUP(GX$1,$BH$2:$BR$2,$BH191:$BR191,0),0)</f>
        <v>0</v>
      </c>
      <c r="GY191" s="26">
        <f>IF(GY$2=InputTable[[#This Row],[Delivery Date]],_xlfn.XLOOKUP(GY$1,$BH$2:$BR$2,$BH191:$BR191,0),0)</f>
        <v>0</v>
      </c>
      <c r="GZ191" s="26">
        <f>IF(GZ$2=InputTable[[#This Row],[Delivery Date]],_xlfn.XLOOKUP(GZ$1,$BH$2:$BR$2,$BH191:$BR191,0),0)</f>
        <v>0</v>
      </c>
      <c r="HA191" s="26">
        <f>IF(HA$2=InputTable[[#This Row],[Delivery Date]],_xlfn.XLOOKUP(HA$1,$BH$2:$BR$2,$BH191:$BR191,0),0)</f>
        <v>0</v>
      </c>
      <c r="HB191" s="26">
        <f>IF(HB$2=InputTable[[#This Row],[Delivery Date]],_xlfn.XLOOKUP(HB$1,$BH$2:$BR$2,$BH191:$BR191,0),0)</f>
        <v>0</v>
      </c>
      <c r="HC191" s="26">
        <f>IF(HC$2=InputTable[[#This Row],[Delivery Date]],_xlfn.XLOOKUP(HC$1,$BH$2:$BR$2,$BH191:$BR191,0),0)</f>
        <v>0</v>
      </c>
      <c r="HD191" s="26">
        <f>IF(HD$2=InputTable[[#This Row],[Delivery Date]],_xlfn.XLOOKUP(HD$1,$BH$2:$BR$2,$BH191:$BR191,0),0)</f>
        <v>0</v>
      </c>
      <c r="HF191" s="26" t="e">
        <f>IF(HF$2=InputTable[[#This Row],[Delivery Date]],_xlfn.XLOOKUP(HF$1,$BH$2:$BR$2,$BH191:$BR191,0),0)</f>
        <v>#REF!</v>
      </c>
      <c r="HG191" s="26">
        <f>IF(HG$2=InputTable[[#This Row],[Delivery Date]],_xlfn.XLOOKUP(HG$1,$BH$2:$BR$2,$BH191:$BR191,0),0)</f>
        <v>0</v>
      </c>
      <c r="HH191" s="26">
        <f>IF(HH$2=InputTable[[#This Row],[Delivery Date]],_xlfn.XLOOKUP(HH$1,$BH$2:$BR$2,$BH191:$BR191,0),0)</f>
        <v>0</v>
      </c>
      <c r="HI191" s="26">
        <f>IF(HI$2=InputTable[[#This Row],[Delivery Date]],_xlfn.XLOOKUP(HI$1,$BH$2:$BR$2,$BH191:$BR191,0),0)</f>
        <v>0</v>
      </c>
      <c r="HJ191" s="26">
        <f>IF(HJ$2=InputTable[[#This Row],[Delivery Date]],_xlfn.XLOOKUP(HJ$1,$BH$2:$BR$2,$BH191:$BR191,0),0)</f>
        <v>0</v>
      </c>
      <c r="HK191" s="26">
        <f>IF(HK$2=InputTable[[#This Row],[Delivery Date]],_xlfn.XLOOKUP(HK$1,$BH$2:$BR$2,$BH191:$BR191,0),0)</f>
        <v>0</v>
      </c>
      <c r="HL191" s="26">
        <f>IF(HL$2=InputTable[[#This Row],[Delivery Date]],_xlfn.XLOOKUP(HL$1,$BH$2:$BR$2,$BH191:$BR191,0),0)</f>
        <v>0</v>
      </c>
      <c r="HM191" s="26">
        <f>IF(HM$2=InputTable[[#This Row],[Delivery Date]],_xlfn.XLOOKUP(HM$1,$BH$2:$BR$2,$BH191:$BR191,0),0)</f>
        <v>0</v>
      </c>
      <c r="HN191" s="26">
        <f>IF(HN$2=InputTable[[#This Row],[Delivery Date]],_xlfn.XLOOKUP(HN$1,$BH$2:$BR$2,$BH191:$BR191,0),0)</f>
        <v>0</v>
      </c>
      <c r="HP191" s="26" t="e">
        <f>IF(HP$2=InputTable[[#This Row],[Delivery Date]],_xlfn.XLOOKUP(HP$1,$BH$2:$BR$2,$BH191:$BR191,0),0)</f>
        <v>#REF!</v>
      </c>
      <c r="HQ191" s="26">
        <f>IF(HQ$2=InputTable[[#This Row],[Delivery Date]],_xlfn.XLOOKUP(HQ$1,$BH$2:$BR$2,$BH191:$BR191,0),0)</f>
        <v>0</v>
      </c>
      <c r="HR191" s="26">
        <f>IF(HR$2=InputTable[[#This Row],[Delivery Date]],_xlfn.XLOOKUP(HR$1,$BH$2:$BR$2,$BH191:$BR191,0),0)</f>
        <v>0</v>
      </c>
      <c r="HS191" s="26">
        <f>IF(HS$2=InputTable[[#This Row],[Delivery Date]],_xlfn.XLOOKUP(HS$1,$BH$2:$BR$2,$BH191:$BR191,0),0)</f>
        <v>0</v>
      </c>
      <c r="HT191" s="26">
        <f>IF(HT$2=InputTable[[#This Row],[Delivery Date]],_xlfn.XLOOKUP(HT$1,$BH$2:$BR$2,$BH191:$BR191,0),0)</f>
        <v>0</v>
      </c>
      <c r="HU191" s="26">
        <f>IF(HU$2=InputTable[[#This Row],[Delivery Date]],_xlfn.XLOOKUP(HU$1,$BH$2:$BR$2,$BH191:$BR191,0),0)</f>
        <v>0</v>
      </c>
      <c r="HV191" s="26">
        <f>IF(HV$2=InputTable[[#This Row],[Delivery Date]],_xlfn.XLOOKUP(HV$1,$BH$2:$BR$2,$BH191:$BR191,0),0)</f>
        <v>0</v>
      </c>
      <c r="HW191" s="26">
        <f>IF(HW$2=InputTable[[#This Row],[Delivery Date]],_xlfn.XLOOKUP(HW$1,$BH$2:$BR$2,$BH191:$BR191,0),0)</f>
        <v>0</v>
      </c>
      <c r="HX191" s="26">
        <f>IF(HX$2=InputTable[[#This Row],[Delivery Date]],_xlfn.XLOOKUP(HX$1,$BH$2:$BR$2,$BH191:$BR191,0),0)</f>
        <v>0</v>
      </c>
      <c r="HZ191" s="26" t="e">
        <f>IF(HZ$2=InputTable[[#This Row],[Delivery Date]],_xlfn.XLOOKUP(HZ$1,$BH$2:$BR$2,$BH191:$BR191,0),0)</f>
        <v>#REF!</v>
      </c>
      <c r="IA191" s="26">
        <f>IF(IA$2=InputTable[[#This Row],[Delivery Date]],_xlfn.XLOOKUP(IA$1,$BH$2:$BR$2,$BH191:$BR191,0),0)</f>
        <v>0</v>
      </c>
      <c r="IB191" s="26">
        <f>IF(IB$2=InputTable[[#This Row],[Delivery Date]],_xlfn.XLOOKUP(IB$1,$BH$2:$BR$2,$BH191:$BR191,0),0)</f>
        <v>0</v>
      </c>
      <c r="IC191" s="26">
        <f>IF(IC$2=InputTable[[#This Row],[Delivery Date]],_xlfn.XLOOKUP(IC$1,$BH$2:$BR$2,$BH191:$BR191,0),0)</f>
        <v>0</v>
      </c>
      <c r="ID191" s="26">
        <f>IF(ID$2=InputTable[[#This Row],[Delivery Date]],_xlfn.XLOOKUP(ID$1,$BH$2:$BR$2,$BH191:$BR191,0),0)</f>
        <v>0</v>
      </c>
      <c r="IE191" s="26">
        <f>IF(IE$2=InputTable[[#This Row],[Delivery Date]],_xlfn.XLOOKUP(IE$1,$BH$2:$BR$2,$BH191:$BR191,0),0)</f>
        <v>0</v>
      </c>
      <c r="IF191" s="26">
        <f>IF(IF$2=InputTable[[#This Row],[Delivery Date]],_xlfn.XLOOKUP(IF$1,$BH$2:$BR$2,$BH191:$BR191,0),0)</f>
        <v>0</v>
      </c>
      <c r="IG191" s="26">
        <f>IF(IG$2=InputTable[[#This Row],[Delivery Date]],_xlfn.XLOOKUP(IG$1,$BH$2:$BR$2,$BH191:$BR191,0),0)</f>
        <v>0</v>
      </c>
      <c r="IH191" s="26">
        <f>IF(IH$2=InputTable[[#This Row],[Delivery Date]],_xlfn.XLOOKUP(IH$1,$BH$2:$BR$2,$BH191:$BR191,0),0)</f>
        <v>0</v>
      </c>
      <c r="IJ191" s="26" t="e">
        <f>IF(IJ$2=InputTable[[#This Row],[Delivery Date]],_xlfn.XLOOKUP(IJ$1,$BH$2:$BR$2,$BH191:$BR191,0),0)</f>
        <v>#REF!</v>
      </c>
      <c r="IK191" s="26">
        <f>IF(IK$2=InputTable[[#This Row],[Delivery Date]],_xlfn.XLOOKUP(IK$1,$BH$2:$BR$2,$BH191:$BR191,0),0)</f>
        <v>0</v>
      </c>
      <c r="IL191" s="26">
        <f>IF(IL$2=InputTable[[#This Row],[Delivery Date]],_xlfn.XLOOKUP(IL$1,$BH$2:$BR$2,$BH191:$BR191,0),0)</f>
        <v>0</v>
      </c>
      <c r="IM191" s="26">
        <f>IF(IM$2=InputTable[[#This Row],[Delivery Date]],_xlfn.XLOOKUP(IM$1,$BH$2:$BR$2,$BH191:$BR191,0),0)</f>
        <v>0</v>
      </c>
      <c r="IN191" s="26">
        <f>IF(IN$2=InputTable[[#This Row],[Delivery Date]],_xlfn.XLOOKUP(IN$1,$BH$2:$BR$2,$BH191:$BR191,0),0)</f>
        <v>0</v>
      </c>
      <c r="IO191" s="26">
        <f>IF(IO$2=InputTable[[#This Row],[Delivery Date]],_xlfn.XLOOKUP(IO$1,$BH$2:$BR$2,$BH191:$BR191,0),0)</f>
        <v>0</v>
      </c>
      <c r="IP191" s="26">
        <f>IF(IP$2=InputTable[[#This Row],[Delivery Date]],_xlfn.XLOOKUP(IP$1,$BH$2:$BR$2,$BH191:$BR191,0),0)</f>
        <v>0</v>
      </c>
      <c r="IQ191" s="26">
        <f>IF(IQ$2=InputTable[[#This Row],[Delivery Date]],_xlfn.XLOOKUP(IQ$1,$BH$2:$BR$2,$BH191:$BR191,0),0)</f>
        <v>0</v>
      </c>
      <c r="IR191" s="26">
        <f>IF(IR$2=InputTable[[#This Row],[Delivery Date]],_xlfn.XLOOKUP(IR$1,$BH$2:$BR$2,$BH191:$BR191,0),0)</f>
        <v>0</v>
      </c>
      <c r="IT191" s="26" t="e">
        <f>IF(IT$2=InputTable[[#This Row],[Delivery Date]],_xlfn.XLOOKUP(IT$1,$BH$2:$BR$2,$BH191:$BR191,0),0)</f>
        <v>#REF!</v>
      </c>
      <c r="IU191" s="26">
        <f>IF(IU$2=InputTable[[#This Row],[Delivery Date]],_xlfn.XLOOKUP(IU$1,$BH$2:$BR$2,$BH191:$BR191,0),0)</f>
        <v>0</v>
      </c>
      <c r="IV191" s="26">
        <f>IF(IV$2=InputTable[[#This Row],[Delivery Date]],_xlfn.XLOOKUP(IV$1,$BH$2:$BR$2,$BH191:$BR191,0),0)</f>
        <v>0</v>
      </c>
      <c r="IW191" s="26">
        <f>IF(IW$2=InputTable[[#This Row],[Delivery Date]],_xlfn.XLOOKUP(IW$1,$BH$2:$BR$2,$BH191:$BR191,0),0)</f>
        <v>0</v>
      </c>
      <c r="IX191" s="26">
        <f>IF(IX$2=InputTable[[#This Row],[Delivery Date]],_xlfn.XLOOKUP(IX$1,$BH$2:$BR$2,$BH191:$BR191,0),0)</f>
        <v>0</v>
      </c>
      <c r="IY191" s="26">
        <f>IF(IY$2=InputTable[[#This Row],[Delivery Date]],_xlfn.XLOOKUP(IY$1,$BH$2:$BR$2,$BH191:$BR191,0),0)</f>
        <v>0</v>
      </c>
      <c r="IZ191" s="26">
        <f>IF(IZ$2=InputTable[[#This Row],[Delivery Date]],_xlfn.XLOOKUP(IZ$1,$BH$2:$BR$2,$BH191:$BR191,0),0)</f>
        <v>0</v>
      </c>
      <c r="JA191" s="26">
        <f>IF(JA$2=InputTable[[#This Row],[Delivery Date]],_xlfn.XLOOKUP(JA$1,$BH$2:$BR$2,$BH191:$BR191,0),0)</f>
        <v>0</v>
      </c>
      <c r="JB191" s="26">
        <f>IF(JB$2=InputTable[[#This Row],[Delivery Date]],_xlfn.XLOOKUP(JB$1,$BH$2:$BR$2,$BH191:$BR191,0),0)</f>
        <v>0</v>
      </c>
      <c r="JD191" s="26" t="e">
        <f>IF(JD$2=InputTable[[#This Row],[Delivery Date]],_xlfn.XLOOKUP(JD$1,$BH$2:$BR$2,$BH191:$BR191,0),0)</f>
        <v>#REF!</v>
      </c>
      <c r="JE191" s="26">
        <f>IF(JE$2=InputTable[[#This Row],[Delivery Date]],_xlfn.XLOOKUP(JE$1,$BH$2:$BR$2,$BH191:$BR191,0),0)</f>
        <v>0</v>
      </c>
      <c r="JF191" s="26">
        <f>IF(JF$2=InputTable[[#This Row],[Delivery Date]],_xlfn.XLOOKUP(JF$1,$BH$2:$BR$2,$BH191:$BR191,0),0)</f>
        <v>0</v>
      </c>
      <c r="JG191" s="26">
        <f>IF(JG$2=InputTable[[#This Row],[Delivery Date]],_xlfn.XLOOKUP(JG$1,$BH$2:$BR$2,$BH191:$BR191,0),0)</f>
        <v>0</v>
      </c>
      <c r="JH191" s="26">
        <f>IF(JH$2=InputTable[[#This Row],[Delivery Date]],_xlfn.XLOOKUP(JH$1,$BH$2:$BR$2,$BH191:$BR191,0),0)</f>
        <v>0</v>
      </c>
      <c r="JI191" s="26">
        <f>IF(JI$2=InputTable[[#This Row],[Delivery Date]],_xlfn.XLOOKUP(JI$1,$BH$2:$BR$2,$BH191:$BR191,0),0)</f>
        <v>0</v>
      </c>
      <c r="JJ191" s="26">
        <f>IF(JJ$2=InputTable[[#This Row],[Delivery Date]],_xlfn.XLOOKUP(JJ$1,$BH$2:$BR$2,$BH191:$BR191,0),0)</f>
        <v>0</v>
      </c>
      <c r="JK191" s="26">
        <f>IF(JK$2=InputTable[[#This Row],[Delivery Date]],_xlfn.XLOOKUP(JK$1,$BH$2:$BR$2,$BH191:$BR191,0),0)</f>
        <v>0</v>
      </c>
      <c r="JL191" s="26">
        <f>IF(JL$2=InputTable[[#This Row],[Delivery Date]],_xlfn.XLOOKUP(JL$1,$BH$2:$BR$2,$BH191:$BR191,0),0)</f>
        <v>0</v>
      </c>
      <c r="JN191" s="26" t="e">
        <f>IF(JN$2=InputTable[[#This Row],[Delivery Date]],_xlfn.XLOOKUP(JN$1,$BH$2:$BR$2,$BH191:$BR191,0),0)</f>
        <v>#REF!</v>
      </c>
      <c r="JO191" s="26">
        <f>IF(JO$2=InputTable[[#This Row],[Delivery Date]],_xlfn.XLOOKUP(JO$1,$BH$2:$BR$2,$BH191:$BR191,0),0)</f>
        <v>0</v>
      </c>
      <c r="JP191" s="26">
        <f>IF(JP$2=InputTable[[#This Row],[Delivery Date]],_xlfn.XLOOKUP(JP$1,$BH$2:$BR$2,$BH191:$BR191,0),0)</f>
        <v>0</v>
      </c>
      <c r="JQ191" s="26">
        <f>IF(JQ$2=InputTable[[#This Row],[Delivery Date]],_xlfn.XLOOKUP(JQ$1,$BH$2:$BR$2,$BH191:$BR191,0),0)</f>
        <v>0</v>
      </c>
      <c r="JR191" s="26">
        <f>IF(JR$2=InputTable[[#This Row],[Delivery Date]],_xlfn.XLOOKUP(JR$1,$BH$2:$BR$2,$BH191:$BR191,0),0)</f>
        <v>0</v>
      </c>
      <c r="JS191" s="26">
        <f>IF(JS$2=InputTable[[#This Row],[Delivery Date]],_xlfn.XLOOKUP(JS$1,$BH$2:$BR$2,$BH191:$BR191,0),0)</f>
        <v>0</v>
      </c>
      <c r="JT191" s="26">
        <f>IF(JT$2=InputTable[[#This Row],[Delivery Date]],_xlfn.XLOOKUP(JT$1,$BH$2:$BR$2,$BH191:$BR191,0),0)</f>
        <v>0</v>
      </c>
      <c r="JU191" s="26">
        <f>IF(JU$2=InputTable[[#This Row],[Delivery Date]],_xlfn.XLOOKUP(JU$1,$BH$2:$BR$2,$BH191:$BR191,0),0)</f>
        <v>0</v>
      </c>
      <c r="JV191" s="26">
        <f>IF(JV$2=InputTable[[#This Row],[Delivery Date]],_xlfn.XLOOKUP(JV$1,$BH$2:$BR$2,$BH191:$BR191,0),0)</f>
        <v>0</v>
      </c>
      <c r="JX191" s="26" t="e">
        <f>IF(JX$2=InputTable[[#This Row],[Delivery Date]],_xlfn.XLOOKUP(JX$1,$BH$2:$BR$2,$BH191:$BR191,0),0)</f>
        <v>#REF!</v>
      </c>
      <c r="JY191" s="26">
        <f>IF(JY$2=InputTable[[#This Row],[Delivery Date]],_xlfn.XLOOKUP(JY$1,$BH$2:$BR$2,$BH191:$BR191,0),0)</f>
        <v>0</v>
      </c>
      <c r="JZ191" s="26">
        <f>IF(JZ$2=InputTable[[#This Row],[Delivery Date]],_xlfn.XLOOKUP(JZ$1,$BH$2:$BR$2,$BH191:$BR191,0),0)</f>
        <v>0</v>
      </c>
      <c r="KA191" s="26">
        <f>IF(KA$2=InputTable[[#This Row],[Delivery Date]],_xlfn.XLOOKUP(KA$1,$BH$2:$BR$2,$BH191:$BR191,0),0)</f>
        <v>0</v>
      </c>
      <c r="KB191" s="26">
        <f>IF(KB$2=InputTable[[#This Row],[Delivery Date]],_xlfn.XLOOKUP(KB$1,$BH$2:$BR$2,$BH191:$BR191,0),0)</f>
        <v>0</v>
      </c>
      <c r="KC191" s="26">
        <f>IF(KC$2=InputTable[[#This Row],[Delivery Date]],_xlfn.XLOOKUP(KC$1,$BH$2:$BR$2,$BH191:$BR191,0),0)</f>
        <v>0</v>
      </c>
      <c r="KD191" s="26">
        <f>IF(KD$2=InputTable[[#This Row],[Delivery Date]],_xlfn.XLOOKUP(KD$1,$BH$2:$BR$2,$BH191:$BR191,0),0)</f>
        <v>0</v>
      </c>
      <c r="KE191" s="26">
        <f>IF(KE$2=InputTable[[#This Row],[Delivery Date]],_xlfn.XLOOKUP(KE$1,$BH$2:$BR$2,$BH191:$BR191,0),0)</f>
        <v>0</v>
      </c>
      <c r="KF191" s="26">
        <f>IF(KF$2=InputTable[[#This Row],[Delivery Date]],_xlfn.XLOOKUP(KF$1,$BH$2:$BR$2,$BH191:$BR191,0),0)</f>
        <v>0</v>
      </c>
    </row>
    <row r="192" spans="1:292" ht="34.799999999999997" x14ac:dyDescent="0.25">
      <c r="A192" s="125"/>
      <c r="B192" s="118"/>
      <c r="C192" s="92"/>
      <c r="D192" s="92"/>
      <c r="E192" s="107"/>
      <c r="F192" s="108"/>
      <c r="G192" s="112"/>
      <c r="H192" s="112"/>
      <c r="I192" s="108"/>
      <c r="J192" s="110"/>
      <c r="K192" s="95" t="e">
        <f>VLOOKUP((InputTable[[#This Row],[Starting Date]]&amp; " - " &amp;InputTable[[#This Row],[Delivery Date]]),'System List'!$F$40:$H$83,2,FALSE)</f>
        <v>#N/A</v>
      </c>
      <c r="L192" s="95" t="e">
        <f>VLOOKUP(InputTable[[#This Row],[Duration]],Duration,2,FALSE)</f>
        <v>#N/A</v>
      </c>
      <c r="M192" s="110"/>
      <c r="N192" s="108"/>
      <c r="O192" s="108"/>
      <c r="P192" s="108"/>
      <c r="Q192" s="108"/>
      <c r="R192" s="108"/>
      <c r="S192" s="92"/>
      <c r="T192" s="95"/>
      <c r="U192" s="138"/>
      <c r="V192" s="108"/>
      <c r="W192" s="108"/>
      <c r="X192" s="108"/>
      <c r="Y192" s="108"/>
      <c r="Z192" s="108"/>
      <c r="AA192" s="108"/>
      <c r="AB192" s="108"/>
      <c r="AC192" s="108"/>
      <c r="AD192" s="92">
        <f>COUNTA(InputTable[[#This Row],[CORPHRFIN]:[SALES]])</f>
        <v>0</v>
      </c>
      <c r="AE192" s="88" cm="1">
        <f t="array" ref="AE192">SUM(
_xlfn.XLOOKUP(InputTable[[#This Row],[CORPHRFIN]:[SALES]],'System List'!$F$4:$F$7,'System List'!$H$4:$H$7,0))</f>
        <v>0</v>
      </c>
      <c r="AF192" s="140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88" cm="1">
        <f t="array" ref="AR192">SUM(
_xlfn.XLOOKUP(InputTable[[#This Row],[Impact on - CIAL]:[Impact on - STRAT]],'System List'!$F$4:$F$7,'System List'!$H$4:$H$7,0))</f>
        <v>0</v>
      </c>
      <c r="AS192" s="88" t="e">
        <f>VLOOKUP(InputTable[[#This Row],[Duration]],Duration,2,FALSE)+InputTable[[#This Row],[Resource Score]]</f>
        <v>#N/A</v>
      </c>
      <c r="AT19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2" s="24" t="e">
        <f>InputTable[[#This Row],[Value Score]]/InputTable[[#This Row],[EFFORT SCORE]]*100</f>
        <v>#N/A</v>
      </c>
      <c r="AV192" s="25" t="s">
        <v>483</v>
      </c>
      <c r="AW192" s="25"/>
      <c r="AX192" s="144"/>
      <c r="AY192" s="25"/>
      <c r="AZ192" s="189">
        <v>0</v>
      </c>
      <c r="BA192" s="189">
        <v>0</v>
      </c>
      <c r="BB192" s="189"/>
      <c r="BC192" s="189"/>
      <c r="BD192" s="188"/>
      <c r="BE192" s="188"/>
      <c r="BF192" s="70"/>
      <c r="BH192" s="2">
        <f>IFERROR(VLOOKUP(InputTable[[#This Row],[Impact on - CIAL]],'System List'!$F$4:$H$7,3,FALSE),0)</f>
        <v>0</v>
      </c>
      <c r="BI192" s="2">
        <f>IFERROR(VLOOKUP(InputTable[[#This Row],[Impact on - COM]],'System List'!$F$4:$H$7,3,FALSE),0)</f>
        <v>0</v>
      </c>
      <c r="BJ192" s="2">
        <f>IFERROR(VLOOKUP(InputTable[[#This Row],[Impact on - FIN]],'System List'!$F$4:$H$7,3,FALSE),0)</f>
        <v>0</v>
      </c>
      <c r="BK192" s="2">
        <f>IFERROR(VLOOKUP(InputTable[[#This Row],[Impact on - GEN SEC]],'System List'!$F$4:$H$7,3,FALSE),0)</f>
        <v>0</v>
      </c>
      <c r="BL192" s="2">
        <f>IFERROR(VLOOKUP(InputTable[[#This Row],[Impact on - HR]],'System List'!$F$4:$H$7,3,FALSE),0)</f>
        <v>0</v>
      </c>
      <c r="BM192" s="2">
        <f>IFERROR(VLOOKUP(InputTable[[#This Row],[Impact on - IS]],'System List'!$F$4:$H$7,3,FALSE),0)</f>
        <v>0</v>
      </c>
      <c r="BN192" s="2">
        <f>IFERROR(VLOOKUP(InputTable[[#This Row],[Impact on - OPS]],'System List'!$F$4:$H$7,3,FALSE),0)</f>
        <v>0</v>
      </c>
      <c r="BO192" s="2">
        <f>IFERROR(VLOOKUP(InputTable[[#This Row],[Impact on - ROLL STOCK]],'System List'!$F$4:$H$7,3,FALSE),0)</f>
        <v>0</v>
      </c>
      <c r="BP192" s="2">
        <f>IFERROR(VLOOKUP(InputTable[[#This Row],[Impact on - SAFETY]],'System List'!$F$4:$H$7,3,FALSE),0)</f>
        <v>0</v>
      </c>
      <c r="BQ192" s="2">
        <f>IFERROR(VLOOKUP(InputTable[[#This Row],[Impact on - STATION]],'System List'!$F$4:$H$7,3,FALSE),0)</f>
        <v>0</v>
      </c>
      <c r="BR192" s="2">
        <f>IFERROR(VLOOKUP(InputTable[[#This Row],[Impact on - STRAT]],'System List'!$F$4:$H$7,3,FALSE),0)</f>
        <v>0</v>
      </c>
      <c r="BT192" s="2">
        <f>IFERROR(VLOOKUP(InputTable[[#This Row],[CORPHRFIN]],'System List'!$F$4:$H$7,3,FALSE),0)</f>
        <v>0</v>
      </c>
      <c r="BU192" s="2">
        <f>IFERROR(VLOOKUP(InputTable[[#This Row],[CUST]],'System List'!$F$4:$H$7,3,FALSE),0)</f>
        <v>0</v>
      </c>
      <c r="BV192" s="2">
        <f>IFERROR(VLOOKUP(InputTable[[#This Row],[CYBER]],'System List'!$F$4:$H$7,3,FALSE),0)</f>
        <v>0</v>
      </c>
      <c r="BW192" s="2">
        <f>IFERROR(VLOOKUP(InputTable[[#This Row],[DATA]],'System List'!$F$4:$H$7,3,FALSE),0)</f>
        <v>0</v>
      </c>
      <c r="BX192" s="2">
        <f>IFERROR(VLOOKUP(InputTable[[#This Row],[INFRA]],'System List'!$F$4:$H$7,3,FALSE),0)</f>
        <v>0</v>
      </c>
      <c r="BY192" s="2">
        <f>IFERROR(VLOOKUP(InputTable[[#This Row],[OPERATIONS]],'System List'!$F$4:$H$7,3,FALSE),0)</f>
        <v>0</v>
      </c>
      <c r="BZ192" s="2">
        <f>IFERROR(VLOOKUP(InputTable[[#This Row],[PMO]],'System List'!$F$4:$H$7,3,FALSE),0)</f>
        <v>0</v>
      </c>
      <c r="CA192" s="2">
        <f>IFERROR(VLOOKUP(InputTable[[#This Row],[SALES]],'System List'!$F$4:$H$7,3,FALSE),0)</f>
        <v>0</v>
      </c>
      <c r="CC192" s="2" cm="1">
        <f t="array" ref="CC19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2" s="2" cm="1">
        <f t="array" ref="CD19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2" s="2" cm="1">
        <f t="array" ref="CE19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2" s="2" cm="1">
        <f t="array" ref="CF19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2" s="2" cm="1">
        <f t="array" ref="CG19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2" s="2" cm="1">
        <f t="array" ref="CH19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2" s="2" cm="1">
        <f t="array" ref="CI19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2" s="2" cm="1">
        <f t="array" ref="CJ19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2" s="2" cm="1">
        <f t="array" ref="CK19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2" s="26">
        <f t="shared" si="451"/>
        <v>0</v>
      </c>
      <c r="CY192" s="26">
        <f t="shared" si="452"/>
        <v>0</v>
      </c>
      <c r="CZ192" s="26">
        <f t="shared" si="453"/>
        <v>0</v>
      </c>
      <c r="DA192" s="26">
        <f t="shared" si="454"/>
        <v>0</v>
      </c>
      <c r="DB192" s="26">
        <f t="shared" si="455"/>
        <v>0</v>
      </c>
      <c r="DC192" s="26">
        <f t="shared" si="456"/>
        <v>0</v>
      </c>
      <c r="DD192" s="26">
        <f t="shared" si="457"/>
        <v>0</v>
      </c>
      <c r="DE192" s="26">
        <f t="shared" si="458"/>
        <v>0</v>
      </c>
      <c r="DF192" s="26">
        <f t="shared" si="459"/>
        <v>0</v>
      </c>
      <c r="DH192" s="26">
        <f t="shared" si="460"/>
        <v>0</v>
      </c>
      <c r="DI192" s="26">
        <f t="shared" si="461"/>
        <v>0</v>
      </c>
      <c r="DJ192" s="26">
        <f t="shared" si="462"/>
        <v>0</v>
      </c>
      <c r="DK192" s="26">
        <f t="shared" si="463"/>
        <v>0</v>
      </c>
      <c r="DL192" s="26">
        <f t="shared" si="464"/>
        <v>0</v>
      </c>
      <c r="DM192" s="26">
        <f t="shared" si="465"/>
        <v>0</v>
      </c>
      <c r="DN192" s="26">
        <f t="shared" si="466"/>
        <v>0</v>
      </c>
      <c r="DO192" s="26">
        <f t="shared" si="467"/>
        <v>0</v>
      </c>
      <c r="DP192" s="26">
        <f t="shared" si="468"/>
        <v>0</v>
      </c>
      <c r="DR192" s="26">
        <f t="shared" si="469"/>
        <v>0</v>
      </c>
      <c r="DS192" s="26">
        <f t="shared" si="470"/>
        <v>0</v>
      </c>
      <c r="DT192" s="26">
        <f t="shared" si="471"/>
        <v>0</v>
      </c>
      <c r="DU192" s="26">
        <f t="shared" si="472"/>
        <v>0</v>
      </c>
      <c r="DV192" s="26">
        <f t="shared" si="473"/>
        <v>0</v>
      </c>
      <c r="DW192" s="26">
        <f t="shared" si="474"/>
        <v>0</v>
      </c>
      <c r="DX192" s="26">
        <f t="shared" si="475"/>
        <v>0</v>
      </c>
      <c r="DY192" s="26">
        <f t="shared" si="476"/>
        <v>0</v>
      </c>
      <c r="DZ192" s="26">
        <f t="shared" si="477"/>
        <v>0</v>
      </c>
      <c r="EB192" s="26">
        <f t="shared" si="478"/>
        <v>0</v>
      </c>
      <c r="EC192" s="26">
        <f t="shared" si="479"/>
        <v>0</v>
      </c>
      <c r="ED192" s="26">
        <f t="shared" si="480"/>
        <v>0</v>
      </c>
      <c r="EE192" s="26">
        <f t="shared" si="481"/>
        <v>0</v>
      </c>
      <c r="EF192" s="26">
        <f t="shared" si="482"/>
        <v>0</v>
      </c>
      <c r="EG192" s="26">
        <f t="shared" si="483"/>
        <v>0</v>
      </c>
      <c r="EH192" s="26">
        <f t="shared" si="484"/>
        <v>0</v>
      </c>
      <c r="EI192" s="26">
        <f t="shared" si="485"/>
        <v>0</v>
      </c>
      <c r="EJ192" s="26">
        <f t="shared" si="486"/>
        <v>0</v>
      </c>
      <c r="EL192" s="26">
        <f t="shared" si="487"/>
        <v>0</v>
      </c>
      <c r="EM192" s="26">
        <f t="shared" si="488"/>
        <v>0</v>
      </c>
      <c r="EN192" s="26">
        <f t="shared" si="489"/>
        <v>0</v>
      </c>
      <c r="EO192" s="26">
        <f t="shared" si="490"/>
        <v>0</v>
      </c>
      <c r="EP192" s="26">
        <f t="shared" si="491"/>
        <v>0</v>
      </c>
      <c r="EQ192" s="26">
        <f t="shared" si="492"/>
        <v>0</v>
      </c>
      <c r="ER192" s="26">
        <f t="shared" si="493"/>
        <v>0</v>
      </c>
      <c r="ES192" s="26">
        <f t="shared" si="494"/>
        <v>0</v>
      </c>
      <c r="ET192" s="26">
        <f t="shared" si="495"/>
        <v>0</v>
      </c>
      <c r="EV192" s="26">
        <f t="shared" si="496"/>
        <v>0</v>
      </c>
      <c r="EW192" s="26">
        <f t="shared" si="497"/>
        <v>0</v>
      </c>
      <c r="EX192" s="26">
        <f t="shared" si="498"/>
        <v>0</v>
      </c>
      <c r="EY192" s="26">
        <f t="shared" si="499"/>
        <v>0</v>
      </c>
      <c r="EZ192" s="26">
        <f t="shared" si="500"/>
        <v>0</v>
      </c>
      <c r="FA192" s="26">
        <f t="shared" si="501"/>
        <v>0</v>
      </c>
      <c r="FB192" s="26">
        <f t="shared" si="502"/>
        <v>0</v>
      </c>
      <c r="FC192" s="26">
        <f t="shared" si="503"/>
        <v>0</v>
      </c>
      <c r="FD192" s="26">
        <f t="shared" si="504"/>
        <v>0</v>
      </c>
      <c r="FF192" s="26">
        <f t="shared" si="505"/>
        <v>0</v>
      </c>
      <c r="FG192" s="26">
        <f t="shared" si="506"/>
        <v>0</v>
      </c>
      <c r="FH192" s="26">
        <f t="shared" si="507"/>
        <v>0</v>
      </c>
      <c r="FI192" s="26">
        <f t="shared" si="508"/>
        <v>0</v>
      </c>
      <c r="FJ192" s="26">
        <f t="shared" si="509"/>
        <v>0</v>
      </c>
      <c r="FK192" s="26">
        <f t="shared" si="510"/>
        <v>0</v>
      </c>
      <c r="FL192" s="26">
        <f t="shared" si="511"/>
        <v>0</v>
      </c>
      <c r="FM192" s="26">
        <f t="shared" si="512"/>
        <v>0</v>
      </c>
      <c r="FN192" s="26">
        <f t="shared" si="513"/>
        <v>0</v>
      </c>
      <c r="FP192" s="26" t="e">
        <f t="shared" si="514"/>
        <v>#REF!</v>
      </c>
      <c r="FQ192" s="26" t="e">
        <f t="shared" si="515"/>
        <v>#REF!</v>
      </c>
      <c r="FR192" s="26" t="e">
        <f t="shared" si="516"/>
        <v>#REF!</v>
      </c>
      <c r="FS192" s="26" t="e">
        <f t="shared" si="517"/>
        <v>#REF!</v>
      </c>
      <c r="FT192" s="26" t="e">
        <f t="shared" si="518"/>
        <v>#REF!</v>
      </c>
      <c r="FU192" s="26" t="e">
        <f t="shared" si="519"/>
        <v>#REF!</v>
      </c>
      <c r="FV192" s="26" t="e">
        <f t="shared" si="520"/>
        <v>#REF!</v>
      </c>
      <c r="FW192" s="26" t="e">
        <f t="shared" si="521"/>
        <v>#REF!</v>
      </c>
      <c r="FX192" s="26" t="e">
        <f t="shared" si="522"/>
        <v>#REF!</v>
      </c>
      <c r="GB192" s="26" t="e">
        <f>IF(GB$2=InputTable[[#This Row],[Delivery Date]],_xlfn.XLOOKUP(GB$1,$BH$2:$BR$2,$BH192:$BR192,0),0)</f>
        <v>#REF!</v>
      </c>
      <c r="GC192" s="26">
        <f>IF(GC$2=InputTable[[#This Row],[Delivery Date]],_xlfn.XLOOKUP(GC$1,$BH$2:$BR$2,$BH192:$BR192,0),0)</f>
        <v>0</v>
      </c>
      <c r="GD192" s="26">
        <f>IF(GD$2=InputTable[[#This Row],[Delivery Date]],_xlfn.XLOOKUP(GD$1,$BH$2:$BR$2,$BH192:$BR192,0),0)</f>
        <v>0</v>
      </c>
      <c r="GE192" s="26">
        <f>IF(GE$2=InputTable[[#This Row],[Delivery Date]],_xlfn.XLOOKUP(GE$1,$BH$2:$BR$2,$BH192:$BR192,0),0)</f>
        <v>0</v>
      </c>
      <c r="GF192" s="26">
        <f>IF(GF$2=InputTable[[#This Row],[Delivery Date]],_xlfn.XLOOKUP(GF$1,$BH$2:$BR$2,$BH192:$BR192,0),0)</f>
        <v>0</v>
      </c>
      <c r="GG192" s="26">
        <f>IF(GG$2=InputTable[[#This Row],[Delivery Date]],_xlfn.XLOOKUP(GG$1,$BH$2:$BR$2,$BH192:$BR192,0),0)</f>
        <v>0</v>
      </c>
      <c r="GH192" s="26">
        <f>IF(GH$2=InputTable[[#This Row],[Delivery Date]],_xlfn.XLOOKUP(GH$1,$BH$2:$BR$2,$BH192:$BR192,0),0)</f>
        <v>0</v>
      </c>
      <c r="GI192" s="26">
        <f>IF(GI$2=InputTable[[#This Row],[Delivery Date]],_xlfn.XLOOKUP(GI$1,$BH$2:$BR$2,$BH192:$BR192,0),0)</f>
        <v>0</v>
      </c>
      <c r="GJ192" s="26">
        <f>IF(GJ$2=InputTable[[#This Row],[Delivery Date]],_xlfn.XLOOKUP(GJ$1,$BH$2:$BR$2,$BH192:$BR192,0),0)</f>
        <v>0</v>
      </c>
      <c r="GL192" s="26" t="e">
        <f>IF(GL$2=InputTable[[#This Row],[Delivery Date]],_xlfn.XLOOKUP(GL$1,$BH$2:$BR$2,$BH192:$BR192,0),0)</f>
        <v>#REF!</v>
      </c>
      <c r="GM192" s="26">
        <f>IF(GM$2=InputTable[[#This Row],[Delivery Date]],_xlfn.XLOOKUP(GM$1,$BH$2:$BR$2,$BH192:$BR192,0),0)</f>
        <v>0</v>
      </c>
      <c r="GN192" s="26">
        <f>IF(GN$2=InputTable[[#This Row],[Delivery Date]],_xlfn.XLOOKUP(GN$1,$BH$2:$BR$2,$BH192:$BR192,0),0)</f>
        <v>0</v>
      </c>
      <c r="GO192" s="26">
        <f>IF(GO$2=InputTable[[#This Row],[Delivery Date]],_xlfn.XLOOKUP(GO$1,$BH$2:$BR$2,$BH192:$BR192,0),0)</f>
        <v>0</v>
      </c>
      <c r="GP192" s="26">
        <f>IF(GP$2=InputTable[[#This Row],[Delivery Date]],_xlfn.XLOOKUP(GP$1,$BH$2:$BR$2,$BH192:$BR192,0),0)</f>
        <v>0</v>
      </c>
      <c r="GQ192" s="26">
        <f>IF(GQ$2=InputTable[[#This Row],[Delivery Date]],_xlfn.XLOOKUP(GQ$1,$BH$2:$BR$2,$BH192:$BR192,0),0)</f>
        <v>0</v>
      </c>
      <c r="GR192" s="26">
        <f>IF(GR$2=InputTable[[#This Row],[Delivery Date]],_xlfn.XLOOKUP(GR$1,$BH$2:$BR$2,$BH192:$BR192,0),0)</f>
        <v>0</v>
      </c>
      <c r="GS192" s="26">
        <f>IF(GS$2=InputTable[[#This Row],[Delivery Date]],_xlfn.XLOOKUP(GS$1,$BH$2:$BR$2,$BH192:$BR192,0),0)</f>
        <v>0</v>
      </c>
      <c r="GT192" s="26">
        <f>IF(GT$2=InputTable[[#This Row],[Delivery Date]],_xlfn.XLOOKUP(GT$1,$BH$2:$BR$2,$BH192:$BR192,0),0)</f>
        <v>0</v>
      </c>
      <c r="GV192" s="26" t="e">
        <f>IF(GV$2=InputTable[[#This Row],[Delivery Date]],_xlfn.XLOOKUP(GV$1,$BH$2:$BR$2,$BH192:$BR192,0),0)</f>
        <v>#REF!</v>
      </c>
      <c r="GW192" s="26">
        <f>IF(GW$2=InputTable[[#This Row],[Delivery Date]],_xlfn.XLOOKUP(GW$1,$BH$2:$BR$2,$BH192:$BR192,0),0)</f>
        <v>0</v>
      </c>
      <c r="GX192" s="26">
        <f>IF(GX$2=InputTable[[#This Row],[Delivery Date]],_xlfn.XLOOKUP(GX$1,$BH$2:$BR$2,$BH192:$BR192,0),0)</f>
        <v>0</v>
      </c>
      <c r="GY192" s="26">
        <f>IF(GY$2=InputTable[[#This Row],[Delivery Date]],_xlfn.XLOOKUP(GY$1,$BH$2:$BR$2,$BH192:$BR192,0),0)</f>
        <v>0</v>
      </c>
      <c r="GZ192" s="26">
        <f>IF(GZ$2=InputTable[[#This Row],[Delivery Date]],_xlfn.XLOOKUP(GZ$1,$BH$2:$BR$2,$BH192:$BR192,0),0)</f>
        <v>0</v>
      </c>
      <c r="HA192" s="26">
        <f>IF(HA$2=InputTable[[#This Row],[Delivery Date]],_xlfn.XLOOKUP(HA$1,$BH$2:$BR$2,$BH192:$BR192,0),0)</f>
        <v>0</v>
      </c>
      <c r="HB192" s="26">
        <f>IF(HB$2=InputTable[[#This Row],[Delivery Date]],_xlfn.XLOOKUP(HB$1,$BH$2:$BR$2,$BH192:$BR192,0),0)</f>
        <v>0</v>
      </c>
      <c r="HC192" s="26">
        <f>IF(HC$2=InputTable[[#This Row],[Delivery Date]],_xlfn.XLOOKUP(HC$1,$BH$2:$BR$2,$BH192:$BR192,0),0)</f>
        <v>0</v>
      </c>
      <c r="HD192" s="26">
        <f>IF(HD$2=InputTable[[#This Row],[Delivery Date]],_xlfn.XLOOKUP(HD$1,$BH$2:$BR$2,$BH192:$BR192,0),0)</f>
        <v>0</v>
      </c>
      <c r="HF192" s="26" t="e">
        <f>IF(HF$2=InputTable[[#This Row],[Delivery Date]],_xlfn.XLOOKUP(HF$1,$BH$2:$BR$2,$BH192:$BR192,0),0)</f>
        <v>#REF!</v>
      </c>
      <c r="HG192" s="26">
        <f>IF(HG$2=InputTable[[#This Row],[Delivery Date]],_xlfn.XLOOKUP(HG$1,$BH$2:$BR$2,$BH192:$BR192,0),0)</f>
        <v>0</v>
      </c>
      <c r="HH192" s="26">
        <f>IF(HH$2=InputTable[[#This Row],[Delivery Date]],_xlfn.XLOOKUP(HH$1,$BH$2:$BR$2,$BH192:$BR192,0),0)</f>
        <v>0</v>
      </c>
      <c r="HI192" s="26">
        <f>IF(HI$2=InputTable[[#This Row],[Delivery Date]],_xlfn.XLOOKUP(HI$1,$BH$2:$BR$2,$BH192:$BR192,0),0)</f>
        <v>0</v>
      </c>
      <c r="HJ192" s="26">
        <f>IF(HJ$2=InputTable[[#This Row],[Delivery Date]],_xlfn.XLOOKUP(HJ$1,$BH$2:$BR$2,$BH192:$BR192,0),0)</f>
        <v>0</v>
      </c>
      <c r="HK192" s="26">
        <f>IF(HK$2=InputTable[[#This Row],[Delivery Date]],_xlfn.XLOOKUP(HK$1,$BH$2:$BR$2,$BH192:$BR192,0),0)</f>
        <v>0</v>
      </c>
      <c r="HL192" s="26">
        <f>IF(HL$2=InputTable[[#This Row],[Delivery Date]],_xlfn.XLOOKUP(HL$1,$BH$2:$BR$2,$BH192:$BR192,0),0)</f>
        <v>0</v>
      </c>
      <c r="HM192" s="26">
        <f>IF(HM$2=InputTable[[#This Row],[Delivery Date]],_xlfn.XLOOKUP(HM$1,$BH$2:$BR$2,$BH192:$BR192,0),0)</f>
        <v>0</v>
      </c>
      <c r="HN192" s="26">
        <f>IF(HN$2=InputTable[[#This Row],[Delivery Date]],_xlfn.XLOOKUP(HN$1,$BH$2:$BR$2,$BH192:$BR192,0),0)</f>
        <v>0</v>
      </c>
      <c r="HP192" s="26" t="e">
        <f>IF(HP$2=InputTable[[#This Row],[Delivery Date]],_xlfn.XLOOKUP(HP$1,$BH$2:$BR$2,$BH192:$BR192,0),0)</f>
        <v>#REF!</v>
      </c>
      <c r="HQ192" s="26">
        <f>IF(HQ$2=InputTable[[#This Row],[Delivery Date]],_xlfn.XLOOKUP(HQ$1,$BH$2:$BR$2,$BH192:$BR192,0),0)</f>
        <v>0</v>
      </c>
      <c r="HR192" s="26">
        <f>IF(HR$2=InputTable[[#This Row],[Delivery Date]],_xlfn.XLOOKUP(HR$1,$BH$2:$BR$2,$BH192:$BR192,0),0)</f>
        <v>0</v>
      </c>
      <c r="HS192" s="26">
        <f>IF(HS$2=InputTable[[#This Row],[Delivery Date]],_xlfn.XLOOKUP(HS$1,$BH$2:$BR$2,$BH192:$BR192,0),0)</f>
        <v>0</v>
      </c>
      <c r="HT192" s="26">
        <f>IF(HT$2=InputTable[[#This Row],[Delivery Date]],_xlfn.XLOOKUP(HT$1,$BH$2:$BR$2,$BH192:$BR192,0),0)</f>
        <v>0</v>
      </c>
      <c r="HU192" s="26">
        <f>IF(HU$2=InputTable[[#This Row],[Delivery Date]],_xlfn.XLOOKUP(HU$1,$BH$2:$BR$2,$BH192:$BR192,0),0)</f>
        <v>0</v>
      </c>
      <c r="HV192" s="26">
        <f>IF(HV$2=InputTable[[#This Row],[Delivery Date]],_xlfn.XLOOKUP(HV$1,$BH$2:$BR$2,$BH192:$BR192,0),0)</f>
        <v>0</v>
      </c>
      <c r="HW192" s="26">
        <f>IF(HW$2=InputTable[[#This Row],[Delivery Date]],_xlfn.XLOOKUP(HW$1,$BH$2:$BR$2,$BH192:$BR192,0),0)</f>
        <v>0</v>
      </c>
      <c r="HX192" s="26">
        <f>IF(HX$2=InputTable[[#This Row],[Delivery Date]],_xlfn.XLOOKUP(HX$1,$BH$2:$BR$2,$BH192:$BR192,0),0)</f>
        <v>0</v>
      </c>
      <c r="HZ192" s="26" t="e">
        <f>IF(HZ$2=InputTable[[#This Row],[Delivery Date]],_xlfn.XLOOKUP(HZ$1,$BH$2:$BR$2,$BH192:$BR192,0),0)</f>
        <v>#REF!</v>
      </c>
      <c r="IA192" s="26">
        <f>IF(IA$2=InputTable[[#This Row],[Delivery Date]],_xlfn.XLOOKUP(IA$1,$BH$2:$BR$2,$BH192:$BR192,0),0)</f>
        <v>0</v>
      </c>
      <c r="IB192" s="26">
        <f>IF(IB$2=InputTable[[#This Row],[Delivery Date]],_xlfn.XLOOKUP(IB$1,$BH$2:$BR$2,$BH192:$BR192,0),0)</f>
        <v>0</v>
      </c>
      <c r="IC192" s="26">
        <f>IF(IC$2=InputTable[[#This Row],[Delivery Date]],_xlfn.XLOOKUP(IC$1,$BH$2:$BR$2,$BH192:$BR192,0),0)</f>
        <v>0</v>
      </c>
      <c r="ID192" s="26">
        <f>IF(ID$2=InputTable[[#This Row],[Delivery Date]],_xlfn.XLOOKUP(ID$1,$BH$2:$BR$2,$BH192:$BR192,0),0)</f>
        <v>0</v>
      </c>
      <c r="IE192" s="26">
        <f>IF(IE$2=InputTable[[#This Row],[Delivery Date]],_xlfn.XLOOKUP(IE$1,$BH$2:$BR$2,$BH192:$BR192,0),0)</f>
        <v>0</v>
      </c>
      <c r="IF192" s="26">
        <f>IF(IF$2=InputTable[[#This Row],[Delivery Date]],_xlfn.XLOOKUP(IF$1,$BH$2:$BR$2,$BH192:$BR192,0),0)</f>
        <v>0</v>
      </c>
      <c r="IG192" s="26">
        <f>IF(IG$2=InputTable[[#This Row],[Delivery Date]],_xlfn.XLOOKUP(IG$1,$BH$2:$BR$2,$BH192:$BR192,0),0)</f>
        <v>0</v>
      </c>
      <c r="IH192" s="26">
        <f>IF(IH$2=InputTable[[#This Row],[Delivery Date]],_xlfn.XLOOKUP(IH$1,$BH$2:$BR$2,$BH192:$BR192,0),0)</f>
        <v>0</v>
      </c>
      <c r="IJ192" s="26" t="e">
        <f>IF(IJ$2=InputTable[[#This Row],[Delivery Date]],_xlfn.XLOOKUP(IJ$1,$BH$2:$BR$2,$BH192:$BR192,0),0)</f>
        <v>#REF!</v>
      </c>
      <c r="IK192" s="26">
        <f>IF(IK$2=InputTable[[#This Row],[Delivery Date]],_xlfn.XLOOKUP(IK$1,$BH$2:$BR$2,$BH192:$BR192,0),0)</f>
        <v>0</v>
      </c>
      <c r="IL192" s="26">
        <f>IF(IL$2=InputTable[[#This Row],[Delivery Date]],_xlfn.XLOOKUP(IL$1,$BH$2:$BR$2,$BH192:$BR192,0),0)</f>
        <v>0</v>
      </c>
      <c r="IM192" s="26">
        <f>IF(IM$2=InputTable[[#This Row],[Delivery Date]],_xlfn.XLOOKUP(IM$1,$BH$2:$BR$2,$BH192:$BR192,0),0)</f>
        <v>0</v>
      </c>
      <c r="IN192" s="26">
        <f>IF(IN$2=InputTable[[#This Row],[Delivery Date]],_xlfn.XLOOKUP(IN$1,$BH$2:$BR$2,$BH192:$BR192,0),0)</f>
        <v>0</v>
      </c>
      <c r="IO192" s="26">
        <f>IF(IO$2=InputTable[[#This Row],[Delivery Date]],_xlfn.XLOOKUP(IO$1,$BH$2:$BR$2,$BH192:$BR192,0),0)</f>
        <v>0</v>
      </c>
      <c r="IP192" s="26">
        <f>IF(IP$2=InputTable[[#This Row],[Delivery Date]],_xlfn.XLOOKUP(IP$1,$BH$2:$BR$2,$BH192:$BR192,0),0)</f>
        <v>0</v>
      </c>
      <c r="IQ192" s="26">
        <f>IF(IQ$2=InputTable[[#This Row],[Delivery Date]],_xlfn.XLOOKUP(IQ$1,$BH$2:$BR$2,$BH192:$BR192,0),0)</f>
        <v>0</v>
      </c>
      <c r="IR192" s="26">
        <f>IF(IR$2=InputTable[[#This Row],[Delivery Date]],_xlfn.XLOOKUP(IR$1,$BH$2:$BR$2,$BH192:$BR192,0),0)</f>
        <v>0</v>
      </c>
      <c r="IT192" s="26" t="e">
        <f>IF(IT$2=InputTable[[#This Row],[Delivery Date]],_xlfn.XLOOKUP(IT$1,$BH$2:$BR$2,$BH192:$BR192,0),0)</f>
        <v>#REF!</v>
      </c>
      <c r="IU192" s="26">
        <f>IF(IU$2=InputTable[[#This Row],[Delivery Date]],_xlfn.XLOOKUP(IU$1,$BH$2:$BR$2,$BH192:$BR192,0),0)</f>
        <v>0</v>
      </c>
      <c r="IV192" s="26">
        <f>IF(IV$2=InputTable[[#This Row],[Delivery Date]],_xlfn.XLOOKUP(IV$1,$BH$2:$BR$2,$BH192:$BR192,0),0)</f>
        <v>0</v>
      </c>
      <c r="IW192" s="26">
        <f>IF(IW$2=InputTable[[#This Row],[Delivery Date]],_xlfn.XLOOKUP(IW$1,$BH$2:$BR$2,$BH192:$BR192,0),0)</f>
        <v>0</v>
      </c>
      <c r="IX192" s="26">
        <f>IF(IX$2=InputTable[[#This Row],[Delivery Date]],_xlfn.XLOOKUP(IX$1,$BH$2:$BR$2,$BH192:$BR192,0),0)</f>
        <v>0</v>
      </c>
      <c r="IY192" s="26">
        <f>IF(IY$2=InputTable[[#This Row],[Delivery Date]],_xlfn.XLOOKUP(IY$1,$BH$2:$BR$2,$BH192:$BR192,0),0)</f>
        <v>0</v>
      </c>
      <c r="IZ192" s="26">
        <f>IF(IZ$2=InputTable[[#This Row],[Delivery Date]],_xlfn.XLOOKUP(IZ$1,$BH$2:$BR$2,$BH192:$BR192,0),0)</f>
        <v>0</v>
      </c>
      <c r="JA192" s="26">
        <f>IF(JA$2=InputTable[[#This Row],[Delivery Date]],_xlfn.XLOOKUP(JA$1,$BH$2:$BR$2,$BH192:$BR192,0),0)</f>
        <v>0</v>
      </c>
      <c r="JB192" s="26">
        <f>IF(JB$2=InputTable[[#This Row],[Delivery Date]],_xlfn.XLOOKUP(JB$1,$BH$2:$BR$2,$BH192:$BR192,0),0)</f>
        <v>0</v>
      </c>
      <c r="JD192" s="26" t="e">
        <f>IF(JD$2=InputTable[[#This Row],[Delivery Date]],_xlfn.XLOOKUP(JD$1,$BH$2:$BR$2,$BH192:$BR192,0),0)</f>
        <v>#REF!</v>
      </c>
      <c r="JE192" s="26">
        <f>IF(JE$2=InputTable[[#This Row],[Delivery Date]],_xlfn.XLOOKUP(JE$1,$BH$2:$BR$2,$BH192:$BR192,0),0)</f>
        <v>0</v>
      </c>
      <c r="JF192" s="26">
        <f>IF(JF$2=InputTable[[#This Row],[Delivery Date]],_xlfn.XLOOKUP(JF$1,$BH$2:$BR$2,$BH192:$BR192,0),0)</f>
        <v>0</v>
      </c>
      <c r="JG192" s="26">
        <f>IF(JG$2=InputTable[[#This Row],[Delivery Date]],_xlfn.XLOOKUP(JG$1,$BH$2:$BR$2,$BH192:$BR192,0),0)</f>
        <v>0</v>
      </c>
      <c r="JH192" s="26">
        <f>IF(JH$2=InputTable[[#This Row],[Delivery Date]],_xlfn.XLOOKUP(JH$1,$BH$2:$BR$2,$BH192:$BR192,0),0)</f>
        <v>0</v>
      </c>
      <c r="JI192" s="26">
        <f>IF(JI$2=InputTable[[#This Row],[Delivery Date]],_xlfn.XLOOKUP(JI$1,$BH$2:$BR$2,$BH192:$BR192,0),0)</f>
        <v>0</v>
      </c>
      <c r="JJ192" s="26">
        <f>IF(JJ$2=InputTable[[#This Row],[Delivery Date]],_xlfn.XLOOKUP(JJ$1,$BH$2:$BR$2,$BH192:$BR192,0),0)</f>
        <v>0</v>
      </c>
      <c r="JK192" s="26">
        <f>IF(JK$2=InputTable[[#This Row],[Delivery Date]],_xlfn.XLOOKUP(JK$1,$BH$2:$BR$2,$BH192:$BR192,0),0)</f>
        <v>0</v>
      </c>
      <c r="JL192" s="26">
        <f>IF(JL$2=InputTable[[#This Row],[Delivery Date]],_xlfn.XLOOKUP(JL$1,$BH$2:$BR$2,$BH192:$BR192,0),0)</f>
        <v>0</v>
      </c>
      <c r="JN192" s="26" t="e">
        <f>IF(JN$2=InputTable[[#This Row],[Delivery Date]],_xlfn.XLOOKUP(JN$1,$BH$2:$BR$2,$BH192:$BR192,0),0)</f>
        <v>#REF!</v>
      </c>
      <c r="JO192" s="26">
        <f>IF(JO$2=InputTable[[#This Row],[Delivery Date]],_xlfn.XLOOKUP(JO$1,$BH$2:$BR$2,$BH192:$BR192,0),0)</f>
        <v>0</v>
      </c>
      <c r="JP192" s="26">
        <f>IF(JP$2=InputTable[[#This Row],[Delivery Date]],_xlfn.XLOOKUP(JP$1,$BH$2:$BR$2,$BH192:$BR192,0),0)</f>
        <v>0</v>
      </c>
      <c r="JQ192" s="26">
        <f>IF(JQ$2=InputTable[[#This Row],[Delivery Date]],_xlfn.XLOOKUP(JQ$1,$BH$2:$BR$2,$BH192:$BR192,0),0)</f>
        <v>0</v>
      </c>
      <c r="JR192" s="26">
        <f>IF(JR$2=InputTable[[#This Row],[Delivery Date]],_xlfn.XLOOKUP(JR$1,$BH$2:$BR$2,$BH192:$BR192,0),0)</f>
        <v>0</v>
      </c>
      <c r="JS192" s="26">
        <f>IF(JS$2=InputTable[[#This Row],[Delivery Date]],_xlfn.XLOOKUP(JS$1,$BH$2:$BR$2,$BH192:$BR192,0),0)</f>
        <v>0</v>
      </c>
      <c r="JT192" s="26">
        <f>IF(JT$2=InputTable[[#This Row],[Delivery Date]],_xlfn.XLOOKUP(JT$1,$BH$2:$BR$2,$BH192:$BR192,0),0)</f>
        <v>0</v>
      </c>
      <c r="JU192" s="26">
        <f>IF(JU$2=InputTable[[#This Row],[Delivery Date]],_xlfn.XLOOKUP(JU$1,$BH$2:$BR$2,$BH192:$BR192,0),0)</f>
        <v>0</v>
      </c>
      <c r="JV192" s="26">
        <f>IF(JV$2=InputTable[[#This Row],[Delivery Date]],_xlfn.XLOOKUP(JV$1,$BH$2:$BR$2,$BH192:$BR192,0),0)</f>
        <v>0</v>
      </c>
      <c r="JX192" s="26" t="e">
        <f>IF(JX$2=InputTable[[#This Row],[Delivery Date]],_xlfn.XLOOKUP(JX$1,$BH$2:$BR$2,$BH192:$BR192,0),0)</f>
        <v>#REF!</v>
      </c>
      <c r="JY192" s="26">
        <f>IF(JY$2=InputTable[[#This Row],[Delivery Date]],_xlfn.XLOOKUP(JY$1,$BH$2:$BR$2,$BH192:$BR192,0),0)</f>
        <v>0</v>
      </c>
      <c r="JZ192" s="26">
        <f>IF(JZ$2=InputTable[[#This Row],[Delivery Date]],_xlfn.XLOOKUP(JZ$1,$BH$2:$BR$2,$BH192:$BR192,0),0)</f>
        <v>0</v>
      </c>
      <c r="KA192" s="26">
        <f>IF(KA$2=InputTable[[#This Row],[Delivery Date]],_xlfn.XLOOKUP(KA$1,$BH$2:$BR$2,$BH192:$BR192,0),0)</f>
        <v>0</v>
      </c>
      <c r="KB192" s="26">
        <f>IF(KB$2=InputTable[[#This Row],[Delivery Date]],_xlfn.XLOOKUP(KB$1,$BH$2:$BR$2,$BH192:$BR192,0),0)</f>
        <v>0</v>
      </c>
      <c r="KC192" s="26">
        <f>IF(KC$2=InputTable[[#This Row],[Delivery Date]],_xlfn.XLOOKUP(KC$1,$BH$2:$BR$2,$BH192:$BR192,0),0)</f>
        <v>0</v>
      </c>
      <c r="KD192" s="26">
        <f>IF(KD$2=InputTable[[#This Row],[Delivery Date]],_xlfn.XLOOKUP(KD$1,$BH$2:$BR$2,$BH192:$BR192,0),0)</f>
        <v>0</v>
      </c>
      <c r="KE192" s="26">
        <f>IF(KE$2=InputTable[[#This Row],[Delivery Date]],_xlfn.XLOOKUP(KE$1,$BH$2:$BR$2,$BH192:$BR192,0),0)</f>
        <v>0</v>
      </c>
      <c r="KF192" s="26">
        <f>IF(KF$2=InputTable[[#This Row],[Delivery Date]],_xlfn.XLOOKUP(KF$1,$BH$2:$BR$2,$BH192:$BR192,0),0)</f>
        <v>0</v>
      </c>
    </row>
    <row r="193" spans="1:292" ht="34.799999999999997" x14ac:dyDescent="0.25">
      <c r="A193" s="125"/>
      <c r="B193" s="118"/>
      <c r="C193" s="92"/>
      <c r="D193" s="92"/>
      <c r="E193" s="107"/>
      <c r="F193" s="108"/>
      <c r="G193" s="109"/>
      <c r="H193" s="109"/>
      <c r="I193" s="108"/>
      <c r="J193" s="110"/>
      <c r="K193" s="95" t="e">
        <f>VLOOKUP((InputTable[[#This Row],[Starting Date]]&amp; " - " &amp;InputTable[[#This Row],[Delivery Date]]),'System List'!$F$40:$H$83,2,FALSE)</f>
        <v>#N/A</v>
      </c>
      <c r="L193" s="95" t="e">
        <f>VLOOKUP(InputTable[[#This Row],[Duration]],Duration,2,FALSE)</f>
        <v>#N/A</v>
      </c>
      <c r="M193" s="110"/>
      <c r="N193" s="108"/>
      <c r="O193" s="108"/>
      <c r="P193" s="108"/>
      <c r="Q193" s="108"/>
      <c r="R193" s="108"/>
      <c r="S193" s="92"/>
      <c r="T193" s="95"/>
      <c r="U193" s="138"/>
      <c r="V193" s="108"/>
      <c r="W193" s="108"/>
      <c r="X193" s="108"/>
      <c r="Y193" s="108"/>
      <c r="Z193" s="108"/>
      <c r="AA193" s="108"/>
      <c r="AB193" s="108"/>
      <c r="AC193" s="108"/>
      <c r="AD193" s="92">
        <f>COUNTA(InputTable[[#This Row],[CORPHRFIN]:[SALES]])</f>
        <v>0</v>
      </c>
      <c r="AE193" s="88" cm="1">
        <f t="array" ref="AE193">SUM(
_xlfn.XLOOKUP(InputTable[[#This Row],[CORPHRFIN]:[SALES]],'System List'!$F$4:$F$7,'System List'!$H$4:$H$7,0))</f>
        <v>0</v>
      </c>
      <c r="AF193" s="140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88" cm="1">
        <f t="array" ref="AR193">SUM(
_xlfn.XLOOKUP(InputTable[[#This Row],[Impact on - CIAL]:[Impact on - STRAT]],'System List'!$F$4:$F$7,'System List'!$H$4:$H$7,0))</f>
        <v>0</v>
      </c>
      <c r="AS193" s="88" t="e">
        <f>VLOOKUP(InputTable[[#This Row],[Duration]],Duration,2,FALSE)+InputTable[[#This Row],[Resource Score]]</f>
        <v>#N/A</v>
      </c>
      <c r="AT19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3" s="24" t="e">
        <f>InputTable[[#This Row],[Value Score]]/InputTable[[#This Row],[EFFORT SCORE]]*100</f>
        <v>#N/A</v>
      </c>
      <c r="AV193" s="25" t="s">
        <v>484</v>
      </c>
      <c r="AW193" s="25"/>
      <c r="AX193" s="144"/>
      <c r="AY193" s="25"/>
      <c r="AZ193" s="189">
        <v>0</v>
      </c>
      <c r="BA193" s="189">
        <v>0</v>
      </c>
      <c r="BB193" s="189"/>
      <c r="BC193" s="189"/>
      <c r="BD193" s="188"/>
      <c r="BE193" s="188"/>
      <c r="BF193" s="70"/>
      <c r="BH193" s="2">
        <f>IFERROR(VLOOKUP(InputTable[[#This Row],[Impact on - CIAL]],'System List'!$F$4:$H$7,3,FALSE),0)</f>
        <v>0</v>
      </c>
      <c r="BI193" s="2">
        <f>IFERROR(VLOOKUP(InputTable[[#This Row],[Impact on - COM]],'System List'!$F$4:$H$7,3,FALSE),0)</f>
        <v>0</v>
      </c>
      <c r="BJ193" s="2">
        <f>IFERROR(VLOOKUP(InputTable[[#This Row],[Impact on - FIN]],'System List'!$F$4:$H$7,3,FALSE),0)</f>
        <v>0</v>
      </c>
      <c r="BK193" s="2">
        <f>IFERROR(VLOOKUP(InputTable[[#This Row],[Impact on - GEN SEC]],'System List'!$F$4:$H$7,3,FALSE),0)</f>
        <v>0</v>
      </c>
      <c r="BL193" s="2">
        <f>IFERROR(VLOOKUP(InputTable[[#This Row],[Impact on - HR]],'System List'!$F$4:$H$7,3,FALSE),0)</f>
        <v>0</v>
      </c>
      <c r="BM193" s="2">
        <f>IFERROR(VLOOKUP(InputTable[[#This Row],[Impact on - IS]],'System List'!$F$4:$H$7,3,FALSE),0)</f>
        <v>0</v>
      </c>
      <c r="BN193" s="2">
        <f>IFERROR(VLOOKUP(InputTable[[#This Row],[Impact on - OPS]],'System List'!$F$4:$H$7,3,FALSE),0)</f>
        <v>0</v>
      </c>
      <c r="BO193" s="2">
        <f>IFERROR(VLOOKUP(InputTable[[#This Row],[Impact on - ROLL STOCK]],'System List'!$F$4:$H$7,3,FALSE),0)</f>
        <v>0</v>
      </c>
      <c r="BP193" s="2">
        <f>IFERROR(VLOOKUP(InputTable[[#This Row],[Impact on - SAFETY]],'System List'!$F$4:$H$7,3,FALSE),0)</f>
        <v>0</v>
      </c>
      <c r="BQ193" s="2">
        <f>IFERROR(VLOOKUP(InputTable[[#This Row],[Impact on - STATION]],'System List'!$F$4:$H$7,3,FALSE),0)</f>
        <v>0</v>
      </c>
      <c r="BR193" s="2">
        <f>IFERROR(VLOOKUP(InputTable[[#This Row],[Impact on - STRAT]],'System List'!$F$4:$H$7,3,FALSE),0)</f>
        <v>0</v>
      </c>
      <c r="BT193" s="2">
        <f>IFERROR(VLOOKUP(InputTable[[#This Row],[CORPHRFIN]],'System List'!$F$4:$H$7,3,FALSE),0)</f>
        <v>0</v>
      </c>
      <c r="BU193" s="2">
        <f>IFERROR(VLOOKUP(InputTable[[#This Row],[CUST]],'System List'!$F$4:$H$7,3,FALSE),0)</f>
        <v>0</v>
      </c>
      <c r="BV193" s="2">
        <f>IFERROR(VLOOKUP(InputTable[[#This Row],[CYBER]],'System List'!$F$4:$H$7,3,FALSE),0)</f>
        <v>0</v>
      </c>
      <c r="BW193" s="2">
        <f>IFERROR(VLOOKUP(InputTable[[#This Row],[DATA]],'System List'!$F$4:$H$7,3,FALSE),0)</f>
        <v>0</v>
      </c>
      <c r="BX193" s="2">
        <f>IFERROR(VLOOKUP(InputTable[[#This Row],[INFRA]],'System List'!$F$4:$H$7,3,FALSE),0)</f>
        <v>0</v>
      </c>
      <c r="BY193" s="2">
        <f>IFERROR(VLOOKUP(InputTable[[#This Row],[OPERATIONS]],'System List'!$F$4:$H$7,3,FALSE),0)</f>
        <v>0</v>
      </c>
      <c r="BZ193" s="2">
        <f>IFERROR(VLOOKUP(InputTable[[#This Row],[PMO]],'System List'!$F$4:$H$7,3,FALSE),0)</f>
        <v>0</v>
      </c>
      <c r="CA193" s="2">
        <f>IFERROR(VLOOKUP(InputTable[[#This Row],[SALES]],'System List'!$F$4:$H$7,3,FALSE),0)</f>
        <v>0</v>
      </c>
      <c r="CC193" s="2" cm="1">
        <f t="array" ref="CC19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3" s="2" cm="1">
        <f t="array" ref="CD19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3" s="2" cm="1">
        <f t="array" ref="CE19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3" s="2" cm="1">
        <f t="array" ref="CF19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3" s="2" cm="1">
        <f t="array" ref="CG19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3" s="2" cm="1">
        <f t="array" ref="CH19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3" s="2" cm="1">
        <f t="array" ref="CI19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3" s="2" cm="1">
        <f t="array" ref="CJ19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3" s="2" cm="1">
        <f t="array" ref="CK19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3" s="26">
        <f t="shared" si="451"/>
        <v>0</v>
      </c>
      <c r="CY193" s="26">
        <f t="shared" si="452"/>
        <v>0</v>
      </c>
      <c r="CZ193" s="26">
        <f t="shared" si="453"/>
        <v>0</v>
      </c>
      <c r="DA193" s="26">
        <f t="shared" si="454"/>
        <v>0</v>
      </c>
      <c r="DB193" s="26">
        <f t="shared" si="455"/>
        <v>0</v>
      </c>
      <c r="DC193" s="26">
        <f t="shared" si="456"/>
        <v>0</v>
      </c>
      <c r="DD193" s="26">
        <f t="shared" si="457"/>
        <v>0</v>
      </c>
      <c r="DE193" s="26">
        <f t="shared" si="458"/>
        <v>0</v>
      </c>
      <c r="DF193" s="26">
        <f t="shared" si="459"/>
        <v>0</v>
      </c>
      <c r="DH193" s="26">
        <f t="shared" si="460"/>
        <v>0</v>
      </c>
      <c r="DI193" s="26">
        <f t="shared" si="461"/>
        <v>0</v>
      </c>
      <c r="DJ193" s="26">
        <f t="shared" si="462"/>
        <v>0</v>
      </c>
      <c r="DK193" s="26">
        <f t="shared" si="463"/>
        <v>0</v>
      </c>
      <c r="DL193" s="26">
        <f t="shared" si="464"/>
        <v>0</v>
      </c>
      <c r="DM193" s="26">
        <f t="shared" si="465"/>
        <v>0</v>
      </c>
      <c r="DN193" s="26">
        <f t="shared" si="466"/>
        <v>0</v>
      </c>
      <c r="DO193" s="26">
        <f t="shared" si="467"/>
        <v>0</v>
      </c>
      <c r="DP193" s="26">
        <f t="shared" si="468"/>
        <v>0</v>
      </c>
      <c r="DR193" s="26">
        <f t="shared" si="469"/>
        <v>0</v>
      </c>
      <c r="DS193" s="26">
        <f t="shared" si="470"/>
        <v>0</v>
      </c>
      <c r="DT193" s="26">
        <f t="shared" si="471"/>
        <v>0</v>
      </c>
      <c r="DU193" s="26">
        <f t="shared" si="472"/>
        <v>0</v>
      </c>
      <c r="DV193" s="26">
        <f t="shared" si="473"/>
        <v>0</v>
      </c>
      <c r="DW193" s="26">
        <f t="shared" si="474"/>
        <v>0</v>
      </c>
      <c r="DX193" s="26">
        <f t="shared" si="475"/>
        <v>0</v>
      </c>
      <c r="DY193" s="26">
        <f t="shared" si="476"/>
        <v>0</v>
      </c>
      <c r="DZ193" s="26">
        <f t="shared" si="477"/>
        <v>0</v>
      </c>
      <c r="EB193" s="26">
        <f t="shared" si="478"/>
        <v>0</v>
      </c>
      <c r="EC193" s="26">
        <f t="shared" si="479"/>
        <v>0</v>
      </c>
      <c r="ED193" s="26">
        <f t="shared" si="480"/>
        <v>0</v>
      </c>
      <c r="EE193" s="26">
        <f t="shared" si="481"/>
        <v>0</v>
      </c>
      <c r="EF193" s="26">
        <f t="shared" si="482"/>
        <v>0</v>
      </c>
      <c r="EG193" s="26">
        <f t="shared" si="483"/>
        <v>0</v>
      </c>
      <c r="EH193" s="26">
        <f t="shared" si="484"/>
        <v>0</v>
      </c>
      <c r="EI193" s="26">
        <f t="shared" si="485"/>
        <v>0</v>
      </c>
      <c r="EJ193" s="26">
        <f t="shared" si="486"/>
        <v>0</v>
      </c>
      <c r="EL193" s="26">
        <f t="shared" si="487"/>
        <v>0</v>
      </c>
      <c r="EM193" s="26">
        <f t="shared" si="488"/>
        <v>0</v>
      </c>
      <c r="EN193" s="26">
        <f t="shared" si="489"/>
        <v>0</v>
      </c>
      <c r="EO193" s="26">
        <f t="shared" si="490"/>
        <v>0</v>
      </c>
      <c r="EP193" s="26">
        <f t="shared" si="491"/>
        <v>0</v>
      </c>
      <c r="EQ193" s="26">
        <f t="shared" si="492"/>
        <v>0</v>
      </c>
      <c r="ER193" s="26">
        <f t="shared" si="493"/>
        <v>0</v>
      </c>
      <c r="ES193" s="26">
        <f t="shared" si="494"/>
        <v>0</v>
      </c>
      <c r="ET193" s="26">
        <f t="shared" si="495"/>
        <v>0</v>
      </c>
      <c r="EV193" s="26">
        <f t="shared" si="496"/>
        <v>0</v>
      </c>
      <c r="EW193" s="26">
        <f t="shared" si="497"/>
        <v>0</v>
      </c>
      <c r="EX193" s="26">
        <f t="shared" si="498"/>
        <v>0</v>
      </c>
      <c r="EY193" s="26">
        <f t="shared" si="499"/>
        <v>0</v>
      </c>
      <c r="EZ193" s="26">
        <f t="shared" si="500"/>
        <v>0</v>
      </c>
      <c r="FA193" s="26">
        <f t="shared" si="501"/>
        <v>0</v>
      </c>
      <c r="FB193" s="26">
        <f t="shared" si="502"/>
        <v>0</v>
      </c>
      <c r="FC193" s="26">
        <f t="shared" si="503"/>
        <v>0</v>
      </c>
      <c r="FD193" s="26">
        <f t="shared" si="504"/>
        <v>0</v>
      </c>
      <c r="FF193" s="26">
        <f t="shared" si="505"/>
        <v>0</v>
      </c>
      <c r="FG193" s="26">
        <f t="shared" si="506"/>
        <v>0</v>
      </c>
      <c r="FH193" s="26">
        <f t="shared" si="507"/>
        <v>0</v>
      </c>
      <c r="FI193" s="26">
        <f t="shared" si="508"/>
        <v>0</v>
      </c>
      <c r="FJ193" s="26">
        <f t="shared" si="509"/>
        <v>0</v>
      </c>
      <c r="FK193" s="26">
        <f t="shared" si="510"/>
        <v>0</v>
      </c>
      <c r="FL193" s="26">
        <f t="shared" si="511"/>
        <v>0</v>
      </c>
      <c r="FM193" s="26">
        <f t="shared" si="512"/>
        <v>0</v>
      </c>
      <c r="FN193" s="26">
        <f t="shared" si="513"/>
        <v>0</v>
      </c>
      <c r="FP193" s="26" t="e">
        <f t="shared" si="514"/>
        <v>#REF!</v>
      </c>
      <c r="FQ193" s="26" t="e">
        <f t="shared" si="515"/>
        <v>#REF!</v>
      </c>
      <c r="FR193" s="26" t="e">
        <f t="shared" si="516"/>
        <v>#REF!</v>
      </c>
      <c r="FS193" s="26" t="e">
        <f t="shared" si="517"/>
        <v>#REF!</v>
      </c>
      <c r="FT193" s="26" t="e">
        <f t="shared" si="518"/>
        <v>#REF!</v>
      </c>
      <c r="FU193" s="26" t="e">
        <f t="shared" si="519"/>
        <v>#REF!</v>
      </c>
      <c r="FV193" s="26" t="e">
        <f t="shared" si="520"/>
        <v>#REF!</v>
      </c>
      <c r="FW193" s="26" t="e">
        <f t="shared" si="521"/>
        <v>#REF!</v>
      </c>
      <c r="FX193" s="26" t="e">
        <f t="shared" si="522"/>
        <v>#REF!</v>
      </c>
      <c r="GB193" s="26" t="e">
        <f>IF(GB$2=InputTable[[#This Row],[Delivery Date]],_xlfn.XLOOKUP(GB$1,$BH$2:$BR$2,$BH193:$BR193,0),0)</f>
        <v>#REF!</v>
      </c>
      <c r="GC193" s="26">
        <f>IF(GC$2=InputTable[[#This Row],[Delivery Date]],_xlfn.XLOOKUP(GC$1,$BH$2:$BR$2,$BH193:$BR193,0),0)</f>
        <v>0</v>
      </c>
      <c r="GD193" s="26">
        <f>IF(GD$2=InputTable[[#This Row],[Delivery Date]],_xlfn.XLOOKUP(GD$1,$BH$2:$BR$2,$BH193:$BR193,0),0)</f>
        <v>0</v>
      </c>
      <c r="GE193" s="26">
        <f>IF(GE$2=InputTable[[#This Row],[Delivery Date]],_xlfn.XLOOKUP(GE$1,$BH$2:$BR$2,$BH193:$BR193,0),0)</f>
        <v>0</v>
      </c>
      <c r="GF193" s="26">
        <f>IF(GF$2=InputTable[[#This Row],[Delivery Date]],_xlfn.XLOOKUP(GF$1,$BH$2:$BR$2,$BH193:$BR193,0),0)</f>
        <v>0</v>
      </c>
      <c r="GG193" s="26">
        <f>IF(GG$2=InputTable[[#This Row],[Delivery Date]],_xlfn.XLOOKUP(GG$1,$BH$2:$BR$2,$BH193:$BR193,0),0)</f>
        <v>0</v>
      </c>
      <c r="GH193" s="26">
        <f>IF(GH$2=InputTable[[#This Row],[Delivery Date]],_xlfn.XLOOKUP(GH$1,$BH$2:$BR$2,$BH193:$BR193,0),0)</f>
        <v>0</v>
      </c>
      <c r="GI193" s="26">
        <f>IF(GI$2=InputTable[[#This Row],[Delivery Date]],_xlfn.XLOOKUP(GI$1,$BH$2:$BR$2,$BH193:$BR193,0),0)</f>
        <v>0</v>
      </c>
      <c r="GJ193" s="26">
        <f>IF(GJ$2=InputTable[[#This Row],[Delivery Date]],_xlfn.XLOOKUP(GJ$1,$BH$2:$BR$2,$BH193:$BR193,0),0)</f>
        <v>0</v>
      </c>
      <c r="GL193" s="26" t="e">
        <f>IF(GL$2=InputTable[[#This Row],[Delivery Date]],_xlfn.XLOOKUP(GL$1,$BH$2:$BR$2,$BH193:$BR193,0),0)</f>
        <v>#REF!</v>
      </c>
      <c r="GM193" s="26">
        <f>IF(GM$2=InputTable[[#This Row],[Delivery Date]],_xlfn.XLOOKUP(GM$1,$BH$2:$BR$2,$BH193:$BR193,0),0)</f>
        <v>0</v>
      </c>
      <c r="GN193" s="26">
        <f>IF(GN$2=InputTable[[#This Row],[Delivery Date]],_xlfn.XLOOKUP(GN$1,$BH$2:$BR$2,$BH193:$BR193,0),0)</f>
        <v>0</v>
      </c>
      <c r="GO193" s="26">
        <f>IF(GO$2=InputTable[[#This Row],[Delivery Date]],_xlfn.XLOOKUP(GO$1,$BH$2:$BR$2,$BH193:$BR193,0),0)</f>
        <v>0</v>
      </c>
      <c r="GP193" s="26">
        <f>IF(GP$2=InputTable[[#This Row],[Delivery Date]],_xlfn.XLOOKUP(GP$1,$BH$2:$BR$2,$BH193:$BR193,0),0)</f>
        <v>0</v>
      </c>
      <c r="GQ193" s="26">
        <f>IF(GQ$2=InputTable[[#This Row],[Delivery Date]],_xlfn.XLOOKUP(GQ$1,$BH$2:$BR$2,$BH193:$BR193,0),0)</f>
        <v>0</v>
      </c>
      <c r="GR193" s="26">
        <f>IF(GR$2=InputTable[[#This Row],[Delivery Date]],_xlfn.XLOOKUP(GR$1,$BH$2:$BR$2,$BH193:$BR193,0),0)</f>
        <v>0</v>
      </c>
      <c r="GS193" s="26">
        <f>IF(GS$2=InputTable[[#This Row],[Delivery Date]],_xlfn.XLOOKUP(GS$1,$BH$2:$BR$2,$BH193:$BR193,0),0)</f>
        <v>0</v>
      </c>
      <c r="GT193" s="26">
        <f>IF(GT$2=InputTable[[#This Row],[Delivery Date]],_xlfn.XLOOKUP(GT$1,$BH$2:$BR$2,$BH193:$BR193,0),0)</f>
        <v>0</v>
      </c>
      <c r="GV193" s="26" t="e">
        <f>IF(GV$2=InputTable[[#This Row],[Delivery Date]],_xlfn.XLOOKUP(GV$1,$BH$2:$BR$2,$BH193:$BR193,0),0)</f>
        <v>#REF!</v>
      </c>
      <c r="GW193" s="26">
        <f>IF(GW$2=InputTable[[#This Row],[Delivery Date]],_xlfn.XLOOKUP(GW$1,$BH$2:$BR$2,$BH193:$BR193,0),0)</f>
        <v>0</v>
      </c>
      <c r="GX193" s="26">
        <f>IF(GX$2=InputTable[[#This Row],[Delivery Date]],_xlfn.XLOOKUP(GX$1,$BH$2:$BR$2,$BH193:$BR193,0),0)</f>
        <v>0</v>
      </c>
      <c r="GY193" s="26">
        <f>IF(GY$2=InputTable[[#This Row],[Delivery Date]],_xlfn.XLOOKUP(GY$1,$BH$2:$BR$2,$BH193:$BR193,0),0)</f>
        <v>0</v>
      </c>
      <c r="GZ193" s="26">
        <f>IF(GZ$2=InputTable[[#This Row],[Delivery Date]],_xlfn.XLOOKUP(GZ$1,$BH$2:$BR$2,$BH193:$BR193,0),0)</f>
        <v>0</v>
      </c>
      <c r="HA193" s="26">
        <f>IF(HA$2=InputTable[[#This Row],[Delivery Date]],_xlfn.XLOOKUP(HA$1,$BH$2:$BR$2,$BH193:$BR193,0),0)</f>
        <v>0</v>
      </c>
      <c r="HB193" s="26">
        <f>IF(HB$2=InputTable[[#This Row],[Delivery Date]],_xlfn.XLOOKUP(HB$1,$BH$2:$BR$2,$BH193:$BR193,0),0)</f>
        <v>0</v>
      </c>
      <c r="HC193" s="26">
        <f>IF(HC$2=InputTable[[#This Row],[Delivery Date]],_xlfn.XLOOKUP(HC$1,$BH$2:$BR$2,$BH193:$BR193,0),0)</f>
        <v>0</v>
      </c>
      <c r="HD193" s="26">
        <f>IF(HD$2=InputTable[[#This Row],[Delivery Date]],_xlfn.XLOOKUP(HD$1,$BH$2:$BR$2,$BH193:$BR193,0),0)</f>
        <v>0</v>
      </c>
      <c r="HF193" s="26" t="e">
        <f>IF(HF$2=InputTable[[#This Row],[Delivery Date]],_xlfn.XLOOKUP(HF$1,$BH$2:$BR$2,$BH193:$BR193,0),0)</f>
        <v>#REF!</v>
      </c>
      <c r="HG193" s="26">
        <f>IF(HG$2=InputTable[[#This Row],[Delivery Date]],_xlfn.XLOOKUP(HG$1,$BH$2:$BR$2,$BH193:$BR193,0),0)</f>
        <v>0</v>
      </c>
      <c r="HH193" s="26">
        <f>IF(HH$2=InputTable[[#This Row],[Delivery Date]],_xlfn.XLOOKUP(HH$1,$BH$2:$BR$2,$BH193:$BR193,0),0)</f>
        <v>0</v>
      </c>
      <c r="HI193" s="26">
        <f>IF(HI$2=InputTable[[#This Row],[Delivery Date]],_xlfn.XLOOKUP(HI$1,$BH$2:$BR$2,$BH193:$BR193,0),0)</f>
        <v>0</v>
      </c>
      <c r="HJ193" s="26">
        <f>IF(HJ$2=InputTable[[#This Row],[Delivery Date]],_xlfn.XLOOKUP(HJ$1,$BH$2:$BR$2,$BH193:$BR193,0),0)</f>
        <v>0</v>
      </c>
      <c r="HK193" s="26">
        <f>IF(HK$2=InputTable[[#This Row],[Delivery Date]],_xlfn.XLOOKUP(HK$1,$BH$2:$BR$2,$BH193:$BR193,0),0)</f>
        <v>0</v>
      </c>
      <c r="HL193" s="26">
        <f>IF(HL$2=InputTable[[#This Row],[Delivery Date]],_xlfn.XLOOKUP(HL$1,$BH$2:$BR$2,$BH193:$BR193,0),0)</f>
        <v>0</v>
      </c>
      <c r="HM193" s="26">
        <f>IF(HM$2=InputTable[[#This Row],[Delivery Date]],_xlfn.XLOOKUP(HM$1,$BH$2:$BR$2,$BH193:$BR193,0),0)</f>
        <v>0</v>
      </c>
      <c r="HN193" s="26">
        <f>IF(HN$2=InputTable[[#This Row],[Delivery Date]],_xlfn.XLOOKUP(HN$1,$BH$2:$BR$2,$BH193:$BR193,0),0)</f>
        <v>0</v>
      </c>
      <c r="HP193" s="26" t="e">
        <f>IF(HP$2=InputTable[[#This Row],[Delivery Date]],_xlfn.XLOOKUP(HP$1,$BH$2:$BR$2,$BH193:$BR193,0),0)</f>
        <v>#REF!</v>
      </c>
      <c r="HQ193" s="26">
        <f>IF(HQ$2=InputTable[[#This Row],[Delivery Date]],_xlfn.XLOOKUP(HQ$1,$BH$2:$BR$2,$BH193:$BR193,0),0)</f>
        <v>0</v>
      </c>
      <c r="HR193" s="26">
        <f>IF(HR$2=InputTable[[#This Row],[Delivery Date]],_xlfn.XLOOKUP(HR$1,$BH$2:$BR$2,$BH193:$BR193,0),0)</f>
        <v>0</v>
      </c>
      <c r="HS193" s="26">
        <f>IF(HS$2=InputTable[[#This Row],[Delivery Date]],_xlfn.XLOOKUP(HS$1,$BH$2:$BR$2,$BH193:$BR193,0),0)</f>
        <v>0</v>
      </c>
      <c r="HT193" s="26">
        <f>IF(HT$2=InputTable[[#This Row],[Delivery Date]],_xlfn.XLOOKUP(HT$1,$BH$2:$BR$2,$BH193:$BR193,0),0)</f>
        <v>0</v>
      </c>
      <c r="HU193" s="26">
        <f>IF(HU$2=InputTable[[#This Row],[Delivery Date]],_xlfn.XLOOKUP(HU$1,$BH$2:$BR$2,$BH193:$BR193,0),0)</f>
        <v>0</v>
      </c>
      <c r="HV193" s="26">
        <f>IF(HV$2=InputTable[[#This Row],[Delivery Date]],_xlfn.XLOOKUP(HV$1,$BH$2:$BR$2,$BH193:$BR193,0),0)</f>
        <v>0</v>
      </c>
      <c r="HW193" s="26">
        <f>IF(HW$2=InputTable[[#This Row],[Delivery Date]],_xlfn.XLOOKUP(HW$1,$BH$2:$BR$2,$BH193:$BR193,0),0)</f>
        <v>0</v>
      </c>
      <c r="HX193" s="26">
        <f>IF(HX$2=InputTable[[#This Row],[Delivery Date]],_xlfn.XLOOKUP(HX$1,$BH$2:$BR$2,$BH193:$BR193,0),0)</f>
        <v>0</v>
      </c>
      <c r="HZ193" s="26" t="e">
        <f>IF(HZ$2=InputTable[[#This Row],[Delivery Date]],_xlfn.XLOOKUP(HZ$1,$BH$2:$BR$2,$BH193:$BR193,0),0)</f>
        <v>#REF!</v>
      </c>
      <c r="IA193" s="26">
        <f>IF(IA$2=InputTable[[#This Row],[Delivery Date]],_xlfn.XLOOKUP(IA$1,$BH$2:$BR$2,$BH193:$BR193,0),0)</f>
        <v>0</v>
      </c>
      <c r="IB193" s="26">
        <f>IF(IB$2=InputTable[[#This Row],[Delivery Date]],_xlfn.XLOOKUP(IB$1,$BH$2:$BR$2,$BH193:$BR193,0),0)</f>
        <v>0</v>
      </c>
      <c r="IC193" s="26">
        <f>IF(IC$2=InputTable[[#This Row],[Delivery Date]],_xlfn.XLOOKUP(IC$1,$BH$2:$BR$2,$BH193:$BR193,0),0)</f>
        <v>0</v>
      </c>
      <c r="ID193" s="26">
        <f>IF(ID$2=InputTable[[#This Row],[Delivery Date]],_xlfn.XLOOKUP(ID$1,$BH$2:$BR$2,$BH193:$BR193,0),0)</f>
        <v>0</v>
      </c>
      <c r="IE193" s="26">
        <f>IF(IE$2=InputTable[[#This Row],[Delivery Date]],_xlfn.XLOOKUP(IE$1,$BH$2:$BR$2,$BH193:$BR193,0),0)</f>
        <v>0</v>
      </c>
      <c r="IF193" s="26">
        <f>IF(IF$2=InputTable[[#This Row],[Delivery Date]],_xlfn.XLOOKUP(IF$1,$BH$2:$BR$2,$BH193:$BR193,0),0)</f>
        <v>0</v>
      </c>
      <c r="IG193" s="26">
        <f>IF(IG$2=InputTable[[#This Row],[Delivery Date]],_xlfn.XLOOKUP(IG$1,$BH$2:$BR$2,$BH193:$BR193,0),0)</f>
        <v>0</v>
      </c>
      <c r="IH193" s="26">
        <f>IF(IH$2=InputTable[[#This Row],[Delivery Date]],_xlfn.XLOOKUP(IH$1,$BH$2:$BR$2,$BH193:$BR193,0),0)</f>
        <v>0</v>
      </c>
      <c r="IJ193" s="26" t="e">
        <f>IF(IJ$2=InputTable[[#This Row],[Delivery Date]],_xlfn.XLOOKUP(IJ$1,$BH$2:$BR$2,$BH193:$BR193,0),0)</f>
        <v>#REF!</v>
      </c>
      <c r="IK193" s="26">
        <f>IF(IK$2=InputTable[[#This Row],[Delivery Date]],_xlfn.XLOOKUP(IK$1,$BH$2:$BR$2,$BH193:$BR193,0),0)</f>
        <v>0</v>
      </c>
      <c r="IL193" s="26">
        <f>IF(IL$2=InputTable[[#This Row],[Delivery Date]],_xlfn.XLOOKUP(IL$1,$BH$2:$BR$2,$BH193:$BR193,0),0)</f>
        <v>0</v>
      </c>
      <c r="IM193" s="26">
        <f>IF(IM$2=InputTable[[#This Row],[Delivery Date]],_xlfn.XLOOKUP(IM$1,$BH$2:$BR$2,$BH193:$BR193,0),0)</f>
        <v>0</v>
      </c>
      <c r="IN193" s="26">
        <f>IF(IN$2=InputTable[[#This Row],[Delivery Date]],_xlfn.XLOOKUP(IN$1,$BH$2:$BR$2,$BH193:$BR193,0),0)</f>
        <v>0</v>
      </c>
      <c r="IO193" s="26">
        <f>IF(IO$2=InputTable[[#This Row],[Delivery Date]],_xlfn.XLOOKUP(IO$1,$BH$2:$BR$2,$BH193:$BR193,0),0)</f>
        <v>0</v>
      </c>
      <c r="IP193" s="26">
        <f>IF(IP$2=InputTable[[#This Row],[Delivery Date]],_xlfn.XLOOKUP(IP$1,$BH$2:$BR$2,$BH193:$BR193,0),0)</f>
        <v>0</v>
      </c>
      <c r="IQ193" s="26">
        <f>IF(IQ$2=InputTable[[#This Row],[Delivery Date]],_xlfn.XLOOKUP(IQ$1,$BH$2:$BR$2,$BH193:$BR193,0),0)</f>
        <v>0</v>
      </c>
      <c r="IR193" s="26">
        <f>IF(IR$2=InputTable[[#This Row],[Delivery Date]],_xlfn.XLOOKUP(IR$1,$BH$2:$BR$2,$BH193:$BR193,0),0)</f>
        <v>0</v>
      </c>
      <c r="IT193" s="26" t="e">
        <f>IF(IT$2=InputTable[[#This Row],[Delivery Date]],_xlfn.XLOOKUP(IT$1,$BH$2:$BR$2,$BH193:$BR193,0),0)</f>
        <v>#REF!</v>
      </c>
      <c r="IU193" s="26">
        <f>IF(IU$2=InputTable[[#This Row],[Delivery Date]],_xlfn.XLOOKUP(IU$1,$BH$2:$BR$2,$BH193:$BR193,0),0)</f>
        <v>0</v>
      </c>
      <c r="IV193" s="26">
        <f>IF(IV$2=InputTable[[#This Row],[Delivery Date]],_xlfn.XLOOKUP(IV$1,$BH$2:$BR$2,$BH193:$BR193,0),0)</f>
        <v>0</v>
      </c>
      <c r="IW193" s="26">
        <f>IF(IW$2=InputTable[[#This Row],[Delivery Date]],_xlfn.XLOOKUP(IW$1,$BH$2:$BR$2,$BH193:$BR193,0),0)</f>
        <v>0</v>
      </c>
      <c r="IX193" s="26">
        <f>IF(IX$2=InputTable[[#This Row],[Delivery Date]],_xlfn.XLOOKUP(IX$1,$BH$2:$BR$2,$BH193:$BR193,0),0)</f>
        <v>0</v>
      </c>
      <c r="IY193" s="26">
        <f>IF(IY$2=InputTable[[#This Row],[Delivery Date]],_xlfn.XLOOKUP(IY$1,$BH$2:$BR$2,$BH193:$BR193,0),0)</f>
        <v>0</v>
      </c>
      <c r="IZ193" s="26">
        <f>IF(IZ$2=InputTable[[#This Row],[Delivery Date]],_xlfn.XLOOKUP(IZ$1,$BH$2:$BR$2,$BH193:$BR193,0),0)</f>
        <v>0</v>
      </c>
      <c r="JA193" s="26">
        <f>IF(JA$2=InputTable[[#This Row],[Delivery Date]],_xlfn.XLOOKUP(JA$1,$BH$2:$BR$2,$BH193:$BR193,0),0)</f>
        <v>0</v>
      </c>
      <c r="JB193" s="26">
        <f>IF(JB$2=InputTable[[#This Row],[Delivery Date]],_xlfn.XLOOKUP(JB$1,$BH$2:$BR$2,$BH193:$BR193,0),0)</f>
        <v>0</v>
      </c>
      <c r="JD193" s="26" t="e">
        <f>IF(JD$2=InputTable[[#This Row],[Delivery Date]],_xlfn.XLOOKUP(JD$1,$BH$2:$BR$2,$BH193:$BR193,0),0)</f>
        <v>#REF!</v>
      </c>
      <c r="JE193" s="26">
        <f>IF(JE$2=InputTable[[#This Row],[Delivery Date]],_xlfn.XLOOKUP(JE$1,$BH$2:$BR$2,$BH193:$BR193,0),0)</f>
        <v>0</v>
      </c>
      <c r="JF193" s="26">
        <f>IF(JF$2=InputTable[[#This Row],[Delivery Date]],_xlfn.XLOOKUP(JF$1,$BH$2:$BR$2,$BH193:$BR193,0),0)</f>
        <v>0</v>
      </c>
      <c r="JG193" s="26">
        <f>IF(JG$2=InputTable[[#This Row],[Delivery Date]],_xlfn.XLOOKUP(JG$1,$BH$2:$BR$2,$BH193:$BR193,0),0)</f>
        <v>0</v>
      </c>
      <c r="JH193" s="26">
        <f>IF(JH$2=InputTable[[#This Row],[Delivery Date]],_xlfn.XLOOKUP(JH$1,$BH$2:$BR$2,$BH193:$BR193,0),0)</f>
        <v>0</v>
      </c>
      <c r="JI193" s="26">
        <f>IF(JI$2=InputTable[[#This Row],[Delivery Date]],_xlfn.XLOOKUP(JI$1,$BH$2:$BR$2,$BH193:$BR193,0),0)</f>
        <v>0</v>
      </c>
      <c r="JJ193" s="26">
        <f>IF(JJ$2=InputTable[[#This Row],[Delivery Date]],_xlfn.XLOOKUP(JJ$1,$BH$2:$BR$2,$BH193:$BR193,0),0)</f>
        <v>0</v>
      </c>
      <c r="JK193" s="26">
        <f>IF(JK$2=InputTable[[#This Row],[Delivery Date]],_xlfn.XLOOKUP(JK$1,$BH$2:$BR$2,$BH193:$BR193,0),0)</f>
        <v>0</v>
      </c>
      <c r="JL193" s="26">
        <f>IF(JL$2=InputTable[[#This Row],[Delivery Date]],_xlfn.XLOOKUP(JL$1,$BH$2:$BR$2,$BH193:$BR193,0),0)</f>
        <v>0</v>
      </c>
      <c r="JN193" s="26" t="e">
        <f>IF(JN$2=InputTable[[#This Row],[Delivery Date]],_xlfn.XLOOKUP(JN$1,$BH$2:$BR$2,$BH193:$BR193,0),0)</f>
        <v>#REF!</v>
      </c>
      <c r="JO193" s="26">
        <f>IF(JO$2=InputTable[[#This Row],[Delivery Date]],_xlfn.XLOOKUP(JO$1,$BH$2:$BR$2,$BH193:$BR193,0),0)</f>
        <v>0</v>
      </c>
      <c r="JP193" s="26">
        <f>IF(JP$2=InputTable[[#This Row],[Delivery Date]],_xlfn.XLOOKUP(JP$1,$BH$2:$BR$2,$BH193:$BR193,0),0)</f>
        <v>0</v>
      </c>
      <c r="JQ193" s="26">
        <f>IF(JQ$2=InputTable[[#This Row],[Delivery Date]],_xlfn.XLOOKUP(JQ$1,$BH$2:$BR$2,$BH193:$BR193,0),0)</f>
        <v>0</v>
      </c>
      <c r="JR193" s="26">
        <f>IF(JR$2=InputTable[[#This Row],[Delivery Date]],_xlfn.XLOOKUP(JR$1,$BH$2:$BR$2,$BH193:$BR193,0),0)</f>
        <v>0</v>
      </c>
      <c r="JS193" s="26">
        <f>IF(JS$2=InputTable[[#This Row],[Delivery Date]],_xlfn.XLOOKUP(JS$1,$BH$2:$BR$2,$BH193:$BR193,0),0)</f>
        <v>0</v>
      </c>
      <c r="JT193" s="26">
        <f>IF(JT$2=InputTable[[#This Row],[Delivery Date]],_xlfn.XLOOKUP(JT$1,$BH$2:$BR$2,$BH193:$BR193,0),0)</f>
        <v>0</v>
      </c>
      <c r="JU193" s="26">
        <f>IF(JU$2=InputTable[[#This Row],[Delivery Date]],_xlfn.XLOOKUP(JU$1,$BH$2:$BR$2,$BH193:$BR193,0),0)</f>
        <v>0</v>
      </c>
      <c r="JV193" s="26">
        <f>IF(JV$2=InputTable[[#This Row],[Delivery Date]],_xlfn.XLOOKUP(JV$1,$BH$2:$BR$2,$BH193:$BR193,0),0)</f>
        <v>0</v>
      </c>
      <c r="JX193" s="26" t="e">
        <f>IF(JX$2=InputTable[[#This Row],[Delivery Date]],_xlfn.XLOOKUP(JX$1,$BH$2:$BR$2,$BH193:$BR193,0),0)</f>
        <v>#REF!</v>
      </c>
      <c r="JY193" s="26">
        <f>IF(JY$2=InputTable[[#This Row],[Delivery Date]],_xlfn.XLOOKUP(JY$1,$BH$2:$BR$2,$BH193:$BR193,0),0)</f>
        <v>0</v>
      </c>
      <c r="JZ193" s="26">
        <f>IF(JZ$2=InputTable[[#This Row],[Delivery Date]],_xlfn.XLOOKUP(JZ$1,$BH$2:$BR$2,$BH193:$BR193,0),0)</f>
        <v>0</v>
      </c>
      <c r="KA193" s="26">
        <f>IF(KA$2=InputTable[[#This Row],[Delivery Date]],_xlfn.XLOOKUP(KA$1,$BH$2:$BR$2,$BH193:$BR193,0),0)</f>
        <v>0</v>
      </c>
      <c r="KB193" s="26">
        <f>IF(KB$2=InputTable[[#This Row],[Delivery Date]],_xlfn.XLOOKUP(KB$1,$BH$2:$BR$2,$BH193:$BR193,0),0)</f>
        <v>0</v>
      </c>
      <c r="KC193" s="26">
        <f>IF(KC$2=InputTable[[#This Row],[Delivery Date]],_xlfn.XLOOKUP(KC$1,$BH$2:$BR$2,$BH193:$BR193,0),0)</f>
        <v>0</v>
      </c>
      <c r="KD193" s="26">
        <f>IF(KD$2=InputTable[[#This Row],[Delivery Date]],_xlfn.XLOOKUP(KD$1,$BH$2:$BR$2,$BH193:$BR193,0),0)</f>
        <v>0</v>
      </c>
      <c r="KE193" s="26">
        <f>IF(KE$2=InputTable[[#This Row],[Delivery Date]],_xlfn.XLOOKUP(KE$1,$BH$2:$BR$2,$BH193:$BR193,0),0)</f>
        <v>0</v>
      </c>
      <c r="KF193" s="26">
        <f>IF(KF$2=InputTable[[#This Row],[Delivery Date]],_xlfn.XLOOKUP(KF$1,$BH$2:$BR$2,$BH193:$BR193,0),0)</f>
        <v>0</v>
      </c>
    </row>
    <row r="194" spans="1:292" ht="34.799999999999997" x14ac:dyDescent="0.25">
      <c r="A194" s="125"/>
      <c r="B194" s="118"/>
      <c r="C194" s="92"/>
      <c r="D194" s="92"/>
      <c r="E194" s="107"/>
      <c r="F194" s="108"/>
      <c r="G194" s="109"/>
      <c r="H194" s="109"/>
      <c r="I194" s="108"/>
      <c r="J194" s="110"/>
      <c r="K194" s="95" t="e">
        <f>VLOOKUP((InputTable[[#This Row],[Starting Date]]&amp; " - " &amp;InputTable[[#This Row],[Delivery Date]]),'System List'!$F$40:$H$83,2,FALSE)</f>
        <v>#N/A</v>
      </c>
      <c r="L194" s="95" t="e">
        <f>VLOOKUP(InputTable[[#This Row],[Duration]],Duration,2,FALSE)</f>
        <v>#N/A</v>
      </c>
      <c r="M194" s="110"/>
      <c r="N194" s="108"/>
      <c r="O194" s="108"/>
      <c r="P194" s="108"/>
      <c r="Q194" s="108"/>
      <c r="R194" s="108"/>
      <c r="S194" s="92"/>
      <c r="T194" s="95"/>
      <c r="U194" s="138"/>
      <c r="V194" s="108"/>
      <c r="W194" s="108"/>
      <c r="X194" s="108"/>
      <c r="Y194" s="108"/>
      <c r="Z194" s="108"/>
      <c r="AA194" s="108"/>
      <c r="AB194" s="108"/>
      <c r="AC194" s="108"/>
      <c r="AD194" s="92">
        <f>COUNTA(InputTable[[#This Row],[CORPHRFIN]:[SALES]])</f>
        <v>0</v>
      </c>
      <c r="AE194" s="88" cm="1">
        <f t="array" ref="AE194">SUM(
_xlfn.XLOOKUP(InputTable[[#This Row],[CORPHRFIN]:[SALES]],'System List'!$F$4:$F$7,'System List'!$H$4:$H$7,0))</f>
        <v>0</v>
      </c>
      <c r="AF194" s="140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88" cm="1">
        <f t="array" ref="AR194">SUM(
_xlfn.XLOOKUP(InputTable[[#This Row],[Impact on - CIAL]:[Impact on - STRAT]],'System List'!$F$4:$F$7,'System List'!$H$4:$H$7,0))</f>
        <v>0</v>
      </c>
      <c r="AS194" s="88" t="e">
        <f>VLOOKUP(InputTable[[#This Row],[Duration]],Duration,2,FALSE)+InputTable[[#This Row],[Resource Score]]</f>
        <v>#N/A</v>
      </c>
      <c r="AT19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4" s="24" t="e">
        <f>InputTable[[#This Row],[Value Score]]/InputTable[[#This Row],[EFFORT SCORE]]*100</f>
        <v>#N/A</v>
      </c>
      <c r="AV194" s="25" t="s">
        <v>485</v>
      </c>
      <c r="AW194" s="25"/>
      <c r="AX194" s="144"/>
      <c r="AY194" s="25"/>
      <c r="AZ194" s="189">
        <v>0</v>
      </c>
      <c r="BA194" s="189">
        <v>0</v>
      </c>
      <c r="BB194" s="189"/>
      <c r="BC194" s="189"/>
      <c r="BD194" s="188"/>
      <c r="BE194" s="188"/>
      <c r="BF194" s="70"/>
      <c r="BH194" s="2">
        <f>IFERROR(VLOOKUP(InputTable[[#This Row],[Impact on - CIAL]],'System List'!$F$4:$H$7,3,FALSE),0)</f>
        <v>0</v>
      </c>
      <c r="BI194" s="2">
        <f>IFERROR(VLOOKUP(InputTable[[#This Row],[Impact on - COM]],'System List'!$F$4:$H$7,3,FALSE),0)</f>
        <v>0</v>
      </c>
      <c r="BJ194" s="2">
        <f>IFERROR(VLOOKUP(InputTable[[#This Row],[Impact on - FIN]],'System List'!$F$4:$H$7,3,FALSE),0)</f>
        <v>0</v>
      </c>
      <c r="BK194" s="2">
        <f>IFERROR(VLOOKUP(InputTable[[#This Row],[Impact on - GEN SEC]],'System List'!$F$4:$H$7,3,FALSE),0)</f>
        <v>0</v>
      </c>
      <c r="BL194" s="2">
        <f>IFERROR(VLOOKUP(InputTable[[#This Row],[Impact on - HR]],'System List'!$F$4:$H$7,3,FALSE),0)</f>
        <v>0</v>
      </c>
      <c r="BM194" s="2">
        <f>IFERROR(VLOOKUP(InputTable[[#This Row],[Impact on - IS]],'System List'!$F$4:$H$7,3,FALSE),0)</f>
        <v>0</v>
      </c>
      <c r="BN194" s="2">
        <f>IFERROR(VLOOKUP(InputTable[[#This Row],[Impact on - OPS]],'System List'!$F$4:$H$7,3,FALSE),0)</f>
        <v>0</v>
      </c>
      <c r="BO194" s="2">
        <f>IFERROR(VLOOKUP(InputTable[[#This Row],[Impact on - ROLL STOCK]],'System List'!$F$4:$H$7,3,FALSE),0)</f>
        <v>0</v>
      </c>
      <c r="BP194" s="2">
        <f>IFERROR(VLOOKUP(InputTable[[#This Row],[Impact on - SAFETY]],'System List'!$F$4:$H$7,3,FALSE),0)</f>
        <v>0</v>
      </c>
      <c r="BQ194" s="2">
        <f>IFERROR(VLOOKUP(InputTable[[#This Row],[Impact on - STATION]],'System List'!$F$4:$H$7,3,FALSE),0)</f>
        <v>0</v>
      </c>
      <c r="BR194" s="2">
        <f>IFERROR(VLOOKUP(InputTable[[#This Row],[Impact on - STRAT]],'System List'!$F$4:$H$7,3,FALSE),0)</f>
        <v>0</v>
      </c>
      <c r="BT194" s="2">
        <f>IFERROR(VLOOKUP(InputTable[[#This Row],[CORPHRFIN]],'System List'!$F$4:$H$7,3,FALSE),0)</f>
        <v>0</v>
      </c>
      <c r="BU194" s="2">
        <f>IFERROR(VLOOKUP(InputTable[[#This Row],[CUST]],'System List'!$F$4:$H$7,3,FALSE),0)</f>
        <v>0</v>
      </c>
      <c r="BV194" s="2">
        <f>IFERROR(VLOOKUP(InputTable[[#This Row],[CYBER]],'System List'!$F$4:$H$7,3,FALSE),0)</f>
        <v>0</v>
      </c>
      <c r="BW194" s="2">
        <f>IFERROR(VLOOKUP(InputTable[[#This Row],[DATA]],'System List'!$F$4:$H$7,3,FALSE),0)</f>
        <v>0</v>
      </c>
      <c r="BX194" s="2">
        <f>IFERROR(VLOOKUP(InputTable[[#This Row],[INFRA]],'System List'!$F$4:$H$7,3,FALSE),0)</f>
        <v>0</v>
      </c>
      <c r="BY194" s="2">
        <f>IFERROR(VLOOKUP(InputTable[[#This Row],[OPERATIONS]],'System List'!$F$4:$H$7,3,FALSE),0)</f>
        <v>0</v>
      </c>
      <c r="BZ194" s="2">
        <f>IFERROR(VLOOKUP(InputTable[[#This Row],[PMO]],'System List'!$F$4:$H$7,3,FALSE),0)</f>
        <v>0</v>
      </c>
      <c r="CA194" s="2">
        <f>IFERROR(VLOOKUP(InputTable[[#This Row],[SALES]],'System List'!$F$4:$H$7,3,FALSE),0)</f>
        <v>0</v>
      </c>
      <c r="CC194" s="2" cm="1">
        <f t="array" ref="CC19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4" s="2" cm="1">
        <f t="array" ref="CD19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4" s="2" cm="1">
        <f t="array" ref="CE19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4" s="2" cm="1">
        <f t="array" ref="CF19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4" s="2" cm="1">
        <f t="array" ref="CG19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4" s="2" cm="1">
        <f t="array" ref="CH19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4" s="2" cm="1">
        <f t="array" ref="CI19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4" s="2" cm="1">
        <f t="array" ref="CJ19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4" s="2" cm="1">
        <f t="array" ref="CK19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4" s="26">
        <f t="shared" si="451"/>
        <v>0</v>
      </c>
      <c r="CY194" s="26">
        <f t="shared" si="452"/>
        <v>0</v>
      </c>
      <c r="CZ194" s="26">
        <f t="shared" si="453"/>
        <v>0</v>
      </c>
      <c r="DA194" s="26">
        <f t="shared" si="454"/>
        <v>0</v>
      </c>
      <c r="DB194" s="26">
        <f t="shared" si="455"/>
        <v>0</v>
      </c>
      <c r="DC194" s="26">
        <f t="shared" si="456"/>
        <v>0</v>
      </c>
      <c r="DD194" s="26">
        <f t="shared" si="457"/>
        <v>0</v>
      </c>
      <c r="DE194" s="26">
        <f t="shared" si="458"/>
        <v>0</v>
      </c>
      <c r="DF194" s="26">
        <f t="shared" si="459"/>
        <v>0</v>
      </c>
      <c r="DH194" s="26">
        <f t="shared" si="460"/>
        <v>0</v>
      </c>
      <c r="DI194" s="26">
        <f t="shared" si="461"/>
        <v>0</v>
      </c>
      <c r="DJ194" s="26">
        <f t="shared" si="462"/>
        <v>0</v>
      </c>
      <c r="DK194" s="26">
        <f t="shared" si="463"/>
        <v>0</v>
      </c>
      <c r="DL194" s="26">
        <f t="shared" si="464"/>
        <v>0</v>
      </c>
      <c r="DM194" s="26">
        <f t="shared" si="465"/>
        <v>0</v>
      </c>
      <c r="DN194" s="26">
        <f t="shared" si="466"/>
        <v>0</v>
      </c>
      <c r="DO194" s="26">
        <f t="shared" si="467"/>
        <v>0</v>
      </c>
      <c r="DP194" s="26">
        <f t="shared" si="468"/>
        <v>0</v>
      </c>
      <c r="DR194" s="26">
        <f t="shared" si="469"/>
        <v>0</v>
      </c>
      <c r="DS194" s="26">
        <f t="shared" si="470"/>
        <v>0</v>
      </c>
      <c r="DT194" s="26">
        <f t="shared" si="471"/>
        <v>0</v>
      </c>
      <c r="DU194" s="26">
        <f t="shared" si="472"/>
        <v>0</v>
      </c>
      <c r="DV194" s="26">
        <f t="shared" si="473"/>
        <v>0</v>
      </c>
      <c r="DW194" s="26">
        <f t="shared" si="474"/>
        <v>0</v>
      </c>
      <c r="DX194" s="26">
        <f t="shared" si="475"/>
        <v>0</v>
      </c>
      <c r="DY194" s="26">
        <f t="shared" si="476"/>
        <v>0</v>
      </c>
      <c r="DZ194" s="26">
        <f t="shared" si="477"/>
        <v>0</v>
      </c>
      <c r="EB194" s="26">
        <f t="shared" si="478"/>
        <v>0</v>
      </c>
      <c r="EC194" s="26">
        <f t="shared" si="479"/>
        <v>0</v>
      </c>
      <c r="ED194" s="26">
        <f t="shared" si="480"/>
        <v>0</v>
      </c>
      <c r="EE194" s="26">
        <f t="shared" si="481"/>
        <v>0</v>
      </c>
      <c r="EF194" s="26">
        <f t="shared" si="482"/>
        <v>0</v>
      </c>
      <c r="EG194" s="26">
        <f t="shared" si="483"/>
        <v>0</v>
      </c>
      <c r="EH194" s="26">
        <f t="shared" si="484"/>
        <v>0</v>
      </c>
      <c r="EI194" s="26">
        <f t="shared" si="485"/>
        <v>0</v>
      </c>
      <c r="EJ194" s="26">
        <f t="shared" si="486"/>
        <v>0</v>
      </c>
      <c r="EL194" s="26">
        <f t="shared" si="487"/>
        <v>0</v>
      </c>
      <c r="EM194" s="26">
        <f t="shared" si="488"/>
        <v>0</v>
      </c>
      <c r="EN194" s="26">
        <f t="shared" si="489"/>
        <v>0</v>
      </c>
      <c r="EO194" s="26">
        <f t="shared" si="490"/>
        <v>0</v>
      </c>
      <c r="EP194" s="26">
        <f t="shared" si="491"/>
        <v>0</v>
      </c>
      <c r="EQ194" s="26">
        <f t="shared" si="492"/>
        <v>0</v>
      </c>
      <c r="ER194" s="26">
        <f t="shared" si="493"/>
        <v>0</v>
      </c>
      <c r="ES194" s="26">
        <f t="shared" si="494"/>
        <v>0</v>
      </c>
      <c r="ET194" s="26">
        <f t="shared" si="495"/>
        <v>0</v>
      </c>
      <c r="EV194" s="26">
        <f t="shared" si="496"/>
        <v>0</v>
      </c>
      <c r="EW194" s="26">
        <f t="shared" si="497"/>
        <v>0</v>
      </c>
      <c r="EX194" s="26">
        <f t="shared" si="498"/>
        <v>0</v>
      </c>
      <c r="EY194" s="26">
        <f t="shared" si="499"/>
        <v>0</v>
      </c>
      <c r="EZ194" s="26">
        <f t="shared" si="500"/>
        <v>0</v>
      </c>
      <c r="FA194" s="26">
        <f t="shared" si="501"/>
        <v>0</v>
      </c>
      <c r="FB194" s="26">
        <f t="shared" si="502"/>
        <v>0</v>
      </c>
      <c r="FC194" s="26">
        <f t="shared" si="503"/>
        <v>0</v>
      </c>
      <c r="FD194" s="26">
        <f t="shared" si="504"/>
        <v>0</v>
      </c>
      <c r="FF194" s="26">
        <f t="shared" si="505"/>
        <v>0</v>
      </c>
      <c r="FG194" s="26">
        <f t="shared" si="506"/>
        <v>0</v>
      </c>
      <c r="FH194" s="26">
        <f t="shared" si="507"/>
        <v>0</v>
      </c>
      <c r="FI194" s="26">
        <f t="shared" si="508"/>
        <v>0</v>
      </c>
      <c r="FJ194" s="26">
        <f t="shared" si="509"/>
        <v>0</v>
      </c>
      <c r="FK194" s="26">
        <f t="shared" si="510"/>
        <v>0</v>
      </c>
      <c r="FL194" s="26">
        <f t="shared" si="511"/>
        <v>0</v>
      </c>
      <c r="FM194" s="26">
        <f t="shared" si="512"/>
        <v>0</v>
      </c>
      <c r="FN194" s="26">
        <f t="shared" si="513"/>
        <v>0</v>
      </c>
      <c r="FP194" s="26" t="e">
        <f t="shared" si="514"/>
        <v>#REF!</v>
      </c>
      <c r="FQ194" s="26" t="e">
        <f t="shared" si="515"/>
        <v>#REF!</v>
      </c>
      <c r="FR194" s="26" t="e">
        <f t="shared" si="516"/>
        <v>#REF!</v>
      </c>
      <c r="FS194" s="26" t="e">
        <f t="shared" si="517"/>
        <v>#REF!</v>
      </c>
      <c r="FT194" s="26" t="e">
        <f t="shared" si="518"/>
        <v>#REF!</v>
      </c>
      <c r="FU194" s="26" t="e">
        <f t="shared" si="519"/>
        <v>#REF!</v>
      </c>
      <c r="FV194" s="26" t="e">
        <f t="shared" si="520"/>
        <v>#REF!</v>
      </c>
      <c r="FW194" s="26" t="e">
        <f t="shared" si="521"/>
        <v>#REF!</v>
      </c>
      <c r="FX194" s="26" t="e">
        <f t="shared" si="522"/>
        <v>#REF!</v>
      </c>
      <c r="GB194" s="26" t="e">
        <f>IF(GB$2=InputTable[[#This Row],[Delivery Date]],_xlfn.XLOOKUP(GB$1,$BH$2:$BR$2,$BH194:$BR194,0),0)</f>
        <v>#REF!</v>
      </c>
      <c r="GC194" s="26">
        <f>IF(GC$2=InputTable[[#This Row],[Delivery Date]],_xlfn.XLOOKUP(GC$1,$BH$2:$BR$2,$BH194:$BR194,0),0)</f>
        <v>0</v>
      </c>
      <c r="GD194" s="26">
        <f>IF(GD$2=InputTable[[#This Row],[Delivery Date]],_xlfn.XLOOKUP(GD$1,$BH$2:$BR$2,$BH194:$BR194,0),0)</f>
        <v>0</v>
      </c>
      <c r="GE194" s="26">
        <f>IF(GE$2=InputTable[[#This Row],[Delivery Date]],_xlfn.XLOOKUP(GE$1,$BH$2:$BR$2,$BH194:$BR194,0),0)</f>
        <v>0</v>
      </c>
      <c r="GF194" s="26">
        <f>IF(GF$2=InputTable[[#This Row],[Delivery Date]],_xlfn.XLOOKUP(GF$1,$BH$2:$BR$2,$BH194:$BR194,0),0)</f>
        <v>0</v>
      </c>
      <c r="GG194" s="26">
        <f>IF(GG$2=InputTable[[#This Row],[Delivery Date]],_xlfn.XLOOKUP(GG$1,$BH$2:$BR$2,$BH194:$BR194,0),0)</f>
        <v>0</v>
      </c>
      <c r="GH194" s="26">
        <f>IF(GH$2=InputTable[[#This Row],[Delivery Date]],_xlfn.XLOOKUP(GH$1,$BH$2:$BR$2,$BH194:$BR194,0),0)</f>
        <v>0</v>
      </c>
      <c r="GI194" s="26">
        <f>IF(GI$2=InputTable[[#This Row],[Delivery Date]],_xlfn.XLOOKUP(GI$1,$BH$2:$BR$2,$BH194:$BR194,0),0)</f>
        <v>0</v>
      </c>
      <c r="GJ194" s="26">
        <f>IF(GJ$2=InputTable[[#This Row],[Delivery Date]],_xlfn.XLOOKUP(GJ$1,$BH$2:$BR$2,$BH194:$BR194,0),0)</f>
        <v>0</v>
      </c>
      <c r="GL194" s="26" t="e">
        <f>IF(GL$2=InputTable[[#This Row],[Delivery Date]],_xlfn.XLOOKUP(GL$1,$BH$2:$BR$2,$BH194:$BR194,0),0)</f>
        <v>#REF!</v>
      </c>
      <c r="GM194" s="26">
        <f>IF(GM$2=InputTable[[#This Row],[Delivery Date]],_xlfn.XLOOKUP(GM$1,$BH$2:$BR$2,$BH194:$BR194,0),0)</f>
        <v>0</v>
      </c>
      <c r="GN194" s="26">
        <f>IF(GN$2=InputTable[[#This Row],[Delivery Date]],_xlfn.XLOOKUP(GN$1,$BH$2:$BR$2,$BH194:$BR194,0),0)</f>
        <v>0</v>
      </c>
      <c r="GO194" s="26">
        <f>IF(GO$2=InputTable[[#This Row],[Delivery Date]],_xlfn.XLOOKUP(GO$1,$BH$2:$BR$2,$BH194:$BR194,0),0)</f>
        <v>0</v>
      </c>
      <c r="GP194" s="26">
        <f>IF(GP$2=InputTable[[#This Row],[Delivery Date]],_xlfn.XLOOKUP(GP$1,$BH$2:$BR$2,$BH194:$BR194,0),0)</f>
        <v>0</v>
      </c>
      <c r="GQ194" s="26">
        <f>IF(GQ$2=InputTable[[#This Row],[Delivery Date]],_xlfn.XLOOKUP(GQ$1,$BH$2:$BR$2,$BH194:$BR194,0),0)</f>
        <v>0</v>
      </c>
      <c r="GR194" s="26">
        <f>IF(GR$2=InputTable[[#This Row],[Delivery Date]],_xlfn.XLOOKUP(GR$1,$BH$2:$BR$2,$BH194:$BR194,0),0)</f>
        <v>0</v>
      </c>
      <c r="GS194" s="26">
        <f>IF(GS$2=InputTable[[#This Row],[Delivery Date]],_xlfn.XLOOKUP(GS$1,$BH$2:$BR$2,$BH194:$BR194,0),0)</f>
        <v>0</v>
      </c>
      <c r="GT194" s="26">
        <f>IF(GT$2=InputTable[[#This Row],[Delivery Date]],_xlfn.XLOOKUP(GT$1,$BH$2:$BR$2,$BH194:$BR194,0),0)</f>
        <v>0</v>
      </c>
      <c r="GV194" s="26" t="e">
        <f>IF(GV$2=InputTable[[#This Row],[Delivery Date]],_xlfn.XLOOKUP(GV$1,$BH$2:$BR$2,$BH194:$BR194,0),0)</f>
        <v>#REF!</v>
      </c>
      <c r="GW194" s="26">
        <f>IF(GW$2=InputTable[[#This Row],[Delivery Date]],_xlfn.XLOOKUP(GW$1,$BH$2:$BR$2,$BH194:$BR194,0),0)</f>
        <v>0</v>
      </c>
      <c r="GX194" s="26">
        <f>IF(GX$2=InputTable[[#This Row],[Delivery Date]],_xlfn.XLOOKUP(GX$1,$BH$2:$BR$2,$BH194:$BR194,0),0)</f>
        <v>0</v>
      </c>
      <c r="GY194" s="26">
        <f>IF(GY$2=InputTable[[#This Row],[Delivery Date]],_xlfn.XLOOKUP(GY$1,$BH$2:$BR$2,$BH194:$BR194,0),0)</f>
        <v>0</v>
      </c>
      <c r="GZ194" s="26">
        <f>IF(GZ$2=InputTable[[#This Row],[Delivery Date]],_xlfn.XLOOKUP(GZ$1,$BH$2:$BR$2,$BH194:$BR194,0),0)</f>
        <v>0</v>
      </c>
      <c r="HA194" s="26">
        <f>IF(HA$2=InputTable[[#This Row],[Delivery Date]],_xlfn.XLOOKUP(HA$1,$BH$2:$BR$2,$BH194:$BR194,0),0)</f>
        <v>0</v>
      </c>
      <c r="HB194" s="26">
        <f>IF(HB$2=InputTable[[#This Row],[Delivery Date]],_xlfn.XLOOKUP(HB$1,$BH$2:$BR$2,$BH194:$BR194,0),0)</f>
        <v>0</v>
      </c>
      <c r="HC194" s="26">
        <f>IF(HC$2=InputTable[[#This Row],[Delivery Date]],_xlfn.XLOOKUP(HC$1,$BH$2:$BR$2,$BH194:$BR194,0),0)</f>
        <v>0</v>
      </c>
      <c r="HD194" s="26">
        <f>IF(HD$2=InputTable[[#This Row],[Delivery Date]],_xlfn.XLOOKUP(HD$1,$BH$2:$BR$2,$BH194:$BR194,0),0)</f>
        <v>0</v>
      </c>
      <c r="HF194" s="26" t="e">
        <f>IF(HF$2=InputTable[[#This Row],[Delivery Date]],_xlfn.XLOOKUP(HF$1,$BH$2:$BR$2,$BH194:$BR194,0),0)</f>
        <v>#REF!</v>
      </c>
      <c r="HG194" s="26">
        <f>IF(HG$2=InputTable[[#This Row],[Delivery Date]],_xlfn.XLOOKUP(HG$1,$BH$2:$BR$2,$BH194:$BR194,0),0)</f>
        <v>0</v>
      </c>
      <c r="HH194" s="26">
        <f>IF(HH$2=InputTable[[#This Row],[Delivery Date]],_xlfn.XLOOKUP(HH$1,$BH$2:$BR$2,$BH194:$BR194,0),0)</f>
        <v>0</v>
      </c>
      <c r="HI194" s="26">
        <f>IF(HI$2=InputTable[[#This Row],[Delivery Date]],_xlfn.XLOOKUP(HI$1,$BH$2:$BR$2,$BH194:$BR194,0),0)</f>
        <v>0</v>
      </c>
      <c r="HJ194" s="26">
        <f>IF(HJ$2=InputTable[[#This Row],[Delivery Date]],_xlfn.XLOOKUP(HJ$1,$BH$2:$BR$2,$BH194:$BR194,0),0)</f>
        <v>0</v>
      </c>
      <c r="HK194" s="26">
        <f>IF(HK$2=InputTable[[#This Row],[Delivery Date]],_xlfn.XLOOKUP(HK$1,$BH$2:$BR$2,$BH194:$BR194,0),0)</f>
        <v>0</v>
      </c>
      <c r="HL194" s="26">
        <f>IF(HL$2=InputTable[[#This Row],[Delivery Date]],_xlfn.XLOOKUP(HL$1,$BH$2:$BR$2,$BH194:$BR194,0),0)</f>
        <v>0</v>
      </c>
      <c r="HM194" s="26">
        <f>IF(HM$2=InputTable[[#This Row],[Delivery Date]],_xlfn.XLOOKUP(HM$1,$BH$2:$BR$2,$BH194:$BR194,0),0)</f>
        <v>0</v>
      </c>
      <c r="HN194" s="26">
        <f>IF(HN$2=InputTable[[#This Row],[Delivery Date]],_xlfn.XLOOKUP(HN$1,$BH$2:$BR$2,$BH194:$BR194,0),0)</f>
        <v>0</v>
      </c>
      <c r="HP194" s="26" t="e">
        <f>IF(HP$2=InputTable[[#This Row],[Delivery Date]],_xlfn.XLOOKUP(HP$1,$BH$2:$BR$2,$BH194:$BR194,0),0)</f>
        <v>#REF!</v>
      </c>
      <c r="HQ194" s="26">
        <f>IF(HQ$2=InputTable[[#This Row],[Delivery Date]],_xlfn.XLOOKUP(HQ$1,$BH$2:$BR$2,$BH194:$BR194,0),0)</f>
        <v>0</v>
      </c>
      <c r="HR194" s="26">
        <f>IF(HR$2=InputTable[[#This Row],[Delivery Date]],_xlfn.XLOOKUP(HR$1,$BH$2:$BR$2,$BH194:$BR194,0),0)</f>
        <v>0</v>
      </c>
      <c r="HS194" s="26">
        <f>IF(HS$2=InputTable[[#This Row],[Delivery Date]],_xlfn.XLOOKUP(HS$1,$BH$2:$BR$2,$BH194:$BR194,0),0)</f>
        <v>0</v>
      </c>
      <c r="HT194" s="26">
        <f>IF(HT$2=InputTable[[#This Row],[Delivery Date]],_xlfn.XLOOKUP(HT$1,$BH$2:$BR$2,$BH194:$BR194,0),0)</f>
        <v>0</v>
      </c>
      <c r="HU194" s="26">
        <f>IF(HU$2=InputTable[[#This Row],[Delivery Date]],_xlfn.XLOOKUP(HU$1,$BH$2:$BR$2,$BH194:$BR194,0),0)</f>
        <v>0</v>
      </c>
      <c r="HV194" s="26">
        <f>IF(HV$2=InputTable[[#This Row],[Delivery Date]],_xlfn.XLOOKUP(HV$1,$BH$2:$BR$2,$BH194:$BR194,0),0)</f>
        <v>0</v>
      </c>
      <c r="HW194" s="26">
        <f>IF(HW$2=InputTable[[#This Row],[Delivery Date]],_xlfn.XLOOKUP(HW$1,$BH$2:$BR$2,$BH194:$BR194,0),0)</f>
        <v>0</v>
      </c>
      <c r="HX194" s="26">
        <f>IF(HX$2=InputTable[[#This Row],[Delivery Date]],_xlfn.XLOOKUP(HX$1,$BH$2:$BR$2,$BH194:$BR194,0),0)</f>
        <v>0</v>
      </c>
      <c r="HZ194" s="26" t="e">
        <f>IF(HZ$2=InputTable[[#This Row],[Delivery Date]],_xlfn.XLOOKUP(HZ$1,$BH$2:$BR$2,$BH194:$BR194,0),0)</f>
        <v>#REF!</v>
      </c>
      <c r="IA194" s="26">
        <f>IF(IA$2=InputTable[[#This Row],[Delivery Date]],_xlfn.XLOOKUP(IA$1,$BH$2:$BR$2,$BH194:$BR194,0),0)</f>
        <v>0</v>
      </c>
      <c r="IB194" s="26">
        <f>IF(IB$2=InputTable[[#This Row],[Delivery Date]],_xlfn.XLOOKUP(IB$1,$BH$2:$BR$2,$BH194:$BR194,0),0)</f>
        <v>0</v>
      </c>
      <c r="IC194" s="26">
        <f>IF(IC$2=InputTable[[#This Row],[Delivery Date]],_xlfn.XLOOKUP(IC$1,$BH$2:$BR$2,$BH194:$BR194,0),0)</f>
        <v>0</v>
      </c>
      <c r="ID194" s="26">
        <f>IF(ID$2=InputTable[[#This Row],[Delivery Date]],_xlfn.XLOOKUP(ID$1,$BH$2:$BR$2,$BH194:$BR194,0),0)</f>
        <v>0</v>
      </c>
      <c r="IE194" s="26">
        <f>IF(IE$2=InputTable[[#This Row],[Delivery Date]],_xlfn.XLOOKUP(IE$1,$BH$2:$BR$2,$BH194:$BR194,0),0)</f>
        <v>0</v>
      </c>
      <c r="IF194" s="26">
        <f>IF(IF$2=InputTable[[#This Row],[Delivery Date]],_xlfn.XLOOKUP(IF$1,$BH$2:$BR$2,$BH194:$BR194,0),0)</f>
        <v>0</v>
      </c>
      <c r="IG194" s="26">
        <f>IF(IG$2=InputTable[[#This Row],[Delivery Date]],_xlfn.XLOOKUP(IG$1,$BH$2:$BR$2,$BH194:$BR194,0),0)</f>
        <v>0</v>
      </c>
      <c r="IH194" s="26">
        <f>IF(IH$2=InputTable[[#This Row],[Delivery Date]],_xlfn.XLOOKUP(IH$1,$BH$2:$BR$2,$BH194:$BR194,0),0)</f>
        <v>0</v>
      </c>
      <c r="IJ194" s="26" t="e">
        <f>IF(IJ$2=InputTable[[#This Row],[Delivery Date]],_xlfn.XLOOKUP(IJ$1,$BH$2:$BR$2,$BH194:$BR194,0),0)</f>
        <v>#REF!</v>
      </c>
      <c r="IK194" s="26">
        <f>IF(IK$2=InputTable[[#This Row],[Delivery Date]],_xlfn.XLOOKUP(IK$1,$BH$2:$BR$2,$BH194:$BR194,0),0)</f>
        <v>0</v>
      </c>
      <c r="IL194" s="26">
        <f>IF(IL$2=InputTable[[#This Row],[Delivery Date]],_xlfn.XLOOKUP(IL$1,$BH$2:$BR$2,$BH194:$BR194,0),0)</f>
        <v>0</v>
      </c>
      <c r="IM194" s="26">
        <f>IF(IM$2=InputTable[[#This Row],[Delivery Date]],_xlfn.XLOOKUP(IM$1,$BH$2:$BR$2,$BH194:$BR194,0),0)</f>
        <v>0</v>
      </c>
      <c r="IN194" s="26">
        <f>IF(IN$2=InputTable[[#This Row],[Delivery Date]],_xlfn.XLOOKUP(IN$1,$BH$2:$BR$2,$BH194:$BR194,0),0)</f>
        <v>0</v>
      </c>
      <c r="IO194" s="26">
        <f>IF(IO$2=InputTable[[#This Row],[Delivery Date]],_xlfn.XLOOKUP(IO$1,$BH$2:$BR$2,$BH194:$BR194,0),0)</f>
        <v>0</v>
      </c>
      <c r="IP194" s="26">
        <f>IF(IP$2=InputTable[[#This Row],[Delivery Date]],_xlfn.XLOOKUP(IP$1,$BH$2:$BR$2,$BH194:$BR194,0),0)</f>
        <v>0</v>
      </c>
      <c r="IQ194" s="26">
        <f>IF(IQ$2=InputTable[[#This Row],[Delivery Date]],_xlfn.XLOOKUP(IQ$1,$BH$2:$BR$2,$BH194:$BR194,0),0)</f>
        <v>0</v>
      </c>
      <c r="IR194" s="26">
        <f>IF(IR$2=InputTable[[#This Row],[Delivery Date]],_xlfn.XLOOKUP(IR$1,$BH$2:$BR$2,$BH194:$BR194,0),0)</f>
        <v>0</v>
      </c>
      <c r="IT194" s="26" t="e">
        <f>IF(IT$2=InputTable[[#This Row],[Delivery Date]],_xlfn.XLOOKUP(IT$1,$BH$2:$BR$2,$BH194:$BR194,0),0)</f>
        <v>#REF!</v>
      </c>
      <c r="IU194" s="26">
        <f>IF(IU$2=InputTable[[#This Row],[Delivery Date]],_xlfn.XLOOKUP(IU$1,$BH$2:$BR$2,$BH194:$BR194,0),0)</f>
        <v>0</v>
      </c>
      <c r="IV194" s="26">
        <f>IF(IV$2=InputTable[[#This Row],[Delivery Date]],_xlfn.XLOOKUP(IV$1,$BH$2:$BR$2,$BH194:$BR194,0),0)</f>
        <v>0</v>
      </c>
      <c r="IW194" s="26">
        <f>IF(IW$2=InputTable[[#This Row],[Delivery Date]],_xlfn.XLOOKUP(IW$1,$BH$2:$BR$2,$BH194:$BR194,0),0)</f>
        <v>0</v>
      </c>
      <c r="IX194" s="26">
        <f>IF(IX$2=InputTable[[#This Row],[Delivery Date]],_xlfn.XLOOKUP(IX$1,$BH$2:$BR$2,$BH194:$BR194,0),0)</f>
        <v>0</v>
      </c>
      <c r="IY194" s="26">
        <f>IF(IY$2=InputTable[[#This Row],[Delivery Date]],_xlfn.XLOOKUP(IY$1,$BH$2:$BR$2,$BH194:$BR194,0),0)</f>
        <v>0</v>
      </c>
      <c r="IZ194" s="26">
        <f>IF(IZ$2=InputTable[[#This Row],[Delivery Date]],_xlfn.XLOOKUP(IZ$1,$BH$2:$BR$2,$BH194:$BR194,0),0)</f>
        <v>0</v>
      </c>
      <c r="JA194" s="26">
        <f>IF(JA$2=InputTable[[#This Row],[Delivery Date]],_xlfn.XLOOKUP(JA$1,$BH$2:$BR$2,$BH194:$BR194,0),0)</f>
        <v>0</v>
      </c>
      <c r="JB194" s="26">
        <f>IF(JB$2=InputTable[[#This Row],[Delivery Date]],_xlfn.XLOOKUP(JB$1,$BH$2:$BR$2,$BH194:$BR194,0),0)</f>
        <v>0</v>
      </c>
      <c r="JD194" s="26" t="e">
        <f>IF(JD$2=InputTable[[#This Row],[Delivery Date]],_xlfn.XLOOKUP(JD$1,$BH$2:$BR$2,$BH194:$BR194,0),0)</f>
        <v>#REF!</v>
      </c>
      <c r="JE194" s="26">
        <f>IF(JE$2=InputTable[[#This Row],[Delivery Date]],_xlfn.XLOOKUP(JE$1,$BH$2:$BR$2,$BH194:$BR194,0),0)</f>
        <v>0</v>
      </c>
      <c r="JF194" s="26">
        <f>IF(JF$2=InputTable[[#This Row],[Delivery Date]],_xlfn.XLOOKUP(JF$1,$BH$2:$BR$2,$BH194:$BR194,0),0)</f>
        <v>0</v>
      </c>
      <c r="JG194" s="26">
        <f>IF(JG$2=InputTable[[#This Row],[Delivery Date]],_xlfn.XLOOKUP(JG$1,$BH$2:$BR$2,$BH194:$BR194,0),0)</f>
        <v>0</v>
      </c>
      <c r="JH194" s="26">
        <f>IF(JH$2=InputTable[[#This Row],[Delivery Date]],_xlfn.XLOOKUP(JH$1,$BH$2:$BR$2,$BH194:$BR194,0),0)</f>
        <v>0</v>
      </c>
      <c r="JI194" s="26">
        <f>IF(JI$2=InputTable[[#This Row],[Delivery Date]],_xlfn.XLOOKUP(JI$1,$BH$2:$BR$2,$BH194:$BR194,0),0)</f>
        <v>0</v>
      </c>
      <c r="JJ194" s="26">
        <f>IF(JJ$2=InputTable[[#This Row],[Delivery Date]],_xlfn.XLOOKUP(JJ$1,$BH$2:$BR$2,$BH194:$BR194,0),0)</f>
        <v>0</v>
      </c>
      <c r="JK194" s="26">
        <f>IF(JK$2=InputTable[[#This Row],[Delivery Date]],_xlfn.XLOOKUP(JK$1,$BH$2:$BR$2,$BH194:$BR194,0),0)</f>
        <v>0</v>
      </c>
      <c r="JL194" s="26">
        <f>IF(JL$2=InputTable[[#This Row],[Delivery Date]],_xlfn.XLOOKUP(JL$1,$BH$2:$BR$2,$BH194:$BR194,0),0)</f>
        <v>0</v>
      </c>
      <c r="JN194" s="26" t="e">
        <f>IF(JN$2=InputTable[[#This Row],[Delivery Date]],_xlfn.XLOOKUP(JN$1,$BH$2:$BR$2,$BH194:$BR194,0),0)</f>
        <v>#REF!</v>
      </c>
      <c r="JO194" s="26">
        <f>IF(JO$2=InputTable[[#This Row],[Delivery Date]],_xlfn.XLOOKUP(JO$1,$BH$2:$BR$2,$BH194:$BR194,0),0)</f>
        <v>0</v>
      </c>
      <c r="JP194" s="26">
        <f>IF(JP$2=InputTable[[#This Row],[Delivery Date]],_xlfn.XLOOKUP(JP$1,$BH$2:$BR$2,$BH194:$BR194,0),0)</f>
        <v>0</v>
      </c>
      <c r="JQ194" s="26">
        <f>IF(JQ$2=InputTable[[#This Row],[Delivery Date]],_xlfn.XLOOKUP(JQ$1,$BH$2:$BR$2,$BH194:$BR194,0),0)</f>
        <v>0</v>
      </c>
      <c r="JR194" s="26">
        <f>IF(JR$2=InputTable[[#This Row],[Delivery Date]],_xlfn.XLOOKUP(JR$1,$BH$2:$BR$2,$BH194:$BR194,0),0)</f>
        <v>0</v>
      </c>
      <c r="JS194" s="26">
        <f>IF(JS$2=InputTable[[#This Row],[Delivery Date]],_xlfn.XLOOKUP(JS$1,$BH$2:$BR$2,$BH194:$BR194,0),0)</f>
        <v>0</v>
      </c>
      <c r="JT194" s="26">
        <f>IF(JT$2=InputTable[[#This Row],[Delivery Date]],_xlfn.XLOOKUP(JT$1,$BH$2:$BR$2,$BH194:$BR194,0),0)</f>
        <v>0</v>
      </c>
      <c r="JU194" s="26">
        <f>IF(JU$2=InputTable[[#This Row],[Delivery Date]],_xlfn.XLOOKUP(JU$1,$BH$2:$BR$2,$BH194:$BR194,0),0)</f>
        <v>0</v>
      </c>
      <c r="JV194" s="26">
        <f>IF(JV$2=InputTable[[#This Row],[Delivery Date]],_xlfn.XLOOKUP(JV$1,$BH$2:$BR$2,$BH194:$BR194,0),0)</f>
        <v>0</v>
      </c>
      <c r="JX194" s="26" t="e">
        <f>IF(JX$2=InputTable[[#This Row],[Delivery Date]],_xlfn.XLOOKUP(JX$1,$BH$2:$BR$2,$BH194:$BR194,0),0)</f>
        <v>#REF!</v>
      </c>
      <c r="JY194" s="26">
        <f>IF(JY$2=InputTable[[#This Row],[Delivery Date]],_xlfn.XLOOKUP(JY$1,$BH$2:$BR$2,$BH194:$BR194,0),0)</f>
        <v>0</v>
      </c>
      <c r="JZ194" s="26">
        <f>IF(JZ$2=InputTable[[#This Row],[Delivery Date]],_xlfn.XLOOKUP(JZ$1,$BH$2:$BR$2,$BH194:$BR194,0),0)</f>
        <v>0</v>
      </c>
      <c r="KA194" s="26">
        <f>IF(KA$2=InputTable[[#This Row],[Delivery Date]],_xlfn.XLOOKUP(KA$1,$BH$2:$BR$2,$BH194:$BR194,0),0)</f>
        <v>0</v>
      </c>
      <c r="KB194" s="26">
        <f>IF(KB$2=InputTable[[#This Row],[Delivery Date]],_xlfn.XLOOKUP(KB$1,$BH$2:$BR$2,$BH194:$BR194,0),0)</f>
        <v>0</v>
      </c>
      <c r="KC194" s="26">
        <f>IF(KC$2=InputTable[[#This Row],[Delivery Date]],_xlfn.XLOOKUP(KC$1,$BH$2:$BR$2,$BH194:$BR194,0),0)</f>
        <v>0</v>
      </c>
      <c r="KD194" s="26">
        <f>IF(KD$2=InputTable[[#This Row],[Delivery Date]],_xlfn.XLOOKUP(KD$1,$BH$2:$BR$2,$BH194:$BR194,0),0)</f>
        <v>0</v>
      </c>
      <c r="KE194" s="26">
        <f>IF(KE$2=InputTable[[#This Row],[Delivery Date]],_xlfn.XLOOKUP(KE$1,$BH$2:$BR$2,$BH194:$BR194,0),0)</f>
        <v>0</v>
      </c>
      <c r="KF194" s="26">
        <f>IF(KF$2=InputTable[[#This Row],[Delivery Date]],_xlfn.XLOOKUP(KF$1,$BH$2:$BR$2,$BH194:$BR194,0),0)</f>
        <v>0</v>
      </c>
    </row>
    <row r="195" spans="1:292" ht="34.799999999999997" x14ac:dyDescent="0.25">
      <c r="A195" s="125"/>
      <c r="B195" s="118"/>
      <c r="C195" s="92"/>
      <c r="D195" s="92"/>
      <c r="E195" s="107"/>
      <c r="F195" s="108"/>
      <c r="G195" s="109"/>
      <c r="H195" s="109"/>
      <c r="I195" s="108"/>
      <c r="J195" s="110"/>
      <c r="K195" s="95" t="e">
        <f>VLOOKUP((InputTable[[#This Row],[Starting Date]]&amp; " - " &amp;InputTable[[#This Row],[Delivery Date]]),'System List'!$F$40:$H$83,2,FALSE)</f>
        <v>#N/A</v>
      </c>
      <c r="L195" s="95" t="e">
        <f>VLOOKUP(InputTable[[#This Row],[Duration]],Duration,2,FALSE)</f>
        <v>#N/A</v>
      </c>
      <c r="M195" s="110"/>
      <c r="N195" s="108"/>
      <c r="O195" s="108"/>
      <c r="P195" s="108"/>
      <c r="Q195" s="108"/>
      <c r="R195" s="108"/>
      <c r="S195" s="92"/>
      <c r="T195" s="95"/>
      <c r="U195" s="138"/>
      <c r="V195" s="108"/>
      <c r="W195" s="108"/>
      <c r="X195" s="108"/>
      <c r="Y195" s="108"/>
      <c r="Z195" s="108"/>
      <c r="AA195" s="108"/>
      <c r="AB195" s="108"/>
      <c r="AC195" s="113"/>
      <c r="AD195" s="92">
        <f>COUNTA(InputTable[[#This Row],[CORPHRFIN]:[SALES]])</f>
        <v>0</v>
      </c>
      <c r="AE195" s="88" cm="1">
        <f t="array" ref="AE195">SUM(
_xlfn.XLOOKUP(InputTable[[#This Row],[CORPHRFIN]:[SALES]],'System List'!$F$4:$F$7,'System List'!$H$4:$H$7,0))</f>
        <v>0</v>
      </c>
      <c r="AF195" s="140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88" cm="1">
        <f t="array" ref="AR195">SUM(
_xlfn.XLOOKUP(InputTable[[#This Row],[Impact on - CIAL]:[Impact on - STRAT]],'System List'!$F$4:$F$7,'System List'!$H$4:$H$7,0))</f>
        <v>0</v>
      </c>
      <c r="AS195" s="88" t="e">
        <f>VLOOKUP(InputTable[[#This Row],[Duration]],Duration,2,FALSE)+InputTable[[#This Row],[Resource Score]]</f>
        <v>#N/A</v>
      </c>
      <c r="AT19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5" s="24" t="e">
        <f>InputTable[[#This Row],[Value Score]]/InputTable[[#This Row],[EFFORT SCORE]]*100</f>
        <v>#N/A</v>
      </c>
      <c r="AV195" s="25" t="s">
        <v>486</v>
      </c>
      <c r="AW195" s="25"/>
      <c r="AX195" s="144"/>
      <c r="AY195" s="25"/>
      <c r="AZ195" s="189">
        <v>0</v>
      </c>
      <c r="BA195" s="189">
        <v>0</v>
      </c>
      <c r="BB195" s="189"/>
      <c r="BC195" s="189"/>
      <c r="BD195" s="188"/>
      <c r="BE195" s="188"/>
      <c r="BF195" s="70"/>
      <c r="BH195" s="2">
        <f>IFERROR(VLOOKUP(InputTable[[#This Row],[Impact on - CIAL]],'System List'!$F$4:$H$7,3,FALSE),0)</f>
        <v>0</v>
      </c>
      <c r="BI195" s="2">
        <f>IFERROR(VLOOKUP(InputTable[[#This Row],[Impact on - COM]],'System List'!$F$4:$H$7,3,FALSE),0)</f>
        <v>0</v>
      </c>
      <c r="BJ195" s="2">
        <f>IFERROR(VLOOKUP(InputTable[[#This Row],[Impact on - FIN]],'System List'!$F$4:$H$7,3,FALSE),0)</f>
        <v>0</v>
      </c>
      <c r="BK195" s="2">
        <f>IFERROR(VLOOKUP(InputTable[[#This Row],[Impact on - GEN SEC]],'System List'!$F$4:$H$7,3,FALSE),0)</f>
        <v>0</v>
      </c>
      <c r="BL195" s="2">
        <f>IFERROR(VLOOKUP(InputTable[[#This Row],[Impact on - HR]],'System List'!$F$4:$H$7,3,FALSE),0)</f>
        <v>0</v>
      </c>
      <c r="BM195" s="2">
        <f>IFERROR(VLOOKUP(InputTable[[#This Row],[Impact on - IS]],'System List'!$F$4:$H$7,3,FALSE),0)</f>
        <v>0</v>
      </c>
      <c r="BN195" s="2">
        <f>IFERROR(VLOOKUP(InputTable[[#This Row],[Impact on - OPS]],'System List'!$F$4:$H$7,3,FALSE),0)</f>
        <v>0</v>
      </c>
      <c r="BO195" s="2">
        <f>IFERROR(VLOOKUP(InputTable[[#This Row],[Impact on - ROLL STOCK]],'System List'!$F$4:$H$7,3,FALSE),0)</f>
        <v>0</v>
      </c>
      <c r="BP195" s="2">
        <f>IFERROR(VLOOKUP(InputTable[[#This Row],[Impact on - SAFETY]],'System List'!$F$4:$H$7,3,FALSE),0)</f>
        <v>0</v>
      </c>
      <c r="BQ195" s="2">
        <f>IFERROR(VLOOKUP(InputTable[[#This Row],[Impact on - STATION]],'System List'!$F$4:$H$7,3,FALSE),0)</f>
        <v>0</v>
      </c>
      <c r="BR195" s="2">
        <f>IFERROR(VLOOKUP(InputTable[[#This Row],[Impact on - STRAT]],'System List'!$F$4:$H$7,3,FALSE),0)</f>
        <v>0</v>
      </c>
      <c r="BT195" s="2">
        <f>IFERROR(VLOOKUP(InputTable[[#This Row],[CORPHRFIN]],'System List'!$F$4:$H$7,3,FALSE),0)</f>
        <v>0</v>
      </c>
      <c r="BU195" s="2">
        <f>IFERROR(VLOOKUP(InputTable[[#This Row],[CUST]],'System List'!$F$4:$H$7,3,FALSE),0)</f>
        <v>0</v>
      </c>
      <c r="BV195" s="2">
        <f>IFERROR(VLOOKUP(InputTable[[#This Row],[CYBER]],'System List'!$F$4:$H$7,3,FALSE),0)</f>
        <v>0</v>
      </c>
      <c r="BW195" s="2">
        <f>IFERROR(VLOOKUP(InputTable[[#This Row],[DATA]],'System List'!$F$4:$H$7,3,FALSE),0)</f>
        <v>0</v>
      </c>
      <c r="BX195" s="2">
        <f>IFERROR(VLOOKUP(InputTable[[#This Row],[INFRA]],'System List'!$F$4:$H$7,3,FALSE),0)</f>
        <v>0</v>
      </c>
      <c r="BY195" s="2">
        <f>IFERROR(VLOOKUP(InputTable[[#This Row],[OPERATIONS]],'System List'!$F$4:$H$7,3,FALSE),0)</f>
        <v>0</v>
      </c>
      <c r="BZ195" s="2">
        <f>IFERROR(VLOOKUP(InputTable[[#This Row],[PMO]],'System List'!$F$4:$H$7,3,FALSE),0)</f>
        <v>0</v>
      </c>
      <c r="CA195" s="2">
        <f>IFERROR(VLOOKUP(InputTable[[#This Row],[SALES]],'System List'!$F$4:$H$7,3,FALSE),0)</f>
        <v>0</v>
      </c>
      <c r="CC195" s="2" cm="1">
        <f t="array" ref="CC19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5" s="2" cm="1">
        <f t="array" ref="CD19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5" s="2" cm="1">
        <f t="array" ref="CE19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5" s="2" cm="1">
        <f t="array" ref="CF19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5" s="2" cm="1">
        <f t="array" ref="CG19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5" s="2" cm="1">
        <f t="array" ref="CH19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5" s="2" cm="1">
        <f t="array" ref="CI19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5" s="2" cm="1">
        <f t="array" ref="CJ19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5" s="2" cm="1">
        <f t="array" ref="CK19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5" s="26">
        <f t="shared" si="451"/>
        <v>0</v>
      </c>
      <c r="CY195" s="26">
        <f t="shared" si="452"/>
        <v>0</v>
      </c>
      <c r="CZ195" s="26">
        <f t="shared" si="453"/>
        <v>0</v>
      </c>
      <c r="DA195" s="26">
        <f t="shared" si="454"/>
        <v>0</v>
      </c>
      <c r="DB195" s="26">
        <f t="shared" si="455"/>
        <v>0</v>
      </c>
      <c r="DC195" s="26">
        <f t="shared" si="456"/>
        <v>0</v>
      </c>
      <c r="DD195" s="26">
        <f t="shared" si="457"/>
        <v>0</v>
      </c>
      <c r="DE195" s="26">
        <f t="shared" si="458"/>
        <v>0</v>
      </c>
      <c r="DF195" s="26">
        <f t="shared" si="459"/>
        <v>0</v>
      </c>
      <c r="DH195" s="26">
        <f t="shared" si="460"/>
        <v>0</v>
      </c>
      <c r="DI195" s="26">
        <f t="shared" si="461"/>
        <v>0</v>
      </c>
      <c r="DJ195" s="26">
        <f t="shared" si="462"/>
        <v>0</v>
      </c>
      <c r="DK195" s="26">
        <f t="shared" si="463"/>
        <v>0</v>
      </c>
      <c r="DL195" s="26">
        <f t="shared" si="464"/>
        <v>0</v>
      </c>
      <c r="DM195" s="26">
        <f t="shared" si="465"/>
        <v>0</v>
      </c>
      <c r="DN195" s="26">
        <f t="shared" si="466"/>
        <v>0</v>
      </c>
      <c r="DO195" s="26">
        <f t="shared" si="467"/>
        <v>0</v>
      </c>
      <c r="DP195" s="26">
        <f t="shared" si="468"/>
        <v>0</v>
      </c>
      <c r="DR195" s="26">
        <f t="shared" si="469"/>
        <v>0</v>
      </c>
      <c r="DS195" s="26">
        <f t="shared" si="470"/>
        <v>0</v>
      </c>
      <c r="DT195" s="26">
        <f t="shared" si="471"/>
        <v>0</v>
      </c>
      <c r="DU195" s="26">
        <f t="shared" si="472"/>
        <v>0</v>
      </c>
      <c r="DV195" s="26">
        <f t="shared" si="473"/>
        <v>0</v>
      </c>
      <c r="DW195" s="26">
        <f t="shared" si="474"/>
        <v>0</v>
      </c>
      <c r="DX195" s="26">
        <f t="shared" si="475"/>
        <v>0</v>
      </c>
      <c r="DY195" s="26">
        <f t="shared" si="476"/>
        <v>0</v>
      </c>
      <c r="DZ195" s="26">
        <f t="shared" si="477"/>
        <v>0</v>
      </c>
      <c r="EB195" s="26">
        <f t="shared" si="478"/>
        <v>0</v>
      </c>
      <c r="EC195" s="26">
        <f t="shared" si="479"/>
        <v>0</v>
      </c>
      <c r="ED195" s="26">
        <f t="shared" si="480"/>
        <v>0</v>
      </c>
      <c r="EE195" s="26">
        <f t="shared" si="481"/>
        <v>0</v>
      </c>
      <c r="EF195" s="26">
        <f t="shared" si="482"/>
        <v>0</v>
      </c>
      <c r="EG195" s="26">
        <f t="shared" si="483"/>
        <v>0</v>
      </c>
      <c r="EH195" s="26">
        <f t="shared" si="484"/>
        <v>0</v>
      </c>
      <c r="EI195" s="26">
        <f t="shared" si="485"/>
        <v>0</v>
      </c>
      <c r="EJ195" s="26">
        <f t="shared" si="486"/>
        <v>0</v>
      </c>
      <c r="EL195" s="26">
        <f t="shared" si="487"/>
        <v>0</v>
      </c>
      <c r="EM195" s="26">
        <f t="shared" si="488"/>
        <v>0</v>
      </c>
      <c r="EN195" s="26">
        <f t="shared" si="489"/>
        <v>0</v>
      </c>
      <c r="EO195" s="26">
        <f t="shared" si="490"/>
        <v>0</v>
      </c>
      <c r="EP195" s="26">
        <f t="shared" si="491"/>
        <v>0</v>
      </c>
      <c r="EQ195" s="26">
        <f t="shared" si="492"/>
        <v>0</v>
      </c>
      <c r="ER195" s="26">
        <f t="shared" si="493"/>
        <v>0</v>
      </c>
      <c r="ES195" s="26">
        <f t="shared" si="494"/>
        <v>0</v>
      </c>
      <c r="ET195" s="26">
        <f t="shared" si="495"/>
        <v>0</v>
      </c>
      <c r="EV195" s="26">
        <f t="shared" si="496"/>
        <v>0</v>
      </c>
      <c r="EW195" s="26">
        <f t="shared" si="497"/>
        <v>0</v>
      </c>
      <c r="EX195" s="26">
        <f t="shared" si="498"/>
        <v>0</v>
      </c>
      <c r="EY195" s="26">
        <f t="shared" si="499"/>
        <v>0</v>
      </c>
      <c r="EZ195" s="26">
        <f t="shared" si="500"/>
        <v>0</v>
      </c>
      <c r="FA195" s="26">
        <f t="shared" si="501"/>
        <v>0</v>
      </c>
      <c r="FB195" s="26">
        <f t="shared" si="502"/>
        <v>0</v>
      </c>
      <c r="FC195" s="26">
        <f t="shared" si="503"/>
        <v>0</v>
      </c>
      <c r="FD195" s="26">
        <f t="shared" si="504"/>
        <v>0</v>
      </c>
      <c r="FF195" s="26">
        <f t="shared" si="505"/>
        <v>0</v>
      </c>
      <c r="FG195" s="26">
        <f t="shared" si="506"/>
        <v>0</v>
      </c>
      <c r="FH195" s="26">
        <f t="shared" si="507"/>
        <v>0</v>
      </c>
      <c r="FI195" s="26">
        <f t="shared" si="508"/>
        <v>0</v>
      </c>
      <c r="FJ195" s="26">
        <f t="shared" si="509"/>
        <v>0</v>
      </c>
      <c r="FK195" s="26">
        <f t="shared" si="510"/>
        <v>0</v>
      </c>
      <c r="FL195" s="26">
        <f t="shared" si="511"/>
        <v>0</v>
      </c>
      <c r="FM195" s="26">
        <f t="shared" si="512"/>
        <v>0</v>
      </c>
      <c r="FN195" s="26">
        <f t="shared" si="513"/>
        <v>0</v>
      </c>
      <c r="FP195" s="26" t="e">
        <f t="shared" si="514"/>
        <v>#REF!</v>
      </c>
      <c r="FQ195" s="26" t="e">
        <f t="shared" si="515"/>
        <v>#REF!</v>
      </c>
      <c r="FR195" s="26" t="e">
        <f t="shared" si="516"/>
        <v>#REF!</v>
      </c>
      <c r="FS195" s="26" t="e">
        <f t="shared" si="517"/>
        <v>#REF!</v>
      </c>
      <c r="FT195" s="26" t="e">
        <f t="shared" si="518"/>
        <v>#REF!</v>
      </c>
      <c r="FU195" s="26" t="e">
        <f t="shared" si="519"/>
        <v>#REF!</v>
      </c>
      <c r="FV195" s="26" t="e">
        <f t="shared" si="520"/>
        <v>#REF!</v>
      </c>
      <c r="FW195" s="26" t="e">
        <f t="shared" si="521"/>
        <v>#REF!</v>
      </c>
      <c r="FX195" s="26" t="e">
        <f t="shared" si="522"/>
        <v>#REF!</v>
      </c>
      <c r="GB195" s="26" t="e">
        <f>IF(GB$2=InputTable[[#This Row],[Delivery Date]],_xlfn.XLOOKUP(GB$1,$BH$2:$BR$2,$BH195:$BR195,0),0)</f>
        <v>#REF!</v>
      </c>
      <c r="GC195" s="26">
        <f>IF(GC$2=InputTable[[#This Row],[Delivery Date]],_xlfn.XLOOKUP(GC$1,$BH$2:$BR$2,$BH195:$BR195,0),0)</f>
        <v>0</v>
      </c>
      <c r="GD195" s="26">
        <f>IF(GD$2=InputTable[[#This Row],[Delivery Date]],_xlfn.XLOOKUP(GD$1,$BH$2:$BR$2,$BH195:$BR195,0),0)</f>
        <v>0</v>
      </c>
      <c r="GE195" s="26">
        <f>IF(GE$2=InputTable[[#This Row],[Delivery Date]],_xlfn.XLOOKUP(GE$1,$BH$2:$BR$2,$BH195:$BR195,0),0)</f>
        <v>0</v>
      </c>
      <c r="GF195" s="26">
        <f>IF(GF$2=InputTable[[#This Row],[Delivery Date]],_xlfn.XLOOKUP(GF$1,$BH$2:$BR$2,$BH195:$BR195,0),0)</f>
        <v>0</v>
      </c>
      <c r="GG195" s="26">
        <f>IF(GG$2=InputTable[[#This Row],[Delivery Date]],_xlfn.XLOOKUP(GG$1,$BH$2:$BR$2,$BH195:$BR195,0),0)</f>
        <v>0</v>
      </c>
      <c r="GH195" s="26">
        <f>IF(GH$2=InputTable[[#This Row],[Delivery Date]],_xlfn.XLOOKUP(GH$1,$BH$2:$BR$2,$BH195:$BR195,0),0)</f>
        <v>0</v>
      </c>
      <c r="GI195" s="26">
        <f>IF(GI$2=InputTable[[#This Row],[Delivery Date]],_xlfn.XLOOKUP(GI$1,$BH$2:$BR$2,$BH195:$BR195,0),0)</f>
        <v>0</v>
      </c>
      <c r="GJ195" s="26">
        <f>IF(GJ$2=InputTable[[#This Row],[Delivery Date]],_xlfn.XLOOKUP(GJ$1,$BH$2:$BR$2,$BH195:$BR195,0),0)</f>
        <v>0</v>
      </c>
      <c r="GL195" s="26" t="e">
        <f>IF(GL$2=InputTable[[#This Row],[Delivery Date]],_xlfn.XLOOKUP(GL$1,$BH$2:$BR$2,$BH195:$BR195,0),0)</f>
        <v>#REF!</v>
      </c>
      <c r="GM195" s="26">
        <f>IF(GM$2=InputTable[[#This Row],[Delivery Date]],_xlfn.XLOOKUP(GM$1,$BH$2:$BR$2,$BH195:$BR195,0),0)</f>
        <v>0</v>
      </c>
      <c r="GN195" s="26">
        <f>IF(GN$2=InputTable[[#This Row],[Delivery Date]],_xlfn.XLOOKUP(GN$1,$BH$2:$BR$2,$BH195:$BR195,0),0)</f>
        <v>0</v>
      </c>
      <c r="GO195" s="26">
        <f>IF(GO$2=InputTable[[#This Row],[Delivery Date]],_xlfn.XLOOKUP(GO$1,$BH$2:$BR$2,$BH195:$BR195,0),0)</f>
        <v>0</v>
      </c>
      <c r="GP195" s="26">
        <f>IF(GP$2=InputTable[[#This Row],[Delivery Date]],_xlfn.XLOOKUP(GP$1,$BH$2:$BR$2,$BH195:$BR195,0),0)</f>
        <v>0</v>
      </c>
      <c r="GQ195" s="26">
        <f>IF(GQ$2=InputTable[[#This Row],[Delivery Date]],_xlfn.XLOOKUP(GQ$1,$BH$2:$BR$2,$BH195:$BR195,0),0)</f>
        <v>0</v>
      </c>
      <c r="GR195" s="26">
        <f>IF(GR$2=InputTable[[#This Row],[Delivery Date]],_xlfn.XLOOKUP(GR$1,$BH$2:$BR$2,$BH195:$BR195,0),0)</f>
        <v>0</v>
      </c>
      <c r="GS195" s="26">
        <f>IF(GS$2=InputTable[[#This Row],[Delivery Date]],_xlfn.XLOOKUP(GS$1,$BH$2:$BR$2,$BH195:$BR195,0),0)</f>
        <v>0</v>
      </c>
      <c r="GT195" s="26">
        <f>IF(GT$2=InputTable[[#This Row],[Delivery Date]],_xlfn.XLOOKUP(GT$1,$BH$2:$BR$2,$BH195:$BR195,0),0)</f>
        <v>0</v>
      </c>
      <c r="GV195" s="26" t="e">
        <f>IF(GV$2=InputTable[[#This Row],[Delivery Date]],_xlfn.XLOOKUP(GV$1,$BH$2:$BR$2,$BH195:$BR195,0),0)</f>
        <v>#REF!</v>
      </c>
      <c r="GW195" s="26">
        <f>IF(GW$2=InputTable[[#This Row],[Delivery Date]],_xlfn.XLOOKUP(GW$1,$BH$2:$BR$2,$BH195:$BR195,0),0)</f>
        <v>0</v>
      </c>
      <c r="GX195" s="26">
        <f>IF(GX$2=InputTable[[#This Row],[Delivery Date]],_xlfn.XLOOKUP(GX$1,$BH$2:$BR$2,$BH195:$BR195,0),0)</f>
        <v>0</v>
      </c>
      <c r="GY195" s="26">
        <f>IF(GY$2=InputTable[[#This Row],[Delivery Date]],_xlfn.XLOOKUP(GY$1,$BH$2:$BR$2,$BH195:$BR195,0),0)</f>
        <v>0</v>
      </c>
      <c r="GZ195" s="26">
        <f>IF(GZ$2=InputTable[[#This Row],[Delivery Date]],_xlfn.XLOOKUP(GZ$1,$BH$2:$BR$2,$BH195:$BR195,0),0)</f>
        <v>0</v>
      </c>
      <c r="HA195" s="26">
        <f>IF(HA$2=InputTable[[#This Row],[Delivery Date]],_xlfn.XLOOKUP(HA$1,$BH$2:$BR$2,$BH195:$BR195,0),0)</f>
        <v>0</v>
      </c>
      <c r="HB195" s="26">
        <f>IF(HB$2=InputTable[[#This Row],[Delivery Date]],_xlfn.XLOOKUP(HB$1,$BH$2:$BR$2,$BH195:$BR195,0),0)</f>
        <v>0</v>
      </c>
      <c r="HC195" s="26">
        <f>IF(HC$2=InputTable[[#This Row],[Delivery Date]],_xlfn.XLOOKUP(HC$1,$BH$2:$BR$2,$BH195:$BR195,0),0)</f>
        <v>0</v>
      </c>
      <c r="HD195" s="26">
        <f>IF(HD$2=InputTable[[#This Row],[Delivery Date]],_xlfn.XLOOKUP(HD$1,$BH$2:$BR$2,$BH195:$BR195,0),0)</f>
        <v>0</v>
      </c>
      <c r="HF195" s="26" t="e">
        <f>IF(HF$2=InputTable[[#This Row],[Delivery Date]],_xlfn.XLOOKUP(HF$1,$BH$2:$BR$2,$BH195:$BR195,0),0)</f>
        <v>#REF!</v>
      </c>
      <c r="HG195" s="26">
        <f>IF(HG$2=InputTable[[#This Row],[Delivery Date]],_xlfn.XLOOKUP(HG$1,$BH$2:$BR$2,$BH195:$BR195,0),0)</f>
        <v>0</v>
      </c>
      <c r="HH195" s="26">
        <f>IF(HH$2=InputTable[[#This Row],[Delivery Date]],_xlfn.XLOOKUP(HH$1,$BH$2:$BR$2,$BH195:$BR195,0),0)</f>
        <v>0</v>
      </c>
      <c r="HI195" s="26">
        <f>IF(HI$2=InputTable[[#This Row],[Delivery Date]],_xlfn.XLOOKUP(HI$1,$BH$2:$BR$2,$BH195:$BR195,0),0)</f>
        <v>0</v>
      </c>
      <c r="HJ195" s="26">
        <f>IF(HJ$2=InputTable[[#This Row],[Delivery Date]],_xlfn.XLOOKUP(HJ$1,$BH$2:$BR$2,$BH195:$BR195,0),0)</f>
        <v>0</v>
      </c>
      <c r="HK195" s="26">
        <f>IF(HK$2=InputTable[[#This Row],[Delivery Date]],_xlfn.XLOOKUP(HK$1,$BH$2:$BR$2,$BH195:$BR195,0),0)</f>
        <v>0</v>
      </c>
      <c r="HL195" s="26">
        <f>IF(HL$2=InputTable[[#This Row],[Delivery Date]],_xlfn.XLOOKUP(HL$1,$BH$2:$BR$2,$BH195:$BR195,0),0)</f>
        <v>0</v>
      </c>
      <c r="HM195" s="26">
        <f>IF(HM$2=InputTable[[#This Row],[Delivery Date]],_xlfn.XLOOKUP(HM$1,$BH$2:$BR$2,$BH195:$BR195,0),0)</f>
        <v>0</v>
      </c>
      <c r="HN195" s="26">
        <f>IF(HN$2=InputTable[[#This Row],[Delivery Date]],_xlfn.XLOOKUP(HN$1,$BH$2:$BR$2,$BH195:$BR195,0),0)</f>
        <v>0</v>
      </c>
      <c r="HP195" s="26" t="e">
        <f>IF(HP$2=InputTable[[#This Row],[Delivery Date]],_xlfn.XLOOKUP(HP$1,$BH$2:$BR$2,$BH195:$BR195,0),0)</f>
        <v>#REF!</v>
      </c>
      <c r="HQ195" s="26">
        <f>IF(HQ$2=InputTable[[#This Row],[Delivery Date]],_xlfn.XLOOKUP(HQ$1,$BH$2:$BR$2,$BH195:$BR195,0),0)</f>
        <v>0</v>
      </c>
      <c r="HR195" s="26">
        <f>IF(HR$2=InputTable[[#This Row],[Delivery Date]],_xlfn.XLOOKUP(HR$1,$BH$2:$BR$2,$BH195:$BR195,0),0)</f>
        <v>0</v>
      </c>
      <c r="HS195" s="26">
        <f>IF(HS$2=InputTable[[#This Row],[Delivery Date]],_xlfn.XLOOKUP(HS$1,$BH$2:$BR$2,$BH195:$BR195,0),0)</f>
        <v>0</v>
      </c>
      <c r="HT195" s="26">
        <f>IF(HT$2=InputTable[[#This Row],[Delivery Date]],_xlfn.XLOOKUP(HT$1,$BH$2:$BR$2,$BH195:$BR195,0),0)</f>
        <v>0</v>
      </c>
      <c r="HU195" s="26">
        <f>IF(HU$2=InputTable[[#This Row],[Delivery Date]],_xlfn.XLOOKUP(HU$1,$BH$2:$BR$2,$BH195:$BR195,0),0)</f>
        <v>0</v>
      </c>
      <c r="HV195" s="26">
        <f>IF(HV$2=InputTable[[#This Row],[Delivery Date]],_xlfn.XLOOKUP(HV$1,$BH$2:$BR$2,$BH195:$BR195,0),0)</f>
        <v>0</v>
      </c>
      <c r="HW195" s="26">
        <f>IF(HW$2=InputTable[[#This Row],[Delivery Date]],_xlfn.XLOOKUP(HW$1,$BH$2:$BR$2,$BH195:$BR195,0),0)</f>
        <v>0</v>
      </c>
      <c r="HX195" s="26">
        <f>IF(HX$2=InputTable[[#This Row],[Delivery Date]],_xlfn.XLOOKUP(HX$1,$BH$2:$BR$2,$BH195:$BR195,0),0)</f>
        <v>0</v>
      </c>
      <c r="HZ195" s="26" t="e">
        <f>IF(HZ$2=InputTable[[#This Row],[Delivery Date]],_xlfn.XLOOKUP(HZ$1,$BH$2:$BR$2,$BH195:$BR195,0),0)</f>
        <v>#REF!</v>
      </c>
      <c r="IA195" s="26">
        <f>IF(IA$2=InputTable[[#This Row],[Delivery Date]],_xlfn.XLOOKUP(IA$1,$BH$2:$BR$2,$BH195:$BR195,0),0)</f>
        <v>0</v>
      </c>
      <c r="IB195" s="26">
        <f>IF(IB$2=InputTable[[#This Row],[Delivery Date]],_xlfn.XLOOKUP(IB$1,$BH$2:$BR$2,$BH195:$BR195,0),0)</f>
        <v>0</v>
      </c>
      <c r="IC195" s="26">
        <f>IF(IC$2=InputTable[[#This Row],[Delivery Date]],_xlfn.XLOOKUP(IC$1,$BH$2:$BR$2,$BH195:$BR195,0),0)</f>
        <v>0</v>
      </c>
      <c r="ID195" s="26">
        <f>IF(ID$2=InputTable[[#This Row],[Delivery Date]],_xlfn.XLOOKUP(ID$1,$BH$2:$BR$2,$BH195:$BR195,0),0)</f>
        <v>0</v>
      </c>
      <c r="IE195" s="26">
        <f>IF(IE$2=InputTable[[#This Row],[Delivery Date]],_xlfn.XLOOKUP(IE$1,$BH$2:$BR$2,$BH195:$BR195,0),0)</f>
        <v>0</v>
      </c>
      <c r="IF195" s="26">
        <f>IF(IF$2=InputTable[[#This Row],[Delivery Date]],_xlfn.XLOOKUP(IF$1,$BH$2:$BR$2,$BH195:$BR195,0),0)</f>
        <v>0</v>
      </c>
      <c r="IG195" s="26">
        <f>IF(IG$2=InputTable[[#This Row],[Delivery Date]],_xlfn.XLOOKUP(IG$1,$BH$2:$BR$2,$BH195:$BR195,0),0)</f>
        <v>0</v>
      </c>
      <c r="IH195" s="26">
        <f>IF(IH$2=InputTable[[#This Row],[Delivery Date]],_xlfn.XLOOKUP(IH$1,$BH$2:$BR$2,$BH195:$BR195,0),0)</f>
        <v>0</v>
      </c>
      <c r="IJ195" s="26" t="e">
        <f>IF(IJ$2=InputTable[[#This Row],[Delivery Date]],_xlfn.XLOOKUP(IJ$1,$BH$2:$BR$2,$BH195:$BR195,0),0)</f>
        <v>#REF!</v>
      </c>
      <c r="IK195" s="26">
        <f>IF(IK$2=InputTable[[#This Row],[Delivery Date]],_xlfn.XLOOKUP(IK$1,$BH$2:$BR$2,$BH195:$BR195,0),0)</f>
        <v>0</v>
      </c>
      <c r="IL195" s="26">
        <f>IF(IL$2=InputTable[[#This Row],[Delivery Date]],_xlfn.XLOOKUP(IL$1,$BH$2:$BR$2,$BH195:$BR195,0),0)</f>
        <v>0</v>
      </c>
      <c r="IM195" s="26">
        <f>IF(IM$2=InputTable[[#This Row],[Delivery Date]],_xlfn.XLOOKUP(IM$1,$BH$2:$BR$2,$BH195:$BR195,0),0)</f>
        <v>0</v>
      </c>
      <c r="IN195" s="26">
        <f>IF(IN$2=InputTable[[#This Row],[Delivery Date]],_xlfn.XLOOKUP(IN$1,$BH$2:$BR$2,$BH195:$BR195,0),0)</f>
        <v>0</v>
      </c>
      <c r="IO195" s="26">
        <f>IF(IO$2=InputTable[[#This Row],[Delivery Date]],_xlfn.XLOOKUP(IO$1,$BH$2:$BR$2,$BH195:$BR195,0),0)</f>
        <v>0</v>
      </c>
      <c r="IP195" s="26">
        <f>IF(IP$2=InputTable[[#This Row],[Delivery Date]],_xlfn.XLOOKUP(IP$1,$BH$2:$BR$2,$BH195:$BR195,0),0)</f>
        <v>0</v>
      </c>
      <c r="IQ195" s="26">
        <f>IF(IQ$2=InputTable[[#This Row],[Delivery Date]],_xlfn.XLOOKUP(IQ$1,$BH$2:$BR$2,$BH195:$BR195,0),0)</f>
        <v>0</v>
      </c>
      <c r="IR195" s="26">
        <f>IF(IR$2=InputTable[[#This Row],[Delivery Date]],_xlfn.XLOOKUP(IR$1,$BH$2:$BR$2,$BH195:$BR195,0),0)</f>
        <v>0</v>
      </c>
      <c r="IT195" s="26" t="e">
        <f>IF(IT$2=InputTable[[#This Row],[Delivery Date]],_xlfn.XLOOKUP(IT$1,$BH$2:$BR$2,$BH195:$BR195,0),0)</f>
        <v>#REF!</v>
      </c>
      <c r="IU195" s="26">
        <f>IF(IU$2=InputTable[[#This Row],[Delivery Date]],_xlfn.XLOOKUP(IU$1,$BH$2:$BR$2,$BH195:$BR195,0),0)</f>
        <v>0</v>
      </c>
      <c r="IV195" s="26">
        <f>IF(IV$2=InputTable[[#This Row],[Delivery Date]],_xlfn.XLOOKUP(IV$1,$BH$2:$BR$2,$BH195:$BR195,0),0)</f>
        <v>0</v>
      </c>
      <c r="IW195" s="26">
        <f>IF(IW$2=InputTable[[#This Row],[Delivery Date]],_xlfn.XLOOKUP(IW$1,$BH$2:$BR$2,$BH195:$BR195,0),0)</f>
        <v>0</v>
      </c>
      <c r="IX195" s="26">
        <f>IF(IX$2=InputTable[[#This Row],[Delivery Date]],_xlfn.XLOOKUP(IX$1,$BH$2:$BR$2,$BH195:$BR195,0),0)</f>
        <v>0</v>
      </c>
      <c r="IY195" s="26">
        <f>IF(IY$2=InputTable[[#This Row],[Delivery Date]],_xlfn.XLOOKUP(IY$1,$BH$2:$BR$2,$BH195:$BR195,0),0)</f>
        <v>0</v>
      </c>
      <c r="IZ195" s="26">
        <f>IF(IZ$2=InputTable[[#This Row],[Delivery Date]],_xlfn.XLOOKUP(IZ$1,$BH$2:$BR$2,$BH195:$BR195,0),0)</f>
        <v>0</v>
      </c>
      <c r="JA195" s="26">
        <f>IF(JA$2=InputTable[[#This Row],[Delivery Date]],_xlfn.XLOOKUP(JA$1,$BH$2:$BR$2,$BH195:$BR195,0),0)</f>
        <v>0</v>
      </c>
      <c r="JB195" s="26">
        <f>IF(JB$2=InputTable[[#This Row],[Delivery Date]],_xlfn.XLOOKUP(JB$1,$BH$2:$BR$2,$BH195:$BR195,0),0)</f>
        <v>0</v>
      </c>
      <c r="JD195" s="26" t="e">
        <f>IF(JD$2=InputTable[[#This Row],[Delivery Date]],_xlfn.XLOOKUP(JD$1,$BH$2:$BR$2,$BH195:$BR195,0),0)</f>
        <v>#REF!</v>
      </c>
      <c r="JE195" s="26">
        <f>IF(JE$2=InputTable[[#This Row],[Delivery Date]],_xlfn.XLOOKUP(JE$1,$BH$2:$BR$2,$BH195:$BR195,0),0)</f>
        <v>0</v>
      </c>
      <c r="JF195" s="26">
        <f>IF(JF$2=InputTable[[#This Row],[Delivery Date]],_xlfn.XLOOKUP(JF$1,$BH$2:$BR$2,$BH195:$BR195,0),0)</f>
        <v>0</v>
      </c>
      <c r="JG195" s="26">
        <f>IF(JG$2=InputTable[[#This Row],[Delivery Date]],_xlfn.XLOOKUP(JG$1,$BH$2:$BR$2,$BH195:$BR195,0),0)</f>
        <v>0</v>
      </c>
      <c r="JH195" s="26">
        <f>IF(JH$2=InputTable[[#This Row],[Delivery Date]],_xlfn.XLOOKUP(JH$1,$BH$2:$BR$2,$BH195:$BR195,0),0)</f>
        <v>0</v>
      </c>
      <c r="JI195" s="26">
        <f>IF(JI$2=InputTable[[#This Row],[Delivery Date]],_xlfn.XLOOKUP(JI$1,$BH$2:$BR$2,$BH195:$BR195,0),0)</f>
        <v>0</v>
      </c>
      <c r="JJ195" s="26">
        <f>IF(JJ$2=InputTable[[#This Row],[Delivery Date]],_xlfn.XLOOKUP(JJ$1,$BH$2:$BR$2,$BH195:$BR195,0),0)</f>
        <v>0</v>
      </c>
      <c r="JK195" s="26">
        <f>IF(JK$2=InputTable[[#This Row],[Delivery Date]],_xlfn.XLOOKUP(JK$1,$BH$2:$BR$2,$BH195:$BR195,0),0)</f>
        <v>0</v>
      </c>
      <c r="JL195" s="26">
        <f>IF(JL$2=InputTable[[#This Row],[Delivery Date]],_xlfn.XLOOKUP(JL$1,$BH$2:$BR$2,$BH195:$BR195,0),0)</f>
        <v>0</v>
      </c>
      <c r="JN195" s="26" t="e">
        <f>IF(JN$2=InputTable[[#This Row],[Delivery Date]],_xlfn.XLOOKUP(JN$1,$BH$2:$BR$2,$BH195:$BR195,0),0)</f>
        <v>#REF!</v>
      </c>
      <c r="JO195" s="26">
        <f>IF(JO$2=InputTable[[#This Row],[Delivery Date]],_xlfn.XLOOKUP(JO$1,$BH$2:$BR$2,$BH195:$BR195,0),0)</f>
        <v>0</v>
      </c>
      <c r="JP195" s="26">
        <f>IF(JP$2=InputTable[[#This Row],[Delivery Date]],_xlfn.XLOOKUP(JP$1,$BH$2:$BR$2,$BH195:$BR195,0),0)</f>
        <v>0</v>
      </c>
      <c r="JQ195" s="26">
        <f>IF(JQ$2=InputTable[[#This Row],[Delivery Date]],_xlfn.XLOOKUP(JQ$1,$BH$2:$BR$2,$BH195:$BR195,0),0)</f>
        <v>0</v>
      </c>
      <c r="JR195" s="26">
        <f>IF(JR$2=InputTable[[#This Row],[Delivery Date]],_xlfn.XLOOKUP(JR$1,$BH$2:$BR$2,$BH195:$BR195,0),0)</f>
        <v>0</v>
      </c>
      <c r="JS195" s="26">
        <f>IF(JS$2=InputTable[[#This Row],[Delivery Date]],_xlfn.XLOOKUP(JS$1,$BH$2:$BR$2,$BH195:$BR195,0),0)</f>
        <v>0</v>
      </c>
      <c r="JT195" s="26">
        <f>IF(JT$2=InputTable[[#This Row],[Delivery Date]],_xlfn.XLOOKUP(JT$1,$BH$2:$BR$2,$BH195:$BR195,0),0)</f>
        <v>0</v>
      </c>
      <c r="JU195" s="26">
        <f>IF(JU$2=InputTable[[#This Row],[Delivery Date]],_xlfn.XLOOKUP(JU$1,$BH$2:$BR$2,$BH195:$BR195,0),0)</f>
        <v>0</v>
      </c>
      <c r="JV195" s="26">
        <f>IF(JV$2=InputTable[[#This Row],[Delivery Date]],_xlfn.XLOOKUP(JV$1,$BH$2:$BR$2,$BH195:$BR195,0),0)</f>
        <v>0</v>
      </c>
      <c r="JX195" s="26" t="e">
        <f>IF(JX$2=InputTable[[#This Row],[Delivery Date]],_xlfn.XLOOKUP(JX$1,$BH$2:$BR$2,$BH195:$BR195,0),0)</f>
        <v>#REF!</v>
      </c>
      <c r="JY195" s="26">
        <f>IF(JY$2=InputTable[[#This Row],[Delivery Date]],_xlfn.XLOOKUP(JY$1,$BH$2:$BR$2,$BH195:$BR195,0),0)</f>
        <v>0</v>
      </c>
      <c r="JZ195" s="26">
        <f>IF(JZ$2=InputTable[[#This Row],[Delivery Date]],_xlfn.XLOOKUP(JZ$1,$BH$2:$BR$2,$BH195:$BR195,0),0)</f>
        <v>0</v>
      </c>
      <c r="KA195" s="26">
        <f>IF(KA$2=InputTable[[#This Row],[Delivery Date]],_xlfn.XLOOKUP(KA$1,$BH$2:$BR$2,$BH195:$BR195,0),0)</f>
        <v>0</v>
      </c>
      <c r="KB195" s="26">
        <f>IF(KB$2=InputTable[[#This Row],[Delivery Date]],_xlfn.XLOOKUP(KB$1,$BH$2:$BR$2,$BH195:$BR195,0),0)</f>
        <v>0</v>
      </c>
      <c r="KC195" s="26">
        <f>IF(KC$2=InputTable[[#This Row],[Delivery Date]],_xlfn.XLOOKUP(KC$1,$BH$2:$BR$2,$BH195:$BR195,0),0)</f>
        <v>0</v>
      </c>
      <c r="KD195" s="26">
        <f>IF(KD$2=InputTable[[#This Row],[Delivery Date]],_xlfn.XLOOKUP(KD$1,$BH$2:$BR$2,$BH195:$BR195,0),0)</f>
        <v>0</v>
      </c>
      <c r="KE195" s="26">
        <f>IF(KE$2=InputTable[[#This Row],[Delivery Date]],_xlfn.XLOOKUP(KE$1,$BH$2:$BR$2,$BH195:$BR195,0),0)</f>
        <v>0</v>
      </c>
      <c r="KF195" s="26">
        <f>IF(KF$2=InputTable[[#This Row],[Delivery Date]],_xlfn.XLOOKUP(KF$1,$BH$2:$BR$2,$BH195:$BR195,0),0)</f>
        <v>0</v>
      </c>
    </row>
    <row r="196" spans="1:292" ht="34.799999999999997" x14ac:dyDescent="0.25">
      <c r="A196" s="125"/>
      <c r="B196" s="118"/>
      <c r="C196" s="92"/>
      <c r="D196" s="92"/>
      <c r="E196" s="107"/>
      <c r="F196" s="108"/>
      <c r="G196" s="112"/>
      <c r="H196" s="112"/>
      <c r="I196" s="108"/>
      <c r="J196" s="110"/>
      <c r="K196" s="95" t="e">
        <f>VLOOKUP((InputTable[[#This Row],[Starting Date]]&amp; " - " &amp;InputTable[[#This Row],[Delivery Date]]),'System List'!$F$40:$H$83,2,FALSE)</f>
        <v>#N/A</v>
      </c>
      <c r="L196" s="95" t="e">
        <f>VLOOKUP(InputTable[[#This Row],[Duration]],Duration,2,FALSE)</f>
        <v>#N/A</v>
      </c>
      <c r="M196" s="110"/>
      <c r="N196" s="108"/>
      <c r="O196" s="108"/>
      <c r="P196" s="108"/>
      <c r="Q196" s="108"/>
      <c r="R196" s="108"/>
      <c r="S196" s="92"/>
      <c r="T196" s="95"/>
      <c r="U196" s="138"/>
      <c r="V196" s="108"/>
      <c r="W196" s="108"/>
      <c r="X196" s="108"/>
      <c r="Y196" s="108"/>
      <c r="Z196" s="108"/>
      <c r="AA196" s="108"/>
      <c r="AB196" s="108"/>
      <c r="AC196" s="108"/>
      <c r="AD196" s="92">
        <f>COUNTA(InputTable[[#This Row],[CORPHRFIN]:[SALES]])</f>
        <v>0</v>
      </c>
      <c r="AE196" s="88" cm="1">
        <f t="array" ref="AE196">SUM(
_xlfn.XLOOKUP(InputTable[[#This Row],[CORPHRFIN]:[SALES]],'System List'!$F$4:$F$7,'System List'!$H$4:$H$7,0))</f>
        <v>0</v>
      </c>
      <c r="AF196" s="140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88" cm="1">
        <f t="array" ref="AR196">SUM(
_xlfn.XLOOKUP(InputTable[[#This Row],[Impact on - CIAL]:[Impact on - STRAT]],'System List'!$F$4:$F$7,'System List'!$H$4:$H$7,0))</f>
        <v>0</v>
      </c>
      <c r="AS196" s="88" t="e">
        <f>VLOOKUP(InputTable[[#This Row],[Duration]],Duration,2,FALSE)+InputTable[[#This Row],[Resource Score]]</f>
        <v>#N/A</v>
      </c>
      <c r="AT196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6" s="24" t="e">
        <f>InputTable[[#This Row],[Value Score]]/InputTable[[#This Row],[EFFORT SCORE]]*100</f>
        <v>#N/A</v>
      </c>
      <c r="AV196" s="25" t="s">
        <v>487</v>
      </c>
      <c r="AW196" s="25"/>
      <c r="AX196" s="144"/>
      <c r="AY196" s="25"/>
      <c r="AZ196" s="189">
        <v>0</v>
      </c>
      <c r="BA196" s="189">
        <v>0</v>
      </c>
      <c r="BB196" s="189"/>
      <c r="BC196" s="189"/>
      <c r="BD196" s="188"/>
      <c r="BE196" s="188"/>
      <c r="BF196" s="70"/>
      <c r="BH196" s="2">
        <f>IFERROR(VLOOKUP(InputTable[[#This Row],[Impact on - CIAL]],'System List'!$F$4:$H$7,3,FALSE),0)</f>
        <v>0</v>
      </c>
      <c r="BI196" s="2">
        <f>IFERROR(VLOOKUP(InputTable[[#This Row],[Impact on - COM]],'System List'!$F$4:$H$7,3,FALSE),0)</f>
        <v>0</v>
      </c>
      <c r="BJ196" s="2">
        <f>IFERROR(VLOOKUP(InputTable[[#This Row],[Impact on - FIN]],'System List'!$F$4:$H$7,3,FALSE),0)</f>
        <v>0</v>
      </c>
      <c r="BK196" s="2">
        <f>IFERROR(VLOOKUP(InputTable[[#This Row],[Impact on - GEN SEC]],'System List'!$F$4:$H$7,3,FALSE),0)</f>
        <v>0</v>
      </c>
      <c r="BL196" s="2">
        <f>IFERROR(VLOOKUP(InputTable[[#This Row],[Impact on - HR]],'System List'!$F$4:$H$7,3,FALSE),0)</f>
        <v>0</v>
      </c>
      <c r="BM196" s="2">
        <f>IFERROR(VLOOKUP(InputTable[[#This Row],[Impact on - IS]],'System List'!$F$4:$H$7,3,FALSE),0)</f>
        <v>0</v>
      </c>
      <c r="BN196" s="2">
        <f>IFERROR(VLOOKUP(InputTable[[#This Row],[Impact on - OPS]],'System List'!$F$4:$H$7,3,FALSE),0)</f>
        <v>0</v>
      </c>
      <c r="BO196" s="2">
        <f>IFERROR(VLOOKUP(InputTable[[#This Row],[Impact on - ROLL STOCK]],'System List'!$F$4:$H$7,3,FALSE),0)</f>
        <v>0</v>
      </c>
      <c r="BP196" s="2">
        <f>IFERROR(VLOOKUP(InputTable[[#This Row],[Impact on - SAFETY]],'System List'!$F$4:$H$7,3,FALSE),0)</f>
        <v>0</v>
      </c>
      <c r="BQ196" s="2">
        <f>IFERROR(VLOOKUP(InputTable[[#This Row],[Impact on - STATION]],'System List'!$F$4:$H$7,3,FALSE),0)</f>
        <v>0</v>
      </c>
      <c r="BR196" s="2">
        <f>IFERROR(VLOOKUP(InputTable[[#This Row],[Impact on - STRAT]],'System List'!$F$4:$H$7,3,FALSE),0)</f>
        <v>0</v>
      </c>
      <c r="BT196" s="2">
        <f>IFERROR(VLOOKUP(InputTable[[#This Row],[CORPHRFIN]],'System List'!$F$4:$H$7,3,FALSE),0)</f>
        <v>0</v>
      </c>
      <c r="BU196" s="2">
        <f>IFERROR(VLOOKUP(InputTable[[#This Row],[CUST]],'System List'!$F$4:$H$7,3,FALSE),0)</f>
        <v>0</v>
      </c>
      <c r="BV196" s="2">
        <f>IFERROR(VLOOKUP(InputTable[[#This Row],[CYBER]],'System List'!$F$4:$H$7,3,FALSE),0)</f>
        <v>0</v>
      </c>
      <c r="BW196" s="2">
        <f>IFERROR(VLOOKUP(InputTable[[#This Row],[DATA]],'System List'!$F$4:$H$7,3,FALSE),0)</f>
        <v>0</v>
      </c>
      <c r="BX196" s="2">
        <f>IFERROR(VLOOKUP(InputTable[[#This Row],[INFRA]],'System List'!$F$4:$H$7,3,FALSE),0)</f>
        <v>0</v>
      </c>
      <c r="BY196" s="2">
        <f>IFERROR(VLOOKUP(InputTable[[#This Row],[OPERATIONS]],'System List'!$F$4:$H$7,3,FALSE),0)</f>
        <v>0</v>
      </c>
      <c r="BZ196" s="2">
        <f>IFERROR(VLOOKUP(InputTable[[#This Row],[PMO]],'System List'!$F$4:$H$7,3,FALSE),0)</f>
        <v>0</v>
      </c>
      <c r="CA196" s="2">
        <f>IFERROR(VLOOKUP(InputTable[[#This Row],[SALES]],'System List'!$F$4:$H$7,3,FALSE),0)</f>
        <v>0</v>
      </c>
      <c r="CC196" s="2" cm="1">
        <f t="array" ref="CC196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6" s="2" cm="1">
        <f t="array" ref="CD196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6" s="2" cm="1">
        <f t="array" ref="CE196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6" s="2" cm="1">
        <f t="array" ref="CF196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6" s="2" cm="1">
        <f t="array" ref="CG196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6" s="2" cm="1">
        <f t="array" ref="CH196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6" s="2" cm="1">
        <f t="array" ref="CI196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6" s="2" cm="1">
        <f t="array" ref="CJ196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6" s="2" cm="1">
        <f t="array" ref="CK196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6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6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6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6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6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6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6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6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6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6" s="26">
        <f t="shared" si="451"/>
        <v>0</v>
      </c>
      <c r="CY196" s="26">
        <f t="shared" si="452"/>
        <v>0</v>
      </c>
      <c r="CZ196" s="26">
        <f t="shared" si="453"/>
        <v>0</v>
      </c>
      <c r="DA196" s="26">
        <f t="shared" si="454"/>
        <v>0</v>
      </c>
      <c r="DB196" s="26">
        <f t="shared" si="455"/>
        <v>0</v>
      </c>
      <c r="DC196" s="26">
        <f t="shared" si="456"/>
        <v>0</v>
      </c>
      <c r="DD196" s="26">
        <f t="shared" si="457"/>
        <v>0</v>
      </c>
      <c r="DE196" s="26">
        <f t="shared" si="458"/>
        <v>0</v>
      </c>
      <c r="DF196" s="26">
        <f t="shared" si="459"/>
        <v>0</v>
      </c>
      <c r="DH196" s="26">
        <f t="shared" si="460"/>
        <v>0</v>
      </c>
      <c r="DI196" s="26">
        <f t="shared" si="461"/>
        <v>0</v>
      </c>
      <c r="DJ196" s="26">
        <f t="shared" si="462"/>
        <v>0</v>
      </c>
      <c r="DK196" s="26">
        <f t="shared" si="463"/>
        <v>0</v>
      </c>
      <c r="DL196" s="26">
        <f t="shared" si="464"/>
        <v>0</v>
      </c>
      <c r="DM196" s="26">
        <f t="shared" si="465"/>
        <v>0</v>
      </c>
      <c r="DN196" s="26">
        <f t="shared" si="466"/>
        <v>0</v>
      </c>
      <c r="DO196" s="26">
        <f t="shared" si="467"/>
        <v>0</v>
      </c>
      <c r="DP196" s="26">
        <f t="shared" si="468"/>
        <v>0</v>
      </c>
      <c r="DR196" s="26">
        <f t="shared" si="469"/>
        <v>0</v>
      </c>
      <c r="DS196" s="26">
        <f t="shared" si="470"/>
        <v>0</v>
      </c>
      <c r="DT196" s="26">
        <f t="shared" si="471"/>
        <v>0</v>
      </c>
      <c r="DU196" s="26">
        <f t="shared" si="472"/>
        <v>0</v>
      </c>
      <c r="DV196" s="26">
        <f t="shared" si="473"/>
        <v>0</v>
      </c>
      <c r="DW196" s="26">
        <f t="shared" si="474"/>
        <v>0</v>
      </c>
      <c r="DX196" s="26">
        <f t="shared" si="475"/>
        <v>0</v>
      </c>
      <c r="DY196" s="26">
        <f t="shared" si="476"/>
        <v>0</v>
      </c>
      <c r="DZ196" s="26">
        <f t="shared" si="477"/>
        <v>0</v>
      </c>
      <c r="EB196" s="26">
        <f t="shared" si="478"/>
        <v>0</v>
      </c>
      <c r="EC196" s="26">
        <f t="shared" si="479"/>
        <v>0</v>
      </c>
      <c r="ED196" s="26">
        <f t="shared" si="480"/>
        <v>0</v>
      </c>
      <c r="EE196" s="26">
        <f t="shared" si="481"/>
        <v>0</v>
      </c>
      <c r="EF196" s="26">
        <f t="shared" si="482"/>
        <v>0</v>
      </c>
      <c r="EG196" s="26">
        <f t="shared" si="483"/>
        <v>0</v>
      </c>
      <c r="EH196" s="26">
        <f t="shared" si="484"/>
        <v>0</v>
      </c>
      <c r="EI196" s="26">
        <f t="shared" si="485"/>
        <v>0</v>
      </c>
      <c r="EJ196" s="26">
        <f t="shared" si="486"/>
        <v>0</v>
      </c>
      <c r="EL196" s="26">
        <f t="shared" si="487"/>
        <v>0</v>
      </c>
      <c r="EM196" s="26">
        <f t="shared" si="488"/>
        <v>0</v>
      </c>
      <c r="EN196" s="26">
        <f t="shared" si="489"/>
        <v>0</v>
      </c>
      <c r="EO196" s="26">
        <f t="shared" si="490"/>
        <v>0</v>
      </c>
      <c r="EP196" s="26">
        <f t="shared" si="491"/>
        <v>0</v>
      </c>
      <c r="EQ196" s="26">
        <f t="shared" si="492"/>
        <v>0</v>
      </c>
      <c r="ER196" s="26">
        <f t="shared" si="493"/>
        <v>0</v>
      </c>
      <c r="ES196" s="26">
        <f t="shared" si="494"/>
        <v>0</v>
      </c>
      <c r="ET196" s="26">
        <f t="shared" si="495"/>
        <v>0</v>
      </c>
      <c r="EV196" s="26">
        <f t="shared" si="496"/>
        <v>0</v>
      </c>
      <c r="EW196" s="26">
        <f t="shared" si="497"/>
        <v>0</v>
      </c>
      <c r="EX196" s="26">
        <f t="shared" si="498"/>
        <v>0</v>
      </c>
      <c r="EY196" s="26">
        <f t="shared" si="499"/>
        <v>0</v>
      </c>
      <c r="EZ196" s="26">
        <f t="shared" si="500"/>
        <v>0</v>
      </c>
      <c r="FA196" s="26">
        <f t="shared" si="501"/>
        <v>0</v>
      </c>
      <c r="FB196" s="26">
        <f t="shared" si="502"/>
        <v>0</v>
      </c>
      <c r="FC196" s="26">
        <f t="shared" si="503"/>
        <v>0</v>
      </c>
      <c r="FD196" s="26">
        <f t="shared" si="504"/>
        <v>0</v>
      </c>
      <c r="FF196" s="26">
        <f t="shared" si="505"/>
        <v>0</v>
      </c>
      <c r="FG196" s="26">
        <f t="shared" si="506"/>
        <v>0</v>
      </c>
      <c r="FH196" s="26">
        <f t="shared" si="507"/>
        <v>0</v>
      </c>
      <c r="FI196" s="26">
        <f t="shared" si="508"/>
        <v>0</v>
      </c>
      <c r="FJ196" s="26">
        <f t="shared" si="509"/>
        <v>0</v>
      </c>
      <c r="FK196" s="26">
        <f t="shared" si="510"/>
        <v>0</v>
      </c>
      <c r="FL196" s="26">
        <f t="shared" si="511"/>
        <v>0</v>
      </c>
      <c r="FM196" s="26">
        <f t="shared" si="512"/>
        <v>0</v>
      </c>
      <c r="FN196" s="26">
        <f t="shared" si="513"/>
        <v>0</v>
      </c>
      <c r="FP196" s="26" t="e">
        <f t="shared" si="514"/>
        <v>#REF!</v>
      </c>
      <c r="FQ196" s="26" t="e">
        <f t="shared" si="515"/>
        <v>#REF!</v>
      </c>
      <c r="FR196" s="26" t="e">
        <f t="shared" si="516"/>
        <v>#REF!</v>
      </c>
      <c r="FS196" s="26" t="e">
        <f t="shared" si="517"/>
        <v>#REF!</v>
      </c>
      <c r="FT196" s="26" t="e">
        <f t="shared" si="518"/>
        <v>#REF!</v>
      </c>
      <c r="FU196" s="26" t="e">
        <f t="shared" si="519"/>
        <v>#REF!</v>
      </c>
      <c r="FV196" s="26" t="e">
        <f t="shared" si="520"/>
        <v>#REF!</v>
      </c>
      <c r="FW196" s="26" t="e">
        <f t="shared" si="521"/>
        <v>#REF!</v>
      </c>
      <c r="FX196" s="26" t="e">
        <f t="shared" si="522"/>
        <v>#REF!</v>
      </c>
      <c r="GB196" s="26" t="e">
        <f>IF(GB$2=InputTable[[#This Row],[Delivery Date]],_xlfn.XLOOKUP(GB$1,$BH$2:$BR$2,$BH196:$BR196,0),0)</f>
        <v>#REF!</v>
      </c>
      <c r="GC196" s="26">
        <f>IF(GC$2=InputTable[[#This Row],[Delivery Date]],_xlfn.XLOOKUP(GC$1,$BH$2:$BR$2,$BH196:$BR196,0),0)</f>
        <v>0</v>
      </c>
      <c r="GD196" s="26">
        <f>IF(GD$2=InputTable[[#This Row],[Delivery Date]],_xlfn.XLOOKUP(GD$1,$BH$2:$BR$2,$BH196:$BR196,0),0)</f>
        <v>0</v>
      </c>
      <c r="GE196" s="26">
        <f>IF(GE$2=InputTable[[#This Row],[Delivery Date]],_xlfn.XLOOKUP(GE$1,$BH$2:$BR$2,$BH196:$BR196,0),0)</f>
        <v>0</v>
      </c>
      <c r="GF196" s="26">
        <f>IF(GF$2=InputTable[[#This Row],[Delivery Date]],_xlfn.XLOOKUP(GF$1,$BH$2:$BR$2,$BH196:$BR196,0),0)</f>
        <v>0</v>
      </c>
      <c r="GG196" s="26">
        <f>IF(GG$2=InputTable[[#This Row],[Delivery Date]],_xlfn.XLOOKUP(GG$1,$BH$2:$BR$2,$BH196:$BR196,0),0)</f>
        <v>0</v>
      </c>
      <c r="GH196" s="26">
        <f>IF(GH$2=InputTable[[#This Row],[Delivery Date]],_xlfn.XLOOKUP(GH$1,$BH$2:$BR$2,$BH196:$BR196,0),0)</f>
        <v>0</v>
      </c>
      <c r="GI196" s="26">
        <f>IF(GI$2=InputTable[[#This Row],[Delivery Date]],_xlfn.XLOOKUP(GI$1,$BH$2:$BR$2,$BH196:$BR196,0),0)</f>
        <v>0</v>
      </c>
      <c r="GJ196" s="26">
        <f>IF(GJ$2=InputTable[[#This Row],[Delivery Date]],_xlfn.XLOOKUP(GJ$1,$BH$2:$BR$2,$BH196:$BR196,0),0)</f>
        <v>0</v>
      </c>
      <c r="GL196" s="26" t="e">
        <f>IF(GL$2=InputTable[[#This Row],[Delivery Date]],_xlfn.XLOOKUP(GL$1,$BH$2:$BR$2,$BH196:$BR196,0),0)</f>
        <v>#REF!</v>
      </c>
      <c r="GM196" s="26">
        <f>IF(GM$2=InputTable[[#This Row],[Delivery Date]],_xlfn.XLOOKUP(GM$1,$BH$2:$BR$2,$BH196:$BR196,0),0)</f>
        <v>0</v>
      </c>
      <c r="GN196" s="26">
        <f>IF(GN$2=InputTable[[#This Row],[Delivery Date]],_xlfn.XLOOKUP(GN$1,$BH$2:$BR$2,$BH196:$BR196,0),0)</f>
        <v>0</v>
      </c>
      <c r="GO196" s="26">
        <f>IF(GO$2=InputTable[[#This Row],[Delivery Date]],_xlfn.XLOOKUP(GO$1,$BH$2:$BR$2,$BH196:$BR196,0),0)</f>
        <v>0</v>
      </c>
      <c r="GP196" s="26">
        <f>IF(GP$2=InputTable[[#This Row],[Delivery Date]],_xlfn.XLOOKUP(GP$1,$BH$2:$BR$2,$BH196:$BR196,0),0)</f>
        <v>0</v>
      </c>
      <c r="GQ196" s="26">
        <f>IF(GQ$2=InputTable[[#This Row],[Delivery Date]],_xlfn.XLOOKUP(GQ$1,$BH$2:$BR$2,$BH196:$BR196,0),0)</f>
        <v>0</v>
      </c>
      <c r="GR196" s="26">
        <f>IF(GR$2=InputTable[[#This Row],[Delivery Date]],_xlfn.XLOOKUP(GR$1,$BH$2:$BR$2,$BH196:$BR196,0),0)</f>
        <v>0</v>
      </c>
      <c r="GS196" s="26">
        <f>IF(GS$2=InputTable[[#This Row],[Delivery Date]],_xlfn.XLOOKUP(GS$1,$BH$2:$BR$2,$BH196:$BR196,0),0)</f>
        <v>0</v>
      </c>
      <c r="GT196" s="26">
        <f>IF(GT$2=InputTable[[#This Row],[Delivery Date]],_xlfn.XLOOKUP(GT$1,$BH$2:$BR$2,$BH196:$BR196,0),0)</f>
        <v>0</v>
      </c>
      <c r="GV196" s="26" t="e">
        <f>IF(GV$2=InputTable[[#This Row],[Delivery Date]],_xlfn.XLOOKUP(GV$1,$BH$2:$BR$2,$BH196:$BR196,0),0)</f>
        <v>#REF!</v>
      </c>
      <c r="GW196" s="26">
        <f>IF(GW$2=InputTable[[#This Row],[Delivery Date]],_xlfn.XLOOKUP(GW$1,$BH$2:$BR$2,$BH196:$BR196,0),0)</f>
        <v>0</v>
      </c>
      <c r="GX196" s="26">
        <f>IF(GX$2=InputTable[[#This Row],[Delivery Date]],_xlfn.XLOOKUP(GX$1,$BH$2:$BR$2,$BH196:$BR196,0),0)</f>
        <v>0</v>
      </c>
      <c r="GY196" s="26">
        <f>IF(GY$2=InputTable[[#This Row],[Delivery Date]],_xlfn.XLOOKUP(GY$1,$BH$2:$BR$2,$BH196:$BR196,0),0)</f>
        <v>0</v>
      </c>
      <c r="GZ196" s="26">
        <f>IF(GZ$2=InputTable[[#This Row],[Delivery Date]],_xlfn.XLOOKUP(GZ$1,$BH$2:$BR$2,$BH196:$BR196,0),0)</f>
        <v>0</v>
      </c>
      <c r="HA196" s="26">
        <f>IF(HA$2=InputTable[[#This Row],[Delivery Date]],_xlfn.XLOOKUP(HA$1,$BH$2:$BR$2,$BH196:$BR196,0),0)</f>
        <v>0</v>
      </c>
      <c r="HB196" s="26">
        <f>IF(HB$2=InputTable[[#This Row],[Delivery Date]],_xlfn.XLOOKUP(HB$1,$BH$2:$BR$2,$BH196:$BR196,0),0)</f>
        <v>0</v>
      </c>
      <c r="HC196" s="26">
        <f>IF(HC$2=InputTable[[#This Row],[Delivery Date]],_xlfn.XLOOKUP(HC$1,$BH$2:$BR$2,$BH196:$BR196,0),0)</f>
        <v>0</v>
      </c>
      <c r="HD196" s="26">
        <f>IF(HD$2=InputTable[[#This Row],[Delivery Date]],_xlfn.XLOOKUP(HD$1,$BH$2:$BR$2,$BH196:$BR196,0),0)</f>
        <v>0</v>
      </c>
      <c r="HF196" s="26" t="e">
        <f>IF(HF$2=InputTable[[#This Row],[Delivery Date]],_xlfn.XLOOKUP(HF$1,$BH$2:$BR$2,$BH196:$BR196,0),0)</f>
        <v>#REF!</v>
      </c>
      <c r="HG196" s="26">
        <f>IF(HG$2=InputTable[[#This Row],[Delivery Date]],_xlfn.XLOOKUP(HG$1,$BH$2:$BR$2,$BH196:$BR196,0),0)</f>
        <v>0</v>
      </c>
      <c r="HH196" s="26">
        <f>IF(HH$2=InputTable[[#This Row],[Delivery Date]],_xlfn.XLOOKUP(HH$1,$BH$2:$BR$2,$BH196:$BR196,0),0)</f>
        <v>0</v>
      </c>
      <c r="HI196" s="26">
        <f>IF(HI$2=InputTable[[#This Row],[Delivery Date]],_xlfn.XLOOKUP(HI$1,$BH$2:$BR$2,$BH196:$BR196,0),0)</f>
        <v>0</v>
      </c>
      <c r="HJ196" s="26">
        <f>IF(HJ$2=InputTable[[#This Row],[Delivery Date]],_xlfn.XLOOKUP(HJ$1,$BH$2:$BR$2,$BH196:$BR196,0),0)</f>
        <v>0</v>
      </c>
      <c r="HK196" s="26">
        <f>IF(HK$2=InputTable[[#This Row],[Delivery Date]],_xlfn.XLOOKUP(HK$1,$BH$2:$BR$2,$BH196:$BR196,0),0)</f>
        <v>0</v>
      </c>
      <c r="HL196" s="26">
        <f>IF(HL$2=InputTable[[#This Row],[Delivery Date]],_xlfn.XLOOKUP(HL$1,$BH$2:$BR$2,$BH196:$BR196,0),0)</f>
        <v>0</v>
      </c>
      <c r="HM196" s="26">
        <f>IF(HM$2=InputTable[[#This Row],[Delivery Date]],_xlfn.XLOOKUP(HM$1,$BH$2:$BR$2,$BH196:$BR196,0),0)</f>
        <v>0</v>
      </c>
      <c r="HN196" s="26">
        <f>IF(HN$2=InputTable[[#This Row],[Delivery Date]],_xlfn.XLOOKUP(HN$1,$BH$2:$BR$2,$BH196:$BR196,0),0)</f>
        <v>0</v>
      </c>
      <c r="HP196" s="26" t="e">
        <f>IF(HP$2=InputTable[[#This Row],[Delivery Date]],_xlfn.XLOOKUP(HP$1,$BH$2:$BR$2,$BH196:$BR196,0),0)</f>
        <v>#REF!</v>
      </c>
      <c r="HQ196" s="26">
        <f>IF(HQ$2=InputTable[[#This Row],[Delivery Date]],_xlfn.XLOOKUP(HQ$1,$BH$2:$BR$2,$BH196:$BR196,0),0)</f>
        <v>0</v>
      </c>
      <c r="HR196" s="26">
        <f>IF(HR$2=InputTable[[#This Row],[Delivery Date]],_xlfn.XLOOKUP(HR$1,$BH$2:$BR$2,$BH196:$BR196,0),0)</f>
        <v>0</v>
      </c>
      <c r="HS196" s="26">
        <f>IF(HS$2=InputTable[[#This Row],[Delivery Date]],_xlfn.XLOOKUP(HS$1,$BH$2:$BR$2,$BH196:$BR196,0),0)</f>
        <v>0</v>
      </c>
      <c r="HT196" s="26">
        <f>IF(HT$2=InputTable[[#This Row],[Delivery Date]],_xlfn.XLOOKUP(HT$1,$BH$2:$BR$2,$BH196:$BR196,0),0)</f>
        <v>0</v>
      </c>
      <c r="HU196" s="26">
        <f>IF(HU$2=InputTable[[#This Row],[Delivery Date]],_xlfn.XLOOKUP(HU$1,$BH$2:$BR$2,$BH196:$BR196,0),0)</f>
        <v>0</v>
      </c>
      <c r="HV196" s="26">
        <f>IF(HV$2=InputTable[[#This Row],[Delivery Date]],_xlfn.XLOOKUP(HV$1,$BH$2:$BR$2,$BH196:$BR196,0),0)</f>
        <v>0</v>
      </c>
      <c r="HW196" s="26">
        <f>IF(HW$2=InputTable[[#This Row],[Delivery Date]],_xlfn.XLOOKUP(HW$1,$BH$2:$BR$2,$BH196:$BR196,0),0)</f>
        <v>0</v>
      </c>
      <c r="HX196" s="26">
        <f>IF(HX$2=InputTable[[#This Row],[Delivery Date]],_xlfn.XLOOKUP(HX$1,$BH$2:$BR$2,$BH196:$BR196,0),0)</f>
        <v>0</v>
      </c>
      <c r="HZ196" s="26" t="e">
        <f>IF(HZ$2=InputTable[[#This Row],[Delivery Date]],_xlfn.XLOOKUP(HZ$1,$BH$2:$BR$2,$BH196:$BR196,0),0)</f>
        <v>#REF!</v>
      </c>
      <c r="IA196" s="26">
        <f>IF(IA$2=InputTable[[#This Row],[Delivery Date]],_xlfn.XLOOKUP(IA$1,$BH$2:$BR$2,$BH196:$BR196,0),0)</f>
        <v>0</v>
      </c>
      <c r="IB196" s="26">
        <f>IF(IB$2=InputTable[[#This Row],[Delivery Date]],_xlfn.XLOOKUP(IB$1,$BH$2:$BR$2,$BH196:$BR196,0),0)</f>
        <v>0</v>
      </c>
      <c r="IC196" s="26">
        <f>IF(IC$2=InputTable[[#This Row],[Delivery Date]],_xlfn.XLOOKUP(IC$1,$BH$2:$BR$2,$BH196:$BR196,0),0)</f>
        <v>0</v>
      </c>
      <c r="ID196" s="26">
        <f>IF(ID$2=InputTable[[#This Row],[Delivery Date]],_xlfn.XLOOKUP(ID$1,$BH$2:$BR$2,$BH196:$BR196,0),0)</f>
        <v>0</v>
      </c>
      <c r="IE196" s="26">
        <f>IF(IE$2=InputTable[[#This Row],[Delivery Date]],_xlfn.XLOOKUP(IE$1,$BH$2:$BR$2,$BH196:$BR196,0),0)</f>
        <v>0</v>
      </c>
      <c r="IF196" s="26">
        <f>IF(IF$2=InputTable[[#This Row],[Delivery Date]],_xlfn.XLOOKUP(IF$1,$BH$2:$BR$2,$BH196:$BR196,0),0)</f>
        <v>0</v>
      </c>
      <c r="IG196" s="26">
        <f>IF(IG$2=InputTable[[#This Row],[Delivery Date]],_xlfn.XLOOKUP(IG$1,$BH$2:$BR$2,$BH196:$BR196,0),0)</f>
        <v>0</v>
      </c>
      <c r="IH196" s="26">
        <f>IF(IH$2=InputTable[[#This Row],[Delivery Date]],_xlfn.XLOOKUP(IH$1,$BH$2:$BR$2,$BH196:$BR196,0),0)</f>
        <v>0</v>
      </c>
      <c r="IJ196" s="26" t="e">
        <f>IF(IJ$2=InputTable[[#This Row],[Delivery Date]],_xlfn.XLOOKUP(IJ$1,$BH$2:$BR$2,$BH196:$BR196,0),0)</f>
        <v>#REF!</v>
      </c>
      <c r="IK196" s="26">
        <f>IF(IK$2=InputTable[[#This Row],[Delivery Date]],_xlfn.XLOOKUP(IK$1,$BH$2:$BR$2,$BH196:$BR196,0),0)</f>
        <v>0</v>
      </c>
      <c r="IL196" s="26">
        <f>IF(IL$2=InputTable[[#This Row],[Delivery Date]],_xlfn.XLOOKUP(IL$1,$BH$2:$BR$2,$BH196:$BR196,0),0)</f>
        <v>0</v>
      </c>
      <c r="IM196" s="26">
        <f>IF(IM$2=InputTable[[#This Row],[Delivery Date]],_xlfn.XLOOKUP(IM$1,$BH$2:$BR$2,$BH196:$BR196,0),0)</f>
        <v>0</v>
      </c>
      <c r="IN196" s="26">
        <f>IF(IN$2=InputTable[[#This Row],[Delivery Date]],_xlfn.XLOOKUP(IN$1,$BH$2:$BR$2,$BH196:$BR196,0),0)</f>
        <v>0</v>
      </c>
      <c r="IO196" s="26">
        <f>IF(IO$2=InputTable[[#This Row],[Delivery Date]],_xlfn.XLOOKUP(IO$1,$BH$2:$BR$2,$BH196:$BR196,0),0)</f>
        <v>0</v>
      </c>
      <c r="IP196" s="26">
        <f>IF(IP$2=InputTable[[#This Row],[Delivery Date]],_xlfn.XLOOKUP(IP$1,$BH$2:$BR$2,$BH196:$BR196,0),0)</f>
        <v>0</v>
      </c>
      <c r="IQ196" s="26">
        <f>IF(IQ$2=InputTable[[#This Row],[Delivery Date]],_xlfn.XLOOKUP(IQ$1,$BH$2:$BR$2,$BH196:$BR196,0),0)</f>
        <v>0</v>
      </c>
      <c r="IR196" s="26">
        <f>IF(IR$2=InputTable[[#This Row],[Delivery Date]],_xlfn.XLOOKUP(IR$1,$BH$2:$BR$2,$BH196:$BR196,0),0)</f>
        <v>0</v>
      </c>
      <c r="IT196" s="26" t="e">
        <f>IF(IT$2=InputTable[[#This Row],[Delivery Date]],_xlfn.XLOOKUP(IT$1,$BH$2:$BR$2,$BH196:$BR196,0),0)</f>
        <v>#REF!</v>
      </c>
      <c r="IU196" s="26">
        <f>IF(IU$2=InputTable[[#This Row],[Delivery Date]],_xlfn.XLOOKUP(IU$1,$BH$2:$BR$2,$BH196:$BR196,0),0)</f>
        <v>0</v>
      </c>
      <c r="IV196" s="26">
        <f>IF(IV$2=InputTable[[#This Row],[Delivery Date]],_xlfn.XLOOKUP(IV$1,$BH$2:$BR$2,$BH196:$BR196,0),0)</f>
        <v>0</v>
      </c>
      <c r="IW196" s="26">
        <f>IF(IW$2=InputTable[[#This Row],[Delivery Date]],_xlfn.XLOOKUP(IW$1,$BH$2:$BR$2,$BH196:$BR196,0),0)</f>
        <v>0</v>
      </c>
      <c r="IX196" s="26">
        <f>IF(IX$2=InputTable[[#This Row],[Delivery Date]],_xlfn.XLOOKUP(IX$1,$BH$2:$BR$2,$BH196:$BR196,0),0)</f>
        <v>0</v>
      </c>
      <c r="IY196" s="26">
        <f>IF(IY$2=InputTable[[#This Row],[Delivery Date]],_xlfn.XLOOKUP(IY$1,$BH$2:$BR$2,$BH196:$BR196,0),0)</f>
        <v>0</v>
      </c>
      <c r="IZ196" s="26">
        <f>IF(IZ$2=InputTable[[#This Row],[Delivery Date]],_xlfn.XLOOKUP(IZ$1,$BH$2:$BR$2,$BH196:$BR196,0),0)</f>
        <v>0</v>
      </c>
      <c r="JA196" s="26">
        <f>IF(JA$2=InputTable[[#This Row],[Delivery Date]],_xlfn.XLOOKUP(JA$1,$BH$2:$BR$2,$BH196:$BR196,0),0)</f>
        <v>0</v>
      </c>
      <c r="JB196" s="26">
        <f>IF(JB$2=InputTable[[#This Row],[Delivery Date]],_xlfn.XLOOKUP(JB$1,$BH$2:$BR$2,$BH196:$BR196,0),0)</f>
        <v>0</v>
      </c>
      <c r="JD196" s="26" t="e">
        <f>IF(JD$2=InputTable[[#This Row],[Delivery Date]],_xlfn.XLOOKUP(JD$1,$BH$2:$BR$2,$BH196:$BR196,0),0)</f>
        <v>#REF!</v>
      </c>
      <c r="JE196" s="26">
        <f>IF(JE$2=InputTable[[#This Row],[Delivery Date]],_xlfn.XLOOKUP(JE$1,$BH$2:$BR$2,$BH196:$BR196,0),0)</f>
        <v>0</v>
      </c>
      <c r="JF196" s="26">
        <f>IF(JF$2=InputTable[[#This Row],[Delivery Date]],_xlfn.XLOOKUP(JF$1,$BH$2:$BR$2,$BH196:$BR196,0),0)</f>
        <v>0</v>
      </c>
      <c r="JG196" s="26">
        <f>IF(JG$2=InputTable[[#This Row],[Delivery Date]],_xlfn.XLOOKUP(JG$1,$BH$2:$BR$2,$BH196:$BR196,0),0)</f>
        <v>0</v>
      </c>
      <c r="JH196" s="26">
        <f>IF(JH$2=InputTable[[#This Row],[Delivery Date]],_xlfn.XLOOKUP(JH$1,$BH$2:$BR$2,$BH196:$BR196,0),0)</f>
        <v>0</v>
      </c>
      <c r="JI196" s="26">
        <f>IF(JI$2=InputTable[[#This Row],[Delivery Date]],_xlfn.XLOOKUP(JI$1,$BH$2:$BR$2,$BH196:$BR196,0),0)</f>
        <v>0</v>
      </c>
      <c r="JJ196" s="26">
        <f>IF(JJ$2=InputTable[[#This Row],[Delivery Date]],_xlfn.XLOOKUP(JJ$1,$BH$2:$BR$2,$BH196:$BR196,0),0)</f>
        <v>0</v>
      </c>
      <c r="JK196" s="26">
        <f>IF(JK$2=InputTable[[#This Row],[Delivery Date]],_xlfn.XLOOKUP(JK$1,$BH$2:$BR$2,$BH196:$BR196,0),0)</f>
        <v>0</v>
      </c>
      <c r="JL196" s="26">
        <f>IF(JL$2=InputTable[[#This Row],[Delivery Date]],_xlfn.XLOOKUP(JL$1,$BH$2:$BR$2,$BH196:$BR196,0),0)</f>
        <v>0</v>
      </c>
      <c r="JN196" s="26" t="e">
        <f>IF(JN$2=InputTable[[#This Row],[Delivery Date]],_xlfn.XLOOKUP(JN$1,$BH$2:$BR$2,$BH196:$BR196,0),0)</f>
        <v>#REF!</v>
      </c>
      <c r="JO196" s="26">
        <f>IF(JO$2=InputTable[[#This Row],[Delivery Date]],_xlfn.XLOOKUP(JO$1,$BH$2:$BR$2,$BH196:$BR196,0),0)</f>
        <v>0</v>
      </c>
      <c r="JP196" s="26">
        <f>IF(JP$2=InputTable[[#This Row],[Delivery Date]],_xlfn.XLOOKUP(JP$1,$BH$2:$BR$2,$BH196:$BR196,0),0)</f>
        <v>0</v>
      </c>
      <c r="JQ196" s="26">
        <f>IF(JQ$2=InputTable[[#This Row],[Delivery Date]],_xlfn.XLOOKUP(JQ$1,$BH$2:$BR$2,$BH196:$BR196,0),0)</f>
        <v>0</v>
      </c>
      <c r="JR196" s="26">
        <f>IF(JR$2=InputTable[[#This Row],[Delivery Date]],_xlfn.XLOOKUP(JR$1,$BH$2:$BR$2,$BH196:$BR196,0),0)</f>
        <v>0</v>
      </c>
      <c r="JS196" s="26">
        <f>IF(JS$2=InputTable[[#This Row],[Delivery Date]],_xlfn.XLOOKUP(JS$1,$BH$2:$BR$2,$BH196:$BR196,0),0)</f>
        <v>0</v>
      </c>
      <c r="JT196" s="26">
        <f>IF(JT$2=InputTable[[#This Row],[Delivery Date]],_xlfn.XLOOKUP(JT$1,$BH$2:$BR$2,$BH196:$BR196,0),0)</f>
        <v>0</v>
      </c>
      <c r="JU196" s="26">
        <f>IF(JU$2=InputTable[[#This Row],[Delivery Date]],_xlfn.XLOOKUP(JU$1,$BH$2:$BR$2,$BH196:$BR196,0),0)</f>
        <v>0</v>
      </c>
      <c r="JV196" s="26">
        <f>IF(JV$2=InputTable[[#This Row],[Delivery Date]],_xlfn.XLOOKUP(JV$1,$BH$2:$BR$2,$BH196:$BR196,0),0)</f>
        <v>0</v>
      </c>
      <c r="JX196" s="26" t="e">
        <f>IF(JX$2=InputTable[[#This Row],[Delivery Date]],_xlfn.XLOOKUP(JX$1,$BH$2:$BR$2,$BH196:$BR196,0),0)</f>
        <v>#REF!</v>
      </c>
      <c r="JY196" s="26">
        <f>IF(JY$2=InputTable[[#This Row],[Delivery Date]],_xlfn.XLOOKUP(JY$1,$BH$2:$BR$2,$BH196:$BR196,0),0)</f>
        <v>0</v>
      </c>
      <c r="JZ196" s="26">
        <f>IF(JZ$2=InputTable[[#This Row],[Delivery Date]],_xlfn.XLOOKUP(JZ$1,$BH$2:$BR$2,$BH196:$BR196,0),0)</f>
        <v>0</v>
      </c>
      <c r="KA196" s="26">
        <f>IF(KA$2=InputTable[[#This Row],[Delivery Date]],_xlfn.XLOOKUP(KA$1,$BH$2:$BR$2,$BH196:$BR196,0),0)</f>
        <v>0</v>
      </c>
      <c r="KB196" s="26">
        <f>IF(KB$2=InputTable[[#This Row],[Delivery Date]],_xlfn.XLOOKUP(KB$1,$BH$2:$BR$2,$BH196:$BR196,0),0)</f>
        <v>0</v>
      </c>
      <c r="KC196" s="26">
        <f>IF(KC$2=InputTable[[#This Row],[Delivery Date]],_xlfn.XLOOKUP(KC$1,$BH$2:$BR$2,$BH196:$BR196,0),0)</f>
        <v>0</v>
      </c>
      <c r="KD196" s="26">
        <f>IF(KD$2=InputTable[[#This Row],[Delivery Date]],_xlfn.XLOOKUP(KD$1,$BH$2:$BR$2,$BH196:$BR196,0),0)</f>
        <v>0</v>
      </c>
      <c r="KE196" s="26">
        <f>IF(KE$2=InputTable[[#This Row],[Delivery Date]],_xlfn.XLOOKUP(KE$1,$BH$2:$BR$2,$BH196:$BR196,0),0)</f>
        <v>0</v>
      </c>
      <c r="KF196" s="26">
        <f>IF(KF$2=InputTable[[#This Row],[Delivery Date]],_xlfn.XLOOKUP(KF$1,$BH$2:$BR$2,$BH196:$BR196,0),0)</f>
        <v>0</v>
      </c>
    </row>
    <row r="197" spans="1:292" ht="34.799999999999997" x14ac:dyDescent="0.25">
      <c r="A197" s="125"/>
      <c r="B197" s="118"/>
      <c r="C197" s="92"/>
      <c r="D197" s="92"/>
      <c r="E197" s="107"/>
      <c r="F197" s="108"/>
      <c r="G197" s="109"/>
      <c r="H197" s="109"/>
      <c r="I197" s="108"/>
      <c r="J197" s="110"/>
      <c r="K197" s="95" t="e">
        <f>VLOOKUP((InputTable[[#This Row],[Starting Date]]&amp; " - " &amp;InputTable[[#This Row],[Delivery Date]]),'System List'!$F$40:$H$83,2,FALSE)</f>
        <v>#N/A</v>
      </c>
      <c r="L197" s="95" t="e">
        <f>VLOOKUP(InputTable[[#This Row],[Duration]],Duration,2,FALSE)</f>
        <v>#N/A</v>
      </c>
      <c r="M197" s="110"/>
      <c r="N197" s="108"/>
      <c r="O197" s="108"/>
      <c r="P197" s="108"/>
      <c r="Q197" s="108"/>
      <c r="R197" s="108"/>
      <c r="S197" s="92"/>
      <c r="T197" s="95"/>
      <c r="U197" s="138"/>
      <c r="V197" s="108"/>
      <c r="W197" s="108"/>
      <c r="X197" s="108"/>
      <c r="Y197" s="108"/>
      <c r="Z197" s="108"/>
      <c r="AA197" s="108"/>
      <c r="AB197" s="108"/>
      <c r="AC197" s="108"/>
      <c r="AD197" s="92">
        <f>COUNTA(InputTable[[#This Row],[CORPHRFIN]:[SALES]])</f>
        <v>0</v>
      </c>
      <c r="AE197" s="88" cm="1">
        <f t="array" ref="AE197">SUM(
_xlfn.XLOOKUP(InputTable[[#This Row],[CORPHRFIN]:[SALES]],'System List'!$F$4:$F$7,'System List'!$H$4:$H$7,0))</f>
        <v>0</v>
      </c>
      <c r="AF197" s="140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88" cm="1">
        <f t="array" ref="AR197">SUM(
_xlfn.XLOOKUP(InputTable[[#This Row],[Impact on - CIAL]:[Impact on - STRAT]],'System List'!$F$4:$F$7,'System List'!$H$4:$H$7,0))</f>
        <v>0</v>
      </c>
      <c r="AS197" s="88" t="e">
        <f>VLOOKUP(InputTable[[#This Row],[Duration]],Duration,2,FALSE)+InputTable[[#This Row],[Resource Score]]</f>
        <v>#N/A</v>
      </c>
      <c r="AT197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7" s="24" t="e">
        <f>InputTable[[#This Row],[Value Score]]/InputTable[[#This Row],[EFFORT SCORE]]*100</f>
        <v>#N/A</v>
      </c>
      <c r="AV197" s="25" t="s">
        <v>488</v>
      </c>
      <c r="AW197" s="25"/>
      <c r="AX197" s="144"/>
      <c r="AY197" s="25"/>
      <c r="AZ197" s="189">
        <v>0</v>
      </c>
      <c r="BA197" s="189">
        <v>0</v>
      </c>
      <c r="BB197" s="189"/>
      <c r="BC197" s="189"/>
      <c r="BD197" s="188"/>
      <c r="BE197" s="188"/>
      <c r="BF197" s="70"/>
      <c r="BH197" s="2">
        <f>IFERROR(VLOOKUP(InputTable[[#This Row],[Impact on - CIAL]],'System List'!$F$4:$H$7,3,FALSE),0)</f>
        <v>0</v>
      </c>
      <c r="BI197" s="2">
        <f>IFERROR(VLOOKUP(InputTable[[#This Row],[Impact on - COM]],'System List'!$F$4:$H$7,3,FALSE),0)</f>
        <v>0</v>
      </c>
      <c r="BJ197" s="2">
        <f>IFERROR(VLOOKUP(InputTable[[#This Row],[Impact on - FIN]],'System List'!$F$4:$H$7,3,FALSE),0)</f>
        <v>0</v>
      </c>
      <c r="BK197" s="2">
        <f>IFERROR(VLOOKUP(InputTable[[#This Row],[Impact on - GEN SEC]],'System List'!$F$4:$H$7,3,FALSE),0)</f>
        <v>0</v>
      </c>
      <c r="BL197" s="2">
        <f>IFERROR(VLOOKUP(InputTable[[#This Row],[Impact on - HR]],'System List'!$F$4:$H$7,3,FALSE),0)</f>
        <v>0</v>
      </c>
      <c r="BM197" s="2">
        <f>IFERROR(VLOOKUP(InputTable[[#This Row],[Impact on - IS]],'System List'!$F$4:$H$7,3,FALSE),0)</f>
        <v>0</v>
      </c>
      <c r="BN197" s="2">
        <f>IFERROR(VLOOKUP(InputTable[[#This Row],[Impact on - OPS]],'System List'!$F$4:$H$7,3,FALSE),0)</f>
        <v>0</v>
      </c>
      <c r="BO197" s="2">
        <f>IFERROR(VLOOKUP(InputTable[[#This Row],[Impact on - ROLL STOCK]],'System List'!$F$4:$H$7,3,FALSE),0)</f>
        <v>0</v>
      </c>
      <c r="BP197" s="2">
        <f>IFERROR(VLOOKUP(InputTable[[#This Row],[Impact on - SAFETY]],'System List'!$F$4:$H$7,3,FALSE),0)</f>
        <v>0</v>
      </c>
      <c r="BQ197" s="2">
        <f>IFERROR(VLOOKUP(InputTable[[#This Row],[Impact on - STATION]],'System List'!$F$4:$H$7,3,FALSE),0)</f>
        <v>0</v>
      </c>
      <c r="BR197" s="2">
        <f>IFERROR(VLOOKUP(InputTable[[#This Row],[Impact on - STRAT]],'System List'!$F$4:$H$7,3,FALSE),0)</f>
        <v>0</v>
      </c>
      <c r="BT197" s="2">
        <f>IFERROR(VLOOKUP(InputTable[[#This Row],[CORPHRFIN]],'System List'!$F$4:$H$7,3,FALSE),0)</f>
        <v>0</v>
      </c>
      <c r="BU197" s="2">
        <f>IFERROR(VLOOKUP(InputTable[[#This Row],[CUST]],'System List'!$F$4:$H$7,3,FALSE),0)</f>
        <v>0</v>
      </c>
      <c r="BV197" s="2">
        <f>IFERROR(VLOOKUP(InputTable[[#This Row],[CYBER]],'System List'!$F$4:$H$7,3,FALSE),0)</f>
        <v>0</v>
      </c>
      <c r="BW197" s="2">
        <f>IFERROR(VLOOKUP(InputTable[[#This Row],[DATA]],'System List'!$F$4:$H$7,3,FALSE),0)</f>
        <v>0</v>
      </c>
      <c r="BX197" s="2">
        <f>IFERROR(VLOOKUP(InputTable[[#This Row],[INFRA]],'System List'!$F$4:$H$7,3,FALSE),0)</f>
        <v>0</v>
      </c>
      <c r="BY197" s="2">
        <f>IFERROR(VLOOKUP(InputTable[[#This Row],[OPERATIONS]],'System List'!$F$4:$H$7,3,FALSE),0)</f>
        <v>0</v>
      </c>
      <c r="BZ197" s="2">
        <f>IFERROR(VLOOKUP(InputTable[[#This Row],[PMO]],'System List'!$F$4:$H$7,3,FALSE),0)</f>
        <v>0</v>
      </c>
      <c r="CA197" s="2">
        <f>IFERROR(VLOOKUP(InputTable[[#This Row],[SALES]],'System List'!$F$4:$H$7,3,FALSE),0)</f>
        <v>0</v>
      </c>
      <c r="CC197" s="2" cm="1">
        <f t="array" ref="CC197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7" s="2" cm="1">
        <f t="array" ref="CD197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7" s="2" cm="1">
        <f t="array" ref="CE197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7" s="2" cm="1">
        <f t="array" ref="CF197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7" s="2" cm="1">
        <f t="array" ref="CG197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7" s="2" cm="1">
        <f t="array" ref="CH197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7" s="2" cm="1">
        <f t="array" ref="CI197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7" s="2" cm="1">
        <f t="array" ref="CJ197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7" s="2" cm="1">
        <f t="array" ref="CK197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7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7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7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7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7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7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7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7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7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7" s="26">
        <f t="shared" si="451"/>
        <v>0</v>
      </c>
      <c r="CY197" s="26">
        <f t="shared" si="452"/>
        <v>0</v>
      </c>
      <c r="CZ197" s="26">
        <f t="shared" si="453"/>
        <v>0</v>
      </c>
      <c r="DA197" s="26">
        <f t="shared" si="454"/>
        <v>0</v>
      </c>
      <c r="DB197" s="26">
        <f t="shared" si="455"/>
        <v>0</v>
      </c>
      <c r="DC197" s="26">
        <f t="shared" si="456"/>
        <v>0</v>
      </c>
      <c r="DD197" s="26">
        <f t="shared" si="457"/>
        <v>0</v>
      </c>
      <c r="DE197" s="26">
        <f t="shared" si="458"/>
        <v>0</v>
      </c>
      <c r="DF197" s="26">
        <f t="shared" si="459"/>
        <v>0</v>
      </c>
      <c r="DH197" s="26">
        <f t="shared" si="460"/>
        <v>0</v>
      </c>
      <c r="DI197" s="26">
        <f t="shared" si="461"/>
        <v>0</v>
      </c>
      <c r="DJ197" s="26">
        <f t="shared" si="462"/>
        <v>0</v>
      </c>
      <c r="DK197" s="26">
        <f t="shared" si="463"/>
        <v>0</v>
      </c>
      <c r="DL197" s="26">
        <f t="shared" si="464"/>
        <v>0</v>
      </c>
      <c r="DM197" s="26">
        <f t="shared" si="465"/>
        <v>0</v>
      </c>
      <c r="DN197" s="26">
        <f t="shared" si="466"/>
        <v>0</v>
      </c>
      <c r="DO197" s="26">
        <f t="shared" si="467"/>
        <v>0</v>
      </c>
      <c r="DP197" s="26">
        <f t="shared" si="468"/>
        <v>0</v>
      </c>
      <c r="DR197" s="26">
        <f t="shared" si="469"/>
        <v>0</v>
      </c>
      <c r="DS197" s="26">
        <f t="shared" si="470"/>
        <v>0</v>
      </c>
      <c r="DT197" s="26">
        <f t="shared" si="471"/>
        <v>0</v>
      </c>
      <c r="DU197" s="26">
        <f t="shared" si="472"/>
        <v>0</v>
      </c>
      <c r="DV197" s="26">
        <f t="shared" si="473"/>
        <v>0</v>
      </c>
      <c r="DW197" s="26">
        <f t="shared" si="474"/>
        <v>0</v>
      </c>
      <c r="DX197" s="26">
        <f t="shared" si="475"/>
        <v>0</v>
      </c>
      <c r="DY197" s="26">
        <f t="shared" si="476"/>
        <v>0</v>
      </c>
      <c r="DZ197" s="26">
        <f t="shared" si="477"/>
        <v>0</v>
      </c>
      <c r="EB197" s="26">
        <f t="shared" si="478"/>
        <v>0</v>
      </c>
      <c r="EC197" s="26">
        <f t="shared" si="479"/>
        <v>0</v>
      </c>
      <c r="ED197" s="26">
        <f t="shared" si="480"/>
        <v>0</v>
      </c>
      <c r="EE197" s="26">
        <f t="shared" si="481"/>
        <v>0</v>
      </c>
      <c r="EF197" s="26">
        <f t="shared" si="482"/>
        <v>0</v>
      </c>
      <c r="EG197" s="26">
        <f t="shared" si="483"/>
        <v>0</v>
      </c>
      <c r="EH197" s="26">
        <f t="shared" si="484"/>
        <v>0</v>
      </c>
      <c r="EI197" s="26">
        <f t="shared" si="485"/>
        <v>0</v>
      </c>
      <c r="EJ197" s="26">
        <f t="shared" si="486"/>
        <v>0</v>
      </c>
      <c r="EL197" s="26">
        <f t="shared" si="487"/>
        <v>0</v>
      </c>
      <c r="EM197" s="26">
        <f t="shared" si="488"/>
        <v>0</v>
      </c>
      <c r="EN197" s="26">
        <f t="shared" si="489"/>
        <v>0</v>
      </c>
      <c r="EO197" s="26">
        <f t="shared" si="490"/>
        <v>0</v>
      </c>
      <c r="EP197" s="26">
        <f t="shared" si="491"/>
        <v>0</v>
      </c>
      <c r="EQ197" s="26">
        <f t="shared" si="492"/>
        <v>0</v>
      </c>
      <c r="ER197" s="26">
        <f t="shared" si="493"/>
        <v>0</v>
      </c>
      <c r="ES197" s="26">
        <f t="shared" si="494"/>
        <v>0</v>
      </c>
      <c r="ET197" s="26">
        <f t="shared" si="495"/>
        <v>0</v>
      </c>
      <c r="EV197" s="26">
        <f t="shared" si="496"/>
        <v>0</v>
      </c>
      <c r="EW197" s="26">
        <f t="shared" si="497"/>
        <v>0</v>
      </c>
      <c r="EX197" s="26">
        <f t="shared" si="498"/>
        <v>0</v>
      </c>
      <c r="EY197" s="26">
        <f t="shared" si="499"/>
        <v>0</v>
      </c>
      <c r="EZ197" s="26">
        <f t="shared" si="500"/>
        <v>0</v>
      </c>
      <c r="FA197" s="26">
        <f t="shared" si="501"/>
        <v>0</v>
      </c>
      <c r="FB197" s="26">
        <f t="shared" si="502"/>
        <v>0</v>
      </c>
      <c r="FC197" s="26">
        <f t="shared" si="503"/>
        <v>0</v>
      </c>
      <c r="FD197" s="26">
        <f t="shared" si="504"/>
        <v>0</v>
      </c>
      <c r="FF197" s="26">
        <f t="shared" si="505"/>
        <v>0</v>
      </c>
      <c r="FG197" s="26">
        <f t="shared" si="506"/>
        <v>0</v>
      </c>
      <c r="FH197" s="26">
        <f t="shared" si="507"/>
        <v>0</v>
      </c>
      <c r="FI197" s="26">
        <f t="shared" si="508"/>
        <v>0</v>
      </c>
      <c r="FJ197" s="26">
        <f t="shared" si="509"/>
        <v>0</v>
      </c>
      <c r="FK197" s="26">
        <f t="shared" si="510"/>
        <v>0</v>
      </c>
      <c r="FL197" s="26">
        <f t="shared" si="511"/>
        <v>0</v>
      </c>
      <c r="FM197" s="26">
        <f t="shared" si="512"/>
        <v>0</v>
      </c>
      <c r="FN197" s="26">
        <f t="shared" si="513"/>
        <v>0</v>
      </c>
      <c r="FP197" s="26" t="e">
        <f t="shared" si="514"/>
        <v>#REF!</v>
      </c>
      <c r="FQ197" s="26" t="e">
        <f t="shared" si="515"/>
        <v>#REF!</v>
      </c>
      <c r="FR197" s="26" t="e">
        <f t="shared" si="516"/>
        <v>#REF!</v>
      </c>
      <c r="FS197" s="26" t="e">
        <f t="shared" si="517"/>
        <v>#REF!</v>
      </c>
      <c r="FT197" s="26" t="e">
        <f t="shared" si="518"/>
        <v>#REF!</v>
      </c>
      <c r="FU197" s="26" t="e">
        <f t="shared" si="519"/>
        <v>#REF!</v>
      </c>
      <c r="FV197" s="26" t="e">
        <f t="shared" si="520"/>
        <v>#REF!</v>
      </c>
      <c r="FW197" s="26" t="e">
        <f t="shared" si="521"/>
        <v>#REF!</v>
      </c>
      <c r="FX197" s="26" t="e">
        <f t="shared" si="522"/>
        <v>#REF!</v>
      </c>
      <c r="GB197" s="26" t="e">
        <f>IF(GB$2=InputTable[[#This Row],[Delivery Date]],_xlfn.XLOOKUP(GB$1,$BH$2:$BR$2,$BH197:$BR197,0),0)</f>
        <v>#REF!</v>
      </c>
      <c r="GC197" s="26">
        <f>IF(GC$2=InputTable[[#This Row],[Delivery Date]],_xlfn.XLOOKUP(GC$1,$BH$2:$BR$2,$BH197:$BR197,0),0)</f>
        <v>0</v>
      </c>
      <c r="GD197" s="26">
        <f>IF(GD$2=InputTable[[#This Row],[Delivery Date]],_xlfn.XLOOKUP(GD$1,$BH$2:$BR$2,$BH197:$BR197,0),0)</f>
        <v>0</v>
      </c>
      <c r="GE197" s="26">
        <f>IF(GE$2=InputTable[[#This Row],[Delivery Date]],_xlfn.XLOOKUP(GE$1,$BH$2:$BR$2,$BH197:$BR197,0),0)</f>
        <v>0</v>
      </c>
      <c r="GF197" s="26">
        <f>IF(GF$2=InputTable[[#This Row],[Delivery Date]],_xlfn.XLOOKUP(GF$1,$BH$2:$BR$2,$BH197:$BR197,0),0)</f>
        <v>0</v>
      </c>
      <c r="GG197" s="26">
        <f>IF(GG$2=InputTable[[#This Row],[Delivery Date]],_xlfn.XLOOKUP(GG$1,$BH$2:$BR$2,$BH197:$BR197,0),0)</f>
        <v>0</v>
      </c>
      <c r="GH197" s="26">
        <f>IF(GH$2=InputTable[[#This Row],[Delivery Date]],_xlfn.XLOOKUP(GH$1,$BH$2:$BR$2,$BH197:$BR197,0),0)</f>
        <v>0</v>
      </c>
      <c r="GI197" s="26">
        <f>IF(GI$2=InputTable[[#This Row],[Delivery Date]],_xlfn.XLOOKUP(GI$1,$BH$2:$BR$2,$BH197:$BR197,0),0)</f>
        <v>0</v>
      </c>
      <c r="GJ197" s="26">
        <f>IF(GJ$2=InputTable[[#This Row],[Delivery Date]],_xlfn.XLOOKUP(GJ$1,$BH$2:$BR$2,$BH197:$BR197,0),0)</f>
        <v>0</v>
      </c>
      <c r="GL197" s="26" t="e">
        <f>IF(GL$2=InputTable[[#This Row],[Delivery Date]],_xlfn.XLOOKUP(GL$1,$BH$2:$BR$2,$BH197:$BR197,0),0)</f>
        <v>#REF!</v>
      </c>
      <c r="GM197" s="26">
        <f>IF(GM$2=InputTable[[#This Row],[Delivery Date]],_xlfn.XLOOKUP(GM$1,$BH$2:$BR$2,$BH197:$BR197,0),0)</f>
        <v>0</v>
      </c>
      <c r="GN197" s="26">
        <f>IF(GN$2=InputTable[[#This Row],[Delivery Date]],_xlfn.XLOOKUP(GN$1,$BH$2:$BR$2,$BH197:$BR197,0),0)</f>
        <v>0</v>
      </c>
      <c r="GO197" s="26">
        <f>IF(GO$2=InputTable[[#This Row],[Delivery Date]],_xlfn.XLOOKUP(GO$1,$BH$2:$BR$2,$BH197:$BR197,0),0)</f>
        <v>0</v>
      </c>
      <c r="GP197" s="26">
        <f>IF(GP$2=InputTable[[#This Row],[Delivery Date]],_xlfn.XLOOKUP(GP$1,$BH$2:$BR$2,$BH197:$BR197,0),0)</f>
        <v>0</v>
      </c>
      <c r="GQ197" s="26">
        <f>IF(GQ$2=InputTable[[#This Row],[Delivery Date]],_xlfn.XLOOKUP(GQ$1,$BH$2:$BR$2,$BH197:$BR197,0),0)</f>
        <v>0</v>
      </c>
      <c r="GR197" s="26">
        <f>IF(GR$2=InputTable[[#This Row],[Delivery Date]],_xlfn.XLOOKUP(GR$1,$BH$2:$BR$2,$BH197:$BR197,0),0)</f>
        <v>0</v>
      </c>
      <c r="GS197" s="26">
        <f>IF(GS$2=InputTable[[#This Row],[Delivery Date]],_xlfn.XLOOKUP(GS$1,$BH$2:$BR$2,$BH197:$BR197,0),0)</f>
        <v>0</v>
      </c>
      <c r="GT197" s="26">
        <f>IF(GT$2=InputTable[[#This Row],[Delivery Date]],_xlfn.XLOOKUP(GT$1,$BH$2:$BR$2,$BH197:$BR197,0),0)</f>
        <v>0</v>
      </c>
      <c r="GV197" s="26" t="e">
        <f>IF(GV$2=InputTable[[#This Row],[Delivery Date]],_xlfn.XLOOKUP(GV$1,$BH$2:$BR$2,$BH197:$BR197,0),0)</f>
        <v>#REF!</v>
      </c>
      <c r="GW197" s="26">
        <f>IF(GW$2=InputTable[[#This Row],[Delivery Date]],_xlfn.XLOOKUP(GW$1,$BH$2:$BR$2,$BH197:$BR197,0),0)</f>
        <v>0</v>
      </c>
      <c r="GX197" s="26">
        <f>IF(GX$2=InputTable[[#This Row],[Delivery Date]],_xlfn.XLOOKUP(GX$1,$BH$2:$BR$2,$BH197:$BR197,0),0)</f>
        <v>0</v>
      </c>
      <c r="GY197" s="26">
        <f>IF(GY$2=InputTable[[#This Row],[Delivery Date]],_xlfn.XLOOKUP(GY$1,$BH$2:$BR$2,$BH197:$BR197,0),0)</f>
        <v>0</v>
      </c>
      <c r="GZ197" s="26">
        <f>IF(GZ$2=InputTable[[#This Row],[Delivery Date]],_xlfn.XLOOKUP(GZ$1,$BH$2:$BR$2,$BH197:$BR197,0),0)</f>
        <v>0</v>
      </c>
      <c r="HA197" s="26">
        <f>IF(HA$2=InputTable[[#This Row],[Delivery Date]],_xlfn.XLOOKUP(HA$1,$BH$2:$BR$2,$BH197:$BR197,0),0)</f>
        <v>0</v>
      </c>
      <c r="HB197" s="26">
        <f>IF(HB$2=InputTable[[#This Row],[Delivery Date]],_xlfn.XLOOKUP(HB$1,$BH$2:$BR$2,$BH197:$BR197,0),0)</f>
        <v>0</v>
      </c>
      <c r="HC197" s="26">
        <f>IF(HC$2=InputTable[[#This Row],[Delivery Date]],_xlfn.XLOOKUP(HC$1,$BH$2:$BR$2,$BH197:$BR197,0),0)</f>
        <v>0</v>
      </c>
      <c r="HD197" s="26">
        <f>IF(HD$2=InputTable[[#This Row],[Delivery Date]],_xlfn.XLOOKUP(HD$1,$BH$2:$BR$2,$BH197:$BR197,0),0)</f>
        <v>0</v>
      </c>
      <c r="HF197" s="26" t="e">
        <f>IF(HF$2=InputTable[[#This Row],[Delivery Date]],_xlfn.XLOOKUP(HF$1,$BH$2:$BR$2,$BH197:$BR197,0),0)</f>
        <v>#REF!</v>
      </c>
      <c r="HG197" s="26">
        <f>IF(HG$2=InputTable[[#This Row],[Delivery Date]],_xlfn.XLOOKUP(HG$1,$BH$2:$BR$2,$BH197:$BR197,0),0)</f>
        <v>0</v>
      </c>
      <c r="HH197" s="26">
        <f>IF(HH$2=InputTable[[#This Row],[Delivery Date]],_xlfn.XLOOKUP(HH$1,$BH$2:$BR$2,$BH197:$BR197,0),0)</f>
        <v>0</v>
      </c>
      <c r="HI197" s="26">
        <f>IF(HI$2=InputTable[[#This Row],[Delivery Date]],_xlfn.XLOOKUP(HI$1,$BH$2:$BR$2,$BH197:$BR197,0),0)</f>
        <v>0</v>
      </c>
      <c r="HJ197" s="26">
        <f>IF(HJ$2=InputTable[[#This Row],[Delivery Date]],_xlfn.XLOOKUP(HJ$1,$BH$2:$BR$2,$BH197:$BR197,0),0)</f>
        <v>0</v>
      </c>
      <c r="HK197" s="26">
        <f>IF(HK$2=InputTable[[#This Row],[Delivery Date]],_xlfn.XLOOKUP(HK$1,$BH$2:$BR$2,$BH197:$BR197,0),0)</f>
        <v>0</v>
      </c>
      <c r="HL197" s="26">
        <f>IF(HL$2=InputTable[[#This Row],[Delivery Date]],_xlfn.XLOOKUP(HL$1,$BH$2:$BR$2,$BH197:$BR197,0),0)</f>
        <v>0</v>
      </c>
      <c r="HM197" s="26">
        <f>IF(HM$2=InputTable[[#This Row],[Delivery Date]],_xlfn.XLOOKUP(HM$1,$BH$2:$BR$2,$BH197:$BR197,0),0)</f>
        <v>0</v>
      </c>
      <c r="HN197" s="26">
        <f>IF(HN$2=InputTable[[#This Row],[Delivery Date]],_xlfn.XLOOKUP(HN$1,$BH$2:$BR$2,$BH197:$BR197,0),0)</f>
        <v>0</v>
      </c>
      <c r="HP197" s="26" t="e">
        <f>IF(HP$2=InputTable[[#This Row],[Delivery Date]],_xlfn.XLOOKUP(HP$1,$BH$2:$BR$2,$BH197:$BR197,0),0)</f>
        <v>#REF!</v>
      </c>
      <c r="HQ197" s="26">
        <f>IF(HQ$2=InputTable[[#This Row],[Delivery Date]],_xlfn.XLOOKUP(HQ$1,$BH$2:$BR$2,$BH197:$BR197,0),0)</f>
        <v>0</v>
      </c>
      <c r="HR197" s="26">
        <f>IF(HR$2=InputTable[[#This Row],[Delivery Date]],_xlfn.XLOOKUP(HR$1,$BH$2:$BR$2,$BH197:$BR197,0),0)</f>
        <v>0</v>
      </c>
      <c r="HS197" s="26">
        <f>IF(HS$2=InputTable[[#This Row],[Delivery Date]],_xlfn.XLOOKUP(HS$1,$BH$2:$BR$2,$BH197:$BR197,0),0)</f>
        <v>0</v>
      </c>
      <c r="HT197" s="26">
        <f>IF(HT$2=InputTable[[#This Row],[Delivery Date]],_xlfn.XLOOKUP(HT$1,$BH$2:$BR$2,$BH197:$BR197,0),0)</f>
        <v>0</v>
      </c>
      <c r="HU197" s="26">
        <f>IF(HU$2=InputTable[[#This Row],[Delivery Date]],_xlfn.XLOOKUP(HU$1,$BH$2:$BR$2,$BH197:$BR197,0),0)</f>
        <v>0</v>
      </c>
      <c r="HV197" s="26">
        <f>IF(HV$2=InputTable[[#This Row],[Delivery Date]],_xlfn.XLOOKUP(HV$1,$BH$2:$BR$2,$BH197:$BR197,0),0)</f>
        <v>0</v>
      </c>
      <c r="HW197" s="26">
        <f>IF(HW$2=InputTable[[#This Row],[Delivery Date]],_xlfn.XLOOKUP(HW$1,$BH$2:$BR$2,$BH197:$BR197,0),0)</f>
        <v>0</v>
      </c>
      <c r="HX197" s="26">
        <f>IF(HX$2=InputTable[[#This Row],[Delivery Date]],_xlfn.XLOOKUP(HX$1,$BH$2:$BR$2,$BH197:$BR197,0),0)</f>
        <v>0</v>
      </c>
      <c r="HZ197" s="26" t="e">
        <f>IF(HZ$2=InputTable[[#This Row],[Delivery Date]],_xlfn.XLOOKUP(HZ$1,$BH$2:$BR$2,$BH197:$BR197,0),0)</f>
        <v>#REF!</v>
      </c>
      <c r="IA197" s="26">
        <f>IF(IA$2=InputTable[[#This Row],[Delivery Date]],_xlfn.XLOOKUP(IA$1,$BH$2:$BR$2,$BH197:$BR197,0),0)</f>
        <v>0</v>
      </c>
      <c r="IB197" s="26">
        <f>IF(IB$2=InputTable[[#This Row],[Delivery Date]],_xlfn.XLOOKUP(IB$1,$BH$2:$BR$2,$BH197:$BR197,0),0)</f>
        <v>0</v>
      </c>
      <c r="IC197" s="26">
        <f>IF(IC$2=InputTable[[#This Row],[Delivery Date]],_xlfn.XLOOKUP(IC$1,$BH$2:$BR$2,$BH197:$BR197,0),0)</f>
        <v>0</v>
      </c>
      <c r="ID197" s="26">
        <f>IF(ID$2=InputTable[[#This Row],[Delivery Date]],_xlfn.XLOOKUP(ID$1,$BH$2:$BR$2,$BH197:$BR197,0),0)</f>
        <v>0</v>
      </c>
      <c r="IE197" s="26">
        <f>IF(IE$2=InputTable[[#This Row],[Delivery Date]],_xlfn.XLOOKUP(IE$1,$BH$2:$BR$2,$BH197:$BR197,0),0)</f>
        <v>0</v>
      </c>
      <c r="IF197" s="26">
        <f>IF(IF$2=InputTable[[#This Row],[Delivery Date]],_xlfn.XLOOKUP(IF$1,$BH$2:$BR$2,$BH197:$BR197,0),0)</f>
        <v>0</v>
      </c>
      <c r="IG197" s="26">
        <f>IF(IG$2=InputTable[[#This Row],[Delivery Date]],_xlfn.XLOOKUP(IG$1,$BH$2:$BR$2,$BH197:$BR197,0),0)</f>
        <v>0</v>
      </c>
      <c r="IH197" s="26">
        <f>IF(IH$2=InputTable[[#This Row],[Delivery Date]],_xlfn.XLOOKUP(IH$1,$BH$2:$BR$2,$BH197:$BR197,0),0)</f>
        <v>0</v>
      </c>
      <c r="IJ197" s="26" t="e">
        <f>IF(IJ$2=InputTable[[#This Row],[Delivery Date]],_xlfn.XLOOKUP(IJ$1,$BH$2:$BR$2,$BH197:$BR197,0),0)</f>
        <v>#REF!</v>
      </c>
      <c r="IK197" s="26">
        <f>IF(IK$2=InputTable[[#This Row],[Delivery Date]],_xlfn.XLOOKUP(IK$1,$BH$2:$BR$2,$BH197:$BR197,0),0)</f>
        <v>0</v>
      </c>
      <c r="IL197" s="26">
        <f>IF(IL$2=InputTable[[#This Row],[Delivery Date]],_xlfn.XLOOKUP(IL$1,$BH$2:$BR$2,$BH197:$BR197,0),0)</f>
        <v>0</v>
      </c>
      <c r="IM197" s="26">
        <f>IF(IM$2=InputTable[[#This Row],[Delivery Date]],_xlfn.XLOOKUP(IM$1,$BH$2:$BR$2,$BH197:$BR197,0),0)</f>
        <v>0</v>
      </c>
      <c r="IN197" s="26">
        <f>IF(IN$2=InputTable[[#This Row],[Delivery Date]],_xlfn.XLOOKUP(IN$1,$BH$2:$BR$2,$BH197:$BR197,0),0)</f>
        <v>0</v>
      </c>
      <c r="IO197" s="26">
        <f>IF(IO$2=InputTable[[#This Row],[Delivery Date]],_xlfn.XLOOKUP(IO$1,$BH$2:$BR$2,$BH197:$BR197,0),0)</f>
        <v>0</v>
      </c>
      <c r="IP197" s="26">
        <f>IF(IP$2=InputTable[[#This Row],[Delivery Date]],_xlfn.XLOOKUP(IP$1,$BH$2:$BR$2,$BH197:$BR197,0),0)</f>
        <v>0</v>
      </c>
      <c r="IQ197" s="26">
        <f>IF(IQ$2=InputTable[[#This Row],[Delivery Date]],_xlfn.XLOOKUP(IQ$1,$BH$2:$BR$2,$BH197:$BR197,0),0)</f>
        <v>0</v>
      </c>
      <c r="IR197" s="26">
        <f>IF(IR$2=InputTable[[#This Row],[Delivery Date]],_xlfn.XLOOKUP(IR$1,$BH$2:$BR$2,$BH197:$BR197,0),0)</f>
        <v>0</v>
      </c>
      <c r="IT197" s="26" t="e">
        <f>IF(IT$2=InputTable[[#This Row],[Delivery Date]],_xlfn.XLOOKUP(IT$1,$BH$2:$BR$2,$BH197:$BR197,0),0)</f>
        <v>#REF!</v>
      </c>
      <c r="IU197" s="26">
        <f>IF(IU$2=InputTable[[#This Row],[Delivery Date]],_xlfn.XLOOKUP(IU$1,$BH$2:$BR$2,$BH197:$BR197,0),0)</f>
        <v>0</v>
      </c>
      <c r="IV197" s="26">
        <f>IF(IV$2=InputTable[[#This Row],[Delivery Date]],_xlfn.XLOOKUP(IV$1,$BH$2:$BR$2,$BH197:$BR197,0),0)</f>
        <v>0</v>
      </c>
      <c r="IW197" s="26">
        <f>IF(IW$2=InputTable[[#This Row],[Delivery Date]],_xlfn.XLOOKUP(IW$1,$BH$2:$BR$2,$BH197:$BR197,0),0)</f>
        <v>0</v>
      </c>
      <c r="IX197" s="26">
        <f>IF(IX$2=InputTable[[#This Row],[Delivery Date]],_xlfn.XLOOKUP(IX$1,$BH$2:$BR$2,$BH197:$BR197,0),0)</f>
        <v>0</v>
      </c>
      <c r="IY197" s="26">
        <f>IF(IY$2=InputTable[[#This Row],[Delivery Date]],_xlfn.XLOOKUP(IY$1,$BH$2:$BR$2,$BH197:$BR197,0),0)</f>
        <v>0</v>
      </c>
      <c r="IZ197" s="26">
        <f>IF(IZ$2=InputTable[[#This Row],[Delivery Date]],_xlfn.XLOOKUP(IZ$1,$BH$2:$BR$2,$BH197:$BR197,0),0)</f>
        <v>0</v>
      </c>
      <c r="JA197" s="26">
        <f>IF(JA$2=InputTable[[#This Row],[Delivery Date]],_xlfn.XLOOKUP(JA$1,$BH$2:$BR$2,$BH197:$BR197,0),0)</f>
        <v>0</v>
      </c>
      <c r="JB197" s="26">
        <f>IF(JB$2=InputTable[[#This Row],[Delivery Date]],_xlfn.XLOOKUP(JB$1,$BH$2:$BR$2,$BH197:$BR197,0),0)</f>
        <v>0</v>
      </c>
      <c r="JD197" s="26" t="e">
        <f>IF(JD$2=InputTable[[#This Row],[Delivery Date]],_xlfn.XLOOKUP(JD$1,$BH$2:$BR$2,$BH197:$BR197,0),0)</f>
        <v>#REF!</v>
      </c>
      <c r="JE197" s="26">
        <f>IF(JE$2=InputTable[[#This Row],[Delivery Date]],_xlfn.XLOOKUP(JE$1,$BH$2:$BR$2,$BH197:$BR197,0),0)</f>
        <v>0</v>
      </c>
      <c r="JF197" s="26">
        <f>IF(JF$2=InputTable[[#This Row],[Delivery Date]],_xlfn.XLOOKUP(JF$1,$BH$2:$BR$2,$BH197:$BR197,0),0)</f>
        <v>0</v>
      </c>
      <c r="JG197" s="26">
        <f>IF(JG$2=InputTable[[#This Row],[Delivery Date]],_xlfn.XLOOKUP(JG$1,$BH$2:$BR$2,$BH197:$BR197,0),0)</f>
        <v>0</v>
      </c>
      <c r="JH197" s="26">
        <f>IF(JH$2=InputTable[[#This Row],[Delivery Date]],_xlfn.XLOOKUP(JH$1,$BH$2:$BR$2,$BH197:$BR197,0),0)</f>
        <v>0</v>
      </c>
      <c r="JI197" s="26">
        <f>IF(JI$2=InputTable[[#This Row],[Delivery Date]],_xlfn.XLOOKUP(JI$1,$BH$2:$BR$2,$BH197:$BR197,0),0)</f>
        <v>0</v>
      </c>
      <c r="JJ197" s="26">
        <f>IF(JJ$2=InputTable[[#This Row],[Delivery Date]],_xlfn.XLOOKUP(JJ$1,$BH$2:$BR$2,$BH197:$BR197,0),0)</f>
        <v>0</v>
      </c>
      <c r="JK197" s="26">
        <f>IF(JK$2=InputTable[[#This Row],[Delivery Date]],_xlfn.XLOOKUP(JK$1,$BH$2:$BR$2,$BH197:$BR197,0),0)</f>
        <v>0</v>
      </c>
      <c r="JL197" s="26">
        <f>IF(JL$2=InputTable[[#This Row],[Delivery Date]],_xlfn.XLOOKUP(JL$1,$BH$2:$BR$2,$BH197:$BR197,0),0)</f>
        <v>0</v>
      </c>
      <c r="JN197" s="26" t="e">
        <f>IF(JN$2=InputTable[[#This Row],[Delivery Date]],_xlfn.XLOOKUP(JN$1,$BH$2:$BR$2,$BH197:$BR197,0),0)</f>
        <v>#REF!</v>
      </c>
      <c r="JO197" s="26">
        <f>IF(JO$2=InputTable[[#This Row],[Delivery Date]],_xlfn.XLOOKUP(JO$1,$BH$2:$BR$2,$BH197:$BR197,0),0)</f>
        <v>0</v>
      </c>
      <c r="JP197" s="26">
        <f>IF(JP$2=InputTable[[#This Row],[Delivery Date]],_xlfn.XLOOKUP(JP$1,$BH$2:$BR$2,$BH197:$BR197,0),0)</f>
        <v>0</v>
      </c>
      <c r="JQ197" s="26">
        <f>IF(JQ$2=InputTable[[#This Row],[Delivery Date]],_xlfn.XLOOKUP(JQ$1,$BH$2:$BR$2,$BH197:$BR197,0),0)</f>
        <v>0</v>
      </c>
      <c r="JR197" s="26">
        <f>IF(JR$2=InputTable[[#This Row],[Delivery Date]],_xlfn.XLOOKUP(JR$1,$BH$2:$BR$2,$BH197:$BR197,0),0)</f>
        <v>0</v>
      </c>
      <c r="JS197" s="26">
        <f>IF(JS$2=InputTable[[#This Row],[Delivery Date]],_xlfn.XLOOKUP(JS$1,$BH$2:$BR$2,$BH197:$BR197,0),0)</f>
        <v>0</v>
      </c>
      <c r="JT197" s="26">
        <f>IF(JT$2=InputTable[[#This Row],[Delivery Date]],_xlfn.XLOOKUP(JT$1,$BH$2:$BR$2,$BH197:$BR197,0),0)</f>
        <v>0</v>
      </c>
      <c r="JU197" s="26">
        <f>IF(JU$2=InputTable[[#This Row],[Delivery Date]],_xlfn.XLOOKUP(JU$1,$BH$2:$BR$2,$BH197:$BR197,0),0)</f>
        <v>0</v>
      </c>
      <c r="JV197" s="26">
        <f>IF(JV$2=InputTable[[#This Row],[Delivery Date]],_xlfn.XLOOKUP(JV$1,$BH$2:$BR$2,$BH197:$BR197,0),0)</f>
        <v>0</v>
      </c>
      <c r="JX197" s="26" t="e">
        <f>IF(JX$2=InputTable[[#This Row],[Delivery Date]],_xlfn.XLOOKUP(JX$1,$BH$2:$BR$2,$BH197:$BR197,0),0)</f>
        <v>#REF!</v>
      </c>
      <c r="JY197" s="26">
        <f>IF(JY$2=InputTable[[#This Row],[Delivery Date]],_xlfn.XLOOKUP(JY$1,$BH$2:$BR$2,$BH197:$BR197,0),0)</f>
        <v>0</v>
      </c>
      <c r="JZ197" s="26">
        <f>IF(JZ$2=InputTable[[#This Row],[Delivery Date]],_xlfn.XLOOKUP(JZ$1,$BH$2:$BR$2,$BH197:$BR197,0),0)</f>
        <v>0</v>
      </c>
      <c r="KA197" s="26">
        <f>IF(KA$2=InputTable[[#This Row],[Delivery Date]],_xlfn.XLOOKUP(KA$1,$BH$2:$BR$2,$BH197:$BR197,0),0)</f>
        <v>0</v>
      </c>
      <c r="KB197" s="26">
        <f>IF(KB$2=InputTable[[#This Row],[Delivery Date]],_xlfn.XLOOKUP(KB$1,$BH$2:$BR$2,$BH197:$BR197,0),0)</f>
        <v>0</v>
      </c>
      <c r="KC197" s="26">
        <f>IF(KC$2=InputTable[[#This Row],[Delivery Date]],_xlfn.XLOOKUP(KC$1,$BH$2:$BR$2,$BH197:$BR197,0),0)</f>
        <v>0</v>
      </c>
      <c r="KD197" s="26">
        <f>IF(KD$2=InputTable[[#This Row],[Delivery Date]],_xlfn.XLOOKUP(KD$1,$BH$2:$BR$2,$BH197:$BR197,0),0)</f>
        <v>0</v>
      </c>
      <c r="KE197" s="26">
        <f>IF(KE$2=InputTable[[#This Row],[Delivery Date]],_xlfn.XLOOKUP(KE$1,$BH$2:$BR$2,$BH197:$BR197,0),0)</f>
        <v>0</v>
      </c>
      <c r="KF197" s="26">
        <f>IF(KF$2=InputTable[[#This Row],[Delivery Date]],_xlfn.XLOOKUP(KF$1,$BH$2:$BR$2,$BH197:$BR197,0),0)</f>
        <v>0</v>
      </c>
    </row>
    <row r="198" spans="1:292" ht="34.799999999999997" x14ac:dyDescent="0.25">
      <c r="A198" s="125"/>
      <c r="B198" s="118"/>
      <c r="C198" s="92"/>
      <c r="D198" s="92"/>
      <c r="E198" s="107"/>
      <c r="F198" s="108"/>
      <c r="G198" s="109"/>
      <c r="H198" s="109"/>
      <c r="I198" s="108"/>
      <c r="J198" s="110"/>
      <c r="K198" s="95" t="e">
        <f>VLOOKUP((InputTable[[#This Row],[Starting Date]]&amp; " - " &amp;InputTable[[#This Row],[Delivery Date]]),'System List'!$F$40:$H$83,2,FALSE)</f>
        <v>#N/A</v>
      </c>
      <c r="L198" s="95" t="e">
        <f>VLOOKUP(InputTable[[#This Row],[Duration]],Duration,2,FALSE)</f>
        <v>#N/A</v>
      </c>
      <c r="M198" s="110"/>
      <c r="N198" s="108"/>
      <c r="O198" s="108"/>
      <c r="P198" s="108"/>
      <c r="Q198" s="108"/>
      <c r="R198" s="108"/>
      <c r="S198" s="92"/>
      <c r="T198" s="95"/>
      <c r="U198" s="138"/>
      <c r="V198" s="108"/>
      <c r="W198" s="108"/>
      <c r="X198" s="108"/>
      <c r="Y198" s="108"/>
      <c r="Z198" s="108"/>
      <c r="AA198" s="108"/>
      <c r="AB198" s="113"/>
      <c r="AC198" s="113"/>
      <c r="AD198" s="92">
        <f>COUNTA(InputTable[[#This Row],[CORPHRFIN]:[SALES]])</f>
        <v>0</v>
      </c>
      <c r="AE198" s="88" cm="1">
        <f t="array" ref="AE198">SUM(
_xlfn.XLOOKUP(InputTable[[#This Row],[CORPHRFIN]:[SALES]],'System List'!$F$4:$F$7,'System List'!$H$4:$H$7,0))</f>
        <v>0</v>
      </c>
      <c r="AF198" s="140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88" cm="1">
        <f t="array" ref="AR198">SUM(
_xlfn.XLOOKUP(InputTable[[#This Row],[Impact on - CIAL]:[Impact on - STRAT]],'System List'!$F$4:$F$7,'System List'!$H$4:$H$7,0))</f>
        <v>0</v>
      </c>
      <c r="AS198" s="88" t="e">
        <f>VLOOKUP(InputTable[[#This Row],[Duration]],Duration,2,FALSE)+InputTable[[#This Row],[Resource Score]]</f>
        <v>#N/A</v>
      </c>
      <c r="AT198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8" s="24" t="e">
        <f>InputTable[[#This Row],[Value Score]]/InputTable[[#This Row],[EFFORT SCORE]]*100</f>
        <v>#N/A</v>
      </c>
      <c r="AV198" s="25" t="s">
        <v>489</v>
      </c>
      <c r="AW198" s="25"/>
      <c r="AX198" s="144"/>
      <c r="AY198" s="25"/>
      <c r="AZ198" s="189">
        <v>0</v>
      </c>
      <c r="BA198" s="189">
        <v>0</v>
      </c>
      <c r="BB198" s="189"/>
      <c r="BC198" s="189"/>
      <c r="BD198" s="188"/>
      <c r="BE198" s="188"/>
      <c r="BF198" s="70"/>
      <c r="BH198" s="2">
        <f>IFERROR(VLOOKUP(InputTable[[#This Row],[Impact on - CIAL]],'System List'!$F$4:$H$7,3,FALSE),0)</f>
        <v>0</v>
      </c>
      <c r="BI198" s="2">
        <f>IFERROR(VLOOKUP(InputTable[[#This Row],[Impact on - COM]],'System List'!$F$4:$H$7,3,FALSE),0)</f>
        <v>0</v>
      </c>
      <c r="BJ198" s="2">
        <f>IFERROR(VLOOKUP(InputTable[[#This Row],[Impact on - FIN]],'System List'!$F$4:$H$7,3,FALSE),0)</f>
        <v>0</v>
      </c>
      <c r="BK198" s="2">
        <f>IFERROR(VLOOKUP(InputTable[[#This Row],[Impact on - GEN SEC]],'System List'!$F$4:$H$7,3,FALSE),0)</f>
        <v>0</v>
      </c>
      <c r="BL198" s="2">
        <f>IFERROR(VLOOKUP(InputTable[[#This Row],[Impact on - HR]],'System List'!$F$4:$H$7,3,FALSE),0)</f>
        <v>0</v>
      </c>
      <c r="BM198" s="2">
        <f>IFERROR(VLOOKUP(InputTable[[#This Row],[Impact on - IS]],'System List'!$F$4:$H$7,3,FALSE),0)</f>
        <v>0</v>
      </c>
      <c r="BN198" s="2">
        <f>IFERROR(VLOOKUP(InputTable[[#This Row],[Impact on - OPS]],'System List'!$F$4:$H$7,3,FALSE),0)</f>
        <v>0</v>
      </c>
      <c r="BO198" s="2">
        <f>IFERROR(VLOOKUP(InputTable[[#This Row],[Impact on - ROLL STOCK]],'System List'!$F$4:$H$7,3,FALSE),0)</f>
        <v>0</v>
      </c>
      <c r="BP198" s="2">
        <f>IFERROR(VLOOKUP(InputTable[[#This Row],[Impact on - SAFETY]],'System List'!$F$4:$H$7,3,FALSE),0)</f>
        <v>0</v>
      </c>
      <c r="BQ198" s="2">
        <f>IFERROR(VLOOKUP(InputTable[[#This Row],[Impact on - STATION]],'System List'!$F$4:$H$7,3,FALSE),0)</f>
        <v>0</v>
      </c>
      <c r="BR198" s="2">
        <f>IFERROR(VLOOKUP(InputTable[[#This Row],[Impact on - STRAT]],'System List'!$F$4:$H$7,3,FALSE),0)</f>
        <v>0</v>
      </c>
      <c r="BT198" s="2">
        <f>IFERROR(VLOOKUP(InputTable[[#This Row],[CORPHRFIN]],'System List'!$F$4:$H$7,3,FALSE),0)</f>
        <v>0</v>
      </c>
      <c r="BU198" s="2">
        <f>IFERROR(VLOOKUP(InputTable[[#This Row],[CUST]],'System List'!$F$4:$H$7,3,FALSE),0)</f>
        <v>0</v>
      </c>
      <c r="BV198" s="2">
        <f>IFERROR(VLOOKUP(InputTable[[#This Row],[CYBER]],'System List'!$F$4:$H$7,3,FALSE),0)</f>
        <v>0</v>
      </c>
      <c r="BW198" s="2">
        <f>IFERROR(VLOOKUP(InputTable[[#This Row],[DATA]],'System List'!$F$4:$H$7,3,FALSE),0)</f>
        <v>0</v>
      </c>
      <c r="BX198" s="2">
        <f>IFERROR(VLOOKUP(InputTable[[#This Row],[INFRA]],'System List'!$F$4:$H$7,3,FALSE),0)</f>
        <v>0</v>
      </c>
      <c r="BY198" s="2">
        <f>IFERROR(VLOOKUP(InputTable[[#This Row],[OPERATIONS]],'System List'!$F$4:$H$7,3,FALSE),0)</f>
        <v>0</v>
      </c>
      <c r="BZ198" s="2">
        <f>IFERROR(VLOOKUP(InputTable[[#This Row],[PMO]],'System List'!$F$4:$H$7,3,FALSE),0)</f>
        <v>0</v>
      </c>
      <c r="CA198" s="2">
        <f>IFERROR(VLOOKUP(InputTable[[#This Row],[SALES]],'System List'!$F$4:$H$7,3,FALSE),0)</f>
        <v>0</v>
      </c>
      <c r="CC198" s="2" cm="1">
        <f t="array" ref="CC198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8" s="2" cm="1">
        <f t="array" ref="CD198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8" s="2" cm="1">
        <f t="array" ref="CE198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8" s="2" cm="1">
        <f t="array" ref="CF198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8" s="2" cm="1">
        <f t="array" ref="CG198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8" s="2" cm="1">
        <f t="array" ref="CH198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8" s="2" cm="1">
        <f t="array" ref="CI198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8" s="2" cm="1">
        <f t="array" ref="CJ198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8" s="2" cm="1">
        <f t="array" ref="CK198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8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8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8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8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8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8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8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8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8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8" s="26">
        <f t="shared" si="451"/>
        <v>0</v>
      </c>
      <c r="CY198" s="26">
        <f t="shared" si="452"/>
        <v>0</v>
      </c>
      <c r="CZ198" s="26">
        <f t="shared" si="453"/>
        <v>0</v>
      </c>
      <c r="DA198" s="26">
        <f t="shared" si="454"/>
        <v>0</v>
      </c>
      <c r="DB198" s="26">
        <f t="shared" si="455"/>
        <v>0</v>
      </c>
      <c r="DC198" s="26">
        <f t="shared" si="456"/>
        <v>0</v>
      </c>
      <c r="DD198" s="26">
        <f t="shared" si="457"/>
        <v>0</v>
      </c>
      <c r="DE198" s="26">
        <f t="shared" si="458"/>
        <v>0</v>
      </c>
      <c r="DF198" s="26">
        <f t="shared" si="459"/>
        <v>0</v>
      </c>
      <c r="DH198" s="26">
        <f t="shared" si="460"/>
        <v>0</v>
      </c>
      <c r="DI198" s="26">
        <f t="shared" si="461"/>
        <v>0</v>
      </c>
      <c r="DJ198" s="26">
        <f t="shared" si="462"/>
        <v>0</v>
      </c>
      <c r="DK198" s="26">
        <f t="shared" si="463"/>
        <v>0</v>
      </c>
      <c r="DL198" s="26">
        <f t="shared" si="464"/>
        <v>0</v>
      </c>
      <c r="DM198" s="26">
        <f t="shared" si="465"/>
        <v>0</v>
      </c>
      <c r="DN198" s="26">
        <f t="shared" si="466"/>
        <v>0</v>
      </c>
      <c r="DO198" s="26">
        <f t="shared" si="467"/>
        <v>0</v>
      </c>
      <c r="DP198" s="26">
        <f t="shared" si="468"/>
        <v>0</v>
      </c>
      <c r="DR198" s="26">
        <f t="shared" si="469"/>
        <v>0</v>
      </c>
      <c r="DS198" s="26">
        <f t="shared" si="470"/>
        <v>0</v>
      </c>
      <c r="DT198" s="26">
        <f t="shared" si="471"/>
        <v>0</v>
      </c>
      <c r="DU198" s="26">
        <f t="shared" si="472"/>
        <v>0</v>
      </c>
      <c r="DV198" s="26">
        <f t="shared" si="473"/>
        <v>0</v>
      </c>
      <c r="DW198" s="26">
        <f t="shared" si="474"/>
        <v>0</v>
      </c>
      <c r="DX198" s="26">
        <f t="shared" si="475"/>
        <v>0</v>
      </c>
      <c r="DY198" s="26">
        <f t="shared" si="476"/>
        <v>0</v>
      </c>
      <c r="DZ198" s="26">
        <f t="shared" si="477"/>
        <v>0</v>
      </c>
      <c r="EB198" s="26">
        <f t="shared" si="478"/>
        <v>0</v>
      </c>
      <c r="EC198" s="26">
        <f t="shared" si="479"/>
        <v>0</v>
      </c>
      <c r="ED198" s="26">
        <f t="shared" si="480"/>
        <v>0</v>
      </c>
      <c r="EE198" s="26">
        <f t="shared" si="481"/>
        <v>0</v>
      </c>
      <c r="EF198" s="26">
        <f t="shared" si="482"/>
        <v>0</v>
      </c>
      <c r="EG198" s="26">
        <f t="shared" si="483"/>
        <v>0</v>
      </c>
      <c r="EH198" s="26">
        <f t="shared" si="484"/>
        <v>0</v>
      </c>
      <c r="EI198" s="26">
        <f t="shared" si="485"/>
        <v>0</v>
      </c>
      <c r="EJ198" s="26">
        <f t="shared" si="486"/>
        <v>0</v>
      </c>
      <c r="EL198" s="26">
        <f t="shared" si="487"/>
        <v>0</v>
      </c>
      <c r="EM198" s="26">
        <f t="shared" si="488"/>
        <v>0</v>
      </c>
      <c r="EN198" s="26">
        <f t="shared" si="489"/>
        <v>0</v>
      </c>
      <c r="EO198" s="26">
        <f t="shared" si="490"/>
        <v>0</v>
      </c>
      <c r="EP198" s="26">
        <f t="shared" si="491"/>
        <v>0</v>
      </c>
      <c r="EQ198" s="26">
        <f t="shared" si="492"/>
        <v>0</v>
      </c>
      <c r="ER198" s="26">
        <f t="shared" si="493"/>
        <v>0</v>
      </c>
      <c r="ES198" s="26">
        <f t="shared" si="494"/>
        <v>0</v>
      </c>
      <c r="ET198" s="26">
        <f t="shared" si="495"/>
        <v>0</v>
      </c>
      <c r="EV198" s="26">
        <f t="shared" si="496"/>
        <v>0</v>
      </c>
      <c r="EW198" s="26">
        <f t="shared" si="497"/>
        <v>0</v>
      </c>
      <c r="EX198" s="26">
        <f t="shared" si="498"/>
        <v>0</v>
      </c>
      <c r="EY198" s="26">
        <f t="shared" si="499"/>
        <v>0</v>
      </c>
      <c r="EZ198" s="26">
        <f t="shared" si="500"/>
        <v>0</v>
      </c>
      <c r="FA198" s="26">
        <f t="shared" si="501"/>
        <v>0</v>
      </c>
      <c r="FB198" s="26">
        <f t="shared" si="502"/>
        <v>0</v>
      </c>
      <c r="FC198" s="26">
        <f t="shared" si="503"/>
        <v>0</v>
      </c>
      <c r="FD198" s="26">
        <f t="shared" si="504"/>
        <v>0</v>
      </c>
      <c r="FF198" s="26">
        <f t="shared" si="505"/>
        <v>0</v>
      </c>
      <c r="FG198" s="26">
        <f t="shared" si="506"/>
        <v>0</v>
      </c>
      <c r="FH198" s="26">
        <f t="shared" si="507"/>
        <v>0</v>
      </c>
      <c r="FI198" s="26">
        <f t="shared" si="508"/>
        <v>0</v>
      </c>
      <c r="FJ198" s="26">
        <f t="shared" si="509"/>
        <v>0</v>
      </c>
      <c r="FK198" s="26">
        <f t="shared" si="510"/>
        <v>0</v>
      </c>
      <c r="FL198" s="26">
        <f t="shared" si="511"/>
        <v>0</v>
      </c>
      <c r="FM198" s="26">
        <f t="shared" si="512"/>
        <v>0</v>
      </c>
      <c r="FN198" s="26">
        <f t="shared" si="513"/>
        <v>0</v>
      </c>
      <c r="FP198" s="26" t="e">
        <f t="shared" si="514"/>
        <v>#REF!</v>
      </c>
      <c r="FQ198" s="26" t="e">
        <f t="shared" si="515"/>
        <v>#REF!</v>
      </c>
      <c r="FR198" s="26" t="e">
        <f t="shared" si="516"/>
        <v>#REF!</v>
      </c>
      <c r="FS198" s="26" t="e">
        <f t="shared" si="517"/>
        <v>#REF!</v>
      </c>
      <c r="FT198" s="26" t="e">
        <f t="shared" si="518"/>
        <v>#REF!</v>
      </c>
      <c r="FU198" s="26" t="e">
        <f t="shared" si="519"/>
        <v>#REF!</v>
      </c>
      <c r="FV198" s="26" t="e">
        <f t="shared" si="520"/>
        <v>#REF!</v>
      </c>
      <c r="FW198" s="26" t="e">
        <f t="shared" si="521"/>
        <v>#REF!</v>
      </c>
      <c r="FX198" s="26" t="e">
        <f t="shared" si="522"/>
        <v>#REF!</v>
      </c>
      <c r="GB198" s="26" t="e">
        <f>IF(GB$2=InputTable[[#This Row],[Delivery Date]],_xlfn.XLOOKUP(GB$1,$BH$2:$BR$2,$BH198:$BR198,0),0)</f>
        <v>#REF!</v>
      </c>
      <c r="GC198" s="26">
        <f>IF(GC$2=InputTable[[#This Row],[Delivery Date]],_xlfn.XLOOKUP(GC$1,$BH$2:$BR$2,$BH198:$BR198,0),0)</f>
        <v>0</v>
      </c>
      <c r="GD198" s="26">
        <f>IF(GD$2=InputTable[[#This Row],[Delivery Date]],_xlfn.XLOOKUP(GD$1,$BH$2:$BR$2,$BH198:$BR198,0),0)</f>
        <v>0</v>
      </c>
      <c r="GE198" s="26">
        <f>IF(GE$2=InputTable[[#This Row],[Delivery Date]],_xlfn.XLOOKUP(GE$1,$BH$2:$BR$2,$BH198:$BR198,0),0)</f>
        <v>0</v>
      </c>
      <c r="GF198" s="26">
        <f>IF(GF$2=InputTable[[#This Row],[Delivery Date]],_xlfn.XLOOKUP(GF$1,$BH$2:$BR$2,$BH198:$BR198,0),0)</f>
        <v>0</v>
      </c>
      <c r="GG198" s="26">
        <f>IF(GG$2=InputTable[[#This Row],[Delivery Date]],_xlfn.XLOOKUP(GG$1,$BH$2:$BR$2,$BH198:$BR198,0),0)</f>
        <v>0</v>
      </c>
      <c r="GH198" s="26">
        <f>IF(GH$2=InputTable[[#This Row],[Delivery Date]],_xlfn.XLOOKUP(GH$1,$BH$2:$BR$2,$BH198:$BR198,0),0)</f>
        <v>0</v>
      </c>
      <c r="GI198" s="26">
        <f>IF(GI$2=InputTable[[#This Row],[Delivery Date]],_xlfn.XLOOKUP(GI$1,$BH$2:$BR$2,$BH198:$BR198,0),0)</f>
        <v>0</v>
      </c>
      <c r="GJ198" s="26">
        <f>IF(GJ$2=InputTable[[#This Row],[Delivery Date]],_xlfn.XLOOKUP(GJ$1,$BH$2:$BR$2,$BH198:$BR198,0),0)</f>
        <v>0</v>
      </c>
      <c r="GL198" s="26" t="e">
        <f>IF(GL$2=InputTable[[#This Row],[Delivery Date]],_xlfn.XLOOKUP(GL$1,$BH$2:$BR$2,$BH198:$BR198,0),0)</f>
        <v>#REF!</v>
      </c>
      <c r="GM198" s="26">
        <f>IF(GM$2=InputTable[[#This Row],[Delivery Date]],_xlfn.XLOOKUP(GM$1,$BH$2:$BR$2,$BH198:$BR198,0),0)</f>
        <v>0</v>
      </c>
      <c r="GN198" s="26">
        <f>IF(GN$2=InputTable[[#This Row],[Delivery Date]],_xlfn.XLOOKUP(GN$1,$BH$2:$BR$2,$BH198:$BR198,0),0)</f>
        <v>0</v>
      </c>
      <c r="GO198" s="26">
        <f>IF(GO$2=InputTable[[#This Row],[Delivery Date]],_xlfn.XLOOKUP(GO$1,$BH$2:$BR$2,$BH198:$BR198,0),0)</f>
        <v>0</v>
      </c>
      <c r="GP198" s="26">
        <f>IF(GP$2=InputTable[[#This Row],[Delivery Date]],_xlfn.XLOOKUP(GP$1,$BH$2:$BR$2,$BH198:$BR198,0),0)</f>
        <v>0</v>
      </c>
      <c r="GQ198" s="26">
        <f>IF(GQ$2=InputTable[[#This Row],[Delivery Date]],_xlfn.XLOOKUP(GQ$1,$BH$2:$BR$2,$BH198:$BR198,0),0)</f>
        <v>0</v>
      </c>
      <c r="GR198" s="26">
        <f>IF(GR$2=InputTable[[#This Row],[Delivery Date]],_xlfn.XLOOKUP(GR$1,$BH$2:$BR$2,$BH198:$BR198,0),0)</f>
        <v>0</v>
      </c>
      <c r="GS198" s="26">
        <f>IF(GS$2=InputTable[[#This Row],[Delivery Date]],_xlfn.XLOOKUP(GS$1,$BH$2:$BR$2,$BH198:$BR198,0),0)</f>
        <v>0</v>
      </c>
      <c r="GT198" s="26">
        <f>IF(GT$2=InputTable[[#This Row],[Delivery Date]],_xlfn.XLOOKUP(GT$1,$BH$2:$BR$2,$BH198:$BR198,0),0)</f>
        <v>0</v>
      </c>
      <c r="GV198" s="26" t="e">
        <f>IF(GV$2=InputTable[[#This Row],[Delivery Date]],_xlfn.XLOOKUP(GV$1,$BH$2:$BR$2,$BH198:$BR198,0),0)</f>
        <v>#REF!</v>
      </c>
      <c r="GW198" s="26">
        <f>IF(GW$2=InputTable[[#This Row],[Delivery Date]],_xlfn.XLOOKUP(GW$1,$BH$2:$BR$2,$BH198:$BR198,0),0)</f>
        <v>0</v>
      </c>
      <c r="GX198" s="26">
        <f>IF(GX$2=InputTable[[#This Row],[Delivery Date]],_xlfn.XLOOKUP(GX$1,$BH$2:$BR$2,$BH198:$BR198,0),0)</f>
        <v>0</v>
      </c>
      <c r="GY198" s="26">
        <f>IF(GY$2=InputTable[[#This Row],[Delivery Date]],_xlfn.XLOOKUP(GY$1,$BH$2:$BR$2,$BH198:$BR198,0),0)</f>
        <v>0</v>
      </c>
      <c r="GZ198" s="26">
        <f>IF(GZ$2=InputTable[[#This Row],[Delivery Date]],_xlfn.XLOOKUP(GZ$1,$BH$2:$BR$2,$BH198:$BR198,0),0)</f>
        <v>0</v>
      </c>
      <c r="HA198" s="26">
        <f>IF(HA$2=InputTable[[#This Row],[Delivery Date]],_xlfn.XLOOKUP(HA$1,$BH$2:$BR$2,$BH198:$BR198,0),0)</f>
        <v>0</v>
      </c>
      <c r="HB198" s="26">
        <f>IF(HB$2=InputTable[[#This Row],[Delivery Date]],_xlfn.XLOOKUP(HB$1,$BH$2:$BR$2,$BH198:$BR198,0),0)</f>
        <v>0</v>
      </c>
      <c r="HC198" s="26">
        <f>IF(HC$2=InputTable[[#This Row],[Delivery Date]],_xlfn.XLOOKUP(HC$1,$BH$2:$BR$2,$BH198:$BR198,0),0)</f>
        <v>0</v>
      </c>
      <c r="HD198" s="26">
        <f>IF(HD$2=InputTable[[#This Row],[Delivery Date]],_xlfn.XLOOKUP(HD$1,$BH$2:$BR$2,$BH198:$BR198,0),0)</f>
        <v>0</v>
      </c>
      <c r="HF198" s="26" t="e">
        <f>IF(HF$2=InputTable[[#This Row],[Delivery Date]],_xlfn.XLOOKUP(HF$1,$BH$2:$BR$2,$BH198:$BR198,0),0)</f>
        <v>#REF!</v>
      </c>
      <c r="HG198" s="26">
        <f>IF(HG$2=InputTable[[#This Row],[Delivery Date]],_xlfn.XLOOKUP(HG$1,$BH$2:$BR$2,$BH198:$BR198,0),0)</f>
        <v>0</v>
      </c>
      <c r="HH198" s="26">
        <f>IF(HH$2=InputTable[[#This Row],[Delivery Date]],_xlfn.XLOOKUP(HH$1,$BH$2:$BR$2,$BH198:$BR198,0),0)</f>
        <v>0</v>
      </c>
      <c r="HI198" s="26">
        <f>IF(HI$2=InputTable[[#This Row],[Delivery Date]],_xlfn.XLOOKUP(HI$1,$BH$2:$BR$2,$BH198:$BR198,0),0)</f>
        <v>0</v>
      </c>
      <c r="HJ198" s="26">
        <f>IF(HJ$2=InputTable[[#This Row],[Delivery Date]],_xlfn.XLOOKUP(HJ$1,$BH$2:$BR$2,$BH198:$BR198,0),0)</f>
        <v>0</v>
      </c>
      <c r="HK198" s="26">
        <f>IF(HK$2=InputTable[[#This Row],[Delivery Date]],_xlfn.XLOOKUP(HK$1,$BH$2:$BR$2,$BH198:$BR198,0),0)</f>
        <v>0</v>
      </c>
      <c r="HL198" s="26">
        <f>IF(HL$2=InputTable[[#This Row],[Delivery Date]],_xlfn.XLOOKUP(HL$1,$BH$2:$BR$2,$BH198:$BR198,0),0)</f>
        <v>0</v>
      </c>
      <c r="HM198" s="26">
        <f>IF(HM$2=InputTable[[#This Row],[Delivery Date]],_xlfn.XLOOKUP(HM$1,$BH$2:$BR$2,$BH198:$BR198,0),0)</f>
        <v>0</v>
      </c>
      <c r="HN198" s="26">
        <f>IF(HN$2=InputTable[[#This Row],[Delivery Date]],_xlfn.XLOOKUP(HN$1,$BH$2:$BR$2,$BH198:$BR198,0),0)</f>
        <v>0</v>
      </c>
      <c r="HP198" s="26" t="e">
        <f>IF(HP$2=InputTable[[#This Row],[Delivery Date]],_xlfn.XLOOKUP(HP$1,$BH$2:$BR$2,$BH198:$BR198,0),0)</f>
        <v>#REF!</v>
      </c>
      <c r="HQ198" s="26">
        <f>IF(HQ$2=InputTable[[#This Row],[Delivery Date]],_xlfn.XLOOKUP(HQ$1,$BH$2:$BR$2,$BH198:$BR198,0),0)</f>
        <v>0</v>
      </c>
      <c r="HR198" s="26">
        <f>IF(HR$2=InputTable[[#This Row],[Delivery Date]],_xlfn.XLOOKUP(HR$1,$BH$2:$BR$2,$BH198:$BR198,0),0)</f>
        <v>0</v>
      </c>
      <c r="HS198" s="26">
        <f>IF(HS$2=InputTable[[#This Row],[Delivery Date]],_xlfn.XLOOKUP(HS$1,$BH$2:$BR$2,$BH198:$BR198,0),0)</f>
        <v>0</v>
      </c>
      <c r="HT198" s="26">
        <f>IF(HT$2=InputTable[[#This Row],[Delivery Date]],_xlfn.XLOOKUP(HT$1,$BH$2:$BR$2,$BH198:$BR198,0),0)</f>
        <v>0</v>
      </c>
      <c r="HU198" s="26">
        <f>IF(HU$2=InputTable[[#This Row],[Delivery Date]],_xlfn.XLOOKUP(HU$1,$BH$2:$BR$2,$BH198:$BR198,0),0)</f>
        <v>0</v>
      </c>
      <c r="HV198" s="26">
        <f>IF(HV$2=InputTable[[#This Row],[Delivery Date]],_xlfn.XLOOKUP(HV$1,$BH$2:$BR$2,$BH198:$BR198,0),0)</f>
        <v>0</v>
      </c>
      <c r="HW198" s="26">
        <f>IF(HW$2=InputTable[[#This Row],[Delivery Date]],_xlfn.XLOOKUP(HW$1,$BH$2:$BR$2,$BH198:$BR198,0),0)</f>
        <v>0</v>
      </c>
      <c r="HX198" s="26">
        <f>IF(HX$2=InputTable[[#This Row],[Delivery Date]],_xlfn.XLOOKUP(HX$1,$BH$2:$BR$2,$BH198:$BR198,0),0)</f>
        <v>0</v>
      </c>
      <c r="HZ198" s="26" t="e">
        <f>IF(HZ$2=InputTable[[#This Row],[Delivery Date]],_xlfn.XLOOKUP(HZ$1,$BH$2:$BR$2,$BH198:$BR198,0),0)</f>
        <v>#REF!</v>
      </c>
      <c r="IA198" s="26">
        <f>IF(IA$2=InputTable[[#This Row],[Delivery Date]],_xlfn.XLOOKUP(IA$1,$BH$2:$BR$2,$BH198:$BR198,0),0)</f>
        <v>0</v>
      </c>
      <c r="IB198" s="26">
        <f>IF(IB$2=InputTable[[#This Row],[Delivery Date]],_xlfn.XLOOKUP(IB$1,$BH$2:$BR$2,$BH198:$BR198,0),0)</f>
        <v>0</v>
      </c>
      <c r="IC198" s="26">
        <f>IF(IC$2=InputTable[[#This Row],[Delivery Date]],_xlfn.XLOOKUP(IC$1,$BH$2:$BR$2,$BH198:$BR198,0),0)</f>
        <v>0</v>
      </c>
      <c r="ID198" s="26">
        <f>IF(ID$2=InputTable[[#This Row],[Delivery Date]],_xlfn.XLOOKUP(ID$1,$BH$2:$BR$2,$BH198:$BR198,0),0)</f>
        <v>0</v>
      </c>
      <c r="IE198" s="26">
        <f>IF(IE$2=InputTable[[#This Row],[Delivery Date]],_xlfn.XLOOKUP(IE$1,$BH$2:$BR$2,$BH198:$BR198,0),0)</f>
        <v>0</v>
      </c>
      <c r="IF198" s="26">
        <f>IF(IF$2=InputTable[[#This Row],[Delivery Date]],_xlfn.XLOOKUP(IF$1,$BH$2:$BR$2,$BH198:$BR198,0),0)</f>
        <v>0</v>
      </c>
      <c r="IG198" s="26">
        <f>IF(IG$2=InputTable[[#This Row],[Delivery Date]],_xlfn.XLOOKUP(IG$1,$BH$2:$BR$2,$BH198:$BR198,0),0)</f>
        <v>0</v>
      </c>
      <c r="IH198" s="26">
        <f>IF(IH$2=InputTable[[#This Row],[Delivery Date]],_xlfn.XLOOKUP(IH$1,$BH$2:$BR$2,$BH198:$BR198,0),0)</f>
        <v>0</v>
      </c>
      <c r="IJ198" s="26" t="e">
        <f>IF(IJ$2=InputTable[[#This Row],[Delivery Date]],_xlfn.XLOOKUP(IJ$1,$BH$2:$BR$2,$BH198:$BR198,0),0)</f>
        <v>#REF!</v>
      </c>
      <c r="IK198" s="26">
        <f>IF(IK$2=InputTable[[#This Row],[Delivery Date]],_xlfn.XLOOKUP(IK$1,$BH$2:$BR$2,$BH198:$BR198,0),0)</f>
        <v>0</v>
      </c>
      <c r="IL198" s="26">
        <f>IF(IL$2=InputTable[[#This Row],[Delivery Date]],_xlfn.XLOOKUP(IL$1,$BH$2:$BR$2,$BH198:$BR198,0),0)</f>
        <v>0</v>
      </c>
      <c r="IM198" s="26">
        <f>IF(IM$2=InputTable[[#This Row],[Delivery Date]],_xlfn.XLOOKUP(IM$1,$BH$2:$BR$2,$BH198:$BR198,0),0)</f>
        <v>0</v>
      </c>
      <c r="IN198" s="26">
        <f>IF(IN$2=InputTable[[#This Row],[Delivery Date]],_xlfn.XLOOKUP(IN$1,$BH$2:$BR$2,$BH198:$BR198,0),0)</f>
        <v>0</v>
      </c>
      <c r="IO198" s="26">
        <f>IF(IO$2=InputTable[[#This Row],[Delivery Date]],_xlfn.XLOOKUP(IO$1,$BH$2:$BR$2,$BH198:$BR198,0),0)</f>
        <v>0</v>
      </c>
      <c r="IP198" s="26">
        <f>IF(IP$2=InputTable[[#This Row],[Delivery Date]],_xlfn.XLOOKUP(IP$1,$BH$2:$BR$2,$BH198:$BR198,0),0)</f>
        <v>0</v>
      </c>
      <c r="IQ198" s="26">
        <f>IF(IQ$2=InputTable[[#This Row],[Delivery Date]],_xlfn.XLOOKUP(IQ$1,$BH$2:$BR$2,$BH198:$BR198,0),0)</f>
        <v>0</v>
      </c>
      <c r="IR198" s="26">
        <f>IF(IR$2=InputTable[[#This Row],[Delivery Date]],_xlfn.XLOOKUP(IR$1,$BH$2:$BR$2,$BH198:$BR198,0),0)</f>
        <v>0</v>
      </c>
      <c r="IT198" s="26" t="e">
        <f>IF(IT$2=InputTable[[#This Row],[Delivery Date]],_xlfn.XLOOKUP(IT$1,$BH$2:$BR$2,$BH198:$BR198,0),0)</f>
        <v>#REF!</v>
      </c>
      <c r="IU198" s="26">
        <f>IF(IU$2=InputTable[[#This Row],[Delivery Date]],_xlfn.XLOOKUP(IU$1,$BH$2:$BR$2,$BH198:$BR198,0),0)</f>
        <v>0</v>
      </c>
      <c r="IV198" s="26">
        <f>IF(IV$2=InputTable[[#This Row],[Delivery Date]],_xlfn.XLOOKUP(IV$1,$BH$2:$BR$2,$BH198:$BR198,0),0)</f>
        <v>0</v>
      </c>
      <c r="IW198" s="26">
        <f>IF(IW$2=InputTable[[#This Row],[Delivery Date]],_xlfn.XLOOKUP(IW$1,$BH$2:$BR$2,$BH198:$BR198,0),0)</f>
        <v>0</v>
      </c>
      <c r="IX198" s="26">
        <f>IF(IX$2=InputTable[[#This Row],[Delivery Date]],_xlfn.XLOOKUP(IX$1,$BH$2:$BR$2,$BH198:$BR198,0),0)</f>
        <v>0</v>
      </c>
      <c r="IY198" s="26">
        <f>IF(IY$2=InputTable[[#This Row],[Delivery Date]],_xlfn.XLOOKUP(IY$1,$BH$2:$BR$2,$BH198:$BR198,0),0)</f>
        <v>0</v>
      </c>
      <c r="IZ198" s="26">
        <f>IF(IZ$2=InputTable[[#This Row],[Delivery Date]],_xlfn.XLOOKUP(IZ$1,$BH$2:$BR$2,$BH198:$BR198,0),0)</f>
        <v>0</v>
      </c>
      <c r="JA198" s="26">
        <f>IF(JA$2=InputTable[[#This Row],[Delivery Date]],_xlfn.XLOOKUP(JA$1,$BH$2:$BR$2,$BH198:$BR198,0),0)</f>
        <v>0</v>
      </c>
      <c r="JB198" s="26">
        <f>IF(JB$2=InputTable[[#This Row],[Delivery Date]],_xlfn.XLOOKUP(JB$1,$BH$2:$BR$2,$BH198:$BR198,0),0)</f>
        <v>0</v>
      </c>
      <c r="JD198" s="26" t="e">
        <f>IF(JD$2=InputTable[[#This Row],[Delivery Date]],_xlfn.XLOOKUP(JD$1,$BH$2:$BR$2,$BH198:$BR198,0),0)</f>
        <v>#REF!</v>
      </c>
      <c r="JE198" s="26">
        <f>IF(JE$2=InputTable[[#This Row],[Delivery Date]],_xlfn.XLOOKUP(JE$1,$BH$2:$BR$2,$BH198:$BR198,0),0)</f>
        <v>0</v>
      </c>
      <c r="JF198" s="26">
        <f>IF(JF$2=InputTable[[#This Row],[Delivery Date]],_xlfn.XLOOKUP(JF$1,$BH$2:$BR$2,$BH198:$BR198,0),0)</f>
        <v>0</v>
      </c>
      <c r="JG198" s="26">
        <f>IF(JG$2=InputTable[[#This Row],[Delivery Date]],_xlfn.XLOOKUP(JG$1,$BH$2:$BR$2,$BH198:$BR198,0),0)</f>
        <v>0</v>
      </c>
      <c r="JH198" s="26">
        <f>IF(JH$2=InputTable[[#This Row],[Delivery Date]],_xlfn.XLOOKUP(JH$1,$BH$2:$BR$2,$BH198:$BR198,0),0)</f>
        <v>0</v>
      </c>
      <c r="JI198" s="26">
        <f>IF(JI$2=InputTable[[#This Row],[Delivery Date]],_xlfn.XLOOKUP(JI$1,$BH$2:$BR$2,$BH198:$BR198,0),0)</f>
        <v>0</v>
      </c>
      <c r="JJ198" s="26">
        <f>IF(JJ$2=InputTable[[#This Row],[Delivery Date]],_xlfn.XLOOKUP(JJ$1,$BH$2:$BR$2,$BH198:$BR198,0),0)</f>
        <v>0</v>
      </c>
      <c r="JK198" s="26">
        <f>IF(JK$2=InputTable[[#This Row],[Delivery Date]],_xlfn.XLOOKUP(JK$1,$BH$2:$BR$2,$BH198:$BR198,0),0)</f>
        <v>0</v>
      </c>
      <c r="JL198" s="26">
        <f>IF(JL$2=InputTable[[#This Row],[Delivery Date]],_xlfn.XLOOKUP(JL$1,$BH$2:$BR$2,$BH198:$BR198,0),0)</f>
        <v>0</v>
      </c>
      <c r="JN198" s="26" t="e">
        <f>IF(JN$2=InputTable[[#This Row],[Delivery Date]],_xlfn.XLOOKUP(JN$1,$BH$2:$BR$2,$BH198:$BR198,0),0)</f>
        <v>#REF!</v>
      </c>
      <c r="JO198" s="26">
        <f>IF(JO$2=InputTable[[#This Row],[Delivery Date]],_xlfn.XLOOKUP(JO$1,$BH$2:$BR$2,$BH198:$BR198,0),0)</f>
        <v>0</v>
      </c>
      <c r="JP198" s="26">
        <f>IF(JP$2=InputTable[[#This Row],[Delivery Date]],_xlfn.XLOOKUP(JP$1,$BH$2:$BR$2,$BH198:$BR198,0),0)</f>
        <v>0</v>
      </c>
      <c r="JQ198" s="26">
        <f>IF(JQ$2=InputTable[[#This Row],[Delivery Date]],_xlfn.XLOOKUP(JQ$1,$BH$2:$BR$2,$BH198:$BR198,0),0)</f>
        <v>0</v>
      </c>
      <c r="JR198" s="26">
        <f>IF(JR$2=InputTable[[#This Row],[Delivery Date]],_xlfn.XLOOKUP(JR$1,$BH$2:$BR$2,$BH198:$BR198,0),0)</f>
        <v>0</v>
      </c>
      <c r="JS198" s="26">
        <f>IF(JS$2=InputTable[[#This Row],[Delivery Date]],_xlfn.XLOOKUP(JS$1,$BH$2:$BR$2,$BH198:$BR198,0),0)</f>
        <v>0</v>
      </c>
      <c r="JT198" s="26">
        <f>IF(JT$2=InputTable[[#This Row],[Delivery Date]],_xlfn.XLOOKUP(JT$1,$BH$2:$BR$2,$BH198:$BR198,0),0)</f>
        <v>0</v>
      </c>
      <c r="JU198" s="26">
        <f>IF(JU$2=InputTable[[#This Row],[Delivery Date]],_xlfn.XLOOKUP(JU$1,$BH$2:$BR$2,$BH198:$BR198,0),0)</f>
        <v>0</v>
      </c>
      <c r="JV198" s="26">
        <f>IF(JV$2=InputTable[[#This Row],[Delivery Date]],_xlfn.XLOOKUP(JV$1,$BH$2:$BR$2,$BH198:$BR198,0),0)</f>
        <v>0</v>
      </c>
      <c r="JX198" s="26" t="e">
        <f>IF(JX$2=InputTable[[#This Row],[Delivery Date]],_xlfn.XLOOKUP(JX$1,$BH$2:$BR$2,$BH198:$BR198,0),0)</f>
        <v>#REF!</v>
      </c>
      <c r="JY198" s="26">
        <f>IF(JY$2=InputTable[[#This Row],[Delivery Date]],_xlfn.XLOOKUP(JY$1,$BH$2:$BR$2,$BH198:$BR198,0),0)</f>
        <v>0</v>
      </c>
      <c r="JZ198" s="26">
        <f>IF(JZ$2=InputTable[[#This Row],[Delivery Date]],_xlfn.XLOOKUP(JZ$1,$BH$2:$BR$2,$BH198:$BR198,0),0)</f>
        <v>0</v>
      </c>
      <c r="KA198" s="26">
        <f>IF(KA$2=InputTable[[#This Row],[Delivery Date]],_xlfn.XLOOKUP(KA$1,$BH$2:$BR$2,$BH198:$BR198,0),0)</f>
        <v>0</v>
      </c>
      <c r="KB198" s="26">
        <f>IF(KB$2=InputTable[[#This Row],[Delivery Date]],_xlfn.XLOOKUP(KB$1,$BH$2:$BR$2,$BH198:$BR198,0),0)</f>
        <v>0</v>
      </c>
      <c r="KC198" s="26">
        <f>IF(KC$2=InputTable[[#This Row],[Delivery Date]],_xlfn.XLOOKUP(KC$1,$BH$2:$BR$2,$BH198:$BR198,0),0)</f>
        <v>0</v>
      </c>
      <c r="KD198" s="26">
        <f>IF(KD$2=InputTable[[#This Row],[Delivery Date]],_xlfn.XLOOKUP(KD$1,$BH$2:$BR$2,$BH198:$BR198,0),0)</f>
        <v>0</v>
      </c>
      <c r="KE198" s="26">
        <f>IF(KE$2=InputTable[[#This Row],[Delivery Date]],_xlfn.XLOOKUP(KE$1,$BH$2:$BR$2,$BH198:$BR198,0),0)</f>
        <v>0</v>
      </c>
      <c r="KF198" s="26">
        <f>IF(KF$2=InputTable[[#This Row],[Delivery Date]],_xlfn.XLOOKUP(KF$1,$BH$2:$BR$2,$BH198:$BR198,0),0)</f>
        <v>0</v>
      </c>
    </row>
    <row r="199" spans="1:292" ht="34.799999999999997" x14ac:dyDescent="0.25">
      <c r="A199" s="125"/>
      <c r="B199" s="118"/>
      <c r="C199" s="92"/>
      <c r="D199" s="92"/>
      <c r="E199" s="107"/>
      <c r="F199" s="108"/>
      <c r="G199" s="112"/>
      <c r="H199" s="112"/>
      <c r="I199" s="108"/>
      <c r="J199" s="110"/>
      <c r="K199" s="95" t="e">
        <f>VLOOKUP((InputTable[[#This Row],[Starting Date]]&amp; " - " &amp;InputTable[[#This Row],[Delivery Date]]),'System List'!$F$40:$H$83,2,FALSE)</f>
        <v>#N/A</v>
      </c>
      <c r="L199" s="95" t="e">
        <f>VLOOKUP(InputTable[[#This Row],[Duration]],Duration,2,FALSE)</f>
        <v>#N/A</v>
      </c>
      <c r="M199" s="110"/>
      <c r="N199" s="108"/>
      <c r="O199" s="108"/>
      <c r="P199" s="108"/>
      <c r="Q199" s="108"/>
      <c r="R199" s="108"/>
      <c r="S199" s="92"/>
      <c r="T199" s="95"/>
      <c r="U199" s="138"/>
      <c r="V199" s="108"/>
      <c r="W199" s="108"/>
      <c r="X199" s="108"/>
      <c r="Y199" s="108"/>
      <c r="Z199" s="108"/>
      <c r="AA199" s="108"/>
      <c r="AB199" s="113"/>
      <c r="AC199" s="113"/>
      <c r="AD199" s="92">
        <f>COUNTA(InputTable[[#This Row],[CORPHRFIN]:[SALES]])</f>
        <v>0</v>
      </c>
      <c r="AE199" s="88" cm="1">
        <f t="array" ref="AE199">SUM(
_xlfn.XLOOKUP(InputTable[[#This Row],[CORPHRFIN]:[SALES]],'System List'!$F$4:$F$7,'System List'!$H$4:$H$7,0))</f>
        <v>0</v>
      </c>
      <c r="AF199" s="140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88" cm="1">
        <f t="array" ref="AR199">SUM(
_xlfn.XLOOKUP(InputTable[[#This Row],[Impact on - CIAL]:[Impact on - STRAT]],'System List'!$F$4:$F$7,'System List'!$H$4:$H$7,0))</f>
        <v>0</v>
      </c>
      <c r="AS199" s="88" t="e">
        <f>VLOOKUP(InputTable[[#This Row],[Duration]],Duration,2,FALSE)+InputTable[[#This Row],[Resource Score]]</f>
        <v>#N/A</v>
      </c>
      <c r="AT199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199" s="24" t="e">
        <f>InputTable[[#This Row],[Value Score]]/InputTable[[#This Row],[EFFORT SCORE]]*100</f>
        <v>#N/A</v>
      </c>
      <c r="AV199" s="25" t="s">
        <v>490</v>
      </c>
      <c r="AW199" s="25"/>
      <c r="AX199" s="144"/>
      <c r="AY199" s="25"/>
      <c r="AZ199" s="189">
        <v>0</v>
      </c>
      <c r="BA199" s="189">
        <v>0</v>
      </c>
      <c r="BB199" s="189"/>
      <c r="BC199" s="189"/>
      <c r="BD199" s="188"/>
      <c r="BE199" s="188"/>
      <c r="BF199" s="70"/>
      <c r="BH199" s="2">
        <f>IFERROR(VLOOKUP(InputTable[[#This Row],[Impact on - CIAL]],'System List'!$F$4:$H$7,3,FALSE),0)</f>
        <v>0</v>
      </c>
      <c r="BI199" s="2">
        <f>IFERROR(VLOOKUP(InputTable[[#This Row],[Impact on - COM]],'System List'!$F$4:$H$7,3,FALSE),0)</f>
        <v>0</v>
      </c>
      <c r="BJ199" s="2">
        <f>IFERROR(VLOOKUP(InputTable[[#This Row],[Impact on - FIN]],'System List'!$F$4:$H$7,3,FALSE),0)</f>
        <v>0</v>
      </c>
      <c r="BK199" s="2">
        <f>IFERROR(VLOOKUP(InputTable[[#This Row],[Impact on - GEN SEC]],'System List'!$F$4:$H$7,3,FALSE),0)</f>
        <v>0</v>
      </c>
      <c r="BL199" s="2">
        <f>IFERROR(VLOOKUP(InputTable[[#This Row],[Impact on - HR]],'System List'!$F$4:$H$7,3,FALSE),0)</f>
        <v>0</v>
      </c>
      <c r="BM199" s="2">
        <f>IFERROR(VLOOKUP(InputTable[[#This Row],[Impact on - IS]],'System List'!$F$4:$H$7,3,FALSE),0)</f>
        <v>0</v>
      </c>
      <c r="BN199" s="2">
        <f>IFERROR(VLOOKUP(InputTable[[#This Row],[Impact on - OPS]],'System List'!$F$4:$H$7,3,FALSE),0)</f>
        <v>0</v>
      </c>
      <c r="BO199" s="2">
        <f>IFERROR(VLOOKUP(InputTable[[#This Row],[Impact on - ROLL STOCK]],'System List'!$F$4:$H$7,3,FALSE),0)</f>
        <v>0</v>
      </c>
      <c r="BP199" s="2">
        <f>IFERROR(VLOOKUP(InputTable[[#This Row],[Impact on - SAFETY]],'System List'!$F$4:$H$7,3,FALSE),0)</f>
        <v>0</v>
      </c>
      <c r="BQ199" s="2">
        <f>IFERROR(VLOOKUP(InputTable[[#This Row],[Impact on - STATION]],'System List'!$F$4:$H$7,3,FALSE),0)</f>
        <v>0</v>
      </c>
      <c r="BR199" s="2">
        <f>IFERROR(VLOOKUP(InputTable[[#This Row],[Impact on - STRAT]],'System List'!$F$4:$H$7,3,FALSE),0)</f>
        <v>0</v>
      </c>
      <c r="BT199" s="2">
        <f>IFERROR(VLOOKUP(InputTable[[#This Row],[CORPHRFIN]],'System List'!$F$4:$H$7,3,FALSE),0)</f>
        <v>0</v>
      </c>
      <c r="BU199" s="2">
        <f>IFERROR(VLOOKUP(InputTable[[#This Row],[CUST]],'System List'!$F$4:$H$7,3,FALSE),0)</f>
        <v>0</v>
      </c>
      <c r="BV199" s="2">
        <f>IFERROR(VLOOKUP(InputTable[[#This Row],[CYBER]],'System List'!$F$4:$H$7,3,FALSE),0)</f>
        <v>0</v>
      </c>
      <c r="BW199" s="2">
        <f>IFERROR(VLOOKUP(InputTable[[#This Row],[DATA]],'System List'!$F$4:$H$7,3,FALSE),0)</f>
        <v>0</v>
      </c>
      <c r="BX199" s="2">
        <f>IFERROR(VLOOKUP(InputTable[[#This Row],[INFRA]],'System List'!$F$4:$H$7,3,FALSE),0)</f>
        <v>0</v>
      </c>
      <c r="BY199" s="2">
        <f>IFERROR(VLOOKUP(InputTable[[#This Row],[OPERATIONS]],'System List'!$F$4:$H$7,3,FALSE),0)</f>
        <v>0</v>
      </c>
      <c r="BZ199" s="2">
        <f>IFERROR(VLOOKUP(InputTable[[#This Row],[PMO]],'System List'!$F$4:$H$7,3,FALSE),0)</f>
        <v>0</v>
      </c>
      <c r="CA199" s="2">
        <f>IFERROR(VLOOKUP(InputTable[[#This Row],[SALES]],'System List'!$F$4:$H$7,3,FALSE),0)</f>
        <v>0</v>
      </c>
      <c r="CC199" s="2" cm="1">
        <f t="array" ref="CC199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199" s="2" cm="1">
        <f t="array" ref="CD199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199" s="2" cm="1">
        <f t="array" ref="CE199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199" s="2" cm="1">
        <f t="array" ref="CF199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199" s="2" cm="1">
        <f t="array" ref="CG199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199" s="2" cm="1">
        <f t="array" ref="CH199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199" s="2" cm="1">
        <f t="array" ref="CI199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199" s="2" cm="1">
        <f t="array" ref="CJ199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199" s="2" cm="1">
        <f t="array" ref="CK199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199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199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199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199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199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199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199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199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199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199" s="26">
        <f t="shared" si="451"/>
        <v>0</v>
      </c>
      <c r="CY199" s="26">
        <f t="shared" si="452"/>
        <v>0</v>
      </c>
      <c r="CZ199" s="26">
        <f t="shared" si="453"/>
        <v>0</v>
      </c>
      <c r="DA199" s="26">
        <f t="shared" si="454"/>
        <v>0</v>
      </c>
      <c r="DB199" s="26">
        <f t="shared" si="455"/>
        <v>0</v>
      </c>
      <c r="DC199" s="26">
        <f t="shared" si="456"/>
        <v>0</v>
      </c>
      <c r="DD199" s="26">
        <f t="shared" si="457"/>
        <v>0</v>
      </c>
      <c r="DE199" s="26">
        <f t="shared" si="458"/>
        <v>0</v>
      </c>
      <c r="DF199" s="26">
        <f t="shared" si="459"/>
        <v>0</v>
      </c>
      <c r="DH199" s="26">
        <f t="shared" si="460"/>
        <v>0</v>
      </c>
      <c r="DI199" s="26">
        <f t="shared" si="461"/>
        <v>0</v>
      </c>
      <c r="DJ199" s="26">
        <f t="shared" si="462"/>
        <v>0</v>
      </c>
      <c r="DK199" s="26">
        <f t="shared" si="463"/>
        <v>0</v>
      </c>
      <c r="DL199" s="26">
        <f t="shared" si="464"/>
        <v>0</v>
      </c>
      <c r="DM199" s="26">
        <f t="shared" si="465"/>
        <v>0</v>
      </c>
      <c r="DN199" s="26">
        <f t="shared" si="466"/>
        <v>0</v>
      </c>
      <c r="DO199" s="26">
        <f t="shared" si="467"/>
        <v>0</v>
      </c>
      <c r="DP199" s="26">
        <f t="shared" si="468"/>
        <v>0</v>
      </c>
      <c r="DR199" s="26">
        <f t="shared" si="469"/>
        <v>0</v>
      </c>
      <c r="DS199" s="26">
        <f t="shared" si="470"/>
        <v>0</v>
      </c>
      <c r="DT199" s="26">
        <f t="shared" si="471"/>
        <v>0</v>
      </c>
      <c r="DU199" s="26">
        <f t="shared" si="472"/>
        <v>0</v>
      </c>
      <c r="DV199" s="26">
        <f t="shared" si="473"/>
        <v>0</v>
      </c>
      <c r="DW199" s="26">
        <f t="shared" si="474"/>
        <v>0</v>
      </c>
      <c r="DX199" s="26">
        <f t="shared" si="475"/>
        <v>0</v>
      </c>
      <c r="DY199" s="26">
        <f t="shared" si="476"/>
        <v>0</v>
      </c>
      <c r="DZ199" s="26">
        <f t="shared" si="477"/>
        <v>0</v>
      </c>
      <c r="EB199" s="26">
        <f t="shared" si="478"/>
        <v>0</v>
      </c>
      <c r="EC199" s="26">
        <f t="shared" si="479"/>
        <v>0</v>
      </c>
      <c r="ED199" s="26">
        <f t="shared" si="480"/>
        <v>0</v>
      </c>
      <c r="EE199" s="26">
        <f t="shared" si="481"/>
        <v>0</v>
      </c>
      <c r="EF199" s="26">
        <f t="shared" si="482"/>
        <v>0</v>
      </c>
      <c r="EG199" s="26">
        <f t="shared" si="483"/>
        <v>0</v>
      </c>
      <c r="EH199" s="26">
        <f t="shared" si="484"/>
        <v>0</v>
      </c>
      <c r="EI199" s="26">
        <f t="shared" si="485"/>
        <v>0</v>
      </c>
      <c r="EJ199" s="26">
        <f t="shared" si="486"/>
        <v>0</v>
      </c>
      <c r="EL199" s="26">
        <f t="shared" si="487"/>
        <v>0</v>
      </c>
      <c r="EM199" s="26">
        <f t="shared" si="488"/>
        <v>0</v>
      </c>
      <c r="EN199" s="26">
        <f t="shared" si="489"/>
        <v>0</v>
      </c>
      <c r="EO199" s="26">
        <f t="shared" si="490"/>
        <v>0</v>
      </c>
      <c r="EP199" s="26">
        <f t="shared" si="491"/>
        <v>0</v>
      </c>
      <c r="EQ199" s="26">
        <f t="shared" si="492"/>
        <v>0</v>
      </c>
      <c r="ER199" s="26">
        <f t="shared" si="493"/>
        <v>0</v>
      </c>
      <c r="ES199" s="26">
        <f t="shared" si="494"/>
        <v>0</v>
      </c>
      <c r="ET199" s="26">
        <f t="shared" si="495"/>
        <v>0</v>
      </c>
      <c r="EV199" s="26">
        <f t="shared" si="496"/>
        <v>0</v>
      </c>
      <c r="EW199" s="26">
        <f t="shared" si="497"/>
        <v>0</v>
      </c>
      <c r="EX199" s="26">
        <f t="shared" si="498"/>
        <v>0</v>
      </c>
      <c r="EY199" s="26">
        <f t="shared" si="499"/>
        <v>0</v>
      </c>
      <c r="EZ199" s="26">
        <f t="shared" si="500"/>
        <v>0</v>
      </c>
      <c r="FA199" s="26">
        <f t="shared" si="501"/>
        <v>0</v>
      </c>
      <c r="FB199" s="26">
        <f t="shared" si="502"/>
        <v>0</v>
      </c>
      <c r="FC199" s="26">
        <f t="shared" si="503"/>
        <v>0</v>
      </c>
      <c r="FD199" s="26">
        <f t="shared" si="504"/>
        <v>0</v>
      </c>
      <c r="FF199" s="26">
        <f t="shared" si="505"/>
        <v>0</v>
      </c>
      <c r="FG199" s="26">
        <f t="shared" si="506"/>
        <v>0</v>
      </c>
      <c r="FH199" s="26">
        <f t="shared" si="507"/>
        <v>0</v>
      </c>
      <c r="FI199" s="26">
        <f t="shared" si="508"/>
        <v>0</v>
      </c>
      <c r="FJ199" s="26">
        <f t="shared" si="509"/>
        <v>0</v>
      </c>
      <c r="FK199" s="26">
        <f t="shared" si="510"/>
        <v>0</v>
      </c>
      <c r="FL199" s="26">
        <f t="shared" si="511"/>
        <v>0</v>
      </c>
      <c r="FM199" s="26">
        <f t="shared" si="512"/>
        <v>0</v>
      </c>
      <c r="FN199" s="26">
        <f t="shared" si="513"/>
        <v>0</v>
      </c>
      <c r="FP199" s="26" t="e">
        <f t="shared" si="514"/>
        <v>#REF!</v>
      </c>
      <c r="FQ199" s="26" t="e">
        <f t="shared" si="515"/>
        <v>#REF!</v>
      </c>
      <c r="FR199" s="26" t="e">
        <f t="shared" si="516"/>
        <v>#REF!</v>
      </c>
      <c r="FS199" s="26" t="e">
        <f t="shared" si="517"/>
        <v>#REF!</v>
      </c>
      <c r="FT199" s="26" t="e">
        <f t="shared" si="518"/>
        <v>#REF!</v>
      </c>
      <c r="FU199" s="26" t="e">
        <f t="shared" si="519"/>
        <v>#REF!</v>
      </c>
      <c r="FV199" s="26" t="e">
        <f t="shared" si="520"/>
        <v>#REF!</v>
      </c>
      <c r="FW199" s="26" t="e">
        <f t="shared" si="521"/>
        <v>#REF!</v>
      </c>
      <c r="FX199" s="26" t="e">
        <f t="shared" si="522"/>
        <v>#REF!</v>
      </c>
      <c r="GB199" s="26" t="e">
        <f>IF(GB$2=InputTable[[#This Row],[Delivery Date]],_xlfn.XLOOKUP(GB$1,$BH$2:$BR$2,$BH199:$BR199,0),0)</f>
        <v>#REF!</v>
      </c>
      <c r="GC199" s="26">
        <f>IF(GC$2=InputTable[[#This Row],[Delivery Date]],_xlfn.XLOOKUP(GC$1,$BH$2:$BR$2,$BH199:$BR199,0),0)</f>
        <v>0</v>
      </c>
      <c r="GD199" s="26">
        <f>IF(GD$2=InputTable[[#This Row],[Delivery Date]],_xlfn.XLOOKUP(GD$1,$BH$2:$BR$2,$BH199:$BR199,0),0)</f>
        <v>0</v>
      </c>
      <c r="GE199" s="26">
        <f>IF(GE$2=InputTable[[#This Row],[Delivery Date]],_xlfn.XLOOKUP(GE$1,$BH$2:$BR$2,$BH199:$BR199,0),0)</f>
        <v>0</v>
      </c>
      <c r="GF199" s="26">
        <f>IF(GF$2=InputTable[[#This Row],[Delivery Date]],_xlfn.XLOOKUP(GF$1,$BH$2:$BR$2,$BH199:$BR199,0),0)</f>
        <v>0</v>
      </c>
      <c r="GG199" s="26">
        <f>IF(GG$2=InputTable[[#This Row],[Delivery Date]],_xlfn.XLOOKUP(GG$1,$BH$2:$BR$2,$BH199:$BR199,0),0)</f>
        <v>0</v>
      </c>
      <c r="GH199" s="26">
        <f>IF(GH$2=InputTable[[#This Row],[Delivery Date]],_xlfn.XLOOKUP(GH$1,$BH$2:$BR$2,$BH199:$BR199,0),0)</f>
        <v>0</v>
      </c>
      <c r="GI199" s="26">
        <f>IF(GI$2=InputTable[[#This Row],[Delivery Date]],_xlfn.XLOOKUP(GI$1,$BH$2:$BR$2,$BH199:$BR199,0),0)</f>
        <v>0</v>
      </c>
      <c r="GJ199" s="26">
        <f>IF(GJ$2=InputTable[[#This Row],[Delivery Date]],_xlfn.XLOOKUP(GJ$1,$BH$2:$BR$2,$BH199:$BR199,0),0)</f>
        <v>0</v>
      </c>
      <c r="GL199" s="26" t="e">
        <f>IF(GL$2=InputTable[[#This Row],[Delivery Date]],_xlfn.XLOOKUP(GL$1,$BH$2:$BR$2,$BH199:$BR199,0),0)</f>
        <v>#REF!</v>
      </c>
      <c r="GM199" s="26">
        <f>IF(GM$2=InputTable[[#This Row],[Delivery Date]],_xlfn.XLOOKUP(GM$1,$BH$2:$BR$2,$BH199:$BR199,0),0)</f>
        <v>0</v>
      </c>
      <c r="GN199" s="26">
        <f>IF(GN$2=InputTable[[#This Row],[Delivery Date]],_xlfn.XLOOKUP(GN$1,$BH$2:$BR$2,$BH199:$BR199,0),0)</f>
        <v>0</v>
      </c>
      <c r="GO199" s="26">
        <f>IF(GO$2=InputTable[[#This Row],[Delivery Date]],_xlfn.XLOOKUP(GO$1,$BH$2:$BR$2,$BH199:$BR199,0),0)</f>
        <v>0</v>
      </c>
      <c r="GP199" s="26">
        <f>IF(GP$2=InputTable[[#This Row],[Delivery Date]],_xlfn.XLOOKUP(GP$1,$BH$2:$BR$2,$BH199:$BR199,0),0)</f>
        <v>0</v>
      </c>
      <c r="GQ199" s="26">
        <f>IF(GQ$2=InputTable[[#This Row],[Delivery Date]],_xlfn.XLOOKUP(GQ$1,$BH$2:$BR$2,$BH199:$BR199,0),0)</f>
        <v>0</v>
      </c>
      <c r="GR199" s="26">
        <f>IF(GR$2=InputTable[[#This Row],[Delivery Date]],_xlfn.XLOOKUP(GR$1,$BH$2:$BR$2,$BH199:$BR199,0),0)</f>
        <v>0</v>
      </c>
      <c r="GS199" s="26">
        <f>IF(GS$2=InputTable[[#This Row],[Delivery Date]],_xlfn.XLOOKUP(GS$1,$BH$2:$BR$2,$BH199:$BR199,0),0)</f>
        <v>0</v>
      </c>
      <c r="GT199" s="26">
        <f>IF(GT$2=InputTable[[#This Row],[Delivery Date]],_xlfn.XLOOKUP(GT$1,$BH$2:$BR$2,$BH199:$BR199,0),0)</f>
        <v>0</v>
      </c>
      <c r="GV199" s="26" t="e">
        <f>IF(GV$2=InputTable[[#This Row],[Delivery Date]],_xlfn.XLOOKUP(GV$1,$BH$2:$BR$2,$BH199:$BR199,0),0)</f>
        <v>#REF!</v>
      </c>
      <c r="GW199" s="26">
        <f>IF(GW$2=InputTable[[#This Row],[Delivery Date]],_xlfn.XLOOKUP(GW$1,$BH$2:$BR$2,$BH199:$BR199,0),0)</f>
        <v>0</v>
      </c>
      <c r="GX199" s="26">
        <f>IF(GX$2=InputTable[[#This Row],[Delivery Date]],_xlfn.XLOOKUP(GX$1,$BH$2:$BR$2,$BH199:$BR199,0),0)</f>
        <v>0</v>
      </c>
      <c r="GY199" s="26">
        <f>IF(GY$2=InputTable[[#This Row],[Delivery Date]],_xlfn.XLOOKUP(GY$1,$BH$2:$BR$2,$BH199:$BR199,0),0)</f>
        <v>0</v>
      </c>
      <c r="GZ199" s="26">
        <f>IF(GZ$2=InputTable[[#This Row],[Delivery Date]],_xlfn.XLOOKUP(GZ$1,$BH$2:$BR$2,$BH199:$BR199,0),0)</f>
        <v>0</v>
      </c>
      <c r="HA199" s="26">
        <f>IF(HA$2=InputTable[[#This Row],[Delivery Date]],_xlfn.XLOOKUP(HA$1,$BH$2:$BR$2,$BH199:$BR199,0),0)</f>
        <v>0</v>
      </c>
      <c r="HB199" s="26">
        <f>IF(HB$2=InputTable[[#This Row],[Delivery Date]],_xlfn.XLOOKUP(HB$1,$BH$2:$BR$2,$BH199:$BR199,0),0)</f>
        <v>0</v>
      </c>
      <c r="HC199" s="26">
        <f>IF(HC$2=InputTable[[#This Row],[Delivery Date]],_xlfn.XLOOKUP(HC$1,$BH$2:$BR$2,$BH199:$BR199,0),0)</f>
        <v>0</v>
      </c>
      <c r="HD199" s="26">
        <f>IF(HD$2=InputTable[[#This Row],[Delivery Date]],_xlfn.XLOOKUP(HD$1,$BH$2:$BR$2,$BH199:$BR199,0),0)</f>
        <v>0</v>
      </c>
      <c r="HF199" s="26" t="e">
        <f>IF(HF$2=InputTable[[#This Row],[Delivery Date]],_xlfn.XLOOKUP(HF$1,$BH$2:$BR$2,$BH199:$BR199,0),0)</f>
        <v>#REF!</v>
      </c>
      <c r="HG199" s="26">
        <f>IF(HG$2=InputTable[[#This Row],[Delivery Date]],_xlfn.XLOOKUP(HG$1,$BH$2:$BR$2,$BH199:$BR199,0),0)</f>
        <v>0</v>
      </c>
      <c r="HH199" s="26">
        <f>IF(HH$2=InputTable[[#This Row],[Delivery Date]],_xlfn.XLOOKUP(HH$1,$BH$2:$BR$2,$BH199:$BR199,0),0)</f>
        <v>0</v>
      </c>
      <c r="HI199" s="26">
        <f>IF(HI$2=InputTable[[#This Row],[Delivery Date]],_xlfn.XLOOKUP(HI$1,$BH$2:$BR$2,$BH199:$BR199,0),0)</f>
        <v>0</v>
      </c>
      <c r="HJ199" s="26">
        <f>IF(HJ$2=InputTable[[#This Row],[Delivery Date]],_xlfn.XLOOKUP(HJ$1,$BH$2:$BR$2,$BH199:$BR199,0),0)</f>
        <v>0</v>
      </c>
      <c r="HK199" s="26">
        <f>IF(HK$2=InputTable[[#This Row],[Delivery Date]],_xlfn.XLOOKUP(HK$1,$BH$2:$BR$2,$BH199:$BR199,0),0)</f>
        <v>0</v>
      </c>
      <c r="HL199" s="26">
        <f>IF(HL$2=InputTable[[#This Row],[Delivery Date]],_xlfn.XLOOKUP(HL$1,$BH$2:$BR$2,$BH199:$BR199,0),0)</f>
        <v>0</v>
      </c>
      <c r="HM199" s="26">
        <f>IF(HM$2=InputTable[[#This Row],[Delivery Date]],_xlfn.XLOOKUP(HM$1,$BH$2:$BR$2,$BH199:$BR199,0),0)</f>
        <v>0</v>
      </c>
      <c r="HN199" s="26">
        <f>IF(HN$2=InputTable[[#This Row],[Delivery Date]],_xlfn.XLOOKUP(HN$1,$BH$2:$BR$2,$BH199:$BR199,0),0)</f>
        <v>0</v>
      </c>
      <c r="HP199" s="26" t="e">
        <f>IF(HP$2=InputTable[[#This Row],[Delivery Date]],_xlfn.XLOOKUP(HP$1,$BH$2:$BR$2,$BH199:$BR199,0),0)</f>
        <v>#REF!</v>
      </c>
      <c r="HQ199" s="26">
        <f>IF(HQ$2=InputTable[[#This Row],[Delivery Date]],_xlfn.XLOOKUP(HQ$1,$BH$2:$BR$2,$BH199:$BR199,0),0)</f>
        <v>0</v>
      </c>
      <c r="HR199" s="26">
        <f>IF(HR$2=InputTable[[#This Row],[Delivery Date]],_xlfn.XLOOKUP(HR$1,$BH$2:$BR$2,$BH199:$BR199,0),0)</f>
        <v>0</v>
      </c>
      <c r="HS199" s="26">
        <f>IF(HS$2=InputTable[[#This Row],[Delivery Date]],_xlfn.XLOOKUP(HS$1,$BH$2:$BR$2,$BH199:$BR199,0),0)</f>
        <v>0</v>
      </c>
      <c r="HT199" s="26">
        <f>IF(HT$2=InputTable[[#This Row],[Delivery Date]],_xlfn.XLOOKUP(HT$1,$BH$2:$BR$2,$BH199:$BR199,0),0)</f>
        <v>0</v>
      </c>
      <c r="HU199" s="26">
        <f>IF(HU$2=InputTable[[#This Row],[Delivery Date]],_xlfn.XLOOKUP(HU$1,$BH$2:$BR$2,$BH199:$BR199,0),0)</f>
        <v>0</v>
      </c>
      <c r="HV199" s="26">
        <f>IF(HV$2=InputTable[[#This Row],[Delivery Date]],_xlfn.XLOOKUP(HV$1,$BH$2:$BR$2,$BH199:$BR199,0),0)</f>
        <v>0</v>
      </c>
      <c r="HW199" s="26">
        <f>IF(HW$2=InputTable[[#This Row],[Delivery Date]],_xlfn.XLOOKUP(HW$1,$BH$2:$BR$2,$BH199:$BR199,0),0)</f>
        <v>0</v>
      </c>
      <c r="HX199" s="26">
        <f>IF(HX$2=InputTable[[#This Row],[Delivery Date]],_xlfn.XLOOKUP(HX$1,$BH$2:$BR$2,$BH199:$BR199,0),0)</f>
        <v>0</v>
      </c>
      <c r="HZ199" s="26" t="e">
        <f>IF(HZ$2=InputTable[[#This Row],[Delivery Date]],_xlfn.XLOOKUP(HZ$1,$BH$2:$BR$2,$BH199:$BR199,0),0)</f>
        <v>#REF!</v>
      </c>
      <c r="IA199" s="26">
        <f>IF(IA$2=InputTable[[#This Row],[Delivery Date]],_xlfn.XLOOKUP(IA$1,$BH$2:$BR$2,$BH199:$BR199,0),0)</f>
        <v>0</v>
      </c>
      <c r="IB199" s="26">
        <f>IF(IB$2=InputTable[[#This Row],[Delivery Date]],_xlfn.XLOOKUP(IB$1,$BH$2:$BR$2,$BH199:$BR199,0),0)</f>
        <v>0</v>
      </c>
      <c r="IC199" s="26">
        <f>IF(IC$2=InputTable[[#This Row],[Delivery Date]],_xlfn.XLOOKUP(IC$1,$BH$2:$BR$2,$BH199:$BR199,0),0)</f>
        <v>0</v>
      </c>
      <c r="ID199" s="26">
        <f>IF(ID$2=InputTable[[#This Row],[Delivery Date]],_xlfn.XLOOKUP(ID$1,$BH$2:$BR$2,$BH199:$BR199,0),0)</f>
        <v>0</v>
      </c>
      <c r="IE199" s="26">
        <f>IF(IE$2=InputTable[[#This Row],[Delivery Date]],_xlfn.XLOOKUP(IE$1,$BH$2:$BR$2,$BH199:$BR199,0),0)</f>
        <v>0</v>
      </c>
      <c r="IF199" s="26">
        <f>IF(IF$2=InputTable[[#This Row],[Delivery Date]],_xlfn.XLOOKUP(IF$1,$BH$2:$BR$2,$BH199:$BR199,0),0)</f>
        <v>0</v>
      </c>
      <c r="IG199" s="26">
        <f>IF(IG$2=InputTable[[#This Row],[Delivery Date]],_xlfn.XLOOKUP(IG$1,$BH$2:$BR$2,$BH199:$BR199,0),0)</f>
        <v>0</v>
      </c>
      <c r="IH199" s="26">
        <f>IF(IH$2=InputTable[[#This Row],[Delivery Date]],_xlfn.XLOOKUP(IH$1,$BH$2:$BR$2,$BH199:$BR199,0),0)</f>
        <v>0</v>
      </c>
      <c r="IJ199" s="26" t="e">
        <f>IF(IJ$2=InputTable[[#This Row],[Delivery Date]],_xlfn.XLOOKUP(IJ$1,$BH$2:$BR$2,$BH199:$BR199,0),0)</f>
        <v>#REF!</v>
      </c>
      <c r="IK199" s="26">
        <f>IF(IK$2=InputTable[[#This Row],[Delivery Date]],_xlfn.XLOOKUP(IK$1,$BH$2:$BR$2,$BH199:$BR199,0),0)</f>
        <v>0</v>
      </c>
      <c r="IL199" s="26">
        <f>IF(IL$2=InputTable[[#This Row],[Delivery Date]],_xlfn.XLOOKUP(IL$1,$BH$2:$BR$2,$BH199:$BR199,0),0)</f>
        <v>0</v>
      </c>
      <c r="IM199" s="26">
        <f>IF(IM$2=InputTable[[#This Row],[Delivery Date]],_xlfn.XLOOKUP(IM$1,$BH$2:$BR$2,$BH199:$BR199,0),0)</f>
        <v>0</v>
      </c>
      <c r="IN199" s="26">
        <f>IF(IN$2=InputTable[[#This Row],[Delivery Date]],_xlfn.XLOOKUP(IN$1,$BH$2:$BR$2,$BH199:$BR199,0),0)</f>
        <v>0</v>
      </c>
      <c r="IO199" s="26">
        <f>IF(IO$2=InputTable[[#This Row],[Delivery Date]],_xlfn.XLOOKUP(IO$1,$BH$2:$BR$2,$BH199:$BR199,0),0)</f>
        <v>0</v>
      </c>
      <c r="IP199" s="26">
        <f>IF(IP$2=InputTable[[#This Row],[Delivery Date]],_xlfn.XLOOKUP(IP$1,$BH$2:$BR$2,$BH199:$BR199,0),0)</f>
        <v>0</v>
      </c>
      <c r="IQ199" s="26">
        <f>IF(IQ$2=InputTable[[#This Row],[Delivery Date]],_xlfn.XLOOKUP(IQ$1,$BH$2:$BR$2,$BH199:$BR199,0),0)</f>
        <v>0</v>
      </c>
      <c r="IR199" s="26">
        <f>IF(IR$2=InputTable[[#This Row],[Delivery Date]],_xlfn.XLOOKUP(IR$1,$BH$2:$BR$2,$BH199:$BR199,0),0)</f>
        <v>0</v>
      </c>
      <c r="IT199" s="26" t="e">
        <f>IF(IT$2=InputTable[[#This Row],[Delivery Date]],_xlfn.XLOOKUP(IT$1,$BH$2:$BR$2,$BH199:$BR199,0),0)</f>
        <v>#REF!</v>
      </c>
      <c r="IU199" s="26">
        <f>IF(IU$2=InputTable[[#This Row],[Delivery Date]],_xlfn.XLOOKUP(IU$1,$BH$2:$BR$2,$BH199:$BR199,0),0)</f>
        <v>0</v>
      </c>
      <c r="IV199" s="26">
        <f>IF(IV$2=InputTable[[#This Row],[Delivery Date]],_xlfn.XLOOKUP(IV$1,$BH$2:$BR$2,$BH199:$BR199,0),0)</f>
        <v>0</v>
      </c>
      <c r="IW199" s="26">
        <f>IF(IW$2=InputTable[[#This Row],[Delivery Date]],_xlfn.XLOOKUP(IW$1,$BH$2:$BR$2,$BH199:$BR199,0),0)</f>
        <v>0</v>
      </c>
      <c r="IX199" s="26">
        <f>IF(IX$2=InputTable[[#This Row],[Delivery Date]],_xlfn.XLOOKUP(IX$1,$BH$2:$BR$2,$BH199:$BR199,0),0)</f>
        <v>0</v>
      </c>
      <c r="IY199" s="26">
        <f>IF(IY$2=InputTable[[#This Row],[Delivery Date]],_xlfn.XLOOKUP(IY$1,$BH$2:$BR$2,$BH199:$BR199,0),0)</f>
        <v>0</v>
      </c>
      <c r="IZ199" s="26">
        <f>IF(IZ$2=InputTable[[#This Row],[Delivery Date]],_xlfn.XLOOKUP(IZ$1,$BH$2:$BR$2,$BH199:$BR199,0),0)</f>
        <v>0</v>
      </c>
      <c r="JA199" s="26">
        <f>IF(JA$2=InputTable[[#This Row],[Delivery Date]],_xlfn.XLOOKUP(JA$1,$BH$2:$BR$2,$BH199:$BR199,0),0)</f>
        <v>0</v>
      </c>
      <c r="JB199" s="26">
        <f>IF(JB$2=InputTable[[#This Row],[Delivery Date]],_xlfn.XLOOKUP(JB$1,$BH$2:$BR$2,$BH199:$BR199,0),0)</f>
        <v>0</v>
      </c>
      <c r="JD199" s="26" t="e">
        <f>IF(JD$2=InputTable[[#This Row],[Delivery Date]],_xlfn.XLOOKUP(JD$1,$BH$2:$BR$2,$BH199:$BR199,0),0)</f>
        <v>#REF!</v>
      </c>
      <c r="JE199" s="26">
        <f>IF(JE$2=InputTable[[#This Row],[Delivery Date]],_xlfn.XLOOKUP(JE$1,$BH$2:$BR$2,$BH199:$BR199,0),0)</f>
        <v>0</v>
      </c>
      <c r="JF199" s="26">
        <f>IF(JF$2=InputTable[[#This Row],[Delivery Date]],_xlfn.XLOOKUP(JF$1,$BH$2:$BR$2,$BH199:$BR199,0),0)</f>
        <v>0</v>
      </c>
      <c r="JG199" s="26">
        <f>IF(JG$2=InputTable[[#This Row],[Delivery Date]],_xlfn.XLOOKUP(JG$1,$BH$2:$BR$2,$BH199:$BR199,0),0)</f>
        <v>0</v>
      </c>
      <c r="JH199" s="26">
        <f>IF(JH$2=InputTable[[#This Row],[Delivery Date]],_xlfn.XLOOKUP(JH$1,$BH$2:$BR$2,$BH199:$BR199,0),0)</f>
        <v>0</v>
      </c>
      <c r="JI199" s="26">
        <f>IF(JI$2=InputTable[[#This Row],[Delivery Date]],_xlfn.XLOOKUP(JI$1,$BH$2:$BR$2,$BH199:$BR199,0),0)</f>
        <v>0</v>
      </c>
      <c r="JJ199" s="26">
        <f>IF(JJ$2=InputTable[[#This Row],[Delivery Date]],_xlfn.XLOOKUP(JJ$1,$BH$2:$BR$2,$BH199:$BR199,0),0)</f>
        <v>0</v>
      </c>
      <c r="JK199" s="26">
        <f>IF(JK$2=InputTable[[#This Row],[Delivery Date]],_xlfn.XLOOKUP(JK$1,$BH$2:$BR$2,$BH199:$BR199,0),0)</f>
        <v>0</v>
      </c>
      <c r="JL199" s="26">
        <f>IF(JL$2=InputTable[[#This Row],[Delivery Date]],_xlfn.XLOOKUP(JL$1,$BH$2:$BR$2,$BH199:$BR199,0),0)</f>
        <v>0</v>
      </c>
      <c r="JN199" s="26" t="e">
        <f>IF(JN$2=InputTable[[#This Row],[Delivery Date]],_xlfn.XLOOKUP(JN$1,$BH$2:$BR$2,$BH199:$BR199,0),0)</f>
        <v>#REF!</v>
      </c>
      <c r="JO199" s="26">
        <f>IF(JO$2=InputTable[[#This Row],[Delivery Date]],_xlfn.XLOOKUP(JO$1,$BH$2:$BR$2,$BH199:$BR199,0),0)</f>
        <v>0</v>
      </c>
      <c r="JP199" s="26">
        <f>IF(JP$2=InputTable[[#This Row],[Delivery Date]],_xlfn.XLOOKUP(JP$1,$BH$2:$BR$2,$BH199:$BR199,0),0)</f>
        <v>0</v>
      </c>
      <c r="JQ199" s="26">
        <f>IF(JQ$2=InputTable[[#This Row],[Delivery Date]],_xlfn.XLOOKUP(JQ$1,$BH$2:$BR$2,$BH199:$BR199,0),0)</f>
        <v>0</v>
      </c>
      <c r="JR199" s="26">
        <f>IF(JR$2=InputTable[[#This Row],[Delivery Date]],_xlfn.XLOOKUP(JR$1,$BH$2:$BR$2,$BH199:$BR199,0),0)</f>
        <v>0</v>
      </c>
      <c r="JS199" s="26">
        <f>IF(JS$2=InputTable[[#This Row],[Delivery Date]],_xlfn.XLOOKUP(JS$1,$BH$2:$BR$2,$BH199:$BR199,0),0)</f>
        <v>0</v>
      </c>
      <c r="JT199" s="26">
        <f>IF(JT$2=InputTable[[#This Row],[Delivery Date]],_xlfn.XLOOKUP(JT$1,$BH$2:$BR$2,$BH199:$BR199,0),0)</f>
        <v>0</v>
      </c>
      <c r="JU199" s="26">
        <f>IF(JU$2=InputTable[[#This Row],[Delivery Date]],_xlfn.XLOOKUP(JU$1,$BH$2:$BR$2,$BH199:$BR199,0),0)</f>
        <v>0</v>
      </c>
      <c r="JV199" s="26">
        <f>IF(JV$2=InputTable[[#This Row],[Delivery Date]],_xlfn.XLOOKUP(JV$1,$BH$2:$BR$2,$BH199:$BR199,0),0)</f>
        <v>0</v>
      </c>
      <c r="JX199" s="26" t="e">
        <f>IF(JX$2=InputTable[[#This Row],[Delivery Date]],_xlfn.XLOOKUP(JX$1,$BH$2:$BR$2,$BH199:$BR199,0),0)</f>
        <v>#REF!</v>
      </c>
      <c r="JY199" s="26">
        <f>IF(JY$2=InputTable[[#This Row],[Delivery Date]],_xlfn.XLOOKUP(JY$1,$BH$2:$BR$2,$BH199:$BR199,0),0)</f>
        <v>0</v>
      </c>
      <c r="JZ199" s="26">
        <f>IF(JZ$2=InputTable[[#This Row],[Delivery Date]],_xlfn.XLOOKUP(JZ$1,$BH$2:$BR$2,$BH199:$BR199,0),0)</f>
        <v>0</v>
      </c>
      <c r="KA199" s="26">
        <f>IF(KA$2=InputTable[[#This Row],[Delivery Date]],_xlfn.XLOOKUP(KA$1,$BH$2:$BR$2,$BH199:$BR199,0),0)</f>
        <v>0</v>
      </c>
      <c r="KB199" s="26">
        <f>IF(KB$2=InputTable[[#This Row],[Delivery Date]],_xlfn.XLOOKUP(KB$1,$BH$2:$BR$2,$BH199:$BR199,0),0)</f>
        <v>0</v>
      </c>
      <c r="KC199" s="26">
        <f>IF(KC$2=InputTable[[#This Row],[Delivery Date]],_xlfn.XLOOKUP(KC$1,$BH$2:$BR$2,$BH199:$BR199,0),0)</f>
        <v>0</v>
      </c>
      <c r="KD199" s="26">
        <f>IF(KD$2=InputTable[[#This Row],[Delivery Date]],_xlfn.XLOOKUP(KD$1,$BH$2:$BR$2,$BH199:$BR199,0),0)</f>
        <v>0</v>
      </c>
      <c r="KE199" s="26">
        <f>IF(KE$2=InputTable[[#This Row],[Delivery Date]],_xlfn.XLOOKUP(KE$1,$BH$2:$BR$2,$BH199:$BR199,0),0)</f>
        <v>0</v>
      </c>
      <c r="KF199" s="26">
        <f>IF(KF$2=InputTable[[#This Row],[Delivery Date]],_xlfn.XLOOKUP(KF$1,$BH$2:$BR$2,$BH199:$BR199,0),0)</f>
        <v>0</v>
      </c>
    </row>
    <row r="200" spans="1:292" ht="34.799999999999997" x14ac:dyDescent="0.25">
      <c r="A200" s="125"/>
      <c r="B200" s="118"/>
      <c r="C200" s="92"/>
      <c r="D200" s="92"/>
      <c r="E200" s="107"/>
      <c r="F200" s="108"/>
      <c r="G200" s="109"/>
      <c r="H200" s="109"/>
      <c r="I200" s="108"/>
      <c r="J200" s="110"/>
      <c r="K200" s="95" t="e">
        <f>VLOOKUP((InputTable[[#This Row],[Starting Date]]&amp; " - " &amp;InputTable[[#This Row],[Delivery Date]]),'System List'!$F$40:$H$83,2,FALSE)</f>
        <v>#N/A</v>
      </c>
      <c r="L200" s="95" t="e">
        <f>VLOOKUP(InputTable[[#This Row],[Duration]],Duration,2,FALSE)</f>
        <v>#N/A</v>
      </c>
      <c r="M200" s="110"/>
      <c r="N200" s="108"/>
      <c r="O200" s="108"/>
      <c r="P200" s="108"/>
      <c r="Q200" s="108"/>
      <c r="R200" s="108"/>
      <c r="S200" s="92"/>
      <c r="T200" s="95"/>
      <c r="U200" s="138"/>
      <c r="V200" s="108"/>
      <c r="W200" s="108"/>
      <c r="X200" s="108"/>
      <c r="Y200" s="108"/>
      <c r="Z200" s="108"/>
      <c r="AA200" s="108"/>
      <c r="AB200" s="113"/>
      <c r="AC200" s="108"/>
      <c r="AD200" s="92">
        <f>COUNTA(InputTable[[#This Row],[CORPHRFIN]:[SALES]])</f>
        <v>0</v>
      </c>
      <c r="AE200" s="88" cm="1">
        <f t="array" ref="AE200">SUM(
_xlfn.XLOOKUP(InputTable[[#This Row],[CORPHRFIN]:[SALES]],'System List'!$F$4:$F$7,'System List'!$H$4:$H$7,0))</f>
        <v>0</v>
      </c>
      <c r="AF200" s="140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88" cm="1">
        <f t="array" ref="AR200">SUM(
_xlfn.XLOOKUP(InputTable[[#This Row],[Impact on - CIAL]:[Impact on - STRAT]],'System List'!$F$4:$F$7,'System List'!$H$4:$H$7,0))</f>
        <v>0</v>
      </c>
      <c r="AS200" s="88" t="e">
        <f>VLOOKUP(InputTable[[#This Row],[Duration]],Duration,2,FALSE)+InputTable[[#This Row],[Resource Score]]</f>
        <v>#N/A</v>
      </c>
      <c r="AT200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0" s="24" t="e">
        <f>InputTable[[#This Row],[Value Score]]/InputTable[[#This Row],[EFFORT SCORE]]*100</f>
        <v>#N/A</v>
      </c>
      <c r="AV200" s="25" t="s">
        <v>491</v>
      </c>
      <c r="AW200" s="25"/>
      <c r="AX200" s="144"/>
      <c r="AY200" s="25"/>
      <c r="AZ200" s="189">
        <v>0</v>
      </c>
      <c r="BA200" s="189">
        <v>0</v>
      </c>
      <c r="BB200" s="189"/>
      <c r="BC200" s="189"/>
      <c r="BD200" s="188"/>
      <c r="BE200" s="188"/>
      <c r="BF200" s="70"/>
      <c r="BH200" s="2">
        <f>IFERROR(VLOOKUP(InputTable[[#This Row],[Impact on - CIAL]],'System List'!$F$4:$H$7,3,FALSE),0)</f>
        <v>0</v>
      </c>
      <c r="BI200" s="2">
        <f>IFERROR(VLOOKUP(InputTable[[#This Row],[Impact on - COM]],'System List'!$F$4:$H$7,3,FALSE),0)</f>
        <v>0</v>
      </c>
      <c r="BJ200" s="2">
        <f>IFERROR(VLOOKUP(InputTable[[#This Row],[Impact on - FIN]],'System List'!$F$4:$H$7,3,FALSE),0)</f>
        <v>0</v>
      </c>
      <c r="BK200" s="2">
        <f>IFERROR(VLOOKUP(InputTable[[#This Row],[Impact on - GEN SEC]],'System List'!$F$4:$H$7,3,FALSE),0)</f>
        <v>0</v>
      </c>
      <c r="BL200" s="2">
        <f>IFERROR(VLOOKUP(InputTable[[#This Row],[Impact on - HR]],'System List'!$F$4:$H$7,3,FALSE),0)</f>
        <v>0</v>
      </c>
      <c r="BM200" s="2">
        <f>IFERROR(VLOOKUP(InputTable[[#This Row],[Impact on - IS]],'System List'!$F$4:$H$7,3,FALSE),0)</f>
        <v>0</v>
      </c>
      <c r="BN200" s="2">
        <f>IFERROR(VLOOKUP(InputTable[[#This Row],[Impact on - OPS]],'System List'!$F$4:$H$7,3,FALSE),0)</f>
        <v>0</v>
      </c>
      <c r="BO200" s="2">
        <f>IFERROR(VLOOKUP(InputTable[[#This Row],[Impact on - ROLL STOCK]],'System List'!$F$4:$H$7,3,FALSE),0)</f>
        <v>0</v>
      </c>
      <c r="BP200" s="2">
        <f>IFERROR(VLOOKUP(InputTable[[#This Row],[Impact on - SAFETY]],'System List'!$F$4:$H$7,3,FALSE),0)</f>
        <v>0</v>
      </c>
      <c r="BQ200" s="2">
        <f>IFERROR(VLOOKUP(InputTable[[#This Row],[Impact on - STATION]],'System List'!$F$4:$H$7,3,FALSE),0)</f>
        <v>0</v>
      </c>
      <c r="BR200" s="2">
        <f>IFERROR(VLOOKUP(InputTable[[#This Row],[Impact on - STRAT]],'System List'!$F$4:$H$7,3,FALSE),0)</f>
        <v>0</v>
      </c>
      <c r="BT200" s="2">
        <f>IFERROR(VLOOKUP(InputTable[[#This Row],[CORPHRFIN]],'System List'!$F$4:$H$7,3,FALSE),0)</f>
        <v>0</v>
      </c>
      <c r="BU200" s="2">
        <f>IFERROR(VLOOKUP(InputTable[[#This Row],[CUST]],'System List'!$F$4:$H$7,3,FALSE),0)</f>
        <v>0</v>
      </c>
      <c r="BV200" s="2">
        <f>IFERROR(VLOOKUP(InputTable[[#This Row],[CYBER]],'System List'!$F$4:$H$7,3,FALSE),0)</f>
        <v>0</v>
      </c>
      <c r="BW200" s="2">
        <f>IFERROR(VLOOKUP(InputTable[[#This Row],[DATA]],'System List'!$F$4:$H$7,3,FALSE),0)</f>
        <v>0</v>
      </c>
      <c r="BX200" s="2">
        <f>IFERROR(VLOOKUP(InputTable[[#This Row],[INFRA]],'System List'!$F$4:$H$7,3,FALSE),0)</f>
        <v>0</v>
      </c>
      <c r="BY200" s="2">
        <f>IFERROR(VLOOKUP(InputTable[[#This Row],[OPERATIONS]],'System List'!$F$4:$H$7,3,FALSE),0)</f>
        <v>0</v>
      </c>
      <c r="BZ200" s="2">
        <f>IFERROR(VLOOKUP(InputTable[[#This Row],[PMO]],'System List'!$F$4:$H$7,3,FALSE),0)</f>
        <v>0</v>
      </c>
      <c r="CA200" s="2">
        <f>IFERROR(VLOOKUP(InputTable[[#This Row],[SALES]],'System List'!$F$4:$H$7,3,FALSE),0)</f>
        <v>0</v>
      </c>
      <c r="CC200" s="2" cm="1">
        <f t="array" ref="CC200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0" s="2" cm="1">
        <f t="array" ref="CD200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0" s="2" cm="1">
        <f t="array" ref="CE200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0" s="2" cm="1">
        <f t="array" ref="CF200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0" s="2" cm="1">
        <f t="array" ref="CG200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0" s="2" cm="1">
        <f t="array" ref="CH200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0" s="2" cm="1">
        <f t="array" ref="CI200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0" s="2" cm="1">
        <f t="array" ref="CJ200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0" s="2" cm="1">
        <f t="array" ref="CK200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0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0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0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0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0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0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0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0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0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0" s="26">
        <f t="shared" si="451"/>
        <v>0</v>
      </c>
      <c r="CY200" s="26">
        <f t="shared" si="452"/>
        <v>0</v>
      </c>
      <c r="CZ200" s="26">
        <f t="shared" si="453"/>
        <v>0</v>
      </c>
      <c r="DA200" s="26">
        <f t="shared" si="454"/>
        <v>0</v>
      </c>
      <c r="DB200" s="26">
        <f t="shared" si="455"/>
        <v>0</v>
      </c>
      <c r="DC200" s="26">
        <f t="shared" si="456"/>
        <v>0</v>
      </c>
      <c r="DD200" s="26">
        <f t="shared" si="457"/>
        <v>0</v>
      </c>
      <c r="DE200" s="26">
        <f t="shared" si="458"/>
        <v>0</v>
      </c>
      <c r="DF200" s="26">
        <f t="shared" si="459"/>
        <v>0</v>
      </c>
      <c r="DH200" s="26">
        <f t="shared" si="460"/>
        <v>0</v>
      </c>
      <c r="DI200" s="26">
        <f t="shared" si="461"/>
        <v>0</v>
      </c>
      <c r="DJ200" s="26">
        <f t="shared" si="462"/>
        <v>0</v>
      </c>
      <c r="DK200" s="26">
        <f t="shared" si="463"/>
        <v>0</v>
      </c>
      <c r="DL200" s="26">
        <f t="shared" si="464"/>
        <v>0</v>
      </c>
      <c r="DM200" s="26">
        <f t="shared" si="465"/>
        <v>0</v>
      </c>
      <c r="DN200" s="26">
        <f t="shared" si="466"/>
        <v>0</v>
      </c>
      <c r="DO200" s="26">
        <f t="shared" si="467"/>
        <v>0</v>
      </c>
      <c r="DP200" s="26">
        <f t="shared" si="468"/>
        <v>0</v>
      </c>
      <c r="DR200" s="26">
        <f t="shared" si="469"/>
        <v>0</v>
      </c>
      <c r="DS200" s="26">
        <f t="shared" si="470"/>
        <v>0</v>
      </c>
      <c r="DT200" s="26">
        <f t="shared" si="471"/>
        <v>0</v>
      </c>
      <c r="DU200" s="26">
        <f t="shared" si="472"/>
        <v>0</v>
      </c>
      <c r="DV200" s="26">
        <f t="shared" si="473"/>
        <v>0</v>
      </c>
      <c r="DW200" s="26">
        <f t="shared" si="474"/>
        <v>0</v>
      </c>
      <c r="DX200" s="26">
        <f t="shared" si="475"/>
        <v>0</v>
      </c>
      <c r="DY200" s="26">
        <f t="shared" si="476"/>
        <v>0</v>
      </c>
      <c r="DZ200" s="26">
        <f t="shared" si="477"/>
        <v>0</v>
      </c>
      <c r="EB200" s="26">
        <f t="shared" si="478"/>
        <v>0</v>
      </c>
      <c r="EC200" s="26">
        <f t="shared" si="479"/>
        <v>0</v>
      </c>
      <c r="ED200" s="26">
        <f t="shared" si="480"/>
        <v>0</v>
      </c>
      <c r="EE200" s="26">
        <f t="shared" si="481"/>
        <v>0</v>
      </c>
      <c r="EF200" s="26">
        <f t="shared" si="482"/>
        <v>0</v>
      </c>
      <c r="EG200" s="26">
        <f t="shared" si="483"/>
        <v>0</v>
      </c>
      <c r="EH200" s="26">
        <f t="shared" si="484"/>
        <v>0</v>
      </c>
      <c r="EI200" s="26">
        <f t="shared" si="485"/>
        <v>0</v>
      </c>
      <c r="EJ200" s="26">
        <f t="shared" si="486"/>
        <v>0</v>
      </c>
      <c r="EL200" s="26">
        <f t="shared" si="487"/>
        <v>0</v>
      </c>
      <c r="EM200" s="26">
        <f t="shared" si="488"/>
        <v>0</v>
      </c>
      <c r="EN200" s="26">
        <f t="shared" si="489"/>
        <v>0</v>
      </c>
      <c r="EO200" s="26">
        <f t="shared" si="490"/>
        <v>0</v>
      </c>
      <c r="EP200" s="26">
        <f t="shared" si="491"/>
        <v>0</v>
      </c>
      <c r="EQ200" s="26">
        <f t="shared" si="492"/>
        <v>0</v>
      </c>
      <c r="ER200" s="26">
        <f t="shared" si="493"/>
        <v>0</v>
      </c>
      <c r="ES200" s="26">
        <f t="shared" si="494"/>
        <v>0</v>
      </c>
      <c r="ET200" s="26">
        <f t="shared" si="495"/>
        <v>0</v>
      </c>
      <c r="EV200" s="26">
        <f t="shared" si="496"/>
        <v>0</v>
      </c>
      <c r="EW200" s="26">
        <f t="shared" si="497"/>
        <v>0</v>
      </c>
      <c r="EX200" s="26">
        <f t="shared" si="498"/>
        <v>0</v>
      </c>
      <c r="EY200" s="26">
        <f t="shared" si="499"/>
        <v>0</v>
      </c>
      <c r="EZ200" s="26">
        <f t="shared" si="500"/>
        <v>0</v>
      </c>
      <c r="FA200" s="26">
        <f t="shared" si="501"/>
        <v>0</v>
      </c>
      <c r="FB200" s="26">
        <f t="shared" si="502"/>
        <v>0</v>
      </c>
      <c r="FC200" s="26">
        <f t="shared" si="503"/>
        <v>0</v>
      </c>
      <c r="FD200" s="26">
        <f t="shared" si="504"/>
        <v>0</v>
      </c>
      <c r="FF200" s="26">
        <f t="shared" si="505"/>
        <v>0</v>
      </c>
      <c r="FG200" s="26">
        <f t="shared" si="506"/>
        <v>0</v>
      </c>
      <c r="FH200" s="26">
        <f t="shared" si="507"/>
        <v>0</v>
      </c>
      <c r="FI200" s="26">
        <f t="shared" si="508"/>
        <v>0</v>
      </c>
      <c r="FJ200" s="26">
        <f t="shared" si="509"/>
        <v>0</v>
      </c>
      <c r="FK200" s="26">
        <f t="shared" si="510"/>
        <v>0</v>
      </c>
      <c r="FL200" s="26">
        <f t="shared" si="511"/>
        <v>0</v>
      </c>
      <c r="FM200" s="26">
        <f t="shared" si="512"/>
        <v>0</v>
      </c>
      <c r="FN200" s="26">
        <f t="shared" si="513"/>
        <v>0</v>
      </c>
      <c r="FP200" s="26" t="e">
        <f t="shared" si="514"/>
        <v>#REF!</v>
      </c>
      <c r="FQ200" s="26" t="e">
        <f t="shared" si="515"/>
        <v>#REF!</v>
      </c>
      <c r="FR200" s="26" t="e">
        <f t="shared" si="516"/>
        <v>#REF!</v>
      </c>
      <c r="FS200" s="26" t="e">
        <f t="shared" si="517"/>
        <v>#REF!</v>
      </c>
      <c r="FT200" s="26" t="e">
        <f t="shared" si="518"/>
        <v>#REF!</v>
      </c>
      <c r="FU200" s="26" t="e">
        <f t="shared" si="519"/>
        <v>#REF!</v>
      </c>
      <c r="FV200" s="26" t="e">
        <f t="shared" si="520"/>
        <v>#REF!</v>
      </c>
      <c r="FW200" s="26" t="e">
        <f t="shared" si="521"/>
        <v>#REF!</v>
      </c>
      <c r="FX200" s="26" t="e">
        <f t="shared" si="522"/>
        <v>#REF!</v>
      </c>
      <c r="GB200" s="26" t="e">
        <f>IF(GB$2=InputTable[[#This Row],[Delivery Date]],_xlfn.XLOOKUP(GB$1,$BH$2:$BR$2,$BH200:$BR200,0),0)</f>
        <v>#REF!</v>
      </c>
      <c r="GC200" s="26">
        <f>IF(GC$2=InputTable[[#This Row],[Delivery Date]],_xlfn.XLOOKUP(GC$1,$BH$2:$BR$2,$BH200:$BR200,0),0)</f>
        <v>0</v>
      </c>
      <c r="GD200" s="26">
        <f>IF(GD$2=InputTable[[#This Row],[Delivery Date]],_xlfn.XLOOKUP(GD$1,$BH$2:$BR$2,$BH200:$BR200,0),0)</f>
        <v>0</v>
      </c>
      <c r="GE200" s="26">
        <f>IF(GE$2=InputTable[[#This Row],[Delivery Date]],_xlfn.XLOOKUP(GE$1,$BH$2:$BR$2,$BH200:$BR200,0),0)</f>
        <v>0</v>
      </c>
      <c r="GF200" s="26">
        <f>IF(GF$2=InputTable[[#This Row],[Delivery Date]],_xlfn.XLOOKUP(GF$1,$BH$2:$BR$2,$BH200:$BR200,0),0)</f>
        <v>0</v>
      </c>
      <c r="GG200" s="26">
        <f>IF(GG$2=InputTable[[#This Row],[Delivery Date]],_xlfn.XLOOKUP(GG$1,$BH$2:$BR$2,$BH200:$BR200,0),0)</f>
        <v>0</v>
      </c>
      <c r="GH200" s="26">
        <f>IF(GH$2=InputTable[[#This Row],[Delivery Date]],_xlfn.XLOOKUP(GH$1,$BH$2:$BR$2,$BH200:$BR200,0),0)</f>
        <v>0</v>
      </c>
      <c r="GI200" s="26">
        <f>IF(GI$2=InputTable[[#This Row],[Delivery Date]],_xlfn.XLOOKUP(GI$1,$BH$2:$BR$2,$BH200:$BR200,0),0)</f>
        <v>0</v>
      </c>
      <c r="GJ200" s="26">
        <f>IF(GJ$2=InputTable[[#This Row],[Delivery Date]],_xlfn.XLOOKUP(GJ$1,$BH$2:$BR$2,$BH200:$BR200,0),0)</f>
        <v>0</v>
      </c>
      <c r="GL200" s="26" t="e">
        <f>IF(GL$2=InputTable[[#This Row],[Delivery Date]],_xlfn.XLOOKUP(GL$1,$BH$2:$BR$2,$BH200:$BR200,0),0)</f>
        <v>#REF!</v>
      </c>
      <c r="GM200" s="26">
        <f>IF(GM$2=InputTable[[#This Row],[Delivery Date]],_xlfn.XLOOKUP(GM$1,$BH$2:$BR$2,$BH200:$BR200,0),0)</f>
        <v>0</v>
      </c>
      <c r="GN200" s="26">
        <f>IF(GN$2=InputTable[[#This Row],[Delivery Date]],_xlfn.XLOOKUP(GN$1,$BH$2:$BR$2,$BH200:$BR200,0),0)</f>
        <v>0</v>
      </c>
      <c r="GO200" s="26">
        <f>IF(GO$2=InputTable[[#This Row],[Delivery Date]],_xlfn.XLOOKUP(GO$1,$BH$2:$BR$2,$BH200:$BR200,0),0)</f>
        <v>0</v>
      </c>
      <c r="GP200" s="26">
        <f>IF(GP$2=InputTable[[#This Row],[Delivery Date]],_xlfn.XLOOKUP(GP$1,$BH$2:$BR$2,$BH200:$BR200,0),0)</f>
        <v>0</v>
      </c>
      <c r="GQ200" s="26">
        <f>IF(GQ$2=InputTable[[#This Row],[Delivery Date]],_xlfn.XLOOKUP(GQ$1,$BH$2:$BR$2,$BH200:$BR200,0),0)</f>
        <v>0</v>
      </c>
      <c r="GR200" s="26">
        <f>IF(GR$2=InputTable[[#This Row],[Delivery Date]],_xlfn.XLOOKUP(GR$1,$BH$2:$BR$2,$BH200:$BR200,0),0)</f>
        <v>0</v>
      </c>
      <c r="GS200" s="26">
        <f>IF(GS$2=InputTable[[#This Row],[Delivery Date]],_xlfn.XLOOKUP(GS$1,$BH$2:$BR$2,$BH200:$BR200,0),0)</f>
        <v>0</v>
      </c>
      <c r="GT200" s="26">
        <f>IF(GT$2=InputTable[[#This Row],[Delivery Date]],_xlfn.XLOOKUP(GT$1,$BH$2:$BR$2,$BH200:$BR200,0),0)</f>
        <v>0</v>
      </c>
      <c r="GV200" s="26" t="e">
        <f>IF(GV$2=InputTable[[#This Row],[Delivery Date]],_xlfn.XLOOKUP(GV$1,$BH$2:$BR$2,$BH200:$BR200,0),0)</f>
        <v>#REF!</v>
      </c>
      <c r="GW200" s="26">
        <f>IF(GW$2=InputTable[[#This Row],[Delivery Date]],_xlfn.XLOOKUP(GW$1,$BH$2:$BR$2,$BH200:$BR200,0),0)</f>
        <v>0</v>
      </c>
      <c r="GX200" s="26">
        <f>IF(GX$2=InputTable[[#This Row],[Delivery Date]],_xlfn.XLOOKUP(GX$1,$BH$2:$BR$2,$BH200:$BR200,0),0)</f>
        <v>0</v>
      </c>
      <c r="GY200" s="26">
        <f>IF(GY$2=InputTable[[#This Row],[Delivery Date]],_xlfn.XLOOKUP(GY$1,$BH$2:$BR$2,$BH200:$BR200,0),0)</f>
        <v>0</v>
      </c>
      <c r="GZ200" s="26">
        <f>IF(GZ$2=InputTable[[#This Row],[Delivery Date]],_xlfn.XLOOKUP(GZ$1,$BH$2:$BR$2,$BH200:$BR200,0),0)</f>
        <v>0</v>
      </c>
      <c r="HA200" s="26">
        <f>IF(HA$2=InputTable[[#This Row],[Delivery Date]],_xlfn.XLOOKUP(HA$1,$BH$2:$BR$2,$BH200:$BR200,0),0)</f>
        <v>0</v>
      </c>
      <c r="HB200" s="26">
        <f>IF(HB$2=InputTable[[#This Row],[Delivery Date]],_xlfn.XLOOKUP(HB$1,$BH$2:$BR$2,$BH200:$BR200,0),0)</f>
        <v>0</v>
      </c>
      <c r="HC200" s="26">
        <f>IF(HC$2=InputTable[[#This Row],[Delivery Date]],_xlfn.XLOOKUP(HC$1,$BH$2:$BR$2,$BH200:$BR200,0),0)</f>
        <v>0</v>
      </c>
      <c r="HD200" s="26">
        <f>IF(HD$2=InputTable[[#This Row],[Delivery Date]],_xlfn.XLOOKUP(HD$1,$BH$2:$BR$2,$BH200:$BR200,0),0)</f>
        <v>0</v>
      </c>
      <c r="HF200" s="26" t="e">
        <f>IF(HF$2=InputTable[[#This Row],[Delivery Date]],_xlfn.XLOOKUP(HF$1,$BH$2:$BR$2,$BH200:$BR200,0),0)</f>
        <v>#REF!</v>
      </c>
      <c r="HG200" s="26">
        <f>IF(HG$2=InputTable[[#This Row],[Delivery Date]],_xlfn.XLOOKUP(HG$1,$BH$2:$BR$2,$BH200:$BR200,0),0)</f>
        <v>0</v>
      </c>
      <c r="HH200" s="26">
        <f>IF(HH$2=InputTable[[#This Row],[Delivery Date]],_xlfn.XLOOKUP(HH$1,$BH$2:$BR$2,$BH200:$BR200,0),0)</f>
        <v>0</v>
      </c>
      <c r="HI200" s="26">
        <f>IF(HI$2=InputTable[[#This Row],[Delivery Date]],_xlfn.XLOOKUP(HI$1,$BH$2:$BR$2,$BH200:$BR200,0),0)</f>
        <v>0</v>
      </c>
      <c r="HJ200" s="26">
        <f>IF(HJ$2=InputTable[[#This Row],[Delivery Date]],_xlfn.XLOOKUP(HJ$1,$BH$2:$BR$2,$BH200:$BR200,0),0)</f>
        <v>0</v>
      </c>
      <c r="HK200" s="26">
        <f>IF(HK$2=InputTable[[#This Row],[Delivery Date]],_xlfn.XLOOKUP(HK$1,$BH$2:$BR$2,$BH200:$BR200,0),0)</f>
        <v>0</v>
      </c>
      <c r="HL200" s="26">
        <f>IF(HL$2=InputTable[[#This Row],[Delivery Date]],_xlfn.XLOOKUP(HL$1,$BH$2:$BR$2,$BH200:$BR200,0),0)</f>
        <v>0</v>
      </c>
      <c r="HM200" s="26">
        <f>IF(HM$2=InputTable[[#This Row],[Delivery Date]],_xlfn.XLOOKUP(HM$1,$BH$2:$BR$2,$BH200:$BR200,0),0)</f>
        <v>0</v>
      </c>
      <c r="HN200" s="26">
        <f>IF(HN$2=InputTable[[#This Row],[Delivery Date]],_xlfn.XLOOKUP(HN$1,$BH$2:$BR$2,$BH200:$BR200,0),0)</f>
        <v>0</v>
      </c>
      <c r="HP200" s="26" t="e">
        <f>IF(HP$2=InputTable[[#This Row],[Delivery Date]],_xlfn.XLOOKUP(HP$1,$BH$2:$BR$2,$BH200:$BR200,0),0)</f>
        <v>#REF!</v>
      </c>
      <c r="HQ200" s="26">
        <f>IF(HQ$2=InputTable[[#This Row],[Delivery Date]],_xlfn.XLOOKUP(HQ$1,$BH$2:$BR$2,$BH200:$BR200,0),0)</f>
        <v>0</v>
      </c>
      <c r="HR200" s="26">
        <f>IF(HR$2=InputTable[[#This Row],[Delivery Date]],_xlfn.XLOOKUP(HR$1,$BH$2:$BR$2,$BH200:$BR200,0),0)</f>
        <v>0</v>
      </c>
      <c r="HS200" s="26">
        <f>IF(HS$2=InputTable[[#This Row],[Delivery Date]],_xlfn.XLOOKUP(HS$1,$BH$2:$BR$2,$BH200:$BR200,0),0)</f>
        <v>0</v>
      </c>
      <c r="HT200" s="26">
        <f>IF(HT$2=InputTable[[#This Row],[Delivery Date]],_xlfn.XLOOKUP(HT$1,$BH$2:$BR$2,$BH200:$BR200,0),0)</f>
        <v>0</v>
      </c>
      <c r="HU200" s="26">
        <f>IF(HU$2=InputTable[[#This Row],[Delivery Date]],_xlfn.XLOOKUP(HU$1,$BH$2:$BR$2,$BH200:$BR200,0),0)</f>
        <v>0</v>
      </c>
      <c r="HV200" s="26">
        <f>IF(HV$2=InputTable[[#This Row],[Delivery Date]],_xlfn.XLOOKUP(HV$1,$BH$2:$BR$2,$BH200:$BR200,0),0)</f>
        <v>0</v>
      </c>
      <c r="HW200" s="26">
        <f>IF(HW$2=InputTable[[#This Row],[Delivery Date]],_xlfn.XLOOKUP(HW$1,$BH$2:$BR$2,$BH200:$BR200,0),0)</f>
        <v>0</v>
      </c>
      <c r="HX200" s="26">
        <f>IF(HX$2=InputTable[[#This Row],[Delivery Date]],_xlfn.XLOOKUP(HX$1,$BH$2:$BR$2,$BH200:$BR200,0),0)</f>
        <v>0</v>
      </c>
      <c r="HZ200" s="26" t="e">
        <f>IF(HZ$2=InputTable[[#This Row],[Delivery Date]],_xlfn.XLOOKUP(HZ$1,$BH$2:$BR$2,$BH200:$BR200,0),0)</f>
        <v>#REF!</v>
      </c>
      <c r="IA200" s="26">
        <f>IF(IA$2=InputTable[[#This Row],[Delivery Date]],_xlfn.XLOOKUP(IA$1,$BH$2:$BR$2,$BH200:$BR200,0),0)</f>
        <v>0</v>
      </c>
      <c r="IB200" s="26">
        <f>IF(IB$2=InputTable[[#This Row],[Delivery Date]],_xlfn.XLOOKUP(IB$1,$BH$2:$BR$2,$BH200:$BR200,0),0)</f>
        <v>0</v>
      </c>
      <c r="IC200" s="26">
        <f>IF(IC$2=InputTable[[#This Row],[Delivery Date]],_xlfn.XLOOKUP(IC$1,$BH$2:$BR$2,$BH200:$BR200,0),0)</f>
        <v>0</v>
      </c>
      <c r="ID200" s="26">
        <f>IF(ID$2=InputTable[[#This Row],[Delivery Date]],_xlfn.XLOOKUP(ID$1,$BH$2:$BR$2,$BH200:$BR200,0),0)</f>
        <v>0</v>
      </c>
      <c r="IE200" s="26">
        <f>IF(IE$2=InputTable[[#This Row],[Delivery Date]],_xlfn.XLOOKUP(IE$1,$BH$2:$BR$2,$BH200:$BR200,0),0)</f>
        <v>0</v>
      </c>
      <c r="IF200" s="26">
        <f>IF(IF$2=InputTable[[#This Row],[Delivery Date]],_xlfn.XLOOKUP(IF$1,$BH$2:$BR$2,$BH200:$BR200,0),0)</f>
        <v>0</v>
      </c>
      <c r="IG200" s="26">
        <f>IF(IG$2=InputTable[[#This Row],[Delivery Date]],_xlfn.XLOOKUP(IG$1,$BH$2:$BR$2,$BH200:$BR200,0),0)</f>
        <v>0</v>
      </c>
      <c r="IH200" s="26">
        <f>IF(IH$2=InputTable[[#This Row],[Delivery Date]],_xlfn.XLOOKUP(IH$1,$BH$2:$BR$2,$BH200:$BR200,0),0)</f>
        <v>0</v>
      </c>
      <c r="IJ200" s="26" t="e">
        <f>IF(IJ$2=InputTable[[#This Row],[Delivery Date]],_xlfn.XLOOKUP(IJ$1,$BH$2:$BR$2,$BH200:$BR200,0),0)</f>
        <v>#REF!</v>
      </c>
      <c r="IK200" s="26">
        <f>IF(IK$2=InputTable[[#This Row],[Delivery Date]],_xlfn.XLOOKUP(IK$1,$BH$2:$BR$2,$BH200:$BR200,0),0)</f>
        <v>0</v>
      </c>
      <c r="IL200" s="26">
        <f>IF(IL$2=InputTable[[#This Row],[Delivery Date]],_xlfn.XLOOKUP(IL$1,$BH$2:$BR$2,$BH200:$BR200,0),0)</f>
        <v>0</v>
      </c>
      <c r="IM200" s="26">
        <f>IF(IM$2=InputTable[[#This Row],[Delivery Date]],_xlfn.XLOOKUP(IM$1,$BH$2:$BR$2,$BH200:$BR200,0),0)</f>
        <v>0</v>
      </c>
      <c r="IN200" s="26">
        <f>IF(IN$2=InputTable[[#This Row],[Delivery Date]],_xlfn.XLOOKUP(IN$1,$BH$2:$BR$2,$BH200:$BR200,0),0)</f>
        <v>0</v>
      </c>
      <c r="IO200" s="26">
        <f>IF(IO$2=InputTable[[#This Row],[Delivery Date]],_xlfn.XLOOKUP(IO$1,$BH$2:$BR$2,$BH200:$BR200,0),0)</f>
        <v>0</v>
      </c>
      <c r="IP200" s="26">
        <f>IF(IP$2=InputTable[[#This Row],[Delivery Date]],_xlfn.XLOOKUP(IP$1,$BH$2:$BR$2,$BH200:$BR200,0),0)</f>
        <v>0</v>
      </c>
      <c r="IQ200" s="26">
        <f>IF(IQ$2=InputTable[[#This Row],[Delivery Date]],_xlfn.XLOOKUP(IQ$1,$BH$2:$BR$2,$BH200:$BR200,0),0)</f>
        <v>0</v>
      </c>
      <c r="IR200" s="26">
        <f>IF(IR$2=InputTable[[#This Row],[Delivery Date]],_xlfn.XLOOKUP(IR$1,$BH$2:$BR$2,$BH200:$BR200,0),0)</f>
        <v>0</v>
      </c>
      <c r="IT200" s="26" t="e">
        <f>IF(IT$2=InputTable[[#This Row],[Delivery Date]],_xlfn.XLOOKUP(IT$1,$BH$2:$BR$2,$BH200:$BR200,0),0)</f>
        <v>#REF!</v>
      </c>
      <c r="IU200" s="26">
        <f>IF(IU$2=InputTable[[#This Row],[Delivery Date]],_xlfn.XLOOKUP(IU$1,$BH$2:$BR$2,$BH200:$BR200,0),0)</f>
        <v>0</v>
      </c>
      <c r="IV200" s="26">
        <f>IF(IV$2=InputTable[[#This Row],[Delivery Date]],_xlfn.XLOOKUP(IV$1,$BH$2:$BR$2,$BH200:$BR200,0),0)</f>
        <v>0</v>
      </c>
      <c r="IW200" s="26">
        <f>IF(IW$2=InputTable[[#This Row],[Delivery Date]],_xlfn.XLOOKUP(IW$1,$BH$2:$BR$2,$BH200:$BR200,0),0)</f>
        <v>0</v>
      </c>
      <c r="IX200" s="26">
        <f>IF(IX$2=InputTable[[#This Row],[Delivery Date]],_xlfn.XLOOKUP(IX$1,$BH$2:$BR$2,$BH200:$BR200,0),0)</f>
        <v>0</v>
      </c>
      <c r="IY200" s="26">
        <f>IF(IY$2=InputTable[[#This Row],[Delivery Date]],_xlfn.XLOOKUP(IY$1,$BH$2:$BR$2,$BH200:$BR200,0),0)</f>
        <v>0</v>
      </c>
      <c r="IZ200" s="26">
        <f>IF(IZ$2=InputTable[[#This Row],[Delivery Date]],_xlfn.XLOOKUP(IZ$1,$BH$2:$BR$2,$BH200:$BR200,0),0)</f>
        <v>0</v>
      </c>
      <c r="JA200" s="26">
        <f>IF(JA$2=InputTable[[#This Row],[Delivery Date]],_xlfn.XLOOKUP(JA$1,$BH$2:$BR$2,$BH200:$BR200,0),0)</f>
        <v>0</v>
      </c>
      <c r="JB200" s="26">
        <f>IF(JB$2=InputTable[[#This Row],[Delivery Date]],_xlfn.XLOOKUP(JB$1,$BH$2:$BR$2,$BH200:$BR200,0),0)</f>
        <v>0</v>
      </c>
      <c r="JD200" s="26" t="e">
        <f>IF(JD$2=InputTable[[#This Row],[Delivery Date]],_xlfn.XLOOKUP(JD$1,$BH$2:$BR$2,$BH200:$BR200,0),0)</f>
        <v>#REF!</v>
      </c>
      <c r="JE200" s="26">
        <f>IF(JE$2=InputTable[[#This Row],[Delivery Date]],_xlfn.XLOOKUP(JE$1,$BH$2:$BR$2,$BH200:$BR200,0),0)</f>
        <v>0</v>
      </c>
      <c r="JF200" s="26">
        <f>IF(JF$2=InputTable[[#This Row],[Delivery Date]],_xlfn.XLOOKUP(JF$1,$BH$2:$BR$2,$BH200:$BR200,0),0)</f>
        <v>0</v>
      </c>
      <c r="JG200" s="26">
        <f>IF(JG$2=InputTable[[#This Row],[Delivery Date]],_xlfn.XLOOKUP(JG$1,$BH$2:$BR$2,$BH200:$BR200,0),0)</f>
        <v>0</v>
      </c>
      <c r="JH200" s="26">
        <f>IF(JH$2=InputTable[[#This Row],[Delivery Date]],_xlfn.XLOOKUP(JH$1,$BH$2:$BR$2,$BH200:$BR200,0),0)</f>
        <v>0</v>
      </c>
      <c r="JI200" s="26">
        <f>IF(JI$2=InputTable[[#This Row],[Delivery Date]],_xlfn.XLOOKUP(JI$1,$BH$2:$BR$2,$BH200:$BR200,0),0)</f>
        <v>0</v>
      </c>
      <c r="JJ200" s="26">
        <f>IF(JJ$2=InputTable[[#This Row],[Delivery Date]],_xlfn.XLOOKUP(JJ$1,$BH$2:$BR$2,$BH200:$BR200,0),0)</f>
        <v>0</v>
      </c>
      <c r="JK200" s="26">
        <f>IF(JK$2=InputTable[[#This Row],[Delivery Date]],_xlfn.XLOOKUP(JK$1,$BH$2:$BR$2,$BH200:$BR200,0),0)</f>
        <v>0</v>
      </c>
      <c r="JL200" s="26">
        <f>IF(JL$2=InputTable[[#This Row],[Delivery Date]],_xlfn.XLOOKUP(JL$1,$BH$2:$BR$2,$BH200:$BR200,0),0)</f>
        <v>0</v>
      </c>
      <c r="JN200" s="26" t="e">
        <f>IF(JN$2=InputTable[[#This Row],[Delivery Date]],_xlfn.XLOOKUP(JN$1,$BH$2:$BR$2,$BH200:$BR200,0),0)</f>
        <v>#REF!</v>
      </c>
      <c r="JO200" s="26">
        <f>IF(JO$2=InputTable[[#This Row],[Delivery Date]],_xlfn.XLOOKUP(JO$1,$BH$2:$BR$2,$BH200:$BR200,0),0)</f>
        <v>0</v>
      </c>
      <c r="JP200" s="26">
        <f>IF(JP$2=InputTable[[#This Row],[Delivery Date]],_xlfn.XLOOKUP(JP$1,$BH$2:$BR$2,$BH200:$BR200,0),0)</f>
        <v>0</v>
      </c>
      <c r="JQ200" s="26">
        <f>IF(JQ$2=InputTable[[#This Row],[Delivery Date]],_xlfn.XLOOKUP(JQ$1,$BH$2:$BR$2,$BH200:$BR200,0),0)</f>
        <v>0</v>
      </c>
      <c r="JR200" s="26">
        <f>IF(JR$2=InputTable[[#This Row],[Delivery Date]],_xlfn.XLOOKUP(JR$1,$BH$2:$BR$2,$BH200:$BR200,0),0)</f>
        <v>0</v>
      </c>
      <c r="JS200" s="26">
        <f>IF(JS$2=InputTable[[#This Row],[Delivery Date]],_xlfn.XLOOKUP(JS$1,$BH$2:$BR$2,$BH200:$BR200,0),0)</f>
        <v>0</v>
      </c>
      <c r="JT200" s="26">
        <f>IF(JT$2=InputTable[[#This Row],[Delivery Date]],_xlfn.XLOOKUP(JT$1,$BH$2:$BR$2,$BH200:$BR200,0),0)</f>
        <v>0</v>
      </c>
      <c r="JU200" s="26">
        <f>IF(JU$2=InputTable[[#This Row],[Delivery Date]],_xlfn.XLOOKUP(JU$1,$BH$2:$BR$2,$BH200:$BR200,0),0)</f>
        <v>0</v>
      </c>
      <c r="JV200" s="26">
        <f>IF(JV$2=InputTable[[#This Row],[Delivery Date]],_xlfn.XLOOKUP(JV$1,$BH$2:$BR$2,$BH200:$BR200,0),0)</f>
        <v>0</v>
      </c>
      <c r="JX200" s="26" t="e">
        <f>IF(JX$2=InputTable[[#This Row],[Delivery Date]],_xlfn.XLOOKUP(JX$1,$BH$2:$BR$2,$BH200:$BR200,0),0)</f>
        <v>#REF!</v>
      </c>
      <c r="JY200" s="26">
        <f>IF(JY$2=InputTable[[#This Row],[Delivery Date]],_xlfn.XLOOKUP(JY$1,$BH$2:$BR$2,$BH200:$BR200,0),0)</f>
        <v>0</v>
      </c>
      <c r="JZ200" s="26">
        <f>IF(JZ$2=InputTable[[#This Row],[Delivery Date]],_xlfn.XLOOKUP(JZ$1,$BH$2:$BR$2,$BH200:$BR200,0),0)</f>
        <v>0</v>
      </c>
      <c r="KA200" s="26">
        <f>IF(KA$2=InputTable[[#This Row],[Delivery Date]],_xlfn.XLOOKUP(KA$1,$BH$2:$BR$2,$BH200:$BR200,0),0)</f>
        <v>0</v>
      </c>
      <c r="KB200" s="26">
        <f>IF(KB$2=InputTable[[#This Row],[Delivery Date]],_xlfn.XLOOKUP(KB$1,$BH$2:$BR$2,$BH200:$BR200,0),0)</f>
        <v>0</v>
      </c>
      <c r="KC200" s="26">
        <f>IF(KC$2=InputTable[[#This Row],[Delivery Date]],_xlfn.XLOOKUP(KC$1,$BH$2:$BR$2,$BH200:$BR200,0),0)</f>
        <v>0</v>
      </c>
      <c r="KD200" s="26">
        <f>IF(KD$2=InputTable[[#This Row],[Delivery Date]],_xlfn.XLOOKUP(KD$1,$BH$2:$BR$2,$BH200:$BR200,0),0)</f>
        <v>0</v>
      </c>
      <c r="KE200" s="26">
        <f>IF(KE$2=InputTable[[#This Row],[Delivery Date]],_xlfn.XLOOKUP(KE$1,$BH$2:$BR$2,$BH200:$BR200,0),0)</f>
        <v>0</v>
      </c>
      <c r="KF200" s="26">
        <f>IF(KF$2=InputTable[[#This Row],[Delivery Date]],_xlfn.XLOOKUP(KF$1,$BH$2:$BR$2,$BH200:$BR200,0),0)</f>
        <v>0</v>
      </c>
    </row>
    <row r="201" spans="1:292" ht="34.799999999999997" x14ac:dyDescent="0.25">
      <c r="A201" s="125"/>
      <c r="B201" s="118"/>
      <c r="C201" s="92"/>
      <c r="D201" s="92"/>
      <c r="E201" s="103"/>
      <c r="F201" s="104"/>
      <c r="G201" s="104"/>
      <c r="H201" s="104"/>
      <c r="I201" s="104"/>
      <c r="J201" s="105"/>
      <c r="K201" s="95" t="e">
        <f>VLOOKUP((InputTable[[#This Row],[Starting Date]]&amp; " - " &amp;InputTable[[#This Row],[Delivery Date]]),'System List'!$F$40:$H$83,2,FALSE)</f>
        <v>#N/A</v>
      </c>
      <c r="L201" s="95" t="e">
        <f>VLOOKUP(InputTable[[#This Row],[Duration]],Duration,2,FALSE)</f>
        <v>#N/A</v>
      </c>
      <c r="M201" s="105"/>
      <c r="N201" s="104"/>
      <c r="O201" s="104"/>
      <c r="P201" s="104"/>
      <c r="Q201" s="104"/>
      <c r="R201" s="104"/>
      <c r="S201" s="92"/>
      <c r="T201" s="95"/>
      <c r="U201" s="138"/>
      <c r="V201" s="104"/>
      <c r="W201" s="104"/>
      <c r="X201" s="104"/>
      <c r="Y201" s="104"/>
      <c r="Z201" s="104"/>
      <c r="AA201" s="104"/>
      <c r="AB201" s="104"/>
      <c r="AC201" s="104"/>
      <c r="AD201" s="92">
        <f>COUNTA(InputTable[[#This Row],[CORPHRFIN]:[SALES]])</f>
        <v>0</v>
      </c>
      <c r="AE201" s="88" cm="1">
        <f t="array" ref="AE201">SUM(
_xlfn.XLOOKUP(InputTable[[#This Row],[CORPHRFIN]:[SALES]],'System List'!$F$4:$F$7,'System List'!$H$4:$H$7,0))</f>
        <v>0</v>
      </c>
      <c r="AF201" s="140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88" cm="1">
        <f t="array" ref="AR201">SUM(
_xlfn.XLOOKUP(InputTable[[#This Row],[Impact on - CIAL]:[Impact on - STRAT]],'System List'!$F$4:$F$7,'System List'!$H$4:$H$7,0))</f>
        <v>0</v>
      </c>
      <c r="AS201" s="88" t="e">
        <f>VLOOKUP(InputTable[[#This Row],[Duration]],Duration,2,FALSE)+InputTable[[#This Row],[Resource Score]]</f>
        <v>#N/A</v>
      </c>
      <c r="AT201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1" s="24" t="e">
        <f>InputTable[[#This Row],[Value Score]]/InputTable[[#This Row],[EFFORT SCORE]]*100</f>
        <v>#N/A</v>
      </c>
      <c r="AV201" s="25" t="s">
        <v>492</v>
      </c>
      <c r="AW201" s="25"/>
      <c r="AX201" s="144"/>
      <c r="AY201" s="25"/>
      <c r="AZ201" s="189">
        <v>0</v>
      </c>
      <c r="BA201" s="189">
        <v>0</v>
      </c>
      <c r="BB201" s="189"/>
      <c r="BC201" s="189"/>
      <c r="BD201" s="188"/>
      <c r="BE201" s="188"/>
      <c r="BF201" s="70"/>
      <c r="BH201" s="2">
        <f>IFERROR(VLOOKUP(InputTable[[#This Row],[Impact on - CIAL]],'System List'!$F$4:$H$7,3,FALSE),0)</f>
        <v>0</v>
      </c>
      <c r="BI201" s="2">
        <f>IFERROR(VLOOKUP(InputTable[[#This Row],[Impact on - COM]],'System List'!$F$4:$H$7,3,FALSE),0)</f>
        <v>0</v>
      </c>
      <c r="BJ201" s="2">
        <f>IFERROR(VLOOKUP(InputTable[[#This Row],[Impact on - FIN]],'System List'!$F$4:$H$7,3,FALSE),0)</f>
        <v>0</v>
      </c>
      <c r="BK201" s="2">
        <f>IFERROR(VLOOKUP(InputTable[[#This Row],[Impact on - GEN SEC]],'System List'!$F$4:$H$7,3,FALSE),0)</f>
        <v>0</v>
      </c>
      <c r="BL201" s="2">
        <f>IFERROR(VLOOKUP(InputTable[[#This Row],[Impact on - HR]],'System List'!$F$4:$H$7,3,FALSE),0)</f>
        <v>0</v>
      </c>
      <c r="BM201" s="2">
        <f>IFERROR(VLOOKUP(InputTable[[#This Row],[Impact on - IS]],'System List'!$F$4:$H$7,3,FALSE),0)</f>
        <v>0</v>
      </c>
      <c r="BN201" s="2">
        <f>IFERROR(VLOOKUP(InputTable[[#This Row],[Impact on - OPS]],'System List'!$F$4:$H$7,3,FALSE),0)</f>
        <v>0</v>
      </c>
      <c r="BO201" s="2">
        <f>IFERROR(VLOOKUP(InputTable[[#This Row],[Impact on - ROLL STOCK]],'System List'!$F$4:$H$7,3,FALSE),0)</f>
        <v>0</v>
      </c>
      <c r="BP201" s="2">
        <f>IFERROR(VLOOKUP(InputTable[[#This Row],[Impact on - SAFETY]],'System List'!$F$4:$H$7,3,FALSE),0)</f>
        <v>0</v>
      </c>
      <c r="BQ201" s="2">
        <f>IFERROR(VLOOKUP(InputTable[[#This Row],[Impact on - STATION]],'System List'!$F$4:$H$7,3,FALSE),0)</f>
        <v>0</v>
      </c>
      <c r="BR201" s="2">
        <f>IFERROR(VLOOKUP(InputTable[[#This Row],[Impact on - STRAT]],'System List'!$F$4:$H$7,3,FALSE),0)</f>
        <v>0</v>
      </c>
      <c r="BT201" s="2">
        <f>IFERROR(VLOOKUP(InputTable[[#This Row],[CORPHRFIN]],'System List'!$F$4:$H$7,3,FALSE),0)</f>
        <v>0</v>
      </c>
      <c r="BU201" s="2">
        <f>IFERROR(VLOOKUP(InputTable[[#This Row],[CUST]],'System List'!$F$4:$H$7,3,FALSE),0)</f>
        <v>0</v>
      </c>
      <c r="BV201" s="2">
        <f>IFERROR(VLOOKUP(InputTable[[#This Row],[CYBER]],'System List'!$F$4:$H$7,3,FALSE),0)</f>
        <v>0</v>
      </c>
      <c r="BW201" s="2">
        <f>IFERROR(VLOOKUP(InputTable[[#This Row],[DATA]],'System List'!$F$4:$H$7,3,FALSE),0)</f>
        <v>0</v>
      </c>
      <c r="BX201" s="2">
        <f>IFERROR(VLOOKUP(InputTable[[#This Row],[INFRA]],'System List'!$F$4:$H$7,3,FALSE),0)</f>
        <v>0</v>
      </c>
      <c r="BY201" s="2">
        <f>IFERROR(VLOOKUP(InputTable[[#This Row],[OPERATIONS]],'System List'!$F$4:$H$7,3,FALSE),0)</f>
        <v>0</v>
      </c>
      <c r="BZ201" s="2">
        <f>IFERROR(VLOOKUP(InputTable[[#This Row],[PMO]],'System List'!$F$4:$H$7,3,FALSE),0)</f>
        <v>0</v>
      </c>
      <c r="CA201" s="2">
        <f>IFERROR(VLOOKUP(InputTable[[#This Row],[SALES]],'System List'!$F$4:$H$7,3,FALSE),0)</f>
        <v>0</v>
      </c>
      <c r="CC201" s="2" cm="1">
        <f t="array" ref="CC201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1" s="2" cm="1">
        <f t="array" ref="CD201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1" s="2" cm="1">
        <f t="array" ref="CE201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1" s="2" cm="1">
        <f t="array" ref="CF201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1" s="2" cm="1">
        <f t="array" ref="CG201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1" s="2" cm="1">
        <f t="array" ref="CH201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1" s="2" cm="1">
        <f t="array" ref="CI201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1" s="2" cm="1">
        <f t="array" ref="CJ201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1" s="2" cm="1">
        <f t="array" ref="CK201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1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1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1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1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1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1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1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1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1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1" s="26">
        <f t="shared" ref="CX201:CX205" si="523">CN201*_xlfn.XLOOKUP(CX$1,$BT$2:$CA$2,$BT201:$CA201,0)</f>
        <v>0</v>
      </c>
      <c r="CY201" s="26">
        <f t="shared" ref="CY201:CY205" si="524">CO201*_xlfn.XLOOKUP(CY$1,$BT$2:$CA$2,$BT201:$CA201,0)</f>
        <v>0</v>
      </c>
      <c r="CZ201" s="26">
        <f t="shared" ref="CZ201:CZ205" si="525">CP201*_xlfn.XLOOKUP(CZ$1,$BT$2:$CA$2,$BT201:$CA201,0)</f>
        <v>0</v>
      </c>
      <c r="DA201" s="26">
        <f t="shared" ref="DA201:DA205" si="526">CQ201*_xlfn.XLOOKUP(DA$1,$BT$2:$CA$2,$BT201:$CA201,0)</f>
        <v>0</v>
      </c>
      <c r="DB201" s="26">
        <f t="shared" ref="DB201:DB205" si="527">CR201*_xlfn.XLOOKUP(DB$1,$BT$2:$CA$2,$BT201:$CA201,0)</f>
        <v>0</v>
      </c>
      <c r="DC201" s="26">
        <f t="shared" ref="DC201:DC205" si="528">CS201*_xlfn.XLOOKUP(DC$1,$BT$2:$CA$2,$BT201:$CA201,0)</f>
        <v>0</v>
      </c>
      <c r="DD201" s="26">
        <f t="shared" ref="DD201:DD205" si="529">CT201*_xlfn.XLOOKUP(DD$1,$BT$2:$CA$2,$BT201:$CA201,0)</f>
        <v>0</v>
      </c>
      <c r="DE201" s="26">
        <f t="shared" ref="DE201:DE205" si="530">CU201*_xlfn.XLOOKUP(DE$1,$BT$2:$CA$2,$BT201:$CA201,0)</f>
        <v>0</v>
      </c>
      <c r="DF201" s="26">
        <f t="shared" ref="DF201:DF205" si="531">CV201*_xlfn.XLOOKUP(DF$1,$BT$2:$CA$2,$BT201:$CA201,0)</f>
        <v>0</v>
      </c>
      <c r="DH201" s="26">
        <f t="shared" ref="DH201:DH205" si="532">$CN201*_xlfn.XLOOKUP(DH$1,$BT$2:$CA$2,$BT201:$CA201,0)</f>
        <v>0</v>
      </c>
      <c r="DI201" s="26">
        <f t="shared" ref="DI201:DI205" si="533">$CO201*_xlfn.XLOOKUP(DI$1,$BT$2:$CA$2,$BT201:$CA201,0)</f>
        <v>0</v>
      </c>
      <c r="DJ201" s="26">
        <f t="shared" ref="DJ201:DJ205" si="534">$CP201*_xlfn.XLOOKUP(DJ$1,$BT$2:$CA$2,$BT201:$CA201,0)</f>
        <v>0</v>
      </c>
      <c r="DK201" s="26">
        <f t="shared" ref="DK201:DK205" si="535">$CQ201*_xlfn.XLOOKUP(DK$1,$BT$2:$CA$2,$BT201:$CA201,0)</f>
        <v>0</v>
      </c>
      <c r="DL201" s="26">
        <f t="shared" ref="DL201:DL205" si="536">$CR201*_xlfn.XLOOKUP(DL$1,$BT$2:$CA$2,$BT201:$CA201,0)</f>
        <v>0</v>
      </c>
      <c r="DM201" s="26">
        <f t="shared" ref="DM201:DM205" si="537">$CS201*_xlfn.XLOOKUP(DM$1,$BT$2:$CA$2,$BT201:$CA201,0)</f>
        <v>0</v>
      </c>
      <c r="DN201" s="26">
        <f t="shared" ref="DN201:DN205" si="538">$CT201*_xlfn.XLOOKUP(DN$1,$BT$2:$CA$2,$BT201:$CA201,0)</f>
        <v>0</v>
      </c>
      <c r="DO201" s="26">
        <f t="shared" ref="DO201:DO205" si="539">$CU201*_xlfn.XLOOKUP(DO$1,$BT$2:$CA$2,$BT201:$CA201,0)</f>
        <v>0</v>
      </c>
      <c r="DP201" s="26">
        <f t="shared" ref="DP201:DP205" si="540">$CV201*_xlfn.XLOOKUP(DP$1,$BT$2:$CA$2,$BT201:$CA201,0)</f>
        <v>0</v>
      </c>
      <c r="DR201" s="26">
        <f t="shared" ref="DR201:DR205" si="541">$CN201*_xlfn.XLOOKUP(DR$1,$BT$2:$CA$2,$BT201:$CA201,0)</f>
        <v>0</v>
      </c>
      <c r="DS201" s="26">
        <f t="shared" ref="DS201:DS205" si="542">$CO201*_xlfn.XLOOKUP(DS$1,$BT$2:$CA$2,$BT201:$CA201,0)</f>
        <v>0</v>
      </c>
      <c r="DT201" s="26">
        <f t="shared" ref="DT201:DT205" si="543">$CP201*_xlfn.XLOOKUP(DT$1,$BT$2:$CA$2,$BT201:$CA201,0)</f>
        <v>0</v>
      </c>
      <c r="DU201" s="26">
        <f t="shared" ref="DU201:DU205" si="544">$CQ201*_xlfn.XLOOKUP(DU$1,$BT$2:$CA$2,$BT201:$CA201,0)</f>
        <v>0</v>
      </c>
      <c r="DV201" s="26">
        <f t="shared" ref="DV201:DV205" si="545">$CR201*_xlfn.XLOOKUP(DV$1,$BT$2:$CA$2,$BT201:$CA201,0)</f>
        <v>0</v>
      </c>
      <c r="DW201" s="26">
        <f t="shared" ref="DW201:DW205" si="546">$CS201*_xlfn.XLOOKUP(DW$1,$BT$2:$CA$2,$BT201:$CA201,0)</f>
        <v>0</v>
      </c>
      <c r="DX201" s="26">
        <f t="shared" ref="DX201:DX205" si="547">$CT201*_xlfn.XLOOKUP(DX$1,$BT$2:$CA$2,$BT201:$CA201,0)</f>
        <v>0</v>
      </c>
      <c r="DY201" s="26">
        <f t="shared" ref="DY201:DY205" si="548">$CU201*_xlfn.XLOOKUP(DY$1,$BT$2:$CA$2,$BT201:$CA201,0)</f>
        <v>0</v>
      </c>
      <c r="DZ201" s="26">
        <f t="shared" ref="DZ201:DZ205" si="549">$CV201*_xlfn.XLOOKUP(DZ$1,$BT$2:$CA$2,$BT201:$CA201,0)</f>
        <v>0</v>
      </c>
      <c r="EB201" s="26">
        <f t="shared" ref="EB201:EB205" si="550">$CN201*_xlfn.XLOOKUP(EB$1,$BT$2:$CA$2,$BT201:$CA201,0)</f>
        <v>0</v>
      </c>
      <c r="EC201" s="26">
        <f t="shared" ref="EC201:EC205" si="551">$CO201*_xlfn.XLOOKUP(EC$1,$BT$2:$CA$2,$BT201:$CA201,0)</f>
        <v>0</v>
      </c>
      <c r="ED201" s="26">
        <f t="shared" ref="ED201:ED205" si="552">$CP201*_xlfn.XLOOKUP(ED$1,$BT$2:$CA$2,$BT201:$CA201,0)</f>
        <v>0</v>
      </c>
      <c r="EE201" s="26">
        <f t="shared" ref="EE201:EE205" si="553">$CQ201*_xlfn.XLOOKUP(EE$1,$BT$2:$CA$2,$BT201:$CA201,0)</f>
        <v>0</v>
      </c>
      <c r="EF201" s="26">
        <f t="shared" ref="EF201:EF205" si="554">$CR201*_xlfn.XLOOKUP(EF$1,$BT$2:$CA$2,$BT201:$CA201,0)</f>
        <v>0</v>
      </c>
      <c r="EG201" s="26">
        <f t="shared" ref="EG201:EG205" si="555">$CS201*_xlfn.XLOOKUP(EG$1,$BT$2:$CA$2,$BT201:$CA201,0)</f>
        <v>0</v>
      </c>
      <c r="EH201" s="26">
        <f t="shared" ref="EH201:EH205" si="556">$CT201*_xlfn.XLOOKUP(EH$1,$BT$2:$CA$2,$BT201:$CA201,0)</f>
        <v>0</v>
      </c>
      <c r="EI201" s="26">
        <f t="shared" ref="EI201:EI205" si="557">$CU201*_xlfn.XLOOKUP(EI$1,$BT$2:$CA$2,$BT201:$CA201,0)</f>
        <v>0</v>
      </c>
      <c r="EJ201" s="26">
        <f t="shared" ref="EJ201:EJ205" si="558">$CV201*_xlfn.XLOOKUP(EJ$1,$BT$2:$CA$2,$BT201:$CA201,0)</f>
        <v>0</v>
      </c>
      <c r="EL201" s="26">
        <f t="shared" ref="EL201:EL205" si="559">$CN201*_xlfn.XLOOKUP(EL$1,$BT$2:$CA$2,$BT201:$CA201,0)</f>
        <v>0</v>
      </c>
      <c r="EM201" s="26">
        <f t="shared" ref="EM201:EM205" si="560">$CO201*_xlfn.XLOOKUP(EM$1,$BT$2:$CA$2,$BT201:$CA201,0)</f>
        <v>0</v>
      </c>
      <c r="EN201" s="26">
        <f t="shared" ref="EN201:EN205" si="561">$CP201*_xlfn.XLOOKUP(EN$1,$BT$2:$CA$2,$BT201:$CA201,0)</f>
        <v>0</v>
      </c>
      <c r="EO201" s="26">
        <f t="shared" ref="EO201:EO205" si="562">$CQ201*_xlfn.XLOOKUP(EO$1,$BT$2:$CA$2,$BT201:$CA201,0)</f>
        <v>0</v>
      </c>
      <c r="EP201" s="26">
        <f t="shared" ref="EP201:EP205" si="563">$CR201*_xlfn.XLOOKUP(EP$1,$BT$2:$CA$2,$BT201:$CA201,0)</f>
        <v>0</v>
      </c>
      <c r="EQ201" s="26">
        <f t="shared" ref="EQ201:EQ205" si="564">$CS201*_xlfn.XLOOKUP(EQ$1,$BT$2:$CA$2,$BT201:$CA201,0)</f>
        <v>0</v>
      </c>
      <c r="ER201" s="26">
        <f t="shared" ref="ER201:ER205" si="565">$CT201*_xlfn.XLOOKUP(ER$1,$BT$2:$CA$2,$BT201:$CA201,0)</f>
        <v>0</v>
      </c>
      <c r="ES201" s="26">
        <f t="shared" ref="ES201:ES205" si="566">$CU201*_xlfn.XLOOKUP(ES$1,$BT$2:$CA$2,$BT201:$CA201,0)</f>
        <v>0</v>
      </c>
      <c r="ET201" s="26">
        <f t="shared" ref="ET201:ET205" si="567">$CV201*_xlfn.XLOOKUP(ET$1,$BT$2:$CA$2,$BT201:$CA201,0)</f>
        <v>0</v>
      </c>
      <c r="EV201" s="26">
        <f t="shared" ref="EV201:EV205" si="568">$CN201*_xlfn.XLOOKUP(EV$1,$BT$2:$CA$2,$BT201:$CA201,0)</f>
        <v>0</v>
      </c>
      <c r="EW201" s="26">
        <f t="shared" ref="EW201:EW205" si="569">$CO201*_xlfn.XLOOKUP(EW$1,$BT$2:$CA$2,$BT201:$CA201,0)</f>
        <v>0</v>
      </c>
      <c r="EX201" s="26">
        <f t="shared" ref="EX201:EX205" si="570">$CP201*_xlfn.XLOOKUP(EX$1,$BT$2:$CA$2,$BT201:$CA201,0)</f>
        <v>0</v>
      </c>
      <c r="EY201" s="26">
        <f t="shared" ref="EY201:EY205" si="571">$CQ201*_xlfn.XLOOKUP(EY$1,$BT$2:$CA$2,$BT201:$CA201,0)</f>
        <v>0</v>
      </c>
      <c r="EZ201" s="26">
        <f t="shared" ref="EZ201:EZ205" si="572">$CR201*_xlfn.XLOOKUP(EZ$1,$BT$2:$CA$2,$BT201:$CA201,0)</f>
        <v>0</v>
      </c>
      <c r="FA201" s="26">
        <f t="shared" ref="FA201:FA205" si="573">$CS201*_xlfn.XLOOKUP(FA$1,$BT$2:$CA$2,$BT201:$CA201,0)</f>
        <v>0</v>
      </c>
      <c r="FB201" s="26">
        <f t="shared" ref="FB201:FB205" si="574">$CT201*_xlfn.XLOOKUP(FB$1,$BT$2:$CA$2,$BT201:$CA201,0)</f>
        <v>0</v>
      </c>
      <c r="FC201" s="26">
        <f t="shared" ref="FC201:FC205" si="575">$CU201*_xlfn.XLOOKUP(FC$1,$BT$2:$CA$2,$BT201:$CA201,0)</f>
        <v>0</v>
      </c>
      <c r="FD201" s="26">
        <f t="shared" ref="FD201:FD205" si="576">$CV201*_xlfn.XLOOKUP(FD$1,$BT$2:$CA$2,$BT201:$CA201,0)</f>
        <v>0</v>
      </c>
      <c r="FF201" s="26">
        <f t="shared" ref="FF201:FF205" si="577">$CN201*_xlfn.XLOOKUP(FF$1,$BT$2:$CA$2,$BT201:$CA201,0)</f>
        <v>0</v>
      </c>
      <c r="FG201" s="26">
        <f t="shared" ref="FG201:FG205" si="578">$CO201*_xlfn.XLOOKUP(FG$1,$BT$2:$CA$2,$BT201:$CA201,0)</f>
        <v>0</v>
      </c>
      <c r="FH201" s="26">
        <f t="shared" ref="FH201:FH205" si="579">$CP201*_xlfn.XLOOKUP(FH$1,$BT$2:$CA$2,$BT201:$CA201,0)</f>
        <v>0</v>
      </c>
      <c r="FI201" s="26">
        <f t="shared" ref="FI201:FI205" si="580">$CQ201*_xlfn.XLOOKUP(FI$1,$BT$2:$CA$2,$BT201:$CA201,0)</f>
        <v>0</v>
      </c>
      <c r="FJ201" s="26">
        <f t="shared" ref="FJ201:FJ205" si="581">$CR201*_xlfn.XLOOKUP(FJ$1,$BT$2:$CA$2,$BT201:$CA201,0)</f>
        <v>0</v>
      </c>
      <c r="FK201" s="26">
        <f t="shared" ref="FK201:FK205" si="582">$CS201*_xlfn.XLOOKUP(FK$1,$BT$2:$CA$2,$BT201:$CA201,0)</f>
        <v>0</v>
      </c>
      <c r="FL201" s="26">
        <f t="shared" ref="FL201:FL205" si="583">$CT201*_xlfn.XLOOKUP(FL$1,$BT$2:$CA$2,$BT201:$CA201,0)</f>
        <v>0</v>
      </c>
      <c r="FM201" s="26">
        <f t="shared" ref="FM201:FM205" si="584">$CU201*_xlfn.XLOOKUP(FM$1,$BT$2:$CA$2,$BT201:$CA201,0)</f>
        <v>0</v>
      </c>
      <c r="FN201" s="26">
        <f t="shared" ref="FN201:FN205" si="585">$CV201*_xlfn.XLOOKUP(FN$1,$BT$2:$CA$2,$BT201:$CA201,0)</f>
        <v>0</v>
      </c>
      <c r="FP201" s="26" t="e">
        <f t="shared" ref="FP201:FP205" si="586">$CN201*_xlfn.XLOOKUP(FP$1,$BT$2:$CA$2,$BT201:$CA201,0)</f>
        <v>#REF!</v>
      </c>
      <c r="FQ201" s="26" t="e">
        <f t="shared" ref="FQ201:FQ205" si="587">$CO201*_xlfn.XLOOKUP(FQ$1,$BT$2:$CA$2,$BT201:$CA201,0)</f>
        <v>#REF!</v>
      </c>
      <c r="FR201" s="26" t="e">
        <f t="shared" ref="FR201:FR205" si="588">$CP201*_xlfn.XLOOKUP(FR$1,$BT$2:$CA$2,$BT201:$CA201,0)</f>
        <v>#REF!</v>
      </c>
      <c r="FS201" s="26" t="e">
        <f t="shared" ref="FS201:FS205" si="589">$CQ201*_xlfn.XLOOKUP(FS$1,$BT$2:$CA$2,$BT201:$CA201,0)</f>
        <v>#REF!</v>
      </c>
      <c r="FT201" s="26" t="e">
        <f t="shared" ref="FT201:FT205" si="590">$CR201*_xlfn.XLOOKUP(FT$1,$BT$2:$CA$2,$BT201:$CA201,0)</f>
        <v>#REF!</v>
      </c>
      <c r="FU201" s="26" t="e">
        <f t="shared" ref="FU201:FU205" si="591">$CS201*_xlfn.XLOOKUP(FU$1,$BT$2:$CA$2,$BT201:$CA201,0)</f>
        <v>#REF!</v>
      </c>
      <c r="FV201" s="26" t="e">
        <f t="shared" ref="FV201:FV205" si="592">$CT201*_xlfn.XLOOKUP(FV$1,$BT$2:$CA$2,$BT201:$CA201,0)</f>
        <v>#REF!</v>
      </c>
      <c r="FW201" s="26" t="e">
        <f t="shared" ref="FW201:FW205" si="593">$CU201*_xlfn.XLOOKUP(FW$1,$BT$2:$CA$2,$BT201:$CA201,0)</f>
        <v>#REF!</v>
      </c>
      <c r="FX201" s="26" t="e">
        <f t="shared" ref="FX201:FX205" si="594">$CV201*_xlfn.XLOOKUP(FX$1,$BT$2:$CA$2,$BT201:$CA201,0)</f>
        <v>#REF!</v>
      </c>
      <c r="GB201" s="26" t="e">
        <f>IF(GB$2=InputTable[[#This Row],[Delivery Date]],_xlfn.XLOOKUP(GB$1,$BH$2:$BR$2,$BH201:$BR201,0),0)</f>
        <v>#REF!</v>
      </c>
      <c r="GC201" s="26">
        <f>IF(GC$2=InputTable[[#This Row],[Delivery Date]],_xlfn.XLOOKUP(GC$1,$BH$2:$BR$2,$BH201:$BR201,0),0)</f>
        <v>0</v>
      </c>
      <c r="GD201" s="26">
        <f>IF(GD$2=InputTable[[#This Row],[Delivery Date]],_xlfn.XLOOKUP(GD$1,$BH$2:$BR$2,$BH201:$BR201,0),0)</f>
        <v>0</v>
      </c>
      <c r="GE201" s="26">
        <f>IF(GE$2=InputTable[[#This Row],[Delivery Date]],_xlfn.XLOOKUP(GE$1,$BH$2:$BR$2,$BH201:$BR201,0),0)</f>
        <v>0</v>
      </c>
      <c r="GF201" s="26">
        <f>IF(GF$2=InputTable[[#This Row],[Delivery Date]],_xlfn.XLOOKUP(GF$1,$BH$2:$BR$2,$BH201:$BR201,0),0)</f>
        <v>0</v>
      </c>
      <c r="GG201" s="26">
        <f>IF(GG$2=InputTable[[#This Row],[Delivery Date]],_xlfn.XLOOKUP(GG$1,$BH$2:$BR$2,$BH201:$BR201,0),0)</f>
        <v>0</v>
      </c>
      <c r="GH201" s="26">
        <f>IF(GH$2=InputTable[[#This Row],[Delivery Date]],_xlfn.XLOOKUP(GH$1,$BH$2:$BR$2,$BH201:$BR201,0),0)</f>
        <v>0</v>
      </c>
      <c r="GI201" s="26">
        <f>IF(GI$2=InputTable[[#This Row],[Delivery Date]],_xlfn.XLOOKUP(GI$1,$BH$2:$BR$2,$BH201:$BR201,0),0)</f>
        <v>0</v>
      </c>
      <c r="GJ201" s="26">
        <f>IF(GJ$2=InputTable[[#This Row],[Delivery Date]],_xlfn.XLOOKUP(GJ$1,$BH$2:$BR$2,$BH201:$BR201,0),0)</f>
        <v>0</v>
      </c>
      <c r="GL201" s="26" t="e">
        <f>IF(GL$2=InputTable[[#This Row],[Delivery Date]],_xlfn.XLOOKUP(GL$1,$BH$2:$BR$2,$BH201:$BR201,0),0)</f>
        <v>#REF!</v>
      </c>
      <c r="GM201" s="26">
        <f>IF(GM$2=InputTable[[#This Row],[Delivery Date]],_xlfn.XLOOKUP(GM$1,$BH$2:$BR$2,$BH201:$BR201,0),0)</f>
        <v>0</v>
      </c>
      <c r="GN201" s="26">
        <f>IF(GN$2=InputTable[[#This Row],[Delivery Date]],_xlfn.XLOOKUP(GN$1,$BH$2:$BR$2,$BH201:$BR201,0),0)</f>
        <v>0</v>
      </c>
      <c r="GO201" s="26">
        <f>IF(GO$2=InputTable[[#This Row],[Delivery Date]],_xlfn.XLOOKUP(GO$1,$BH$2:$BR$2,$BH201:$BR201,0),0)</f>
        <v>0</v>
      </c>
      <c r="GP201" s="26">
        <f>IF(GP$2=InputTable[[#This Row],[Delivery Date]],_xlfn.XLOOKUP(GP$1,$BH$2:$BR$2,$BH201:$BR201,0),0)</f>
        <v>0</v>
      </c>
      <c r="GQ201" s="26">
        <f>IF(GQ$2=InputTable[[#This Row],[Delivery Date]],_xlfn.XLOOKUP(GQ$1,$BH$2:$BR$2,$BH201:$BR201,0),0)</f>
        <v>0</v>
      </c>
      <c r="GR201" s="26">
        <f>IF(GR$2=InputTable[[#This Row],[Delivery Date]],_xlfn.XLOOKUP(GR$1,$BH$2:$BR$2,$BH201:$BR201,0),0)</f>
        <v>0</v>
      </c>
      <c r="GS201" s="26">
        <f>IF(GS$2=InputTable[[#This Row],[Delivery Date]],_xlfn.XLOOKUP(GS$1,$BH$2:$BR$2,$BH201:$BR201,0),0)</f>
        <v>0</v>
      </c>
      <c r="GT201" s="26">
        <f>IF(GT$2=InputTable[[#This Row],[Delivery Date]],_xlfn.XLOOKUP(GT$1,$BH$2:$BR$2,$BH201:$BR201,0),0)</f>
        <v>0</v>
      </c>
      <c r="GV201" s="26" t="e">
        <f>IF(GV$2=InputTable[[#This Row],[Delivery Date]],_xlfn.XLOOKUP(GV$1,$BH$2:$BR$2,$BH201:$BR201,0),0)</f>
        <v>#REF!</v>
      </c>
      <c r="GW201" s="26">
        <f>IF(GW$2=InputTable[[#This Row],[Delivery Date]],_xlfn.XLOOKUP(GW$1,$BH$2:$BR$2,$BH201:$BR201,0),0)</f>
        <v>0</v>
      </c>
      <c r="GX201" s="26">
        <f>IF(GX$2=InputTable[[#This Row],[Delivery Date]],_xlfn.XLOOKUP(GX$1,$BH$2:$BR$2,$BH201:$BR201,0),0)</f>
        <v>0</v>
      </c>
      <c r="GY201" s="26">
        <f>IF(GY$2=InputTable[[#This Row],[Delivery Date]],_xlfn.XLOOKUP(GY$1,$BH$2:$BR$2,$BH201:$BR201,0),0)</f>
        <v>0</v>
      </c>
      <c r="GZ201" s="26">
        <f>IF(GZ$2=InputTable[[#This Row],[Delivery Date]],_xlfn.XLOOKUP(GZ$1,$BH$2:$BR$2,$BH201:$BR201,0),0)</f>
        <v>0</v>
      </c>
      <c r="HA201" s="26">
        <f>IF(HA$2=InputTable[[#This Row],[Delivery Date]],_xlfn.XLOOKUP(HA$1,$BH$2:$BR$2,$BH201:$BR201,0),0)</f>
        <v>0</v>
      </c>
      <c r="HB201" s="26">
        <f>IF(HB$2=InputTable[[#This Row],[Delivery Date]],_xlfn.XLOOKUP(HB$1,$BH$2:$BR$2,$BH201:$BR201,0),0)</f>
        <v>0</v>
      </c>
      <c r="HC201" s="26">
        <f>IF(HC$2=InputTable[[#This Row],[Delivery Date]],_xlfn.XLOOKUP(HC$1,$BH$2:$BR$2,$BH201:$BR201,0),0)</f>
        <v>0</v>
      </c>
      <c r="HD201" s="26">
        <f>IF(HD$2=InputTable[[#This Row],[Delivery Date]],_xlfn.XLOOKUP(HD$1,$BH$2:$BR$2,$BH201:$BR201,0),0)</f>
        <v>0</v>
      </c>
      <c r="HF201" s="26" t="e">
        <f>IF(HF$2=InputTable[[#This Row],[Delivery Date]],_xlfn.XLOOKUP(HF$1,$BH$2:$BR$2,$BH201:$BR201,0),0)</f>
        <v>#REF!</v>
      </c>
      <c r="HG201" s="26">
        <f>IF(HG$2=InputTable[[#This Row],[Delivery Date]],_xlfn.XLOOKUP(HG$1,$BH$2:$BR$2,$BH201:$BR201,0),0)</f>
        <v>0</v>
      </c>
      <c r="HH201" s="26">
        <f>IF(HH$2=InputTable[[#This Row],[Delivery Date]],_xlfn.XLOOKUP(HH$1,$BH$2:$BR$2,$BH201:$BR201,0),0)</f>
        <v>0</v>
      </c>
      <c r="HI201" s="26">
        <f>IF(HI$2=InputTable[[#This Row],[Delivery Date]],_xlfn.XLOOKUP(HI$1,$BH$2:$BR$2,$BH201:$BR201,0),0)</f>
        <v>0</v>
      </c>
      <c r="HJ201" s="26">
        <f>IF(HJ$2=InputTable[[#This Row],[Delivery Date]],_xlfn.XLOOKUP(HJ$1,$BH$2:$BR$2,$BH201:$BR201,0),0)</f>
        <v>0</v>
      </c>
      <c r="HK201" s="26">
        <f>IF(HK$2=InputTable[[#This Row],[Delivery Date]],_xlfn.XLOOKUP(HK$1,$BH$2:$BR$2,$BH201:$BR201,0),0)</f>
        <v>0</v>
      </c>
      <c r="HL201" s="26">
        <f>IF(HL$2=InputTable[[#This Row],[Delivery Date]],_xlfn.XLOOKUP(HL$1,$BH$2:$BR$2,$BH201:$BR201,0),0)</f>
        <v>0</v>
      </c>
      <c r="HM201" s="26">
        <f>IF(HM$2=InputTable[[#This Row],[Delivery Date]],_xlfn.XLOOKUP(HM$1,$BH$2:$BR$2,$BH201:$BR201,0),0)</f>
        <v>0</v>
      </c>
      <c r="HN201" s="26">
        <f>IF(HN$2=InputTable[[#This Row],[Delivery Date]],_xlfn.XLOOKUP(HN$1,$BH$2:$BR$2,$BH201:$BR201,0),0)</f>
        <v>0</v>
      </c>
      <c r="HP201" s="26" t="e">
        <f>IF(HP$2=InputTable[[#This Row],[Delivery Date]],_xlfn.XLOOKUP(HP$1,$BH$2:$BR$2,$BH201:$BR201,0),0)</f>
        <v>#REF!</v>
      </c>
      <c r="HQ201" s="26">
        <f>IF(HQ$2=InputTable[[#This Row],[Delivery Date]],_xlfn.XLOOKUP(HQ$1,$BH$2:$BR$2,$BH201:$BR201,0),0)</f>
        <v>0</v>
      </c>
      <c r="HR201" s="26">
        <f>IF(HR$2=InputTable[[#This Row],[Delivery Date]],_xlfn.XLOOKUP(HR$1,$BH$2:$BR$2,$BH201:$BR201,0),0)</f>
        <v>0</v>
      </c>
      <c r="HS201" s="26">
        <f>IF(HS$2=InputTable[[#This Row],[Delivery Date]],_xlfn.XLOOKUP(HS$1,$BH$2:$BR$2,$BH201:$BR201,0),0)</f>
        <v>0</v>
      </c>
      <c r="HT201" s="26">
        <f>IF(HT$2=InputTable[[#This Row],[Delivery Date]],_xlfn.XLOOKUP(HT$1,$BH$2:$BR$2,$BH201:$BR201,0),0)</f>
        <v>0</v>
      </c>
      <c r="HU201" s="26">
        <f>IF(HU$2=InputTable[[#This Row],[Delivery Date]],_xlfn.XLOOKUP(HU$1,$BH$2:$BR$2,$BH201:$BR201,0),0)</f>
        <v>0</v>
      </c>
      <c r="HV201" s="26">
        <f>IF(HV$2=InputTable[[#This Row],[Delivery Date]],_xlfn.XLOOKUP(HV$1,$BH$2:$BR$2,$BH201:$BR201,0),0)</f>
        <v>0</v>
      </c>
      <c r="HW201" s="26">
        <f>IF(HW$2=InputTable[[#This Row],[Delivery Date]],_xlfn.XLOOKUP(HW$1,$BH$2:$BR$2,$BH201:$BR201,0),0)</f>
        <v>0</v>
      </c>
      <c r="HX201" s="26">
        <f>IF(HX$2=InputTable[[#This Row],[Delivery Date]],_xlfn.XLOOKUP(HX$1,$BH$2:$BR$2,$BH201:$BR201,0),0)</f>
        <v>0</v>
      </c>
      <c r="HZ201" s="26" t="e">
        <f>IF(HZ$2=InputTable[[#This Row],[Delivery Date]],_xlfn.XLOOKUP(HZ$1,$BH$2:$BR$2,$BH201:$BR201,0),0)</f>
        <v>#REF!</v>
      </c>
      <c r="IA201" s="26">
        <f>IF(IA$2=InputTable[[#This Row],[Delivery Date]],_xlfn.XLOOKUP(IA$1,$BH$2:$BR$2,$BH201:$BR201,0),0)</f>
        <v>0</v>
      </c>
      <c r="IB201" s="26">
        <f>IF(IB$2=InputTable[[#This Row],[Delivery Date]],_xlfn.XLOOKUP(IB$1,$BH$2:$BR$2,$BH201:$BR201,0),0)</f>
        <v>0</v>
      </c>
      <c r="IC201" s="26">
        <f>IF(IC$2=InputTable[[#This Row],[Delivery Date]],_xlfn.XLOOKUP(IC$1,$BH$2:$BR$2,$BH201:$BR201,0),0)</f>
        <v>0</v>
      </c>
      <c r="ID201" s="26">
        <f>IF(ID$2=InputTable[[#This Row],[Delivery Date]],_xlfn.XLOOKUP(ID$1,$BH$2:$BR$2,$BH201:$BR201,0),0)</f>
        <v>0</v>
      </c>
      <c r="IE201" s="26">
        <f>IF(IE$2=InputTable[[#This Row],[Delivery Date]],_xlfn.XLOOKUP(IE$1,$BH$2:$BR$2,$BH201:$BR201,0),0)</f>
        <v>0</v>
      </c>
      <c r="IF201" s="26">
        <f>IF(IF$2=InputTable[[#This Row],[Delivery Date]],_xlfn.XLOOKUP(IF$1,$BH$2:$BR$2,$BH201:$BR201,0),0)</f>
        <v>0</v>
      </c>
      <c r="IG201" s="26">
        <f>IF(IG$2=InputTable[[#This Row],[Delivery Date]],_xlfn.XLOOKUP(IG$1,$BH$2:$BR$2,$BH201:$BR201,0),0)</f>
        <v>0</v>
      </c>
      <c r="IH201" s="26">
        <f>IF(IH$2=InputTable[[#This Row],[Delivery Date]],_xlfn.XLOOKUP(IH$1,$BH$2:$BR$2,$BH201:$BR201,0),0)</f>
        <v>0</v>
      </c>
      <c r="IJ201" s="26" t="e">
        <f>IF(IJ$2=InputTable[[#This Row],[Delivery Date]],_xlfn.XLOOKUP(IJ$1,$BH$2:$BR$2,$BH201:$BR201,0),0)</f>
        <v>#REF!</v>
      </c>
      <c r="IK201" s="26">
        <f>IF(IK$2=InputTable[[#This Row],[Delivery Date]],_xlfn.XLOOKUP(IK$1,$BH$2:$BR$2,$BH201:$BR201,0),0)</f>
        <v>0</v>
      </c>
      <c r="IL201" s="26">
        <f>IF(IL$2=InputTable[[#This Row],[Delivery Date]],_xlfn.XLOOKUP(IL$1,$BH$2:$BR$2,$BH201:$BR201,0),0)</f>
        <v>0</v>
      </c>
      <c r="IM201" s="26">
        <f>IF(IM$2=InputTable[[#This Row],[Delivery Date]],_xlfn.XLOOKUP(IM$1,$BH$2:$BR$2,$BH201:$BR201,0),0)</f>
        <v>0</v>
      </c>
      <c r="IN201" s="26">
        <f>IF(IN$2=InputTable[[#This Row],[Delivery Date]],_xlfn.XLOOKUP(IN$1,$BH$2:$BR$2,$BH201:$BR201,0),0)</f>
        <v>0</v>
      </c>
      <c r="IO201" s="26">
        <f>IF(IO$2=InputTable[[#This Row],[Delivery Date]],_xlfn.XLOOKUP(IO$1,$BH$2:$BR$2,$BH201:$BR201,0),0)</f>
        <v>0</v>
      </c>
      <c r="IP201" s="26">
        <f>IF(IP$2=InputTable[[#This Row],[Delivery Date]],_xlfn.XLOOKUP(IP$1,$BH$2:$BR$2,$BH201:$BR201,0),0)</f>
        <v>0</v>
      </c>
      <c r="IQ201" s="26">
        <f>IF(IQ$2=InputTable[[#This Row],[Delivery Date]],_xlfn.XLOOKUP(IQ$1,$BH$2:$BR$2,$BH201:$BR201,0),0)</f>
        <v>0</v>
      </c>
      <c r="IR201" s="26">
        <f>IF(IR$2=InputTable[[#This Row],[Delivery Date]],_xlfn.XLOOKUP(IR$1,$BH$2:$BR$2,$BH201:$BR201,0),0)</f>
        <v>0</v>
      </c>
      <c r="IT201" s="26" t="e">
        <f>IF(IT$2=InputTable[[#This Row],[Delivery Date]],_xlfn.XLOOKUP(IT$1,$BH$2:$BR$2,$BH201:$BR201,0),0)</f>
        <v>#REF!</v>
      </c>
      <c r="IU201" s="26">
        <f>IF(IU$2=InputTable[[#This Row],[Delivery Date]],_xlfn.XLOOKUP(IU$1,$BH$2:$BR$2,$BH201:$BR201,0),0)</f>
        <v>0</v>
      </c>
      <c r="IV201" s="26">
        <f>IF(IV$2=InputTable[[#This Row],[Delivery Date]],_xlfn.XLOOKUP(IV$1,$BH$2:$BR$2,$BH201:$BR201,0),0)</f>
        <v>0</v>
      </c>
      <c r="IW201" s="26">
        <f>IF(IW$2=InputTable[[#This Row],[Delivery Date]],_xlfn.XLOOKUP(IW$1,$BH$2:$BR$2,$BH201:$BR201,0),0)</f>
        <v>0</v>
      </c>
      <c r="IX201" s="26">
        <f>IF(IX$2=InputTable[[#This Row],[Delivery Date]],_xlfn.XLOOKUP(IX$1,$BH$2:$BR$2,$BH201:$BR201,0),0)</f>
        <v>0</v>
      </c>
      <c r="IY201" s="26">
        <f>IF(IY$2=InputTable[[#This Row],[Delivery Date]],_xlfn.XLOOKUP(IY$1,$BH$2:$BR$2,$BH201:$BR201,0),0)</f>
        <v>0</v>
      </c>
      <c r="IZ201" s="26">
        <f>IF(IZ$2=InputTable[[#This Row],[Delivery Date]],_xlfn.XLOOKUP(IZ$1,$BH$2:$BR$2,$BH201:$BR201,0),0)</f>
        <v>0</v>
      </c>
      <c r="JA201" s="26">
        <f>IF(JA$2=InputTable[[#This Row],[Delivery Date]],_xlfn.XLOOKUP(JA$1,$BH$2:$BR$2,$BH201:$BR201,0),0)</f>
        <v>0</v>
      </c>
      <c r="JB201" s="26">
        <f>IF(JB$2=InputTable[[#This Row],[Delivery Date]],_xlfn.XLOOKUP(JB$1,$BH$2:$BR$2,$BH201:$BR201,0),0)</f>
        <v>0</v>
      </c>
      <c r="JD201" s="26" t="e">
        <f>IF(JD$2=InputTable[[#This Row],[Delivery Date]],_xlfn.XLOOKUP(JD$1,$BH$2:$BR$2,$BH201:$BR201,0),0)</f>
        <v>#REF!</v>
      </c>
      <c r="JE201" s="26">
        <f>IF(JE$2=InputTable[[#This Row],[Delivery Date]],_xlfn.XLOOKUP(JE$1,$BH$2:$BR$2,$BH201:$BR201,0),0)</f>
        <v>0</v>
      </c>
      <c r="JF201" s="26">
        <f>IF(JF$2=InputTable[[#This Row],[Delivery Date]],_xlfn.XLOOKUP(JF$1,$BH$2:$BR$2,$BH201:$BR201,0),0)</f>
        <v>0</v>
      </c>
      <c r="JG201" s="26">
        <f>IF(JG$2=InputTable[[#This Row],[Delivery Date]],_xlfn.XLOOKUP(JG$1,$BH$2:$BR$2,$BH201:$BR201,0),0)</f>
        <v>0</v>
      </c>
      <c r="JH201" s="26">
        <f>IF(JH$2=InputTable[[#This Row],[Delivery Date]],_xlfn.XLOOKUP(JH$1,$BH$2:$BR$2,$BH201:$BR201,0),0)</f>
        <v>0</v>
      </c>
      <c r="JI201" s="26">
        <f>IF(JI$2=InputTable[[#This Row],[Delivery Date]],_xlfn.XLOOKUP(JI$1,$BH$2:$BR$2,$BH201:$BR201,0),0)</f>
        <v>0</v>
      </c>
      <c r="JJ201" s="26">
        <f>IF(JJ$2=InputTable[[#This Row],[Delivery Date]],_xlfn.XLOOKUP(JJ$1,$BH$2:$BR$2,$BH201:$BR201,0),0)</f>
        <v>0</v>
      </c>
      <c r="JK201" s="26">
        <f>IF(JK$2=InputTable[[#This Row],[Delivery Date]],_xlfn.XLOOKUP(JK$1,$BH$2:$BR$2,$BH201:$BR201,0),0)</f>
        <v>0</v>
      </c>
      <c r="JL201" s="26">
        <f>IF(JL$2=InputTable[[#This Row],[Delivery Date]],_xlfn.XLOOKUP(JL$1,$BH$2:$BR$2,$BH201:$BR201,0),0)</f>
        <v>0</v>
      </c>
      <c r="JN201" s="26" t="e">
        <f>IF(JN$2=InputTable[[#This Row],[Delivery Date]],_xlfn.XLOOKUP(JN$1,$BH$2:$BR$2,$BH201:$BR201,0),0)</f>
        <v>#REF!</v>
      </c>
      <c r="JO201" s="26">
        <f>IF(JO$2=InputTable[[#This Row],[Delivery Date]],_xlfn.XLOOKUP(JO$1,$BH$2:$BR$2,$BH201:$BR201,0),0)</f>
        <v>0</v>
      </c>
      <c r="JP201" s="26">
        <f>IF(JP$2=InputTable[[#This Row],[Delivery Date]],_xlfn.XLOOKUP(JP$1,$BH$2:$BR$2,$BH201:$BR201,0),0)</f>
        <v>0</v>
      </c>
      <c r="JQ201" s="26">
        <f>IF(JQ$2=InputTable[[#This Row],[Delivery Date]],_xlfn.XLOOKUP(JQ$1,$BH$2:$BR$2,$BH201:$BR201,0),0)</f>
        <v>0</v>
      </c>
      <c r="JR201" s="26">
        <f>IF(JR$2=InputTable[[#This Row],[Delivery Date]],_xlfn.XLOOKUP(JR$1,$BH$2:$BR$2,$BH201:$BR201,0),0)</f>
        <v>0</v>
      </c>
      <c r="JS201" s="26">
        <f>IF(JS$2=InputTable[[#This Row],[Delivery Date]],_xlfn.XLOOKUP(JS$1,$BH$2:$BR$2,$BH201:$BR201,0),0)</f>
        <v>0</v>
      </c>
      <c r="JT201" s="26">
        <f>IF(JT$2=InputTable[[#This Row],[Delivery Date]],_xlfn.XLOOKUP(JT$1,$BH$2:$BR$2,$BH201:$BR201,0),0)</f>
        <v>0</v>
      </c>
      <c r="JU201" s="26">
        <f>IF(JU$2=InputTable[[#This Row],[Delivery Date]],_xlfn.XLOOKUP(JU$1,$BH$2:$BR$2,$BH201:$BR201,0),0)</f>
        <v>0</v>
      </c>
      <c r="JV201" s="26">
        <f>IF(JV$2=InputTable[[#This Row],[Delivery Date]],_xlfn.XLOOKUP(JV$1,$BH$2:$BR$2,$BH201:$BR201,0),0)</f>
        <v>0</v>
      </c>
      <c r="JX201" s="26" t="e">
        <f>IF(JX$2=InputTable[[#This Row],[Delivery Date]],_xlfn.XLOOKUP(JX$1,$BH$2:$BR$2,$BH201:$BR201,0),0)</f>
        <v>#REF!</v>
      </c>
      <c r="JY201" s="26">
        <f>IF(JY$2=InputTable[[#This Row],[Delivery Date]],_xlfn.XLOOKUP(JY$1,$BH$2:$BR$2,$BH201:$BR201,0),0)</f>
        <v>0</v>
      </c>
      <c r="JZ201" s="26">
        <f>IF(JZ$2=InputTable[[#This Row],[Delivery Date]],_xlfn.XLOOKUP(JZ$1,$BH$2:$BR$2,$BH201:$BR201,0),0)</f>
        <v>0</v>
      </c>
      <c r="KA201" s="26">
        <f>IF(KA$2=InputTable[[#This Row],[Delivery Date]],_xlfn.XLOOKUP(KA$1,$BH$2:$BR$2,$BH201:$BR201,0),0)</f>
        <v>0</v>
      </c>
      <c r="KB201" s="26">
        <f>IF(KB$2=InputTable[[#This Row],[Delivery Date]],_xlfn.XLOOKUP(KB$1,$BH$2:$BR$2,$BH201:$BR201,0),0)</f>
        <v>0</v>
      </c>
      <c r="KC201" s="26">
        <f>IF(KC$2=InputTable[[#This Row],[Delivery Date]],_xlfn.XLOOKUP(KC$1,$BH$2:$BR$2,$BH201:$BR201,0),0)</f>
        <v>0</v>
      </c>
      <c r="KD201" s="26">
        <f>IF(KD$2=InputTable[[#This Row],[Delivery Date]],_xlfn.XLOOKUP(KD$1,$BH$2:$BR$2,$BH201:$BR201,0),0)</f>
        <v>0</v>
      </c>
      <c r="KE201" s="26">
        <f>IF(KE$2=InputTable[[#This Row],[Delivery Date]],_xlfn.XLOOKUP(KE$1,$BH$2:$BR$2,$BH201:$BR201,0),0)</f>
        <v>0</v>
      </c>
      <c r="KF201" s="26">
        <f>IF(KF$2=InputTable[[#This Row],[Delivery Date]],_xlfn.XLOOKUP(KF$1,$BH$2:$BR$2,$BH201:$BR201,0),0)</f>
        <v>0</v>
      </c>
    </row>
    <row r="202" spans="1:292" ht="34.799999999999997" x14ac:dyDescent="0.25">
      <c r="A202" s="125"/>
      <c r="B202" s="118"/>
      <c r="C202" s="92"/>
      <c r="D202" s="92"/>
      <c r="E202" s="93"/>
      <c r="F202" s="92"/>
      <c r="G202" s="92"/>
      <c r="H202" s="92"/>
      <c r="I202" s="92"/>
      <c r="J202" s="94"/>
      <c r="K202" s="95" t="e">
        <f>VLOOKUP((InputTable[[#This Row],[Starting Date]]&amp; " - " &amp;InputTable[[#This Row],[Delivery Date]]),'System List'!$F$40:$H$83,2,FALSE)</f>
        <v>#N/A</v>
      </c>
      <c r="L202" s="95" t="e">
        <f>VLOOKUP(InputTable[[#This Row],[Duration]],Duration,2,FALSE)</f>
        <v>#N/A</v>
      </c>
      <c r="M202" s="94"/>
      <c r="N202" s="92"/>
      <c r="O202" s="92"/>
      <c r="P202" s="92"/>
      <c r="Q202" s="92"/>
      <c r="R202" s="92"/>
      <c r="S202" s="92"/>
      <c r="T202" s="95"/>
      <c r="U202" s="138"/>
      <c r="V202" s="92"/>
      <c r="W202" s="92"/>
      <c r="X202" s="92"/>
      <c r="Y202" s="92"/>
      <c r="Z202" s="92"/>
      <c r="AA202" s="92"/>
      <c r="AB202" s="92"/>
      <c r="AC202" s="92"/>
      <c r="AD202" s="92">
        <f>COUNTA(InputTable[[#This Row],[CORPHRFIN]:[SALES]])</f>
        <v>0</v>
      </c>
      <c r="AE202" s="88" cm="1">
        <f t="array" ref="AE202">SUM(
_xlfn.XLOOKUP(InputTable[[#This Row],[CORPHRFIN]:[SALES]],'System List'!$F$4:$F$7,'System List'!$H$4:$H$7,0))</f>
        <v>0</v>
      </c>
      <c r="AF202" s="140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88" cm="1">
        <f t="array" ref="AR202">SUM(
_xlfn.XLOOKUP(InputTable[[#This Row],[Impact on - CIAL]:[Impact on - STRAT]],'System List'!$F$4:$F$7,'System List'!$H$4:$H$7,0))</f>
        <v>0</v>
      </c>
      <c r="AS202" s="88" t="e">
        <f>VLOOKUP(InputTable[[#This Row],[Duration]],Duration,2,FALSE)+InputTable[[#This Row],[Resource Score]]</f>
        <v>#N/A</v>
      </c>
      <c r="AT202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2" s="24" t="e">
        <f>InputTable[[#This Row],[Value Score]]/InputTable[[#This Row],[EFFORT SCORE]]*100</f>
        <v>#N/A</v>
      </c>
      <c r="AV202" s="25" t="s">
        <v>493</v>
      </c>
      <c r="AW202" s="25"/>
      <c r="AX202" s="144"/>
      <c r="AY202" s="25"/>
      <c r="AZ202" s="189">
        <v>0</v>
      </c>
      <c r="BA202" s="189">
        <v>0</v>
      </c>
      <c r="BB202" s="189"/>
      <c r="BC202" s="189"/>
      <c r="BD202" s="187"/>
      <c r="BE202" s="187"/>
      <c r="BF202" s="70"/>
      <c r="BH202" s="2">
        <f>IFERROR(VLOOKUP(InputTable[[#This Row],[Impact on - CIAL]],'System List'!$F$4:$H$7,3,FALSE),0)</f>
        <v>0</v>
      </c>
      <c r="BI202" s="2">
        <f>IFERROR(VLOOKUP(InputTable[[#This Row],[Impact on - COM]],'System List'!$F$4:$H$7,3,FALSE),0)</f>
        <v>0</v>
      </c>
      <c r="BJ202" s="2">
        <f>IFERROR(VLOOKUP(InputTable[[#This Row],[Impact on - FIN]],'System List'!$F$4:$H$7,3,FALSE),0)</f>
        <v>0</v>
      </c>
      <c r="BK202" s="2">
        <f>IFERROR(VLOOKUP(InputTable[[#This Row],[Impact on - GEN SEC]],'System List'!$F$4:$H$7,3,FALSE),0)</f>
        <v>0</v>
      </c>
      <c r="BL202" s="2">
        <f>IFERROR(VLOOKUP(InputTable[[#This Row],[Impact on - HR]],'System List'!$F$4:$H$7,3,FALSE),0)</f>
        <v>0</v>
      </c>
      <c r="BM202" s="2">
        <f>IFERROR(VLOOKUP(InputTable[[#This Row],[Impact on - IS]],'System List'!$F$4:$H$7,3,FALSE),0)</f>
        <v>0</v>
      </c>
      <c r="BN202" s="2">
        <f>IFERROR(VLOOKUP(InputTable[[#This Row],[Impact on - OPS]],'System List'!$F$4:$H$7,3,FALSE),0)</f>
        <v>0</v>
      </c>
      <c r="BO202" s="2">
        <f>IFERROR(VLOOKUP(InputTable[[#This Row],[Impact on - ROLL STOCK]],'System List'!$F$4:$H$7,3,FALSE),0)</f>
        <v>0</v>
      </c>
      <c r="BP202" s="2">
        <f>IFERROR(VLOOKUP(InputTable[[#This Row],[Impact on - SAFETY]],'System List'!$F$4:$H$7,3,FALSE),0)</f>
        <v>0</v>
      </c>
      <c r="BQ202" s="2">
        <f>IFERROR(VLOOKUP(InputTable[[#This Row],[Impact on - STATION]],'System List'!$F$4:$H$7,3,FALSE),0)</f>
        <v>0</v>
      </c>
      <c r="BR202" s="2">
        <f>IFERROR(VLOOKUP(InputTable[[#This Row],[Impact on - STRAT]],'System List'!$F$4:$H$7,3,FALSE),0)</f>
        <v>0</v>
      </c>
      <c r="BT202" s="2">
        <f>IFERROR(VLOOKUP(InputTable[[#This Row],[CORPHRFIN]],'System List'!$F$4:$H$7,3,FALSE),0)</f>
        <v>0</v>
      </c>
      <c r="BU202" s="2">
        <f>IFERROR(VLOOKUP(InputTable[[#This Row],[CUST]],'System List'!$F$4:$H$7,3,FALSE),0)</f>
        <v>0</v>
      </c>
      <c r="BV202" s="2">
        <f>IFERROR(VLOOKUP(InputTable[[#This Row],[CYBER]],'System List'!$F$4:$H$7,3,FALSE),0)</f>
        <v>0</v>
      </c>
      <c r="BW202" s="2">
        <f>IFERROR(VLOOKUP(InputTable[[#This Row],[DATA]],'System List'!$F$4:$H$7,3,FALSE),0)</f>
        <v>0</v>
      </c>
      <c r="BX202" s="2">
        <f>IFERROR(VLOOKUP(InputTable[[#This Row],[INFRA]],'System List'!$F$4:$H$7,3,FALSE),0)</f>
        <v>0</v>
      </c>
      <c r="BY202" s="2">
        <f>IFERROR(VLOOKUP(InputTable[[#This Row],[OPERATIONS]],'System List'!$F$4:$H$7,3,FALSE),0)</f>
        <v>0</v>
      </c>
      <c r="BZ202" s="2">
        <f>IFERROR(VLOOKUP(InputTable[[#This Row],[PMO]],'System List'!$F$4:$H$7,3,FALSE),0)</f>
        <v>0</v>
      </c>
      <c r="CA202" s="2">
        <f>IFERROR(VLOOKUP(InputTable[[#This Row],[SALES]],'System List'!$F$4:$H$7,3,FALSE),0)</f>
        <v>0</v>
      </c>
      <c r="CC202" s="2" cm="1">
        <f t="array" ref="CC202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2" s="2" cm="1">
        <f t="array" ref="CD202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2" s="2" cm="1">
        <f t="array" ref="CE202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2" s="2" cm="1">
        <f t="array" ref="CF202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2" s="2" cm="1">
        <f t="array" ref="CG202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2" s="2" cm="1">
        <f t="array" ref="CH202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2" s="2" cm="1">
        <f t="array" ref="CI202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2" s="2" cm="1">
        <f t="array" ref="CJ202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2" s="2" cm="1">
        <f t="array" ref="CK202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2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2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2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2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2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2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2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2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2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2" s="26">
        <f t="shared" si="523"/>
        <v>0</v>
      </c>
      <c r="CY202" s="26">
        <f t="shared" si="524"/>
        <v>0</v>
      </c>
      <c r="CZ202" s="26">
        <f t="shared" si="525"/>
        <v>0</v>
      </c>
      <c r="DA202" s="26">
        <f t="shared" si="526"/>
        <v>0</v>
      </c>
      <c r="DB202" s="26">
        <f t="shared" si="527"/>
        <v>0</v>
      </c>
      <c r="DC202" s="26">
        <f t="shared" si="528"/>
        <v>0</v>
      </c>
      <c r="DD202" s="26">
        <f t="shared" si="529"/>
        <v>0</v>
      </c>
      <c r="DE202" s="26">
        <f t="shared" si="530"/>
        <v>0</v>
      </c>
      <c r="DF202" s="26">
        <f t="shared" si="531"/>
        <v>0</v>
      </c>
      <c r="DH202" s="26">
        <f t="shared" si="532"/>
        <v>0</v>
      </c>
      <c r="DI202" s="26">
        <f t="shared" si="533"/>
        <v>0</v>
      </c>
      <c r="DJ202" s="26">
        <f t="shared" si="534"/>
        <v>0</v>
      </c>
      <c r="DK202" s="26">
        <f t="shared" si="535"/>
        <v>0</v>
      </c>
      <c r="DL202" s="26">
        <f t="shared" si="536"/>
        <v>0</v>
      </c>
      <c r="DM202" s="26">
        <f t="shared" si="537"/>
        <v>0</v>
      </c>
      <c r="DN202" s="26">
        <f t="shared" si="538"/>
        <v>0</v>
      </c>
      <c r="DO202" s="26">
        <f t="shared" si="539"/>
        <v>0</v>
      </c>
      <c r="DP202" s="26">
        <f t="shared" si="540"/>
        <v>0</v>
      </c>
      <c r="DR202" s="26">
        <f t="shared" si="541"/>
        <v>0</v>
      </c>
      <c r="DS202" s="26">
        <f t="shared" si="542"/>
        <v>0</v>
      </c>
      <c r="DT202" s="26">
        <f t="shared" si="543"/>
        <v>0</v>
      </c>
      <c r="DU202" s="26">
        <f t="shared" si="544"/>
        <v>0</v>
      </c>
      <c r="DV202" s="26">
        <f t="shared" si="545"/>
        <v>0</v>
      </c>
      <c r="DW202" s="26">
        <f t="shared" si="546"/>
        <v>0</v>
      </c>
      <c r="DX202" s="26">
        <f t="shared" si="547"/>
        <v>0</v>
      </c>
      <c r="DY202" s="26">
        <f t="shared" si="548"/>
        <v>0</v>
      </c>
      <c r="DZ202" s="26">
        <f t="shared" si="549"/>
        <v>0</v>
      </c>
      <c r="EB202" s="26">
        <f t="shared" si="550"/>
        <v>0</v>
      </c>
      <c r="EC202" s="26">
        <f t="shared" si="551"/>
        <v>0</v>
      </c>
      <c r="ED202" s="26">
        <f t="shared" si="552"/>
        <v>0</v>
      </c>
      <c r="EE202" s="26">
        <f t="shared" si="553"/>
        <v>0</v>
      </c>
      <c r="EF202" s="26">
        <f t="shared" si="554"/>
        <v>0</v>
      </c>
      <c r="EG202" s="26">
        <f t="shared" si="555"/>
        <v>0</v>
      </c>
      <c r="EH202" s="26">
        <f t="shared" si="556"/>
        <v>0</v>
      </c>
      <c r="EI202" s="26">
        <f t="shared" si="557"/>
        <v>0</v>
      </c>
      <c r="EJ202" s="26">
        <f t="shared" si="558"/>
        <v>0</v>
      </c>
      <c r="EL202" s="26">
        <f t="shared" si="559"/>
        <v>0</v>
      </c>
      <c r="EM202" s="26">
        <f t="shared" si="560"/>
        <v>0</v>
      </c>
      <c r="EN202" s="26">
        <f t="shared" si="561"/>
        <v>0</v>
      </c>
      <c r="EO202" s="26">
        <f t="shared" si="562"/>
        <v>0</v>
      </c>
      <c r="EP202" s="26">
        <f t="shared" si="563"/>
        <v>0</v>
      </c>
      <c r="EQ202" s="26">
        <f t="shared" si="564"/>
        <v>0</v>
      </c>
      <c r="ER202" s="26">
        <f t="shared" si="565"/>
        <v>0</v>
      </c>
      <c r="ES202" s="26">
        <f t="shared" si="566"/>
        <v>0</v>
      </c>
      <c r="ET202" s="26">
        <f t="shared" si="567"/>
        <v>0</v>
      </c>
      <c r="EV202" s="26">
        <f t="shared" si="568"/>
        <v>0</v>
      </c>
      <c r="EW202" s="26">
        <f t="shared" si="569"/>
        <v>0</v>
      </c>
      <c r="EX202" s="26">
        <f t="shared" si="570"/>
        <v>0</v>
      </c>
      <c r="EY202" s="26">
        <f t="shared" si="571"/>
        <v>0</v>
      </c>
      <c r="EZ202" s="26">
        <f t="shared" si="572"/>
        <v>0</v>
      </c>
      <c r="FA202" s="26">
        <f t="shared" si="573"/>
        <v>0</v>
      </c>
      <c r="FB202" s="26">
        <f t="shared" si="574"/>
        <v>0</v>
      </c>
      <c r="FC202" s="26">
        <f t="shared" si="575"/>
        <v>0</v>
      </c>
      <c r="FD202" s="26">
        <f t="shared" si="576"/>
        <v>0</v>
      </c>
      <c r="FF202" s="26">
        <f t="shared" si="577"/>
        <v>0</v>
      </c>
      <c r="FG202" s="26">
        <f t="shared" si="578"/>
        <v>0</v>
      </c>
      <c r="FH202" s="26">
        <f t="shared" si="579"/>
        <v>0</v>
      </c>
      <c r="FI202" s="26">
        <f t="shared" si="580"/>
        <v>0</v>
      </c>
      <c r="FJ202" s="26">
        <f t="shared" si="581"/>
        <v>0</v>
      </c>
      <c r="FK202" s="26">
        <f t="shared" si="582"/>
        <v>0</v>
      </c>
      <c r="FL202" s="26">
        <f t="shared" si="583"/>
        <v>0</v>
      </c>
      <c r="FM202" s="26">
        <f t="shared" si="584"/>
        <v>0</v>
      </c>
      <c r="FN202" s="26">
        <f t="shared" si="585"/>
        <v>0</v>
      </c>
      <c r="FP202" s="26" t="e">
        <f t="shared" si="586"/>
        <v>#REF!</v>
      </c>
      <c r="FQ202" s="26" t="e">
        <f t="shared" si="587"/>
        <v>#REF!</v>
      </c>
      <c r="FR202" s="26" t="e">
        <f t="shared" si="588"/>
        <v>#REF!</v>
      </c>
      <c r="FS202" s="26" t="e">
        <f t="shared" si="589"/>
        <v>#REF!</v>
      </c>
      <c r="FT202" s="26" t="e">
        <f t="shared" si="590"/>
        <v>#REF!</v>
      </c>
      <c r="FU202" s="26" t="e">
        <f t="shared" si="591"/>
        <v>#REF!</v>
      </c>
      <c r="FV202" s="26" t="e">
        <f t="shared" si="592"/>
        <v>#REF!</v>
      </c>
      <c r="FW202" s="26" t="e">
        <f t="shared" si="593"/>
        <v>#REF!</v>
      </c>
      <c r="FX202" s="26" t="e">
        <f t="shared" si="594"/>
        <v>#REF!</v>
      </c>
      <c r="GB202" s="26" t="e">
        <f>IF(GB$2=InputTable[[#This Row],[Delivery Date]],_xlfn.XLOOKUP(GB$1,$BH$2:$BR$2,$BH202:$BR202,0),0)</f>
        <v>#REF!</v>
      </c>
      <c r="GC202" s="26">
        <f>IF(GC$2=InputTable[[#This Row],[Delivery Date]],_xlfn.XLOOKUP(GC$1,$BH$2:$BR$2,$BH202:$BR202,0),0)</f>
        <v>0</v>
      </c>
      <c r="GD202" s="26">
        <f>IF(GD$2=InputTable[[#This Row],[Delivery Date]],_xlfn.XLOOKUP(GD$1,$BH$2:$BR$2,$BH202:$BR202,0),0)</f>
        <v>0</v>
      </c>
      <c r="GE202" s="26">
        <f>IF(GE$2=InputTable[[#This Row],[Delivery Date]],_xlfn.XLOOKUP(GE$1,$BH$2:$BR$2,$BH202:$BR202,0),0)</f>
        <v>0</v>
      </c>
      <c r="GF202" s="26">
        <f>IF(GF$2=InputTable[[#This Row],[Delivery Date]],_xlfn.XLOOKUP(GF$1,$BH$2:$BR$2,$BH202:$BR202,0),0)</f>
        <v>0</v>
      </c>
      <c r="GG202" s="26">
        <f>IF(GG$2=InputTable[[#This Row],[Delivery Date]],_xlfn.XLOOKUP(GG$1,$BH$2:$BR$2,$BH202:$BR202,0),0)</f>
        <v>0</v>
      </c>
      <c r="GH202" s="26">
        <f>IF(GH$2=InputTable[[#This Row],[Delivery Date]],_xlfn.XLOOKUP(GH$1,$BH$2:$BR$2,$BH202:$BR202,0),0)</f>
        <v>0</v>
      </c>
      <c r="GI202" s="26">
        <f>IF(GI$2=InputTable[[#This Row],[Delivery Date]],_xlfn.XLOOKUP(GI$1,$BH$2:$BR$2,$BH202:$BR202,0),0)</f>
        <v>0</v>
      </c>
      <c r="GJ202" s="26">
        <f>IF(GJ$2=InputTable[[#This Row],[Delivery Date]],_xlfn.XLOOKUP(GJ$1,$BH$2:$BR$2,$BH202:$BR202,0),0)</f>
        <v>0</v>
      </c>
      <c r="GL202" s="26" t="e">
        <f>IF(GL$2=InputTable[[#This Row],[Delivery Date]],_xlfn.XLOOKUP(GL$1,$BH$2:$BR$2,$BH202:$BR202,0),0)</f>
        <v>#REF!</v>
      </c>
      <c r="GM202" s="26">
        <f>IF(GM$2=InputTable[[#This Row],[Delivery Date]],_xlfn.XLOOKUP(GM$1,$BH$2:$BR$2,$BH202:$BR202,0),0)</f>
        <v>0</v>
      </c>
      <c r="GN202" s="26">
        <f>IF(GN$2=InputTable[[#This Row],[Delivery Date]],_xlfn.XLOOKUP(GN$1,$BH$2:$BR$2,$BH202:$BR202,0),0)</f>
        <v>0</v>
      </c>
      <c r="GO202" s="26">
        <f>IF(GO$2=InputTable[[#This Row],[Delivery Date]],_xlfn.XLOOKUP(GO$1,$BH$2:$BR$2,$BH202:$BR202,0),0)</f>
        <v>0</v>
      </c>
      <c r="GP202" s="26">
        <f>IF(GP$2=InputTable[[#This Row],[Delivery Date]],_xlfn.XLOOKUP(GP$1,$BH$2:$BR$2,$BH202:$BR202,0),0)</f>
        <v>0</v>
      </c>
      <c r="GQ202" s="26">
        <f>IF(GQ$2=InputTable[[#This Row],[Delivery Date]],_xlfn.XLOOKUP(GQ$1,$BH$2:$BR$2,$BH202:$BR202,0),0)</f>
        <v>0</v>
      </c>
      <c r="GR202" s="26">
        <f>IF(GR$2=InputTable[[#This Row],[Delivery Date]],_xlfn.XLOOKUP(GR$1,$BH$2:$BR$2,$BH202:$BR202,0),0)</f>
        <v>0</v>
      </c>
      <c r="GS202" s="26">
        <f>IF(GS$2=InputTable[[#This Row],[Delivery Date]],_xlfn.XLOOKUP(GS$1,$BH$2:$BR$2,$BH202:$BR202,0),0)</f>
        <v>0</v>
      </c>
      <c r="GT202" s="26">
        <f>IF(GT$2=InputTable[[#This Row],[Delivery Date]],_xlfn.XLOOKUP(GT$1,$BH$2:$BR$2,$BH202:$BR202,0),0)</f>
        <v>0</v>
      </c>
      <c r="GV202" s="26" t="e">
        <f>IF(GV$2=InputTable[[#This Row],[Delivery Date]],_xlfn.XLOOKUP(GV$1,$BH$2:$BR$2,$BH202:$BR202,0),0)</f>
        <v>#REF!</v>
      </c>
      <c r="GW202" s="26">
        <f>IF(GW$2=InputTable[[#This Row],[Delivery Date]],_xlfn.XLOOKUP(GW$1,$BH$2:$BR$2,$BH202:$BR202,0),0)</f>
        <v>0</v>
      </c>
      <c r="GX202" s="26">
        <f>IF(GX$2=InputTable[[#This Row],[Delivery Date]],_xlfn.XLOOKUP(GX$1,$BH$2:$BR$2,$BH202:$BR202,0),0)</f>
        <v>0</v>
      </c>
      <c r="GY202" s="26">
        <f>IF(GY$2=InputTable[[#This Row],[Delivery Date]],_xlfn.XLOOKUP(GY$1,$BH$2:$BR$2,$BH202:$BR202,0),0)</f>
        <v>0</v>
      </c>
      <c r="GZ202" s="26">
        <f>IF(GZ$2=InputTable[[#This Row],[Delivery Date]],_xlfn.XLOOKUP(GZ$1,$BH$2:$BR$2,$BH202:$BR202,0),0)</f>
        <v>0</v>
      </c>
      <c r="HA202" s="26">
        <f>IF(HA$2=InputTable[[#This Row],[Delivery Date]],_xlfn.XLOOKUP(HA$1,$BH$2:$BR$2,$BH202:$BR202,0),0)</f>
        <v>0</v>
      </c>
      <c r="HB202" s="26">
        <f>IF(HB$2=InputTable[[#This Row],[Delivery Date]],_xlfn.XLOOKUP(HB$1,$BH$2:$BR$2,$BH202:$BR202,0),0)</f>
        <v>0</v>
      </c>
      <c r="HC202" s="26">
        <f>IF(HC$2=InputTable[[#This Row],[Delivery Date]],_xlfn.XLOOKUP(HC$1,$BH$2:$BR$2,$BH202:$BR202,0),0)</f>
        <v>0</v>
      </c>
      <c r="HD202" s="26">
        <f>IF(HD$2=InputTable[[#This Row],[Delivery Date]],_xlfn.XLOOKUP(HD$1,$BH$2:$BR$2,$BH202:$BR202,0),0)</f>
        <v>0</v>
      </c>
      <c r="HF202" s="26" t="e">
        <f>IF(HF$2=InputTable[[#This Row],[Delivery Date]],_xlfn.XLOOKUP(HF$1,$BH$2:$BR$2,$BH202:$BR202,0),0)</f>
        <v>#REF!</v>
      </c>
      <c r="HG202" s="26">
        <f>IF(HG$2=InputTable[[#This Row],[Delivery Date]],_xlfn.XLOOKUP(HG$1,$BH$2:$BR$2,$BH202:$BR202,0),0)</f>
        <v>0</v>
      </c>
      <c r="HH202" s="26">
        <f>IF(HH$2=InputTable[[#This Row],[Delivery Date]],_xlfn.XLOOKUP(HH$1,$BH$2:$BR$2,$BH202:$BR202,0),0)</f>
        <v>0</v>
      </c>
      <c r="HI202" s="26">
        <f>IF(HI$2=InputTable[[#This Row],[Delivery Date]],_xlfn.XLOOKUP(HI$1,$BH$2:$BR$2,$BH202:$BR202,0),0)</f>
        <v>0</v>
      </c>
      <c r="HJ202" s="26">
        <f>IF(HJ$2=InputTable[[#This Row],[Delivery Date]],_xlfn.XLOOKUP(HJ$1,$BH$2:$BR$2,$BH202:$BR202,0),0)</f>
        <v>0</v>
      </c>
      <c r="HK202" s="26">
        <f>IF(HK$2=InputTable[[#This Row],[Delivery Date]],_xlfn.XLOOKUP(HK$1,$BH$2:$BR$2,$BH202:$BR202,0),0)</f>
        <v>0</v>
      </c>
      <c r="HL202" s="26">
        <f>IF(HL$2=InputTable[[#This Row],[Delivery Date]],_xlfn.XLOOKUP(HL$1,$BH$2:$BR$2,$BH202:$BR202,0),0)</f>
        <v>0</v>
      </c>
      <c r="HM202" s="26">
        <f>IF(HM$2=InputTable[[#This Row],[Delivery Date]],_xlfn.XLOOKUP(HM$1,$BH$2:$BR$2,$BH202:$BR202,0),0)</f>
        <v>0</v>
      </c>
      <c r="HN202" s="26">
        <f>IF(HN$2=InputTable[[#This Row],[Delivery Date]],_xlfn.XLOOKUP(HN$1,$BH$2:$BR$2,$BH202:$BR202,0),0)</f>
        <v>0</v>
      </c>
      <c r="HP202" s="26" t="e">
        <f>IF(HP$2=InputTable[[#This Row],[Delivery Date]],_xlfn.XLOOKUP(HP$1,$BH$2:$BR$2,$BH202:$BR202,0),0)</f>
        <v>#REF!</v>
      </c>
      <c r="HQ202" s="26">
        <f>IF(HQ$2=InputTable[[#This Row],[Delivery Date]],_xlfn.XLOOKUP(HQ$1,$BH$2:$BR$2,$BH202:$BR202,0),0)</f>
        <v>0</v>
      </c>
      <c r="HR202" s="26">
        <f>IF(HR$2=InputTable[[#This Row],[Delivery Date]],_xlfn.XLOOKUP(HR$1,$BH$2:$BR$2,$BH202:$BR202,0),0)</f>
        <v>0</v>
      </c>
      <c r="HS202" s="26">
        <f>IF(HS$2=InputTable[[#This Row],[Delivery Date]],_xlfn.XLOOKUP(HS$1,$BH$2:$BR$2,$BH202:$BR202,0),0)</f>
        <v>0</v>
      </c>
      <c r="HT202" s="26">
        <f>IF(HT$2=InputTable[[#This Row],[Delivery Date]],_xlfn.XLOOKUP(HT$1,$BH$2:$BR$2,$BH202:$BR202,0),0)</f>
        <v>0</v>
      </c>
      <c r="HU202" s="26">
        <f>IF(HU$2=InputTable[[#This Row],[Delivery Date]],_xlfn.XLOOKUP(HU$1,$BH$2:$BR$2,$BH202:$BR202,0),0)</f>
        <v>0</v>
      </c>
      <c r="HV202" s="26">
        <f>IF(HV$2=InputTable[[#This Row],[Delivery Date]],_xlfn.XLOOKUP(HV$1,$BH$2:$BR$2,$BH202:$BR202,0),0)</f>
        <v>0</v>
      </c>
      <c r="HW202" s="26">
        <f>IF(HW$2=InputTable[[#This Row],[Delivery Date]],_xlfn.XLOOKUP(HW$1,$BH$2:$BR$2,$BH202:$BR202,0),0)</f>
        <v>0</v>
      </c>
      <c r="HX202" s="26">
        <f>IF(HX$2=InputTable[[#This Row],[Delivery Date]],_xlfn.XLOOKUP(HX$1,$BH$2:$BR$2,$BH202:$BR202,0),0)</f>
        <v>0</v>
      </c>
      <c r="HZ202" s="26" t="e">
        <f>IF(HZ$2=InputTable[[#This Row],[Delivery Date]],_xlfn.XLOOKUP(HZ$1,$BH$2:$BR$2,$BH202:$BR202,0),0)</f>
        <v>#REF!</v>
      </c>
      <c r="IA202" s="26">
        <f>IF(IA$2=InputTable[[#This Row],[Delivery Date]],_xlfn.XLOOKUP(IA$1,$BH$2:$BR$2,$BH202:$BR202,0),0)</f>
        <v>0</v>
      </c>
      <c r="IB202" s="26">
        <f>IF(IB$2=InputTable[[#This Row],[Delivery Date]],_xlfn.XLOOKUP(IB$1,$BH$2:$BR$2,$BH202:$BR202,0),0)</f>
        <v>0</v>
      </c>
      <c r="IC202" s="26">
        <f>IF(IC$2=InputTable[[#This Row],[Delivery Date]],_xlfn.XLOOKUP(IC$1,$BH$2:$BR$2,$BH202:$BR202,0),0)</f>
        <v>0</v>
      </c>
      <c r="ID202" s="26">
        <f>IF(ID$2=InputTable[[#This Row],[Delivery Date]],_xlfn.XLOOKUP(ID$1,$BH$2:$BR$2,$BH202:$BR202,0),0)</f>
        <v>0</v>
      </c>
      <c r="IE202" s="26">
        <f>IF(IE$2=InputTable[[#This Row],[Delivery Date]],_xlfn.XLOOKUP(IE$1,$BH$2:$BR$2,$BH202:$BR202,0),0)</f>
        <v>0</v>
      </c>
      <c r="IF202" s="26">
        <f>IF(IF$2=InputTable[[#This Row],[Delivery Date]],_xlfn.XLOOKUP(IF$1,$BH$2:$BR$2,$BH202:$BR202,0),0)</f>
        <v>0</v>
      </c>
      <c r="IG202" s="26">
        <f>IF(IG$2=InputTable[[#This Row],[Delivery Date]],_xlfn.XLOOKUP(IG$1,$BH$2:$BR$2,$BH202:$BR202,0),0)</f>
        <v>0</v>
      </c>
      <c r="IH202" s="26">
        <f>IF(IH$2=InputTable[[#This Row],[Delivery Date]],_xlfn.XLOOKUP(IH$1,$BH$2:$BR$2,$BH202:$BR202,0),0)</f>
        <v>0</v>
      </c>
      <c r="IJ202" s="26" t="e">
        <f>IF(IJ$2=InputTable[[#This Row],[Delivery Date]],_xlfn.XLOOKUP(IJ$1,$BH$2:$BR$2,$BH202:$BR202,0),0)</f>
        <v>#REF!</v>
      </c>
      <c r="IK202" s="26">
        <f>IF(IK$2=InputTable[[#This Row],[Delivery Date]],_xlfn.XLOOKUP(IK$1,$BH$2:$BR$2,$BH202:$BR202,0),0)</f>
        <v>0</v>
      </c>
      <c r="IL202" s="26">
        <f>IF(IL$2=InputTable[[#This Row],[Delivery Date]],_xlfn.XLOOKUP(IL$1,$BH$2:$BR$2,$BH202:$BR202,0),0)</f>
        <v>0</v>
      </c>
      <c r="IM202" s="26">
        <f>IF(IM$2=InputTable[[#This Row],[Delivery Date]],_xlfn.XLOOKUP(IM$1,$BH$2:$BR$2,$BH202:$BR202,0),0)</f>
        <v>0</v>
      </c>
      <c r="IN202" s="26">
        <f>IF(IN$2=InputTable[[#This Row],[Delivery Date]],_xlfn.XLOOKUP(IN$1,$BH$2:$BR$2,$BH202:$BR202,0),0)</f>
        <v>0</v>
      </c>
      <c r="IO202" s="26">
        <f>IF(IO$2=InputTable[[#This Row],[Delivery Date]],_xlfn.XLOOKUP(IO$1,$BH$2:$BR$2,$BH202:$BR202,0),0)</f>
        <v>0</v>
      </c>
      <c r="IP202" s="26">
        <f>IF(IP$2=InputTable[[#This Row],[Delivery Date]],_xlfn.XLOOKUP(IP$1,$BH$2:$BR$2,$BH202:$BR202,0),0)</f>
        <v>0</v>
      </c>
      <c r="IQ202" s="26">
        <f>IF(IQ$2=InputTable[[#This Row],[Delivery Date]],_xlfn.XLOOKUP(IQ$1,$BH$2:$BR$2,$BH202:$BR202,0),0)</f>
        <v>0</v>
      </c>
      <c r="IR202" s="26">
        <f>IF(IR$2=InputTable[[#This Row],[Delivery Date]],_xlfn.XLOOKUP(IR$1,$BH$2:$BR$2,$BH202:$BR202,0),0)</f>
        <v>0</v>
      </c>
      <c r="IT202" s="26" t="e">
        <f>IF(IT$2=InputTable[[#This Row],[Delivery Date]],_xlfn.XLOOKUP(IT$1,$BH$2:$BR$2,$BH202:$BR202,0),0)</f>
        <v>#REF!</v>
      </c>
      <c r="IU202" s="26">
        <f>IF(IU$2=InputTable[[#This Row],[Delivery Date]],_xlfn.XLOOKUP(IU$1,$BH$2:$BR$2,$BH202:$BR202,0),0)</f>
        <v>0</v>
      </c>
      <c r="IV202" s="26">
        <f>IF(IV$2=InputTable[[#This Row],[Delivery Date]],_xlfn.XLOOKUP(IV$1,$BH$2:$BR$2,$BH202:$BR202,0),0)</f>
        <v>0</v>
      </c>
      <c r="IW202" s="26">
        <f>IF(IW$2=InputTable[[#This Row],[Delivery Date]],_xlfn.XLOOKUP(IW$1,$BH$2:$BR$2,$BH202:$BR202,0),0)</f>
        <v>0</v>
      </c>
      <c r="IX202" s="26">
        <f>IF(IX$2=InputTable[[#This Row],[Delivery Date]],_xlfn.XLOOKUP(IX$1,$BH$2:$BR$2,$BH202:$BR202,0),0)</f>
        <v>0</v>
      </c>
      <c r="IY202" s="26">
        <f>IF(IY$2=InputTable[[#This Row],[Delivery Date]],_xlfn.XLOOKUP(IY$1,$BH$2:$BR$2,$BH202:$BR202,0),0)</f>
        <v>0</v>
      </c>
      <c r="IZ202" s="26">
        <f>IF(IZ$2=InputTable[[#This Row],[Delivery Date]],_xlfn.XLOOKUP(IZ$1,$BH$2:$BR$2,$BH202:$BR202,0),0)</f>
        <v>0</v>
      </c>
      <c r="JA202" s="26">
        <f>IF(JA$2=InputTable[[#This Row],[Delivery Date]],_xlfn.XLOOKUP(JA$1,$BH$2:$BR$2,$BH202:$BR202,0),0)</f>
        <v>0</v>
      </c>
      <c r="JB202" s="26">
        <f>IF(JB$2=InputTable[[#This Row],[Delivery Date]],_xlfn.XLOOKUP(JB$1,$BH$2:$BR$2,$BH202:$BR202,0),0)</f>
        <v>0</v>
      </c>
      <c r="JD202" s="26" t="e">
        <f>IF(JD$2=InputTable[[#This Row],[Delivery Date]],_xlfn.XLOOKUP(JD$1,$BH$2:$BR$2,$BH202:$BR202,0),0)</f>
        <v>#REF!</v>
      </c>
      <c r="JE202" s="26">
        <f>IF(JE$2=InputTable[[#This Row],[Delivery Date]],_xlfn.XLOOKUP(JE$1,$BH$2:$BR$2,$BH202:$BR202,0),0)</f>
        <v>0</v>
      </c>
      <c r="JF202" s="26">
        <f>IF(JF$2=InputTable[[#This Row],[Delivery Date]],_xlfn.XLOOKUP(JF$1,$BH$2:$BR$2,$BH202:$BR202,0),0)</f>
        <v>0</v>
      </c>
      <c r="JG202" s="26">
        <f>IF(JG$2=InputTable[[#This Row],[Delivery Date]],_xlfn.XLOOKUP(JG$1,$BH$2:$BR$2,$BH202:$BR202,0),0)</f>
        <v>0</v>
      </c>
      <c r="JH202" s="26">
        <f>IF(JH$2=InputTable[[#This Row],[Delivery Date]],_xlfn.XLOOKUP(JH$1,$BH$2:$BR$2,$BH202:$BR202,0),0)</f>
        <v>0</v>
      </c>
      <c r="JI202" s="26">
        <f>IF(JI$2=InputTable[[#This Row],[Delivery Date]],_xlfn.XLOOKUP(JI$1,$BH$2:$BR$2,$BH202:$BR202,0),0)</f>
        <v>0</v>
      </c>
      <c r="JJ202" s="26">
        <f>IF(JJ$2=InputTable[[#This Row],[Delivery Date]],_xlfn.XLOOKUP(JJ$1,$BH$2:$BR$2,$BH202:$BR202,0),0)</f>
        <v>0</v>
      </c>
      <c r="JK202" s="26">
        <f>IF(JK$2=InputTable[[#This Row],[Delivery Date]],_xlfn.XLOOKUP(JK$1,$BH$2:$BR$2,$BH202:$BR202,0),0)</f>
        <v>0</v>
      </c>
      <c r="JL202" s="26">
        <f>IF(JL$2=InputTable[[#This Row],[Delivery Date]],_xlfn.XLOOKUP(JL$1,$BH$2:$BR$2,$BH202:$BR202,0),0)</f>
        <v>0</v>
      </c>
      <c r="JN202" s="26" t="e">
        <f>IF(JN$2=InputTable[[#This Row],[Delivery Date]],_xlfn.XLOOKUP(JN$1,$BH$2:$BR$2,$BH202:$BR202,0),0)</f>
        <v>#REF!</v>
      </c>
      <c r="JO202" s="26">
        <f>IF(JO$2=InputTable[[#This Row],[Delivery Date]],_xlfn.XLOOKUP(JO$1,$BH$2:$BR$2,$BH202:$BR202,0),0)</f>
        <v>0</v>
      </c>
      <c r="JP202" s="26">
        <f>IF(JP$2=InputTable[[#This Row],[Delivery Date]],_xlfn.XLOOKUP(JP$1,$BH$2:$BR$2,$BH202:$BR202,0),0)</f>
        <v>0</v>
      </c>
      <c r="JQ202" s="26">
        <f>IF(JQ$2=InputTable[[#This Row],[Delivery Date]],_xlfn.XLOOKUP(JQ$1,$BH$2:$BR$2,$BH202:$BR202,0),0)</f>
        <v>0</v>
      </c>
      <c r="JR202" s="26">
        <f>IF(JR$2=InputTable[[#This Row],[Delivery Date]],_xlfn.XLOOKUP(JR$1,$BH$2:$BR$2,$BH202:$BR202,0),0)</f>
        <v>0</v>
      </c>
      <c r="JS202" s="26">
        <f>IF(JS$2=InputTable[[#This Row],[Delivery Date]],_xlfn.XLOOKUP(JS$1,$BH$2:$BR$2,$BH202:$BR202,0),0)</f>
        <v>0</v>
      </c>
      <c r="JT202" s="26">
        <f>IF(JT$2=InputTable[[#This Row],[Delivery Date]],_xlfn.XLOOKUP(JT$1,$BH$2:$BR$2,$BH202:$BR202,0),0)</f>
        <v>0</v>
      </c>
      <c r="JU202" s="26">
        <f>IF(JU$2=InputTable[[#This Row],[Delivery Date]],_xlfn.XLOOKUP(JU$1,$BH$2:$BR$2,$BH202:$BR202,0),0)</f>
        <v>0</v>
      </c>
      <c r="JV202" s="26">
        <f>IF(JV$2=InputTable[[#This Row],[Delivery Date]],_xlfn.XLOOKUP(JV$1,$BH$2:$BR$2,$BH202:$BR202,0),0)</f>
        <v>0</v>
      </c>
      <c r="JX202" s="26" t="e">
        <f>IF(JX$2=InputTable[[#This Row],[Delivery Date]],_xlfn.XLOOKUP(JX$1,$BH$2:$BR$2,$BH202:$BR202,0),0)</f>
        <v>#REF!</v>
      </c>
      <c r="JY202" s="26">
        <f>IF(JY$2=InputTable[[#This Row],[Delivery Date]],_xlfn.XLOOKUP(JY$1,$BH$2:$BR$2,$BH202:$BR202,0),0)</f>
        <v>0</v>
      </c>
      <c r="JZ202" s="26">
        <f>IF(JZ$2=InputTable[[#This Row],[Delivery Date]],_xlfn.XLOOKUP(JZ$1,$BH$2:$BR$2,$BH202:$BR202,0),0)</f>
        <v>0</v>
      </c>
      <c r="KA202" s="26">
        <f>IF(KA$2=InputTable[[#This Row],[Delivery Date]],_xlfn.XLOOKUP(KA$1,$BH$2:$BR$2,$BH202:$BR202,0),0)</f>
        <v>0</v>
      </c>
      <c r="KB202" s="26">
        <f>IF(KB$2=InputTable[[#This Row],[Delivery Date]],_xlfn.XLOOKUP(KB$1,$BH$2:$BR$2,$BH202:$BR202,0),0)</f>
        <v>0</v>
      </c>
      <c r="KC202" s="26">
        <f>IF(KC$2=InputTable[[#This Row],[Delivery Date]],_xlfn.XLOOKUP(KC$1,$BH$2:$BR$2,$BH202:$BR202,0),0)</f>
        <v>0</v>
      </c>
      <c r="KD202" s="26">
        <f>IF(KD$2=InputTable[[#This Row],[Delivery Date]],_xlfn.XLOOKUP(KD$1,$BH$2:$BR$2,$BH202:$BR202,0),0)</f>
        <v>0</v>
      </c>
      <c r="KE202" s="26">
        <f>IF(KE$2=InputTable[[#This Row],[Delivery Date]],_xlfn.XLOOKUP(KE$1,$BH$2:$BR$2,$BH202:$BR202,0),0)</f>
        <v>0</v>
      </c>
      <c r="KF202" s="26">
        <f>IF(KF$2=InputTable[[#This Row],[Delivery Date]],_xlfn.XLOOKUP(KF$1,$BH$2:$BR$2,$BH202:$BR202,0),0)</f>
        <v>0</v>
      </c>
    </row>
    <row r="203" spans="1:292" ht="34.799999999999997" x14ac:dyDescent="0.25">
      <c r="A203" s="125"/>
      <c r="B203" s="118"/>
      <c r="C203" s="92"/>
      <c r="D203" s="92"/>
      <c r="E203" s="93"/>
      <c r="F203" s="92"/>
      <c r="G203" s="92"/>
      <c r="H203" s="92"/>
      <c r="I203" s="92"/>
      <c r="J203" s="94"/>
      <c r="K203" s="95" t="e">
        <f>VLOOKUP((InputTable[[#This Row],[Starting Date]]&amp; " - " &amp;InputTable[[#This Row],[Delivery Date]]),'System List'!$F$40:$H$83,2,FALSE)</f>
        <v>#N/A</v>
      </c>
      <c r="L203" s="95" t="e">
        <f>VLOOKUP(InputTable[[#This Row],[Duration]],Duration,2,FALSE)</f>
        <v>#N/A</v>
      </c>
      <c r="M203" s="94"/>
      <c r="N203" s="92"/>
      <c r="O203" s="92"/>
      <c r="P203" s="92"/>
      <c r="Q203" s="92"/>
      <c r="R203" s="92"/>
      <c r="S203" s="92"/>
      <c r="T203" s="95"/>
      <c r="U203" s="138"/>
      <c r="V203" s="92"/>
      <c r="W203" s="92"/>
      <c r="X203" s="92"/>
      <c r="Y203" s="92"/>
      <c r="Z203" s="92"/>
      <c r="AA203" s="92"/>
      <c r="AB203" s="92"/>
      <c r="AC203" s="92"/>
      <c r="AD203" s="92">
        <f>COUNTA(InputTable[[#This Row],[CORPHRFIN]:[SALES]])</f>
        <v>0</v>
      </c>
      <c r="AE203" s="88" cm="1">
        <f t="array" ref="AE203">SUM(
_xlfn.XLOOKUP(InputTable[[#This Row],[CORPHRFIN]:[SALES]],'System List'!$F$4:$F$7,'System List'!$H$4:$H$7,0))</f>
        <v>0</v>
      </c>
      <c r="AF203" s="140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88" cm="1">
        <f t="array" ref="AR203">SUM(
_xlfn.XLOOKUP(InputTable[[#This Row],[Impact on - CIAL]:[Impact on - STRAT]],'System List'!$F$4:$F$7,'System List'!$H$4:$H$7,0))</f>
        <v>0</v>
      </c>
      <c r="AS203" s="88" t="e">
        <f>VLOOKUP(InputTable[[#This Row],[Duration]],Duration,2,FALSE)+InputTable[[#This Row],[Resource Score]]</f>
        <v>#N/A</v>
      </c>
      <c r="AT203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3" s="24" t="e">
        <f>InputTable[[#This Row],[Value Score]]/InputTable[[#This Row],[EFFORT SCORE]]*100</f>
        <v>#N/A</v>
      </c>
      <c r="AV203" s="25" t="s">
        <v>494</v>
      </c>
      <c r="AW203" s="25"/>
      <c r="AX203" s="144"/>
      <c r="AY203" s="25"/>
      <c r="AZ203" s="189">
        <v>0</v>
      </c>
      <c r="BA203" s="189">
        <v>0</v>
      </c>
      <c r="BB203" s="189"/>
      <c r="BC203" s="189"/>
      <c r="BD203" s="187"/>
      <c r="BE203" s="187"/>
      <c r="BF203" s="70"/>
      <c r="BH203" s="2">
        <f>IFERROR(VLOOKUP(InputTable[[#This Row],[Impact on - CIAL]],'System List'!$F$4:$H$7,3,FALSE),0)</f>
        <v>0</v>
      </c>
      <c r="BI203" s="2">
        <f>IFERROR(VLOOKUP(InputTable[[#This Row],[Impact on - COM]],'System List'!$F$4:$H$7,3,FALSE),0)</f>
        <v>0</v>
      </c>
      <c r="BJ203" s="2">
        <f>IFERROR(VLOOKUP(InputTable[[#This Row],[Impact on - FIN]],'System List'!$F$4:$H$7,3,FALSE),0)</f>
        <v>0</v>
      </c>
      <c r="BK203" s="2">
        <f>IFERROR(VLOOKUP(InputTable[[#This Row],[Impact on - GEN SEC]],'System List'!$F$4:$H$7,3,FALSE),0)</f>
        <v>0</v>
      </c>
      <c r="BL203" s="2">
        <f>IFERROR(VLOOKUP(InputTable[[#This Row],[Impact on - HR]],'System List'!$F$4:$H$7,3,FALSE),0)</f>
        <v>0</v>
      </c>
      <c r="BM203" s="2">
        <f>IFERROR(VLOOKUP(InputTable[[#This Row],[Impact on - IS]],'System List'!$F$4:$H$7,3,FALSE),0)</f>
        <v>0</v>
      </c>
      <c r="BN203" s="2">
        <f>IFERROR(VLOOKUP(InputTable[[#This Row],[Impact on - OPS]],'System List'!$F$4:$H$7,3,FALSE),0)</f>
        <v>0</v>
      </c>
      <c r="BO203" s="2">
        <f>IFERROR(VLOOKUP(InputTable[[#This Row],[Impact on - ROLL STOCK]],'System List'!$F$4:$H$7,3,FALSE),0)</f>
        <v>0</v>
      </c>
      <c r="BP203" s="2">
        <f>IFERROR(VLOOKUP(InputTable[[#This Row],[Impact on - SAFETY]],'System List'!$F$4:$H$7,3,FALSE),0)</f>
        <v>0</v>
      </c>
      <c r="BQ203" s="2">
        <f>IFERROR(VLOOKUP(InputTable[[#This Row],[Impact on - STATION]],'System List'!$F$4:$H$7,3,FALSE),0)</f>
        <v>0</v>
      </c>
      <c r="BR203" s="2">
        <f>IFERROR(VLOOKUP(InputTable[[#This Row],[Impact on - STRAT]],'System List'!$F$4:$H$7,3,FALSE),0)</f>
        <v>0</v>
      </c>
      <c r="BT203" s="2">
        <f>IFERROR(VLOOKUP(InputTable[[#This Row],[CORPHRFIN]],'System List'!$F$4:$H$7,3,FALSE),0)</f>
        <v>0</v>
      </c>
      <c r="BU203" s="2">
        <f>IFERROR(VLOOKUP(InputTable[[#This Row],[CUST]],'System List'!$F$4:$H$7,3,FALSE),0)</f>
        <v>0</v>
      </c>
      <c r="BV203" s="2">
        <f>IFERROR(VLOOKUP(InputTable[[#This Row],[CYBER]],'System List'!$F$4:$H$7,3,FALSE),0)</f>
        <v>0</v>
      </c>
      <c r="BW203" s="2">
        <f>IFERROR(VLOOKUP(InputTable[[#This Row],[DATA]],'System List'!$F$4:$H$7,3,FALSE),0)</f>
        <v>0</v>
      </c>
      <c r="BX203" s="2">
        <f>IFERROR(VLOOKUP(InputTable[[#This Row],[INFRA]],'System List'!$F$4:$H$7,3,FALSE),0)</f>
        <v>0</v>
      </c>
      <c r="BY203" s="2">
        <f>IFERROR(VLOOKUP(InputTable[[#This Row],[OPERATIONS]],'System List'!$F$4:$H$7,3,FALSE),0)</f>
        <v>0</v>
      </c>
      <c r="BZ203" s="2">
        <f>IFERROR(VLOOKUP(InputTable[[#This Row],[PMO]],'System List'!$F$4:$H$7,3,FALSE),0)</f>
        <v>0</v>
      </c>
      <c r="CA203" s="2">
        <f>IFERROR(VLOOKUP(InputTable[[#This Row],[SALES]],'System List'!$F$4:$H$7,3,FALSE),0)</f>
        <v>0</v>
      </c>
      <c r="CC203" s="2" cm="1">
        <f t="array" ref="CC203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3" s="2" cm="1">
        <f t="array" ref="CD203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3" s="2" cm="1">
        <f t="array" ref="CE203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3" s="2" cm="1">
        <f t="array" ref="CF203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3" s="2" cm="1">
        <f t="array" ref="CG203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3" s="2" cm="1">
        <f t="array" ref="CH203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3" s="2" cm="1">
        <f t="array" ref="CI203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3" s="2" cm="1">
        <f t="array" ref="CJ203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3" s="2" cm="1">
        <f t="array" ref="CK203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3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3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3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3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3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3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3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3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3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3" s="26">
        <f t="shared" si="523"/>
        <v>0</v>
      </c>
      <c r="CY203" s="26">
        <f t="shared" si="524"/>
        <v>0</v>
      </c>
      <c r="CZ203" s="26">
        <f t="shared" si="525"/>
        <v>0</v>
      </c>
      <c r="DA203" s="26">
        <f t="shared" si="526"/>
        <v>0</v>
      </c>
      <c r="DB203" s="26">
        <f t="shared" si="527"/>
        <v>0</v>
      </c>
      <c r="DC203" s="26">
        <f t="shared" si="528"/>
        <v>0</v>
      </c>
      <c r="DD203" s="26">
        <f t="shared" si="529"/>
        <v>0</v>
      </c>
      <c r="DE203" s="26">
        <f t="shared" si="530"/>
        <v>0</v>
      </c>
      <c r="DF203" s="26">
        <f t="shared" si="531"/>
        <v>0</v>
      </c>
      <c r="DH203" s="26">
        <f t="shared" si="532"/>
        <v>0</v>
      </c>
      <c r="DI203" s="26">
        <f t="shared" si="533"/>
        <v>0</v>
      </c>
      <c r="DJ203" s="26">
        <f t="shared" si="534"/>
        <v>0</v>
      </c>
      <c r="DK203" s="26">
        <f t="shared" si="535"/>
        <v>0</v>
      </c>
      <c r="DL203" s="26">
        <f t="shared" si="536"/>
        <v>0</v>
      </c>
      <c r="DM203" s="26">
        <f t="shared" si="537"/>
        <v>0</v>
      </c>
      <c r="DN203" s="26">
        <f t="shared" si="538"/>
        <v>0</v>
      </c>
      <c r="DO203" s="26">
        <f t="shared" si="539"/>
        <v>0</v>
      </c>
      <c r="DP203" s="26">
        <f t="shared" si="540"/>
        <v>0</v>
      </c>
      <c r="DR203" s="26">
        <f t="shared" si="541"/>
        <v>0</v>
      </c>
      <c r="DS203" s="26">
        <f t="shared" si="542"/>
        <v>0</v>
      </c>
      <c r="DT203" s="26">
        <f t="shared" si="543"/>
        <v>0</v>
      </c>
      <c r="DU203" s="26">
        <f t="shared" si="544"/>
        <v>0</v>
      </c>
      <c r="DV203" s="26">
        <f t="shared" si="545"/>
        <v>0</v>
      </c>
      <c r="DW203" s="26">
        <f t="shared" si="546"/>
        <v>0</v>
      </c>
      <c r="DX203" s="26">
        <f t="shared" si="547"/>
        <v>0</v>
      </c>
      <c r="DY203" s="26">
        <f t="shared" si="548"/>
        <v>0</v>
      </c>
      <c r="DZ203" s="26">
        <f t="shared" si="549"/>
        <v>0</v>
      </c>
      <c r="EB203" s="26">
        <f t="shared" si="550"/>
        <v>0</v>
      </c>
      <c r="EC203" s="26">
        <f t="shared" si="551"/>
        <v>0</v>
      </c>
      <c r="ED203" s="26">
        <f t="shared" si="552"/>
        <v>0</v>
      </c>
      <c r="EE203" s="26">
        <f t="shared" si="553"/>
        <v>0</v>
      </c>
      <c r="EF203" s="26">
        <f t="shared" si="554"/>
        <v>0</v>
      </c>
      <c r="EG203" s="26">
        <f t="shared" si="555"/>
        <v>0</v>
      </c>
      <c r="EH203" s="26">
        <f t="shared" si="556"/>
        <v>0</v>
      </c>
      <c r="EI203" s="26">
        <f t="shared" si="557"/>
        <v>0</v>
      </c>
      <c r="EJ203" s="26">
        <f t="shared" si="558"/>
        <v>0</v>
      </c>
      <c r="EL203" s="26">
        <f t="shared" si="559"/>
        <v>0</v>
      </c>
      <c r="EM203" s="26">
        <f t="shared" si="560"/>
        <v>0</v>
      </c>
      <c r="EN203" s="26">
        <f t="shared" si="561"/>
        <v>0</v>
      </c>
      <c r="EO203" s="26">
        <f t="shared" si="562"/>
        <v>0</v>
      </c>
      <c r="EP203" s="26">
        <f t="shared" si="563"/>
        <v>0</v>
      </c>
      <c r="EQ203" s="26">
        <f t="shared" si="564"/>
        <v>0</v>
      </c>
      <c r="ER203" s="26">
        <f t="shared" si="565"/>
        <v>0</v>
      </c>
      <c r="ES203" s="26">
        <f t="shared" si="566"/>
        <v>0</v>
      </c>
      <c r="ET203" s="26">
        <f t="shared" si="567"/>
        <v>0</v>
      </c>
      <c r="EV203" s="26">
        <f t="shared" si="568"/>
        <v>0</v>
      </c>
      <c r="EW203" s="26">
        <f t="shared" si="569"/>
        <v>0</v>
      </c>
      <c r="EX203" s="26">
        <f t="shared" si="570"/>
        <v>0</v>
      </c>
      <c r="EY203" s="26">
        <f t="shared" si="571"/>
        <v>0</v>
      </c>
      <c r="EZ203" s="26">
        <f t="shared" si="572"/>
        <v>0</v>
      </c>
      <c r="FA203" s="26">
        <f t="shared" si="573"/>
        <v>0</v>
      </c>
      <c r="FB203" s="26">
        <f t="shared" si="574"/>
        <v>0</v>
      </c>
      <c r="FC203" s="26">
        <f t="shared" si="575"/>
        <v>0</v>
      </c>
      <c r="FD203" s="26">
        <f t="shared" si="576"/>
        <v>0</v>
      </c>
      <c r="FF203" s="26">
        <f t="shared" si="577"/>
        <v>0</v>
      </c>
      <c r="FG203" s="26">
        <f t="shared" si="578"/>
        <v>0</v>
      </c>
      <c r="FH203" s="26">
        <f t="shared" si="579"/>
        <v>0</v>
      </c>
      <c r="FI203" s="26">
        <f t="shared" si="580"/>
        <v>0</v>
      </c>
      <c r="FJ203" s="26">
        <f t="shared" si="581"/>
        <v>0</v>
      </c>
      <c r="FK203" s="26">
        <f t="shared" si="582"/>
        <v>0</v>
      </c>
      <c r="FL203" s="26">
        <f t="shared" si="583"/>
        <v>0</v>
      </c>
      <c r="FM203" s="26">
        <f t="shared" si="584"/>
        <v>0</v>
      </c>
      <c r="FN203" s="26">
        <f t="shared" si="585"/>
        <v>0</v>
      </c>
      <c r="FP203" s="26" t="e">
        <f t="shared" si="586"/>
        <v>#REF!</v>
      </c>
      <c r="FQ203" s="26" t="e">
        <f t="shared" si="587"/>
        <v>#REF!</v>
      </c>
      <c r="FR203" s="26" t="e">
        <f t="shared" si="588"/>
        <v>#REF!</v>
      </c>
      <c r="FS203" s="26" t="e">
        <f t="shared" si="589"/>
        <v>#REF!</v>
      </c>
      <c r="FT203" s="26" t="e">
        <f t="shared" si="590"/>
        <v>#REF!</v>
      </c>
      <c r="FU203" s="26" t="e">
        <f t="shared" si="591"/>
        <v>#REF!</v>
      </c>
      <c r="FV203" s="26" t="e">
        <f t="shared" si="592"/>
        <v>#REF!</v>
      </c>
      <c r="FW203" s="26" t="e">
        <f t="shared" si="593"/>
        <v>#REF!</v>
      </c>
      <c r="FX203" s="26" t="e">
        <f t="shared" si="594"/>
        <v>#REF!</v>
      </c>
      <c r="GB203" s="26" t="e">
        <f>IF(GB$2=InputTable[[#This Row],[Delivery Date]],_xlfn.XLOOKUP(GB$1,$BH$2:$BR$2,$BH203:$BR203,0),0)</f>
        <v>#REF!</v>
      </c>
      <c r="GC203" s="26">
        <f>IF(GC$2=InputTable[[#This Row],[Delivery Date]],_xlfn.XLOOKUP(GC$1,$BH$2:$BR$2,$BH203:$BR203,0),0)</f>
        <v>0</v>
      </c>
      <c r="GD203" s="26">
        <f>IF(GD$2=InputTable[[#This Row],[Delivery Date]],_xlfn.XLOOKUP(GD$1,$BH$2:$BR$2,$BH203:$BR203,0),0)</f>
        <v>0</v>
      </c>
      <c r="GE203" s="26">
        <f>IF(GE$2=InputTable[[#This Row],[Delivery Date]],_xlfn.XLOOKUP(GE$1,$BH$2:$BR$2,$BH203:$BR203,0),0)</f>
        <v>0</v>
      </c>
      <c r="GF203" s="26">
        <f>IF(GF$2=InputTable[[#This Row],[Delivery Date]],_xlfn.XLOOKUP(GF$1,$BH$2:$BR$2,$BH203:$BR203,0),0)</f>
        <v>0</v>
      </c>
      <c r="GG203" s="26">
        <f>IF(GG$2=InputTable[[#This Row],[Delivery Date]],_xlfn.XLOOKUP(GG$1,$BH$2:$BR$2,$BH203:$BR203,0),0)</f>
        <v>0</v>
      </c>
      <c r="GH203" s="26">
        <f>IF(GH$2=InputTable[[#This Row],[Delivery Date]],_xlfn.XLOOKUP(GH$1,$BH$2:$BR$2,$BH203:$BR203,0),0)</f>
        <v>0</v>
      </c>
      <c r="GI203" s="26">
        <f>IF(GI$2=InputTable[[#This Row],[Delivery Date]],_xlfn.XLOOKUP(GI$1,$BH$2:$BR$2,$BH203:$BR203,0),0)</f>
        <v>0</v>
      </c>
      <c r="GJ203" s="26">
        <f>IF(GJ$2=InputTable[[#This Row],[Delivery Date]],_xlfn.XLOOKUP(GJ$1,$BH$2:$BR$2,$BH203:$BR203,0),0)</f>
        <v>0</v>
      </c>
      <c r="GL203" s="26" t="e">
        <f>IF(GL$2=InputTable[[#This Row],[Delivery Date]],_xlfn.XLOOKUP(GL$1,$BH$2:$BR$2,$BH203:$BR203,0),0)</f>
        <v>#REF!</v>
      </c>
      <c r="GM203" s="26">
        <f>IF(GM$2=InputTable[[#This Row],[Delivery Date]],_xlfn.XLOOKUP(GM$1,$BH$2:$BR$2,$BH203:$BR203,0),0)</f>
        <v>0</v>
      </c>
      <c r="GN203" s="26">
        <f>IF(GN$2=InputTable[[#This Row],[Delivery Date]],_xlfn.XLOOKUP(GN$1,$BH$2:$BR$2,$BH203:$BR203,0),0)</f>
        <v>0</v>
      </c>
      <c r="GO203" s="26">
        <f>IF(GO$2=InputTable[[#This Row],[Delivery Date]],_xlfn.XLOOKUP(GO$1,$BH$2:$BR$2,$BH203:$BR203,0),0)</f>
        <v>0</v>
      </c>
      <c r="GP203" s="26">
        <f>IF(GP$2=InputTable[[#This Row],[Delivery Date]],_xlfn.XLOOKUP(GP$1,$BH$2:$BR$2,$BH203:$BR203,0),0)</f>
        <v>0</v>
      </c>
      <c r="GQ203" s="26">
        <f>IF(GQ$2=InputTable[[#This Row],[Delivery Date]],_xlfn.XLOOKUP(GQ$1,$BH$2:$BR$2,$BH203:$BR203,0),0)</f>
        <v>0</v>
      </c>
      <c r="GR203" s="26">
        <f>IF(GR$2=InputTable[[#This Row],[Delivery Date]],_xlfn.XLOOKUP(GR$1,$BH$2:$BR$2,$BH203:$BR203,0),0)</f>
        <v>0</v>
      </c>
      <c r="GS203" s="26">
        <f>IF(GS$2=InputTable[[#This Row],[Delivery Date]],_xlfn.XLOOKUP(GS$1,$BH$2:$BR$2,$BH203:$BR203,0),0)</f>
        <v>0</v>
      </c>
      <c r="GT203" s="26">
        <f>IF(GT$2=InputTable[[#This Row],[Delivery Date]],_xlfn.XLOOKUP(GT$1,$BH$2:$BR$2,$BH203:$BR203,0),0)</f>
        <v>0</v>
      </c>
      <c r="GV203" s="26" t="e">
        <f>IF(GV$2=InputTable[[#This Row],[Delivery Date]],_xlfn.XLOOKUP(GV$1,$BH$2:$BR$2,$BH203:$BR203,0),0)</f>
        <v>#REF!</v>
      </c>
      <c r="GW203" s="26">
        <f>IF(GW$2=InputTable[[#This Row],[Delivery Date]],_xlfn.XLOOKUP(GW$1,$BH$2:$BR$2,$BH203:$BR203,0),0)</f>
        <v>0</v>
      </c>
      <c r="GX203" s="26">
        <f>IF(GX$2=InputTable[[#This Row],[Delivery Date]],_xlfn.XLOOKUP(GX$1,$BH$2:$BR$2,$BH203:$BR203,0),0)</f>
        <v>0</v>
      </c>
      <c r="GY203" s="26">
        <f>IF(GY$2=InputTable[[#This Row],[Delivery Date]],_xlfn.XLOOKUP(GY$1,$BH$2:$BR$2,$BH203:$BR203,0),0)</f>
        <v>0</v>
      </c>
      <c r="GZ203" s="26">
        <f>IF(GZ$2=InputTable[[#This Row],[Delivery Date]],_xlfn.XLOOKUP(GZ$1,$BH$2:$BR$2,$BH203:$BR203,0),0)</f>
        <v>0</v>
      </c>
      <c r="HA203" s="26">
        <f>IF(HA$2=InputTable[[#This Row],[Delivery Date]],_xlfn.XLOOKUP(HA$1,$BH$2:$BR$2,$BH203:$BR203,0),0)</f>
        <v>0</v>
      </c>
      <c r="HB203" s="26">
        <f>IF(HB$2=InputTable[[#This Row],[Delivery Date]],_xlfn.XLOOKUP(HB$1,$BH$2:$BR$2,$BH203:$BR203,0),0)</f>
        <v>0</v>
      </c>
      <c r="HC203" s="26">
        <f>IF(HC$2=InputTable[[#This Row],[Delivery Date]],_xlfn.XLOOKUP(HC$1,$BH$2:$BR$2,$BH203:$BR203,0),0)</f>
        <v>0</v>
      </c>
      <c r="HD203" s="26">
        <f>IF(HD$2=InputTable[[#This Row],[Delivery Date]],_xlfn.XLOOKUP(HD$1,$BH$2:$BR$2,$BH203:$BR203,0),0)</f>
        <v>0</v>
      </c>
      <c r="HF203" s="26" t="e">
        <f>IF(HF$2=InputTable[[#This Row],[Delivery Date]],_xlfn.XLOOKUP(HF$1,$BH$2:$BR$2,$BH203:$BR203,0),0)</f>
        <v>#REF!</v>
      </c>
      <c r="HG203" s="26">
        <f>IF(HG$2=InputTable[[#This Row],[Delivery Date]],_xlfn.XLOOKUP(HG$1,$BH$2:$BR$2,$BH203:$BR203,0),0)</f>
        <v>0</v>
      </c>
      <c r="HH203" s="26">
        <f>IF(HH$2=InputTable[[#This Row],[Delivery Date]],_xlfn.XLOOKUP(HH$1,$BH$2:$BR$2,$BH203:$BR203,0),0)</f>
        <v>0</v>
      </c>
      <c r="HI203" s="26">
        <f>IF(HI$2=InputTable[[#This Row],[Delivery Date]],_xlfn.XLOOKUP(HI$1,$BH$2:$BR$2,$BH203:$BR203,0),0)</f>
        <v>0</v>
      </c>
      <c r="HJ203" s="26">
        <f>IF(HJ$2=InputTable[[#This Row],[Delivery Date]],_xlfn.XLOOKUP(HJ$1,$BH$2:$BR$2,$BH203:$BR203,0),0)</f>
        <v>0</v>
      </c>
      <c r="HK203" s="26">
        <f>IF(HK$2=InputTable[[#This Row],[Delivery Date]],_xlfn.XLOOKUP(HK$1,$BH$2:$BR$2,$BH203:$BR203,0),0)</f>
        <v>0</v>
      </c>
      <c r="HL203" s="26">
        <f>IF(HL$2=InputTable[[#This Row],[Delivery Date]],_xlfn.XLOOKUP(HL$1,$BH$2:$BR$2,$BH203:$BR203,0),0)</f>
        <v>0</v>
      </c>
      <c r="HM203" s="26">
        <f>IF(HM$2=InputTable[[#This Row],[Delivery Date]],_xlfn.XLOOKUP(HM$1,$BH$2:$BR$2,$BH203:$BR203,0),0)</f>
        <v>0</v>
      </c>
      <c r="HN203" s="26">
        <f>IF(HN$2=InputTable[[#This Row],[Delivery Date]],_xlfn.XLOOKUP(HN$1,$BH$2:$BR$2,$BH203:$BR203,0),0)</f>
        <v>0</v>
      </c>
      <c r="HP203" s="26" t="e">
        <f>IF(HP$2=InputTable[[#This Row],[Delivery Date]],_xlfn.XLOOKUP(HP$1,$BH$2:$BR$2,$BH203:$BR203,0),0)</f>
        <v>#REF!</v>
      </c>
      <c r="HQ203" s="26">
        <f>IF(HQ$2=InputTable[[#This Row],[Delivery Date]],_xlfn.XLOOKUP(HQ$1,$BH$2:$BR$2,$BH203:$BR203,0),0)</f>
        <v>0</v>
      </c>
      <c r="HR203" s="26">
        <f>IF(HR$2=InputTable[[#This Row],[Delivery Date]],_xlfn.XLOOKUP(HR$1,$BH$2:$BR$2,$BH203:$BR203,0),0)</f>
        <v>0</v>
      </c>
      <c r="HS203" s="26">
        <f>IF(HS$2=InputTable[[#This Row],[Delivery Date]],_xlfn.XLOOKUP(HS$1,$BH$2:$BR$2,$BH203:$BR203,0),0)</f>
        <v>0</v>
      </c>
      <c r="HT203" s="26">
        <f>IF(HT$2=InputTable[[#This Row],[Delivery Date]],_xlfn.XLOOKUP(HT$1,$BH$2:$BR$2,$BH203:$BR203,0),0)</f>
        <v>0</v>
      </c>
      <c r="HU203" s="26">
        <f>IF(HU$2=InputTable[[#This Row],[Delivery Date]],_xlfn.XLOOKUP(HU$1,$BH$2:$BR$2,$BH203:$BR203,0),0)</f>
        <v>0</v>
      </c>
      <c r="HV203" s="26">
        <f>IF(HV$2=InputTable[[#This Row],[Delivery Date]],_xlfn.XLOOKUP(HV$1,$BH$2:$BR$2,$BH203:$BR203,0),0)</f>
        <v>0</v>
      </c>
      <c r="HW203" s="26">
        <f>IF(HW$2=InputTable[[#This Row],[Delivery Date]],_xlfn.XLOOKUP(HW$1,$BH$2:$BR$2,$BH203:$BR203,0),0)</f>
        <v>0</v>
      </c>
      <c r="HX203" s="26">
        <f>IF(HX$2=InputTable[[#This Row],[Delivery Date]],_xlfn.XLOOKUP(HX$1,$BH$2:$BR$2,$BH203:$BR203,0),0)</f>
        <v>0</v>
      </c>
      <c r="HZ203" s="26" t="e">
        <f>IF(HZ$2=InputTable[[#This Row],[Delivery Date]],_xlfn.XLOOKUP(HZ$1,$BH$2:$BR$2,$BH203:$BR203,0),0)</f>
        <v>#REF!</v>
      </c>
      <c r="IA203" s="26">
        <f>IF(IA$2=InputTable[[#This Row],[Delivery Date]],_xlfn.XLOOKUP(IA$1,$BH$2:$BR$2,$BH203:$BR203,0),0)</f>
        <v>0</v>
      </c>
      <c r="IB203" s="26">
        <f>IF(IB$2=InputTable[[#This Row],[Delivery Date]],_xlfn.XLOOKUP(IB$1,$BH$2:$BR$2,$BH203:$BR203,0),0)</f>
        <v>0</v>
      </c>
      <c r="IC203" s="26">
        <f>IF(IC$2=InputTable[[#This Row],[Delivery Date]],_xlfn.XLOOKUP(IC$1,$BH$2:$BR$2,$BH203:$BR203,0),0)</f>
        <v>0</v>
      </c>
      <c r="ID203" s="26">
        <f>IF(ID$2=InputTable[[#This Row],[Delivery Date]],_xlfn.XLOOKUP(ID$1,$BH$2:$BR$2,$BH203:$BR203,0),0)</f>
        <v>0</v>
      </c>
      <c r="IE203" s="26">
        <f>IF(IE$2=InputTable[[#This Row],[Delivery Date]],_xlfn.XLOOKUP(IE$1,$BH$2:$BR$2,$BH203:$BR203,0),0)</f>
        <v>0</v>
      </c>
      <c r="IF203" s="26">
        <f>IF(IF$2=InputTable[[#This Row],[Delivery Date]],_xlfn.XLOOKUP(IF$1,$BH$2:$BR$2,$BH203:$BR203,0),0)</f>
        <v>0</v>
      </c>
      <c r="IG203" s="26">
        <f>IF(IG$2=InputTable[[#This Row],[Delivery Date]],_xlfn.XLOOKUP(IG$1,$BH$2:$BR$2,$BH203:$BR203,0),0)</f>
        <v>0</v>
      </c>
      <c r="IH203" s="26">
        <f>IF(IH$2=InputTable[[#This Row],[Delivery Date]],_xlfn.XLOOKUP(IH$1,$BH$2:$BR$2,$BH203:$BR203,0),0)</f>
        <v>0</v>
      </c>
      <c r="IJ203" s="26" t="e">
        <f>IF(IJ$2=InputTable[[#This Row],[Delivery Date]],_xlfn.XLOOKUP(IJ$1,$BH$2:$BR$2,$BH203:$BR203,0),0)</f>
        <v>#REF!</v>
      </c>
      <c r="IK203" s="26">
        <f>IF(IK$2=InputTable[[#This Row],[Delivery Date]],_xlfn.XLOOKUP(IK$1,$BH$2:$BR$2,$BH203:$BR203,0),0)</f>
        <v>0</v>
      </c>
      <c r="IL203" s="26">
        <f>IF(IL$2=InputTable[[#This Row],[Delivery Date]],_xlfn.XLOOKUP(IL$1,$BH$2:$BR$2,$BH203:$BR203,0),0)</f>
        <v>0</v>
      </c>
      <c r="IM203" s="26">
        <f>IF(IM$2=InputTable[[#This Row],[Delivery Date]],_xlfn.XLOOKUP(IM$1,$BH$2:$BR$2,$BH203:$BR203,0),0)</f>
        <v>0</v>
      </c>
      <c r="IN203" s="26">
        <f>IF(IN$2=InputTable[[#This Row],[Delivery Date]],_xlfn.XLOOKUP(IN$1,$BH$2:$BR$2,$BH203:$BR203,0),0)</f>
        <v>0</v>
      </c>
      <c r="IO203" s="26">
        <f>IF(IO$2=InputTable[[#This Row],[Delivery Date]],_xlfn.XLOOKUP(IO$1,$BH$2:$BR$2,$BH203:$BR203,0),0)</f>
        <v>0</v>
      </c>
      <c r="IP203" s="26">
        <f>IF(IP$2=InputTable[[#This Row],[Delivery Date]],_xlfn.XLOOKUP(IP$1,$BH$2:$BR$2,$BH203:$BR203,0),0)</f>
        <v>0</v>
      </c>
      <c r="IQ203" s="26">
        <f>IF(IQ$2=InputTable[[#This Row],[Delivery Date]],_xlfn.XLOOKUP(IQ$1,$BH$2:$BR$2,$BH203:$BR203,0),0)</f>
        <v>0</v>
      </c>
      <c r="IR203" s="26">
        <f>IF(IR$2=InputTable[[#This Row],[Delivery Date]],_xlfn.XLOOKUP(IR$1,$BH$2:$BR$2,$BH203:$BR203,0),0)</f>
        <v>0</v>
      </c>
      <c r="IT203" s="26" t="e">
        <f>IF(IT$2=InputTable[[#This Row],[Delivery Date]],_xlfn.XLOOKUP(IT$1,$BH$2:$BR$2,$BH203:$BR203,0),0)</f>
        <v>#REF!</v>
      </c>
      <c r="IU203" s="26">
        <f>IF(IU$2=InputTable[[#This Row],[Delivery Date]],_xlfn.XLOOKUP(IU$1,$BH$2:$BR$2,$BH203:$BR203,0),0)</f>
        <v>0</v>
      </c>
      <c r="IV203" s="26">
        <f>IF(IV$2=InputTable[[#This Row],[Delivery Date]],_xlfn.XLOOKUP(IV$1,$BH$2:$BR$2,$BH203:$BR203,0),0)</f>
        <v>0</v>
      </c>
      <c r="IW203" s="26">
        <f>IF(IW$2=InputTable[[#This Row],[Delivery Date]],_xlfn.XLOOKUP(IW$1,$BH$2:$BR$2,$BH203:$BR203,0),0)</f>
        <v>0</v>
      </c>
      <c r="IX203" s="26">
        <f>IF(IX$2=InputTable[[#This Row],[Delivery Date]],_xlfn.XLOOKUP(IX$1,$BH$2:$BR$2,$BH203:$BR203,0),0)</f>
        <v>0</v>
      </c>
      <c r="IY203" s="26">
        <f>IF(IY$2=InputTable[[#This Row],[Delivery Date]],_xlfn.XLOOKUP(IY$1,$BH$2:$BR$2,$BH203:$BR203,0),0)</f>
        <v>0</v>
      </c>
      <c r="IZ203" s="26">
        <f>IF(IZ$2=InputTable[[#This Row],[Delivery Date]],_xlfn.XLOOKUP(IZ$1,$BH$2:$BR$2,$BH203:$BR203,0),0)</f>
        <v>0</v>
      </c>
      <c r="JA203" s="26">
        <f>IF(JA$2=InputTable[[#This Row],[Delivery Date]],_xlfn.XLOOKUP(JA$1,$BH$2:$BR$2,$BH203:$BR203,0),0)</f>
        <v>0</v>
      </c>
      <c r="JB203" s="26">
        <f>IF(JB$2=InputTable[[#This Row],[Delivery Date]],_xlfn.XLOOKUP(JB$1,$BH$2:$BR$2,$BH203:$BR203,0),0)</f>
        <v>0</v>
      </c>
      <c r="JD203" s="26" t="e">
        <f>IF(JD$2=InputTable[[#This Row],[Delivery Date]],_xlfn.XLOOKUP(JD$1,$BH$2:$BR$2,$BH203:$BR203,0),0)</f>
        <v>#REF!</v>
      </c>
      <c r="JE203" s="26">
        <f>IF(JE$2=InputTable[[#This Row],[Delivery Date]],_xlfn.XLOOKUP(JE$1,$BH$2:$BR$2,$BH203:$BR203,0),0)</f>
        <v>0</v>
      </c>
      <c r="JF203" s="26">
        <f>IF(JF$2=InputTable[[#This Row],[Delivery Date]],_xlfn.XLOOKUP(JF$1,$BH$2:$BR$2,$BH203:$BR203,0),0)</f>
        <v>0</v>
      </c>
      <c r="JG203" s="26">
        <f>IF(JG$2=InputTable[[#This Row],[Delivery Date]],_xlfn.XLOOKUP(JG$1,$BH$2:$BR$2,$BH203:$BR203,0),0)</f>
        <v>0</v>
      </c>
      <c r="JH203" s="26">
        <f>IF(JH$2=InputTable[[#This Row],[Delivery Date]],_xlfn.XLOOKUP(JH$1,$BH$2:$BR$2,$BH203:$BR203,0),0)</f>
        <v>0</v>
      </c>
      <c r="JI203" s="26">
        <f>IF(JI$2=InputTable[[#This Row],[Delivery Date]],_xlfn.XLOOKUP(JI$1,$BH$2:$BR$2,$BH203:$BR203,0),0)</f>
        <v>0</v>
      </c>
      <c r="JJ203" s="26">
        <f>IF(JJ$2=InputTable[[#This Row],[Delivery Date]],_xlfn.XLOOKUP(JJ$1,$BH$2:$BR$2,$BH203:$BR203,0),0)</f>
        <v>0</v>
      </c>
      <c r="JK203" s="26">
        <f>IF(JK$2=InputTable[[#This Row],[Delivery Date]],_xlfn.XLOOKUP(JK$1,$BH$2:$BR$2,$BH203:$BR203,0),0)</f>
        <v>0</v>
      </c>
      <c r="JL203" s="26">
        <f>IF(JL$2=InputTable[[#This Row],[Delivery Date]],_xlfn.XLOOKUP(JL$1,$BH$2:$BR$2,$BH203:$BR203,0),0)</f>
        <v>0</v>
      </c>
      <c r="JN203" s="26" t="e">
        <f>IF(JN$2=InputTable[[#This Row],[Delivery Date]],_xlfn.XLOOKUP(JN$1,$BH$2:$BR$2,$BH203:$BR203,0),0)</f>
        <v>#REF!</v>
      </c>
      <c r="JO203" s="26">
        <f>IF(JO$2=InputTable[[#This Row],[Delivery Date]],_xlfn.XLOOKUP(JO$1,$BH$2:$BR$2,$BH203:$BR203,0),0)</f>
        <v>0</v>
      </c>
      <c r="JP203" s="26">
        <f>IF(JP$2=InputTable[[#This Row],[Delivery Date]],_xlfn.XLOOKUP(JP$1,$BH$2:$BR$2,$BH203:$BR203,0),0)</f>
        <v>0</v>
      </c>
      <c r="JQ203" s="26">
        <f>IF(JQ$2=InputTable[[#This Row],[Delivery Date]],_xlfn.XLOOKUP(JQ$1,$BH$2:$BR$2,$BH203:$BR203,0),0)</f>
        <v>0</v>
      </c>
      <c r="JR203" s="26">
        <f>IF(JR$2=InputTable[[#This Row],[Delivery Date]],_xlfn.XLOOKUP(JR$1,$BH$2:$BR$2,$BH203:$BR203,0),0)</f>
        <v>0</v>
      </c>
      <c r="JS203" s="26">
        <f>IF(JS$2=InputTable[[#This Row],[Delivery Date]],_xlfn.XLOOKUP(JS$1,$BH$2:$BR$2,$BH203:$BR203,0),0)</f>
        <v>0</v>
      </c>
      <c r="JT203" s="26">
        <f>IF(JT$2=InputTable[[#This Row],[Delivery Date]],_xlfn.XLOOKUP(JT$1,$BH$2:$BR$2,$BH203:$BR203,0),0)</f>
        <v>0</v>
      </c>
      <c r="JU203" s="26">
        <f>IF(JU$2=InputTable[[#This Row],[Delivery Date]],_xlfn.XLOOKUP(JU$1,$BH$2:$BR$2,$BH203:$BR203,0),0)</f>
        <v>0</v>
      </c>
      <c r="JV203" s="26">
        <f>IF(JV$2=InputTable[[#This Row],[Delivery Date]],_xlfn.XLOOKUP(JV$1,$BH$2:$BR$2,$BH203:$BR203,0),0)</f>
        <v>0</v>
      </c>
      <c r="JX203" s="26" t="e">
        <f>IF(JX$2=InputTable[[#This Row],[Delivery Date]],_xlfn.XLOOKUP(JX$1,$BH$2:$BR$2,$BH203:$BR203,0),0)</f>
        <v>#REF!</v>
      </c>
      <c r="JY203" s="26">
        <f>IF(JY$2=InputTable[[#This Row],[Delivery Date]],_xlfn.XLOOKUP(JY$1,$BH$2:$BR$2,$BH203:$BR203,0),0)</f>
        <v>0</v>
      </c>
      <c r="JZ203" s="26">
        <f>IF(JZ$2=InputTable[[#This Row],[Delivery Date]],_xlfn.XLOOKUP(JZ$1,$BH$2:$BR$2,$BH203:$BR203,0),0)</f>
        <v>0</v>
      </c>
      <c r="KA203" s="26">
        <f>IF(KA$2=InputTable[[#This Row],[Delivery Date]],_xlfn.XLOOKUP(KA$1,$BH$2:$BR$2,$BH203:$BR203,0),0)</f>
        <v>0</v>
      </c>
      <c r="KB203" s="26">
        <f>IF(KB$2=InputTable[[#This Row],[Delivery Date]],_xlfn.XLOOKUP(KB$1,$BH$2:$BR$2,$BH203:$BR203,0),0)</f>
        <v>0</v>
      </c>
      <c r="KC203" s="26">
        <f>IF(KC$2=InputTable[[#This Row],[Delivery Date]],_xlfn.XLOOKUP(KC$1,$BH$2:$BR$2,$BH203:$BR203,0),0)</f>
        <v>0</v>
      </c>
      <c r="KD203" s="26">
        <f>IF(KD$2=InputTable[[#This Row],[Delivery Date]],_xlfn.XLOOKUP(KD$1,$BH$2:$BR$2,$BH203:$BR203,0),0)</f>
        <v>0</v>
      </c>
      <c r="KE203" s="26">
        <f>IF(KE$2=InputTable[[#This Row],[Delivery Date]],_xlfn.XLOOKUP(KE$1,$BH$2:$BR$2,$BH203:$BR203,0),0)</f>
        <v>0</v>
      </c>
      <c r="KF203" s="26">
        <f>IF(KF$2=InputTable[[#This Row],[Delivery Date]],_xlfn.XLOOKUP(KF$1,$BH$2:$BR$2,$BH203:$BR203,0),0)</f>
        <v>0</v>
      </c>
    </row>
    <row r="204" spans="1:292" ht="34.799999999999997" x14ac:dyDescent="0.25">
      <c r="A204" s="125"/>
      <c r="B204" s="118"/>
      <c r="C204" s="92"/>
      <c r="D204" s="92"/>
      <c r="E204" s="93"/>
      <c r="F204" s="92"/>
      <c r="G204" s="92"/>
      <c r="H204" s="92"/>
      <c r="I204" s="92"/>
      <c r="J204" s="94"/>
      <c r="K204" s="95" t="e">
        <f>VLOOKUP((InputTable[[#This Row],[Starting Date]]&amp; " - " &amp;InputTable[[#This Row],[Delivery Date]]),'System List'!$F$40:$H$83,2,FALSE)</f>
        <v>#N/A</v>
      </c>
      <c r="L204" s="95" t="e">
        <f>VLOOKUP(InputTable[[#This Row],[Duration]],Duration,2,FALSE)</f>
        <v>#N/A</v>
      </c>
      <c r="M204" s="94"/>
      <c r="N204" s="92"/>
      <c r="O204" s="92"/>
      <c r="P204" s="92"/>
      <c r="Q204" s="92"/>
      <c r="R204" s="92"/>
      <c r="S204" s="92"/>
      <c r="T204" s="95"/>
      <c r="U204" s="138"/>
      <c r="V204" s="92"/>
      <c r="W204" s="92"/>
      <c r="X204" s="92"/>
      <c r="Y204" s="92"/>
      <c r="Z204" s="92"/>
      <c r="AA204" s="92"/>
      <c r="AB204" s="92"/>
      <c r="AC204" s="92"/>
      <c r="AD204" s="92">
        <f>COUNTA(InputTable[[#This Row],[CORPHRFIN]:[SALES]])</f>
        <v>0</v>
      </c>
      <c r="AE204" s="88" cm="1">
        <f t="array" ref="AE204">SUM(
_xlfn.XLOOKUP(InputTable[[#This Row],[CORPHRFIN]:[SALES]],'System List'!$F$4:$F$7,'System List'!$H$4:$H$7,0))</f>
        <v>0</v>
      </c>
      <c r="AF204" s="140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88" cm="1">
        <f t="array" ref="AR204">SUM(
_xlfn.XLOOKUP(InputTable[[#This Row],[Impact on - CIAL]:[Impact on - STRAT]],'System List'!$F$4:$F$7,'System List'!$H$4:$H$7,0))</f>
        <v>0</v>
      </c>
      <c r="AS204" s="88" t="e">
        <f>VLOOKUP(InputTable[[#This Row],[Duration]],Duration,2,FALSE)+InputTable[[#This Row],[Resource Score]]</f>
        <v>#N/A</v>
      </c>
      <c r="AT204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4" s="24" t="e">
        <f>InputTable[[#This Row],[Value Score]]/InputTable[[#This Row],[EFFORT SCORE]]*100</f>
        <v>#N/A</v>
      </c>
      <c r="AV204" s="25" t="s">
        <v>495</v>
      </c>
      <c r="AW204" s="25"/>
      <c r="AX204" s="144"/>
      <c r="AY204" s="25"/>
      <c r="AZ204" s="189">
        <v>0</v>
      </c>
      <c r="BA204" s="189">
        <v>0</v>
      </c>
      <c r="BB204" s="189"/>
      <c r="BC204" s="189"/>
      <c r="BD204" s="187"/>
      <c r="BE204" s="187"/>
      <c r="BF204" s="70"/>
      <c r="BH204" s="2">
        <f>IFERROR(VLOOKUP(InputTable[[#This Row],[Impact on - CIAL]],'System List'!$F$4:$H$7,3,FALSE),0)</f>
        <v>0</v>
      </c>
      <c r="BI204" s="2">
        <f>IFERROR(VLOOKUP(InputTable[[#This Row],[Impact on - COM]],'System List'!$F$4:$H$7,3,FALSE),0)</f>
        <v>0</v>
      </c>
      <c r="BJ204" s="2">
        <f>IFERROR(VLOOKUP(InputTable[[#This Row],[Impact on - FIN]],'System List'!$F$4:$H$7,3,FALSE),0)</f>
        <v>0</v>
      </c>
      <c r="BK204" s="2">
        <f>IFERROR(VLOOKUP(InputTable[[#This Row],[Impact on - GEN SEC]],'System List'!$F$4:$H$7,3,FALSE),0)</f>
        <v>0</v>
      </c>
      <c r="BL204" s="2">
        <f>IFERROR(VLOOKUP(InputTable[[#This Row],[Impact on - HR]],'System List'!$F$4:$H$7,3,FALSE),0)</f>
        <v>0</v>
      </c>
      <c r="BM204" s="2">
        <f>IFERROR(VLOOKUP(InputTable[[#This Row],[Impact on - IS]],'System List'!$F$4:$H$7,3,FALSE),0)</f>
        <v>0</v>
      </c>
      <c r="BN204" s="2">
        <f>IFERROR(VLOOKUP(InputTable[[#This Row],[Impact on - OPS]],'System List'!$F$4:$H$7,3,FALSE),0)</f>
        <v>0</v>
      </c>
      <c r="BO204" s="2">
        <f>IFERROR(VLOOKUP(InputTable[[#This Row],[Impact on - ROLL STOCK]],'System List'!$F$4:$H$7,3,FALSE),0)</f>
        <v>0</v>
      </c>
      <c r="BP204" s="2">
        <f>IFERROR(VLOOKUP(InputTable[[#This Row],[Impact on - SAFETY]],'System List'!$F$4:$H$7,3,FALSE),0)</f>
        <v>0</v>
      </c>
      <c r="BQ204" s="2">
        <f>IFERROR(VLOOKUP(InputTable[[#This Row],[Impact on - STATION]],'System List'!$F$4:$H$7,3,FALSE),0)</f>
        <v>0</v>
      </c>
      <c r="BR204" s="2">
        <f>IFERROR(VLOOKUP(InputTable[[#This Row],[Impact on - STRAT]],'System List'!$F$4:$H$7,3,FALSE),0)</f>
        <v>0</v>
      </c>
      <c r="BT204" s="2">
        <f>IFERROR(VLOOKUP(InputTable[[#This Row],[CORPHRFIN]],'System List'!$F$4:$H$7,3,FALSE),0)</f>
        <v>0</v>
      </c>
      <c r="BU204" s="2">
        <f>IFERROR(VLOOKUP(InputTable[[#This Row],[CUST]],'System List'!$F$4:$H$7,3,FALSE),0)</f>
        <v>0</v>
      </c>
      <c r="BV204" s="2">
        <f>IFERROR(VLOOKUP(InputTable[[#This Row],[CYBER]],'System List'!$F$4:$H$7,3,FALSE),0)</f>
        <v>0</v>
      </c>
      <c r="BW204" s="2">
        <f>IFERROR(VLOOKUP(InputTable[[#This Row],[DATA]],'System List'!$F$4:$H$7,3,FALSE),0)</f>
        <v>0</v>
      </c>
      <c r="BX204" s="2">
        <f>IFERROR(VLOOKUP(InputTable[[#This Row],[INFRA]],'System List'!$F$4:$H$7,3,FALSE),0)</f>
        <v>0</v>
      </c>
      <c r="BY204" s="2">
        <f>IFERROR(VLOOKUP(InputTable[[#This Row],[OPERATIONS]],'System List'!$F$4:$H$7,3,FALSE),0)</f>
        <v>0</v>
      </c>
      <c r="BZ204" s="2">
        <f>IFERROR(VLOOKUP(InputTable[[#This Row],[PMO]],'System List'!$F$4:$H$7,3,FALSE),0)</f>
        <v>0</v>
      </c>
      <c r="CA204" s="2">
        <f>IFERROR(VLOOKUP(InputTable[[#This Row],[SALES]],'System List'!$F$4:$H$7,3,FALSE),0)</f>
        <v>0</v>
      </c>
      <c r="CC204" s="2" cm="1">
        <f t="array" ref="CC204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4" s="2" cm="1">
        <f t="array" ref="CD204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4" s="2" cm="1">
        <f t="array" ref="CE204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4" s="2" cm="1">
        <f t="array" ref="CF204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4" s="2" cm="1">
        <f t="array" ref="CG204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4" s="2" cm="1">
        <f t="array" ref="CH204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4" s="2" cm="1">
        <f t="array" ref="CI204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4" s="2" cm="1">
        <f t="array" ref="CJ204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4" s="2" cm="1">
        <f t="array" ref="CK204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4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4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4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4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4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4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4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4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4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4" s="26">
        <f t="shared" si="523"/>
        <v>0</v>
      </c>
      <c r="CY204" s="26">
        <f t="shared" si="524"/>
        <v>0</v>
      </c>
      <c r="CZ204" s="26">
        <f t="shared" si="525"/>
        <v>0</v>
      </c>
      <c r="DA204" s="26">
        <f t="shared" si="526"/>
        <v>0</v>
      </c>
      <c r="DB204" s="26">
        <f t="shared" si="527"/>
        <v>0</v>
      </c>
      <c r="DC204" s="26">
        <f t="shared" si="528"/>
        <v>0</v>
      </c>
      <c r="DD204" s="26">
        <f t="shared" si="529"/>
        <v>0</v>
      </c>
      <c r="DE204" s="26">
        <f t="shared" si="530"/>
        <v>0</v>
      </c>
      <c r="DF204" s="26">
        <f t="shared" si="531"/>
        <v>0</v>
      </c>
      <c r="DH204" s="26">
        <f t="shared" si="532"/>
        <v>0</v>
      </c>
      <c r="DI204" s="26">
        <f t="shared" si="533"/>
        <v>0</v>
      </c>
      <c r="DJ204" s="26">
        <f t="shared" si="534"/>
        <v>0</v>
      </c>
      <c r="DK204" s="26">
        <f t="shared" si="535"/>
        <v>0</v>
      </c>
      <c r="DL204" s="26">
        <f t="shared" si="536"/>
        <v>0</v>
      </c>
      <c r="DM204" s="26">
        <f t="shared" si="537"/>
        <v>0</v>
      </c>
      <c r="DN204" s="26">
        <f t="shared" si="538"/>
        <v>0</v>
      </c>
      <c r="DO204" s="26">
        <f t="shared" si="539"/>
        <v>0</v>
      </c>
      <c r="DP204" s="26">
        <f t="shared" si="540"/>
        <v>0</v>
      </c>
      <c r="DR204" s="26">
        <f t="shared" si="541"/>
        <v>0</v>
      </c>
      <c r="DS204" s="26">
        <f t="shared" si="542"/>
        <v>0</v>
      </c>
      <c r="DT204" s="26">
        <f t="shared" si="543"/>
        <v>0</v>
      </c>
      <c r="DU204" s="26">
        <f t="shared" si="544"/>
        <v>0</v>
      </c>
      <c r="DV204" s="26">
        <f t="shared" si="545"/>
        <v>0</v>
      </c>
      <c r="DW204" s="26">
        <f t="shared" si="546"/>
        <v>0</v>
      </c>
      <c r="DX204" s="26">
        <f t="shared" si="547"/>
        <v>0</v>
      </c>
      <c r="DY204" s="26">
        <f t="shared" si="548"/>
        <v>0</v>
      </c>
      <c r="DZ204" s="26">
        <f t="shared" si="549"/>
        <v>0</v>
      </c>
      <c r="EB204" s="26">
        <f t="shared" si="550"/>
        <v>0</v>
      </c>
      <c r="EC204" s="26">
        <f t="shared" si="551"/>
        <v>0</v>
      </c>
      <c r="ED204" s="26">
        <f t="shared" si="552"/>
        <v>0</v>
      </c>
      <c r="EE204" s="26">
        <f t="shared" si="553"/>
        <v>0</v>
      </c>
      <c r="EF204" s="26">
        <f t="shared" si="554"/>
        <v>0</v>
      </c>
      <c r="EG204" s="26">
        <f t="shared" si="555"/>
        <v>0</v>
      </c>
      <c r="EH204" s="26">
        <f t="shared" si="556"/>
        <v>0</v>
      </c>
      <c r="EI204" s="26">
        <f t="shared" si="557"/>
        <v>0</v>
      </c>
      <c r="EJ204" s="26">
        <f t="shared" si="558"/>
        <v>0</v>
      </c>
      <c r="EL204" s="26">
        <f t="shared" si="559"/>
        <v>0</v>
      </c>
      <c r="EM204" s="26">
        <f t="shared" si="560"/>
        <v>0</v>
      </c>
      <c r="EN204" s="26">
        <f t="shared" si="561"/>
        <v>0</v>
      </c>
      <c r="EO204" s="26">
        <f t="shared" si="562"/>
        <v>0</v>
      </c>
      <c r="EP204" s="26">
        <f t="shared" si="563"/>
        <v>0</v>
      </c>
      <c r="EQ204" s="26">
        <f t="shared" si="564"/>
        <v>0</v>
      </c>
      <c r="ER204" s="26">
        <f t="shared" si="565"/>
        <v>0</v>
      </c>
      <c r="ES204" s="26">
        <f t="shared" si="566"/>
        <v>0</v>
      </c>
      <c r="ET204" s="26">
        <f t="shared" si="567"/>
        <v>0</v>
      </c>
      <c r="EV204" s="26">
        <f t="shared" si="568"/>
        <v>0</v>
      </c>
      <c r="EW204" s="26">
        <f t="shared" si="569"/>
        <v>0</v>
      </c>
      <c r="EX204" s="26">
        <f t="shared" si="570"/>
        <v>0</v>
      </c>
      <c r="EY204" s="26">
        <f t="shared" si="571"/>
        <v>0</v>
      </c>
      <c r="EZ204" s="26">
        <f t="shared" si="572"/>
        <v>0</v>
      </c>
      <c r="FA204" s="26">
        <f t="shared" si="573"/>
        <v>0</v>
      </c>
      <c r="FB204" s="26">
        <f t="shared" si="574"/>
        <v>0</v>
      </c>
      <c r="FC204" s="26">
        <f t="shared" si="575"/>
        <v>0</v>
      </c>
      <c r="FD204" s="26">
        <f t="shared" si="576"/>
        <v>0</v>
      </c>
      <c r="FF204" s="26">
        <f t="shared" si="577"/>
        <v>0</v>
      </c>
      <c r="FG204" s="26">
        <f t="shared" si="578"/>
        <v>0</v>
      </c>
      <c r="FH204" s="26">
        <f t="shared" si="579"/>
        <v>0</v>
      </c>
      <c r="FI204" s="26">
        <f t="shared" si="580"/>
        <v>0</v>
      </c>
      <c r="FJ204" s="26">
        <f t="shared" si="581"/>
        <v>0</v>
      </c>
      <c r="FK204" s="26">
        <f t="shared" si="582"/>
        <v>0</v>
      </c>
      <c r="FL204" s="26">
        <f t="shared" si="583"/>
        <v>0</v>
      </c>
      <c r="FM204" s="26">
        <f t="shared" si="584"/>
        <v>0</v>
      </c>
      <c r="FN204" s="26">
        <f t="shared" si="585"/>
        <v>0</v>
      </c>
      <c r="FP204" s="26" t="e">
        <f t="shared" si="586"/>
        <v>#REF!</v>
      </c>
      <c r="FQ204" s="26" t="e">
        <f t="shared" si="587"/>
        <v>#REF!</v>
      </c>
      <c r="FR204" s="26" t="e">
        <f t="shared" si="588"/>
        <v>#REF!</v>
      </c>
      <c r="FS204" s="26" t="e">
        <f t="shared" si="589"/>
        <v>#REF!</v>
      </c>
      <c r="FT204" s="26" t="e">
        <f t="shared" si="590"/>
        <v>#REF!</v>
      </c>
      <c r="FU204" s="26" t="e">
        <f t="shared" si="591"/>
        <v>#REF!</v>
      </c>
      <c r="FV204" s="26" t="e">
        <f t="shared" si="592"/>
        <v>#REF!</v>
      </c>
      <c r="FW204" s="26" t="e">
        <f t="shared" si="593"/>
        <v>#REF!</v>
      </c>
      <c r="FX204" s="26" t="e">
        <f t="shared" si="594"/>
        <v>#REF!</v>
      </c>
      <c r="GB204" s="26" t="e">
        <f>IF(GB$2=InputTable[[#This Row],[Delivery Date]],_xlfn.XLOOKUP(GB$1,$BH$2:$BR$2,$BH204:$BR204,0),0)</f>
        <v>#REF!</v>
      </c>
      <c r="GC204" s="26">
        <f>IF(GC$2=InputTable[[#This Row],[Delivery Date]],_xlfn.XLOOKUP(GC$1,$BH$2:$BR$2,$BH204:$BR204,0),0)</f>
        <v>0</v>
      </c>
      <c r="GD204" s="26">
        <f>IF(GD$2=InputTable[[#This Row],[Delivery Date]],_xlfn.XLOOKUP(GD$1,$BH$2:$BR$2,$BH204:$BR204,0),0)</f>
        <v>0</v>
      </c>
      <c r="GE204" s="26">
        <f>IF(GE$2=InputTable[[#This Row],[Delivery Date]],_xlfn.XLOOKUP(GE$1,$BH$2:$BR$2,$BH204:$BR204,0),0)</f>
        <v>0</v>
      </c>
      <c r="GF204" s="26">
        <f>IF(GF$2=InputTable[[#This Row],[Delivery Date]],_xlfn.XLOOKUP(GF$1,$BH$2:$BR$2,$BH204:$BR204,0),0)</f>
        <v>0</v>
      </c>
      <c r="GG204" s="26">
        <f>IF(GG$2=InputTable[[#This Row],[Delivery Date]],_xlfn.XLOOKUP(GG$1,$BH$2:$BR$2,$BH204:$BR204,0),0)</f>
        <v>0</v>
      </c>
      <c r="GH204" s="26">
        <f>IF(GH$2=InputTable[[#This Row],[Delivery Date]],_xlfn.XLOOKUP(GH$1,$BH$2:$BR$2,$BH204:$BR204,0),0)</f>
        <v>0</v>
      </c>
      <c r="GI204" s="26">
        <f>IF(GI$2=InputTable[[#This Row],[Delivery Date]],_xlfn.XLOOKUP(GI$1,$BH$2:$BR$2,$BH204:$BR204,0),0)</f>
        <v>0</v>
      </c>
      <c r="GJ204" s="26">
        <f>IF(GJ$2=InputTable[[#This Row],[Delivery Date]],_xlfn.XLOOKUP(GJ$1,$BH$2:$BR$2,$BH204:$BR204,0),0)</f>
        <v>0</v>
      </c>
      <c r="GL204" s="26" t="e">
        <f>IF(GL$2=InputTable[[#This Row],[Delivery Date]],_xlfn.XLOOKUP(GL$1,$BH$2:$BR$2,$BH204:$BR204,0),0)</f>
        <v>#REF!</v>
      </c>
      <c r="GM204" s="26">
        <f>IF(GM$2=InputTable[[#This Row],[Delivery Date]],_xlfn.XLOOKUP(GM$1,$BH$2:$BR$2,$BH204:$BR204,0),0)</f>
        <v>0</v>
      </c>
      <c r="GN204" s="26">
        <f>IF(GN$2=InputTable[[#This Row],[Delivery Date]],_xlfn.XLOOKUP(GN$1,$BH$2:$BR$2,$BH204:$BR204,0),0)</f>
        <v>0</v>
      </c>
      <c r="GO204" s="26">
        <f>IF(GO$2=InputTable[[#This Row],[Delivery Date]],_xlfn.XLOOKUP(GO$1,$BH$2:$BR$2,$BH204:$BR204,0),0)</f>
        <v>0</v>
      </c>
      <c r="GP204" s="26">
        <f>IF(GP$2=InputTable[[#This Row],[Delivery Date]],_xlfn.XLOOKUP(GP$1,$BH$2:$BR$2,$BH204:$BR204,0),0)</f>
        <v>0</v>
      </c>
      <c r="GQ204" s="26">
        <f>IF(GQ$2=InputTable[[#This Row],[Delivery Date]],_xlfn.XLOOKUP(GQ$1,$BH$2:$BR$2,$BH204:$BR204,0),0)</f>
        <v>0</v>
      </c>
      <c r="GR204" s="26">
        <f>IF(GR$2=InputTable[[#This Row],[Delivery Date]],_xlfn.XLOOKUP(GR$1,$BH$2:$BR$2,$BH204:$BR204,0),0)</f>
        <v>0</v>
      </c>
      <c r="GS204" s="26">
        <f>IF(GS$2=InputTable[[#This Row],[Delivery Date]],_xlfn.XLOOKUP(GS$1,$BH$2:$BR$2,$BH204:$BR204,0),0)</f>
        <v>0</v>
      </c>
      <c r="GT204" s="26">
        <f>IF(GT$2=InputTable[[#This Row],[Delivery Date]],_xlfn.XLOOKUP(GT$1,$BH$2:$BR$2,$BH204:$BR204,0),0)</f>
        <v>0</v>
      </c>
      <c r="GV204" s="26" t="e">
        <f>IF(GV$2=InputTable[[#This Row],[Delivery Date]],_xlfn.XLOOKUP(GV$1,$BH$2:$BR$2,$BH204:$BR204,0),0)</f>
        <v>#REF!</v>
      </c>
      <c r="GW204" s="26">
        <f>IF(GW$2=InputTable[[#This Row],[Delivery Date]],_xlfn.XLOOKUP(GW$1,$BH$2:$BR$2,$BH204:$BR204,0),0)</f>
        <v>0</v>
      </c>
      <c r="GX204" s="26">
        <f>IF(GX$2=InputTable[[#This Row],[Delivery Date]],_xlfn.XLOOKUP(GX$1,$BH$2:$BR$2,$BH204:$BR204,0),0)</f>
        <v>0</v>
      </c>
      <c r="GY204" s="26">
        <f>IF(GY$2=InputTable[[#This Row],[Delivery Date]],_xlfn.XLOOKUP(GY$1,$BH$2:$BR$2,$BH204:$BR204,0),0)</f>
        <v>0</v>
      </c>
      <c r="GZ204" s="26">
        <f>IF(GZ$2=InputTable[[#This Row],[Delivery Date]],_xlfn.XLOOKUP(GZ$1,$BH$2:$BR$2,$BH204:$BR204,0),0)</f>
        <v>0</v>
      </c>
      <c r="HA204" s="26">
        <f>IF(HA$2=InputTable[[#This Row],[Delivery Date]],_xlfn.XLOOKUP(HA$1,$BH$2:$BR$2,$BH204:$BR204,0),0)</f>
        <v>0</v>
      </c>
      <c r="HB204" s="26">
        <f>IF(HB$2=InputTable[[#This Row],[Delivery Date]],_xlfn.XLOOKUP(HB$1,$BH$2:$BR$2,$BH204:$BR204,0),0)</f>
        <v>0</v>
      </c>
      <c r="HC204" s="26">
        <f>IF(HC$2=InputTable[[#This Row],[Delivery Date]],_xlfn.XLOOKUP(HC$1,$BH$2:$BR$2,$BH204:$BR204,0),0)</f>
        <v>0</v>
      </c>
      <c r="HD204" s="26">
        <f>IF(HD$2=InputTable[[#This Row],[Delivery Date]],_xlfn.XLOOKUP(HD$1,$BH$2:$BR$2,$BH204:$BR204,0),0)</f>
        <v>0</v>
      </c>
      <c r="HF204" s="26" t="e">
        <f>IF(HF$2=InputTable[[#This Row],[Delivery Date]],_xlfn.XLOOKUP(HF$1,$BH$2:$BR$2,$BH204:$BR204,0),0)</f>
        <v>#REF!</v>
      </c>
      <c r="HG204" s="26">
        <f>IF(HG$2=InputTable[[#This Row],[Delivery Date]],_xlfn.XLOOKUP(HG$1,$BH$2:$BR$2,$BH204:$BR204,0),0)</f>
        <v>0</v>
      </c>
      <c r="HH204" s="26">
        <f>IF(HH$2=InputTable[[#This Row],[Delivery Date]],_xlfn.XLOOKUP(HH$1,$BH$2:$BR$2,$BH204:$BR204,0),0)</f>
        <v>0</v>
      </c>
      <c r="HI204" s="26">
        <f>IF(HI$2=InputTable[[#This Row],[Delivery Date]],_xlfn.XLOOKUP(HI$1,$BH$2:$BR$2,$BH204:$BR204,0),0)</f>
        <v>0</v>
      </c>
      <c r="HJ204" s="26">
        <f>IF(HJ$2=InputTable[[#This Row],[Delivery Date]],_xlfn.XLOOKUP(HJ$1,$BH$2:$BR$2,$BH204:$BR204,0),0)</f>
        <v>0</v>
      </c>
      <c r="HK204" s="26">
        <f>IF(HK$2=InputTable[[#This Row],[Delivery Date]],_xlfn.XLOOKUP(HK$1,$BH$2:$BR$2,$BH204:$BR204,0),0)</f>
        <v>0</v>
      </c>
      <c r="HL204" s="26">
        <f>IF(HL$2=InputTable[[#This Row],[Delivery Date]],_xlfn.XLOOKUP(HL$1,$BH$2:$BR$2,$BH204:$BR204,0),0)</f>
        <v>0</v>
      </c>
      <c r="HM204" s="26">
        <f>IF(HM$2=InputTable[[#This Row],[Delivery Date]],_xlfn.XLOOKUP(HM$1,$BH$2:$BR$2,$BH204:$BR204,0),0)</f>
        <v>0</v>
      </c>
      <c r="HN204" s="26">
        <f>IF(HN$2=InputTable[[#This Row],[Delivery Date]],_xlfn.XLOOKUP(HN$1,$BH$2:$BR$2,$BH204:$BR204,0),0)</f>
        <v>0</v>
      </c>
      <c r="HP204" s="26" t="e">
        <f>IF(HP$2=InputTable[[#This Row],[Delivery Date]],_xlfn.XLOOKUP(HP$1,$BH$2:$BR$2,$BH204:$BR204,0),0)</f>
        <v>#REF!</v>
      </c>
      <c r="HQ204" s="26">
        <f>IF(HQ$2=InputTable[[#This Row],[Delivery Date]],_xlfn.XLOOKUP(HQ$1,$BH$2:$BR$2,$BH204:$BR204,0),0)</f>
        <v>0</v>
      </c>
      <c r="HR204" s="26">
        <f>IF(HR$2=InputTable[[#This Row],[Delivery Date]],_xlfn.XLOOKUP(HR$1,$BH$2:$BR$2,$BH204:$BR204,0),0)</f>
        <v>0</v>
      </c>
      <c r="HS204" s="26">
        <f>IF(HS$2=InputTable[[#This Row],[Delivery Date]],_xlfn.XLOOKUP(HS$1,$BH$2:$BR$2,$BH204:$BR204,0),0)</f>
        <v>0</v>
      </c>
      <c r="HT204" s="26">
        <f>IF(HT$2=InputTable[[#This Row],[Delivery Date]],_xlfn.XLOOKUP(HT$1,$BH$2:$BR$2,$BH204:$BR204,0),0)</f>
        <v>0</v>
      </c>
      <c r="HU204" s="26">
        <f>IF(HU$2=InputTable[[#This Row],[Delivery Date]],_xlfn.XLOOKUP(HU$1,$BH$2:$BR$2,$BH204:$BR204,0),0)</f>
        <v>0</v>
      </c>
      <c r="HV204" s="26">
        <f>IF(HV$2=InputTable[[#This Row],[Delivery Date]],_xlfn.XLOOKUP(HV$1,$BH$2:$BR$2,$BH204:$BR204,0),0)</f>
        <v>0</v>
      </c>
      <c r="HW204" s="26">
        <f>IF(HW$2=InputTable[[#This Row],[Delivery Date]],_xlfn.XLOOKUP(HW$1,$BH$2:$BR$2,$BH204:$BR204,0),0)</f>
        <v>0</v>
      </c>
      <c r="HX204" s="26">
        <f>IF(HX$2=InputTable[[#This Row],[Delivery Date]],_xlfn.XLOOKUP(HX$1,$BH$2:$BR$2,$BH204:$BR204,0),0)</f>
        <v>0</v>
      </c>
      <c r="HZ204" s="26" t="e">
        <f>IF(HZ$2=InputTable[[#This Row],[Delivery Date]],_xlfn.XLOOKUP(HZ$1,$BH$2:$BR$2,$BH204:$BR204,0),0)</f>
        <v>#REF!</v>
      </c>
      <c r="IA204" s="26">
        <f>IF(IA$2=InputTable[[#This Row],[Delivery Date]],_xlfn.XLOOKUP(IA$1,$BH$2:$BR$2,$BH204:$BR204,0),0)</f>
        <v>0</v>
      </c>
      <c r="IB204" s="26">
        <f>IF(IB$2=InputTable[[#This Row],[Delivery Date]],_xlfn.XLOOKUP(IB$1,$BH$2:$BR$2,$BH204:$BR204,0),0)</f>
        <v>0</v>
      </c>
      <c r="IC204" s="26">
        <f>IF(IC$2=InputTable[[#This Row],[Delivery Date]],_xlfn.XLOOKUP(IC$1,$BH$2:$BR$2,$BH204:$BR204,0),0)</f>
        <v>0</v>
      </c>
      <c r="ID204" s="26">
        <f>IF(ID$2=InputTable[[#This Row],[Delivery Date]],_xlfn.XLOOKUP(ID$1,$BH$2:$BR$2,$BH204:$BR204,0),0)</f>
        <v>0</v>
      </c>
      <c r="IE204" s="26">
        <f>IF(IE$2=InputTable[[#This Row],[Delivery Date]],_xlfn.XLOOKUP(IE$1,$BH$2:$BR$2,$BH204:$BR204,0),0)</f>
        <v>0</v>
      </c>
      <c r="IF204" s="26">
        <f>IF(IF$2=InputTable[[#This Row],[Delivery Date]],_xlfn.XLOOKUP(IF$1,$BH$2:$BR$2,$BH204:$BR204,0),0)</f>
        <v>0</v>
      </c>
      <c r="IG204" s="26">
        <f>IF(IG$2=InputTable[[#This Row],[Delivery Date]],_xlfn.XLOOKUP(IG$1,$BH$2:$BR$2,$BH204:$BR204,0),0)</f>
        <v>0</v>
      </c>
      <c r="IH204" s="26">
        <f>IF(IH$2=InputTable[[#This Row],[Delivery Date]],_xlfn.XLOOKUP(IH$1,$BH$2:$BR$2,$BH204:$BR204,0),0)</f>
        <v>0</v>
      </c>
      <c r="IJ204" s="26" t="e">
        <f>IF(IJ$2=InputTable[[#This Row],[Delivery Date]],_xlfn.XLOOKUP(IJ$1,$BH$2:$BR$2,$BH204:$BR204,0),0)</f>
        <v>#REF!</v>
      </c>
      <c r="IK204" s="26">
        <f>IF(IK$2=InputTable[[#This Row],[Delivery Date]],_xlfn.XLOOKUP(IK$1,$BH$2:$BR$2,$BH204:$BR204,0),0)</f>
        <v>0</v>
      </c>
      <c r="IL204" s="26">
        <f>IF(IL$2=InputTable[[#This Row],[Delivery Date]],_xlfn.XLOOKUP(IL$1,$BH$2:$BR$2,$BH204:$BR204,0),0)</f>
        <v>0</v>
      </c>
      <c r="IM204" s="26">
        <f>IF(IM$2=InputTable[[#This Row],[Delivery Date]],_xlfn.XLOOKUP(IM$1,$BH$2:$BR$2,$BH204:$BR204,0),0)</f>
        <v>0</v>
      </c>
      <c r="IN204" s="26">
        <f>IF(IN$2=InputTable[[#This Row],[Delivery Date]],_xlfn.XLOOKUP(IN$1,$BH$2:$BR$2,$BH204:$BR204,0),0)</f>
        <v>0</v>
      </c>
      <c r="IO204" s="26">
        <f>IF(IO$2=InputTable[[#This Row],[Delivery Date]],_xlfn.XLOOKUP(IO$1,$BH$2:$BR$2,$BH204:$BR204,0),0)</f>
        <v>0</v>
      </c>
      <c r="IP204" s="26">
        <f>IF(IP$2=InputTable[[#This Row],[Delivery Date]],_xlfn.XLOOKUP(IP$1,$BH$2:$BR$2,$BH204:$BR204,0),0)</f>
        <v>0</v>
      </c>
      <c r="IQ204" s="26">
        <f>IF(IQ$2=InputTable[[#This Row],[Delivery Date]],_xlfn.XLOOKUP(IQ$1,$BH$2:$BR$2,$BH204:$BR204,0),0)</f>
        <v>0</v>
      </c>
      <c r="IR204" s="26">
        <f>IF(IR$2=InputTable[[#This Row],[Delivery Date]],_xlfn.XLOOKUP(IR$1,$BH$2:$BR$2,$BH204:$BR204,0),0)</f>
        <v>0</v>
      </c>
      <c r="IT204" s="26" t="e">
        <f>IF(IT$2=InputTable[[#This Row],[Delivery Date]],_xlfn.XLOOKUP(IT$1,$BH$2:$BR$2,$BH204:$BR204,0),0)</f>
        <v>#REF!</v>
      </c>
      <c r="IU204" s="26">
        <f>IF(IU$2=InputTable[[#This Row],[Delivery Date]],_xlfn.XLOOKUP(IU$1,$BH$2:$BR$2,$BH204:$BR204,0),0)</f>
        <v>0</v>
      </c>
      <c r="IV204" s="26">
        <f>IF(IV$2=InputTable[[#This Row],[Delivery Date]],_xlfn.XLOOKUP(IV$1,$BH$2:$BR$2,$BH204:$BR204,0),0)</f>
        <v>0</v>
      </c>
      <c r="IW204" s="26">
        <f>IF(IW$2=InputTable[[#This Row],[Delivery Date]],_xlfn.XLOOKUP(IW$1,$BH$2:$BR$2,$BH204:$BR204,0),0)</f>
        <v>0</v>
      </c>
      <c r="IX204" s="26">
        <f>IF(IX$2=InputTable[[#This Row],[Delivery Date]],_xlfn.XLOOKUP(IX$1,$BH$2:$BR$2,$BH204:$BR204,0),0)</f>
        <v>0</v>
      </c>
      <c r="IY204" s="26">
        <f>IF(IY$2=InputTable[[#This Row],[Delivery Date]],_xlfn.XLOOKUP(IY$1,$BH$2:$BR$2,$BH204:$BR204,0),0)</f>
        <v>0</v>
      </c>
      <c r="IZ204" s="26">
        <f>IF(IZ$2=InputTable[[#This Row],[Delivery Date]],_xlfn.XLOOKUP(IZ$1,$BH$2:$BR$2,$BH204:$BR204,0),0)</f>
        <v>0</v>
      </c>
      <c r="JA204" s="26">
        <f>IF(JA$2=InputTable[[#This Row],[Delivery Date]],_xlfn.XLOOKUP(JA$1,$BH$2:$BR$2,$BH204:$BR204,0),0)</f>
        <v>0</v>
      </c>
      <c r="JB204" s="26">
        <f>IF(JB$2=InputTable[[#This Row],[Delivery Date]],_xlfn.XLOOKUP(JB$1,$BH$2:$BR$2,$BH204:$BR204,0),0)</f>
        <v>0</v>
      </c>
      <c r="JD204" s="26" t="e">
        <f>IF(JD$2=InputTable[[#This Row],[Delivery Date]],_xlfn.XLOOKUP(JD$1,$BH$2:$BR$2,$BH204:$BR204,0),0)</f>
        <v>#REF!</v>
      </c>
      <c r="JE204" s="26">
        <f>IF(JE$2=InputTable[[#This Row],[Delivery Date]],_xlfn.XLOOKUP(JE$1,$BH$2:$BR$2,$BH204:$BR204,0),0)</f>
        <v>0</v>
      </c>
      <c r="JF204" s="26">
        <f>IF(JF$2=InputTable[[#This Row],[Delivery Date]],_xlfn.XLOOKUP(JF$1,$BH$2:$BR$2,$BH204:$BR204,0),0)</f>
        <v>0</v>
      </c>
      <c r="JG204" s="26">
        <f>IF(JG$2=InputTable[[#This Row],[Delivery Date]],_xlfn.XLOOKUP(JG$1,$BH$2:$BR$2,$BH204:$BR204,0),0)</f>
        <v>0</v>
      </c>
      <c r="JH204" s="26">
        <f>IF(JH$2=InputTable[[#This Row],[Delivery Date]],_xlfn.XLOOKUP(JH$1,$BH$2:$BR$2,$BH204:$BR204,0),0)</f>
        <v>0</v>
      </c>
      <c r="JI204" s="26">
        <f>IF(JI$2=InputTable[[#This Row],[Delivery Date]],_xlfn.XLOOKUP(JI$1,$BH$2:$BR$2,$BH204:$BR204,0),0)</f>
        <v>0</v>
      </c>
      <c r="JJ204" s="26">
        <f>IF(JJ$2=InputTable[[#This Row],[Delivery Date]],_xlfn.XLOOKUP(JJ$1,$BH$2:$BR$2,$BH204:$BR204,0),0)</f>
        <v>0</v>
      </c>
      <c r="JK204" s="26">
        <f>IF(JK$2=InputTable[[#This Row],[Delivery Date]],_xlfn.XLOOKUP(JK$1,$BH$2:$BR$2,$BH204:$BR204,0),0)</f>
        <v>0</v>
      </c>
      <c r="JL204" s="26">
        <f>IF(JL$2=InputTable[[#This Row],[Delivery Date]],_xlfn.XLOOKUP(JL$1,$BH$2:$BR$2,$BH204:$BR204,0),0)</f>
        <v>0</v>
      </c>
      <c r="JN204" s="26" t="e">
        <f>IF(JN$2=InputTable[[#This Row],[Delivery Date]],_xlfn.XLOOKUP(JN$1,$BH$2:$BR$2,$BH204:$BR204,0),0)</f>
        <v>#REF!</v>
      </c>
      <c r="JO204" s="26">
        <f>IF(JO$2=InputTable[[#This Row],[Delivery Date]],_xlfn.XLOOKUP(JO$1,$BH$2:$BR$2,$BH204:$BR204,0),0)</f>
        <v>0</v>
      </c>
      <c r="JP204" s="26">
        <f>IF(JP$2=InputTable[[#This Row],[Delivery Date]],_xlfn.XLOOKUP(JP$1,$BH$2:$BR$2,$BH204:$BR204,0),0)</f>
        <v>0</v>
      </c>
      <c r="JQ204" s="26">
        <f>IF(JQ$2=InputTable[[#This Row],[Delivery Date]],_xlfn.XLOOKUP(JQ$1,$BH$2:$BR$2,$BH204:$BR204,0),0)</f>
        <v>0</v>
      </c>
      <c r="JR204" s="26">
        <f>IF(JR$2=InputTable[[#This Row],[Delivery Date]],_xlfn.XLOOKUP(JR$1,$BH$2:$BR$2,$BH204:$BR204,0),0)</f>
        <v>0</v>
      </c>
      <c r="JS204" s="26">
        <f>IF(JS$2=InputTable[[#This Row],[Delivery Date]],_xlfn.XLOOKUP(JS$1,$BH$2:$BR$2,$BH204:$BR204,0),0)</f>
        <v>0</v>
      </c>
      <c r="JT204" s="26">
        <f>IF(JT$2=InputTable[[#This Row],[Delivery Date]],_xlfn.XLOOKUP(JT$1,$BH$2:$BR$2,$BH204:$BR204,0),0)</f>
        <v>0</v>
      </c>
      <c r="JU204" s="26">
        <f>IF(JU$2=InputTable[[#This Row],[Delivery Date]],_xlfn.XLOOKUP(JU$1,$BH$2:$BR$2,$BH204:$BR204,0),0)</f>
        <v>0</v>
      </c>
      <c r="JV204" s="26">
        <f>IF(JV$2=InputTable[[#This Row],[Delivery Date]],_xlfn.XLOOKUP(JV$1,$BH$2:$BR$2,$BH204:$BR204,0),0)</f>
        <v>0</v>
      </c>
      <c r="JX204" s="26" t="e">
        <f>IF(JX$2=InputTable[[#This Row],[Delivery Date]],_xlfn.XLOOKUP(JX$1,$BH$2:$BR$2,$BH204:$BR204,0),0)</f>
        <v>#REF!</v>
      </c>
      <c r="JY204" s="26">
        <f>IF(JY$2=InputTable[[#This Row],[Delivery Date]],_xlfn.XLOOKUP(JY$1,$BH$2:$BR$2,$BH204:$BR204,0),0)</f>
        <v>0</v>
      </c>
      <c r="JZ204" s="26">
        <f>IF(JZ$2=InputTable[[#This Row],[Delivery Date]],_xlfn.XLOOKUP(JZ$1,$BH$2:$BR$2,$BH204:$BR204,0),0)</f>
        <v>0</v>
      </c>
      <c r="KA204" s="26">
        <f>IF(KA$2=InputTable[[#This Row],[Delivery Date]],_xlfn.XLOOKUP(KA$1,$BH$2:$BR$2,$BH204:$BR204,0),0)</f>
        <v>0</v>
      </c>
      <c r="KB204" s="26">
        <f>IF(KB$2=InputTable[[#This Row],[Delivery Date]],_xlfn.XLOOKUP(KB$1,$BH$2:$BR$2,$BH204:$BR204,0),0)</f>
        <v>0</v>
      </c>
      <c r="KC204" s="26">
        <f>IF(KC$2=InputTable[[#This Row],[Delivery Date]],_xlfn.XLOOKUP(KC$1,$BH$2:$BR$2,$BH204:$BR204,0),0)</f>
        <v>0</v>
      </c>
      <c r="KD204" s="26">
        <f>IF(KD$2=InputTable[[#This Row],[Delivery Date]],_xlfn.XLOOKUP(KD$1,$BH$2:$BR$2,$BH204:$BR204,0),0)</f>
        <v>0</v>
      </c>
      <c r="KE204" s="26">
        <f>IF(KE$2=InputTable[[#This Row],[Delivery Date]],_xlfn.XLOOKUP(KE$1,$BH$2:$BR$2,$BH204:$BR204,0),0)</f>
        <v>0</v>
      </c>
      <c r="KF204" s="26">
        <f>IF(KF$2=InputTable[[#This Row],[Delivery Date]],_xlfn.XLOOKUP(KF$1,$BH$2:$BR$2,$BH204:$BR204,0),0)</f>
        <v>0</v>
      </c>
    </row>
    <row r="205" spans="1:292" ht="34.799999999999997" x14ac:dyDescent="0.25">
      <c r="A205" s="125"/>
      <c r="B205" s="18"/>
      <c r="C205" s="92"/>
      <c r="D205" s="92"/>
      <c r="E205" s="93"/>
      <c r="F205" s="92"/>
      <c r="G205" s="92"/>
      <c r="H205" s="92"/>
      <c r="I205" s="92"/>
      <c r="J205" s="94"/>
      <c r="K205" s="95" t="e">
        <f>VLOOKUP((InputTable[[#This Row],[Starting Date]]&amp; " - " &amp;InputTable[[#This Row],[Delivery Date]]),'System List'!$F$40:$H$83,2,FALSE)</f>
        <v>#N/A</v>
      </c>
      <c r="L205" s="95" t="e">
        <f>VLOOKUP(InputTable[[#This Row],[Duration]],Duration,2,FALSE)</f>
        <v>#N/A</v>
      </c>
      <c r="M205" s="94"/>
      <c r="N205" s="92"/>
      <c r="O205" s="92"/>
      <c r="P205" s="92"/>
      <c r="Q205" s="92"/>
      <c r="R205" s="92"/>
      <c r="S205" s="92"/>
      <c r="T205" s="95"/>
      <c r="U205" s="138"/>
      <c r="V205" s="92"/>
      <c r="W205" s="92"/>
      <c r="X205" s="92"/>
      <c r="Y205" s="92"/>
      <c r="Z205" s="92"/>
      <c r="AA205" s="92"/>
      <c r="AB205" s="92"/>
      <c r="AC205" s="92"/>
      <c r="AD205" s="92">
        <f>COUNTA(InputTable[[#This Row],[CORPHRFIN]:[SALES]])</f>
        <v>0</v>
      </c>
      <c r="AE205" s="88" cm="1">
        <f t="array" ref="AE205">SUM(
_xlfn.XLOOKUP(InputTable[[#This Row],[CORPHRFIN]:[SALES]],'System List'!$F$4:$F$7,'System List'!$H$4:$H$7,0))</f>
        <v>0</v>
      </c>
      <c r="AF205" s="140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88" cm="1">
        <f t="array" ref="AR205">SUM(
_xlfn.XLOOKUP(InputTable[[#This Row],[Impact on - CIAL]:[Impact on - STRAT]],'System List'!$F$4:$F$7,'System List'!$H$4:$H$7,0))</f>
        <v>0</v>
      </c>
      <c r="AS205" s="88" t="e">
        <f>VLOOKUP(InputTable[[#This Row],[Duration]],Duration,2,FALSE)+InputTable[[#This Row],[Resource Score]]</f>
        <v>#N/A</v>
      </c>
      <c r="AT205" s="88" t="e">
        <f>((
VLOOKUP(InputTable[[#This Row],[Duration]],'System List'!$J$5:$K$10,2,FALSE)*VLOOKUP(InputTable[[#Headers],[Duration]],'System List'!$V$5:$W$8,2,FALSE)
+
VLOOKUP(InputTable[[#This Row],[Number of Team Involved]],'System List'!$M$5:$N$13,2,FALSE)*VLOOKUP(InputTable[[#Headers],[Number of Team Involved]],'System List'!$V$5:$W$8,2,FALSE)
+
VLOOKUP(InputTable[[#This Row],[Resource Score]],Resource_Score,2,FALSE)*VLOOKUP(InputTable[[#Headers],[Resource Score]],'System List'!$V$5:$W$8,2,FALSE)
+
VLOOKUP(InputTable[[#This Row],[CHANGE Impact Score]],CHANGE_Impact_Score,2,FALSE)*VLOOKUP(InputTable[[#Headers],[CHANGE Impact Score]],'System List'!$V$5:$W$8,2,FALSE))
* 100)
/
13</f>
        <v>#N/A</v>
      </c>
      <c r="AU205" s="24" t="e">
        <f>InputTable[[#This Row],[Value Score]]/InputTable[[#This Row],[EFFORT SCORE]]*100</f>
        <v>#N/A</v>
      </c>
      <c r="AV205" s="25" t="s">
        <v>496</v>
      </c>
      <c r="AW205" s="25"/>
      <c r="AX205" s="144"/>
      <c r="AY205" s="25"/>
      <c r="AZ205" s="189">
        <v>0</v>
      </c>
      <c r="BA205" s="189">
        <v>0</v>
      </c>
      <c r="BB205" s="189"/>
      <c r="BC205" s="189"/>
      <c r="BD205" s="187"/>
      <c r="BE205" s="187"/>
      <c r="BF205" s="70"/>
      <c r="BH205" s="2">
        <f>IFERROR(VLOOKUP(InputTable[[#This Row],[Impact on - CIAL]],'System List'!$F$4:$H$7,3,FALSE),0)</f>
        <v>0</v>
      </c>
      <c r="BI205" s="2">
        <f>IFERROR(VLOOKUP(InputTable[[#This Row],[Impact on - COM]],'System List'!$F$4:$H$7,3,FALSE),0)</f>
        <v>0</v>
      </c>
      <c r="BJ205" s="2">
        <f>IFERROR(VLOOKUP(InputTable[[#This Row],[Impact on - FIN]],'System List'!$F$4:$H$7,3,FALSE),0)</f>
        <v>0</v>
      </c>
      <c r="BK205" s="2">
        <f>IFERROR(VLOOKUP(InputTable[[#This Row],[Impact on - GEN SEC]],'System List'!$F$4:$H$7,3,FALSE),0)</f>
        <v>0</v>
      </c>
      <c r="BL205" s="2">
        <f>IFERROR(VLOOKUP(InputTable[[#This Row],[Impact on - HR]],'System List'!$F$4:$H$7,3,FALSE),0)</f>
        <v>0</v>
      </c>
      <c r="BM205" s="2">
        <f>IFERROR(VLOOKUP(InputTable[[#This Row],[Impact on - IS]],'System List'!$F$4:$H$7,3,FALSE),0)</f>
        <v>0</v>
      </c>
      <c r="BN205" s="2">
        <f>IFERROR(VLOOKUP(InputTable[[#This Row],[Impact on - OPS]],'System List'!$F$4:$H$7,3,FALSE),0)</f>
        <v>0</v>
      </c>
      <c r="BO205" s="2">
        <f>IFERROR(VLOOKUP(InputTable[[#This Row],[Impact on - ROLL STOCK]],'System List'!$F$4:$H$7,3,FALSE),0)</f>
        <v>0</v>
      </c>
      <c r="BP205" s="2">
        <f>IFERROR(VLOOKUP(InputTable[[#This Row],[Impact on - SAFETY]],'System List'!$F$4:$H$7,3,FALSE),0)</f>
        <v>0</v>
      </c>
      <c r="BQ205" s="2">
        <f>IFERROR(VLOOKUP(InputTable[[#This Row],[Impact on - STATION]],'System List'!$F$4:$H$7,3,FALSE),0)</f>
        <v>0</v>
      </c>
      <c r="BR205" s="2">
        <f>IFERROR(VLOOKUP(InputTable[[#This Row],[Impact on - STRAT]],'System List'!$F$4:$H$7,3,FALSE),0)</f>
        <v>0</v>
      </c>
      <c r="BT205" s="2">
        <f>IFERROR(VLOOKUP(InputTable[[#This Row],[CORPHRFIN]],'System List'!$F$4:$H$7,3,FALSE),0)</f>
        <v>0</v>
      </c>
      <c r="BU205" s="2">
        <f>IFERROR(VLOOKUP(InputTable[[#This Row],[CUST]],'System List'!$F$4:$H$7,3,FALSE),0)</f>
        <v>0</v>
      </c>
      <c r="BV205" s="2">
        <f>IFERROR(VLOOKUP(InputTable[[#This Row],[CYBER]],'System List'!$F$4:$H$7,3,FALSE),0)</f>
        <v>0</v>
      </c>
      <c r="BW205" s="2">
        <f>IFERROR(VLOOKUP(InputTable[[#This Row],[DATA]],'System List'!$F$4:$H$7,3,FALSE),0)</f>
        <v>0</v>
      </c>
      <c r="BX205" s="2">
        <f>IFERROR(VLOOKUP(InputTable[[#This Row],[INFRA]],'System List'!$F$4:$H$7,3,FALSE),0)</f>
        <v>0</v>
      </c>
      <c r="BY205" s="2">
        <f>IFERROR(VLOOKUP(InputTable[[#This Row],[OPERATIONS]],'System List'!$F$4:$H$7,3,FALSE),0)</f>
        <v>0</v>
      </c>
      <c r="BZ205" s="2">
        <f>IFERROR(VLOOKUP(InputTable[[#This Row],[PMO]],'System List'!$F$4:$H$7,3,FALSE),0)</f>
        <v>0</v>
      </c>
      <c r="CA205" s="2">
        <f>IFERROR(VLOOKUP(InputTable[[#This Row],[SALES]],'System List'!$F$4:$H$7,3,FALSE),0)</f>
        <v>0</v>
      </c>
      <c r="CC205" s="2" cm="1">
        <f t="array" ref="CC205">IFERROR(
IF(
AND(
MATCH(InputTable[[#This Row],[Starting Date]],'System List'!$B$5:$B$16,0)&lt;=MATCH(Input!CC$2,'System List'!$B$5:$B$16,0),
MATCH(Input!CC$2,'System List'!$B$5:$B$16&lt;=MATCH(InputTable[[#This Row],[Delivery Date]],'System List'!$B$5:$B$16,0))),1,0),
)</f>
        <v>0</v>
      </c>
      <c r="CD205" s="2" cm="1">
        <f t="array" ref="CD205">IFERROR(
IF(
AND(
MATCH(InputTable[[#This Row],[Starting Date]],'System List'!$B$5:$B$16,0)&lt;=MATCH(Input!CD$2,'System List'!$B$5:$B$16,0),
MATCH(Input!CD$2,'System List'!$B$5:$B$16&lt;=MATCH(InputTable[[#This Row],[Delivery Date]],'System List'!$B$5:$B$16,0))),1,0),
)</f>
        <v>0</v>
      </c>
      <c r="CE205" s="2" cm="1">
        <f t="array" ref="CE205">IFERROR(
IF(
AND(
MATCH(InputTable[[#This Row],[Starting Date]],'System List'!$B$5:$B$16,0)&lt;=MATCH(Input!CE$2,'System List'!$B$5:$B$16,0),
MATCH(Input!CE$2,'System List'!$B$5:$B$16&lt;=MATCH(InputTable[[#This Row],[Delivery Date]],'System List'!$B$5:$B$16,0))),1,0),
)</f>
        <v>0</v>
      </c>
      <c r="CF205" s="2" cm="1">
        <f t="array" ref="CF205">IFERROR(
IF(
AND(
MATCH(InputTable[[#This Row],[Starting Date]],'System List'!$B$5:$B$16,0)&lt;=MATCH(Input!CF$2,'System List'!$B$5:$B$16,0),
MATCH(Input!CF$2,'System List'!$B$5:$B$16&lt;=MATCH(InputTable[[#This Row],[Delivery Date]],'System List'!$B$5:$B$16,0))),1,0),
)</f>
        <v>0</v>
      </c>
      <c r="CG205" s="2" cm="1">
        <f t="array" ref="CG205">IFERROR(
IF(
AND(
MATCH(InputTable[[#This Row],[Starting Date]],'System List'!$B$5:$B$16,0)&lt;=MATCH(Input!CG$2,'System List'!$B$5:$B$16,0),
MATCH(Input!CG$2,'System List'!$B$5:$B$16&lt;=MATCH(InputTable[[#This Row],[Delivery Date]],'System List'!$B$5:$B$16,0))),1,0),
)</f>
        <v>0</v>
      </c>
      <c r="CH205" s="2" cm="1">
        <f t="array" ref="CH205">IFERROR(
IF(
AND(
MATCH(InputTable[[#This Row],[Starting Date]],'System List'!$B$5:$B$16,0)&lt;=MATCH(Input!CH$2,'System List'!$B$5:$B$16,0),
MATCH(Input!CH$2,'System List'!$B$5:$B$16&lt;=MATCH(InputTable[[#This Row],[Delivery Date]],'System List'!$B$5:$B$16,0))),1,0),
)</f>
        <v>0</v>
      </c>
      <c r="CI205" s="2" cm="1">
        <f t="array" ref="CI205">IFERROR(
IF(
AND(
MATCH(InputTable[[#This Row],[Starting Date]],'System List'!$B$5:$B$16,0)&lt;=MATCH(Input!CI$2,'System List'!$B$5:$B$16,0),
MATCH(Input!CI$2,'System List'!$B$5:$B$16&lt;=MATCH(InputTable[[#This Row],[Delivery Date]],'System List'!$B$5:$B$16,0))),1,0),
)</f>
        <v>0</v>
      </c>
      <c r="CJ205" s="2" cm="1">
        <f t="array" ref="CJ205">IFERROR(
IF(
AND(
MATCH(InputTable[[#This Row],[Starting Date]],'System List'!$B$5:$B$16,0)&lt;=MATCH(Input!CJ$2,'System List'!$B$5:$B$16,0),
MATCH(Input!CJ$2,'System List'!$B$5:$B$16&lt;=MATCH(InputTable[[#This Row],[Delivery Date]],'System List'!$B$5:$B$16,0))),1,0),
)</f>
        <v>0</v>
      </c>
      <c r="CK205" s="2" cm="1">
        <f t="array" ref="CK205">IFERROR(
IF(
AND(
MATCH(InputTable[[#This Row],[Starting Date]],'System List'!$B$5:$B$16,0)&lt;=MATCH(Input!CK$2,'System List'!$B$5:$B$16,0),
MATCH(Input!CK$2,'System List'!$B$5:$B$16&lt;=MATCH(InputTable[[#This Row],[Delivery Date]],'System List'!$B$5:$B$16,0))),1,0),
)</f>
        <v>0</v>
      </c>
      <c r="CN205" s="2">
        <f>IFERROR(
IF(AND(
MATCH(InputTable[[#This Row],[Starting Date]],'System List'!$B$5:$B$16,0)&lt;=MATCH(CN$2,'System List'!$B$5:$B$16,0),
MATCH(CN$2,'System List'!$B$5:$B$16,0)&lt;=MATCH(InputTable[[#This Row],[Delivery Date]],'System List'!$B$5:$B$16,0)),1,0),0)</f>
        <v>0</v>
      </c>
      <c r="CO205" s="2">
        <f>IFERROR(
IF(AND(
MATCH(InputTable[[#This Row],[Starting Date]],'System List'!$B$5:$B$16,0)&lt;=MATCH(CO$2,'System List'!$B$5:$B$16,0),
MATCH(CO$2,'System List'!$B$5:$B$16,0)&lt;=MATCH(InputTable[[#This Row],[Delivery Date]],'System List'!$B$5:$B$16,0)),1,0),0)</f>
        <v>0</v>
      </c>
      <c r="CP205" s="2">
        <f>IFERROR(
IF(AND(
MATCH(InputTable[[#This Row],[Starting Date]],'System List'!$B$5:$B$16,0)&lt;=MATCH(CP$2,'System List'!$B$5:$B$16,0),
MATCH(CP$2,'System List'!$B$5:$B$16,0)&lt;=MATCH(InputTable[[#This Row],[Delivery Date]],'System List'!$B$5:$B$16,0)),1,0),0)</f>
        <v>0</v>
      </c>
      <c r="CQ205" s="2">
        <f>IFERROR(
IF(AND(
MATCH(InputTable[[#This Row],[Starting Date]],'System List'!$B$5:$B$16,0)&lt;=MATCH(CQ$2,'System List'!$B$5:$B$16,0),
MATCH(CQ$2,'System List'!$B$5:$B$16,0)&lt;=MATCH(InputTable[[#This Row],[Delivery Date]],'System List'!$B$5:$B$16,0)),1,0),0)</f>
        <v>0</v>
      </c>
      <c r="CR205" s="2">
        <f>IFERROR(
IF(AND(
MATCH(InputTable[[#This Row],[Starting Date]],'System List'!$B$5:$B$16,0)&lt;=MATCH(CR$2,'System List'!$B$5:$B$16,0),
MATCH(CR$2,'System List'!$B$5:$B$16,0)&lt;=MATCH(InputTable[[#This Row],[Delivery Date]],'System List'!$B$5:$B$16,0)),1,0),0)</f>
        <v>0</v>
      </c>
      <c r="CS205" s="2">
        <f>IFERROR(
IF(AND(
MATCH(InputTable[[#This Row],[Starting Date]],'System List'!$B$5:$B$16,0)&lt;=MATCH(CS$2,'System List'!$B$5:$B$16,0),
MATCH(CS$2,'System List'!$B$5:$B$16,0)&lt;=MATCH(InputTable[[#This Row],[Delivery Date]],'System List'!$B$5:$B$16,0)),1,0),0)</f>
        <v>0</v>
      </c>
      <c r="CT205" s="2">
        <f>IFERROR(
IF(AND(
MATCH(InputTable[[#This Row],[Starting Date]],'System List'!$B$5:$B$16,0)&lt;=MATCH(CT$2,'System List'!$B$5:$B$16,0),
MATCH(CT$2,'System List'!$B$5:$B$16,0)&lt;=MATCH(InputTable[[#This Row],[Delivery Date]],'System List'!$B$5:$B$16,0)),1,0),0)</f>
        <v>0</v>
      </c>
      <c r="CU205" s="2">
        <f>IFERROR(
IF(AND(
MATCH(InputTable[[#This Row],[Starting Date]],'System List'!$B$5:$B$16,0)&lt;=MATCH(CU$2,'System List'!$B$5:$B$16,0),
MATCH(CU$2,'System List'!$B$5:$B$16,0)&lt;=MATCH(InputTable[[#This Row],[Delivery Date]],'System List'!$B$5:$B$16,0)),1,0),0)</f>
        <v>0</v>
      </c>
      <c r="CV205" s="2">
        <f>IFERROR(
IF(AND(
MATCH(InputTable[[#This Row],[Starting Date]],'System List'!$B$5:$B$16,0)&lt;=MATCH(CV$2,'System List'!$B$5:$B$16,0),
MATCH(CV$2,'System List'!$B$5:$B$16,0)&lt;=MATCH(InputTable[[#This Row],[Delivery Date]],'System List'!$B$5:$B$16,0)),1,0),0)</f>
        <v>0</v>
      </c>
      <c r="CX205" s="26">
        <f t="shared" si="523"/>
        <v>0</v>
      </c>
      <c r="CY205" s="26">
        <f t="shared" si="524"/>
        <v>0</v>
      </c>
      <c r="CZ205" s="26">
        <f t="shared" si="525"/>
        <v>0</v>
      </c>
      <c r="DA205" s="26">
        <f t="shared" si="526"/>
        <v>0</v>
      </c>
      <c r="DB205" s="26">
        <f t="shared" si="527"/>
        <v>0</v>
      </c>
      <c r="DC205" s="26">
        <f t="shared" si="528"/>
        <v>0</v>
      </c>
      <c r="DD205" s="26">
        <f t="shared" si="529"/>
        <v>0</v>
      </c>
      <c r="DE205" s="26">
        <f t="shared" si="530"/>
        <v>0</v>
      </c>
      <c r="DF205" s="26">
        <f t="shared" si="531"/>
        <v>0</v>
      </c>
      <c r="DH205" s="26">
        <f t="shared" si="532"/>
        <v>0</v>
      </c>
      <c r="DI205" s="26">
        <f t="shared" si="533"/>
        <v>0</v>
      </c>
      <c r="DJ205" s="26">
        <f t="shared" si="534"/>
        <v>0</v>
      </c>
      <c r="DK205" s="26">
        <f t="shared" si="535"/>
        <v>0</v>
      </c>
      <c r="DL205" s="26">
        <f t="shared" si="536"/>
        <v>0</v>
      </c>
      <c r="DM205" s="26">
        <f t="shared" si="537"/>
        <v>0</v>
      </c>
      <c r="DN205" s="26">
        <f t="shared" si="538"/>
        <v>0</v>
      </c>
      <c r="DO205" s="26">
        <f t="shared" si="539"/>
        <v>0</v>
      </c>
      <c r="DP205" s="26">
        <f t="shared" si="540"/>
        <v>0</v>
      </c>
      <c r="DR205" s="26">
        <f t="shared" si="541"/>
        <v>0</v>
      </c>
      <c r="DS205" s="26">
        <f t="shared" si="542"/>
        <v>0</v>
      </c>
      <c r="DT205" s="26">
        <f t="shared" si="543"/>
        <v>0</v>
      </c>
      <c r="DU205" s="26">
        <f t="shared" si="544"/>
        <v>0</v>
      </c>
      <c r="DV205" s="26">
        <f t="shared" si="545"/>
        <v>0</v>
      </c>
      <c r="DW205" s="26">
        <f t="shared" si="546"/>
        <v>0</v>
      </c>
      <c r="DX205" s="26">
        <f t="shared" si="547"/>
        <v>0</v>
      </c>
      <c r="DY205" s="26">
        <f t="shared" si="548"/>
        <v>0</v>
      </c>
      <c r="DZ205" s="26">
        <f t="shared" si="549"/>
        <v>0</v>
      </c>
      <c r="EB205" s="26">
        <f t="shared" si="550"/>
        <v>0</v>
      </c>
      <c r="EC205" s="26">
        <f t="shared" si="551"/>
        <v>0</v>
      </c>
      <c r="ED205" s="26">
        <f t="shared" si="552"/>
        <v>0</v>
      </c>
      <c r="EE205" s="26">
        <f t="shared" si="553"/>
        <v>0</v>
      </c>
      <c r="EF205" s="26">
        <f t="shared" si="554"/>
        <v>0</v>
      </c>
      <c r="EG205" s="26">
        <f t="shared" si="555"/>
        <v>0</v>
      </c>
      <c r="EH205" s="26">
        <f t="shared" si="556"/>
        <v>0</v>
      </c>
      <c r="EI205" s="26">
        <f t="shared" si="557"/>
        <v>0</v>
      </c>
      <c r="EJ205" s="26">
        <f t="shared" si="558"/>
        <v>0</v>
      </c>
      <c r="EL205" s="26">
        <f t="shared" si="559"/>
        <v>0</v>
      </c>
      <c r="EM205" s="26">
        <f t="shared" si="560"/>
        <v>0</v>
      </c>
      <c r="EN205" s="26">
        <f t="shared" si="561"/>
        <v>0</v>
      </c>
      <c r="EO205" s="26">
        <f t="shared" si="562"/>
        <v>0</v>
      </c>
      <c r="EP205" s="26">
        <f t="shared" si="563"/>
        <v>0</v>
      </c>
      <c r="EQ205" s="26">
        <f t="shared" si="564"/>
        <v>0</v>
      </c>
      <c r="ER205" s="26">
        <f t="shared" si="565"/>
        <v>0</v>
      </c>
      <c r="ES205" s="26">
        <f t="shared" si="566"/>
        <v>0</v>
      </c>
      <c r="ET205" s="26">
        <f t="shared" si="567"/>
        <v>0</v>
      </c>
      <c r="EV205" s="26">
        <f t="shared" si="568"/>
        <v>0</v>
      </c>
      <c r="EW205" s="26">
        <f t="shared" si="569"/>
        <v>0</v>
      </c>
      <c r="EX205" s="26">
        <f t="shared" si="570"/>
        <v>0</v>
      </c>
      <c r="EY205" s="26">
        <f t="shared" si="571"/>
        <v>0</v>
      </c>
      <c r="EZ205" s="26">
        <f t="shared" si="572"/>
        <v>0</v>
      </c>
      <c r="FA205" s="26">
        <f t="shared" si="573"/>
        <v>0</v>
      </c>
      <c r="FB205" s="26">
        <f t="shared" si="574"/>
        <v>0</v>
      </c>
      <c r="FC205" s="26">
        <f t="shared" si="575"/>
        <v>0</v>
      </c>
      <c r="FD205" s="26">
        <f t="shared" si="576"/>
        <v>0</v>
      </c>
      <c r="FF205" s="26">
        <f t="shared" si="577"/>
        <v>0</v>
      </c>
      <c r="FG205" s="26">
        <f t="shared" si="578"/>
        <v>0</v>
      </c>
      <c r="FH205" s="26">
        <f t="shared" si="579"/>
        <v>0</v>
      </c>
      <c r="FI205" s="26">
        <f t="shared" si="580"/>
        <v>0</v>
      </c>
      <c r="FJ205" s="26">
        <f t="shared" si="581"/>
        <v>0</v>
      </c>
      <c r="FK205" s="26">
        <f t="shared" si="582"/>
        <v>0</v>
      </c>
      <c r="FL205" s="26">
        <f t="shared" si="583"/>
        <v>0</v>
      </c>
      <c r="FM205" s="26">
        <f t="shared" si="584"/>
        <v>0</v>
      </c>
      <c r="FN205" s="26">
        <f t="shared" si="585"/>
        <v>0</v>
      </c>
      <c r="FP205" s="26" t="e">
        <f t="shared" si="586"/>
        <v>#REF!</v>
      </c>
      <c r="FQ205" s="26" t="e">
        <f t="shared" si="587"/>
        <v>#REF!</v>
      </c>
      <c r="FR205" s="26" t="e">
        <f t="shared" si="588"/>
        <v>#REF!</v>
      </c>
      <c r="FS205" s="26" t="e">
        <f t="shared" si="589"/>
        <v>#REF!</v>
      </c>
      <c r="FT205" s="26" t="e">
        <f t="shared" si="590"/>
        <v>#REF!</v>
      </c>
      <c r="FU205" s="26" t="e">
        <f t="shared" si="591"/>
        <v>#REF!</v>
      </c>
      <c r="FV205" s="26" t="e">
        <f t="shared" si="592"/>
        <v>#REF!</v>
      </c>
      <c r="FW205" s="26" t="e">
        <f t="shared" si="593"/>
        <v>#REF!</v>
      </c>
      <c r="FX205" s="26" t="e">
        <f t="shared" si="594"/>
        <v>#REF!</v>
      </c>
      <c r="GB205" s="26" t="e">
        <f>IF(GB$2=InputTable[[#This Row],[Delivery Date]],_xlfn.XLOOKUP(GB$1,$BH$2:$BR$2,$BH205:$BR205,0),0)</f>
        <v>#REF!</v>
      </c>
      <c r="GC205" s="26">
        <f>IF(GC$2=InputTable[[#This Row],[Delivery Date]],_xlfn.XLOOKUP(GC$1,$BH$2:$BR$2,$BH205:$BR205,0),0)</f>
        <v>0</v>
      </c>
      <c r="GD205" s="26">
        <f>IF(GD$2=InputTable[[#This Row],[Delivery Date]],_xlfn.XLOOKUP(GD$1,$BH$2:$BR$2,$BH205:$BR205,0),0)</f>
        <v>0</v>
      </c>
      <c r="GE205" s="26">
        <f>IF(GE$2=InputTable[[#This Row],[Delivery Date]],_xlfn.XLOOKUP(GE$1,$BH$2:$BR$2,$BH205:$BR205,0),0)</f>
        <v>0</v>
      </c>
      <c r="GF205" s="26">
        <f>IF(GF$2=InputTable[[#This Row],[Delivery Date]],_xlfn.XLOOKUP(GF$1,$BH$2:$BR$2,$BH205:$BR205,0),0)</f>
        <v>0</v>
      </c>
      <c r="GG205" s="26">
        <f>IF(GG$2=InputTable[[#This Row],[Delivery Date]],_xlfn.XLOOKUP(GG$1,$BH$2:$BR$2,$BH205:$BR205,0),0)</f>
        <v>0</v>
      </c>
      <c r="GH205" s="26">
        <f>IF(GH$2=InputTable[[#This Row],[Delivery Date]],_xlfn.XLOOKUP(GH$1,$BH$2:$BR$2,$BH205:$BR205,0),0)</f>
        <v>0</v>
      </c>
      <c r="GI205" s="26">
        <f>IF(GI$2=InputTable[[#This Row],[Delivery Date]],_xlfn.XLOOKUP(GI$1,$BH$2:$BR$2,$BH205:$BR205,0),0)</f>
        <v>0</v>
      </c>
      <c r="GJ205" s="26">
        <f>IF(GJ$2=InputTable[[#This Row],[Delivery Date]],_xlfn.XLOOKUP(GJ$1,$BH$2:$BR$2,$BH205:$BR205,0),0)</f>
        <v>0</v>
      </c>
      <c r="GL205" s="26" t="e">
        <f>IF(GL$2=InputTable[[#This Row],[Delivery Date]],_xlfn.XLOOKUP(GL$1,$BH$2:$BR$2,$BH205:$BR205,0),0)</f>
        <v>#REF!</v>
      </c>
      <c r="GM205" s="26">
        <f>IF(GM$2=InputTable[[#This Row],[Delivery Date]],_xlfn.XLOOKUP(GM$1,$BH$2:$BR$2,$BH205:$BR205,0),0)</f>
        <v>0</v>
      </c>
      <c r="GN205" s="26">
        <f>IF(GN$2=InputTable[[#This Row],[Delivery Date]],_xlfn.XLOOKUP(GN$1,$BH$2:$BR$2,$BH205:$BR205,0),0)</f>
        <v>0</v>
      </c>
      <c r="GO205" s="26">
        <f>IF(GO$2=InputTable[[#This Row],[Delivery Date]],_xlfn.XLOOKUP(GO$1,$BH$2:$BR$2,$BH205:$BR205,0),0)</f>
        <v>0</v>
      </c>
      <c r="GP205" s="26">
        <f>IF(GP$2=InputTable[[#This Row],[Delivery Date]],_xlfn.XLOOKUP(GP$1,$BH$2:$BR$2,$BH205:$BR205,0),0)</f>
        <v>0</v>
      </c>
      <c r="GQ205" s="26">
        <f>IF(GQ$2=InputTable[[#This Row],[Delivery Date]],_xlfn.XLOOKUP(GQ$1,$BH$2:$BR$2,$BH205:$BR205,0),0)</f>
        <v>0</v>
      </c>
      <c r="GR205" s="26">
        <f>IF(GR$2=InputTable[[#This Row],[Delivery Date]],_xlfn.XLOOKUP(GR$1,$BH$2:$BR$2,$BH205:$BR205,0),0)</f>
        <v>0</v>
      </c>
      <c r="GS205" s="26">
        <f>IF(GS$2=InputTable[[#This Row],[Delivery Date]],_xlfn.XLOOKUP(GS$1,$BH$2:$BR$2,$BH205:$BR205,0),0)</f>
        <v>0</v>
      </c>
      <c r="GT205" s="26">
        <f>IF(GT$2=InputTable[[#This Row],[Delivery Date]],_xlfn.XLOOKUP(GT$1,$BH$2:$BR$2,$BH205:$BR205,0),0)</f>
        <v>0</v>
      </c>
      <c r="GV205" s="26" t="e">
        <f>IF(GV$2=InputTable[[#This Row],[Delivery Date]],_xlfn.XLOOKUP(GV$1,$BH$2:$BR$2,$BH205:$BR205,0),0)</f>
        <v>#REF!</v>
      </c>
      <c r="GW205" s="26">
        <f>IF(GW$2=InputTable[[#This Row],[Delivery Date]],_xlfn.XLOOKUP(GW$1,$BH$2:$BR$2,$BH205:$BR205,0),0)</f>
        <v>0</v>
      </c>
      <c r="GX205" s="26">
        <f>IF(GX$2=InputTable[[#This Row],[Delivery Date]],_xlfn.XLOOKUP(GX$1,$BH$2:$BR$2,$BH205:$BR205,0),0)</f>
        <v>0</v>
      </c>
      <c r="GY205" s="26">
        <f>IF(GY$2=InputTable[[#This Row],[Delivery Date]],_xlfn.XLOOKUP(GY$1,$BH$2:$BR$2,$BH205:$BR205,0),0)</f>
        <v>0</v>
      </c>
      <c r="GZ205" s="26">
        <f>IF(GZ$2=InputTable[[#This Row],[Delivery Date]],_xlfn.XLOOKUP(GZ$1,$BH$2:$BR$2,$BH205:$BR205,0),0)</f>
        <v>0</v>
      </c>
      <c r="HA205" s="26">
        <f>IF(HA$2=InputTable[[#This Row],[Delivery Date]],_xlfn.XLOOKUP(HA$1,$BH$2:$BR$2,$BH205:$BR205,0),0)</f>
        <v>0</v>
      </c>
      <c r="HB205" s="26">
        <f>IF(HB$2=InputTable[[#This Row],[Delivery Date]],_xlfn.XLOOKUP(HB$1,$BH$2:$BR$2,$BH205:$BR205,0),0)</f>
        <v>0</v>
      </c>
      <c r="HC205" s="26">
        <f>IF(HC$2=InputTable[[#This Row],[Delivery Date]],_xlfn.XLOOKUP(HC$1,$BH$2:$BR$2,$BH205:$BR205,0),0)</f>
        <v>0</v>
      </c>
      <c r="HD205" s="26">
        <f>IF(HD$2=InputTable[[#This Row],[Delivery Date]],_xlfn.XLOOKUP(HD$1,$BH$2:$BR$2,$BH205:$BR205,0),0)</f>
        <v>0</v>
      </c>
      <c r="HF205" s="26" t="e">
        <f>IF(HF$2=InputTable[[#This Row],[Delivery Date]],_xlfn.XLOOKUP(HF$1,$BH$2:$BR$2,$BH205:$BR205,0),0)</f>
        <v>#REF!</v>
      </c>
      <c r="HG205" s="26">
        <f>IF(HG$2=InputTable[[#This Row],[Delivery Date]],_xlfn.XLOOKUP(HG$1,$BH$2:$BR$2,$BH205:$BR205,0),0)</f>
        <v>0</v>
      </c>
      <c r="HH205" s="26">
        <f>IF(HH$2=InputTable[[#This Row],[Delivery Date]],_xlfn.XLOOKUP(HH$1,$BH$2:$BR$2,$BH205:$BR205,0),0)</f>
        <v>0</v>
      </c>
      <c r="HI205" s="26">
        <f>IF(HI$2=InputTable[[#This Row],[Delivery Date]],_xlfn.XLOOKUP(HI$1,$BH$2:$BR$2,$BH205:$BR205,0),0)</f>
        <v>0</v>
      </c>
      <c r="HJ205" s="26">
        <f>IF(HJ$2=InputTable[[#This Row],[Delivery Date]],_xlfn.XLOOKUP(HJ$1,$BH$2:$BR$2,$BH205:$BR205,0),0)</f>
        <v>0</v>
      </c>
      <c r="HK205" s="26">
        <f>IF(HK$2=InputTable[[#This Row],[Delivery Date]],_xlfn.XLOOKUP(HK$1,$BH$2:$BR$2,$BH205:$BR205,0),0)</f>
        <v>0</v>
      </c>
      <c r="HL205" s="26">
        <f>IF(HL$2=InputTable[[#This Row],[Delivery Date]],_xlfn.XLOOKUP(HL$1,$BH$2:$BR$2,$BH205:$BR205,0),0)</f>
        <v>0</v>
      </c>
      <c r="HM205" s="26">
        <f>IF(HM$2=InputTable[[#This Row],[Delivery Date]],_xlfn.XLOOKUP(HM$1,$BH$2:$BR$2,$BH205:$BR205,0),0)</f>
        <v>0</v>
      </c>
      <c r="HN205" s="26">
        <f>IF(HN$2=InputTable[[#This Row],[Delivery Date]],_xlfn.XLOOKUP(HN$1,$BH$2:$BR$2,$BH205:$BR205,0),0)</f>
        <v>0</v>
      </c>
      <c r="HP205" s="26" t="e">
        <f>IF(HP$2=InputTable[[#This Row],[Delivery Date]],_xlfn.XLOOKUP(HP$1,$BH$2:$BR$2,$BH205:$BR205,0),0)</f>
        <v>#REF!</v>
      </c>
      <c r="HQ205" s="26">
        <f>IF(HQ$2=InputTable[[#This Row],[Delivery Date]],_xlfn.XLOOKUP(HQ$1,$BH$2:$BR$2,$BH205:$BR205,0),0)</f>
        <v>0</v>
      </c>
      <c r="HR205" s="26">
        <f>IF(HR$2=InputTable[[#This Row],[Delivery Date]],_xlfn.XLOOKUP(HR$1,$BH$2:$BR$2,$BH205:$BR205,0),0)</f>
        <v>0</v>
      </c>
      <c r="HS205" s="26">
        <f>IF(HS$2=InputTable[[#This Row],[Delivery Date]],_xlfn.XLOOKUP(HS$1,$BH$2:$BR$2,$BH205:$BR205,0),0)</f>
        <v>0</v>
      </c>
      <c r="HT205" s="26">
        <f>IF(HT$2=InputTable[[#This Row],[Delivery Date]],_xlfn.XLOOKUP(HT$1,$BH$2:$BR$2,$BH205:$BR205,0),0)</f>
        <v>0</v>
      </c>
      <c r="HU205" s="26">
        <f>IF(HU$2=InputTable[[#This Row],[Delivery Date]],_xlfn.XLOOKUP(HU$1,$BH$2:$BR$2,$BH205:$BR205,0),0)</f>
        <v>0</v>
      </c>
      <c r="HV205" s="26">
        <f>IF(HV$2=InputTable[[#This Row],[Delivery Date]],_xlfn.XLOOKUP(HV$1,$BH$2:$BR$2,$BH205:$BR205,0),0)</f>
        <v>0</v>
      </c>
      <c r="HW205" s="26">
        <f>IF(HW$2=InputTable[[#This Row],[Delivery Date]],_xlfn.XLOOKUP(HW$1,$BH$2:$BR$2,$BH205:$BR205,0),0)</f>
        <v>0</v>
      </c>
      <c r="HX205" s="26">
        <f>IF(HX$2=InputTable[[#This Row],[Delivery Date]],_xlfn.XLOOKUP(HX$1,$BH$2:$BR$2,$BH205:$BR205,0),0)</f>
        <v>0</v>
      </c>
      <c r="HZ205" s="26" t="e">
        <f>IF(HZ$2=InputTable[[#This Row],[Delivery Date]],_xlfn.XLOOKUP(HZ$1,$BH$2:$BR$2,$BH205:$BR205,0),0)</f>
        <v>#REF!</v>
      </c>
      <c r="IA205" s="26">
        <f>IF(IA$2=InputTable[[#This Row],[Delivery Date]],_xlfn.XLOOKUP(IA$1,$BH$2:$BR$2,$BH205:$BR205,0),0)</f>
        <v>0</v>
      </c>
      <c r="IB205" s="26">
        <f>IF(IB$2=InputTable[[#This Row],[Delivery Date]],_xlfn.XLOOKUP(IB$1,$BH$2:$BR$2,$BH205:$BR205,0),0)</f>
        <v>0</v>
      </c>
      <c r="IC205" s="26">
        <f>IF(IC$2=InputTable[[#This Row],[Delivery Date]],_xlfn.XLOOKUP(IC$1,$BH$2:$BR$2,$BH205:$BR205,0),0)</f>
        <v>0</v>
      </c>
      <c r="ID205" s="26">
        <f>IF(ID$2=InputTable[[#This Row],[Delivery Date]],_xlfn.XLOOKUP(ID$1,$BH$2:$BR$2,$BH205:$BR205,0),0)</f>
        <v>0</v>
      </c>
      <c r="IE205" s="26">
        <f>IF(IE$2=InputTable[[#This Row],[Delivery Date]],_xlfn.XLOOKUP(IE$1,$BH$2:$BR$2,$BH205:$BR205,0),0)</f>
        <v>0</v>
      </c>
      <c r="IF205" s="26">
        <f>IF(IF$2=InputTable[[#This Row],[Delivery Date]],_xlfn.XLOOKUP(IF$1,$BH$2:$BR$2,$BH205:$BR205,0),0)</f>
        <v>0</v>
      </c>
      <c r="IG205" s="26">
        <f>IF(IG$2=InputTable[[#This Row],[Delivery Date]],_xlfn.XLOOKUP(IG$1,$BH$2:$BR$2,$BH205:$BR205,0),0)</f>
        <v>0</v>
      </c>
      <c r="IH205" s="26">
        <f>IF(IH$2=InputTable[[#This Row],[Delivery Date]],_xlfn.XLOOKUP(IH$1,$BH$2:$BR$2,$BH205:$BR205,0),0)</f>
        <v>0</v>
      </c>
      <c r="IJ205" s="26" t="e">
        <f>IF(IJ$2=InputTable[[#This Row],[Delivery Date]],_xlfn.XLOOKUP(IJ$1,$BH$2:$BR$2,$BH205:$BR205,0),0)</f>
        <v>#REF!</v>
      </c>
      <c r="IK205" s="26">
        <f>IF(IK$2=InputTable[[#This Row],[Delivery Date]],_xlfn.XLOOKUP(IK$1,$BH$2:$BR$2,$BH205:$BR205,0),0)</f>
        <v>0</v>
      </c>
      <c r="IL205" s="26">
        <f>IF(IL$2=InputTable[[#This Row],[Delivery Date]],_xlfn.XLOOKUP(IL$1,$BH$2:$BR$2,$BH205:$BR205,0),0)</f>
        <v>0</v>
      </c>
      <c r="IM205" s="26">
        <f>IF(IM$2=InputTable[[#This Row],[Delivery Date]],_xlfn.XLOOKUP(IM$1,$BH$2:$BR$2,$BH205:$BR205,0),0)</f>
        <v>0</v>
      </c>
      <c r="IN205" s="26">
        <f>IF(IN$2=InputTable[[#This Row],[Delivery Date]],_xlfn.XLOOKUP(IN$1,$BH$2:$BR$2,$BH205:$BR205,0),0)</f>
        <v>0</v>
      </c>
      <c r="IO205" s="26">
        <f>IF(IO$2=InputTable[[#This Row],[Delivery Date]],_xlfn.XLOOKUP(IO$1,$BH$2:$BR$2,$BH205:$BR205,0),0)</f>
        <v>0</v>
      </c>
      <c r="IP205" s="26">
        <f>IF(IP$2=InputTable[[#This Row],[Delivery Date]],_xlfn.XLOOKUP(IP$1,$BH$2:$BR$2,$BH205:$BR205,0),0)</f>
        <v>0</v>
      </c>
      <c r="IQ205" s="26">
        <f>IF(IQ$2=InputTable[[#This Row],[Delivery Date]],_xlfn.XLOOKUP(IQ$1,$BH$2:$BR$2,$BH205:$BR205,0),0)</f>
        <v>0</v>
      </c>
      <c r="IR205" s="26">
        <f>IF(IR$2=InputTable[[#This Row],[Delivery Date]],_xlfn.XLOOKUP(IR$1,$BH$2:$BR$2,$BH205:$BR205,0),0)</f>
        <v>0</v>
      </c>
      <c r="IT205" s="26" t="e">
        <f>IF(IT$2=InputTable[[#This Row],[Delivery Date]],_xlfn.XLOOKUP(IT$1,$BH$2:$BR$2,$BH205:$BR205,0),0)</f>
        <v>#REF!</v>
      </c>
      <c r="IU205" s="26">
        <f>IF(IU$2=InputTable[[#This Row],[Delivery Date]],_xlfn.XLOOKUP(IU$1,$BH$2:$BR$2,$BH205:$BR205,0),0)</f>
        <v>0</v>
      </c>
      <c r="IV205" s="26">
        <f>IF(IV$2=InputTable[[#This Row],[Delivery Date]],_xlfn.XLOOKUP(IV$1,$BH$2:$BR$2,$BH205:$BR205,0),0)</f>
        <v>0</v>
      </c>
      <c r="IW205" s="26">
        <f>IF(IW$2=InputTable[[#This Row],[Delivery Date]],_xlfn.XLOOKUP(IW$1,$BH$2:$BR$2,$BH205:$BR205,0),0)</f>
        <v>0</v>
      </c>
      <c r="IX205" s="26">
        <f>IF(IX$2=InputTable[[#This Row],[Delivery Date]],_xlfn.XLOOKUP(IX$1,$BH$2:$BR$2,$BH205:$BR205,0),0)</f>
        <v>0</v>
      </c>
      <c r="IY205" s="26">
        <f>IF(IY$2=InputTable[[#This Row],[Delivery Date]],_xlfn.XLOOKUP(IY$1,$BH$2:$BR$2,$BH205:$BR205,0),0)</f>
        <v>0</v>
      </c>
      <c r="IZ205" s="26">
        <f>IF(IZ$2=InputTable[[#This Row],[Delivery Date]],_xlfn.XLOOKUP(IZ$1,$BH$2:$BR$2,$BH205:$BR205,0),0)</f>
        <v>0</v>
      </c>
      <c r="JA205" s="26">
        <f>IF(JA$2=InputTable[[#This Row],[Delivery Date]],_xlfn.XLOOKUP(JA$1,$BH$2:$BR$2,$BH205:$BR205,0),0)</f>
        <v>0</v>
      </c>
      <c r="JB205" s="26">
        <f>IF(JB$2=InputTable[[#This Row],[Delivery Date]],_xlfn.XLOOKUP(JB$1,$BH$2:$BR$2,$BH205:$BR205,0),0)</f>
        <v>0</v>
      </c>
      <c r="JD205" s="26" t="e">
        <f>IF(JD$2=InputTable[[#This Row],[Delivery Date]],_xlfn.XLOOKUP(JD$1,$BH$2:$BR$2,$BH205:$BR205,0),0)</f>
        <v>#REF!</v>
      </c>
      <c r="JE205" s="26">
        <f>IF(JE$2=InputTable[[#This Row],[Delivery Date]],_xlfn.XLOOKUP(JE$1,$BH$2:$BR$2,$BH205:$BR205,0),0)</f>
        <v>0</v>
      </c>
      <c r="JF205" s="26">
        <f>IF(JF$2=InputTable[[#This Row],[Delivery Date]],_xlfn.XLOOKUP(JF$1,$BH$2:$BR$2,$BH205:$BR205,0),0)</f>
        <v>0</v>
      </c>
      <c r="JG205" s="26">
        <f>IF(JG$2=InputTable[[#This Row],[Delivery Date]],_xlfn.XLOOKUP(JG$1,$BH$2:$BR$2,$BH205:$BR205,0),0)</f>
        <v>0</v>
      </c>
      <c r="JH205" s="26">
        <f>IF(JH$2=InputTable[[#This Row],[Delivery Date]],_xlfn.XLOOKUP(JH$1,$BH$2:$BR$2,$BH205:$BR205,0),0)</f>
        <v>0</v>
      </c>
      <c r="JI205" s="26">
        <f>IF(JI$2=InputTable[[#This Row],[Delivery Date]],_xlfn.XLOOKUP(JI$1,$BH$2:$BR$2,$BH205:$BR205,0),0)</f>
        <v>0</v>
      </c>
      <c r="JJ205" s="26">
        <f>IF(JJ$2=InputTable[[#This Row],[Delivery Date]],_xlfn.XLOOKUP(JJ$1,$BH$2:$BR$2,$BH205:$BR205,0),0)</f>
        <v>0</v>
      </c>
      <c r="JK205" s="26">
        <f>IF(JK$2=InputTable[[#This Row],[Delivery Date]],_xlfn.XLOOKUP(JK$1,$BH$2:$BR$2,$BH205:$BR205,0),0)</f>
        <v>0</v>
      </c>
      <c r="JL205" s="26">
        <f>IF(JL$2=InputTable[[#This Row],[Delivery Date]],_xlfn.XLOOKUP(JL$1,$BH$2:$BR$2,$BH205:$BR205,0),0)</f>
        <v>0</v>
      </c>
      <c r="JN205" s="26" t="e">
        <f>IF(JN$2=InputTable[[#This Row],[Delivery Date]],_xlfn.XLOOKUP(JN$1,$BH$2:$BR$2,$BH205:$BR205,0),0)</f>
        <v>#REF!</v>
      </c>
      <c r="JO205" s="26">
        <f>IF(JO$2=InputTable[[#This Row],[Delivery Date]],_xlfn.XLOOKUP(JO$1,$BH$2:$BR$2,$BH205:$BR205,0),0)</f>
        <v>0</v>
      </c>
      <c r="JP205" s="26">
        <f>IF(JP$2=InputTable[[#This Row],[Delivery Date]],_xlfn.XLOOKUP(JP$1,$BH$2:$BR$2,$BH205:$BR205,0),0)</f>
        <v>0</v>
      </c>
      <c r="JQ205" s="26">
        <f>IF(JQ$2=InputTable[[#This Row],[Delivery Date]],_xlfn.XLOOKUP(JQ$1,$BH$2:$BR$2,$BH205:$BR205,0),0)</f>
        <v>0</v>
      </c>
      <c r="JR205" s="26">
        <f>IF(JR$2=InputTable[[#This Row],[Delivery Date]],_xlfn.XLOOKUP(JR$1,$BH$2:$BR$2,$BH205:$BR205,0),0)</f>
        <v>0</v>
      </c>
      <c r="JS205" s="26">
        <f>IF(JS$2=InputTable[[#This Row],[Delivery Date]],_xlfn.XLOOKUP(JS$1,$BH$2:$BR$2,$BH205:$BR205,0),0)</f>
        <v>0</v>
      </c>
      <c r="JT205" s="26">
        <f>IF(JT$2=InputTable[[#This Row],[Delivery Date]],_xlfn.XLOOKUP(JT$1,$BH$2:$BR$2,$BH205:$BR205,0),0)</f>
        <v>0</v>
      </c>
      <c r="JU205" s="26">
        <f>IF(JU$2=InputTable[[#This Row],[Delivery Date]],_xlfn.XLOOKUP(JU$1,$BH$2:$BR$2,$BH205:$BR205,0),0)</f>
        <v>0</v>
      </c>
      <c r="JV205" s="26">
        <f>IF(JV$2=InputTable[[#This Row],[Delivery Date]],_xlfn.XLOOKUP(JV$1,$BH$2:$BR$2,$BH205:$BR205,0),0)</f>
        <v>0</v>
      </c>
      <c r="JX205" s="26" t="e">
        <f>IF(JX$2=InputTable[[#This Row],[Delivery Date]],_xlfn.XLOOKUP(JX$1,$BH$2:$BR$2,$BH205:$BR205,0),0)</f>
        <v>#REF!</v>
      </c>
      <c r="JY205" s="26">
        <f>IF(JY$2=InputTable[[#This Row],[Delivery Date]],_xlfn.XLOOKUP(JY$1,$BH$2:$BR$2,$BH205:$BR205,0),0)</f>
        <v>0</v>
      </c>
      <c r="JZ205" s="26">
        <f>IF(JZ$2=InputTable[[#This Row],[Delivery Date]],_xlfn.XLOOKUP(JZ$1,$BH$2:$BR$2,$BH205:$BR205,0),0)</f>
        <v>0</v>
      </c>
      <c r="KA205" s="26">
        <f>IF(KA$2=InputTable[[#This Row],[Delivery Date]],_xlfn.XLOOKUP(KA$1,$BH$2:$BR$2,$BH205:$BR205,0),0)</f>
        <v>0</v>
      </c>
      <c r="KB205" s="26">
        <f>IF(KB$2=InputTable[[#This Row],[Delivery Date]],_xlfn.XLOOKUP(KB$1,$BH$2:$BR$2,$BH205:$BR205,0),0)</f>
        <v>0</v>
      </c>
      <c r="KC205" s="26">
        <f>IF(KC$2=InputTable[[#This Row],[Delivery Date]],_xlfn.XLOOKUP(KC$1,$BH$2:$BR$2,$BH205:$BR205,0),0)</f>
        <v>0</v>
      </c>
      <c r="KD205" s="26">
        <f>IF(KD$2=InputTable[[#This Row],[Delivery Date]],_xlfn.XLOOKUP(KD$1,$BH$2:$BR$2,$BH205:$BR205,0),0)</f>
        <v>0</v>
      </c>
      <c r="KE205" s="26">
        <f>IF(KE$2=InputTable[[#This Row],[Delivery Date]],_xlfn.XLOOKUP(KE$1,$BH$2:$BR$2,$BH205:$BR205,0),0)</f>
        <v>0</v>
      </c>
      <c r="KF205" s="26">
        <f>IF(KF$2=InputTable[[#This Row],[Delivery Date]],_xlfn.XLOOKUP(KF$1,$BH$2:$BR$2,$BH205:$BR205,0),0)</f>
        <v>0</v>
      </c>
    </row>
    <row r="206" spans="1:292" ht="17.399999999999999" x14ac:dyDescent="0.25">
      <c r="A206" s="141" t="s">
        <v>104</v>
      </c>
      <c r="B206" s="92"/>
      <c r="BF206" s="70"/>
      <c r="BH206"/>
      <c r="CN206" s="26"/>
      <c r="CO206" s="26"/>
      <c r="CP206" s="26"/>
      <c r="CQ206" s="26"/>
      <c r="CR206" s="26"/>
      <c r="CS206" s="26"/>
      <c r="CT206" s="26"/>
      <c r="CU206" s="26"/>
      <c r="CV206" s="26"/>
      <c r="CX206" s="26"/>
      <c r="CY206" s="26"/>
      <c r="CZ206" s="26"/>
      <c r="DA206" s="26"/>
      <c r="DB206" s="26"/>
      <c r="DC206" s="26"/>
      <c r="DD206" s="26"/>
      <c r="DE206" s="26"/>
      <c r="DF206" s="26"/>
      <c r="DH206" s="26"/>
      <c r="DI206" s="26"/>
      <c r="DJ206" s="26"/>
      <c r="DK206" s="26"/>
      <c r="DL206" s="26"/>
      <c r="DM206" s="26"/>
      <c r="DN206" s="26"/>
      <c r="DO206" s="26"/>
      <c r="DP206" s="26"/>
      <c r="DR206" s="26"/>
      <c r="DS206" s="26"/>
      <c r="DT206" s="26"/>
      <c r="DU206" s="26"/>
      <c r="DV206" s="26"/>
      <c r="DW206" s="26"/>
      <c r="DX206" s="26"/>
      <c r="DY206" s="26"/>
      <c r="DZ206" s="26"/>
      <c r="EB206" s="26"/>
      <c r="EC206" s="26"/>
      <c r="ED206" s="26"/>
      <c r="EE206" s="26"/>
      <c r="EF206" s="26"/>
      <c r="EG206" s="26"/>
      <c r="EH206" s="26"/>
      <c r="EI206" s="26"/>
      <c r="EJ206" s="26"/>
      <c r="EL206" s="26"/>
      <c r="EM206" s="26"/>
      <c r="EN206" s="26"/>
      <c r="EO206" s="26"/>
      <c r="EP206" s="26"/>
      <c r="EQ206" s="26"/>
      <c r="ER206" s="26"/>
      <c r="ES206" s="26"/>
      <c r="ET206" s="26"/>
      <c r="EV206" s="26"/>
      <c r="EW206" s="26"/>
      <c r="EX206" s="26"/>
      <c r="EY206" s="26"/>
      <c r="EZ206" s="26"/>
      <c r="FA206" s="26"/>
      <c r="FB206" s="26"/>
      <c r="FC206" s="26"/>
      <c r="FD206" s="26"/>
      <c r="FF206" s="26"/>
      <c r="FG206" s="26"/>
      <c r="FH206" s="26"/>
      <c r="FI206" s="26"/>
      <c r="FJ206" s="26"/>
      <c r="FK206" s="26"/>
      <c r="FL206" s="26"/>
      <c r="FM206" s="26"/>
      <c r="FN206" s="26"/>
      <c r="FP206" s="26"/>
      <c r="FQ206" s="26"/>
      <c r="FR206" s="26"/>
      <c r="FS206" s="26"/>
      <c r="FT206" s="26"/>
      <c r="FU206" s="26"/>
      <c r="FV206" s="26"/>
      <c r="FW206" s="26"/>
      <c r="FX206" s="26"/>
    </row>
    <row r="207" spans="1:292" ht="14.25" customHeight="1" x14ac:dyDescent="0.3">
      <c r="BF207" s="70"/>
      <c r="BH207"/>
    </row>
    <row r="208" spans="1:292" s="70" customFormat="1" ht="24.6" x14ac:dyDescent="0.25">
      <c r="A208" s="230" t="s">
        <v>32</v>
      </c>
      <c r="B208" s="230"/>
      <c r="C208" s="230"/>
      <c r="D208" s="230"/>
      <c r="E208" s="230"/>
      <c r="W208" s="137"/>
      <c r="AH208" s="137"/>
      <c r="AY208" s="206"/>
      <c r="BA208" s="145"/>
      <c r="BB208" s="145"/>
      <c r="BC208" s="145"/>
      <c r="BD208" s="191"/>
      <c r="BE208" s="191"/>
    </row>
    <row r="209" spans="9:70" ht="17.399999999999999" hidden="1" outlineLevel="1" x14ac:dyDescent="0.3">
      <c r="BF209" s="70"/>
      <c r="BH209"/>
    </row>
    <row r="210" spans="9:70" ht="17.399999999999999" hidden="1" outlineLevel="1" x14ac:dyDescent="0.3">
      <c r="BF210" s="70"/>
      <c r="BH210"/>
    </row>
    <row r="211" spans="9:70" ht="17.399999999999999" hidden="1" outlineLevel="1" x14ac:dyDescent="0.3">
      <c r="BF211" s="70"/>
      <c r="BH211"/>
    </row>
    <row r="212" spans="9:70" ht="17.399999999999999" hidden="1" outlineLevel="1" x14ac:dyDescent="0.3">
      <c r="I212" t="str">
        <f>'System List'!D5</f>
        <v>Q4 2024</v>
      </c>
      <c r="BF212" s="70"/>
      <c r="BH212">
        <f>SUMIF(InputTable[Delivery Date],$I212,BH$3:BH$205)</f>
        <v>0</v>
      </c>
      <c r="BI212">
        <f>SUMIF(InputTable[Delivery Date],$I212,BI$3:BI$205)</f>
        <v>0</v>
      </c>
      <c r="BJ212">
        <f>SUMIF(InputTable[Delivery Date],$I212,BJ$3:BJ$205)</f>
        <v>0</v>
      </c>
      <c r="BK212">
        <f>SUMIF(InputTable[Delivery Date],$I212,BK$3:BK$205)</f>
        <v>0</v>
      </c>
      <c r="BL212">
        <f>SUMIF(InputTable[Delivery Date],$I212,BL$3:BL$205)</f>
        <v>0</v>
      </c>
      <c r="BM212">
        <f>SUMIF(InputTable[Delivery Date],$I212,BM$3:BM$205)</f>
        <v>0</v>
      </c>
      <c r="BN212">
        <f>SUMIF(InputTable[Delivery Date],$I212,BN$3:BN$205)</f>
        <v>0</v>
      </c>
      <c r="BO212">
        <f>SUMIF(InputTable[Delivery Date],$I212,BO$3:BO$205)</f>
        <v>0</v>
      </c>
      <c r="BP212">
        <f>SUMIF(InputTable[Delivery Date],$I212,BP$3:BP$205)</f>
        <v>0</v>
      </c>
      <c r="BQ212">
        <f>SUMIF(InputTable[Delivery Date],$I212,BQ$3:BQ$205)</f>
        <v>0</v>
      </c>
      <c r="BR212">
        <f>SUMIF(InputTable[Delivery Date],$I212,BR$3:BR$205)</f>
        <v>0</v>
      </c>
    </row>
    <row r="213" spans="9:70" ht="17.399999999999999" hidden="1" outlineLevel="1" x14ac:dyDescent="0.3">
      <c r="I213" t="str">
        <f>'System List'!D6</f>
        <v>Q1 2025</v>
      </c>
      <c r="BF213" s="70"/>
      <c r="BH213">
        <f>SUMIF(InputTable[Delivery Date],$I213,BH$3:BH$205)</f>
        <v>0</v>
      </c>
      <c r="BI213">
        <f>SUMIF(InputTable[Delivery Date],$I213,BI$3:BI$205)</f>
        <v>0</v>
      </c>
      <c r="BJ213">
        <f>SUMIF(InputTable[Delivery Date],$I213,BJ$3:BJ$205)</f>
        <v>0</v>
      </c>
      <c r="BK213">
        <f>SUMIF(InputTable[Delivery Date],$I213,BK$3:BK$205)</f>
        <v>0</v>
      </c>
      <c r="BL213">
        <f>SUMIF(InputTable[Delivery Date],$I213,BL$3:BL$205)</f>
        <v>0</v>
      </c>
      <c r="BM213">
        <f>SUMIF(InputTable[Delivery Date],$I213,BM$3:BM$205)</f>
        <v>0</v>
      </c>
      <c r="BN213">
        <f>SUMIF(InputTable[Delivery Date],$I213,BN$3:BN$205)</f>
        <v>0</v>
      </c>
      <c r="BO213">
        <f>SUMIF(InputTable[Delivery Date],$I213,BO$3:BO$205)</f>
        <v>0</v>
      </c>
      <c r="BP213">
        <f>SUMIF(InputTable[Delivery Date],$I213,BP$3:BP$205)</f>
        <v>0</v>
      </c>
      <c r="BQ213">
        <f>SUMIF(InputTable[Delivery Date],$I213,BQ$3:BQ$205)</f>
        <v>0</v>
      </c>
      <c r="BR213">
        <f>SUMIF(InputTable[Delivery Date],$I213,BR$3:BR$205)</f>
        <v>0</v>
      </c>
    </row>
    <row r="214" spans="9:70" ht="17.399999999999999" hidden="1" outlineLevel="1" x14ac:dyDescent="0.3">
      <c r="I214" t="str">
        <f>'System List'!D7</f>
        <v>Q2 2025</v>
      </c>
      <c r="BF214" s="70"/>
      <c r="BH214">
        <f>SUMIF(InputTable[Delivery Date],$I214,BH$3:BH$205)</f>
        <v>0</v>
      </c>
      <c r="BI214">
        <f>SUMIF(InputTable[Delivery Date],$I214,BI$3:BI$205)</f>
        <v>0</v>
      </c>
      <c r="BJ214">
        <f>SUMIF(InputTable[Delivery Date],$I214,BJ$3:BJ$205)</f>
        <v>0</v>
      </c>
      <c r="BK214">
        <f>SUMIF(InputTable[Delivery Date],$I214,BK$3:BK$205)</f>
        <v>0</v>
      </c>
      <c r="BL214">
        <f>SUMIF(InputTable[Delivery Date],$I214,BL$3:BL$205)</f>
        <v>0</v>
      </c>
      <c r="BM214">
        <f>SUMIF(InputTable[Delivery Date],$I214,BM$3:BM$205)</f>
        <v>0</v>
      </c>
      <c r="BN214">
        <f>SUMIF(InputTable[Delivery Date],$I214,BN$3:BN$205)</f>
        <v>0</v>
      </c>
      <c r="BO214">
        <f>SUMIF(InputTable[Delivery Date],$I214,BO$3:BO$205)</f>
        <v>0</v>
      </c>
      <c r="BP214">
        <f>SUMIF(InputTable[Delivery Date],$I214,BP$3:BP$205)</f>
        <v>0</v>
      </c>
      <c r="BQ214">
        <f>SUMIF(InputTable[Delivery Date],$I214,BQ$3:BQ$205)</f>
        <v>0</v>
      </c>
      <c r="BR214">
        <f>SUMIF(InputTable[Delivery Date],$I214,BR$3:BR$205)</f>
        <v>0</v>
      </c>
    </row>
    <row r="215" spans="9:70" ht="17.399999999999999" hidden="1" outlineLevel="1" x14ac:dyDescent="0.3">
      <c r="I215" t="str">
        <f>'System List'!D8</f>
        <v>Q3 2025</v>
      </c>
      <c r="BF215" s="70"/>
      <c r="BH215">
        <f>SUMIF(InputTable[Delivery Date],$I215,BH$3:BH$205)</f>
        <v>0</v>
      </c>
      <c r="BI215">
        <f>SUMIF(InputTable[Delivery Date],$I215,BI$3:BI$205)</f>
        <v>0</v>
      </c>
      <c r="BJ215">
        <f>SUMIF(InputTable[Delivery Date],$I215,BJ$3:BJ$205)</f>
        <v>0</v>
      </c>
      <c r="BK215">
        <f>SUMIF(InputTable[Delivery Date],$I215,BK$3:BK$205)</f>
        <v>0</v>
      </c>
      <c r="BL215">
        <f>SUMIF(InputTable[Delivery Date],$I215,BL$3:BL$205)</f>
        <v>0</v>
      </c>
      <c r="BM215">
        <f>SUMIF(InputTable[Delivery Date],$I215,BM$3:BM$205)</f>
        <v>0</v>
      </c>
      <c r="BN215">
        <f>SUMIF(InputTable[Delivery Date],$I215,BN$3:BN$205)</f>
        <v>0</v>
      </c>
      <c r="BO215">
        <f>SUMIF(InputTable[Delivery Date],$I215,BO$3:BO$205)</f>
        <v>0</v>
      </c>
      <c r="BP215">
        <f>SUMIF(InputTable[Delivery Date],$I215,BP$3:BP$205)</f>
        <v>0</v>
      </c>
      <c r="BQ215">
        <f>SUMIF(InputTable[Delivery Date],$I215,BQ$3:BQ$205)</f>
        <v>0</v>
      </c>
      <c r="BR215">
        <f>SUMIF(InputTable[Delivery Date],$I215,BR$3:BR$205)</f>
        <v>0</v>
      </c>
    </row>
    <row r="216" spans="9:70" ht="17.399999999999999" hidden="1" outlineLevel="1" x14ac:dyDescent="0.3">
      <c r="I216" t="str">
        <f>'System List'!D9</f>
        <v>Q4 2025</v>
      </c>
      <c r="BF216" s="70"/>
      <c r="BH216">
        <f>SUMIF(InputTable[Delivery Date],$I216,BH$3:BH$205)</f>
        <v>0</v>
      </c>
      <c r="BI216">
        <f>SUMIF(InputTable[Delivery Date],$I216,BI$3:BI$205)</f>
        <v>0</v>
      </c>
      <c r="BJ216">
        <f>SUMIF(InputTable[Delivery Date],$I216,BJ$3:BJ$205)</f>
        <v>0</v>
      </c>
      <c r="BK216">
        <f>SUMIF(InputTable[Delivery Date],$I216,BK$3:BK$205)</f>
        <v>0</v>
      </c>
      <c r="BL216">
        <f>SUMIF(InputTable[Delivery Date],$I216,BL$3:BL$205)</f>
        <v>0</v>
      </c>
      <c r="BM216">
        <f>SUMIF(InputTable[Delivery Date],$I216,BM$3:BM$205)</f>
        <v>0</v>
      </c>
      <c r="BN216">
        <f>SUMIF(InputTable[Delivery Date],$I216,BN$3:BN$205)</f>
        <v>0</v>
      </c>
      <c r="BO216">
        <f>SUMIF(InputTable[Delivery Date],$I216,BO$3:BO$205)</f>
        <v>0</v>
      </c>
      <c r="BP216">
        <f>SUMIF(InputTable[Delivery Date],$I216,BP$3:BP$205)</f>
        <v>0</v>
      </c>
      <c r="BQ216">
        <f>SUMIF(InputTable[Delivery Date],$I216,BQ$3:BQ$205)</f>
        <v>0</v>
      </c>
      <c r="BR216">
        <f>SUMIF(InputTable[Delivery Date],$I216,BR$3:BR$205)</f>
        <v>0</v>
      </c>
    </row>
    <row r="217" spans="9:70" ht="17.399999999999999" hidden="1" outlineLevel="1" x14ac:dyDescent="0.3">
      <c r="I217">
        <f>'System List'!D10</f>
        <v>2026</v>
      </c>
      <c r="BF217" s="70"/>
      <c r="BH217">
        <f>SUMIF(InputTable[Delivery Date],$I217,BH$3:BH$205)</f>
        <v>21</v>
      </c>
      <c r="BI217">
        <f>SUMIF(InputTable[Delivery Date],$I217,BI$3:BI$205)</f>
        <v>0</v>
      </c>
      <c r="BJ217">
        <f>SUMIF(InputTable[Delivery Date],$I217,BJ$3:BJ$205)</f>
        <v>0</v>
      </c>
      <c r="BK217">
        <f>SUMIF(InputTable[Delivery Date],$I217,BK$3:BK$205)</f>
        <v>0</v>
      </c>
      <c r="BL217">
        <f>SUMIF(InputTable[Delivery Date],$I217,BL$3:BL$205)</f>
        <v>0</v>
      </c>
      <c r="BM217">
        <f>SUMIF(InputTable[Delivery Date],$I217,BM$3:BM$205)</f>
        <v>31</v>
      </c>
      <c r="BN217">
        <f>SUMIF(InputTable[Delivery Date],$I217,BN$3:BN$205)</f>
        <v>21</v>
      </c>
      <c r="BO217">
        <f>SUMIF(InputTable[Delivery Date],$I217,BO$3:BO$205)</f>
        <v>13</v>
      </c>
      <c r="BP217">
        <f>SUMIF(InputTable[Delivery Date],$I217,BP$3:BP$205)</f>
        <v>0</v>
      </c>
      <c r="BQ217">
        <f>SUMIF(InputTable[Delivery Date],$I217,BQ$3:BQ$205)</f>
        <v>8</v>
      </c>
      <c r="BR217">
        <f>SUMIF(InputTable[Delivery Date],$I217,BR$3:BR$205)</f>
        <v>0</v>
      </c>
    </row>
    <row r="218" spans="9:70" ht="17.399999999999999" hidden="1" outlineLevel="1" x14ac:dyDescent="0.3">
      <c r="I218">
        <f>'System List'!D11</f>
        <v>2027</v>
      </c>
      <c r="BF218" s="70"/>
      <c r="BH218">
        <f>SUMIF(InputTable[Delivery Date],$I218,BH$3:BH$205)</f>
        <v>0</v>
      </c>
      <c r="BI218">
        <f>SUMIF(InputTable[Delivery Date],$I218,BI$3:BI$205)</f>
        <v>0</v>
      </c>
      <c r="BJ218">
        <f>SUMIF(InputTable[Delivery Date],$I218,BJ$3:BJ$205)</f>
        <v>0</v>
      </c>
      <c r="BK218">
        <f>SUMIF(InputTable[Delivery Date],$I218,BK$3:BK$205)</f>
        <v>0</v>
      </c>
      <c r="BL218">
        <f>SUMIF(InputTable[Delivery Date],$I218,BL$3:BL$205)</f>
        <v>0</v>
      </c>
      <c r="BM218">
        <f>SUMIF(InputTable[Delivery Date],$I218,BM$3:BM$205)</f>
        <v>0</v>
      </c>
      <c r="BN218">
        <f>SUMIF(InputTable[Delivery Date],$I218,BN$3:BN$205)</f>
        <v>5</v>
      </c>
      <c r="BO218">
        <f>SUMIF(InputTable[Delivery Date],$I218,BO$3:BO$205)</f>
        <v>5</v>
      </c>
      <c r="BP218">
        <f>SUMIF(InputTable[Delivery Date],$I218,BP$3:BP$205)</f>
        <v>0</v>
      </c>
      <c r="BQ218">
        <f>SUMIF(InputTable[Delivery Date],$I218,BQ$3:BQ$205)</f>
        <v>0</v>
      </c>
      <c r="BR218">
        <f>SUMIF(InputTable[Delivery Date],$I218,BR$3:BR$205)</f>
        <v>0</v>
      </c>
    </row>
    <row r="219" spans="9:70" ht="17.399999999999999" hidden="1" outlineLevel="1" x14ac:dyDescent="0.3">
      <c r="I219" t="str">
        <f>'System List'!D12</f>
        <v>2028 +</v>
      </c>
      <c r="BF219" s="70"/>
      <c r="BH219">
        <f>SUMIF(InputTable[Delivery Date],$I219,BH$3:BH$205)</f>
        <v>0</v>
      </c>
      <c r="BI219">
        <f>SUMIF(InputTable[Delivery Date],$I219,BI$3:BI$205)</f>
        <v>0</v>
      </c>
      <c r="BJ219">
        <f>SUMIF(InputTable[Delivery Date],$I219,BJ$3:BJ$205)</f>
        <v>0</v>
      </c>
      <c r="BK219">
        <f>SUMIF(InputTable[Delivery Date],$I219,BK$3:BK$205)</f>
        <v>0</v>
      </c>
      <c r="BL219">
        <f>SUMIF(InputTable[Delivery Date],$I219,BL$3:BL$205)</f>
        <v>0</v>
      </c>
      <c r="BM219">
        <f>SUMIF(InputTable[Delivery Date],$I219,BM$3:BM$205)</f>
        <v>0</v>
      </c>
      <c r="BN219">
        <f>SUMIF(InputTable[Delivery Date],$I219,BN$3:BN$205)</f>
        <v>0</v>
      </c>
      <c r="BO219">
        <f>SUMIF(InputTable[Delivery Date],$I219,BO$3:BO$205)</f>
        <v>0</v>
      </c>
      <c r="BP219">
        <f>SUMIF(InputTable[Delivery Date],$I219,BP$3:BP$205)</f>
        <v>0</v>
      </c>
      <c r="BQ219">
        <f>SUMIF(InputTable[Delivery Date],$I219,BQ$3:BQ$205)</f>
        <v>0</v>
      </c>
      <c r="BR219">
        <f>SUMIF(InputTable[Delivery Date],$I219,BR$3:BR$205)</f>
        <v>0</v>
      </c>
    </row>
    <row r="220" spans="9:70" ht="17.399999999999999" hidden="1" outlineLevel="1" x14ac:dyDescent="0.3"/>
    <row r="221" spans="9:70" ht="17.399999999999999" hidden="1" outlineLevel="1" x14ac:dyDescent="0.3"/>
    <row r="222" spans="9:70" ht="17.399999999999999" hidden="1" outlineLevel="1" x14ac:dyDescent="0.3"/>
    <row r="223" spans="9:70" ht="17.399999999999999" hidden="1" outlineLevel="1" x14ac:dyDescent="0.3"/>
    <row r="224" spans="9:70" ht="17.399999999999999" hidden="1" outlineLevel="1" x14ac:dyDescent="0.3"/>
    <row r="225" ht="17.399999999999999" hidden="1" outlineLevel="1" x14ac:dyDescent="0.3"/>
    <row r="226" ht="17.399999999999999" hidden="1" outlineLevel="1" x14ac:dyDescent="0.3"/>
    <row r="227" ht="17.399999999999999" hidden="1" outlineLevel="1" x14ac:dyDescent="0.3"/>
    <row r="228" ht="17.399999999999999" hidden="1" outlineLevel="1" x14ac:dyDescent="0.3"/>
    <row r="229" ht="17.399999999999999" hidden="1" outlineLevel="1" x14ac:dyDescent="0.3"/>
    <row r="230" ht="17.399999999999999" hidden="1" outlineLevel="1" x14ac:dyDescent="0.3"/>
    <row r="231" ht="17.399999999999999" hidden="1" outlineLevel="1" x14ac:dyDescent="0.3"/>
    <row r="232" ht="17.399999999999999" hidden="1" outlineLevel="1" x14ac:dyDescent="0.3"/>
    <row r="233" ht="17.399999999999999" hidden="1" outlineLevel="1" x14ac:dyDescent="0.3"/>
    <row r="234" ht="17.399999999999999" collapsed="1" x14ac:dyDescent="0.3"/>
  </sheetData>
  <sheetProtection sort="0" autoFilter="0" pivotTables="0"/>
  <dataConsolidate/>
  <mergeCells count="9">
    <mergeCell ref="A208:E208"/>
    <mergeCell ref="G1:I1"/>
    <mergeCell ref="BT1:CA1"/>
    <mergeCell ref="BH1:BR1"/>
    <mergeCell ref="V1:AE1"/>
    <mergeCell ref="AG1:AR1"/>
    <mergeCell ref="N1:T1"/>
    <mergeCell ref="BF1:BF2"/>
    <mergeCell ref="B1:E1"/>
  </mergeCells>
  <phoneticPr fontId="17" type="noConversion"/>
  <conditionalFormatting sqref="B2:B205 A206">
    <cfRule type="cellIs" dxfId="21" priority="3" operator="equal">
      <formula>"At Risk"</formula>
    </cfRule>
    <cfRule type="cellIs" dxfId="20" priority="4" operator="equal">
      <formula>"Issues"</formula>
    </cfRule>
    <cfRule type="cellIs" dxfId="19" priority="5" operator="equal">
      <formula>"On Track"</formula>
    </cfRule>
  </conditionalFormatting>
  <conditionalFormatting sqref="B207:B1048576">
    <cfRule type="cellIs" dxfId="18" priority="15" operator="equal">
      <formula>"At Risk"</formula>
    </cfRule>
    <cfRule type="cellIs" dxfId="17" priority="16" operator="equal">
      <formula>"Issues"</formula>
    </cfRule>
    <cfRule type="cellIs" dxfId="16" priority="17" operator="equal">
      <formula>"On Track"</formula>
    </cfRule>
  </conditionalFormatting>
  <conditionalFormatting sqref="G1:G1048576 I1:I1048576">
    <cfRule type="cellIs" dxfId="15" priority="6" operator="equal">
      <formula>"Q2 2025"</formula>
    </cfRule>
    <cfRule type="cellIs" dxfId="14" priority="7" operator="equal">
      <formula>"Q1 2025"</formula>
    </cfRule>
  </conditionalFormatting>
  <conditionalFormatting sqref="G1:G1048576">
    <cfRule type="cellIs" dxfId="13" priority="8" operator="equal">
      <formula>"Q4 2024"</formula>
    </cfRule>
    <cfRule type="cellIs" dxfId="12" priority="10" operator="equal">
      <formula>"Already Started"</formula>
    </cfRule>
  </conditionalFormatting>
  <conditionalFormatting sqref="H104">
    <cfRule type="cellIs" dxfId="11" priority="2" operator="equal">
      <formula>"Q1 2025"</formula>
    </cfRule>
    <cfRule type="cellIs" dxfId="10" priority="1" operator="equal">
      <formula>"Q2 2025"</formula>
    </cfRule>
  </conditionalFormatting>
  <conditionalFormatting sqref="N3:S205">
    <cfRule type="cellIs" dxfId="9" priority="12" operator="equal">
      <formula>"H"</formula>
    </cfRule>
    <cfRule type="cellIs" dxfId="8" priority="13" operator="equal">
      <formula>"M"</formula>
    </cfRule>
    <cfRule type="cellIs" dxfId="7" priority="14" operator="equal">
      <formula>"L"</formula>
    </cfRule>
  </conditionalFormatting>
  <conditionalFormatting sqref="T3:T205">
    <cfRule type="dataBar" priority="2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{53CCCAA0-3B16-4678-A381-651C8210D4CB}</x14:id>
        </ext>
      </extLst>
    </cfRule>
  </conditionalFormatting>
  <conditionalFormatting sqref="V3:AC205">
    <cfRule type="cellIs" dxfId="6" priority="67" operator="equal">
      <formula>"L"</formula>
    </cfRule>
    <cfRule type="cellIs" dxfId="5" priority="66" operator="equal">
      <formula>"M"</formula>
    </cfRule>
    <cfRule type="cellIs" dxfId="4" priority="65" operator="equal">
      <formula>"H"</formula>
    </cfRule>
  </conditionalFormatting>
  <conditionalFormatting sqref="AG3:AQ205">
    <cfRule type="cellIs" dxfId="3" priority="62" operator="equal">
      <formula>"H"</formula>
    </cfRule>
    <cfRule type="cellIs" dxfId="2" priority="63" operator="equal">
      <formula>"M"</formula>
    </cfRule>
    <cfRule type="cellIs" dxfId="1" priority="64" operator="equal">
      <formula>"L"</formula>
    </cfRule>
  </conditionalFormatting>
  <conditionalFormatting sqref="CN3:CV205">
    <cfRule type="cellIs" dxfId="0" priority="61" operator="equal">
      <formula>1</formula>
    </cfRule>
  </conditionalFormatting>
  <conditionalFormatting sqref="CN206:CV206">
    <cfRule type="colorScale" priority="21">
      <colorScale>
        <cfvo type="min"/>
        <cfvo type="max"/>
        <color rgb="FFFCFCFF"/>
        <color theme="3"/>
      </colorScale>
    </cfRule>
  </conditionalFormatting>
  <conditionalFormatting sqref="CX3:DF205">
    <cfRule type="colorScale" priority="2413">
      <colorScale>
        <cfvo type="min"/>
        <cfvo type="max"/>
        <color rgb="FFFCFCFF"/>
        <color theme="3"/>
      </colorScale>
    </cfRule>
  </conditionalFormatting>
  <conditionalFormatting sqref="CX206:DF206">
    <cfRule type="colorScale" priority="49">
      <colorScale>
        <cfvo type="min"/>
        <cfvo type="max"/>
        <color rgb="FFFCFCFF"/>
        <color theme="3"/>
      </colorScale>
    </cfRule>
  </conditionalFormatting>
  <conditionalFormatting sqref="DH3:DP205">
    <cfRule type="colorScale" priority="2415">
      <colorScale>
        <cfvo type="min"/>
        <cfvo type="max"/>
        <color rgb="FFFCFCFF"/>
        <color theme="3"/>
      </colorScale>
    </cfRule>
  </conditionalFormatting>
  <conditionalFormatting sqref="DR3:DZ205">
    <cfRule type="colorScale" priority="2417">
      <colorScale>
        <cfvo type="min"/>
        <cfvo type="max"/>
        <color rgb="FFFCFCFF"/>
        <color theme="3"/>
      </colorScale>
    </cfRule>
  </conditionalFormatting>
  <conditionalFormatting sqref="EB3:EJ205">
    <cfRule type="colorScale" priority="2419">
      <colorScale>
        <cfvo type="min"/>
        <cfvo type="max"/>
        <color rgb="FFFCFCFF"/>
        <color theme="3"/>
      </colorScale>
    </cfRule>
  </conditionalFormatting>
  <conditionalFormatting sqref="EL3:ET205">
    <cfRule type="colorScale" priority="2421">
      <colorScale>
        <cfvo type="min"/>
        <cfvo type="max"/>
        <color rgb="FFFCFCFF"/>
        <color theme="3"/>
      </colorScale>
    </cfRule>
  </conditionalFormatting>
  <conditionalFormatting sqref="EV3:FD205">
    <cfRule type="colorScale" priority="2423">
      <colorScale>
        <cfvo type="min"/>
        <cfvo type="max"/>
        <color rgb="FFFCFCFF"/>
        <color theme="3"/>
      </colorScale>
    </cfRule>
  </conditionalFormatting>
  <conditionalFormatting sqref="FF3:FN205">
    <cfRule type="colorScale" priority="2425">
      <colorScale>
        <cfvo type="min"/>
        <cfvo type="max"/>
        <color rgb="FFFCFCFF"/>
        <color theme="3"/>
      </colorScale>
    </cfRule>
  </conditionalFormatting>
  <conditionalFormatting sqref="FP3:FX205">
    <cfRule type="colorScale" priority="2427">
      <colorScale>
        <cfvo type="min"/>
        <cfvo type="max"/>
        <color rgb="FFFCFCFF"/>
        <color theme="3"/>
      </colorScale>
    </cfRule>
  </conditionalFormatting>
  <conditionalFormatting sqref="GB3:GJ205">
    <cfRule type="colorScale" priority="2429">
      <colorScale>
        <cfvo type="min"/>
        <cfvo type="max"/>
        <color rgb="FFFCFCFF"/>
        <color theme="8"/>
      </colorScale>
    </cfRule>
  </conditionalFormatting>
  <conditionalFormatting sqref="GL3:GT205">
    <cfRule type="colorScale" priority="2431">
      <colorScale>
        <cfvo type="min"/>
        <cfvo type="max"/>
        <color rgb="FFFCFCFF"/>
        <color theme="8"/>
      </colorScale>
    </cfRule>
  </conditionalFormatting>
  <conditionalFormatting sqref="GV3:HD205">
    <cfRule type="colorScale" priority="2433">
      <colorScale>
        <cfvo type="min"/>
        <cfvo type="max"/>
        <color rgb="FFFCFCFF"/>
        <color theme="8"/>
      </colorScale>
    </cfRule>
  </conditionalFormatting>
  <conditionalFormatting sqref="HF3:HN205">
    <cfRule type="colorScale" priority="2435">
      <colorScale>
        <cfvo type="min"/>
        <cfvo type="max"/>
        <color rgb="FFFCFCFF"/>
        <color theme="8"/>
      </colorScale>
    </cfRule>
  </conditionalFormatting>
  <conditionalFormatting sqref="HP3:HX205">
    <cfRule type="colorScale" priority="2437">
      <colorScale>
        <cfvo type="min"/>
        <cfvo type="max"/>
        <color rgb="FFFCFCFF"/>
        <color theme="8"/>
      </colorScale>
    </cfRule>
  </conditionalFormatting>
  <conditionalFormatting sqref="HZ3:IH205">
    <cfRule type="colorScale" priority="2439">
      <colorScale>
        <cfvo type="min"/>
        <cfvo type="max"/>
        <color rgb="FFFCFCFF"/>
        <color theme="8"/>
      </colorScale>
    </cfRule>
  </conditionalFormatting>
  <conditionalFormatting sqref="IJ3:IR205">
    <cfRule type="colorScale" priority="2441">
      <colorScale>
        <cfvo type="min"/>
        <cfvo type="max"/>
        <color rgb="FFFCFCFF"/>
        <color theme="8"/>
      </colorScale>
    </cfRule>
  </conditionalFormatting>
  <conditionalFormatting sqref="IT3:JB205">
    <cfRule type="colorScale" priority="2443">
      <colorScale>
        <cfvo type="min"/>
        <cfvo type="max"/>
        <color rgb="FFFCFCFF"/>
        <color theme="8"/>
      </colorScale>
    </cfRule>
  </conditionalFormatting>
  <conditionalFormatting sqref="JD3:JL205">
    <cfRule type="colorScale" priority="2445">
      <colorScale>
        <cfvo type="min"/>
        <cfvo type="max"/>
        <color rgb="FFFCFCFF"/>
        <color theme="8"/>
      </colorScale>
    </cfRule>
  </conditionalFormatting>
  <conditionalFormatting sqref="JN3:JV205">
    <cfRule type="colorScale" priority="2447">
      <colorScale>
        <cfvo type="min"/>
        <cfvo type="max"/>
        <color rgb="FFFCFCFF"/>
        <color theme="8"/>
      </colorScale>
    </cfRule>
  </conditionalFormatting>
  <conditionalFormatting sqref="JX3:KF205">
    <cfRule type="colorScale" priority="2449">
      <colorScale>
        <cfvo type="min"/>
        <cfvo type="max"/>
        <color rgb="FFFCFCFF"/>
        <color theme="8"/>
      </colorScale>
    </cfRule>
  </conditionalFormatting>
  <dataValidations count="2">
    <dataValidation type="list" allowBlank="1" showInputMessage="1" showErrorMessage="1" sqref="S180:S205 AG202:AQ205 H202:H205 V202:AC205 N202:R205 S84 H105:H168 V3:AC168 AG3:AQ168 H3:H103 N3:R168" xr:uid="{07043D55-A9FE-44F8-A45C-24C533D9D68F}">
      <formula1>ScoreLMH</formula1>
    </dataValidation>
    <dataValidation type="list" allowBlank="1" showInputMessage="1" showErrorMessage="1" sqref="C81:C110 C112:C205 B111" xr:uid="{5C64BC53-0125-409E-A2D7-0A49CDDA4055}">
      <formula1>Department</formula1>
    </dataValidation>
  </dataValidations>
  <hyperlinks>
    <hyperlink ref="G1:I1" r:id="rId1" display="see in PowerBI" xr:uid="{8BDFED6F-71D5-4698-A861-D1ADBAD43C94}"/>
  </hyperlinks>
  <pageMargins left="0.7" right="0.7" top="0.75" bottom="0.75" header="0.3" footer="0.3"/>
  <pageSetup paperSize="9" scale="37" orientation="portrait" r:id="rId2"/>
  <colBreaks count="1" manualBreakCount="1">
    <brk id="12" max="1048575" man="1"/>
  </colBreaks>
  <drawing r:id="rId3"/>
  <legacy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CCCAA0-3B16-4678-A381-651C8210D4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T3:T205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B7E6FE5-E825-4ED7-B70D-EFEFCE726F97}">
          <x14:formula1>
            <xm:f>'System List'!$D$5:$D$12</xm:f>
          </x14:formula1>
          <xm:sqref>I202:I205 I105:I168 H104:I104 I65:I103 I3:I38 I42:I63</xm:sqref>
        </x14:dataValidation>
        <x14:dataValidation type="list" allowBlank="1" showInputMessage="1" showErrorMessage="1" xr:uid="{F3966E8D-946B-4586-8929-E6C68889F6EF}">
          <x14:formula1>
            <xm:f>'System List'!$F$21:$F$31</xm:f>
          </x14:formula1>
          <xm:sqref>F3:F17 F19:F192</xm:sqref>
        </x14:dataValidation>
        <x14:dataValidation type="list" allowBlank="1" showInputMessage="1" showErrorMessage="1" xr:uid="{429BAB8F-22CF-4BEA-AAC1-AE83FC9D2826}">
          <x14:formula1>
            <xm:f>'System List'!$AB$5:$AB$12</xm:f>
          </x14:formula1>
          <xm:sqref>B206 C3:C80</xm:sqref>
        </x14:dataValidation>
        <x14:dataValidation type="list" allowBlank="1" showInputMessage="1" showErrorMessage="1" xr:uid="{F4FE7EB4-2D46-4A1B-9663-04F8207D512E}">
          <x14:formula1>
            <xm:f>'System List'!$B$5:$B$16</xm:f>
          </x14:formula1>
          <xm:sqref>I39:I41 H105:H168 G202:H205 I64 G3:G168 H3:H103</xm:sqref>
        </x14:dataValidation>
        <x14:dataValidation type="list" allowBlank="1" showInputMessage="1" showErrorMessage="1" xr:uid="{F7609421-36CF-4EE6-8373-F6A79BAAD513}">
          <x14:formula1>
            <xm:f>'System List'!$H$10:$H$18</xm:f>
          </x14:formula1>
          <xm:sqref>A206 B3:B205</xm:sqref>
        </x14:dataValidation>
        <x14:dataValidation type="list" allowBlank="1" showInputMessage="1" showErrorMessage="1" xr:uid="{8E591B97-FDBB-45CF-B5E3-9B2D1472EE77}">
          <x14:formula1>
            <xm:f>'System List'!$F$10:$F$18</xm:f>
          </x14:formula1>
          <xm:sqref>A3:A205</xm:sqref>
        </x14:dataValidation>
        <x14:dataValidation type="list" allowBlank="1" showInputMessage="1" showErrorMessage="1" xr:uid="{C803E8DA-D680-4990-A94F-A2663BBF3AC8}">
          <x14:formula1>
            <xm:f>'System List'!$B$19:$B$21</xm:f>
          </x14:formula1>
          <xm:sqref>S3:S179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53EF-D671-4018-A350-32CF93EA1AD9}">
  <sheetPr codeName="Sheet4">
    <tabColor theme="7" tint="0.79998168889431442"/>
  </sheetPr>
  <dimension ref="C4:R54"/>
  <sheetViews>
    <sheetView showGridLines="0" topLeftCell="A4" zoomScale="70" zoomScaleNormal="70" workbookViewId="0">
      <selection activeCell="U26" sqref="U26"/>
    </sheetView>
  </sheetViews>
  <sheetFormatPr defaultColWidth="9.09765625" defaultRowHeight="13.8" x14ac:dyDescent="0.25"/>
  <cols>
    <col min="5" max="5" width="9.5" customWidth="1"/>
  </cols>
  <sheetData>
    <row r="4" spans="3:18" x14ac:dyDescent="0.25">
      <c r="C4" s="130"/>
      <c r="D4" s="130"/>
      <c r="E4" s="130"/>
      <c r="F4" s="130"/>
      <c r="G4" s="130"/>
      <c r="H4" s="130"/>
      <c r="I4" s="130"/>
      <c r="J4" s="130"/>
      <c r="K4" s="129"/>
      <c r="L4" s="129"/>
      <c r="M4" s="129"/>
      <c r="N4" s="129"/>
      <c r="O4" s="129"/>
      <c r="P4" s="129"/>
      <c r="Q4" s="129"/>
      <c r="R4" s="129"/>
    </row>
    <row r="5" spans="3:18" x14ac:dyDescent="0.25">
      <c r="C5" s="130"/>
      <c r="D5" s="130"/>
      <c r="E5" s="130"/>
      <c r="F5" s="130"/>
      <c r="G5" s="130"/>
      <c r="H5" s="130"/>
      <c r="I5" s="130"/>
      <c r="J5" s="130"/>
      <c r="K5" s="129"/>
      <c r="L5" s="129"/>
      <c r="M5" s="129"/>
      <c r="N5" s="129"/>
      <c r="O5" s="129"/>
      <c r="P5" s="129"/>
      <c r="Q5" s="129"/>
      <c r="R5" s="129"/>
    </row>
    <row r="6" spans="3:18" x14ac:dyDescent="0.25">
      <c r="C6" s="130"/>
      <c r="D6" s="130"/>
      <c r="E6" s="130"/>
      <c r="F6" s="130"/>
      <c r="G6" s="130"/>
      <c r="H6" s="130"/>
      <c r="I6" s="130"/>
      <c r="J6" s="130"/>
      <c r="K6" s="129"/>
      <c r="L6" s="129"/>
      <c r="M6" s="129"/>
      <c r="N6" s="129"/>
      <c r="O6" s="129"/>
      <c r="P6" s="129"/>
      <c r="Q6" s="129"/>
      <c r="R6" s="129"/>
    </row>
    <row r="7" spans="3:18" x14ac:dyDescent="0.25">
      <c r="C7" s="130"/>
      <c r="D7" s="130"/>
      <c r="E7" s="130"/>
      <c r="F7" s="130"/>
      <c r="G7" s="130"/>
      <c r="H7" s="130"/>
      <c r="I7" s="130"/>
      <c r="J7" s="130"/>
      <c r="K7" s="129"/>
      <c r="L7" s="129"/>
      <c r="M7" s="129"/>
      <c r="N7" s="129"/>
      <c r="O7" s="129"/>
      <c r="P7" s="129"/>
      <c r="Q7" s="129"/>
      <c r="R7" s="129"/>
    </row>
    <row r="8" spans="3:18" x14ac:dyDescent="0.25">
      <c r="C8" s="130"/>
      <c r="D8" s="130"/>
      <c r="E8" s="130"/>
      <c r="F8" s="130"/>
      <c r="G8" s="130"/>
      <c r="H8" s="130"/>
      <c r="I8" s="130"/>
      <c r="J8" s="130"/>
      <c r="K8" s="129"/>
      <c r="L8" s="129"/>
      <c r="M8" s="129"/>
      <c r="N8" s="129"/>
      <c r="O8" s="129"/>
      <c r="P8" s="129"/>
      <c r="Q8" s="129"/>
      <c r="R8" s="129"/>
    </row>
    <row r="9" spans="3:18" x14ac:dyDescent="0.25">
      <c r="C9" s="130"/>
      <c r="D9" s="130"/>
      <c r="E9" s="130"/>
      <c r="F9" s="130"/>
      <c r="G9" s="130"/>
      <c r="H9" s="130"/>
      <c r="I9" s="130"/>
      <c r="J9" s="130"/>
      <c r="K9" s="129"/>
      <c r="L9" s="129"/>
      <c r="M9" s="129"/>
      <c r="N9" s="129"/>
      <c r="O9" s="129"/>
      <c r="P9" s="129"/>
      <c r="Q9" s="129"/>
      <c r="R9" s="129"/>
    </row>
    <row r="10" spans="3:18" x14ac:dyDescent="0.25">
      <c r="C10" s="130"/>
      <c r="D10" s="130"/>
      <c r="E10" s="130"/>
      <c r="F10" s="130"/>
      <c r="G10" s="130"/>
      <c r="H10" s="130"/>
      <c r="I10" s="130"/>
      <c r="J10" s="130"/>
      <c r="K10" s="129"/>
      <c r="L10" s="129"/>
      <c r="M10" s="129"/>
      <c r="N10" s="129"/>
      <c r="O10" s="129"/>
      <c r="P10" s="129"/>
      <c r="Q10" s="129"/>
      <c r="R10" s="129"/>
    </row>
    <row r="11" spans="3:18" x14ac:dyDescent="0.25">
      <c r="C11" s="130"/>
      <c r="D11" s="130"/>
      <c r="E11" s="130"/>
      <c r="F11" s="130"/>
      <c r="G11" s="130"/>
      <c r="H11" s="130"/>
      <c r="I11" s="130"/>
      <c r="J11" s="130"/>
      <c r="K11" s="129"/>
      <c r="L11" s="129"/>
      <c r="M11" s="129"/>
      <c r="N11" s="129"/>
      <c r="O11" s="129"/>
      <c r="P11" s="129"/>
      <c r="Q11" s="129"/>
      <c r="R11" s="129"/>
    </row>
    <row r="12" spans="3:18" x14ac:dyDescent="0.25">
      <c r="C12" s="130"/>
      <c r="D12" s="130"/>
      <c r="E12" s="130"/>
      <c r="F12" s="130"/>
      <c r="G12" s="130"/>
      <c r="H12" s="130"/>
      <c r="I12" s="130"/>
      <c r="J12" s="130"/>
      <c r="K12" s="129"/>
      <c r="L12" s="129"/>
      <c r="M12" s="129"/>
      <c r="N12" s="129"/>
      <c r="O12" s="129"/>
      <c r="P12" s="129"/>
      <c r="Q12" s="129"/>
      <c r="R12" s="129"/>
    </row>
    <row r="13" spans="3:18" x14ac:dyDescent="0.25">
      <c r="C13" s="130"/>
      <c r="D13" s="130"/>
      <c r="E13" s="130"/>
      <c r="F13" s="130"/>
      <c r="G13" s="130"/>
      <c r="H13" s="130"/>
      <c r="I13" s="130"/>
      <c r="J13" s="130"/>
      <c r="K13" s="129"/>
      <c r="L13" s="129"/>
      <c r="M13" s="129"/>
      <c r="N13" s="129"/>
      <c r="O13" s="129"/>
      <c r="P13" s="129"/>
      <c r="Q13" s="129"/>
      <c r="R13" s="129"/>
    </row>
    <row r="14" spans="3:18" x14ac:dyDescent="0.25">
      <c r="C14" s="130"/>
      <c r="D14" s="130"/>
      <c r="E14" s="130"/>
      <c r="F14" s="130"/>
      <c r="G14" s="130"/>
      <c r="H14" s="130"/>
      <c r="I14" s="130"/>
      <c r="J14" s="130"/>
      <c r="K14" s="129"/>
      <c r="L14" s="129"/>
      <c r="M14" s="129"/>
      <c r="N14" s="129"/>
      <c r="O14" s="129"/>
      <c r="P14" s="129"/>
      <c r="Q14" s="129"/>
      <c r="R14" s="129"/>
    </row>
    <row r="15" spans="3:18" x14ac:dyDescent="0.25">
      <c r="C15" s="130"/>
      <c r="D15" s="130"/>
      <c r="E15" s="130"/>
      <c r="F15" s="130"/>
      <c r="G15" s="130"/>
      <c r="H15" s="130"/>
      <c r="I15" s="130"/>
      <c r="J15" s="130"/>
      <c r="K15" s="129"/>
      <c r="L15" s="129"/>
      <c r="M15" s="129"/>
      <c r="N15" s="129"/>
      <c r="O15" s="129"/>
      <c r="P15" s="129"/>
      <c r="Q15" s="129"/>
      <c r="R15" s="129"/>
    </row>
    <row r="16" spans="3:18" x14ac:dyDescent="0.25">
      <c r="C16" s="130"/>
      <c r="D16" s="130"/>
      <c r="E16" s="130"/>
      <c r="F16" s="130"/>
      <c r="G16" s="130"/>
      <c r="H16" s="130"/>
      <c r="I16" s="130"/>
      <c r="J16" s="130"/>
      <c r="K16" s="129"/>
      <c r="L16" s="129"/>
      <c r="M16" s="129"/>
      <c r="N16" s="129"/>
      <c r="O16" s="129"/>
      <c r="P16" s="129"/>
      <c r="Q16" s="129"/>
      <c r="R16" s="129"/>
    </row>
    <row r="17" spans="3:18" x14ac:dyDescent="0.25">
      <c r="C17" s="130"/>
      <c r="D17" s="130"/>
      <c r="E17" s="130"/>
      <c r="F17" s="130"/>
      <c r="G17" s="130"/>
      <c r="H17" s="130"/>
      <c r="I17" s="130"/>
      <c r="J17" s="130"/>
      <c r="K17" s="129"/>
      <c r="L17" s="129"/>
      <c r="M17" s="129"/>
      <c r="N17" s="129"/>
      <c r="O17" s="129"/>
      <c r="P17" s="129"/>
      <c r="Q17" s="129"/>
      <c r="R17" s="129"/>
    </row>
    <row r="18" spans="3:18" x14ac:dyDescent="0.25">
      <c r="C18" s="130"/>
      <c r="D18" s="130"/>
      <c r="E18" s="130"/>
      <c r="F18" s="130"/>
      <c r="G18" s="130"/>
      <c r="H18" s="130"/>
      <c r="I18" s="130"/>
      <c r="J18" s="130"/>
      <c r="K18" s="129"/>
      <c r="L18" s="129"/>
      <c r="M18" s="129"/>
      <c r="N18" s="129"/>
      <c r="O18" s="129"/>
      <c r="P18" s="129"/>
      <c r="Q18" s="129"/>
      <c r="R18" s="129"/>
    </row>
    <row r="19" spans="3:18" x14ac:dyDescent="0.25">
      <c r="C19" s="130"/>
      <c r="D19" s="130"/>
      <c r="E19" s="130"/>
      <c r="F19" s="130"/>
      <c r="G19" s="130"/>
      <c r="H19" s="130"/>
      <c r="I19" s="130"/>
      <c r="J19" s="130"/>
      <c r="K19" s="129"/>
      <c r="L19" s="129"/>
      <c r="M19" s="129"/>
      <c r="N19" s="129"/>
      <c r="O19" s="129"/>
      <c r="P19" s="129"/>
      <c r="Q19" s="129"/>
      <c r="R19" s="129"/>
    </row>
    <row r="20" spans="3:18" x14ac:dyDescent="0.25">
      <c r="C20" s="130"/>
      <c r="D20" s="130"/>
      <c r="E20" s="130"/>
      <c r="F20" s="130"/>
      <c r="G20" s="130"/>
      <c r="H20" s="130"/>
      <c r="I20" s="130"/>
      <c r="J20" s="130"/>
      <c r="K20" s="129"/>
      <c r="L20" s="129"/>
      <c r="M20" s="129"/>
      <c r="N20" s="129"/>
      <c r="O20" s="129"/>
      <c r="P20" s="129"/>
      <c r="Q20" s="129"/>
      <c r="R20" s="129"/>
    </row>
    <row r="21" spans="3:18" x14ac:dyDescent="0.25">
      <c r="C21" s="130"/>
      <c r="D21" s="130"/>
      <c r="E21" s="130"/>
      <c r="F21" s="130"/>
      <c r="G21" s="130"/>
      <c r="H21" s="130"/>
      <c r="I21" s="130"/>
      <c r="J21" s="130"/>
      <c r="K21" s="129"/>
      <c r="L21" s="129"/>
      <c r="M21" s="129"/>
      <c r="N21" s="129"/>
      <c r="O21" s="129"/>
      <c r="P21" s="129"/>
      <c r="Q21" s="129"/>
      <c r="R21" s="129"/>
    </row>
    <row r="22" spans="3:18" x14ac:dyDescent="0.25">
      <c r="C22" s="127"/>
      <c r="D22" s="127"/>
      <c r="E22" s="127"/>
      <c r="F22" s="127"/>
      <c r="G22" s="127"/>
      <c r="H22" s="127"/>
      <c r="I22" s="127"/>
      <c r="J22" s="127"/>
      <c r="K22" s="131"/>
      <c r="L22" s="131"/>
      <c r="M22" s="131"/>
      <c r="N22" s="131"/>
      <c r="O22" s="131"/>
      <c r="P22" s="131"/>
      <c r="Q22" s="131"/>
      <c r="R22" s="131"/>
    </row>
    <row r="23" spans="3:18" x14ac:dyDescent="0.25">
      <c r="C23" s="127"/>
      <c r="D23" s="127"/>
      <c r="E23" s="127"/>
      <c r="F23" s="127"/>
      <c r="G23" s="127"/>
      <c r="H23" s="127"/>
      <c r="I23" s="127"/>
      <c r="J23" s="127"/>
      <c r="K23" s="131"/>
      <c r="L23" s="131"/>
      <c r="M23" s="131"/>
      <c r="N23" s="131"/>
      <c r="O23" s="131"/>
      <c r="P23" s="131"/>
      <c r="Q23" s="131"/>
      <c r="R23" s="131"/>
    </row>
    <row r="24" spans="3:18" x14ac:dyDescent="0.25">
      <c r="C24" s="127"/>
      <c r="D24" s="127"/>
      <c r="E24" s="127"/>
      <c r="F24" s="127"/>
      <c r="G24" s="127"/>
      <c r="H24" s="127"/>
      <c r="I24" s="127"/>
      <c r="J24" s="127"/>
      <c r="K24" s="131"/>
      <c r="L24" s="131"/>
      <c r="M24" s="131"/>
      <c r="N24" s="131"/>
      <c r="O24" s="131"/>
      <c r="P24" s="131"/>
      <c r="Q24" s="131"/>
      <c r="R24" s="131"/>
    </row>
    <row r="25" spans="3:18" x14ac:dyDescent="0.25">
      <c r="C25" s="127"/>
      <c r="D25" s="127"/>
      <c r="E25" s="127"/>
      <c r="F25" s="127"/>
      <c r="G25" s="127"/>
      <c r="H25" s="127"/>
      <c r="I25" s="127"/>
      <c r="J25" s="127"/>
      <c r="K25" s="131"/>
      <c r="L25" s="131"/>
      <c r="M25" s="131"/>
      <c r="N25" s="131"/>
      <c r="O25" s="131"/>
      <c r="P25" s="131"/>
      <c r="Q25" s="131"/>
      <c r="R25" s="131"/>
    </row>
    <row r="26" spans="3:18" x14ac:dyDescent="0.25">
      <c r="C26" s="127"/>
      <c r="D26" s="127"/>
      <c r="E26" s="127"/>
      <c r="F26" s="127"/>
      <c r="G26" s="127"/>
      <c r="H26" s="127"/>
      <c r="I26" s="127"/>
      <c r="J26" s="127"/>
      <c r="K26" s="131"/>
      <c r="L26" s="131"/>
      <c r="M26" s="131"/>
      <c r="N26" s="131"/>
      <c r="O26" s="131"/>
      <c r="P26" s="131"/>
      <c r="Q26" s="131"/>
      <c r="R26" s="131"/>
    </row>
    <row r="27" spans="3:18" x14ac:dyDescent="0.25">
      <c r="C27" s="127"/>
      <c r="D27" s="127"/>
      <c r="E27" s="127"/>
      <c r="F27" s="127"/>
      <c r="G27" s="127"/>
      <c r="H27" s="127"/>
      <c r="I27" s="127"/>
      <c r="J27" s="127"/>
      <c r="K27" s="131"/>
      <c r="L27" s="131"/>
      <c r="M27" s="131"/>
      <c r="N27" s="131"/>
      <c r="O27" s="131"/>
      <c r="P27" s="131"/>
      <c r="Q27" s="131"/>
      <c r="R27" s="131"/>
    </row>
    <row r="28" spans="3:18" x14ac:dyDescent="0.25">
      <c r="C28" s="127"/>
      <c r="D28" s="127"/>
      <c r="E28" s="127"/>
      <c r="F28" s="127"/>
      <c r="G28" s="127"/>
      <c r="H28" s="127"/>
      <c r="I28" s="127"/>
      <c r="J28" s="127"/>
      <c r="K28" s="131"/>
      <c r="L28" s="131"/>
      <c r="M28" s="131"/>
      <c r="N28" s="131"/>
      <c r="O28" s="131"/>
      <c r="P28" s="131"/>
      <c r="Q28" s="131"/>
      <c r="R28" s="131"/>
    </row>
    <row r="29" spans="3:18" x14ac:dyDescent="0.25">
      <c r="C29" s="127"/>
      <c r="D29" s="127"/>
      <c r="E29" s="127"/>
      <c r="F29" s="127"/>
      <c r="G29" s="127"/>
      <c r="H29" s="127"/>
      <c r="I29" s="127"/>
      <c r="J29" s="127"/>
      <c r="K29" s="131"/>
      <c r="L29" s="131"/>
      <c r="M29" s="131"/>
      <c r="N29" s="131"/>
      <c r="O29" s="131"/>
      <c r="P29" s="131"/>
      <c r="Q29" s="131"/>
      <c r="R29" s="131"/>
    </row>
    <row r="30" spans="3:18" x14ac:dyDescent="0.25">
      <c r="C30" s="127"/>
      <c r="D30" s="127"/>
      <c r="E30" s="127"/>
      <c r="F30" s="127"/>
      <c r="G30" s="127"/>
      <c r="H30" s="127"/>
      <c r="I30" s="127"/>
      <c r="J30" s="127"/>
      <c r="K30" s="131"/>
      <c r="L30" s="131"/>
      <c r="M30" s="131"/>
      <c r="N30" s="131"/>
      <c r="O30" s="131"/>
      <c r="P30" s="131"/>
      <c r="Q30" s="131"/>
      <c r="R30" s="131"/>
    </row>
    <row r="31" spans="3:18" x14ac:dyDescent="0.25">
      <c r="C31" s="127"/>
      <c r="D31" s="127"/>
      <c r="E31" s="127"/>
      <c r="F31" s="127"/>
      <c r="G31" s="127"/>
      <c r="H31" s="127"/>
      <c r="I31" s="127"/>
      <c r="J31" s="127"/>
      <c r="K31" s="131"/>
      <c r="L31" s="131"/>
      <c r="M31" s="131"/>
      <c r="N31" s="131"/>
      <c r="O31" s="131"/>
      <c r="P31" s="131"/>
      <c r="Q31" s="131"/>
      <c r="R31" s="131"/>
    </row>
    <row r="32" spans="3:18" x14ac:dyDescent="0.25">
      <c r="C32" s="127"/>
      <c r="D32" s="127"/>
      <c r="E32" s="127"/>
      <c r="F32" s="127"/>
      <c r="G32" s="127"/>
      <c r="H32" s="127"/>
      <c r="I32" s="127"/>
      <c r="J32" s="127"/>
      <c r="K32" s="131"/>
      <c r="L32" s="131"/>
      <c r="M32" s="131"/>
      <c r="N32" s="131"/>
      <c r="O32" s="131"/>
      <c r="P32" s="131"/>
      <c r="Q32" s="131"/>
      <c r="R32" s="131"/>
    </row>
    <row r="33" spans="3:18" x14ac:dyDescent="0.25">
      <c r="C33" s="127"/>
      <c r="D33" s="127"/>
      <c r="E33" s="127"/>
      <c r="F33" s="127"/>
      <c r="G33" s="127"/>
      <c r="H33" s="127"/>
      <c r="I33" s="127"/>
      <c r="J33" s="127"/>
      <c r="K33" s="131"/>
      <c r="L33" s="131"/>
      <c r="M33" s="131"/>
      <c r="N33" s="131"/>
      <c r="O33" s="131"/>
      <c r="P33" s="131"/>
      <c r="Q33" s="131"/>
      <c r="R33" s="131"/>
    </row>
    <row r="34" spans="3:18" x14ac:dyDescent="0.25">
      <c r="C34" s="127"/>
      <c r="D34" s="127"/>
      <c r="E34" s="127"/>
      <c r="F34" s="127"/>
      <c r="G34" s="127"/>
      <c r="H34" s="127"/>
      <c r="I34" s="127"/>
      <c r="J34" s="127"/>
      <c r="K34" s="131"/>
      <c r="L34" s="131"/>
      <c r="M34" s="131"/>
      <c r="N34" s="131"/>
      <c r="O34" s="131"/>
      <c r="P34" s="131"/>
      <c r="Q34" s="131"/>
      <c r="R34" s="131"/>
    </row>
    <row r="35" spans="3:18" x14ac:dyDescent="0.25">
      <c r="C35" s="127"/>
      <c r="D35" s="127"/>
      <c r="E35" s="127"/>
      <c r="F35" s="127"/>
      <c r="G35" s="127"/>
      <c r="H35" s="127"/>
      <c r="I35" s="127"/>
      <c r="J35" s="127"/>
      <c r="K35" s="131"/>
      <c r="L35" s="131"/>
      <c r="M35" s="131"/>
      <c r="N35" s="131"/>
      <c r="O35" s="131"/>
      <c r="P35" s="131"/>
      <c r="Q35" s="131"/>
      <c r="R35" s="131"/>
    </row>
    <row r="36" spans="3:18" x14ac:dyDescent="0.25">
      <c r="C36" s="127"/>
      <c r="D36" s="127"/>
      <c r="E36" s="127"/>
      <c r="F36" s="127"/>
      <c r="G36" s="127"/>
      <c r="H36" s="127"/>
      <c r="I36" s="127"/>
      <c r="J36" s="127"/>
      <c r="K36" s="131"/>
      <c r="L36" s="131"/>
      <c r="M36" s="131"/>
      <c r="N36" s="131"/>
      <c r="O36" s="131"/>
      <c r="P36" s="131"/>
      <c r="Q36" s="131"/>
      <c r="R36" s="131"/>
    </row>
    <row r="37" spans="3:18" x14ac:dyDescent="0.25">
      <c r="C37" s="127"/>
      <c r="D37" s="127"/>
      <c r="E37" s="127"/>
      <c r="F37" s="127"/>
      <c r="G37" s="127"/>
      <c r="H37" s="127"/>
      <c r="I37" s="127"/>
      <c r="J37" s="127"/>
      <c r="K37" s="131"/>
      <c r="L37" s="131"/>
      <c r="M37" s="131"/>
      <c r="N37" s="131"/>
      <c r="O37" s="131"/>
      <c r="P37" s="131"/>
      <c r="Q37" s="131"/>
      <c r="R37" s="131"/>
    </row>
    <row r="38" spans="3:18" x14ac:dyDescent="0.25">
      <c r="C38" s="127"/>
      <c r="D38" s="127"/>
      <c r="E38" s="127"/>
      <c r="F38" s="127"/>
      <c r="G38" s="127"/>
      <c r="H38" s="127"/>
      <c r="I38" s="127"/>
      <c r="J38" s="127"/>
      <c r="K38" s="131"/>
      <c r="L38" s="131"/>
      <c r="M38" s="131"/>
      <c r="N38" s="131"/>
      <c r="O38" s="131"/>
      <c r="P38" s="131"/>
      <c r="Q38" s="131"/>
      <c r="R38" s="131"/>
    </row>
    <row r="39" spans="3:18" x14ac:dyDescent="0.25">
      <c r="C39" s="127"/>
      <c r="D39" s="127"/>
      <c r="E39" s="127"/>
      <c r="F39" s="127"/>
      <c r="G39" s="127"/>
      <c r="H39" s="127"/>
      <c r="I39" s="127"/>
      <c r="J39" s="127"/>
      <c r="K39" s="131"/>
      <c r="L39" s="131"/>
      <c r="M39" s="131"/>
      <c r="N39" s="131"/>
      <c r="O39" s="131"/>
      <c r="P39" s="131"/>
      <c r="Q39" s="131"/>
      <c r="R39" s="131"/>
    </row>
    <row r="43" spans="3:18" ht="44.1" customHeight="1" x14ac:dyDescent="0.25"/>
    <row r="45" spans="3:18" ht="57.6" customHeight="1" x14ac:dyDescent="0.25">
      <c r="D45" s="243" t="s">
        <v>497</v>
      </c>
      <c r="E45" s="244"/>
      <c r="F45" s="244"/>
      <c r="G45" s="244"/>
      <c r="H45" s="244"/>
      <c r="L45" s="242" t="s">
        <v>498</v>
      </c>
      <c r="M45" s="242"/>
      <c r="N45" s="242"/>
      <c r="O45" s="242"/>
      <c r="P45" s="242"/>
    </row>
    <row r="50" spans="4:4" x14ac:dyDescent="0.25">
      <c r="D50" s="89"/>
    </row>
    <row r="51" spans="4:4" x14ac:dyDescent="0.25">
      <c r="D51" s="89"/>
    </row>
    <row r="52" spans="4:4" x14ac:dyDescent="0.25">
      <c r="D52" s="89"/>
    </row>
    <row r="53" spans="4:4" x14ac:dyDescent="0.25">
      <c r="D53" t="s">
        <v>499</v>
      </c>
    </row>
    <row r="54" spans="4:4" x14ac:dyDescent="0.25">
      <c r="D54" s="89"/>
    </row>
  </sheetData>
  <sheetProtection algorithmName="SHA-512" hashValue="WURN4bfxZlwPwjLL7L4cTA5uOZBPr7a7+9dRfdzxys2Q2gp5eH14moN67bK3xx+2U3Li6+WxjJ5GfW4tFH8QCg==" saltValue="oYfrZk0dQI7fsLdIursjeA==" spinCount="100000" sheet="1" objects="1" scenarios="1"/>
  <mergeCells count="2">
    <mergeCell ref="L45:P45"/>
    <mergeCell ref="D45:H4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ED7D-817C-4B8B-A6D6-D8A4CBCA1AE7}">
  <sheetPr codeName="Sheet10"/>
  <dimension ref="B2:AX115"/>
  <sheetViews>
    <sheetView zoomScale="55" zoomScaleNormal="55" workbookViewId="0">
      <selection activeCell="H16" sqref="H16"/>
    </sheetView>
  </sheetViews>
  <sheetFormatPr defaultColWidth="8.59765625" defaultRowHeight="13.8" x14ac:dyDescent="0.25"/>
  <cols>
    <col min="2" max="2" width="16.59765625" bestFit="1" customWidth="1"/>
    <col min="3" max="3" width="3.59765625" customWidth="1"/>
    <col min="4" max="4" width="20.09765625" customWidth="1"/>
    <col min="5" max="5" width="3.59765625" customWidth="1"/>
    <col min="6" max="6" width="46" bestFit="1" customWidth="1"/>
    <col min="7" max="11" width="20.09765625" customWidth="1"/>
    <col min="12" max="12" width="2.59765625" customWidth="1"/>
    <col min="13" max="13" width="18.59765625" customWidth="1"/>
    <col min="14" max="14" width="9.5" customWidth="1"/>
    <col min="15" max="15" width="3.09765625" customWidth="1"/>
    <col min="16" max="17" width="20.09765625" customWidth="1"/>
    <col min="18" max="18" width="4" customWidth="1"/>
    <col min="19" max="20" width="20.09765625" customWidth="1"/>
    <col min="21" max="21" width="4.59765625" customWidth="1"/>
    <col min="22" max="24" width="20.09765625" customWidth="1"/>
    <col min="25" max="25" width="24.59765625" customWidth="1"/>
    <col min="26" max="26" width="20.09765625" customWidth="1"/>
    <col min="27" max="27" width="3" customWidth="1"/>
    <col min="28" max="28" width="40.59765625" bestFit="1" customWidth="1"/>
    <col min="29" max="29" width="3.09765625" customWidth="1"/>
    <col min="30" max="30" width="46.59765625" customWidth="1"/>
    <col min="31" max="31" width="3.59765625" customWidth="1"/>
    <col min="32" max="32" width="46.59765625" customWidth="1"/>
    <col min="33" max="33" width="4" customWidth="1"/>
    <col min="34" max="34" width="46.59765625" customWidth="1"/>
    <col min="35" max="35" width="2.59765625" customWidth="1"/>
    <col min="36" max="36" width="46.59765625" customWidth="1"/>
    <col min="37" max="37" width="2.59765625" customWidth="1"/>
    <col min="38" max="38" width="46.59765625" customWidth="1"/>
    <col min="39" max="39" width="2.5" customWidth="1"/>
    <col min="40" max="40" width="46.59765625" customWidth="1"/>
    <col min="41" max="41" width="3" customWidth="1"/>
    <col min="42" max="42" width="46.59765625" customWidth="1"/>
    <col min="43" max="43" width="3" customWidth="1"/>
    <col min="44" max="44" width="46.59765625" customWidth="1"/>
    <col min="46" max="46" width="46.59765625" customWidth="1"/>
    <col min="48" max="48" width="46.59765625" customWidth="1"/>
    <col min="50" max="50" width="46.59765625" customWidth="1"/>
  </cols>
  <sheetData>
    <row r="2" spans="2:50" ht="15.6" x14ac:dyDescent="0.25">
      <c r="J2" s="4" t="s">
        <v>500</v>
      </c>
    </row>
    <row r="3" spans="2:50" ht="14.4" thickBot="1" x14ac:dyDescent="0.3">
      <c r="J3" s="27"/>
      <c r="M3" s="27"/>
      <c r="P3" s="27"/>
      <c r="S3" s="27"/>
    </row>
    <row r="4" spans="2:50" ht="35.4" thickBot="1" x14ac:dyDescent="0.35">
      <c r="B4" s="1" t="s">
        <v>501</v>
      </c>
      <c r="C4" s="2"/>
      <c r="D4" s="1" t="s">
        <v>502</v>
      </c>
      <c r="E4" s="2"/>
      <c r="F4" s="3" t="s">
        <v>503</v>
      </c>
      <c r="G4" s="35" t="s">
        <v>54</v>
      </c>
      <c r="H4" s="36" t="s">
        <v>504</v>
      </c>
      <c r="I4" s="4"/>
      <c r="J4" s="53" t="s">
        <v>45</v>
      </c>
      <c r="K4" s="47" t="s">
        <v>505</v>
      </c>
      <c r="L4" s="10"/>
      <c r="M4" s="46" t="s">
        <v>64</v>
      </c>
      <c r="N4" s="47" t="s">
        <v>505</v>
      </c>
      <c r="O4" s="4"/>
      <c r="P4" s="37" t="s">
        <v>65</v>
      </c>
      <c r="Q4" s="36" t="s">
        <v>505</v>
      </c>
      <c r="R4" s="4"/>
      <c r="S4" s="37" t="s">
        <v>78</v>
      </c>
      <c r="T4" s="36" t="s">
        <v>505</v>
      </c>
      <c r="U4" s="4"/>
      <c r="V4" s="37" t="s">
        <v>506</v>
      </c>
      <c r="W4" s="36" t="s">
        <v>507</v>
      </c>
      <c r="X4" s="4"/>
      <c r="Y4" s="37" t="s">
        <v>508</v>
      </c>
      <c r="Z4" s="36" t="s">
        <v>507</v>
      </c>
      <c r="AA4" s="5"/>
      <c r="AB4" s="6" t="s">
        <v>37</v>
      </c>
      <c r="AC4" s="2"/>
      <c r="AD4" s="7" t="s">
        <v>509</v>
      </c>
      <c r="AE4" s="2"/>
      <c r="AF4" s="7" t="s">
        <v>510</v>
      </c>
      <c r="AG4" s="8"/>
      <c r="AH4" s="7" t="s">
        <v>48</v>
      </c>
      <c r="AJ4" s="7" t="s">
        <v>511</v>
      </c>
      <c r="AL4" s="7" t="s">
        <v>512</v>
      </c>
      <c r="AN4" s="7" t="s">
        <v>513</v>
      </c>
      <c r="AP4" s="7" t="s">
        <v>514</v>
      </c>
      <c r="AR4" s="7" t="s">
        <v>515</v>
      </c>
      <c r="AT4" s="7" t="s">
        <v>516</v>
      </c>
      <c r="AV4" s="7" t="s">
        <v>517</v>
      </c>
      <c r="AX4" s="7" t="s">
        <v>518</v>
      </c>
    </row>
    <row r="5" spans="2:50" ht="33" customHeight="1" thickTop="1" x14ac:dyDescent="0.3">
      <c r="B5" s="9">
        <v>2024</v>
      </c>
      <c r="D5" s="9" t="s">
        <v>334</v>
      </c>
      <c r="F5" s="63" t="s">
        <v>111</v>
      </c>
      <c r="G5" s="26">
        <v>5</v>
      </c>
      <c r="H5" s="42">
        <v>5</v>
      </c>
      <c r="I5" s="10"/>
      <c r="J5" s="54" t="s">
        <v>519</v>
      </c>
      <c r="K5" s="42">
        <v>1</v>
      </c>
      <c r="L5" s="10"/>
      <c r="M5" s="48">
        <v>1</v>
      </c>
      <c r="N5" s="42">
        <v>1</v>
      </c>
      <c r="O5" s="10"/>
      <c r="P5" s="56">
        <v>0</v>
      </c>
      <c r="Q5" s="68">
        <v>0</v>
      </c>
      <c r="R5" s="10"/>
      <c r="S5" s="56">
        <v>0</v>
      </c>
      <c r="T5" s="68">
        <v>0</v>
      </c>
      <c r="U5" s="10"/>
      <c r="V5" s="58" t="s">
        <v>45</v>
      </c>
      <c r="W5" s="60">
        <v>0.2</v>
      </c>
      <c r="X5" s="10"/>
      <c r="Y5" s="38" t="s">
        <v>48</v>
      </c>
      <c r="Z5" s="60">
        <v>0.2</v>
      </c>
      <c r="AA5" s="11"/>
      <c r="AB5" s="22" t="str">
        <f>InputTable[[#Headers],[CORPHRFIN]]</f>
        <v>CORPHRFIN</v>
      </c>
      <c r="AD5" s="16" t="s">
        <v>520</v>
      </c>
      <c r="AF5" s="16" t="s">
        <v>521</v>
      </c>
      <c r="AG5" s="12"/>
      <c r="AH5" s="16" t="s">
        <v>522</v>
      </c>
      <c r="AJ5" s="16" t="s">
        <v>523</v>
      </c>
      <c r="AL5" s="16" t="s">
        <v>524</v>
      </c>
      <c r="AN5" s="16" t="s">
        <v>525</v>
      </c>
      <c r="AP5" s="16" t="s">
        <v>526</v>
      </c>
      <c r="AR5" s="16" t="s">
        <v>527</v>
      </c>
      <c r="AT5" s="16" t="s">
        <v>528</v>
      </c>
      <c r="AV5" s="16" t="s">
        <v>529</v>
      </c>
      <c r="AX5" s="16" t="s">
        <v>530</v>
      </c>
    </row>
    <row r="6" spans="2:50" ht="40.799999999999997" x14ac:dyDescent="0.3">
      <c r="B6" s="9" t="s">
        <v>97</v>
      </c>
      <c r="D6" s="9" t="s">
        <v>531</v>
      </c>
      <c r="F6" s="63" t="s">
        <v>139</v>
      </c>
      <c r="G6" s="26">
        <v>8</v>
      </c>
      <c r="H6" s="42">
        <v>8</v>
      </c>
      <c r="I6" s="10"/>
      <c r="J6" s="54" t="s">
        <v>532</v>
      </c>
      <c r="K6" s="44">
        <v>2</v>
      </c>
      <c r="L6" s="14"/>
      <c r="M6" s="49">
        <v>2</v>
      </c>
      <c r="N6" s="44">
        <v>2</v>
      </c>
      <c r="O6" s="10"/>
      <c r="P6" s="41">
        <v>1</v>
      </c>
      <c r="Q6" s="42">
        <v>1</v>
      </c>
      <c r="R6" s="10"/>
      <c r="S6" s="41">
        <v>1</v>
      </c>
      <c r="T6" s="42">
        <v>1</v>
      </c>
      <c r="U6" s="10"/>
      <c r="V6" s="59" t="s">
        <v>64</v>
      </c>
      <c r="W6" s="60">
        <v>0.2</v>
      </c>
      <c r="X6" s="10"/>
      <c r="Y6" s="38" t="s">
        <v>49</v>
      </c>
      <c r="Z6" s="60">
        <v>0.2</v>
      </c>
      <c r="AA6" s="13"/>
      <c r="AB6" s="22" t="str">
        <f>InputTable[[#Headers],[CUST]]</f>
        <v>CUST</v>
      </c>
      <c r="AD6" s="16" t="s">
        <v>533</v>
      </c>
      <c r="AF6" s="16" t="s">
        <v>534</v>
      </c>
      <c r="AG6" s="12"/>
      <c r="AH6" s="16" t="s">
        <v>535</v>
      </c>
      <c r="AJ6" s="16" t="s">
        <v>536</v>
      </c>
      <c r="AL6" s="16" t="s">
        <v>537</v>
      </c>
      <c r="AN6" s="16" t="s">
        <v>538</v>
      </c>
      <c r="AP6" s="16" t="s">
        <v>539</v>
      </c>
      <c r="AR6" s="16" t="s">
        <v>540</v>
      </c>
      <c r="AT6" s="16" t="s">
        <v>541</v>
      </c>
      <c r="AV6" s="16" t="s">
        <v>542</v>
      </c>
      <c r="AX6" s="16" t="s">
        <v>543</v>
      </c>
    </row>
    <row r="7" spans="2:50" ht="42" thickBot="1" x14ac:dyDescent="0.35">
      <c r="B7" s="9" t="s">
        <v>160</v>
      </c>
      <c r="D7" s="9" t="s">
        <v>544</v>
      </c>
      <c r="F7" s="64" t="s">
        <v>100</v>
      </c>
      <c r="G7" s="65">
        <v>13</v>
      </c>
      <c r="H7" s="66">
        <v>13</v>
      </c>
      <c r="I7" s="14"/>
      <c r="J7" s="54" t="s">
        <v>545</v>
      </c>
      <c r="K7" s="42">
        <v>3</v>
      </c>
      <c r="M7" s="48">
        <v>3</v>
      </c>
      <c r="N7" s="50">
        <v>3</v>
      </c>
      <c r="O7" s="14"/>
      <c r="P7" s="41">
        <v>2</v>
      </c>
      <c r="Q7" s="42">
        <v>1</v>
      </c>
      <c r="R7" s="14"/>
      <c r="S7" s="41">
        <v>2</v>
      </c>
      <c r="T7" s="42">
        <v>1</v>
      </c>
      <c r="U7" s="14"/>
      <c r="V7" s="56" t="s">
        <v>65</v>
      </c>
      <c r="W7" s="61">
        <v>0.3</v>
      </c>
      <c r="X7" s="14"/>
      <c r="Y7" s="39" t="s">
        <v>50</v>
      </c>
      <c r="Z7" s="60">
        <v>0.2</v>
      </c>
      <c r="AA7" s="13"/>
      <c r="AB7" s="22" t="str">
        <f>InputTable[[#Headers],[CYBER]]</f>
        <v>CYBER</v>
      </c>
      <c r="AD7" s="16" t="s">
        <v>546</v>
      </c>
      <c r="AF7" s="16" t="s">
        <v>547</v>
      </c>
      <c r="AG7" s="12"/>
      <c r="AH7" s="16"/>
      <c r="AJ7" s="16" t="s">
        <v>548</v>
      </c>
      <c r="AL7" s="16" t="s">
        <v>549</v>
      </c>
      <c r="AN7" s="16" t="s">
        <v>550</v>
      </c>
      <c r="AP7" s="16" t="s">
        <v>551</v>
      </c>
      <c r="AR7" s="16" t="s">
        <v>552</v>
      </c>
      <c r="AT7" s="16" t="s">
        <v>553</v>
      </c>
      <c r="AV7" s="16" t="s">
        <v>554</v>
      </c>
      <c r="AX7" s="17" t="s">
        <v>555</v>
      </c>
    </row>
    <row r="8" spans="2:50" ht="41.4" thickBot="1" x14ac:dyDescent="0.35">
      <c r="B8" s="9" t="s">
        <v>137</v>
      </c>
      <c r="D8" s="9" t="s">
        <v>556</v>
      </c>
      <c r="J8" s="54" t="s">
        <v>557</v>
      </c>
      <c r="K8" s="42">
        <v>5</v>
      </c>
      <c r="M8" s="49">
        <v>4</v>
      </c>
      <c r="N8" s="50">
        <v>5</v>
      </c>
      <c r="P8" s="43">
        <v>3</v>
      </c>
      <c r="Q8" s="44">
        <v>2</v>
      </c>
      <c r="S8" s="43">
        <v>3</v>
      </c>
      <c r="T8" s="44">
        <v>2</v>
      </c>
      <c r="V8" s="57" t="s">
        <v>78</v>
      </c>
      <c r="W8" s="62">
        <v>0.3</v>
      </c>
      <c r="Y8" s="38" t="s">
        <v>51</v>
      </c>
      <c r="Z8" s="60">
        <v>0.1</v>
      </c>
      <c r="AA8" s="11"/>
      <c r="AB8" s="22" t="str">
        <f>InputTable[[#Headers],[DATA]]</f>
        <v>DATA</v>
      </c>
      <c r="AD8" s="16" t="s">
        <v>558</v>
      </c>
      <c r="AF8" s="16" t="s">
        <v>559</v>
      </c>
      <c r="AG8" s="12"/>
      <c r="AH8" s="16"/>
      <c r="AJ8" s="16" t="s">
        <v>560</v>
      </c>
      <c r="AL8" s="16"/>
      <c r="AN8" s="16" t="s">
        <v>561</v>
      </c>
      <c r="AP8" s="16" t="s">
        <v>562</v>
      </c>
      <c r="AR8" s="16" t="s">
        <v>563</v>
      </c>
      <c r="AT8" s="16" t="s">
        <v>564</v>
      </c>
      <c r="AV8" s="16" t="s">
        <v>565</v>
      </c>
    </row>
    <row r="9" spans="2:50" ht="25.8" thickBot="1" x14ac:dyDescent="0.35">
      <c r="B9" s="9" t="s">
        <v>98</v>
      </c>
      <c r="D9" s="9" t="s">
        <v>123</v>
      </c>
      <c r="F9" s="115" t="s">
        <v>566</v>
      </c>
      <c r="H9" s="149" t="s">
        <v>567</v>
      </c>
      <c r="J9" s="54" t="s">
        <v>568</v>
      </c>
      <c r="K9" s="42">
        <v>8</v>
      </c>
      <c r="M9" s="48">
        <v>5</v>
      </c>
      <c r="N9" s="50">
        <v>8</v>
      </c>
      <c r="P9" s="41">
        <v>4</v>
      </c>
      <c r="Q9" s="42">
        <v>2</v>
      </c>
      <c r="S9" s="41">
        <v>4</v>
      </c>
      <c r="T9" s="42">
        <v>2</v>
      </c>
      <c r="Y9" s="38" t="s">
        <v>52</v>
      </c>
      <c r="Z9" s="60">
        <v>0.3</v>
      </c>
      <c r="AB9" s="22" t="s">
        <v>93</v>
      </c>
      <c r="AD9" s="16" t="s">
        <v>569</v>
      </c>
      <c r="AF9" s="16" t="s">
        <v>570</v>
      </c>
      <c r="AG9" s="12"/>
      <c r="AH9" s="16"/>
      <c r="AJ9" s="16" t="s">
        <v>571</v>
      </c>
      <c r="AL9" s="16"/>
      <c r="AN9" s="16" t="s">
        <v>572</v>
      </c>
      <c r="AP9" s="16" t="s">
        <v>573</v>
      </c>
      <c r="AR9" s="16" t="s">
        <v>574</v>
      </c>
      <c r="AT9" s="16" t="s">
        <v>575</v>
      </c>
      <c r="AV9" s="16" t="s">
        <v>576</v>
      </c>
    </row>
    <row r="10" spans="2:50" ht="21.6" thickTop="1" thickBot="1" x14ac:dyDescent="0.35">
      <c r="B10" s="9">
        <v>2026</v>
      </c>
      <c r="D10" s="9">
        <v>2026</v>
      </c>
      <c r="F10" s="116" t="s">
        <v>162</v>
      </c>
      <c r="H10" s="150" t="s">
        <v>92</v>
      </c>
      <c r="J10" s="55" t="s">
        <v>577</v>
      </c>
      <c r="K10" s="45">
        <v>13</v>
      </c>
      <c r="M10" s="49">
        <v>6</v>
      </c>
      <c r="N10" s="50">
        <v>13</v>
      </c>
      <c r="P10" s="41">
        <v>5</v>
      </c>
      <c r="Q10" s="42">
        <v>3</v>
      </c>
      <c r="S10" s="41">
        <v>5</v>
      </c>
      <c r="T10" s="42">
        <v>3</v>
      </c>
      <c r="Y10" s="40" t="s">
        <v>578</v>
      </c>
      <c r="Z10" s="62">
        <v>0</v>
      </c>
      <c r="AB10" s="22" t="str">
        <f>InputTable[[#Headers],[INFRA]]</f>
        <v>INFRA</v>
      </c>
      <c r="AD10" s="16" t="s">
        <v>579</v>
      </c>
      <c r="AF10" s="16" t="s">
        <v>580</v>
      </c>
      <c r="AG10" s="12"/>
      <c r="AH10" s="16"/>
      <c r="AJ10" s="16" t="s">
        <v>581</v>
      </c>
      <c r="AL10" s="16"/>
      <c r="AN10" s="16" t="s">
        <v>582</v>
      </c>
      <c r="AP10" s="16" t="s">
        <v>583</v>
      </c>
      <c r="AR10" s="16" t="s">
        <v>584</v>
      </c>
      <c r="AT10" s="16" t="s">
        <v>585</v>
      </c>
      <c r="AV10" s="17" t="s">
        <v>586</v>
      </c>
    </row>
    <row r="11" spans="2:50" ht="27.6" x14ac:dyDescent="0.3">
      <c r="B11" s="9" t="s">
        <v>193</v>
      </c>
      <c r="D11" s="9">
        <v>2027</v>
      </c>
      <c r="F11" s="116" t="s">
        <v>149</v>
      </c>
      <c r="H11" s="151" t="s">
        <v>107</v>
      </c>
      <c r="J11" s="26"/>
      <c r="M11" s="48">
        <v>7</v>
      </c>
      <c r="N11" s="50">
        <v>13</v>
      </c>
      <c r="P11" s="43">
        <v>6</v>
      </c>
      <c r="Q11" s="42">
        <v>3</v>
      </c>
      <c r="S11" s="43">
        <v>6</v>
      </c>
      <c r="T11" s="42">
        <v>3</v>
      </c>
      <c r="Z11" s="19"/>
      <c r="AB11" s="22" t="str">
        <f>InputTable[[#Headers],[OPERATIONS]]</f>
        <v>OPERATIONS</v>
      </c>
      <c r="AD11" s="16" t="s">
        <v>587</v>
      </c>
      <c r="AF11" s="16" t="s">
        <v>588</v>
      </c>
      <c r="AG11" s="12"/>
      <c r="AH11" s="16"/>
      <c r="AJ11" s="16" t="s">
        <v>589</v>
      </c>
      <c r="AL11" s="16"/>
      <c r="AN11" s="16" t="s">
        <v>590</v>
      </c>
      <c r="AP11" s="16" t="s">
        <v>591</v>
      </c>
      <c r="AR11" s="16"/>
      <c r="AT11" s="16"/>
    </row>
    <row r="12" spans="2:50" ht="21.6" thickBot="1" x14ac:dyDescent="0.35">
      <c r="B12" s="9" t="s">
        <v>165</v>
      </c>
      <c r="D12" s="15" t="s">
        <v>242</v>
      </c>
      <c r="F12" s="116" t="s">
        <v>181</v>
      </c>
      <c r="H12" s="152" t="s">
        <v>592</v>
      </c>
      <c r="M12" s="49">
        <v>8</v>
      </c>
      <c r="N12" s="50">
        <v>13</v>
      </c>
      <c r="P12" s="41">
        <v>7</v>
      </c>
      <c r="Q12" s="42">
        <v>3</v>
      </c>
      <c r="S12" s="41">
        <v>7</v>
      </c>
      <c r="T12" s="42">
        <v>3</v>
      </c>
      <c r="V12" s="20" t="s">
        <v>593</v>
      </c>
      <c r="W12" s="21">
        <f>SUM(W5:W8)</f>
        <v>1</v>
      </c>
      <c r="Y12" s="20" t="s">
        <v>593</v>
      </c>
      <c r="Z12" s="21">
        <f>SUM(Z5:Z10)</f>
        <v>1</v>
      </c>
      <c r="AB12" s="22" t="str">
        <f>InputTable[[#Headers],[PMO]]</f>
        <v>PMO</v>
      </c>
      <c r="AD12" s="17" t="s">
        <v>594</v>
      </c>
      <c r="AF12" s="17" t="s">
        <v>595</v>
      </c>
      <c r="AG12" s="12"/>
      <c r="AH12" s="17"/>
      <c r="AJ12" s="17"/>
      <c r="AL12" s="17"/>
      <c r="AN12" s="17"/>
      <c r="AP12" s="17" t="s">
        <v>596</v>
      </c>
      <c r="AR12" s="17"/>
      <c r="AT12" s="17"/>
    </row>
    <row r="13" spans="2:50" ht="17.399999999999999" x14ac:dyDescent="0.3">
      <c r="B13" s="9" t="s">
        <v>597</v>
      </c>
      <c r="F13" s="116" t="s">
        <v>142</v>
      </c>
      <c r="H13" s="173" t="s">
        <v>264</v>
      </c>
      <c r="M13" s="48">
        <v>9</v>
      </c>
      <c r="N13" s="50">
        <v>13</v>
      </c>
      <c r="P13" s="41">
        <v>8</v>
      </c>
      <c r="Q13" s="42">
        <v>5</v>
      </c>
      <c r="S13" s="41">
        <v>8</v>
      </c>
      <c r="T13" s="42">
        <v>5</v>
      </c>
      <c r="AB13" s="2"/>
    </row>
    <row r="14" spans="2:50" ht="17.399999999999999" x14ac:dyDescent="0.3">
      <c r="B14" s="9" t="s">
        <v>598</v>
      </c>
      <c r="F14" s="116" t="s">
        <v>326</v>
      </c>
      <c r="H14" s="173" t="s">
        <v>114</v>
      </c>
      <c r="M14" s="49">
        <v>10</v>
      </c>
      <c r="N14" s="50">
        <v>13</v>
      </c>
      <c r="P14" s="43">
        <v>9</v>
      </c>
      <c r="Q14" s="42">
        <v>5</v>
      </c>
      <c r="S14" s="43">
        <v>9</v>
      </c>
      <c r="T14" s="42">
        <v>5</v>
      </c>
      <c r="AB14" s="2"/>
    </row>
    <row r="15" spans="2:50" ht="18" thickBot="1" x14ac:dyDescent="0.35">
      <c r="B15" s="9">
        <v>2027</v>
      </c>
      <c r="F15" s="116" t="s">
        <v>235</v>
      </c>
      <c r="H15" s="173" t="s">
        <v>599</v>
      </c>
      <c r="M15" s="51">
        <v>11</v>
      </c>
      <c r="N15" s="52">
        <v>13</v>
      </c>
      <c r="P15" s="41">
        <v>10</v>
      </c>
      <c r="Q15" s="42">
        <v>5</v>
      </c>
      <c r="S15" s="41">
        <v>10</v>
      </c>
      <c r="T15" s="42">
        <v>5</v>
      </c>
    </row>
    <row r="16" spans="2:50" ht="21.6" thickBot="1" x14ac:dyDescent="0.3">
      <c r="B16" s="15" t="s">
        <v>242</v>
      </c>
      <c r="F16" s="116" t="s">
        <v>155</v>
      </c>
      <c r="H16" s="173" t="s">
        <v>104</v>
      </c>
      <c r="P16" s="41">
        <v>11</v>
      </c>
      <c r="Q16" s="42">
        <v>5</v>
      </c>
      <c r="S16" s="41">
        <v>11</v>
      </c>
      <c r="T16" s="42">
        <v>5</v>
      </c>
      <c r="AB16" s="6" t="s">
        <v>600</v>
      </c>
    </row>
    <row r="17" spans="2:28" ht="17.399999999999999" x14ac:dyDescent="0.25">
      <c r="F17" s="116" t="s">
        <v>271</v>
      </c>
      <c r="H17" s="22" t="s">
        <v>156</v>
      </c>
      <c r="P17" s="43">
        <v>12</v>
      </c>
      <c r="Q17" s="42">
        <v>5</v>
      </c>
      <c r="S17" s="43">
        <v>12</v>
      </c>
      <c r="T17" s="42">
        <v>5</v>
      </c>
      <c r="AB17" s="22" t="str">
        <f>InputTable[[#Headers],[Impact on - CIAL]]</f>
        <v>Impact on - CIAL</v>
      </c>
    </row>
    <row r="18" spans="2:28" ht="18" thickBot="1" x14ac:dyDescent="0.3">
      <c r="F18" s="117" t="s">
        <v>134</v>
      </c>
      <c r="H18" s="23"/>
      <c r="P18" s="41">
        <v>13</v>
      </c>
      <c r="Q18" s="42">
        <v>8</v>
      </c>
      <c r="S18" s="41">
        <v>13</v>
      </c>
      <c r="T18" s="42">
        <v>8</v>
      </c>
      <c r="AB18" s="22" t="str">
        <f>InputTable[[#Headers],[Impact on - COM]]</f>
        <v>Impact on - COM</v>
      </c>
    </row>
    <row r="19" spans="2:28" ht="17.399999999999999" x14ac:dyDescent="0.25">
      <c r="B19" s="147" t="s">
        <v>216</v>
      </c>
      <c r="P19" s="41">
        <v>14</v>
      </c>
      <c r="Q19" s="42">
        <v>8</v>
      </c>
      <c r="S19" s="41">
        <v>14</v>
      </c>
      <c r="T19" s="42">
        <v>8</v>
      </c>
      <c r="AB19" s="22" t="str">
        <f>InputTable[[#Headers],[Impact on - FIN]]</f>
        <v>Impact on - FIN</v>
      </c>
    </row>
    <row r="20" spans="2:28" ht="17.399999999999999" x14ac:dyDescent="0.25">
      <c r="B20" s="211" t="s">
        <v>209</v>
      </c>
      <c r="F20" s="120" t="s">
        <v>601</v>
      </c>
      <c r="P20" s="43">
        <v>15</v>
      </c>
      <c r="Q20" s="42">
        <v>8</v>
      </c>
      <c r="S20" s="43">
        <v>15</v>
      </c>
      <c r="T20" s="42">
        <v>8</v>
      </c>
      <c r="AB20" s="22" t="str">
        <f>InputTable[[#Headers],[Impact on - GEN SEC]]</f>
        <v>Impact on - GEN SEC</v>
      </c>
    </row>
    <row r="21" spans="2:28" ht="18" thickBot="1" x14ac:dyDescent="0.3">
      <c r="B21" s="148"/>
      <c r="F21" s="121" t="s">
        <v>96</v>
      </c>
      <c r="P21" s="41">
        <v>16</v>
      </c>
      <c r="Q21" s="42">
        <v>8</v>
      </c>
      <c r="S21" s="41">
        <v>16</v>
      </c>
      <c r="T21" s="42">
        <v>8</v>
      </c>
      <c r="AB21" s="22" t="str">
        <f>InputTable[[#Headers],[Impact on - HR]]</f>
        <v>Impact on - HR</v>
      </c>
    </row>
    <row r="22" spans="2:28" ht="17.399999999999999" x14ac:dyDescent="0.25">
      <c r="F22" s="116" t="s">
        <v>602</v>
      </c>
      <c r="P22" s="41">
        <v>17</v>
      </c>
      <c r="Q22" s="42">
        <v>8</v>
      </c>
      <c r="S22" s="41">
        <v>17</v>
      </c>
      <c r="T22" s="42">
        <v>8</v>
      </c>
      <c r="AB22" s="22" t="str">
        <f>InputTable[[#Headers],[Impact on - IS]]</f>
        <v>Impact on - IS</v>
      </c>
    </row>
    <row r="23" spans="2:28" ht="17.399999999999999" x14ac:dyDescent="0.25">
      <c r="F23" s="116" t="s">
        <v>241</v>
      </c>
      <c r="P23" s="43">
        <v>18</v>
      </c>
      <c r="Q23" s="42">
        <v>8</v>
      </c>
      <c r="S23" s="43">
        <v>18</v>
      </c>
      <c r="T23" s="42">
        <v>8</v>
      </c>
      <c r="AB23" s="22" t="str">
        <f>InputTable[[#Headers],[Impact on - OPS]]</f>
        <v>Impact on - OPS</v>
      </c>
    </row>
    <row r="24" spans="2:28" ht="17.399999999999999" x14ac:dyDescent="0.25">
      <c r="F24" s="116" t="s">
        <v>184</v>
      </c>
      <c r="P24" s="41">
        <v>19</v>
      </c>
      <c r="Q24" s="42">
        <v>8</v>
      </c>
      <c r="S24" s="41">
        <v>19</v>
      </c>
      <c r="T24" s="42">
        <v>8</v>
      </c>
      <c r="AB24" s="22" t="str">
        <f>InputTable[[#Headers],[Impact on - ROLL STOCK]]</f>
        <v>Impact on - ROLL STOCK</v>
      </c>
    </row>
    <row r="25" spans="2:28" ht="17.399999999999999" x14ac:dyDescent="0.25">
      <c r="F25" s="116" t="s">
        <v>16</v>
      </c>
      <c r="P25" s="41">
        <v>20</v>
      </c>
      <c r="Q25" s="42">
        <v>8</v>
      </c>
      <c r="S25" s="41">
        <v>20</v>
      </c>
      <c r="T25" s="42">
        <v>8</v>
      </c>
      <c r="AB25" s="22" t="str">
        <f>InputTable[[#Headers],[Impact on - SAFETY]]</f>
        <v>Impact on - SAFETY</v>
      </c>
    </row>
    <row r="26" spans="2:28" ht="17.399999999999999" x14ac:dyDescent="0.25">
      <c r="F26" s="116" t="s">
        <v>24</v>
      </c>
      <c r="P26" s="43">
        <v>21</v>
      </c>
      <c r="Q26" s="42">
        <v>13</v>
      </c>
      <c r="S26" s="43">
        <v>21</v>
      </c>
      <c r="T26" s="42">
        <v>13</v>
      </c>
      <c r="AB26" s="22" t="str">
        <f>InputTable[[#Headers],[Impact on - STATION]]</f>
        <v>Impact on - STATION</v>
      </c>
    </row>
    <row r="27" spans="2:28" ht="18" thickBot="1" x14ac:dyDescent="0.3">
      <c r="F27" s="116" t="s">
        <v>61</v>
      </c>
      <c r="P27" s="41">
        <v>22</v>
      </c>
      <c r="Q27" s="42">
        <v>13</v>
      </c>
      <c r="S27" s="41">
        <v>22</v>
      </c>
      <c r="T27" s="42">
        <v>13</v>
      </c>
      <c r="AB27" s="23" t="str">
        <f>InputTable[[#Headers],[Impact on - STRAT]]</f>
        <v>Impact on - STRAT</v>
      </c>
    </row>
    <row r="28" spans="2:28" ht="17.399999999999999" x14ac:dyDescent="0.25">
      <c r="F28" s="116" t="s">
        <v>197</v>
      </c>
      <c r="P28" s="41">
        <v>23</v>
      </c>
      <c r="Q28" s="42">
        <v>13</v>
      </c>
      <c r="S28" s="41">
        <v>23</v>
      </c>
      <c r="T28" s="42">
        <v>13</v>
      </c>
    </row>
    <row r="29" spans="2:28" ht="17.399999999999999" x14ac:dyDescent="0.25">
      <c r="F29" s="116" t="s">
        <v>603</v>
      </c>
      <c r="P29" s="43">
        <v>24</v>
      </c>
      <c r="Q29" s="42">
        <v>13</v>
      </c>
      <c r="S29" s="43">
        <v>24</v>
      </c>
      <c r="T29" s="42">
        <v>13</v>
      </c>
    </row>
    <row r="30" spans="2:28" ht="17.399999999999999" x14ac:dyDescent="0.25">
      <c r="F30" s="116" t="s">
        <v>159</v>
      </c>
      <c r="P30" s="41">
        <v>25</v>
      </c>
      <c r="Q30" s="42">
        <v>13</v>
      </c>
      <c r="S30" s="41">
        <v>25</v>
      </c>
      <c r="T30" s="42">
        <v>13</v>
      </c>
    </row>
    <row r="31" spans="2:28" ht="17.399999999999999" x14ac:dyDescent="0.25">
      <c r="F31" s="117" t="s">
        <v>357</v>
      </c>
      <c r="P31" s="41">
        <v>26</v>
      </c>
      <c r="Q31" s="42">
        <v>13</v>
      </c>
      <c r="S31" s="41">
        <v>26</v>
      </c>
      <c r="T31" s="42">
        <v>13</v>
      </c>
    </row>
    <row r="32" spans="2:28" ht="17.399999999999999" x14ac:dyDescent="0.25">
      <c r="P32" s="43">
        <v>27</v>
      </c>
      <c r="Q32" s="42">
        <v>13</v>
      </c>
      <c r="S32" s="43">
        <v>27</v>
      </c>
      <c r="T32" s="42">
        <v>13</v>
      </c>
      <c r="AB32" s="2"/>
    </row>
    <row r="33" spans="2:28" ht="17.399999999999999" x14ac:dyDescent="0.25">
      <c r="P33" s="41">
        <v>28</v>
      </c>
      <c r="Q33" s="42">
        <v>13</v>
      </c>
      <c r="S33" s="41">
        <v>28</v>
      </c>
      <c r="T33" s="42">
        <v>13</v>
      </c>
      <c r="AB33" s="2"/>
    </row>
    <row r="34" spans="2:28" ht="17.399999999999999" x14ac:dyDescent="0.25">
      <c r="P34" s="41">
        <v>29</v>
      </c>
      <c r="Q34" s="42">
        <v>13</v>
      </c>
      <c r="S34" s="41">
        <v>29</v>
      </c>
      <c r="T34" s="42">
        <v>13</v>
      </c>
      <c r="AB34" s="2"/>
    </row>
    <row r="35" spans="2:28" ht="17.399999999999999" x14ac:dyDescent="0.25">
      <c r="P35" s="43">
        <v>30</v>
      </c>
      <c r="Q35" s="42">
        <v>13</v>
      </c>
      <c r="S35" s="43">
        <v>30</v>
      </c>
      <c r="T35" s="42">
        <v>13</v>
      </c>
      <c r="AB35" s="2"/>
    </row>
    <row r="36" spans="2:28" ht="17.399999999999999" x14ac:dyDescent="0.25">
      <c r="P36" s="41">
        <v>31</v>
      </c>
      <c r="Q36" s="42">
        <v>13</v>
      </c>
      <c r="S36" s="41">
        <v>31</v>
      </c>
      <c r="T36" s="42">
        <v>13</v>
      </c>
    </row>
    <row r="37" spans="2:28" ht="17.399999999999999" x14ac:dyDescent="0.25">
      <c r="P37" s="41">
        <v>32</v>
      </c>
      <c r="Q37" s="42">
        <v>13</v>
      </c>
      <c r="S37" s="41">
        <v>32</v>
      </c>
      <c r="T37" s="42">
        <v>13</v>
      </c>
    </row>
    <row r="38" spans="2:28" ht="17.399999999999999" x14ac:dyDescent="0.25">
      <c r="P38" s="43">
        <v>33</v>
      </c>
      <c r="Q38" s="42">
        <v>13</v>
      </c>
      <c r="S38" s="43">
        <v>33</v>
      </c>
      <c r="T38" s="42">
        <v>13</v>
      </c>
    </row>
    <row r="39" spans="2:28" ht="18" thickBot="1" x14ac:dyDescent="0.3">
      <c r="P39" s="41">
        <v>34</v>
      </c>
      <c r="Q39" s="42">
        <v>13</v>
      </c>
      <c r="S39" s="41">
        <v>34</v>
      </c>
      <c r="T39" s="42">
        <v>13</v>
      </c>
    </row>
    <row r="40" spans="2:28" ht="16.350000000000001" customHeight="1" x14ac:dyDescent="0.25">
      <c r="C40" s="29"/>
      <c r="D40" s="28" t="s">
        <v>334</v>
      </c>
      <c r="E40" s="29"/>
      <c r="F40" s="29" t="str">
        <f t="shared" ref="F40:F83" si="0">B44&amp; " - " &amp;D40</f>
        <v>Already Started - Q4 2024</v>
      </c>
      <c r="G40" s="29" t="s">
        <v>519</v>
      </c>
      <c r="P40" s="43">
        <v>35</v>
      </c>
      <c r="Q40" s="42">
        <v>13</v>
      </c>
      <c r="S40" s="43">
        <v>35</v>
      </c>
      <c r="T40" s="42">
        <v>13</v>
      </c>
    </row>
    <row r="41" spans="2:28" ht="16.350000000000001" customHeight="1" thickBot="1" x14ac:dyDescent="0.3">
      <c r="D41" s="9" t="s">
        <v>531</v>
      </c>
      <c r="F41" t="str">
        <f t="shared" si="0"/>
        <v>Already Started - Q1 2025</v>
      </c>
      <c r="G41" t="s">
        <v>532</v>
      </c>
      <c r="P41" s="41">
        <v>36</v>
      </c>
      <c r="Q41" s="42">
        <v>13</v>
      </c>
      <c r="S41" s="41">
        <v>36</v>
      </c>
      <c r="T41" s="42">
        <v>13</v>
      </c>
    </row>
    <row r="42" spans="2:28" ht="17.399999999999999" x14ac:dyDescent="0.25">
      <c r="D42" s="9" t="s">
        <v>544</v>
      </c>
      <c r="F42" t="str">
        <f t="shared" si="0"/>
        <v>Already Started - Q2 2025</v>
      </c>
      <c r="G42" t="s">
        <v>545</v>
      </c>
      <c r="H42" s="30">
        <f t="shared" ref="H42:H85" si="1">VLOOKUP(G40,$J$5:$K$10,2,FALSE)</f>
        <v>1</v>
      </c>
      <c r="P42" s="43">
        <v>37</v>
      </c>
      <c r="Q42" s="42">
        <v>13</v>
      </c>
      <c r="S42" s="43">
        <v>37</v>
      </c>
      <c r="T42" s="42">
        <v>13</v>
      </c>
    </row>
    <row r="43" spans="2:28" ht="18" thickBot="1" x14ac:dyDescent="0.3">
      <c r="D43" s="9" t="s">
        <v>556</v>
      </c>
      <c r="F43" t="str">
        <f t="shared" si="0"/>
        <v>Already Started - Q3 2025</v>
      </c>
      <c r="G43" t="s">
        <v>557</v>
      </c>
      <c r="H43" s="31">
        <f t="shared" si="1"/>
        <v>2</v>
      </c>
      <c r="P43" s="41">
        <v>38</v>
      </c>
      <c r="Q43" s="42">
        <v>13</v>
      </c>
      <c r="S43" s="41">
        <v>38</v>
      </c>
      <c r="T43" s="42">
        <v>13</v>
      </c>
    </row>
    <row r="44" spans="2:28" ht="17.399999999999999" x14ac:dyDescent="0.25">
      <c r="B44" s="28" t="s">
        <v>604</v>
      </c>
      <c r="D44" s="9" t="s">
        <v>123</v>
      </c>
      <c r="F44" t="str">
        <f t="shared" si="0"/>
        <v>Already Started - Q4 2025</v>
      </c>
      <c r="G44" t="s">
        <v>568</v>
      </c>
      <c r="H44" s="31">
        <f t="shared" si="1"/>
        <v>3</v>
      </c>
      <c r="P44" s="43">
        <v>39</v>
      </c>
      <c r="Q44" s="42">
        <v>13</v>
      </c>
      <c r="S44" s="43">
        <v>39</v>
      </c>
      <c r="T44" s="42">
        <v>13</v>
      </c>
    </row>
    <row r="45" spans="2:28" ht="17.399999999999999" x14ac:dyDescent="0.25">
      <c r="B45" s="9" t="s">
        <v>604</v>
      </c>
      <c r="D45" s="9">
        <v>2026</v>
      </c>
      <c r="F45" t="str">
        <f t="shared" si="0"/>
        <v>Already Started - 2026</v>
      </c>
      <c r="G45" t="s">
        <v>568</v>
      </c>
      <c r="H45" s="31">
        <f t="shared" si="1"/>
        <v>5</v>
      </c>
      <c r="P45" s="41">
        <v>40</v>
      </c>
      <c r="Q45" s="42">
        <v>13</v>
      </c>
      <c r="S45" s="41">
        <v>40</v>
      </c>
      <c r="T45" s="42">
        <v>13</v>
      </c>
    </row>
    <row r="46" spans="2:28" ht="17.399999999999999" x14ac:dyDescent="0.25">
      <c r="B46" s="9" t="s">
        <v>604</v>
      </c>
      <c r="D46" s="9">
        <v>2027</v>
      </c>
      <c r="F46" t="str">
        <f t="shared" si="0"/>
        <v>Already Started - 2027</v>
      </c>
      <c r="G46" t="s">
        <v>577</v>
      </c>
      <c r="H46" s="31">
        <f t="shared" si="1"/>
        <v>8</v>
      </c>
      <c r="P46" s="43">
        <v>41</v>
      </c>
      <c r="Q46" s="42">
        <v>13</v>
      </c>
      <c r="S46" s="43">
        <v>41</v>
      </c>
      <c r="T46" s="42">
        <v>13</v>
      </c>
    </row>
    <row r="47" spans="2:28" ht="18" thickBot="1" x14ac:dyDescent="0.3">
      <c r="B47" s="9" t="s">
        <v>604</v>
      </c>
      <c r="D47" s="15" t="s">
        <v>242</v>
      </c>
      <c r="F47" t="str">
        <f t="shared" si="0"/>
        <v>Already Started - 2028 +</v>
      </c>
      <c r="G47" t="s">
        <v>577</v>
      </c>
      <c r="H47" s="31">
        <f t="shared" si="1"/>
        <v>8</v>
      </c>
      <c r="P47" s="41">
        <v>42</v>
      </c>
      <c r="Q47" s="42">
        <v>13</v>
      </c>
      <c r="S47" s="41">
        <v>42</v>
      </c>
      <c r="T47" s="42">
        <v>13</v>
      </c>
    </row>
    <row r="48" spans="2:28" ht="17.399999999999999" x14ac:dyDescent="0.25">
      <c r="B48" s="9" t="s">
        <v>604</v>
      </c>
      <c r="D48" s="9" t="s">
        <v>334</v>
      </c>
      <c r="F48" t="str">
        <f t="shared" si="0"/>
        <v>Q4 2024 - Q4 2024</v>
      </c>
      <c r="G48" t="s">
        <v>519</v>
      </c>
      <c r="H48" s="31">
        <f t="shared" si="1"/>
        <v>13</v>
      </c>
      <c r="P48" s="43">
        <v>43</v>
      </c>
      <c r="Q48" s="42">
        <v>13</v>
      </c>
      <c r="S48" s="43">
        <v>43</v>
      </c>
      <c r="T48" s="42">
        <v>13</v>
      </c>
    </row>
    <row r="49" spans="2:20" ht="17.399999999999999" x14ac:dyDescent="0.25">
      <c r="B49" s="9" t="s">
        <v>604</v>
      </c>
      <c r="D49" s="9" t="s">
        <v>531</v>
      </c>
      <c r="F49" t="str">
        <f t="shared" si="0"/>
        <v>Q4 2024 - Q1 2025</v>
      </c>
      <c r="G49" t="s">
        <v>532</v>
      </c>
      <c r="H49" s="31">
        <f t="shared" si="1"/>
        <v>13</v>
      </c>
      <c r="P49" s="41">
        <v>44</v>
      </c>
      <c r="Q49" s="42">
        <v>13</v>
      </c>
      <c r="S49" s="41">
        <v>44</v>
      </c>
      <c r="T49" s="42">
        <v>13</v>
      </c>
    </row>
    <row r="50" spans="2:20" ht="17.399999999999999" x14ac:dyDescent="0.25">
      <c r="B50" s="9" t="s">
        <v>604</v>
      </c>
      <c r="D50" s="9" t="s">
        <v>544</v>
      </c>
      <c r="F50" t="str">
        <f t="shared" si="0"/>
        <v>Q4 2024 - Q2 2025</v>
      </c>
      <c r="G50" t="s">
        <v>545</v>
      </c>
      <c r="H50" s="31">
        <f t="shared" si="1"/>
        <v>1</v>
      </c>
      <c r="P50" s="43">
        <v>45</v>
      </c>
      <c r="Q50" s="42">
        <v>13</v>
      </c>
      <c r="S50" s="43">
        <v>45</v>
      </c>
      <c r="T50" s="42">
        <v>13</v>
      </c>
    </row>
    <row r="51" spans="2:20" ht="17.399999999999999" x14ac:dyDescent="0.25">
      <c r="B51" s="9" t="s">
        <v>604</v>
      </c>
      <c r="D51" s="9" t="s">
        <v>556</v>
      </c>
      <c r="F51" t="str">
        <f t="shared" si="0"/>
        <v>Q4 2024 - Q3 2025</v>
      </c>
      <c r="G51" t="s">
        <v>545</v>
      </c>
      <c r="H51" s="31">
        <f t="shared" si="1"/>
        <v>2</v>
      </c>
      <c r="P51" s="41">
        <v>46</v>
      </c>
      <c r="Q51" s="42">
        <v>13</v>
      </c>
      <c r="S51" s="41">
        <v>46</v>
      </c>
      <c r="T51" s="42">
        <v>13</v>
      </c>
    </row>
    <row r="52" spans="2:20" ht="17.399999999999999" x14ac:dyDescent="0.25">
      <c r="B52" s="9" t="s">
        <v>334</v>
      </c>
      <c r="D52" s="9" t="s">
        <v>123</v>
      </c>
      <c r="F52" t="str">
        <f t="shared" si="0"/>
        <v>Q4 2024 - Q4 2025</v>
      </c>
      <c r="G52" t="s">
        <v>557</v>
      </c>
      <c r="H52" s="31">
        <f t="shared" si="1"/>
        <v>3</v>
      </c>
      <c r="P52" s="43">
        <v>47</v>
      </c>
      <c r="Q52" s="42">
        <v>13</v>
      </c>
      <c r="S52" s="43">
        <v>47</v>
      </c>
      <c r="T52" s="42">
        <v>13</v>
      </c>
    </row>
    <row r="53" spans="2:20" ht="17.399999999999999" x14ac:dyDescent="0.25">
      <c r="B53" s="9" t="s">
        <v>334</v>
      </c>
      <c r="D53" s="9">
        <v>2026</v>
      </c>
      <c r="F53" t="str">
        <f t="shared" si="0"/>
        <v>Q4 2024 - 2026</v>
      </c>
      <c r="G53" t="s">
        <v>568</v>
      </c>
      <c r="H53" s="31">
        <f t="shared" si="1"/>
        <v>3</v>
      </c>
      <c r="P53" s="41">
        <v>48</v>
      </c>
      <c r="Q53" s="42">
        <v>13</v>
      </c>
      <c r="S53" s="41">
        <v>48</v>
      </c>
      <c r="T53" s="42">
        <v>13</v>
      </c>
    </row>
    <row r="54" spans="2:20" ht="17.399999999999999" x14ac:dyDescent="0.25">
      <c r="B54" s="9" t="s">
        <v>334</v>
      </c>
      <c r="D54" s="9">
        <v>2027</v>
      </c>
      <c r="F54" t="str">
        <f t="shared" si="0"/>
        <v>Q4 2024 - 2027</v>
      </c>
      <c r="G54" t="s">
        <v>568</v>
      </c>
      <c r="H54" s="31">
        <f t="shared" si="1"/>
        <v>5</v>
      </c>
      <c r="P54" s="43">
        <v>49</v>
      </c>
      <c r="Q54" s="42">
        <v>13</v>
      </c>
      <c r="S54" s="43">
        <v>49</v>
      </c>
      <c r="T54" s="42">
        <v>13</v>
      </c>
    </row>
    <row r="55" spans="2:20" ht="18" thickBot="1" x14ac:dyDescent="0.3">
      <c r="B55" s="9" t="s">
        <v>334</v>
      </c>
      <c r="D55" s="15" t="s">
        <v>242</v>
      </c>
      <c r="F55" t="str">
        <f t="shared" si="0"/>
        <v>Q4 2024 - 2028 +</v>
      </c>
      <c r="G55" t="s">
        <v>577</v>
      </c>
      <c r="H55" s="31">
        <f t="shared" si="1"/>
        <v>8</v>
      </c>
      <c r="P55" s="41">
        <v>50</v>
      </c>
      <c r="Q55" s="42">
        <v>13</v>
      </c>
      <c r="S55" s="41">
        <v>50</v>
      </c>
      <c r="T55" s="42">
        <v>13</v>
      </c>
    </row>
    <row r="56" spans="2:20" ht="17.399999999999999" x14ac:dyDescent="0.25">
      <c r="B56" s="9" t="s">
        <v>334</v>
      </c>
      <c r="D56" s="9" t="s">
        <v>531</v>
      </c>
      <c r="F56" t="str">
        <f t="shared" si="0"/>
        <v>Q1 2025 - Q1 2025</v>
      </c>
      <c r="G56" t="s">
        <v>519</v>
      </c>
      <c r="H56" s="31">
        <f t="shared" si="1"/>
        <v>8</v>
      </c>
      <c r="P56" s="43">
        <v>51</v>
      </c>
      <c r="Q56" s="42">
        <v>13</v>
      </c>
      <c r="S56" s="43">
        <v>51</v>
      </c>
      <c r="T56" s="42">
        <v>13</v>
      </c>
    </row>
    <row r="57" spans="2:20" ht="17.399999999999999" x14ac:dyDescent="0.25">
      <c r="B57" s="9" t="s">
        <v>334</v>
      </c>
      <c r="D57" s="9" t="s">
        <v>544</v>
      </c>
      <c r="F57" t="str">
        <f t="shared" si="0"/>
        <v>Q1 2025 - Q2 2025</v>
      </c>
      <c r="G57" t="s">
        <v>532</v>
      </c>
      <c r="H57" s="31">
        <f t="shared" si="1"/>
        <v>13</v>
      </c>
      <c r="P57" s="41">
        <v>52</v>
      </c>
      <c r="Q57" s="42">
        <v>13</v>
      </c>
      <c r="S57" s="41">
        <v>52</v>
      </c>
      <c r="T57" s="42">
        <v>13</v>
      </c>
    </row>
    <row r="58" spans="2:20" ht="17.399999999999999" x14ac:dyDescent="0.25">
      <c r="B58" s="9" t="s">
        <v>334</v>
      </c>
      <c r="D58" s="9" t="s">
        <v>556</v>
      </c>
      <c r="F58" t="str">
        <f t="shared" si="0"/>
        <v>Q1 2025 - Q3 2025</v>
      </c>
      <c r="G58" t="s">
        <v>545</v>
      </c>
      <c r="H58" s="31">
        <f t="shared" si="1"/>
        <v>1</v>
      </c>
      <c r="P58" s="43">
        <v>53</v>
      </c>
      <c r="Q58" s="42">
        <v>13</v>
      </c>
      <c r="S58" s="43">
        <v>53</v>
      </c>
      <c r="T58" s="42">
        <v>13</v>
      </c>
    </row>
    <row r="59" spans="2:20" ht="17.399999999999999" x14ac:dyDescent="0.25">
      <c r="B59" s="9" t="s">
        <v>334</v>
      </c>
      <c r="D59" s="9" t="s">
        <v>123</v>
      </c>
      <c r="F59" t="str">
        <f t="shared" si="0"/>
        <v>Q1 2025 - Q4 2025</v>
      </c>
      <c r="G59" t="s">
        <v>545</v>
      </c>
      <c r="H59" s="31">
        <f t="shared" si="1"/>
        <v>2</v>
      </c>
      <c r="P59" s="41">
        <v>54</v>
      </c>
      <c r="Q59" s="42">
        <v>13</v>
      </c>
      <c r="S59" s="41">
        <v>54</v>
      </c>
      <c r="T59" s="42">
        <v>13</v>
      </c>
    </row>
    <row r="60" spans="2:20" ht="17.399999999999999" x14ac:dyDescent="0.25">
      <c r="B60" s="9" t="s">
        <v>531</v>
      </c>
      <c r="D60" s="9">
        <v>2026</v>
      </c>
      <c r="F60" t="str">
        <f t="shared" si="0"/>
        <v>Q1 2025 - 2026</v>
      </c>
      <c r="G60" t="s">
        <v>568</v>
      </c>
      <c r="H60" s="31">
        <f t="shared" si="1"/>
        <v>3</v>
      </c>
      <c r="P60" s="43">
        <v>55</v>
      </c>
      <c r="Q60" s="42">
        <v>13</v>
      </c>
      <c r="S60" s="43">
        <v>55</v>
      </c>
      <c r="T60" s="42">
        <v>13</v>
      </c>
    </row>
    <row r="61" spans="2:20" ht="17.399999999999999" x14ac:dyDescent="0.25">
      <c r="B61" s="9" t="s">
        <v>531</v>
      </c>
      <c r="D61" s="9">
        <v>2027</v>
      </c>
      <c r="F61" t="str">
        <f t="shared" si="0"/>
        <v>Q1 2025 - 2027</v>
      </c>
      <c r="G61" t="s">
        <v>577</v>
      </c>
      <c r="H61" s="31">
        <f t="shared" si="1"/>
        <v>3</v>
      </c>
      <c r="P61" s="41">
        <v>56</v>
      </c>
      <c r="Q61" s="42">
        <v>13</v>
      </c>
      <c r="S61" s="41">
        <v>56</v>
      </c>
      <c r="T61" s="42">
        <v>13</v>
      </c>
    </row>
    <row r="62" spans="2:20" ht="18" thickBot="1" x14ac:dyDescent="0.3">
      <c r="B62" s="9" t="s">
        <v>531</v>
      </c>
      <c r="D62" s="15" t="s">
        <v>242</v>
      </c>
      <c r="F62" t="str">
        <f t="shared" si="0"/>
        <v>Q1 2025 - 2028 +</v>
      </c>
      <c r="G62" t="s">
        <v>577</v>
      </c>
      <c r="H62" s="31">
        <f t="shared" si="1"/>
        <v>8</v>
      </c>
      <c r="P62" s="43">
        <v>57</v>
      </c>
      <c r="Q62" s="42">
        <v>13</v>
      </c>
      <c r="S62" s="43">
        <v>57</v>
      </c>
      <c r="T62" s="42">
        <v>13</v>
      </c>
    </row>
    <row r="63" spans="2:20" ht="17.399999999999999" x14ac:dyDescent="0.25">
      <c r="B63" s="9" t="s">
        <v>531</v>
      </c>
      <c r="D63" s="9" t="s">
        <v>544</v>
      </c>
      <c r="F63" t="str">
        <f t="shared" si="0"/>
        <v>Q2 2025 - Q2 2025</v>
      </c>
      <c r="G63" t="s">
        <v>519</v>
      </c>
      <c r="H63" s="31">
        <f t="shared" si="1"/>
        <v>13</v>
      </c>
      <c r="P63" s="41">
        <v>58</v>
      </c>
      <c r="Q63" s="42">
        <v>13</v>
      </c>
      <c r="S63" s="41">
        <v>58</v>
      </c>
      <c r="T63" s="42">
        <v>13</v>
      </c>
    </row>
    <row r="64" spans="2:20" ht="17.399999999999999" x14ac:dyDescent="0.25">
      <c r="B64" s="9" t="s">
        <v>531</v>
      </c>
      <c r="D64" s="9" t="s">
        <v>556</v>
      </c>
      <c r="F64" t="str">
        <f t="shared" si="0"/>
        <v>Q2 2025 - Q3 2025</v>
      </c>
      <c r="G64" t="s">
        <v>532</v>
      </c>
      <c r="H64" s="31">
        <f t="shared" si="1"/>
        <v>13</v>
      </c>
      <c r="P64" s="43">
        <v>59</v>
      </c>
      <c r="Q64" s="42">
        <v>13</v>
      </c>
      <c r="S64" s="43">
        <v>59</v>
      </c>
      <c r="T64" s="42">
        <v>13</v>
      </c>
    </row>
    <row r="65" spans="2:20" ht="17.399999999999999" x14ac:dyDescent="0.25">
      <c r="B65" s="9" t="s">
        <v>531</v>
      </c>
      <c r="D65" s="9" t="s">
        <v>123</v>
      </c>
      <c r="F65" t="str">
        <f t="shared" si="0"/>
        <v>Q2 2025 - Q4 2025</v>
      </c>
      <c r="G65" t="s">
        <v>545</v>
      </c>
      <c r="H65" s="31">
        <f t="shared" si="1"/>
        <v>1</v>
      </c>
      <c r="P65" s="41">
        <v>60</v>
      </c>
      <c r="Q65" s="42">
        <v>13</v>
      </c>
      <c r="S65" s="41">
        <v>60</v>
      </c>
      <c r="T65" s="42">
        <v>13</v>
      </c>
    </row>
    <row r="66" spans="2:20" ht="17.399999999999999" x14ac:dyDescent="0.25">
      <c r="B66" s="9" t="s">
        <v>531</v>
      </c>
      <c r="D66" s="9">
        <v>2026</v>
      </c>
      <c r="F66" t="str">
        <f t="shared" si="0"/>
        <v>Q2 2025 - 2026</v>
      </c>
      <c r="G66" s="32" t="s">
        <v>568</v>
      </c>
      <c r="H66" s="31">
        <f t="shared" si="1"/>
        <v>2</v>
      </c>
      <c r="P66" s="43">
        <v>61</v>
      </c>
      <c r="Q66" s="42">
        <v>13</v>
      </c>
      <c r="S66" s="43">
        <v>61</v>
      </c>
      <c r="T66" s="42">
        <v>13</v>
      </c>
    </row>
    <row r="67" spans="2:20" ht="17.399999999999999" x14ac:dyDescent="0.25">
      <c r="B67" s="9" t="s">
        <v>544</v>
      </c>
      <c r="D67" s="9">
        <v>2027</v>
      </c>
      <c r="F67" t="str">
        <f t="shared" si="0"/>
        <v>Q2 2025 - 2027</v>
      </c>
      <c r="G67" s="32" t="s">
        <v>568</v>
      </c>
      <c r="H67" s="31">
        <f t="shared" si="1"/>
        <v>3</v>
      </c>
      <c r="P67" s="41">
        <v>62</v>
      </c>
      <c r="Q67" s="42">
        <v>13</v>
      </c>
      <c r="S67" s="41">
        <v>62</v>
      </c>
      <c r="T67" s="42">
        <v>13</v>
      </c>
    </row>
    <row r="68" spans="2:20" ht="18" thickBot="1" x14ac:dyDescent="0.3">
      <c r="B68" s="9" t="s">
        <v>544</v>
      </c>
      <c r="D68" s="15" t="s">
        <v>242</v>
      </c>
      <c r="F68" t="str">
        <f t="shared" si="0"/>
        <v>Q2 2025 - 2028 +</v>
      </c>
      <c r="G68" t="s">
        <v>577</v>
      </c>
      <c r="H68" s="31">
        <f t="shared" si="1"/>
        <v>8</v>
      </c>
      <c r="P68" s="43">
        <v>63</v>
      </c>
      <c r="Q68" s="42">
        <v>13</v>
      </c>
      <c r="S68" s="43">
        <v>63</v>
      </c>
      <c r="T68" s="42">
        <v>13</v>
      </c>
    </row>
    <row r="69" spans="2:20" ht="17.399999999999999" x14ac:dyDescent="0.25">
      <c r="B69" s="9" t="s">
        <v>544</v>
      </c>
      <c r="D69" s="9" t="s">
        <v>556</v>
      </c>
      <c r="F69" t="str">
        <f t="shared" si="0"/>
        <v>Q3 2025 - Q3 2025</v>
      </c>
      <c r="G69" t="s">
        <v>519</v>
      </c>
      <c r="H69" s="31">
        <f t="shared" si="1"/>
        <v>8</v>
      </c>
      <c r="P69" s="41">
        <v>64</v>
      </c>
      <c r="Q69" s="42">
        <v>13</v>
      </c>
      <c r="S69" s="41">
        <v>64</v>
      </c>
      <c r="T69" s="42">
        <v>13</v>
      </c>
    </row>
    <row r="70" spans="2:20" ht="17.399999999999999" x14ac:dyDescent="0.25">
      <c r="B70" s="9" t="s">
        <v>544</v>
      </c>
      <c r="D70" s="9" t="s">
        <v>123</v>
      </c>
      <c r="F70" t="str">
        <f t="shared" si="0"/>
        <v>Q3 2025 - Q4 2025</v>
      </c>
      <c r="G70" t="s">
        <v>532</v>
      </c>
      <c r="H70" s="31">
        <f t="shared" si="1"/>
        <v>13</v>
      </c>
      <c r="P70" s="43">
        <v>65</v>
      </c>
      <c r="Q70" s="42">
        <v>13</v>
      </c>
      <c r="S70" s="43">
        <v>65</v>
      </c>
      <c r="T70" s="42">
        <v>13</v>
      </c>
    </row>
    <row r="71" spans="2:20" ht="17.399999999999999" x14ac:dyDescent="0.25">
      <c r="B71" s="9" t="s">
        <v>544</v>
      </c>
      <c r="D71" s="9">
        <v>2026</v>
      </c>
      <c r="F71" t="str">
        <f t="shared" si="0"/>
        <v>Q3 2025 - 2026</v>
      </c>
      <c r="G71" s="32" t="s">
        <v>545</v>
      </c>
      <c r="H71" s="31">
        <f t="shared" si="1"/>
        <v>1</v>
      </c>
      <c r="P71" s="41">
        <v>66</v>
      </c>
      <c r="Q71" s="42">
        <v>13</v>
      </c>
      <c r="S71" s="41">
        <v>66</v>
      </c>
      <c r="T71" s="42">
        <v>13</v>
      </c>
    </row>
    <row r="72" spans="2:20" ht="17.399999999999999" x14ac:dyDescent="0.25">
      <c r="B72" s="9" t="s">
        <v>544</v>
      </c>
      <c r="D72" s="9">
        <v>2027</v>
      </c>
      <c r="F72" t="str">
        <f t="shared" si="0"/>
        <v>Q3 2025 - 2027</v>
      </c>
      <c r="G72" s="32" t="s">
        <v>568</v>
      </c>
      <c r="H72" s="31">
        <f t="shared" si="1"/>
        <v>2</v>
      </c>
      <c r="P72" s="43">
        <v>67</v>
      </c>
      <c r="Q72" s="42">
        <v>13</v>
      </c>
      <c r="S72" s="43">
        <v>67</v>
      </c>
      <c r="T72" s="42">
        <v>13</v>
      </c>
    </row>
    <row r="73" spans="2:20" ht="18" thickBot="1" x14ac:dyDescent="0.3">
      <c r="B73" s="9" t="s">
        <v>556</v>
      </c>
      <c r="D73" s="15" t="s">
        <v>242</v>
      </c>
      <c r="F73" t="str">
        <f t="shared" si="0"/>
        <v>Q3 2025 - 2028 +</v>
      </c>
      <c r="G73" t="s">
        <v>577</v>
      </c>
      <c r="H73" s="31">
        <f t="shared" si="1"/>
        <v>3</v>
      </c>
      <c r="P73" s="41">
        <v>68</v>
      </c>
      <c r="Q73" s="42">
        <v>13</v>
      </c>
      <c r="S73" s="41">
        <v>68</v>
      </c>
      <c r="T73" s="42">
        <v>13</v>
      </c>
    </row>
    <row r="74" spans="2:20" ht="17.399999999999999" x14ac:dyDescent="0.25">
      <c r="B74" s="9" t="s">
        <v>556</v>
      </c>
      <c r="D74" s="9" t="s">
        <v>123</v>
      </c>
      <c r="F74" t="str">
        <f t="shared" si="0"/>
        <v>Q4 2025 - Q4 2025</v>
      </c>
      <c r="G74" t="s">
        <v>519</v>
      </c>
      <c r="H74" s="31">
        <f t="shared" si="1"/>
        <v>8</v>
      </c>
      <c r="P74" s="43">
        <v>69</v>
      </c>
      <c r="Q74" s="42">
        <v>13</v>
      </c>
      <c r="S74" s="43">
        <v>69</v>
      </c>
      <c r="T74" s="42">
        <v>13</v>
      </c>
    </row>
    <row r="75" spans="2:20" ht="17.399999999999999" x14ac:dyDescent="0.25">
      <c r="B75" s="9" t="s">
        <v>556</v>
      </c>
      <c r="D75" s="9">
        <v>2026</v>
      </c>
      <c r="F75" t="str">
        <f t="shared" si="0"/>
        <v>Q4 2025 - 2026</v>
      </c>
      <c r="G75" s="32" t="s">
        <v>545</v>
      </c>
      <c r="H75" s="31">
        <f t="shared" si="1"/>
        <v>13</v>
      </c>
      <c r="P75" s="41">
        <v>70</v>
      </c>
      <c r="Q75" s="42">
        <v>13</v>
      </c>
      <c r="S75" s="41">
        <v>70</v>
      </c>
      <c r="T75" s="42">
        <v>13</v>
      </c>
    </row>
    <row r="76" spans="2:20" ht="17.399999999999999" x14ac:dyDescent="0.25">
      <c r="B76" s="9" t="s">
        <v>556</v>
      </c>
      <c r="D76" s="9">
        <v>2027</v>
      </c>
      <c r="F76" t="str">
        <f t="shared" si="0"/>
        <v>Q4 2025 - 2027</v>
      </c>
      <c r="G76" t="s">
        <v>568</v>
      </c>
      <c r="H76" s="31">
        <f t="shared" si="1"/>
        <v>1</v>
      </c>
      <c r="P76" s="43">
        <v>71</v>
      </c>
      <c r="Q76" s="42">
        <v>13</v>
      </c>
      <c r="S76" s="43">
        <v>71</v>
      </c>
      <c r="T76" s="42">
        <v>13</v>
      </c>
    </row>
    <row r="77" spans="2:20" ht="18" thickBot="1" x14ac:dyDescent="0.3">
      <c r="B77" s="9" t="s">
        <v>556</v>
      </c>
      <c r="D77" s="15" t="s">
        <v>242</v>
      </c>
      <c r="F77" t="str">
        <f t="shared" si="0"/>
        <v>Q4 2025 - 2028 +</v>
      </c>
      <c r="G77" t="s">
        <v>577</v>
      </c>
      <c r="H77" s="31">
        <f t="shared" si="1"/>
        <v>3</v>
      </c>
      <c r="P77" s="41">
        <v>72</v>
      </c>
      <c r="Q77" s="42">
        <v>13</v>
      </c>
      <c r="S77" s="41">
        <v>72</v>
      </c>
      <c r="T77" s="42">
        <v>13</v>
      </c>
    </row>
    <row r="78" spans="2:20" ht="17.399999999999999" x14ac:dyDescent="0.25">
      <c r="B78" s="9" t="s">
        <v>123</v>
      </c>
      <c r="D78" s="9">
        <v>2026</v>
      </c>
      <c r="F78" t="str">
        <f t="shared" si="0"/>
        <v>2026 - 2026</v>
      </c>
      <c r="G78" t="s">
        <v>568</v>
      </c>
      <c r="H78" s="31">
        <f t="shared" si="1"/>
        <v>8</v>
      </c>
      <c r="P78" s="43">
        <v>73</v>
      </c>
      <c r="Q78" s="42">
        <v>13</v>
      </c>
      <c r="S78" s="43">
        <v>73</v>
      </c>
      <c r="T78" s="42">
        <v>13</v>
      </c>
    </row>
    <row r="79" spans="2:20" ht="17.399999999999999" x14ac:dyDescent="0.25">
      <c r="B79" s="9" t="s">
        <v>123</v>
      </c>
      <c r="D79" s="9">
        <v>2027</v>
      </c>
      <c r="F79" t="str">
        <f t="shared" si="0"/>
        <v>2026 - 2027</v>
      </c>
      <c r="G79" t="s">
        <v>568</v>
      </c>
      <c r="H79" s="31">
        <f t="shared" si="1"/>
        <v>13</v>
      </c>
      <c r="P79" s="41">
        <v>74</v>
      </c>
      <c r="Q79" s="42">
        <v>13</v>
      </c>
      <c r="S79" s="41">
        <v>74</v>
      </c>
      <c r="T79" s="42">
        <v>13</v>
      </c>
    </row>
    <row r="80" spans="2:20" ht="18" thickBot="1" x14ac:dyDescent="0.3">
      <c r="B80" s="9" t="s">
        <v>123</v>
      </c>
      <c r="D80" s="15" t="s">
        <v>242</v>
      </c>
      <c r="F80" t="str">
        <f t="shared" si="0"/>
        <v>2026 - 2028 +</v>
      </c>
      <c r="G80" t="s">
        <v>577</v>
      </c>
      <c r="H80" s="31">
        <f t="shared" si="1"/>
        <v>8</v>
      </c>
      <c r="P80" s="43">
        <v>75</v>
      </c>
      <c r="Q80" s="42">
        <v>13</v>
      </c>
      <c r="S80" s="43">
        <v>75</v>
      </c>
      <c r="T80" s="42">
        <v>13</v>
      </c>
    </row>
    <row r="81" spans="2:20" ht="17.399999999999999" x14ac:dyDescent="0.25">
      <c r="B81" s="9" t="s">
        <v>123</v>
      </c>
      <c r="D81" s="9">
        <v>2027</v>
      </c>
      <c r="F81" t="str">
        <f t="shared" si="0"/>
        <v>2027 - 2027</v>
      </c>
      <c r="G81" t="s">
        <v>568</v>
      </c>
      <c r="H81" s="31">
        <f t="shared" si="1"/>
        <v>8</v>
      </c>
      <c r="P81" s="41">
        <v>76</v>
      </c>
      <c r="Q81" s="42">
        <v>13</v>
      </c>
      <c r="S81" s="41">
        <v>76</v>
      </c>
      <c r="T81" s="42">
        <v>13</v>
      </c>
    </row>
    <row r="82" spans="2:20" ht="18" thickBot="1" x14ac:dyDescent="0.3">
      <c r="B82" s="9">
        <v>2026</v>
      </c>
      <c r="D82" s="15" t="s">
        <v>242</v>
      </c>
      <c r="F82" t="str">
        <f t="shared" si="0"/>
        <v>2027 - 2028 +</v>
      </c>
      <c r="G82" t="s">
        <v>568</v>
      </c>
      <c r="H82" s="31">
        <f t="shared" si="1"/>
        <v>13</v>
      </c>
      <c r="P82" s="43">
        <v>77</v>
      </c>
      <c r="Q82" s="42">
        <v>13</v>
      </c>
      <c r="S82" s="43">
        <v>77</v>
      </c>
      <c r="T82" s="42">
        <v>13</v>
      </c>
    </row>
    <row r="83" spans="2:20" ht="18" thickBot="1" x14ac:dyDescent="0.3">
      <c r="B83" s="9">
        <v>2026</v>
      </c>
      <c r="C83" s="33"/>
      <c r="D83" s="15" t="s">
        <v>242</v>
      </c>
      <c r="E83" s="33"/>
      <c r="F83" s="33" t="str">
        <f t="shared" si="0"/>
        <v>2028 + - 2028 +</v>
      </c>
      <c r="G83" s="33" t="s">
        <v>568</v>
      </c>
      <c r="H83" s="31">
        <f t="shared" si="1"/>
        <v>8</v>
      </c>
      <c r="P83" s="41">
        <v>78</v>
      </c>
      <c r="Q83" s="42">
        <v>13</v>
      </c>
      <c r="S83" s="41">
        <v>78</v>
      </c>
      <c r="T83" s="42">
        <v>13</v>
      </c>
    </row>
    <row r="84" spans="2:20" ht="17.399999999999999" x14ac:dyDescent="0.25">
      <c r="B84" s="9">
        <v>2026</v>
      </c>
      <c r="H84" s="31">
        <f t="shared" si="1"/>
        <v>8</v>
      </c>
      <c r="P84" s="43">
        <v>79</v>
      </c>
      <c r="Q84" s="42">
        <v>13</v>
      </c>
      <c r="S84" s="43">
        <v>79</v>
      </c>
      <c r="T84" s="42">
        <v>13</v>
      </c>
    </row>
    <row r="85" spans="2:20" ht="18" thickBot="1" x14ac:dyDescent="0.3">
      <c r="B85" s="9">
        <v>2027</v>
      </c>
      <c r="H85" s="34">
        <f t="shared" si="1"/>
        <v>8</v>
      </c>
      <c r="P85" s="41">
        <v>80</v>
      </c>
      <c r="Q85" s="42">
        <v>13</v>
      </c>
      <c r="S85" s="41">
        <v>80</v>
      </c>
      <c r="T85" s="42">
        <v>13</v>
      </c>
    </row>
    <row r="86" spans="2:20" ht="17.399999999999999" x14ac:dyDescent="0.25">
      <c r="B86" s="9">
        <v>2027</v>
      </c>
      <c r="P86" s="43">
        <v>81</v>
      </c>
      <c r="Q86" s="42">
        <v>13</v>
      </c>
      <c r="S86" s="43">
        <v>81</v>
      </c>
      <c r="T86" s="42">
        <v>13</v>
      </c>
    </row>
    <row r="87" spans="2:20" ht="18" thickBot="1" x14ac:dyDescent="0.3">
      <c r="B87" s="15" t="s">
        <v>242</v>
      </c>
      <c r="P87" s="41">
        <v>82</v>
      </c>
      <c r="Q87" s="42">
        <v>13</v>
      </c>
      <c r="S87" s="41">
        <v>82</v>
      </c>
      <c r="T87" s="42">
        <v>13</v>
      </c>
    </row>
    <row r="88" spans="2:20" ht="17.399999999999999" x14ac:dyDescent="0.25">
      <c r="P88" s="43">
        <v>83</v>
      </c>
      <c r="Q88" s="42">
        <v>13</v>
      </c>
      <c r="S88" s="43">
        <v>83</v>
      </c>
      <c r="T88" s="42">
        <v>13</v>
      </c>
    </row>
    <row r="89" spans="2:20" ht="17.399999999999999" x14ac:dyDescent="0.25">
      <c r="P89" s="41">
        <v>84</v>
      </c>
      <c r="Q89" s="42">
        <v>13</v>
      </c>
      <c r="S89" s="41">
        <v>84</v>
      </c>
      <c r="T89" s="42">
        <v>13</v>
      </c>
    </row>
    <row r="90" spans="2:20" ht="17.399999999999999" x14ac:dyDescent="0.25">
      <c r="P90" s="43">
        <v>85</v>
      </c>
      <c r="Q90" s="42">
        <v>13</v>
      </c>
      <c r="S90" s="43">
        <v>85</v>
      </c>
      <c r="T90" s="42">
        <v>13</v>
      </c>
    </row>
    <row r="91" spans="2:20" ht="17.399999999999999" x14ac:dyDescent="0.25">
      <c r="P91" s="41">
        <v>86</v>
      </c>
      <c r="Q91" s="42">
        <v>13</v>
      </c>
      <c r="S91" s="41">
        <v>86</v>
      </c>
      <c r="T91" s="42">
        <v>13</v>
      </c>
    </row>
    <row r="92" spans="2:20" ht="17.399999999999999" x14ac:dyDescent="0.25">
      <c r="P92" s="43">
        <v>87</v>
      </c>
      <c r="Q92" s="42">
        <v>13</v>
      </c>
      <c r="S92" s="43">
        <v>87</v>
      </c>
      <c r="T92" s="42">
        <v>13</v>
      </c>
    </row>
    <row r="93" spans="2:20" ht="17.399999999999999" x14ac:dyDescent="0.25">
      <c r="P93" s="41">
        <v>88</v>
      </c>
      <c r="Q93" s="42">
        <v>13</v>
      </c>
      <c r="S93" s="41">
        <v>88</v>
      </c>
      <c r="T93" s="42">
        <v>13</v>
      </c>
    </row>
    <row r="94" spans="2:20" ht="17.399999999999999" x14ac:dyDescent="0.25">
      <c r="P94" s="43">
        <v>89</v>
      </c>
      <c r="Q94" s="42">
        <v>13</v>
      </c>
      <c r="S94" s="43">
        <v>89</v>
      </c>
      <c r="T94" s="42">
        <v>13</v>
      </c>
    </row>
    <row r="95" spans="2:20" ht="17.399999999999999" x14ac:dyDescent="0.25">
      <c r="P95" s="41">
        <v>90</v>
      </c>
      <c r="Q95" s="42">
        <v>13</v>
      </c>
      <c r="S95" s="41">
        <v>90</v>
      </c>
      <c r="T95" s="42">
        <v>13</v>
      </c>
    </row>
    <row r="96" spans="2:20" ht="17.399999999999999" x14ac:dyDescent="0.25">
      <c r="P96" s="43">
        <v>91</v>
      </c>
      <c r="Q96" s="42">
        <v>13</v>
      </c>
      <c r="S96" s="43">
        <v>91</v>
      </c>
      <c r="T96" s="42">
        <v>13</v>
      </c>
    </row>
    <row r="97" spans="16:20" ht="17.399999999999999" x14ac:dyDescent="0.25">
      <c r="P97" s="41">
        <v>92</v>
      </c>
      <c r="Q97" s="42">
        <v>13</v>
      </c>
      <c r="S97" s="41">
        <v>92</v>
      </c>
      <c r="T97" s="42">
        <v>13</v>
      </c>
    </row>
    <row r="98" spans="16:20" ht="17.399999999999999" x14ac:dyDescent="0.25">
      <c r="P98" s="43">
        <v>93</v>
      </c>
      <c r="Q98" s="42">
        <v>13</v>
      </c>
      <c r="S98" s="43">
        <v>93</v>
      </c>
      <c r="T98" s="42">
        <v>13</v>
      </c>
    </row>
    <row r="99" spans="16:20" ht="17.399999999999999" x14ac:dyDescent="0.25">
      <c r="P99" s="41">
        <v>94</v>
      </c>
      <c r="Q99" s="42">
        <v>13</v>
      </c>
      <c r="S99" s="41">
        <v>94</v>
      </c>
      <c r="T99" s="42">
        <v>13</v>
      </c>
    </row>
    <row r="100" spans="16:20" ht="17.399999999999999" x14ac:dyDescent="0.25">
      <c r="P100" s="43">
        <v>95</v>
      </c>
      <c r="Q100" s="42">
        <v>13</v>
      </c>
      <c r="S100" s="43">
        <v>95</v>
      </c>
      <c r="T100" s="42">
        <v>13</v>
      </c>
    </row>
    <row r="101" spans="16:20" ht="17.399999999999999" x14ac:dyDescent="0.25">
      <c r="P101" s="41">
        <v>96</v>
      </c>
      <c r="Q101" s="42">
        <v>13</v>
      </c>
      <c r="S101" s="41">
        <v>96</v>
      </c>
      <c r="T101" s="42">
        <v>13</v>
      </c>
    </row>
    <row r="102" spans="16:20" ht="17.399999999999999" x14ac:dyDescent="0.25">
      <c r="P102" s="43">
        <v>97</v>
      </c>
      <c r="Q102" s="42">
        <v>13</v>
      </c>
      <c r="S102" s="43">
        <v>97</v>
      </c>
      <c r="T102" s="42">
        <v>13</v>
      </c>
    </row>
    <row r="103" spans="16:20" ht="17.399999999999999" x14ac:dyDescent="0.25">
      <c r="P103" s="41">
        <v>98</v>
      </c>
      <c r="Q103" s="42">
        <v>13</v>
      </c>
      <c r="S103" s="41">
        <v>98</v>
      </c>
      <c r="T103" s="42">
        <v>13</v>
      </c>
    </row>
    <row r="104" spans="16:20" ht="17.399999999999999" x14ac:dyDescent="0.25">
      <c r="P104" s="43">
        <v>99</v>
      </c>
      <c r="Q104" s="42">
        <v>13</v>
      </c>
      <c r="S104" s="43">
        <v>99</v>
      </c>
      <c r="T104" s="42">
        <v>13</v>
      </c>
    </row>
    <row r="105" spans="16:20" ht="17.399999999999999" x14ac:dyDescent="0.25">
      <c r="P105" s="41">
        <v>100</v>
      </c>
      <c r="Q105" s="42">
        <v>13</v>
      </c>
      <c r="S105" s="41">
        <v>100</v>
      </c>
      <c r="T105" s="42">
        <v>13</v>
      </c>
    </row>
    <row r="106" spans="16:20" ht="17.399999999999999" x14ac:dyDescent="0.25">
      <c r="P106" s="43">
        <v>101</v>
      </c>
      <c r="Q106" s="42">
        <v>13</v>
      </c>
      <c r="S106" s="43">
        <v>101</v>
      </c>
      <c r="T106" s="42">
        <v>13</v>
      </c>
    </row>
    <row r="107" spans="16:20" ht="17.399999999999999" x14ac:dyDescent="0.25">
      <c r="P107" s="41">
        <v>102</v>
      </c>
      <c r="Q107" s="42">
        <v>13</v>
      </c>
      <c r="S107" s="41">
        <v>102</v>
      </c>
      <c r="T107" s="42">
        <v>13</v>
      </c>
    </row>
    <row r="108" spans="16:20" ht="17.399999999999999" x14ac:dyDescent="0.25">
      <c r="P108" s="43">
        <v>103</v>
      </c>
      <c r="Q108" s="42">
        <v>13</v>
      </c>
      <c r="S108" s="43">
        <v>103</v>
      </c>
      <c r="T108" s="42">
        <v>13</v>
      </c>
    </row>
    <row r="109" spans="16:20" ht="17.399999999999999" x14ac:dyDescent="0.25">
      <c r="P109" s="41">
        <v>104</v>
      </c>
      <c r="Q109" s="42">
        <v>13</v>
      </c>
      <c r="S109" s="41">
        <v>104</v>
      </c>
      <c r="T109" s="42">
        <v>13</v>
      </c>
    </row>
    <row r="110" spans="16:20" ht="17.399999999999999" x14ac:dyDescent="0.25">
      <c r="P110" s="43">
        <v>105</v>
      </c>
      <c r="Q110" s="42">
        <v>13</v>
      </c>
      <c r="S110" s="43">
        <v>105</v>
      </c>
      <c r="T110" s="42">
        <v>13</v>
      </c>
    </row>
    <row r="111" spans="16:20" ht="17.399999999999999" x14ac:dyDescent="0.25">
      <c r="P111" s="41">
        <v>106</v>
      </c>
      <c r="Q111" s="42">
        <v>13</v>
      </c>
      <c r="S111" s="41">
        <v>106</v>
      </c>
      <c r="T111" s="42">
        <v>13</v>
      </c>
    </row>
    <row r="112" spans="16:20" ht="17.399999999999999" x14ac:dyDescent="0.25">
      <c r="P112" s="43">
        <v>107</v>
      </c>
      <c r="Q112" s="42">
        <v>13</v>
      </c>
      <c r="S112" s="43">
        <v>107</v>
      </c>
      <c r="T112" s="42">
        <v>13</v>
      </c>
    </row>
    <row r="113" spans="16:20" ht="17.399999999999999" x14ac:dyDescent="0.25">
      <c r="P113" s="41">
        <v>108</v>
      </c>
      <c r="Q113" s="42">
        <v>13</v>
      </c>
      <c r="S113" s="41">
        <v>108</v>
      </c>
      <c r="T113" s="42">
        <v>13</v>
      </c>
    </row>
    <row r="114" spans="16:20" ht="17.399999999999999" x14ac:dyDescent="0.25">
      <c r="P114" s="43">
        <v>109</v>
      </c>
      <c r="Q114" s="42">
        <v>13</v>
      </c>
      <c r="S114" s="43">
        <v>109</v>
      </c>
      <c r="T114" s="42">
        <v>13</v>
      </c>
    </row>
    <row r="115" spans="16:20" ht="18" thickBot="1" x14ac:dyDescent="0.3">
      <c r="P115" s="67">
        <v>110</v>
      </c>
      <c r="Q115" s="45">
        <v>13</v>
      </c>
      <c r="S115" s="67">
        <v>110</v>
      </c>
      <c r="T115" s="45">
        <v>13</v>
      </c>
    </row>
  </sheetData>
  <sortState xmlns:xlrd2="http://schemas.microsoft.com/office/spreadsheetml/2017/richdata2" ref="F21:F31">
    <sortCondition ref="F21:F31"/>
  </sortState>
  <phoneticPr fontId="17" type="noConversion"/>
  <dataValidations count="1">
    <dataValidation type="list" allowBlank="1" showInputMessage="1" showErrorMessage="1" sqref="G40:G83" xr:uid="{F20C8E93-E058-4427-A914-FCBE526301BB}">
      <formula1>$J$5:$J$10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AF4F-11C2-44A5-970E-4B503054B406}">
  <sheetPr>
    <tabColor theme="7" tint="0.79998168889431442"/>
  </sheetPr>
  <dimension ref="C4:R53"/>
  <sheetViews>
    <sheetView showGridLines="0" zoomScale="70" zoomScaleNormal="70" workbookViewId="0">
      <selection activeCell="W18" sqref="W18"/>
    </sheetView>
  </sheetViews>
  <sheetFormatPr defaultColWidth="9.09765625" defaultRowHeight="13.8" x14ac:dyDescent="0.25"/>
  <cols>
    <col min="5" max="5" width="9.5" customWidth="1"/>
  </cols>
  <sheetData>
    <row r="4" spans="3:18" x14ac:dyDescent="0.25">
      <c r="C4" s="130"/>
      <c r="D4" s="130"/>
      <c r="E4" s="130"/>
      <c r="F4" s="130"/>
      <c r="G4" s="130"/>
      <c r="H4" s="130"/>
      <c r="I4" s="130"/>
      <c r="J4" s="130"/>
      <c r="K4" s="129"/>
      <c r="L4" s="129"/>
      <c r="M4" s="129"/>
      <c r="N4" s="129"/>
      <c r="O4" s="129"/>
      <c r="P4" s="129"/>
      <c r="Q4" s="129"/>
      <c r="R4" s="129"/>
    </row>
    <row r="5" spans="3:18" x14ac:dyDescent="0.25">
      <c r="C5" s="130"/>
      <c r="D5" s="130"/>
      <c r="E5" s="130"/>
      <c r="F5" s="130"/>
      <c r="G5" s="130"/>
      <c r="H5" s="130"/>
      <c r="I5" s="130"/>
      <c r="J5" s="130"/>
      <c r="K5" s="129"/>
      <c r="L5" s="129"/>
      <c r="M5" s="129"/>
      <c r="N5" s="129"/>
      <c r="O5" s="129"/>
      <c r="P5" s="129"/>
      <c r="Q5" s="129"/>
      <c r="R5" s="129"/>
    </row>
    <row r="6" spans="3:18" x14ac:dyDescent="0.25">
      <c r="C6" s="130"/>
      <c r="D6" s="130"/>
      <c r="E6" s="130"/>
      <c r="F6" s="130"/>
      <c r="G6" s="130"/>
      <c r="H6" s="130"/>
      <c r="I6" s="130"/>
      <c r="J6" s="130"/>
      <c r="K6" s="129"/>
      <c r="L6" s="129"/>
      <c r="M6" s="129"/>
      <c r="N6" s="129"/>
      <c r="O6" s="129"/>
      <c r="P6" s="129"/>
      <c r="Q6" s="129"/>
      <c r="R6" s="129"/>
    </row>
    <row r="7" spans="3:18" x14ac:dyDescent="0.25">
      <c r="C7" s="130"/>
      <c r="D7" s="130"/>
      <c r="E7" s="130"/>
      <c r="F7" s="130"/>
      <c r="G7" s="130"/>
      <c r="H7" s="130"/>
      <c r="I7" s="130"/>
      <c r="J7" s="130"/>
      <c r="K7" s="129"/>
      <c r="L7" s="129"/>
      <c r="M7" s="129"/>
      <c r="N7" s="129"/>
      <c r="O7" s="129"/>
      <c r="P7" s="129"/>
      <c r="Q7" s="129"/>
      <c r="R7" s="129"/>
    </row>
    <row r="8" spans="3:18" x14ac:dyDescent="0.25">
      <c r="C8" s="130"/>
      <c r="D8" s="130"/>
      <c r="E8" s="130"/>
      <c r="F8" s="130"/>
      <c r="G8" s="130"/>
      <c r="H8" s="130"/>
      <c r="I8" s="130"/>
      <c r="J8" s="130"/>
      <c r="K8" s="129"/>
      <c r="L8" s="129"/>
      <c r="M8" s="129"/>
      <c r="N8" s="129"/>
      <c r="O8" s="129"/>
      <c r="P8" s="129"/>
      <c r="Q8" s="129"/>
      <c r="R8" s="129"/>
    </row>
    <row r="9" spans="3:18" x14ac:dyDescent="0.25">
      <c r="C9" s="130"/>
      <c r="D9" s="130"/>
      <c r="E9" s="130"/>
      <c r="F9" s="130"/>
      <c r="G9" s="130"/>
      <c r="H9" s="130"/>
      <c r="I9" s="130"/>
      <c r="J9" s="130"/>
      <c r="K9" s="129"/>
      <c r="L9" s="129"/>
      <c r="M9" s="129"/>
      <c r="N9" s="129"/>
      <c r="O9" s="129"/>
      <c r="P9" s="129"/>
      <c r="Q9" s="129"/>
      <c r="R9" s="129"/>
    </row>
    <row r="10" spans="3:18" x14ac:dyDescent="0.25">
      <c r="C10" s="130"/>
      <c r="D10" s="130"/>
      <c r="E10" s="130"/>
      <c r="F10" s="130"/>
      <c r="G10" s="130"/>
      <c r="H10" s="130"/>
      <c r="I10" s="130"/>
      <c r="J10" s="130"/>
      <c r="K10" s="129"/>
      <c r="L10" s="129"/>
      <c r="M10" s="129"/>
      <c r="N10" s="129"/>
      <c r="O10" s="129"/>
      <c r="P10" s="129"/>
      <c r="Q10" s="129"/>
      <c r="R10" s="129"/>
    </row>
    <row r="11" spans="3:18" x14ac:dyDescent="0.25">
      <c r="C11" s="130"/>
      <c r="D11" s="130"/>
      <c r="E11" s="130"/>
      <c r="F11" s="130"/>
      <c r="G11" s="130"/>
      <c r="H11" s="130"/>
      <c r="I11" s="130"/>
      <c r="J11" s="130"/>
      <c r="K11" s="129"/>
      <c r="L11" s="129"/>
      <c r="M11" s="129"/>
      <c r="N11" s="129"/>
      <c r="O11" s="129"/>
      <c r="P11" s="129"/>
      <c r="Q11" s="129"/>
      <c r="R11" s="129"/>
    </row>
    <row r="12" spans="3:18" x14ac:dyDescent="0.25">
      <c r="C12" s="130"/>
      <c r="D12" s="130"/>
      <c r="E12" s="130"/>
      <c r="F12" s="130"/>
      <c r="G12" s="130"/>
      <c r="H12" s="130"/>
      <c r="I12" s="130"/>
      <c r="J12" s="130"/>
      <c r="K12" s="129"/>
      <c r="L12" s="129"/>
      <c r="M12" s="129"/>
      <c r="N12" s="129"/>
      <c r="O12" s="129"/>
      <c r="P12" s="129"/>
      <c r="Q12" s="129"/>
      <c r="R12" s="129"/>
    </row>
    <row r="13" spans="3:18" x14ac:dyDescent="0.25">
      <c r="C13" s="130"/>
      <c r="D13" s="130"/>
      <c r="E13" s="130"/>
      <c r="F13" s="130"/>
      <c r="G13" s="130"/>
      <c r="H13" s="130"/>
      <c r="I13" s="130"/>
      <c r="J13" s="130"/>
      <c r="K13" s="129"/>
      <c r="L13" s="129"/>
      <c r="M13" s="129"/>
      <c r="N13" s="129"/>
      <c r="O13" s="129"/>
      <c r="P13" s="129"/>
      <c r="Q13" s="129"/>
      <c r="R13" s="129"/>
    </row>
    <row r="14" spans="3:18" x14ac:dyDescent="0.25">
      <c r="C14" s="130"/>
      <c r="D14" s="130"/>
      <c r="E14" s="130"/>
      <c r="F14" s="130"/>
      <c r="G14" s="130"/>
      <c r="H14" s="130"/>
      <c r="I14" s="130"/>
      <c r="J14" s="130"/>
      <c r="K14" s="129"/>
      <c r="L14" s="129"/>
      <c r="M14" s="129"/>
      <c r="N14" s="129"/>
      <c r="O14" s="129"/>
      <c r="P14" s="129"/>
      <c r="Q14" s="129"/>
      <c r="R14" s="129"/>
    </row>
    <row r="15" spans="3:18" x14ac:dyDescent="0.25">
      <c r="C15" s="130"/>
      <c r="D15" s="130"/>
      <c r="E15" s="130"/>
      <c r="F15" s="130"/>
      <c r="G15" s="130"/>
      <c r="H15" s="130"/>
      <c r="I15" s="130"/>
      <c r="J15" s="130"/>
      <c r="K15" s="129"/>
      <c r="L15" s="129"/>
      <c r="M15" s="129"/>
      <c r="N15" s="129"/>
      <c r="O15" s="129"/>
      <c r="P15" s="129"/>
      <c r="Q15" s="129"/>
      <c r="R15" s="129"/>
    </row>
    <row r="16" spans="3:18" x14ac:dyDescent="0.25">
      <c r="C16" s="130"/>
      <c r="D16" s="130"/>
      <c r="E16" s="130"/>
      <c r="F16" s="130"/>
      <c r="G16" s="130"/>
      <c r="H16" s="130"/>
      <c r="I16" s="130"/>
      <c r="J16" s="130"/>
      <c r="K16" s="129"/>
      <c r="L16" s="129"/>
      <c r="M16" s="129"/>
      <c r="N16" s="129"/>
      <c r="O16" s="129"/>
      <c r="P16" s="129"/>
      <c r="Q16" s="129"/>
      <c r="R16" s="129"/>
    </row>
    <row r="17" spans="3:18" x14ac:dyDescent="0.25">
      <c r="C17" s="130"/>
      <c r="D17" s="130"/>
      <c r="E17" s="130"/>
      <c r="F17" s="130"/>
      <c r="G17" s="130"/>
      <c r="H17" s="130"/>
      <c r="I17" s="130"/>
      <c r="J17" s="130"/>
      <c r="K17" s="129"/>
      <c r="L17" s="129"/>
      <c r="M17" s="129"/>
      <c r="N17" s="129"/>
      <c r="O17" s="129"/>
      <c r="P17" s="129"/>
      <c r="Q17" s="129"/>
      <c r="R17" s="129"/>
    </row>
    <row r="18" spans="3:18" x14ac:dyDescent="0.25">
      <c r="C18" s="130"/>
      <c r="D18" s="130"/>
      <c r="E18" s="130"/>
      <c r="F18" s="130"/>
      <c r="G18" s="130"/>
      <c r="H18" s="130"/>
      <c r="I18" s="130"/>
      <c r="J18" s="130"/>
      <c r="K18" s="129"/>
      <c r="L18" s="129"/>
      <c r="M18" s="129"/>
      <c r="N18" s="129"/>
      <c r="O18" s="129"/>
      <c r="P18" s="129"/>
      <c r="Q18" s="129"/>
      <c r="R18" s="129"/>
    </row>
    <row r="19" spans="3:18" x14ac:dyDescent="0.25">
      <c r="C19" s="130"/>
      <c r="D19" s="130"/>
      <c r="E19" s="130"/>
      <c r="F19" s="130"/>
      <c r="G19" s="130"/>
      <c r="H19" s="130"/>
      <c r="I19" s="130"/>
      <c r="J19" s="130"/>
      <c r="K19" s="129"/>
      <c r="L19" s="129"/>
      <c r="M19" s="129"/>
      <c r="N19" s="129"/>
      <c r="O19" s="129"/>
      <c r="P19" s="129"/>
      <c r="Q19" s="129"/>
      <c r="R19" s="129"/>
    </row>
    <row r="20" spans="3:18" x14ac:dyDescent="0.25">
      <c r="C20" s="130"/>
      <c r="D20" s="130"/>
      <c r="E20" s="130"/>
      <c r="F20" s="130"/>
      <c r="G20" s="130"/>
      <c r="H20" s="130"/>
      <c r="I20" s="130"/>
      <c r="J20" s="130"/>
      <c r="K20" s="129"/>
      <c r="L20" s="129"/>
      <c r="M20" s="129"/>
      <c r="N20" s="129"/>
      <c r="O20" s="129"/>
      <c r="P20" s="129"/>
      <c r="Q20" s="129"/>
      <c r="R20" s="129"/>
    </row>
    <row r="21" spans="3:18" x14ac:dyDescent="0.25">
      <c r="C21" s="130"/>
      <c r="D21" s="130"/>
      <c r="E21" s="130"/>
      <c r="F21" s="130"/>
      <c r="G21" s="130"/>
      <c r="H21" s="130"/>
      <c r="I21" s="130"/>
      <c r="J21" s="130"/>
      <c r="K21" s="129"/>
      <c r="L21" s="129"/>
      <c r="M21" s="129"/>
      <c r="N21" s="129"/>
      <c r="O21" s="129"/>
      <c r="P21" s="129"/>
      <c r="Q21" s="129"/>
      <c r="R21" s="129"/>
    </row>
    <row r="22" spans="3:18" x14ac:dyDescent="0.25">
      <c r="C22" s="127"/>
      <c r="D22" s="127"/>
      <c r="E22" s="127"/>
      <c r="F22" s="127"/>
      <c r="G22" s="127"/>
      <c r="H22" s="127"/>
      <c r="I22" s="127"/>
      <c r="J22" s="127"/>
      <c r="K22" s="131"/>
      <c r="L22" s="131"/>
      <c r="M22" s="131"/>
      <c r="N22" s="131"/>
      <c r="O22" s="131"/>
      <c r="P22" s="131"/>
      <c r="Q22" s="131"/>
      <c r="R22" s="131"/>
    </row>
    <row r="23" spans="3:18" x14ac:dyDescent="0.25">
      <c r="C23" s="127"/>
      <c r="D23" s="127"/>
      <c r="E23" s="127"/>
      <c r="F23" s="127"/>
      <c r="G23" s="127"/>
      <c r="H23" s="127"/>
      <c r="I23" s="127"/>
      <c r="J23" s="127"/>
      <c r="K23" s="131"/>
      <c r="L23" s="131"/>
      <c r="M23" s="131"/>
      <c r="N23" s="131"/>
      <c r="O23" s="131"/>
      <c r="P23" s="131"/>
      <c r="Q23" s="131"/>
      <c r="R23" s="131"/>
    </row>
    <row r="24" spans="3:18" x14ac:dyDescent="0.25">
      <c r="C24" s="127"/>
      <c r="D24" s="127"/>
      <c r="E24" s="127"/>
      <c r="F24" s="127"/>
      <c r="G24" s="127"/>
      <c r="H24" s="127"/>
      <c r="I24" s="127"/>
      <c r="J24" s="127"/>
      <c r="K24" s="131"/>
      <c r="L24" s="131"/>
      <c r="M24" s="131"/>
      <c r="N24" s="131"/>
      <c r="O24" s="131"/>
      <c r="P24" s="131"/>
      <c r="Q24" s="131"/>
      <c r="R24" s="131"/>
    </row>
    <row r="25" spans="3:18" x14ac:dyDescent="0.25">
      <c r="C25" s="127"/>
      <c r="D25" s="127"/>
      <c r="E25" s="127"/>
      <c r="F25" s="127"/>
      <c r="G25" s="127"/>
      <c r="H25" s="127"/>
      <c r="I25" s="127"/>
      <c r="J25" s="127"/>
      <c r="K25" s="131"/>
      <c r="L25" s="131"/>
      <c r="M25" s="131"/>
      <c r="N25" s="131"/>
      <c r="O25" s="131"/>
      <c r="P25" s="131"/>
      <c r="Q25" s="131"/>
      <c r="R25" s="131"/>
    </row>
    <row r="26" spans="3:18" x14ac:dyDescent="0.25">
      <c r="C26" s="127"/>
      <c r="D26" s="127"/>
      <c r="E26" s="127"/>
      <c r="F26" s="127"/>
      <c r="G26" s="127"/>
      <c r="H26" s="127"/>
      <c r="I26" s="127"/>
      <c r="J26" s="127"/>
      <c r="K26" s="131"/>
      <c r="L26" s="131"/>
      <c r="M26" s="131"/>
      <c r="N26" s="131"/>
      <c r="O26" s="131"/>
      <c r="P26" s="131"/>
      <c r="Q26" s="131"/>
      <c r="R26" s="131"/>
    </row>
    <row r="27" spans="3:18" x14ac:dyDescent="0.25">
      <c r="C27" s="127"/>
      <c r="D27" s="127"/>
      <c r="E27" s="127"/>
      <c r="F27" s="127"/>
      <c r="G27" s="127"/>
      <c r="H27" s="127"/>
      <c r="I27" s="127"/>
      <c r="J27" s="127"/>
      <c r="K27" s="131"/>
      <c r="L27" s="131"/>
      <c r="M27" s="131"/>
      <c r="N27" s="131"/>
      <c r="O27" s="131"/>
      <c r="P27" s="131"/>
      <c r="Q27" s="131"/>
      <c r="R27" s="131"/>
    </row>
    <row r="28" spans="3:18" x14ac:dyDescent="0.25">
      <c r="C28" s="127"/>
      <c r="D28" s="127"/>
      <c r="E28" s="127"/>
      <c r="F28" s="127"/>
      <c r="G28" s="127"/>
      <c r="H28" s="127"/>
      <c r="I28" s="127"/>
      <c r="J28" s="127"/>
      <c r="K28" s="131"/>
      <c r="L28" s="131"/>
      <c r="M28" s="131"/>
      <c r="N28" s="131"/>
      <c r="O28" s="131"/>
      <c r="P28" s="131"/>
      <c r="Q28" s="131"/>
      <c r="R28" s="131"/>
    </row>
    <row r="29" spans="3:18" x14ac:dyDescent="0.25">
      <c r="C29" s="127"/>
      <c r="D29" s="127"/>
      <c r="E29" s="127"/>
      <c r="F29" s="127"/>
      <c r="G29" s="127"/>
      <c r="H29" s="127"/>
      <c r="I29" s="127"/>
      <c r="J29" s="127"/>
      <c r="K29" s="131"/>
      <c r="L29" s="131"/>
      <c r="M29" s="131"/>
      <c r="N29" s="131"/>
      <c r="O29" s="131"/>
      <c r="P29" s="131"/>
      <c r="Q29" s="131"/>
      <c r="R29" s="131"/>
    </row>
    <row r="30" spans="3:18" x14ac:dyDescent="0.25">
      <c r="C30" s="127"/>
      <c r="D30" s="127"/>
      <c r="E30" s="127"/>
      <c r="F30" s="127"/>
      <c r="G30" s="127"/>
      <c r="H30" s="127"/>
      <c r="I30" s="127"/>
      <c r="J30" s="127"/>
      <c r="K30" s="131"/>
      <c r="L30" s="131"/>
      <c r="M30" s="131"/>
      <c r="N30" s="131"/>
      <c r="O30" s="131"/>
      <c r="P30" s="131"/>
      <c r="Q30" s="131"/>
      <c r="R30" s="131"/>
    </row>
    <row r="31" spans="3:18" x14ac:dyDescent="0.25">
      <c r="C31" s="127"/>
      <c r="D31" s="127"/>
      <c r="E31" s="127"/>
      <c r="F31" s="127"/>
      <c r="G31" s="127"/>
      <c r="H31" s="127"/>
      <c r="I31" s="127"/>
      <c r="J31" s="127"/>
      <c r="K31" s="131"/>
      <c r="L31" s="131"/>
      <c r="M31" s="131"/>
      <c r="N31" s="131"/>
      <c r="O31" s="131"/>
      <c r="P31" s="131"/>
      <c r="Q31" s="131"/>
      <c r="R31" s="131"/>
    </row>
    <row r="32" spans="3:18" x14ac:dyDescent="0.25">
      <c r="C32" s="127"/>
      <c r="D32" s="127"/>
      <c r="E32" s="127"/>
      <c r="F32" s="127"/>
      <c r="G32" s="127"/>
      <c r="H32" s="127"/>
      <c r="I32" s="127"/>
      <c r="J32" s="127"/>
      <c r="K32" s="131"/>
      <c r="L32" s="131"/>
      <c r="M32" s="131"/>
      <c r="N32" s="131"/>
      <c r="O32" s="131"/>
      <c r="P32" s="131"/>
      <c r="Q32" s="131"/>
      <c r="R32" s="131"/>
    </row>
    <row r="33" spans="3:18" x14ac:dyDescent="0.25">
      <c r="C33" s="127"/>
      <c r="D33" s="127"/>
      <c r="E33" s="127"/>
      <c r="F33" s="127"/>
      <c r="G33" s="127"/>
      <c r="H33" s="127"/>
      <c r="I33" s="127"/>
      <c r="J33" s="127"/>
      <c r="K33" s="131"/>
      <c r="L33" s="131"/>
      <c r="M33" s="131"/>
      <c r="N33" s="131"/>
      <c r="O33" s="131"/>
      <c r="P33" s="131"/>
      <c r="Q33" s="131"/>
      <c r="R33" s="131"/>
    </row>
    <row r="34" spans="3:18" x14ac:dyDescent="0.25">
      <c r="C34" s="127"/>
      <c r="D34" s="127"/>
      <c r="E34" s="127"/>
      <c r="F34" s="127"/>
      <c r="G34" s="127"/>
      <c r="H34" s="127"/>
      <c r="I34" s="127"/>
      <c r="J34" s="127"/>
      <c r="K34" s="131"/>
      <c r="L34" s="131"/>
      <c r="M34" s="131"/>
      <c r="N34" s="131"/>
      <c r="O34" s="131"/>
      <c r="P34" s="131"/>
      <c r="Q34" s="131"/>
      <c r="R34" s="131"/>
    </row>
    <row r="35" spans="3:18" x14ac:dyDescent="0.25">
      <c r="C35" s="127"/>
      <c r="D35" s="127"/>
      <c r="E35" s="127"/>
      <c r="F35" s="127"/>
      <c r="G35" s="127"/>
      <c r="H35" s="127"/>
      <c r="I35" s="127"/>
      <c r="J35" s="127"/>
      <c r="K35" s="131"/>
      <c r="L35" s="131"/>
      <c r="M35" s="131"/>
      <c r="N35" s="131"/>
      <c r="O35" s="131"/>
      <c r="P35" s="131"/>
      <c r="Q35" s="131"/>
      <c r="R35" s="131"/>
    </row>
    <row r="36" spans="3:18" x14ac:dyDescent="0.25">
      <c r="C36" s="127"/>
      <c r="D36" s="127"/>
      <c r="E36" s="127"/>
      <c r="F36" s="127"/>
      <c r="G36" s="127"/>
      <c r="H36" s="127"/>
      <c r="I36" s="127"/>
      <c r="J36" s="127"/>
      <c r="K36" s="131"/>
      <c r="L36" s="131"/>
      <c r="M36" s="131"/>
      <c r="N36" s="131"/>
      <c r="O36" s="131"/>
      <c r="P36" s="131"/>
      <c r="Q36" s="131"/>
      <c r="R36" s="131"/>
    </row>
    <row r="37" spans="3:18" x14ac:dyDescent="0.25">
      <c r="C37" s="127"/>
      <c r="D37" s="127"/>
      <c r="E37" s="127"/>
      <c r="F37" s="127"/>
      <c r="G37" s="127"/>
      <c r="H37" s="127"/>
      <c r="I37" s="127"/>
      <c r="J37" s="127"/>
      <c r="K37" s="131"/>
      <c r="L37" s="131"/>
      <c r="M37" s="131"/>
      <c r="N37" s="131"/>
      <c r="O37" s="131"/>
      <c r="P37" s="131"/>
      <c r="Q37" s="131"/>
      <c r="R37" s="131"/>
    </row>
    <row r="38" spans="3:18" x14ac:dyDescent="0.25">
      <c r="C38" s="127"/>
      <c r="D38" s="127"/>
      <c r="E38" s="127"/>
      <c r="F38" s="127"/>
      <c r="G38" s="127"/>
      <c r="H38" s="127"/>
      <c r="I38" s="127"/>
      <c r="J38" s="127"/>
      <c r="K38" s="131"/>
      <c r="L38" s="131"/>
      <c r="M38" s="131"/>
      <c r="N38" s="131"/>
      <c r="O38" s="131"/>
      <c r="P38" s="131"/>
      <c r="Q38" s="131"/>
      <c r="R38" s="131"/>
    </row>
    <row r="39" spans="3:18" x14ac:dyDescent="0.25">
      <c r="C39" s="127"/>
      <c r="D39" s="127"/>
      <c r="E39" s="127"/>
      <c r="F39" s="127"/>
      <c r="G39" s="127"/>
      <c r="H39" s="127"/>
      <c r="I39" s="127"/>
      <c r="J39" s="127"/>
      <c r="K39" s="131"/>
      <c r="L39" s="131"/>
      <c r="M39" s="131"/>
      <c r="N39" s="131"/>
      <c r="O39" s="131"/>
      <c r="P39" s="131"/>
      <c r="Q39" s="131"/>
      <c r="R39" s="131"/>
    </row>
    <row r="43" spans="3:18" ht="44.1" customHeight="1" x14ac:dyDescent="0.25"/>
    <row r="45" spans="3:18" ht="57.6" customHeight="1" x14ac:dyDescent="0.25">
      <c r="D45" s="243" t="s">
        <v>497</v>
      </c>
      <c r="E45" s="244"/>
      <c r="F45" s="244"/>
      <c r="G45" s="244"/>
      <c r="H45" s="244"/>
      <c r="L45" s="242" t="s">
        <v>498</v>
      </c>
      <c r="M45" s="242"/>
      <c r="N45" s="242"/>
      <c r="O45" s="242"/>
      <c r="P45" s="242"/>
    </row>
    <row r="53" spans="4:4" x14ac:dyDescent="0.25">
      <c r="D53" t="s">
        <v>499</v>
      </c>
    </row>
  </sheetData>
  <mergeCells count="2">
    <mergeCell ref="D45:H45"/>
    <mergeCell ref="L45:P4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029E-B15E-4338-97A7-2491A8F3D826}">
  <sheetPr codeName="Sheet5"/>
  <dimension ref="A1:I24"/>
  <sheetViews>
    <sheetView workbookViewId="0">
      <selection activeCell="E3" sqref="E3"/>
    </sheetView>
  </sheetViews>
  <sheetFormatPr defaultRowHeight="13.8" x14ac:dyDescent="0.25"/>
  <cols>
    <col min="1" max="9" width="18" customWidth="1"/>
  </cols>
  <sheetData>
    <row r="1" spans="1:9" x14ac:dyDescent="0.25">
      <c r="A1" s="245" t="s">
        <v>605</v>
      </c>
      <c r="B1" s="245"/>
      <c r="C1" s="245"/>
      <c r="D1" s="246" t="s">
        <v>606</v>
      </c>
      <c r="E1" s="246"/>
      <c r="F1" s="246"/>
      <c r="G1" s="247" t="s">
        <v>607</v>
      </c>
      <c r="H1" s="247"/>
      <c r="I1" s="247"/>
    </row>
    <row r="2" spans="1:9" ht="55.2" x14ac:dyDescent="0.25">
      <c r="A2" s="132" t="s">
        <v>162</v>
      </c>
      <c r="B2" s="132" t="s">
        <v>149</v>
      </c>
      <c r="C2" s="132" t="s">
        <v>181</v>
      </c>
      <c r="D2" s="135" t="s">
        <v>142</v>
      </c>
      <c r="E2" s="135" t="s">
        <v>326</v>
      </c>
      <c r="F2" s="135" t="s">
        <v>235</v>
      </c>
      <c r="G2" s="134" t="s">
        <v>155</v>
      </c>
      <c r="H2" s="134" t="s">
        <v>271</v>
      </c>
      <c r="I2" s="134" t="s">
        <v>134</v>
      </c>
    </row>
    <row r="3" spans="1:9" ht="55.2" x14ac:dyDescent="0.25">
      <c r="A3" s="133" t="str" cm="1">
        <f t="array" ref="A3:A24">_xlfn._xlws.FILTER(Input!$E:$E, Input!$A:$A=Pillars!A$2)</f>
        <v>New Mobile Station Data solution (Spark / Station App) PHASE 2</v>
      </c>
      <c r="B3" s="133" t="str" cm="1">
        <f t="array" ref="B3:B7">_xlfn._xlws.FILTER(Input!$E:$E, Input!$A:$A=Pillars!B$2)</f>
        <v>Deferrals Equinox</v>
      </c>
      <c r="C3" s="133" t="str" cm="1">
        <f t="array" ref="C3:C14">_xlfn._xlws.FILTER(Input!$E:$E, Input!$A:$A=Pillars!C$2)</f>
        <v>Genetec (Access Control)</v>
      </c>
      <c r="D3" s="133" t="str" cm="1">
        <f t="array" ref="D3:D10">_xlfn._xlws.FILTER(Input!$E:$E, Input!$A:$A=Pillars!D$2)</f>
        <v>Wifi on board POC</v>
      </c>
      <c r="E3" s="133" t="str" cm="1">
        <f t="array" ref="E3">_xlfn._xlws.FILTER(Input!$E:$E, Input!$A:$A=Pillars!E$2)</f>
        <v xml:space="preserve">Chatbot Enhancements 2026 </v>
      </c>
      <c r="F3" s="133" t="str" cm="1">
        <f t="array" ref="F3:F6">_xlfn._xlws.FILTER(Input!$E:$E, Input!$A:$A=Pillars!F$2)</f>
        <v>Joint Customer Segmentation</v>
      </c>
      <c r="G3" s="133" t="str" cm="1">
        <f t="array" ref="G3:G6">_xlfn._xlws.FILTER(Input!$E:$E, Input!$A:$A=Pillars!G$2)</f>
        <v>New Amsterdam Station CIS</v>
      </c>
      <c r="H3" s="133" t="str" cm="1">
        <f t="array" ref="H3">_xlfn._xlws.FILTER(Input!$E:$E, Input!$A:$A=Pillars!H$2)</f>
        <v>New Paris Offices</v>
      </c>
      <c r="I3" s="133" t="str" cm="1">
        <f t="array" ref="I3:I17">_xlfn._xlws.FILTER(Input!$E:$E, Input!$A:$A=Pillars!I$2)</f>
        <v>HR Digitisation phase 1 : external payroll</v>
      </c>
    </row>
    <row r="4" spans="1:9" ht="26.85" customHeight="1" x14ac:dyDescent="0.25">
      <c r="A4" s="133" t="str">
        <v>New Mobile Station Data solution (Mobile devices + Spark / Station App) PHASE 1 (2024 approval)</v>
      </c>
      <c r="B4" s="133" t="str">
        <v>Engineering App : TMI app migration (study)</v>
      </c>
      <c r="C4" s="133" t="str">
        <v>IC RNE platform migration</v>
      </c>
      <c r="D4" s="133" t="str">
        <v>PIS trainset &amp; improvements</v>
      </c>
      <c r="E4" s="133"/>
      <c r="F4" s="133" t="str">
        <v>Marketing Cloud: enable A/B testing, leverage Gen AI, enable "Control Cell" campaign...</v>
      </c>
      <c r="G4" s="133" t="str">
        <v>BMI new comms room &amp; recabling</v>
      </c>
      <c r="H4" s="133"/>
      <c r="I4" s="133" t="str">
        <v>Windows 11 Upgrade (Digital Workplace Transformation)</v>
      </c>
    </row>
    <row r="5" spans="1:9" ht="69" x14ac:dyDescent="0.25">
      <c r="A5" s="133" t="str">
        <v>Advanced Planning System APS (MASTERPLAN)</v>
      </c>
      <c r="B5" s="133" t="str">
        <v>TACT/iTM: align Continental and Cross-Channel apps (fault mgt process, reports…)</v>
      </c>
      <c r="C5" s="133" t="str">
        <v>Legacy telco lines replacement in SPI and TMI</v>
      </c>
      <c r="D5" s="133" t="str">
        <v>Improve TACT For Seat reallocation and Seat blockage</v>
      </c>
      <c r="E5" s="133"/>
      <c r="F5" s="133" t="str">
        <v>Passport e-gate replacement (SPI)</v>
      </c>
      <c r="G5" s="133" t="str">
        <v>New Fleet</v>
      </c>
      <c r="H5" s="133"/>
      <c r="I5" s="133" t="str">
        <v>Finance Automation / Digitisation</v>
      </c>
    </row>
    <row r="6" spans="1:9" ht="69" x14ac:dyDescent="0.25">
      <c r="A6" s="133" t="str">
        <v>Last Minute equipment change - automation of re-accommodations Phase 1</v>
      </c>
      <c r="B6" s="133" t="str">
        <v>VESPA</v>
      </c>
      <c r="C6" s="133" t="str">
        <v>Migration of Euromap and Start on Time to DataHub</v>
      </c>
      <c r="D6" s="133" t="str">
        <v>Revenue Management: new system (Cazyn)</v>
      </c>
      <c r="E6" s="133"/>
      <c r="F6" s="133" t="str">
        <v>Customer Services KPI Analytics</v>
      </c>
      <c r="G6" s="133" t="str">
        <v>SPI Service Centre Refurbishment</v>
      </c>
      <c r="H6" s="133"/>
      <c r="I6" s="133" t="str">
        <v>SVOT decommission</v>
      </c>
    </row>
    <row r="7" spans="1:9" ht="27.6" x14ac:dyDescent="0.25">
      <c r="A7" s="133" t="str">
        <v>NIS 2</v>
      </c>
      <c r="B7" s="133" t="str">
        <v>Wheels Analytics</v>
      </c>
      <c r="C7" s="133" t="str">
        <v>Totem+ v2</v>
      </c>
      <c r="D7" s="133" t="str">
        <v>EES</v>
      </c>
      <c r="E7" s="133"/>
      <c r="F7" s="133"/>
      <c r="G7" s="133"/>
      <c r="H7" s="133"/>
      <c r="I7" s="133" t="str">
        <v>TM/TD Phone &amp; Tablet Improvements</v>
      </c>
    </row>
    <row r="8" spans="1:9" ht="41.4" x14ac:dyDescent="0.25">
      <c r="A8" s="133" t="str">
        <v>Information System Recovery assurance</v>
      </c>
      <c r="B8" s="133"/>
      <c r="C8" s="133" t="str">
        <v>Data Hub dev portal v2</v>
      </c>
      <c r="D8" s="133" t="str">
        <v>PICXEL (MASTERPLAN)</v>
      </c>
      <c r="E8" s="133"/>
      <c r="F8" s="133"/>
      <c r="G8" s="133"/>
      <c r="H8" s="133"/>
      <c r="I8" s="133" t="str">
        <v>Employee Exp Communication Platform (Workvivo)</v>
      </c>
    </row>
    <row r="9" spans="1:9" ht="41.4" x14ac:dyDescent="0.25">
      <c r="A9" s="133" t="str">
        <v>Stations Develop Mobile checkin (v2)</v>
      </c>
      <c r="B9" s="133"/>
      <c r="C9" s="133" t="str">
        <v>Privilege Access Mgt + IDAM</v>
      </c>
      <c r="D9" s="133" t="str">
        <v>PNO New Ticket Office Infra</v>
      </c>
      <c r="E9" s="133"/>
      <c r="F9" s="133"/>
      <c r="G9" s="133"/>
      <c r="H9" s="133"/>
      <c r="I9" s="133" t="str">
        <v>Network Acces Control (Blue ISE) (Network Security 1)</v>
      </c>
    </row>
    <row r="10" spans="1:9" ht="41.4" x14ac:dyDescent="0.25">
      <c r="A10" s="133" t="str">
        <v>Common Referentiels (MASTERPLAN)</v>
      </c>
      <c r="B10" s="133"/>
      <c r="C10" s="133" t="str">
        <v>eROSTER+</v>
      </c>
      <c r="D10" s="133" t="str">
        <v>Customer Service Milestones for Cases in Salesforce</v>
      </c>
      <c r="E10" s="133"/>
      <c r="F10" s="133"/>
      <c r="G10" s="133"/>
      <c r="H10" s="133"/>
      <c r="I10" s="133" t="str">
        <v>SD WAN execution (RFP)</v>
      </c>
    </row>
    <row r="11" spans="1:9" ht="41.4" x14ac:dyDescent="0.25">
      <c r="A11" s="133" t="str">
        <v>Polaris Technical 2025</v>
      </c>
      <c r="B11" s="133"/>
      <c r="C11" s="133" t="str">
        <v>"Enchainement" project</v>
      </c>
      <c r="D11" s="133"/>
      <c r="E11" s="133"/>
      <c r="F11" s="133"/>
      <c r="G11" s="133"/>
      <c r="H11" s="133"/>
      <c r="I11" s="133" t="str">
        <v>Fileshare Home Drive to OneDrive Migration</v>
      </c>
    </row>
    <row r="12" spans="1:9" ht="27.6" x14ac:dyDescent="0.25">
      <c r="A12" s="133" t="str">
        <v>e320 Availability SLA</v>
      </c>
      <c r="B12" s="133"/>
      <c r="C12" s="133" t="str">
        <v>Datalakehouse Kickoff</v>
      </c>
      <c r="D12" s="133"/>
      <c r="E12" s="133"/>
      <c r="F12" s="133"/>
      <c r="G12" s="133"/>
      <c r="H12" s="133"/>
      <c r="I12" s="133" t="str">
        <v>SIMPLIFY</v>
      </c>
    </row>
    <row r="13" spans="1:9" ht="69" x14ac:dyDescent="0.25">
      <c r="A13" s="133" t="str">
        <v>Fraud Analytics &amp; Prevention System</v>
      </c>
      <c r="B13" s="133"/>
      <c r="C13" s="133" t="str">
        <v>Fiche Train v2</v>
      </c>
      <c r="D13" s="133"/>
      <c r="E13" s="133"/>
      <c r="F13" s="133"/>
      <c r="G13" s="133"/>
      <c r="H13" s="133"/>
      <c r="I13" s="133" t="str">
        <v>SALESFORCE Reduce Average Handling Time (AHT in Customer Services)</v>
      </c>
    </row>
    <row r="14" spans="1:9" ht="27.6" x14ac:dyDescent="0.25">
      <c r="A14" s="133" t="str">
        <v>Data Hub recovery automation</v>
      </c>
      <c r="B14" s="133"/>
      <c r="C14" s="133" t="str">
        <v>Station Flow Prediction MVP</v>
      </c>
      <c r="D14" s="133"/>
      <c r="E14" s="133"/>
      <c r="F14" s="133"/>
      <c r="G14" s="133"/>
      <c r="H14" s="133"/>
      <c r="I14" s="133" t="str">
        <v>FINOPS cloud cost Mgt</v>
      </c>
    </row>
    <row r="15" spans="1:9" ht="55.2" x14ac:dyDescent="0.25">
      <c r="A15" s="133" t="str">
        <v>Merge Hotel/Taxi disruption tools (merge of DPAX and Self Service)</v>
      </c>
      <c r="B15" s="133"/>
      <c r="C15" s="133"/>
      <c r="D15" s="133"/>
      <c r="E15" s="133"/>
      <c r="F15" s="133"/>
      <c r="G15" s="133"/>
      <c r="H15" s="133"/>
      <c r="I15" s="133" t="str">
        <v>Connect All v2</v>
      </c>
    </row>
    <row r="16" spans="1:9" ht="27.6" x14ac:dyDescent="0.25">
      <c r="A16" s="133" t="str">
        <v>Polaris Reporting 2025</v>
      </c>
      <c r="B16" s="133"/>
      <c r="C16" s="133"/>
      <c r="D16" s="133"/>
      <c r="E16" s="133"/>
      <c r="F16" s="133"/>
      <c r="G16" s="133"/>
      <c r="H16" s="133"/>
      <c r="I16" s="133" t="str">
        <v>Printer replacement</v>
      </c>
    </row>
    <row r="17" spans="1:9" ht="41.4" x14ac:dyDescent="0.25">
      <c r="A17" s="133" t="str">
        <v>NPS &amp; Operations Analytics</v>
      </c>
      <c r="B17" s="133"/>
      <c r="C17" s="133"/>
      <c r="D17" s="133"/>
      <c r="E17" s="133"/>
      <c r="F17" s="133"/>
      <c r="G17" s="133"/>
      <c r="H17" s="133"/>
      <c r="I17" s="133" t="str">
        <v>iAPI (Interactive Passenger Information)</v>
      </c>
    </row>
    <row r="18" spans="1:9" ht="27.6" x14ac:dyDescent="0.25">
      <c r="A18" s="133" t="str">
        <v>T15 by Passenger Analytics</v>
      </c>
      <c r="B18" s="133"/>
      <c r="C18" s="133"/>
      <c r="D18" s="133"/>
      <c r="E18" s="133"/>
      <c r="F18" s="133"/>
      <c r="G18" s="133"/>
      <c r="H18" s="133"/>
      <c r="I18" s="133"/>
    </row>
    <row r="19" spans="1:9" ht="41.4" x14ac:dyDescent="0.25">
      <c r="A19" s="133" t="str">
        <v>iTM: iTM improvements for cross-channel TM</v>
      </c>
      <c r="B19" s="133"/>
      <c r="C19" s="133"/>
      <c r="D19" s="133"/>
      <c r="E19" s="133"/>
      <c r="F19" s="133"/>
      <c r="G19" s="133"/>
      <c r="H19" s="133"/>
      <c r="I19" s="133"/>
    </row>
    <row r="20" spans="1:9" ht="27.6" x14ac:dyDescent="0.25">
      <c r="A20" s="136" t="str">
        <v>Belt Belt Turnaround &amp; Parking Analytics</v>
      </c>
      <c r="B20" s="136"/>
      <c r="C20" s="136"/>
      <c r="D20" s="136"/>
      <c r="E20" s="136"/>
      <c r="F20" s="136"/>
      <c r="G20" s="136"/>
      <c r="H20" s="136"/>
      <c r="I20" s="136"/>
    </row>
    <row r="21" spans="1:9" x14ac:dyDescent="0.25">
      <c r="A21" t="str">
        <v>SPI LAN Phase 2</v>
      </c>
    </row>
    <row r="22" spans="1:9" x14ac:dyDescent="0.25">
      <c r="A22" t="str">
        <v>Application security</v>
      </c>
    </row>
    <row r="23" spans="1:9" x14ac:dyDescent="0.25">
      <c r="A23" t="str">
        <v>Star (MASTERPLAN)</v>
      </c>
    </row>
    <row r="24" spans="1:9" x14ac:dyDescent="0.25">
      <c r="A24" t="str">
        <v>Masergy security appliances upgrade (Rapid 7)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6929-5636-47CE-82B1-1807D75A2F2F}">
  <dimension ref="A1:K33"/>
  <sheetViews>
    <sheetView workbookViewId="0">
      <selection activeCell="D4" sqref="D4"/>
    </sheetView>
  </sheetViews>
  <sheetFormatPr defaultRowHeight="13.8" x14ac:dyDescent="0.25"/>
  <cols>
    <col min="1" max="11" width="15.59765625" customWidth="1"/>
  </cols>
  <sheetData>
    <row r="1" spans="1:11" x14ac:dyDescent="0.25">
      <c r="A1" s="215" t="s">
        <v>96</v>
      </c>
      <c r="B1" s="215" t="s">
        <v>602</v>
      </c>
      <c r="C1" s="215" t="s">
        <v>241</v>
      </c>
      <c r="D1" s="215" t="s">
        <v>184</v>
      </c>
      <c r="E1" s="215" t="s">
        <v>16</v>
      </c>
      <c r="F1" s="215" t="s">
        <v>24</v>
      </c>
      <c r="G1" s="215" t="s">
        <v>61</v>
      </c>
      <c r="H1" s="215" t="s">
        <v>197</v>
      </c>
      <c r="I1" s="215" t="s">
        <v>159</v>
      </c>
      <c r="J1" s="215" t="s">
        <v>603</v>
      </c>
      <c r="K1" s="215" t="s">
        <v>357</v>
      </c>
    </row>
    <row r="2" spans="1:11" ht="69" x14ac:dyDescent="0.25">
      <c r="A2" s="171" t="str" cm="1">
        <f t="array" ref="A2:A26">_xlfn._xlws.FILTER(Input!$E:$E, Input!$F:$F=DEPT!A$1)</f>
        <v>Digital Roadmap 2025 (Increase website and app conversion + indirect sales)</v>
      </c>
      <c r="B2" s="171" t="e" cm="1" vm="1">
        <f t="array" ref="B2">_xlfn._xlws.FILTER(Input!$E:$E, Input!$F:$F=DEPT!B$1)</f>
        <v>#VALUE!</v>
      </c>
      <c r="C2" s="171" t="str" cm="1">
        <f t="array" ref="C2:C5">_xlfn._xlws.FILTER(Input!$E:$E, Input!$F:$F=DEPT!C$1)</f>
        <v>Finance Automation / Digitisation</v>
      </c>
      <c r="D2" s="171" t="str" cm="1">
        <f t="array" ref="D2:D3">_xlfn._xlws.FILTER(Input!$E:$E, Input!$F:$F=DEPT!D$1)</f>
        <v>Genetec (Access Control)</v>
      </c>
      <c r="E2" s="171" t="str" cm="1">
        <f t="array" ref="E2:E4">_xlfn._xlws.FILTER(Input!$E:$E, Input!$F:$F=DEPT!E$1)</f>
        <v>HR Digitisation phase 1 : external payroll</v>
      </c>
      <c r="F2" s="171" t="str" cm="1">
        <f t="array" ref="F2:F24">_xlfn._xlws.FILTER(Input!$E:$E, Input!$F:$F=DEPT!F$1)</f>
        <v>implement Aikido Code Analysis</v>
      </c>
      <c r="G2" s="171" t="str" cm="1">
        <f t="array" ref="G2:G33">_xlfn._xlws.FILTER(Input!$E:$E, Input!$F:$F=DEPT!G$1)</f>
        <v>Onboarding Continental Teams to ACMS</v>
      </c>
      <c r="H2" s="171" t="str" cm="1">
        <f t="array" ref="H2:H6">_xlfn._xlws.FILTER(Input!$E:$E, Input!$F:$F=DEPT!H$1)</f>
        <v>Engineering App : TMI app migration (study)</v>
      </c>
      <c r="I2" s="171" t="str" cm="1">
        <f t="array" ref="I2:I13">_xlfn._xlws.FILTER(Input!$E:$E, Input!$F:$F=DEPT!I$1)</f>
        <v>New Amsterdam Station CIS</v>
      </c>
      <c r="J2" s="171" t="e" cm="1" vm="1">
        <f t="array" ref="J2">_xlfn._xlws.FILTER(Input!$E:$E, Input!$F:$F=DEPT!J$1)</f>
        <v>#VALUE!</v>
      </c>
      <c r="K2" s="171" t="str" cm="1">
        <f t="array" ref="K2:K3">_xlfn._xlws.FILTER(Input!$E:$E, Input!$F:$F=DEPT!K$1)</f>
        <v>New Fleet</v>
      </c>
    </row>
    <row r="3" spans="1:11" ht="69" x14ac:dyDescent="0.25">
      <c r="A3" s="171" t="str">
        <v>Digital Roadmap 2026</v>
      </c>
      <c r="B3" s="171"/>
      <c r="C3" s="171" t="str">
        <v>New Paris Offices</v>
      </c>
      <c r="D3" s="171" t="str">
        <v>iAPI (Interactive Passenger Information)</v>
      </c>
      <c r="E3" s="171" t="str">
        <v>HR Digitisation phase 2</v>
      </c>
      <c r="F3" s="171" t="str">
        <v>Windows 11 Upgrade (Digital Workplace Transformation)</v>
      </c>
      <c r="G3" s="171" t="str">
        <v>Wifi on board POC</v>
      </c>
      <c r="H3" s="171" t="str">
        <v>VESPA</v>
      </c>
      <c r="I3" s="171" t="str">
        <v>New Mobile Station Data solution (Spark / Station App) PHASE 2</v>
      </c>
      <c r="J3" s="171"/>
      <c r="K3" s="171" t="str">
        <v>SIMPLIFY</v>
      </c>
    </row>
    <row r="4" spans="1:11" ht="96.6" x14ac:dyDescent="0.25">
      <c r="A4" s="171" t="str">
        <v>Group sales automation</v>
      </c>
      <c r="B4" s="171"/>
      <c r="C4" s="171" t="str">
        <v>Fraud Analytics &amp; Prevention System</v>
      </c>
      <c r="D4" s="171"/>
      <c r="E4" s="171" t="str">
        <v>Employee Exp Communication Platform (Workvivo)</v>
      </c>
      <c r="F4" s="171" t="str">
        <v>NIS 2</v>
      </c>
      <c r="G4" s="171" t="str">
        <v>Deferrals Equinox</v>
      </c>
      <c r="H4" s="171" t="str">
        <v>COSMOS: Tigre Replacement with SPID SNCF</v>
      </c>
      <c r="I4" s="171" t="str">
        <v>New Mobile Station Data solution (Mobile devices + Spark / Station App) PHASE 1 (2024 approval)</v>
      </c>
      <c r="J4" s="171"/>
      <c r="K4" s="171"/>
    </row>
    <row r="5" spans="1:11" ht="41.4" x14ac:dyDescent="0.25">
      <c r="A5" s="171" t="str">
        <v>Loyalty as a currency</v>
      </c>
      <c r="B5" s="171"/>
      <c r="C5" s="171" t="str">
        <v>New Brussels Offices</v>
      </c>
      <c r="D5" s="171"/>
      <c r="E5" s="171"/>
      <c r="F5" s="171" t="str">
        <v>IC RNE platform migration</v>
      </c>
      <c r="G5" s="171" t="str">
        <v>PIS trainset &amp; improvements</v>
      </c>
      <c r="H5" s="171" t="str">
        <v>Wheels Analytics</v>
      </c>
      <c r="I5" s="171" t="str">
        <v>Stations Develop Mobile checkin (v2)</v>
      </c>
      <c r="J5" s="171"/>
      <c r="K5" s="171"/>
    </row>
    <row r="6" spans="1:11" ht="55.2" x14ac:dyDescent="0.25">
      <c r="A6" s="171" t="str">
        <v>Check out (Paypal NL+FR, WERO)</v>
      </c>
      <c r="B6" s="171"/>
      <c r="C6" s="171"/>
      <c r="D6" s="171"/>
      <c r="E6" s="171"/>
      <c r="F6" s="171" t="str">
        <v>Information System Recovery assurance</v>
      </c>
      <c r="G6" s="171" t="str">
        <v>Advanced Planning System APS (MASTERPLAN)</v>
      </c>
      <c r="H6" s="171" t="str">
        <v>Rolling stock analytics equinox work orders</v>
      </c>
      <c r="I6" s="171" t="str">
        <v>Legacy telco lines replacement in SPI and TMI</v>
      </c>
      <c r="J6" s="171"/>
      <c r="K6" s="171"/>
    </row>
    <row r="7" spans="1:11" ht="69" x14ac:dyDescent="0.25">
      <c r="A7" s="171" t="str">
        <v>MYB : upgrade optimisation, assistance aftersales, meal pref…</v>
      </c>
      <c r="B7" s="171"/>
      <c r="C7" s="171"/>
      <c r="D7" s="171"/>
      <c r="E7" s="171"/>
      <c r="F7" s="171" t="str">
        <v>BMI new comms room &amp; recabling</v>
      </c>
      <c r="G7" s="171" t="str">
        <v>MASTERPLAN (other)</v>
      </c>
      <c r="H7" s="171"/>
      <c r="I7" s="171" t="str">
        <v>Stations MASTERPLAN</v>
      </c>
      <c r="J7" s="171"/>
      <c r="K7" s="171"/>
    </row>
    <row r="8" spans="1:11" ht="41.4" x14ac:dyDescent="0.25">
      <c r="A8" s="171" t="str">
        <v>E4B dashboard/invoices</v>
      </c>
      <c r="B8" s="171"/>
      <c r="C8" s="171"/>
      <c r="D8" s="171"/>
      <c r="E8" s="171"/>
      <c r="F8" s="171" t="str">
        <v>SVOT decommission</v>
      </c>
      <c r="G8" s="171" t="str">
        <v>Decommission Teams+</v>
      </c>
      <c r="H8" s="171"/>
      <c r="I8" s="171" t="str">
        <v>Passport e-gate replacement (SPI)</v>
      </c>
      <c r="J8" s="171"/>
      <c r="K8" s="171"/>
    </row>
    <row r="9" spans="1:11" ht="82.8" x14ac:dyDescent="0.25">
      <c r="A9" s="171" t="str">
        <v>Contact Centre - prj 5 - improve SF user friendliness &amp; advisor efficiency</v>
      </c>
      <c r="B9" s="171"/>
      <c r="C9" s="171"/>
      <c r="D9" s="171"/>
      <c r="E9" s="171"/>
      <c r="F9" s="171" t="str">
        <v>Network Acces Control (Blue ISE) (Network Security 1)</v>
      </c>
      <c r="G9" s="171" t="str">
        <v>TACT/iTM: align Continental and Cross-Channel apps (fault mgt process, reports…)</v>
      </c>
      <c r="H9" s="171"/>
      <c r="I9" s="171" t="str">
        <v>EES</v>
      </c>
      <c r="J9" s="171"/>
      <c r="K9" s="171"/>
    </row>
    <row r="10" spans="1:11" ht="82.8" x14ac:dyDescent="0.25">
      <c r="A10" s="171" t="str">
        <v>Contact Centre - prj 6 - Gamification of the training, Knowledge reco</v>
      </c>
      <c r="B10" s="171"/>
      <c r="C10" s="171"/>
      <c r="D10" s="171"/>
      <c r="E10" s="171"/>
      <c r="F10" s="171" t="str">
        <v>Data Hub dev portal v2</v>
      </c>
      <c r="G10" s="171" t="str">
        <v>Last Minute equipment change - automation of re-accommodations Phase 1</v>
      </c>
      <c r="H10" s="171"/>
      <c r="I10" s="171" t="str">
        <v>SPI LAN Phase 2</v>
      </c>
      <c r="J10" s="171"/>
      <c r="K10" s="171"/>
    </row>
    <row r="11" spans="1:11" ht="41.4" x14ac:dyDescent="0.25">
      <c r="A11" s="171" t="str">
        <v>EES v2</v>
      </c>
      <c r="B11" s="171"/>
      <c r="C11" s="171"/>
      <c r="D11" s="171"/>
      <c r="E11" s="171"/>
      <c r="F11" s="171" t="str">
        <v>Data Hub recovery automation</v>
      </c>
      <c r="G11" s="171" t="str">
        <v>Train Cancellations &amp; Budget Analytics</v>
      </c>
      <c r="H11" s="171"/>
      <c r="I11" s="171" t="str">
        <v>Station Flow Prediction MVP</v>
      </c>
      <c r="J11" s="171"/>
      <c r="K11" s="171"/>
    </row>
    <row r="12" spans="1:11" ht="41.4" x14ac:dyDescent="0.25">
      <c r="A12" s="171" t="str">
        <v>SALESFORCE Technical - Data Cloud set-up</v>
      </c>
      <c r="B12" s="171"/>
      <c r="C12" s="171"/>
      <c r="D12" s="171"/>
      <c r="E12" s="171"/>
      <c r="F12" s="171" t="str">
        <v>Privilege Access Mgt + IDAM</v>
      </c>
      <c r="G12" s="171" t="str">
        <v>Beacons and Delay  Integration (MASTERPLAN)</v>
      </c>
      <c r="H12" s="171"/>
      <c r="I12" s="171" t="str">
        <v>PNO New Ticket Office Infra</v>
      </c>
      <c r="J12" s="171"/>
      <c r="K12" s="171"/>
    </row>
    <row r="13" spans="1:11" ht="55.2" x14ac:dyDescent="0.25">
      <c r="A13" s="171" t="str">
        <v>Joint Customer Segmentation</v>
      </c>
      <c r="B13" s="171"/>
      <c r="C13" s="171"/>
      <c r="D13" s="171"/>
      <c r="E13" s="171"/>
      <c r="F13" s="171" t="str">
        <v>SD WAN execution (RFP)</v>
      </c>
      <c r="G13" s="171" t="str">
        <v>Migration of Euromap and Start on Time to DataHub</v>
      </c>
      <c r="H13" s="171"/>
      <c r="I13" s="171" t="str">
        <v>SPI Service Centre Refurbishment</v>
      </c>
      <c r="J13" s="171"/>
      <c r="K13" s="171"/>
    </row>
    <row r="14" spans="1:11" ht="82.8" x14ac:dyDescent="0.25">
      <c r="A14" s="171" t="str">
        <v>Marketing Cloud: enable A/B testing, leverage Gen AI, enable "Control Cell" campaign...</v>
      </c>
      <c r="B14" s="171"/>
      <c r="C14" s="171"/>
      <c r="D14" s="171"/>
      <c r="E14" s="171"/>
      <c r="F14" s="171" t="str">
        <v>SD WAN Execution (Cato/COLT)</v>
      </c>
      <c r="G14" s="171" t="str">
        <v>TM/TD Phone &amp; Tablet Improvements</v>
      </c>
      <c r="H14" s="171"/>
      <c r="I14" s="171"/>
      <c r="J14" s="171"/>
      <c r="K14" s="171"/>
    </row>
    <row r="15" spans="1:11" ht="27.6" x14ac:dyDescent="0.25">
      <c r="A15" s="171" t="str">
        <v>Polaris Technical 2025</v>
      </c>
      <c r="B15" s="171"/>
      <c r="C15" s="171"/>
      <c r="D15" s="171"/>
      <c r="E15" s="171"/>
      <c r="F15" s="171" t="str">
        <v xml:space="preserve">SVOC decommission </v>
      </c>
      <c r="G15" s="171" t="str">
        <v>Totem+ v2</v>
      </c>
      <c r="H15" s="171"/>
      <c r="I15" s="171"/>
      <c r="J15" s="171"/>
      <c r="K15" s="171"/>
    </row>
    <row r="16" spans="1:11" ht="41.4" x14ac:dyDescent="0.25">
      <c r="A16" s="171" t="str">
        <v>Polaris Reporting 2025</v>
      </c>
      <c r="B16" s="171"/>
      <c r="C16" s="171"/>
      <c r="D16" s="171"/>
      <c r="E16" s="171"/>
      <c r="F16" s="171" t="str">
        <v>Boomi/Mulesoft consolidation</v>
      </c>
      <c r="G16" s="171" t="str">
        <v>Common Referentiels (MASTERPLAN)</v>
      </c>
      <c r="H16" s="171"/>
      <c r="I16" s="171"/>
      <c r="J16" s="171"/>
      <c r="K16" s="171"/>
    </row>
    <row r="17" spans="1:11" ht="69" x14ac:dyDescent="0.25">
      <c r="A17" s="171" t="str">
        <v>Revenue Management: new system (Cazyn)</v>
      </c>
      <c r="B17" s="171"/>
      <c r="C17" s="171"/>
      <c r="D17" s="171"/>
      <c r="E17" s="171"/>
      <c r="F17" s="171" t="str">
        <v>Content Management strategy - BOX to Sharepoint Migration</v>
      </c>
      <c r="G17" s="171" t="str">
        <v>Replacement DocThalys/Validme, Process+</v>
      </c>
      <c r="H17" s="171"/>
      <c r="I17" s="171"/>
      <c r="J17" s="171"/>
      <c r="K17" s="171"/>
    </row>
    <row r="18" spans="1:11" ht="55.2" x14ac:dyDescent="0.25">
      <c r="A18" s="171" t="str">
        <v>Polaris 2026</v>
      </c>
      <c r="B18" s="171"/>
      <c r="C18" s="171"/>
      <c r="D18" s="171"/>
      <c r="E18" s="171"/>
      <c r="F18" s="171" t="str">
        <v>Fileshare Home Drive to OneDrive Migration</v>
      </c>
      <c r="G18" s="171" t="str">
        <v>Improve TACT For Seat reallocation and Seat blockage</v>
      </c>
      <c r="H18" s="171"/>
      <c r="I18" s="171"/>
      <c r="J18" s="171"/>
      <c r="K18" s="171"/>
    </row>
    <row r="19" spans="1:11" ht="41.4" x14ac:dyDescent="0.25">
      <c r="A19" s="171" t="str">
        <v xml:space="preserve">Chatbot Enhancements 2026 </v>
      </c>
      <c r="B19" s="171"/>
      <c r="C19" s="171"/>
      <c r="D19" s="171"/>
      <c r="E19" s="171"/>
      <c r="F19" s="171" t="str">
        <v>Application security</v>
      </c>
      <c r="G19" s="171" t="str">
        <v>e320 Availability SLA</v>
      </c>
      <c r="H19" s="171"/>
      <c r="I19" s="171"/>
      <c r="J19" s="171"/>
      <c r="K19" s="171"/>
    </row>
    <row r="20" spans="1:11" ht="55.2" x14ac:dyDescent="0.25">
      <c r="A20" s="171" t="str">
        <v>Customer Services KPI Analytics</v>
      </c>
      <c r="B20" s="171"/>
      <c r="C20" s="171"/>
      <c r="D20" s="171"/>
      <c r="E20" s="171"/>
      <c r="F20" s="171" t="str">
        <v>Datalakehouse Kickoff</v>
      </c>
      <c r="G20" s="171" t="str">
        <v>Merge Hotel/Taxi disruption tools (merge of DPAX and Self Service)</v>
      </c>
      <c r="H20" s="171"/>
      <c r="I20" s="171"/>
      <c r="J20" s="171"/>
      <c r="K20" s="171"/>
    </row>
    <row r="21" spans="1:11" ht="41.4" x14ac:dyDescent="0.25">
      <c r="A21" s="171" t="str">
        <v>SALESFORCE projects 2026 (reduced budget)</v>
      </c>
      <c r="B21" s="171"/>
      <c r="C21" s="171"/>
      <c r="D21" s="171"/>
      <c r="E21" s="171"/>
      <c r="F21" s="171" t="str">
        <v>FINOPS cloud cost Mgt</v>
      </c>
      <c r="G21" s="171" t="str">
        <v>eROSTER+</v>
      </c>
      <c r="H21" s="171"/>
      <c r="I21" s="171"/>
      <c r="J21" s="171"/>
      <c r="K21" s="171"/>
    </row>
    <row r="22" spans="1:11" ht="69" x14ac:dyDescent="0.25">
      <c r="A22" s="171" t="str">
        <v>SALESFORCE Reduce Average Handling Time (AHT in Customer Services)</v>
      </c>
      <c r="B22" s="171"/>
      <c r="C22" s="171"/>
      <c r="D22" s="171"/>
      <c r="E22" s="171"/>
      <c r="F22" s="171" t="str">
        <v>Masergy security appliances upgrade (Rapid 7)</v>
      </c>
      <c r="G22" s="171" t="str">
        <v>NPS &amp; Operations Analytics</v>
      </c>
      <c r="H22" s="171"/>
      <c r="I22" s="171"/>
      <c r="J22" s="171"/>
      <c r="K22" s="171"/>
    </row>
    <row r="23" spans="1:11" ht="41.4" x14ac:dyDescent="0.25">
      <c r="A23" s="171" t="str">
        <v>Connection NS</v>
      </c>
      <c r="B23" s="171"/>
      <c r="C23" s="171"/>
      <c r="D23" s="171"/>
      <c r="E23" s="171"/>
      <c r="F23" s="171" t="str">
        <v>Connect All v2</v>
      </c>
      <c r="G23" s="171" t="str">
        <v>T15 by Passenger Analytics</v>
      </c>
      <c r="H23" s="171"/>
      <c r="I23" s="171"/>
      <c r="J23" s="171"/>
      <c r="K23" s="171"/>
    </row>
    <row r="24" spans="1:11" ht="41.4" x14ac:dyDescent="0.25">
      <c r="A24" s="171" t="str">
        <v>Packages DE</v>
      </c>
      <c r="B24" s="171"/>
      <c r="C24" s="171"/>
      <c r="D24" s="171"/>
      <c r="E24" s="171"/>
      <c r="F24" s="171" t="str">
        <v>Printer replacement</v>
      </c>
      <c r="G24" s="171" t="str">
        <v>iTM: iTM improvements for cross-channel TM</v>
      </c>
      <c r="H24" s="171"/>
      <c r="I24" s="171"/>
      <c r="J24" s="171"/>
      <c r="K24" s="171"/>
    </row>
    <row r="25" spans="1:11" ht="55.2" x14ac:dyDescent="0.25">
      <c r="A25" s="171" t="str">
        <v>Customer Service Milestones for Cases in Salesforce</v>
      </c>
      <c r="B25" s="171"/>
      <c r="C25" s="171"/>
      <c r="D25" s="171"/>
      <c r="E25" s="171"/>
      <c r="F25" s="171"/>
      <c r="G25" s="171" t="str">
        <v>Belt Belt Turnaround &amp; Parking Analytics</v>
      </c>
      <c r="H25" s="171"/>
      <c r="I25" s="171"/>
      <c r="J25" s="171"/>
      <c r="K25" s="171"/>
    </row>
    <row r="26" spans="1:11" ht="55.2" x14ac:dyDescent="0.25">
      <c r="A26" s="171" t="str">
        <v>App store optimisation, chatbot in app, SEO to GEO</v>
      </c>
      <c r="B26" s="171"/>
      <c r="C26" s="171"/>
      <c r="D26" s="171"/>
      <c r="E26" s="171"/>
      <c r="F26" s="171"/>
      <c r="G26" s="171" t="str">
        <v>"Enchainement" project</v>
      </c>
      <c r="H26" s="171"/>
      <c r="I26" s="171"/>
      <c r="J26" s="171"/>
      <c r="K26" s="171"/>
    </row>
    <row r="27" spans="1:11" x14ac:dyDescent="0.25">
      <c r="G27" t="str">
        <v>Star (MASTERPLAN)</v>
      </c>
    </row>
    <row r="28" spans="1:11" x14ac:dyDescent="0.25">
      <c r="G28" t="str">
        <v>Fiche Train v2</v>
      </c>
    </row>
    <row r="29" spans="1:11" x14ac:dyDescent="0.25">
      <c r="G29" t="str">
        <v>PICXEL (MASTERPLAN)</v>
      </c>
    </row>
    <row r="30" spans="1:11" x14ac:dyDescent="0.25">
      <c r="G30" t="str">
        <v>Decommission Netsize</v>
      </c>
    </row>
    <row r="31" spans="1:11" x14ac:dyDescent="0.25">
      <c r="G31" t="str">
        <v>Decommission CO Live</v>
      </c>
    </row>
    <row r="32" spans="1:11" x14ac:dyDescent="0.25">
      <c r="G32" t="str">
        <v>Decommission Georame</v>
      </c>
    </row>
    <row r="33" spans="7:7" x14ac:dyDescent="0.25">
      <c r="G33" t="str">
        <v>Decommission Cockpit, Localys, Daily order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24DE-4F19-429F-A16E-5F1331953A8B}">
  <sheetPr codeName="Sheet6">
    <tabColor theme="7" tint="0.79998168889431442"/>
  </sheetPr>
  <dimension ref="A1:I17"/>
  <sheetViews>
    <sheetView zoomScale="120" zoomScaleNormal="120" workbookViewId="0">
      <selection activeCell="C10" sqref="C10"/>
    </sheetView>
  </sheetViews>
  <sheetFormatPr defaultColWidth="9" defaultRowHeight="13.8" x14ac:dyDescent="0.25"/>
  <cols>
    <col min="1" max="1" width="34.09765625" customWidth="1"/>
    <col min="2" max="9" width="9.59765625" customWidth="1"/>
  </cols>
  <sheetData>
    <row r="1" spans="1:9" ht="49.35" customHeight="1" x14ac:dyDescent="0.25">
      <c r="A1" s="248" t="s">
        <v>608</v>
      </c>
      <c r="B1" s="248"/>
      <c r="C1" s="248"/>
      <c r="D1" s="248"/>
      <c r="E1" s="248"/>
      <c r="F1" s="248"/>
      <c r="G1" s="248"/>
      <c r="H1" s="248"/>
      <c r="I1" s="248"/>
    </row>
    <row r="2" spans="1:9" ht="21.6" customHeight="1" x14ac:dyDescent="0.25">
      <c r="A2" s="81"/>
      <c r="B2" s="82" t="str">
        <f>'System List'!D5</f>
        <v>Q4 2024</v>
      </c>
      <c r="C2" s="82" t="str">
        <f>'System List'!D6</f>
        <v>Q1 2025</v>
      </c>
      <c r="D2" s="82" t="str">
        <f>'System List'!D7</f>
        <v>Q2 2025</v>
      </c>
      <c r="E2" s="82" t="str">
        <f>'System List'!D8</f>
        <v>Q3 2025</v>
      </c>
      <c r="F2" s="82" t="str">
        <f>'System List'!D9</f>
        <v>Q4 2025</v>
      </c>
      <c r="G2" s="82">
        <f>'System List'!D10</f>
        <v>2026</v>
      </c>
      <c r="H2" s="82">
        <f>'System List'!D11</f>
        <v>2027</v>
      </c>
      <c r="I2" s="82" t="str">
        <f>'System List'!D12</f>
        <v>2028 +</v>
      </c>
    </row>
    <row r="3" spans="1:9" s="2" customFormat="1" ht="27.6" customHeight="1" x14ac:dyDescent="0.25">
      <c r="A3" s="83" t="str">
        <f>'System List'!AB5</f>
        <v>CORPHRFIN</v>
      </c>
      <c r="B3" s="72">
        <f>Input!CY206</f>
        <v>0</v>
      </c>
      <c r="C3" s="72">
        <f>Input!CZ206</f>
        <v>0</v>
      </c>
      <c r="D3" s="72">
        <f>Input!DA206</f>
        <v>0</v>
      </c>
      <c r="E3" s="72">
        <f>Input!DB206</f>
        <v>0</v>
      </c>
      <c r="F3" s="72">
        <f>Input!DC206</f>
        <v>0</v>
      </c>
      <c r="G3" s="72">
        <f>Input!DD206</f>
        <v>0</v>
      </c>
      <c r="H3" s="72">
        <f>Input!DE206</f>
        <v>0</v>
      </c>
      <c r="I3" s="72">
        <f>Input!DF206</f>
        <v>0</v>
      </c>
    </row>
    <row r="4" spans="1:9" s="2" customFormat="1" ht="27.6" customHeight="1" x14ac:dyDescent="0.25">
      <c r="A4" s="83" t="str">
        <f>'System List'!AB6</f>
        <v>CUST</v>
      </c>
      <c r="B4" s="72">
        <f>Input!DI206</f>
        <v>0</v>
      </c>
      <c r="C4" s="72">
        <f>Input!DJ206</f>
        <v>0</v>
      </c>
      <c r="D4" s="72">
        <f>Input!DK206</f>
        <v>0</v>
      </c>
      <c r="E4" s="72">
        <f>Input!DL206</f>
        <v>0</v>
      </c>
      <c r="F4" s="72">
        <f>Input!DM206</f>
        <v>0</v>
      </c>
      <c r="G4" s="72">
        <f>Input!DN206</f>
        <v>0</v>
      </c>
      <c r="H4" s="72">
        <f>Input!DO206</f>
        <v>0</v>
      </c>
      <c r="I4" s="72">
        <f>Input!DP206</f>
        <v>0</v>
      </c>
    </row>
    <row r="5" spans="1:9" s="2" customFormat="1" ht="27.6" customHeight="1" x14ac:dyDescent="0.25">
      <c r="A5" s="83" t="str">
        <f>'System List'!AB7</f>
        <v>CYBER</v>
      </c>
      <c r="B5" s="72">
        <f>Input!DS206</f>
        <v>0</v>
      </c>
      <c r="C5" s="72">
        <f>Input!DT206</f>
        <v>0</v>
      </c>
      <c r="D5" s="72">
        <f>Input!DU206</f>
        <v>0</v>
      </c>
      <c r="E5" s="72">
        <f>Input!DV206</f>
        <v>0</v>
      </c>
      <c r="F5" s="72">
        <f>Input!DW206</f>
        <v>0</v>
      </c>
      <c r="G5" s="72">
        <f>Input!DX206</f>
        <v>0</v>
      </c>
      <c r="H5" s="72">
        <f>Input!DY206</f>
        <v>0</v>
      </c>
      <c r="I5" s="72">
        <f>Input!DZ206</f>
        <v>0</v>
      </c>
    </row>
    <row r="6" spans="1:9" s="2" customFormat="1" ht="27.6" customHeight="1" x14ac:dyDescent="0.25">
      <c r="A6" s="83" t="str">
        <f>'System List'!AB8</f>
        <v>DATA</v>
      </c>
      <c r="B6" s="72">
        <f>Input!EC206</f>
        <v>0</v>
      </c>
      <c r="C6" s="72">
        <f>Input!ED206</f>
        <v>0</v>
      </c>
      <c r="D6" s="72">
        <f>Input!EE206</f>
        <v>0</v>
      </c>
      <c r="E6" s="72">
        <f>Input!EF206</f>
        <v>0</v>
      </c>
      <c r="F6" s="72">
        <f>Input!EG206</f>
        <v>0</v>
      </c>
      <c r="G6" s="72">
        <f>Input!EH206</f>
        <v>0</v>
      </c>
      <c r="H6" s="72">
        <f>Input!EI206</f>
        <v>0</v>
      </c>
      <c r="I6" s="72">
        <f>Input!EJ206</f>
        <v>0</v>
      </c>
    </row>
    <row r="7" spans="1:9" s="2" customFormat="1" ht="27.6" customHeight="1" x14ac:dyDescent="0.25">
      <c r="A7" s="83" t="str">
        <f>'System List'!AB10</f>
        <v>INFRA</v>
      </c>
      <c r="B7" s="72">
        <f>Input!EM206</f>
        <v>0</v>
      </c>
      <c r="C7" s="72">
        <f>Input!EN206</f>
        <v>0</v>
      </c>
      <c r="D7" s="72">
        <f>Input!EO206</f>
        <v>0</v>
      </c>
      <c r="E7" s="72">
        <f>Input!EP206</f>
        <v>0</v>
      </c>
      <c r="F7" s="72">
        <f>Input!EQ206</f>
        <v>0</v>
      </c>
      <c r="G7" s="72">
        <f>Input!ER206</f>
        <v>0</v>
      </c>
      <c r="H7" s="72">
        <f>Input!ES206</f>
        <v>0</v>
      </c>
      <c r="I7" s="72">
        <f>Input!ET206</f>
        <v>0</v>
      </c>
    </row>
    <row r="8" spans="1:9" s="2" customFormat="1" ht="27.6" customHeight="1" x14ac:dyDescent="0.25">
      <c r="A8" s="83" t="str">
        <f>'System List'!AB11</f>
        <v>OPERATIONS</v>
      </c>
      <c r="B8" s="72">
        <f>Input!EW206</f>
        <v>0</v>
      </c>
      <c r="C8" s="72">
        <f>Input!EX206</f>
        <v>0</v>
      </c>
      <c r="D8" s="72">
        <f>Input!EY206</f>
        <v>0</v>
      </c>
      <c r="E8" s="72">
        <f>Input!EZ206</f>
        <v>0</v>
      </c>
      <c r="F8" s="72">
        <f>Input!FA206</f>
        <v>0</v>
      </c>
      <c r="G8" s="72">
        <f>Input!FB206</f>
        <v>0</v>
      </c>
      <c r="H8" s="72">
        <f>Input!FC206</f>
        <v>0</v>
      </c>
      <c r="I8" s="72">
        <f>Input!FD206</f>
        <v>0</v>
      </c>
    </row>
    <row r="9" spans="1:9" s="2" customFormat="1" ht="27.6" customHeight="1" x14ac:dyDescent="0.25">
      <c r="A9" s="83" t="str">
        <f>'System List'!AB12</f>
        <v>PMO</v>
      </c>
      <c r="B9" s="72">
        <f>Input!FG206</f>
        <v>0</v>
      </c>
      <c r="C9" s="72">
        <f>Input!FH206</f>
        <v>0</v>
      </c>
      <c r="D9" s="72">
        <f>Input!FI206</f>
        <v>0</v>
      </c>
      <c r="E9" s="72">
        <f>Input!FJ206</f>
        <v>0</v>
      </c>
      <c r="F9" s="72">
        <f>Input!FK206</f>
        <v>0</v>
      </c>
      <c r="G9" s="72">
        <f>Input!FL206</f>
        <v>0</v>
      </c>
      <c r="H9" s="72">
        <f>Input!FM206</f>
        <v>0</v>
      </c>
      <c r="I9" s="72">
        <f>Input!FN206</f>
        <v>0</v>
      </c>
    </row>
    <row r="10" spans="1:9" s="2" customFormat="1" ht="27.6" customHeight="1" x14ac:dyDescent="0.25">
      <c r="A10" s="83" t="e">
        <f>'System List'!#REF!</f>
        <v>#REF!</v>
      </c>
      <c r="B10" s="72">
        <f>Input!FQ206</f>
        <v>0</v>
      </c>
      <c r="C10" s="72">
        <f>Input!FR206</f>
        <v>0</v>
      </c>
      <c r="D10" s="72">
        <f>Input!FS206</f>
        <v>0</v>
      </c>
      <c r="E10" s="72">
        <f>Input!FT206</f>
        <v>0</v>
      </c>
      <c r="F10" s="72">
        <f>Input!FU206</f>
        <v>0</v>
      </c>
      <c r="G10" s="72">
        <f>Input!FV206</f>
        <v>0</v>
      </c>
      <c r="H10" s="72">
        <f>Input!FW206</f>
        <v>0</v>
      </c>
      <c r="I10" s="72">
        <f>Input!FX206</f>
        <v>0</v>
      </c>
    </row>
    <row r="11" spans="1:9" s="2" customFormat="1" ht="27.6" hidden="1" customHeight="1" x14ac:dyDescent="0.25">
      <c r="A11" s="83" t="e">
        <f>'System List'!#REF!</f>
        <v>#REF!</v>
      </c>
      <c r="B11" s="72" t="e">
        <f>Input!#REF!</f>
        <v>#REF!</v>
      </c>
      <c r="C11" s="72" t="e">
        <f>Input!#REF!</f>
        <v>#REF!</v>
      </c>
      <c r="D11" s="72" t="e">
        <f>Input!#REF!</f>
        <v>#REF!</v>
      </c>
      <c r="E11" s="72" t="e">
        <f>Input!#REF!</f>
        <v>#REF!</v>
      </c>
      <c r="F11" s="72" t="e">
        <f>Input!#REF!</f>
        <v>#REF!</v>
      </c>
      <c r="G11" s="72" t="e">
        <f>Input!#REF!</f>
        <v>#REF!</v>
      </c>
      <c r="H11" s="72" t="e">
        <f>Input!#REF!</f>
        <v>#REF!</v>
      </c>
      <c r="I11" s="72" t="e">
        <f>Input!#REF!</f>
        <v>#REF!</v>
      </c>
    </row>
    <row r="12" spans="1:9" s="2" customFormat="1" ht="27.6" hidden="1" customHeight="1" x14ac:dyDescent="0.25">
      <c r="A12" s="83" t="e">
        <f>'System List'!#REF!</f>
        <v>#REF!</v>
      </c>
      <c r="B12" s="72" t="e">
        <f>Input!#REF!</f>
        <v>#REF!</v>
      </c>
      <c r="C12" s="72" t="e">
        <f>Input!#REF!</f>
        <v>#REF!</v>
      </c>
      <c r="D12" s="72" t="e">
        <f>Input!#REF!</f>
        <v>#REF!</v>
      </c>
      <c r="E12" s="72" t="e">
        <f>Input!#REF!</f>
        <v>#REF!</v>
      </c>
      <c r="F12" s="72" t="e">
        <f>Input!#REF!</f>
        <v>#REF!</v>
      </c>
      <c r="G12" s="72" t="e">
        <f>Input!#REF!</f>
        <v>#REF!</v>
      </c>
      <c r="H12" s="72" t="e">
        <f>Input!#REF!</f>
        <v>#REF!</v>
      </c>
      <c r="I12" s="72" t="e">
        <f>Input!#REF!</f>
        <v>#REF!</v>
      </c>
    </row>
    <row r="13" spans="1:9" s="2" customFormat="1" ht="27.6" hidden="1" customHeight="1" x14ac:dyDescent="0.25">
      <c r="A13" s="83" t="e">
        <f>'System List'!#REF!</f>
        <v>#REF!</v>
      </c>
      <c r="B13" s="72" t="e">
        <f>Input!#REF!</f>
        <v>#REF!</v>
      </c>
      <c r="C13" s="72" t="e">
        <f>Input!#REF!</f>
        <v>#REF!</v>
      </c>
      <c r="D13" s="72" t="e">
        <f>Input!#REF!</f>
        <v>#REF!</v>
      </c>
      <c r="E13" s="72" t="e">
        <f>Input!#REF!</f>
        <v>#REF!</v>
      </c>
      <c r="F13" s="72" t="e">
        <f>Input!#REF!</f>
        <v>#REF!</v>
      </c>
      <c r="G13" s="72" t="e">
        <f>Input!#REF!</f>
        <v>#REF!</v>
      </c>
      <c r="H13" s="72" t="e">
        <f>Input!#REF!</f>
        <v>#REF!</v>
      </c>
      <c r="I13" s="72" t="e">
        <f>Input!#REF!</f>
        <v>#REF!</v>
      </c>
    </row>
    <row r="14" spans="1:9" ht="28.35" hidden="1" customHeight="1" x14ac:dyDescent="0.25">
      <c r="A14" s="83" t="e">
        <f>'System List'!#REF!</f>
        <v>#REF!</v>
      </c>
      <c r="B14" s="72" t="e">
        <f>Input!#REF!</f>
        <v>#REF!</v>
      </c>
      <c r="C14" s="72" t="e">
        <f>Input!#REF!</f>
        <v>#REF!</v>
      </c>
      <c r="D14" s="72" t="e">
        <f>Input!#REF!</f>
        <v>#REF!</v>
      </c>
      <c r="E14" s="72" t="e">
        <f>Input!#REF!</f>
        <v>#REF!</v>
      </c>
      <c r="F14" s="72" t="e">
        <f>Input!#REF!</f>
        <v>#REF!</v>
      </c>
      <c r="G14" s="72" t="e">
        <f>Input!#REF!</f>
        <v>#REF!</v>
      </c>
      <c r="H14" s="72" t="e">
        <f>Input!#REF!</f>
        <v>#REF!</v>
      </c>
      <c r="I14" s="72" t="e">
        <f>Input!#REF!</f>
        <v>#REF!</v>
      </c>
    </row>
    <row r="15" spans="1:9" ht="28.35" hidden="1" customHeight="1" x14ac:dyDescent="0.25">
      <c r="A15" s="83" t="e">
        <f>'System List'!#REF!</f>
        <v>#REF!</v>
      </c>
      <c r="B15" s="72" t="e">
        <f>Input!#REF!</f>
        <v>#REF!</v>
      </c>
      <c r="C15" s="72" t="e">
        <f>Input!#REF!</f>
        <v>#REF!</v>
      </c>
      <c r="D15" s="72" t="e">
        <f>Input!#REF!</f>
        <v>#REF!</v>
      </c>
      <c r="E15" s="72" t="e">
        <f>Input!#REF!</f>
        <v>#REF!</v>
      </c>
      <c r="F15" s="72" t="e">
        <f>Input!#REF!</f>
        <v>#REF!</v>
      </c>
      <c r="G15" s="72" t="e">
        <f>Input!#REF!</f>
        <v>#REF!</v>
      </c>
      <c r="H15" s="72" t="e">
        <f>Input!#REF!</f>
        <v>#REF!</v>
      </c>
      <c r="I15" s="72" t="e">
        <f>Input!#REF!</f>
        <v>#REF!</v>
      </c>
    </row>
    <row r="16" spans="1:9" ht="28.35" hidden="1" customHeight="1" x14ac:dyDescent="0.25">
      <c r="A16" s="83" t="e">
        <f>'System List'!#REF!</f>
        <v>#REF!</v>
      </c>
      <c r="B16" s="72" t="e">
        <f>Input!#REF!</f>
        <v>#REF!</v>
      </c>
      <c r="C16" s="72" t="e">
        <f>Input!#REF!</f>
        <v>#REF!</v>
      </c>
      <c r="D16" s="72" t="e">
        <f>Input!#REF!</f>
        <v>#REF!</v>
      </c>
      <c r="E16" s="72" t="e">
        <f>Input!#REF!</f>
        <v>#REF!</v>
      </c>
      <c r="F16" s="72" t="e">
        <f>Input!#REF!</f>
        <v>#REF!</v>
      </c>
      <c r="G16" s="72" t="e">
        <f>Input!#REF!</f>
        <v>#REF!</v>
      </c>
      <c r="H16" s="72" t="e">
        <f>Input!#REF!</f>
        <v>#REF!</v>
      </c>
      <c r="I16" s="72" t="e">
        <f>Input!#REF!</f>
        <v>#REF!</v>
      </c>
    </row>
    <row r="17" spans="1:9" ht="28.35" hidden="1" customHeight="1" x14ac:dyDescent="0.25">
      <c r="A17" s="83" t="e">
        <f>'System List'!#REF!</f>
        <v>#REF!</v>
      </c>
      <c r="B17" s="72" t="e">
        <f>Input!#REF!</f>
        <v>#REF!</v>
      </c>
      <c r="C17" s="72" t="e">
        <f>Input!#REF!</f>
        <v>#REF!</v>
      </c>
      <c r="D17" s="72" t="e">
        <f>Input!#REF!</f>
        <v>#REF!</v>
      </c>
      <c r="E17" s="72" t="e">
        <f>Input!#REF!</f>
        <v>#REF!</v>
      </c>
      <c r="F17" s="72" t="e">
        <f>Input!#REF!</f>
        <v>#REF!</v>
      </c>
      <c r="G17" s="72" t="e">
        <f>Input!#REF!</f>
        <v>#REF!</v>
      </c>
      <c r="H17" s="72" t="e">
        <f>Input!#REF!</f>
        <v>#REF!</v>
      </c>
      <c r="I17" s="72" t="e">
        <f>Input!#REF!</f>
        <v>#REF!</v>
      </c>
    </row>
  </sheetData>
  <mergeCells count="1">
    <mergeCell ref="A1:I1"/>
  </mergeCells>
  <conditionalFormatting sqref="B3:I13">
    <cfRule type="colorScale" priority="5">
      <colorScale>
        <cfvo type="min"/>
        <cfvo type="max"/>
        <color theme="0"/>
        <color theme="3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B14:I14">
    <cfRule type="colorScale" priority="3">
      <colorScale>
        <cfvo type="min"/>
        <cfvo type="max"/>
        <color theme="0"/>
        <color theme="3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15:I17">
    <cfRule type="colorScale" priority="1">
      <colorScale>
        <cfvo type="min"/>
        <cfvo type="max"/>
        <color theme="0"/>
        <color theme="3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03C7-FEDB-4604-9CA3-01E48F7B9C1D}">
  <sheetPr codeName="Sheet7">
    <tabColor theme="7" tint="0.79998168889431442"/>
  </sheetPr>
  <dimension ref="A1:U21"/>
  <sheetViews>
    <sheetView showGridLines="0" zoomScaleNormal="100" workbookViewId="0">
      <selection activeCell="F8" sqref="F8"/>
    </sheetView>
  </sheetViews>
  <sheetFormatPr defaultColWidth="9" defaultRowHeight="13.8" x14ac:dyDescent="0.25"/>
  <cols>
    <col min="1" max="1" width="34.09765625" customWidth="1"/>
    <col min="2" max="9" width="9.59765625" customWidth="1"/>
  </cols>
  <sheetData>
    <row r="1" spans="1:21" ht="49.35" customHeight="1" x14ac:dyDescent="0.25">
      <c r="A1" s="249" t="s">
        <v>609</v>
      </c>
      <c r="B1" s="249"/>
      <c r="C1" s="249"/>
      <c r="D1" s="249"/>
      <c r="E1" s="249"/>
      <c r="F1" s="249"/>
      <c r="G1" s="249"/>
      <c r="H1" s="249"/>
      <c r="I1" s="249"/>
    </row>
    <row r="2" spans="1:21" ht="21.6" customHeight="1" x14ac:dyDescent="0.25">
      <c r="A2" s="77"/>
      <c r="B2" s="78" t="str">
        <f>'System List'!D5</f>
        <v>Q4 2024</v>
      </c>
      <c r="C2" s="78" t="str">
        <f>'System List'!D6</f>
        <v>Q1 2025</v>
      </c>
      <c r="D2" s="78" t="str">
        <f>'System List'!D7</f>
        <v>Q2 2025</v>
      </c>
      <c r="E2" s="78" t="str">
        <f>'System List'!D8</f>
        <v>Q3 2025</v>
      </c>
      <c r="F2" s="78" t="str">
        <f>'System List'!D9</f>
        <v>Q4 2025</v>
      </c>
      <c r="G2" s="78">
        <f>'System List'!D10</f>
        <v>2026</v>
      </c>
      <c r="H2" s="78">
        <f>'System List'!D11</f>
        <v>2027</v>
      </c>
      <c r="I2" s="78" t="str">
        <f>'System List'!D12</f>
        <v>2028 +</v>
      </c>
    </row>
    <row r="3" spans="1:21" s="2" customFormat="1" ht="27.6" customHeight="1" x14ac:dyDescent="0.25">
      <c r="A3" s="79" t="str">
        <f>'System List'!AB17</f>
        <v>Impact on - CIAL</v>
      </c>
      <c r="B3" s="80" cm="1">
        <f t="array" ref="B3:I13">TRANSPOSE(Input!BH212:BR219)</f>
        <v>0</v>
      </c>
      <c r="C3" s="80">
        <v>0</v>
      </c>
      <c r="D3" s="80">
        <v>0</v>
      </c>
      <c r="E3" s="80">
        <v>0</v>
      </c>
      <c r="F3" s="80">
        <v>0</v>
      </c>
      <c r="G3" s="80">
        <v>21</v>
      </c>
      <c r="H3" s="80">
        <v>0</v>
      </c>
      <c r="I3" s="80">
        <v>0</v>
      </c>
    </row>
    <row r="4" spans="1:21" s="2" customFormat="1" ht="27.6" customHeight="1" x14ac:dyDescent="0.25">
      <c r="A4" s="79" t="str">
        <f>'System List'!AB18</f>
        <v>Impact on - COM</v>
      </c>
      <c r="B4" s="80">
        <v>0</v>
      </c>
      <c r="C4" s="80">
        <v>0</v>
      </c>
      <c r="D4" s="80">
        <v>0</v>
      </c>
      <c r="E4" s="80">
        <v>0</v>
      </c>
      <c r="F4" s="80">
        <v>0</v>
      </c>
      <c r="G4" s="80">
        <v>0</v>
      </c>
      <c r="H4" s="80">
        <v>0</v>
      </c>
      <c r="I4" s="80">
        <v>0</v>
      </c>
      <c r="N4" s="80"/>
      <c r="O4" s="80"/>
      <c r="P4" s="80"/>
      <c r="Q4" s="80"/>
      <c r="R4" s="80"/>
      <c r="S4" s="80"/>
      <c r="T4" s="80"/>
      <c r="U4" s="80"/>
    </row>
    <row r="5" spans="1:21" s="2" customFormat="1" ht="27.6" customHeight="1" x14ac:dyDescent="0.25">
      <c r="A5" s="79" t="str">
        <f>'System List'!AB19</f>
        <v>Impact on - FIN</v>
      </c>
      <c r="B5" s="80">
        <v>0</v>
      </c>
      <c r="C5" s="80">
        <v>0</v>
      </c>
      <c r="D5" s="80">
        <v>0</v>
      </c>
      <c r="E5" s="80">
        <v>0</v>
      </c>
      <c r="F5" s="80">
        <v>0</v>
      </c>
      <c r="G5" s="80">
        <v>0</v>
      </c>
      <c r="H5" s="80">
        <v>0</v>
      </c>
      <c r="I5" s="80">
        <v>0</v>
      </c>
      <c r="N5" s="80"/>
      <c r="O5" s="80"/>
      <c r="P5" s="80"/>
      <c r="Q5" s="80"/>
      <c r="R5" s="80"/>
      <c r="S5" s="80"/>
      <c r="T5" s="80"/>
      <c r="U5" s="80"/>
    </row>
    <row r="6" spans="1:21" s="2" customFormat="1" ht="27.6" customHeight="1" x14ac:dyDescent="0.25">
      <c r="A6" s="79" t="str">
        <f>'System List'!AB20</f>
        <v>Impact on - GEN SEC</v>
      </c>
      <c r="B6" s="80">
        <v>0</v>
      </c>
      <c r="C6" s="80">
        <v>0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N6" s="80"/>
      <c r="O6" s="80"/>
      <c r="P6" s="80"/>
      <c r="Q6" s="80"/>
      <c r="R6" s="80"/>
      <c r="S6" s="80"/>
      <c r="T6" s="80"/>
      <c r="U6" s="80"/>
    </row>
    <row r="7" spans="1:21" s="2" customFormat="1" ht="27.6" customHeight="1" x14ac:dyDescent="0.25">
      <c r="A7" s="79" t="str">
        <f>'System List'!AB21</f>
        <v>Impact on - HR</v>
      </c>
      <c r="B7" s="80">
        <v>0</v>
      </c>
      <c r="C7" s="80">
        <v>0</v>
      </c>
      <c r="D7" s="80">
        <v>0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N7" s="80"/>
      <c r="O7" s="80"/>
      <c r="P7" s="80"/>
      <c r="Q7" s="80"/>
      <c r="R7" s="80"/>
      <c r="S7" s="80"/>
      <c r="T7" s="80"/>
      <c r="U7" s="80"/>
    </row>
    <row r="8" spans="1:21" s="2" customFormat="1" ht="27.6" customHeight="1" x14ac:dyDescent="0.25">
      <c r="A8" s="79" t="str">
        <f>'System List'!AB22</f>
        <v>Impact on - IS</v>
      </c>
      <c r="B8" s="80">
        <v>0</v>
      </c>
      <c r="C8" s="80">
        <v>0</v>
      </c>
      <c r="D8" s="80">
        <v>0</v>
      </c>
      <c r="E8" s="80">
        <v>0</v>
      </c>
      <c r="F8" s="80">
        <v>0</v>
      </c>
      <c r="G8" s="80">
        <v>31</v>
      </c>
      <c r="H8" s="80">
        <v>0</v>
      </c>
      <c r="I8" s="80">
        <v>0</v>
      </c>
      <c r="N8" s="80"/>
      <c r="O8" s="80"/>
      <c r="P8" s="80"/>
      <c r="Q8" s="80"/>
      <c r="R8" s="80"/>
      <c r="S8" s="80"/>
      <c r="T8" s="80"/>
      <c r="U8" s="80"/>
    </row>
    <row r="9" spans="1:21" s="2" customFormat="1" ht="27.6" customHeight="1" x14ac:dyDescent="0.25">
      <c r="A9" s="79" t="str">
        <f>'System List'!AB23</f>
        <v>Impact on - OPS</v>
      </c>
      <c r="B9" s="80">
        <v>0</v>
      </c>
      <c r="C9" s="80">
        <v>0</v>
      </c>
      <c r="D9" s="80">
        <v>0</v>
      </c>
      <c r="E9" s="80">
        <v>0</v>
      </c>
      <c r="F9" s="80">
        <v>0</v>
      </c>
      <c r="G9" s="80">
        <v>21</v>
      </c>
      <c r="H9" s="80">
        <v>5</v>
      </c>
      <c r="I9" s="80">
        <v>0</v>
      </c>
      <c r="N9" s="80"/>
      <c r="O9" s="80"/>
      <c r="P9" s="80"/>
      <c r="Q9" s="80"/>
      <c r="R9" s="80"/>
      <c r="S9" s="80"/>
      <c r="T9" s="80"/>
      <c r="U9" s="80"/>
    </row>
    <row r="10" spans="1:21" s="2" customFormat="1" ht="27.6" customHeight="1" x14ac:dyDescent="0.25">
      <c r="A10" s="79" t="str">
        <f>'System List'!AB24</f>
        <v>Impact on - ROLL STOCK</v>
      </c>
      <c r="B10" s="80">
        <v>0</v>
      </c>
      <c r="C10" s="80">
        <v>0</v>
      </c>
      <c r="D10" s="80">
        <v>0</v>
      </c>
      <c r="E10" s="80">
        <v>0</v>
      </c>
      <c r="F10" s="80">
        <v>0</v>
      </c>
      <c r="G10" s="80">
        <v>13</v>
      </c>
      <c r="H10" s="80">
        <v>5</v>
      </c>
      <c r="I10" s="80">
        <v>0</v>
      </c>
      <c r="N10" s="80"/>
      <c r="O10" s="80"/>
      <c r="P10" s="80"/>
      <c r="Q10" s="80"/>
      <c r="R10" s="80"/>
      <c r="S10" s="80"/>
      <c r="T10" s="80"/>
      <c r="U10" s="80"/>
    </row>
    <row r="11" spans="1:21" s="2" customFormat="1" ht="27.6" customHeight="1" x14ac:dyDescent="0.25">
      <c r="A11" s="79" t="str">
        <f>'System List'!AB25</f>
        <v>Impact on - SAFETY</v>
      </c>
      <c r="B11" s="80">
        <v>0</v>
      </c>
      <c r="C11" s="80">
        <v>0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N11" s="80"/>
      <c r="O11" s="80"/>
      <c r="P11" s="80"/>
      <c r="Q11" s="80"/>
      <c r="R11" s="80"/>
      <c r="S11" s="80"/>
      <c r="T11" s="80"/>
      <c r="U11" s="80"/>
    </row>
    <row r="12" spans="1:21" s="2" customFormat="1" ht="27.6" customHeight="1" x14ac:dyDescent="0.25">
      <c r="A12" s="79" t="str">
        <f>'System List'!AB26</f>
        <v>Impact on - STATION</v>
      </c>
      <c r="B12" s="80">
        <v>0</v>
      </c>
      <c r="C12" s="80">
        <v>0</v>
      </c>
      <c r="D12" s="80">
        <v>0</v>
      </c>
      <c r="E12" s="80">
        <v>0</v>
      </c>
      <c r="F12" s="80">
        <v>0</v>
      </c>
      <c r="G12" s="80">
        <v>8</v>
      </c>
      <c r="H12" s="80">
        <v>0</v>
      </c>
      <c r="I12" s="80">
        <v>0</v>
      </c>
      <c r="N12" s="80"/>
      <c r="O12" s="80"/>
      <c r="P12" s="80"/>
      <c r="Q12" s="80"/>
      <c r="R12" s="80"/>
      <c r="S12" s="80"/>
      <c r="T12" s="80"/>
      <c r="U12" s="80"/>
    </row>
    <row r="13" spans="1:21" s="2" customFormat="1" ht="27.6" customHeight="1" x14ac:dyDescent="0.25">
      <c r="A13" s="79" t="str">
        <f>'System List'!AB27</f>
        <v>Impact on - STRAT</v>
      </c>
      <c r="B13" s="80">
        <v>0</v>
      </c>
      <c r="C13" s="80">
        <v>0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N13" s="80"/>
      <c r="O13" s="80"/>
      <c r="P13" s="80"/>
      <c r="Q13" s="80"/>
      <c r="R13" s="80"/>
      <c r="S13" s="80"/>
      <c r="T13" s="80"/>
      <c r="U13" s="80"/>
    </row>
    <row r="14" spans="1:21" ht="28.35" hidden="1" customHeight="1" x14ac:dyDescent="0.25">
      <c r="A14" s="79" t="e">
        <f>'System List'!#REF!</f>
        <v>#REF!</v>
      </c>
      <c r="B14" s="80"/>
      <c r="C14" s="80"/>
      <c r="D14" s="80"/>
      <c r="E14" s="80"/>
      <c r="F14" s="80"/>
      <c r="G14" s="80"/>
      <c r="H14" s="80"/>
      <c r="I14" s="80"/>
      <c r="N14" s="80"/>
      <c r="O14" s="80"/>
      <c r="P14" s="80"/>
      <c r="Q14" s="80"/>
      <c r="R14" s="80"/>
      <c r="S14" s="80"/>
      <c r="T14" s="80"/>
      <c r="U14" s="80"/>
    </row>
    <row r="15" spans="1:21" ht="28.35" hidden="1" customHeight="1" x14ac:dyDescent="0.25">
      <c r="A15" s="79" t="e">
        <f>'System List'!#REF!</f>
        <v>#REF!</v>
      </c>
      <c r="B15" s="80"/>
      <c r="C15" s="80"/>
      <c r="D15" s="80"/>
      <c r="E15" s="80"/>
      <c r="F15" s="80"/>
      <c r="G15" s="80"/>
      <c r="H15" s="80"/>
      <c r="I15" s="80"/>
    </row>
    <row r="16" spans="1:21" ht="28.35" hidden="1" customHeight="1" x14ac:dyDescent="0.25">
      <c r="A16" s="79" t="e">
        <f>'System List'!#REF!</f>
        <v>#REF!</v>
      </c>
      <c r="B16" s="80"/>
      <c r="C16" s="80"/>
      <c r="D16" s="80"/>
      <c r="E16" s="80"/>
      <c r="F16" s="80"/>
      <c r="G16" s="80"/>
      <c r="H16" s="80"/>
      <c r="I16" s="80"/>
    </row>
    <row r="17" spans="1:9" ht="28.35" hidden="1" customHeight="1" x14ac:dyDescent="0.25">
      <c r="A17" s="79" t="e">
        <f>'System List'!#REF!</f>
        <v>#REF!</v>
      </c>
      <c r="B17" s="80"/>
      <c r="C17" s="80"/>
      <c r="D17" s="80"/>
      <c r="E17" s="80"/>
      <c r="F17" s="80"/>
      <c r="G17" s="80"/>
      <c r="H17" s="80"/>
      <c r="I17" s="80"/>
    </row>
    <row r="21" spans="1:9" x14ac:dyDescent="0.25">
      <c r="A21" s="128" t="s">
        <v>610</v>
      </c>
    </row>
  </sheetData>
  <mergeCells count="1">
    <mergeCell ref="A1:I1"/>
  </mergeCells>
  <conditionalFormatting sqref="B3:I3">
    <cfRule type="colorScale" priority="3">
      <colorScale>
        <cfvo type="min"/>
        <cfvo type="max"/>
        <color theme="0"/>
        <color theme="8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4:I17">
    <cfRule type="colorScale" priority="1">
      <colorScale>
        <cfvo type="min"/>
        <cfvo type="max"/>
        <color theme="0"/>
        <color theme="8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N4:U14">
    <cfRule type="colorScale" priority="9">
      <colorScale>
        <cfvo type="min"/>
        <cfvo type="max"/>
        <color theme="0"/>
        <color theme="8"/>
      </colorScale>
    </cfRule>
    <cfRule type="colorScale" priority="10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3A46-664D-4CF9-82C4-93A1144209C0}">
  <sheetPr codeName="Sheet8">
    <tabColor theme="7" tint="0.79998168889431442"/>
  </sheetPr>
  <dimension ref="A5:O19"/>
  <sheetViews>
    <sheetView topLeftCell="A6" workbookViewId="0">
      <selection activeCell="P14" sqref="P14"/>
    </sheetView>
  </sheetViews>
  <sheetFormatPr defaultRowHeight="13.8" x14ac:dyDescent="0.25"/>
  <cols>
    <col min="1" max="1" width="3.59765625" customWidth="1"/>
  </cols>
  <sheetData>
    <row r="5" spans="1:1" x14ac:dyDescent="0.25">
      <c r="A5" s="250" t="s">
        <v>611</v>
      </c>
    </row>
    <row r="6" spans="1:1" x14ac:dyDescent="0.25">
      <c r="A6" s="250"/>
    </row>
    <row r="7" spans="1:1" x14ac:dyDescent="0.25">
      <c r="A7" s="250"/>
    </row>
    <row r="8" spans="1:1" x14ac:dyDescent="0.25">
      <c r="A8" s="250"/>
    </row>
    <row r="9" spans="1:1" x14ac:dyDescent="0.25">
      <c r="A9" s="250"/>
    </row>
    <row r="10" spans="1:1" ht="45.6" customHeight="1" x14ac:dyDescent="0.25">
      <c r="A10" s="250"/>
    </row>
    <row r="11" spans="1:1" x14ac:dyDescent="0.25">
      <c r="A11" s="250"/>
    </row>
    <row r="12" spans="1:1" x14ac:dyDescent="0.25">
      <c r="A12" s="250"/>
    </row>
    <row r="13" spans="1:1" x14ac:dyDescent="0.25">
      <c r="A13" s="250"/>
    </row>
    <row r="14" spans="1:1" x14ac:dyDescent="0.25">
      <c r="A14" s="250"/>
    </row>
    <row r="15" spans="1:1" x14ac:dyDescent="0.25">
      <c r="A15" s="250"/>
    </row>
    <row r="18" spans="2:15" ht="116.1" customHeight="1" x14ac:dyDescent="0.25"/>
    <row r="19" spans="2:15" x14ac:dyDescent="0.25">
      <c r="B19" s="251" t="s">
        <v>612</v>
      </c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</sheetData>
  <mergeCells count="2">
    <mergeCell ref="A5:A15"/>
    <mergeCell ref="B19:O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527F-B51F-4B95-9C94-426D8CC76C31}">
  <sheetPr codeName="Sheet9"/>
  <dimension ref="A1:L62"/>
  <sheetViews>
    <sheetView topLeftCell="A14" workbookViewId="0">
      <selection activeCell="A27" sqref="A27"/>
    </sheetView>
  </sheetViews>
  <sheetFormatPr defaultRowHeight="13.8" x14ac:dyDescent="0.25"/>
  <cols>
    <col min="1" max="1" width="16.59765625" bestFit="1" customWidth="1"/>
    <col min="2" max="2" width="10.59765625" bestFit="1" customWidth="1"/>
    <col min="3" max="3" width="5.09765625" bestFit="1" customWidth="1"/>
    <col min="4" max="4" width="6.59765625" bestFit="1" customWidth="1"/>
    <col min="5" max="5" width="5.09765625" bestFit="1" customWidth="1"/>
    <col min="6" max="6" width="8" bestFit="1" customWidth="1"/>
    <col min="7" max="7" width="11.59765625" bestFit="1" customWidth="1"/>
    <col min="8" max="8" width="4.59765625" bestFit="1" customWidth="1"/>
    <col min="9" max="10" width="6.09765625" bestFit="1" customWidth="1"/>
    <col min="11" max="11" width="4.59765625" bestFit="1" customWidth="1"/>
    <col min="12" max="12" width="11.09765625" bestFit="1" customWidth="1"/>
    <col min="13" max="15" width="7.09765625" bestFit="1" customWidth="1"/>
    <col min="16" max="16" width="4.5" bestFit="1" customWidth="1"/>
    <col min="17" max="17" width="11.59765625" bestFit="1" customWidth="1"/>
    <col min="18" max="18" width="9.09765625" bestFit="1" customWidth="1"/>
    <col min="19" max="20" width="7.09765625" bestFit="1" customWidth="1"/>
    <col min="21" max="21" width="4.5" bestFit="1" customWidth="1"/>
    <col min="22" max="22" width="6" bestFit="1" customWidth="1"/>
    <col min="23" max="23" width="11.59765625" bestFit="1" customWidth="1"/>
    <col min="24" max="25" width="7.09765625" bestFit="1" customWidth="1"/>
    <col min="26" max="26" width="4.5" bestFit="1" customWidth="1"/>
    <col min="27" max="27" width="11.59765625" bestFit="1" customWidth="1"/>
    <col min="28" max="28" width="7.09765625" bestFit="1" customWidth="1"/>
    <col min="29" max="29" width="4.5" bestFit="1" customWidth="1"/>
    <col min="30" max="30" width="11.59765625" bestFit="1" customWidth="1"/>
    <col min="31" max="31" width="6.5" bestFit="1" customWidth="1"/>
    <col min="32" max="32" width="8.59765625" bestFit="1" customWidth="1"/>
    <col min="33" max="33" width="8.09765625" bestFit="1" customWidth="1"/>
    <col min="34" max="34" width="10.59765625" bestFit="1" customWidth="1"/>
    <col min="35" max="35" width="4.59765625" bestFit="1" customWidth="1"/>
  </cols>
  <sheetData>
    <row r="1" spans="1:11" x14ac:dyDescent="0.25">
      <c r="A1" s="194" t="s">
        <v>36</v>
      </c>
      <c r="B1" t="s">
        <v>613</v>
      </c>
    </row>
    <row r="3" spans="1:11" s="89" customFormat="1" x14ac:dyDescent="0.25">
      <c r="A3" s="177" t="s">
        <v>614</v>
      </c>
      <c r="B3"/>
      <c r="C3"/>
      <c r="D3"/>
      <c r="E3"/>
      <c r="F3"/>
      <c r="G3"/>
      <c r="H3"/>
      <c r="I3"/>
    </row>
    <row r="4" spans="1:11" ht="60.6" x14ac:dyDescent="0.25">
      <c r="A4" s="212">
        <v>72</v>
      </c>
    </row>
    <row r="6" spans="1:11" x14ac:dyDescent="0.25">
      <c r="A6" s="194" t="s">
        <v>36</v>
      </c>
      <c r="B6" t="s">
        <v>613</v>
      </c>
    </row>
    <row r="8" spans="1:11" x14ac:dyDescent="0.25">
      <c r="A8" s="196" t="s">
        <v>615</v>
      </c>
    </row>
    <row r="9" spans="1:11" ht="60.6" x14ac:dyDescent="0.25">
      <c r="A9" s="212">
        <v>44</v>
      </c>
    </row>
    <row r="12" spans="1:11" x14ac:dyDescent="0.25">
      <c r="A12" s="179" t="s">
        <v>36</v>
      </c>
      <c r="B12" s="183" t="s">
        <v>613</v>
      </c>
      <c r="C12" s="2"/>
      <c r="D12" s="2"/>
      <c r="E12" s="2"/>
      <c r="F12" s="2"/>
    </row>
    <row r="13" spans="1:11" x14ac:dyDescent="0.25">
      <c r="B13" s="2"/>
      <c r="C13" s="2"/>
      <c r="D13" s="2"/>
      <c r="E13" s="2"/>
      <c r="F13" s="2"/>
    </row>
    <row r="14" spans="1:11" x14ac:dyDescent="0.25">
      <c r="A14" s="184"/>
      <c r="B14" s="182" t="s">
        <v>36</v>
      </c>
      <c r="C14" s="180"/>
      <c r="D14" s="180"/>
      <c r="E14" s="180"/>
      <c r="F14" s="180"/>
      <c r="G14" s="180"/>
      <c r="H14" s="180"/>
      <c r="I14" s="180"/>
      <c r="J14" s="180"/>
      <c r="K14" s="180"/>
    </row>
    <row r="15" spans="1:11" x14ac:dyDescent="0.25">
      <c r="A15" s="184"/>
      <c r="B15" s="183" t="s">
        <v>56</v>
      </c>
      <c r="C15" s="183" t="s">
        <v>57</v>
      </c>
      <c r="D15" s="183" t="s">
        <v>58</v>
      </c>
      <c r="E15" s="183" t="s">
        <v>59</v>
      </c>
      <c r="F15" s="183" t="s">
        <v>60</v>
      </c>
      <c r="G15" s="183" t="s">
        <v>61</v>
      </c>
      <c r="H15" s="183" t="s">
        <v>62</v>
      </c>
      <c r="I15" s="183" t="s">
        <v>63</v>
      </c>
      <c r="J15" s="183" t="s">
        <v>616</v>
      </c>
      <c r="K15" s="180" t="s">
        <v>617</v>
      </c>
    </row>
    <row r="16" spans="1:11" x14ac:dyDescent="0.25">
      <c r="A16" s="183" t="s">
        <v>618</v>
      </c>
      <c r="B16" s="214">
        <v>4</v>
      </c>
      <c r="C16" s="214">
        <v>8</v>
      </c>
      <c r="D16" s="214">
        <v>3</v>
      </c>
      <c r="E16" s="214">
        <v>6</v>
      </c>
      <c r="F16" s="214">
        <v>10</v>
      </c>
      <c r="G16" s="214">
        <v>7</v>
      </c>
      <c r="H16" s="214">
        <v>2</v>
      </c>
      <c r="I16" s="214">
        <v>4</v>
      </c>
      <c r="J16" s="214"/>
      <c r="K16" s="214">
        <v>44</v>
      </c>
    </row>
    <row r="19" spans="1:9" x14ac:dyDescent="0.25">
      <c r="A19" s="185"/>
      <c r="B19" s="195" t="s">
        <v>56</v>
      </c>
      <c r="C19" s="195" t="s">
        <v>57</v>
      </c>
      <c r="D19" s="195" t="s">
        <v>58</v>
      </c>
      <c r="E19" s="195" t="s">
        <v>59</v>
      </c>
      <c r="F19" s="195" t="s">
        <v>60</v>
      </c>
      <c r="G19" s="195" t="s">
        <v>61</v>
      </c>
      <c r="H19" s="195" t="s">
        <v>62</v>
      </c>
      <c r="I19" s="195" t="s">
        <v>63</v>
      </c>
    </row>
    <row r="20" spans="1:9" x14ac:dyDescent="0.25">
      <c r="A20" s="185" t="s">
        <v>618</v>
      </c>
      <c r="B20" s="185">
        <f>GETPIVOTDATA("Project",$A$14,"Team","CORPHRFIN")</f>
        <v>4</v>
      </c>
      <c r="C20" s="185">
        <f>GETPIVOTDATA("Project",$A$14,"Team","CUST")</f>
        <v>8</v>
      </c>
      <c r="D20" s="185">
        <f>GETPIVOTDATA("Project",$A$14,"Team","CYBER")</f>
        <v>3</v>
      </c>
      <c r="E20" s="185">
        <f>GETPIVOTDATA("Project",$A$14,"Team","DATA")</f>
        <v>6</v>
      </c>
      <c r="F20" s="185">
        <f>GETPIVOTDATA("Project",$A$14,"Team","INFRA")</f>
        <v>10</v>
      </c>
      <c r="G20" s="185">
        <f>GETPIVOTDATA("Project",$A$14,"Team","OPERATIONS")</f>
        <v>7</v>
      </c>
      <c r="H20" s="185">
        <f>GETPIVOTDATA("Project",$A$14,"Team","PMO")</f>
        <v>2</v>
      </c>
      <c r="I20" s="185">
        <f>GETPIVOTDATA("Project",$A$14,"Team","SALES")</f>
        <v>4</v>
      </c>
    </row>
    <row r="25" spans="1:9" x14ac:dyDescent="0.25">
      <c r="A25" s="179" t="s">
        <v>36</v>
      </c>
      <c r="B25" s="183" t="s">
        <v>104</v>
      </c>
      <c r="C25" s="2"/>
      <c r="D25" s="2"/>
      <c r="E25" s="2"/>
      <c r="F25" s="2"/>
    </row>
    <row r="26" spans="1:9" x14ac:dyDescent="0.25">
      <c r="B26" s="2"/>
      <c r="C26" s="2"/>
      <c r="D26" s="2"/>
      <c r="E26" s="2"/>
      <c r="F26" s="2"/>
    </row>
    <row r="27" spans="1:9" x14ac:dyDescent="0.25">
      <c r="A27" s="182" t="s">
        <v>619</v>
      </c>
      <c r="B27" s="180" t="s">
        <v>618</v>
      </c>
    </row>
    <row r="28" spans="1:9" x14ac:dyDescent="0.25">
      <c r="A28" s="181" t="s">
        <v>544</v>
      </c>
      <c r="B28" s="214">
        <v>14</v>
      </c>
    </row>
    <row r="29" spans="1:9" x14ac:dyDescent="0.25">
      <c r="A29" s="181" t="s">
        <v>556</v>
      </c>
      <c r="B29" s="214">
        <v>9</v>
      </c>
    </row>
    <row r="30" spans="1:9" x14ac:dyDescent="0.25">
      <c r="A30" s="181" t="s">
        <v>123</v>
      </c>
      <c r="B30" s="214">
        <v>1</v>
      </c>
    </row>
    <row r="31" spans="1:9" x14ac:dyDescent="0.25">
      <c r="A31" s="181" t="s">
        <v>617</v>
      </c>
      <c r="B31" s="214">
        <v>24</v>
      </c>
    </row>
    <row r="40" spans="1:12" ht="27.6" x14ac:dyDescent="0.25">
      <c r="B40" s="89" t="s">
        <v>620</v>
      </c>
      <c r="C40" s="89" t="s">
        <v>544</v>
      </c>
      <c r="D40" s="89" t="s">
        <v>556</v>
      </c>
      <c r="E40" s="89" t="s">
        <v>123</v>
      </c>
      <c r="F40" t="s">
        <v>621</v>
      </c>
    </row>
    <row r="41" spans="1:12" x14ac:dyDescent="0.25">
      <c r="A41" t="s">
        <v>618</v>
      </c>
      <c r="B41" t="e">
        <f>GETPIVOTDATA("Project",$A$27,"Starting Date","Already Started")+GETPIVOTDATA("Project",$A$27,"Starting Date","Q1 2025")+GETPIVOTDATA("Project",$A$27,"Starting Date","Q4 2024")</f>
        <v>#REF!</v>
      </c>
      <c r="C41">
        <f>GETPIVOTDATA("Project",$A$27,"Starting Date","Q2 2025")</f>
        <v>14</v>
      </c>
      <c r="D41">
        <f>GETPIVOTDATA("Project",$A$27,"Starting Date","Q3 2025")</f>
        <v>9</v>
      </c>
      <c r="E41">
        <f>GETPIVOTDATA("Project",$A$27,"Starting Date","Q4 2025")</f>
        <v>1</v>
      </c>
      <c r="F41" s="89" t="e">
        <f>GETPIVOTDATA("Project",$A$27,"Starting Date",2026)</f>
        <v>#REF!</v>
      </c>
    </row>
    <row r="42" spans="1:12" x14ac:dyDescent="0.25">
      <c r="A42" t="s">
        <v>622</v>
      </c>
      <c r="B42" t="e">
        <f>B41</f>
        <v>#REF!</v>
      </c>
      <c r="C42" t="e">
        <f>B42+C41</f>
        <v>#REF!</v>
      </c>
      <c r="D42" t="e">
        <f t="shared" ref="D42:F42" si="0">C42+D41</f>
        <v>#REF!</v>
      </c>
      <c r="E42" t="e">
        <f t="shared" si="0"/>
        <v>#REF!</v>
      </c>
      <c r="F42" t="e">
        <f t="shared" si="0"/>
        <v>#REF!</v>
      </c>
    </row>
    <row r="43" spans="1:12" x14ac:dyDescent="0.25">
      <c r="A43" t="s">
        <v>623</v>
      </c>
      <c r="B43" t="e">
        <f>GETPIVOTDATA("Project",$A$27,"Targeted DELIVERY","Q1 2025")</f>
        <v>#REF!</v>
      </c>
      <c r="C43" t="e">
        <f>GETPIVOTDATA("Project",$A$27,"Targeted DELIVERY","Q2 2025")+B43</f>
        <v>#REF!</v>
      </c>
      <c r="D43" t="e">
        <f>GETPIVOTDATA("Project",$A$27,"Targeted DELIVERY","Q3 2025")+C43</f>
        <v>#REF!</v>
      </c>
      <c r="E43" t="e">
        <f>GETPIVOTDATA("Project",$A$27,"Targeted DELIVERY","Q4 2025")+D43</f>
        <v>#REF!</v>
      </c>
      <c r="F43" t="e">
        <f>GETPIVOTDATA("Project",$A$27,"Targeted DELIVERY",2026)+GETPIVOTDATA("Project",$A$27,"Targeted DELIVERY","2028 +")+E43</f>
        <v>#REF!</v>
      </c>
    </row>
    <row r="45" spans="1:12" x14ac:dyDescent="0.25">
      <c r="A45" s="194" t="s">
        <v>36</v>
      </c>
      <c r="B45" t="s">
        <v>613</v>
      </c>
    </row>
    <row r="47" spans="1:12" x14ac:dyDescent="0.25">
      <c r="A47" s="171"/>
      <c r="B47" s="170" t="s">
        <v>624</v>
      </c>
    </row>
    <row r="48" spans="1:12" x14ac:dyDescent="0.25">
      <c r="A48" s="171"/>
      <c r="B48" t="s">
        <v>96</v>
      </c>
      <c r="C48" t="s">
        <v>241</v>
      </c>
      <c r="D48" t="s">
        <v>184</v>
      </c>
      <c r="E48" t="s">
        <v>16</v>
      </c>
      <c r="F48" t="s">
        <v>24</v>
      </c>
      <c r="G48" t="s">
        <v>61</v>
      </c>
      <c r="H48" t="s">
        <v>197</v>
      </c>
      <c r="I48" t="s">
        <v>159</v>
      </c>
      <c r="J48" t="s">
        <v>357</v>
      </c>
      <c r="K48" t="s">
        <v>616</v>
      </c>
      <c r="L48" s="177" t="s">
        <v>617</v>
      </c>
    </row>
    <row r="49" spans="1:12" ht="60.6" x14ac:dyDescent="0.25">
      <c r="A49" s="197" t="s">
        <v>625</v>
      </c>
      <c r="B49" s="5">
        <v>5</v>
      </c>
      <c r="C49" s="5">
        <v>1</v>
      </c>
      <c r="D49" s="5">
        <v>2</v>
      </c>
      <c r="E49" s="5">
        <v>2</v>
      </c>
      <c r="F49" s="5">
        <v>13</v>
      </c>
      <c r="G49" s="5">
        <v>12</v>
      </c>
      <c r="H49" s="5">
        <v>2</v>
      </c>
      <c r="I49" s="5">
        <v>6</v>
      </c>
      <c r="J49" s="5">
        <v>1</v>
      </c>
      <c r="K49" s="5"/>
      <c r="L49" s="213">
        <v>44</v>
      </c>
    </row>
    <row r="51" spans="1:12" x14ac:dyDescent="0.25">
      <c r="A51" s="185"/>
      <c r="B51" s="198" t="s">
        <v>96</v>
      </c>
      <c r="C51" s="198" t="s">
        <v>241</v>
      </c>
      <c r="D51" s="198" t="s">
        <v>184</v>
      </c>
      <c r="E51" s="198" t="s">
        <v>16</v>
      </c>
      <c r="F51" s="198" t="s">
        <v>24</v>
      </c>
      <c r="G51" s="198" t="s">
        <v>61</v>
      </c>
      <c r="H51" s="198" t="s">
        <v>197</v>
      </c>
      <c r="I51" s="198" t="s">
        <v>159</v>
      </c>
      <c r="J51" s="198" t="s">
        <v>357</v>
      </c>
    </row>
    <row r="52" spans="1:12" x14ac:dyDescent="0.25">
      <c r="A52" s="185" t="s">
        <v>618</v>
      </c>
      <c r="B52" s="199">
        <f>GETPIVOTDATA("Project",$A$47,"eurostar dpt Owner","COMMERCIAL")</f>
        <v>5</v>
      </c>
      <c r="C52" s="199">
        <f>GETPIVOTDATA("Project",$A$47,"eurostar dpt Owner","FIN")</f>
        <v>1</v>
      </c>
      <c r="D52" s="199">
        <f>GETPIVOTDATA("Project",$A$47,"eurostar dpt Owner","GEN SEC")</f>
        <v>2</v>
      </c>
      <c r="E52" s="199">
        <f>GETPIVOTDATA("Project",$A$47,"eurostar dpt Owner","HR")</f>
        <v>2</v>
      </c>
      <c r="F52" s="199">
        <f>GETPIVOTDATA("Project",$A$47,"eurostar dpt Owner","IS")</f>
        <v>13</v>
      </c>
      <c r="G52" s="199">
        <f>GETPIVOTDATA("Project",$A$47,"eurostar dpt Owner","OPERATIONS")</f>
        <v>12</v>
      </c>
      <c r="H52" s="199">
        <f>GETPIVOTDATA("Project",$A$47,"eurostar dpt Owner","ROLL STOCK")</f>
        <v>2</v>
      </c>
      <c r="I52" s="199">
        <f>GETPIVOTDATA("Project",$A$47,"eurostar dpt Owner","STATION")</f>
        <v>6</v>
      </c>
      <c r="J52" s="199">
        <f>GETPIVOTDATA("Project",$A$47,"eurostar dpt Owner","STRAT")</f>
        <v>1</v>
      </c>
    </row>
    <row r="60" spans="1:12" x14ac:dyDescent="0.25">
      <c r="D60" t="s">
        <v>626</v>
      </c>
      <c r="E60">
        <v>0</v>
      </c>
    </row>
    <row r="61" spans="1:12" x14ac:dyDescent="0.25">
      <c r="D61" t="s">
        <v>627</v>
      </c>
      <c r="E61">
        <v>7</v>
      </c>
    </row>
    <row r="62" spans="1:12" x14ac:dyDescent="0.25">
      <c r="D62" t="s">
        <v>628</v>
      </c>
      <c r="E62">
        <v>1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90df6d-bb1f-42a6-92b8-84055fadfcc8">
      <Terms xmlns="http://schemas.microsoft.com/office/infopath/2007/PartnerControls"/>
    </lcf76f155ced4ddcb4097134ff3c332f>
    <TaxCatchAll xmlns="b82dc8c3-9190-4284-8673-4e6e18edce46" xsi:nil="true"/>
    <SharedWithUsers xmlns="b82dc8c3-9190-4284-8673-4e6e18edce46">
      <UserInfo>
        <DisplayName>Emmanuelle SCEMAMA</DisplayName>
        <AccountId>120</AccountId>
        <AccountType/>
      </UserInfo>
      <UserInfo>
        <DisplayName>Lucie JEUNEMAITRE</DisplayName>
        <AccountId>11</AccountId>
        <AccountType/>
      </UserInfo>
    </SharedWithUsers>
    <MigrationWizIdVersion xmlns="7f90df6d-bb1f-42a6-92b8-84055fadfcc8" xsi:nil="true"/>
    <MigrationWizIdSecurityGroups xmlns="7f90df6d-bb1f-42a6-92b8-84055fadfcc8" xsi:nil="true"/>
    <lcf76f155ced4ddcb4097134ff3c332f1 xmlns="7f90df6d-bb1f-42a6-92b8-84055fadfcc8" xsi:nil="true"/>
    <lcf76f155ced4ddcb4097134ff3c332f0 xmlns="7f90df6d-bb1f-42a6-92b8-84055fadfcc8" xsi:nil="true"/>
    <MigrationWizId xmlns="7f90df6d-bb1f-42a6-92b8-84055fadfcc8" xsi:nil="true"/>
    <MigrationWizIdPermissions xmlns="7f90df6d-bb1f-42a6-92b8-84055fadfcc8" xsi:nil="true"/>
    <Month_x002d_Year xmlns="7f90df6d-bb1f-42a6-92b8-84055fadfcc8" xsi:nil="true"/>
    <MigrationWizIdPermissionLevels xmlns="7f90df6d-bb1f-42a6-92b8-84055fadfcc8" xsi:nil="true"/>
    <MigrationWizIdDocumentLibraryPermissions xmlns="7f90df6d-bb1f-42a6-92b8-84055fadfcc8" xsi:nil="true"/>
    <photo xmlns="7f90df6d-bb1f-42a6-92b8-84055fadfc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0632477BA7C4AB127427C9881297C" ma:contentTypeVersion="25" ma:contentTypeDescription="Create a new document." ma:contentTypeScope="" ma:versionID="fa03adc139566ee73380780389795a16">
  <xsd:schema xmlns:xsd="http://www.w3.org/2001/XMLSchema" xmlns:xs="http://www.w3.org/2001/XMLSchema" xmlns:p="http://schemas.microsoft.com/office/2006/metadata/properties" xmlns:ns2="7f90df6d-bb1f-42a6-92b8-84055fadfcc8" xmlns:ns3="b82dc8c3-9190-4284-8673-4e6e18edce46" targetNamespace="http://schemas.microsoft.com/office/2006/metadata/properties" ma:root="true" ma:fieldsID="ee0cb3bf66461d9bddd682d053cf1fff" ns2:_="" ns3:_="">
    <xsd:import namespace="7f90df6d-bb1f-42a6-92b8-84055fadfcc8"/>
    <xsd:import namespace="b82dc8c3-9190-4284-8673-4e6e18edce46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1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onth_x002d_Yea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pho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0df6d-bb1f-42a6-92b8-84055fadfcc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14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1" ma:index="19" nillable="true" ma:displayName="Image Tags_0" ma:hidden="true" ma:internalName="lcf76f155ced4ddcb4097134ff3c332f1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03e401-7ff8-4a09-ae52-90fe9b25a2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onth_x002d_Year" ma:index="27" nillable="true" ma:displayName="Month-Year" ma:description="Month and year of the datas" ma:format="DateOnly" ma:internalName="Month_x002d_Year">
      <xsd:simpleType>
        <xsd:restriction base="dms:DateTim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photo" ma:index="32" nillable="true" ma:displayName="photo" ma:format="Thumbnail" ma:internalName="photo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dc8c3-9190-4284-8673-4e6e18edce46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61f8181-cca4-4ecb-95ed-a4a6f7f0d900}" ma:internalName="TaxCatchAll" ma:showField="CatchAllData" ma:web="b82dc8c3-9190-4284-8673-4e6e18ed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181135-5786-4338-A6A6-64017F3B95A9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b82dc8c3-9190-4284-8673-4e6e18edce46"/>
    <ds:schemaRef ds:uri="http://schemas.microsoft.com/office/2006/documentManagement/types"/>
    <ds:schemaRef ds:uri="http://www.w3.org/XML/1998/namespace"/>
    <ds:schemaRef ds:uri="7f90df6d-bb1f-42a6-92b8-84055fadfcc8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98CBE2-F738-40E9-9EBC-6D8BA01A5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CF06F-B1D4-40BF-8CA9-2B29C852F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0df6d-bb1f-42a6-92b8-84055fadfcc8"/>
    <ds:schemaRef ds:uri="b82dc8c3-9190-4284-8673-4e6e18edce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Instructions</vt:lpstr>
      <vt:lpstr>Checklist</vt:lpstr>
      <vt:lpstr>Input</vt:lpstr>
      <vt:lpstr>Project Map Benefits - Effort</vt:lpstr>
      <vt:lpstr>System List</vt:lpstr>
      <vt:lpstr>Value vs Cost</vt:lpstr>
      <vt:lpstr>Pillars</vt:lpstr>
      <vt:lpstr>DEPT</vt:lpstr>
      <vt:lpstr>Heat Map Workload</vt:lpstr>
      <vt:lpstr>Heat Map Change</vt:lpstr>
      <vt:lpstr>IS Priority vs E value</vt:lpstr>
      <vt:lpstr>Metrix</vt:lpstr>
      <vt:lpstr>BusinessDevelopment_Integration</vt:lpstr>
      <vt:lpstr>CHANGE_Impact_Score</vt:lpstr>
      <vt:lpstr>Commercial</vt:lpstr>
      <vt:lpstr>Communication_DI</vt:lpstr>
      <vt:lpstr>Department</vt:lpstr>
      <vt:lpstr>Duration</vt:lpstr>
      <vt:lpstr>Finance</vt:lpstr>
      <vt:lpstr>GenSec_Legal_Sustainability</vt:lpstr>
      <vt:lpstr>Operations</vt:lpstr>
      <vt:lpstr>People_HR</vt:lpstr>
      <vt:lpstr>Resource_Score</vt:lpstr>
      <vt:lpstr>RollingStock</vt:lpstr>
      <vt:lpstr>Safety</vt:lpstr>
      <vt:lpstr>ScoreLMH</vt:lpstr>
      <vt:lpstr>Stations</vt:lpstr>
      <vt:lpstr>Technology_IS_IT</vt:lpstr>
    </vt:vector>
  </TitlesOfParts>
  <Manager/>
  <Company>EUROSTAR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roadmap 2025 IS dept</dc:subject>
  <dc:creator>Nicolas Madier;Blanche.Derkenne@eurostar.com</dc:creator>
  <cp:keywords/>
  <dc:description/>
  <cp:lastModifiedBy>Paolo RODEGHIERO</cp:lastModifiedBy>
  <cp:revision/>
  <dcterms:created xsi:type="dcterms:W3CDTF">2024-07-09T09:14:33Z</dcterms:created>
  <dcterms:modified xsi:type="dcterms:W3CDTF">2026-01-28T17:22:43Z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0x010100C8C0632477BA7C4AB127427C9881297C</vt:lpwstr>
  </property>
  <property fmtid="{D5CDD505-2E9C-101B-9397-08002B2CF9AE}" pid="3" name="MediaServiceImageTags">
    <vt:lpwstr/>
  </property>
  <property fmtid="{D5CDD505-2E9C-101B-9397-08002B2CF9AE}" pid="4" name="MSIP_Label_87ef74b6-683a-4874-922e-f03fa5e0ee9f_Enabled">
    <vt:lpwstr>true</vt:lpwstr>
  </property>
  <property fmtid="{D5CDD505-2E9C-101B-9397-08002B2CF9AE}" pid="5" name="MSIP_Label_87ef74b6-683a-4874-922e-f03fa5e0ee9f_SetDate">
    <vt:lpwstr>2024-10-17T15:17:13Z</vt:lpwstr>
  </property>
  <property fmtid="{D5CDD505-2E9C-101B-9397-08002B2CF9AE}" pid="6" name="MSIP_Label_87ef74b6-683a-4874-922e-f03fa5e0ee9f_Method">
    <vt:lpwstr>Standard</vt:lpwstr>
  </property>
  <property fmtid="{D5CDD505-2E9C-101B-9397-08002B2CF9AE}" pid="7" name="MSIP_Label_87ef74b6-683a-4874-922e-f03fa5e0ee9f_Name">
    <vt:lpwstr>Internal Only</vt:lpwstr>
  </property>
  <property fmtid="{D5CDD505-2E9C-101B-9397-08002B2CF9AE}" pid="8" name="MSIP_Label_87ef74b6-683a-4874-922e-f03fa5e0ee9f_SiteId">
    <vt:lpwstr>34dc47b4-7068-4e4c-9fd0-df28979f3c6b</vt:lpwstr>
  </property>
  <property fmtid="{D5CDD505-2E9C-101B-9397-08002B2CF9AE}" pid="9" name="MSIP_Label_87ef74b6-683a-4874-922e-f03fa5e0ee9f_ActionId">
    <vt:lpwstr>575caa44-d06f-4477-aae6-c7e722dd4eae</vt:lpwstr>
  </property>
  <property fmtid="{D5CDD505-2E9C-101B-9397-08002B2CF9AE}" pid="10" name="MSIP_Label_87ef74b6-683a-4874-922e-f03fa5e0ee9f_ContentBits">
    <vt:lpwstr>0</vt:lpwstr>
  </property>
</Properties>
</file>